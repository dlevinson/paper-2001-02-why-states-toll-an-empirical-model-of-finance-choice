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ighborEffect-i-UB" sheetId="1" state="visible" r:id="rId3"/>
    <sheet name="NeighborEffect-i=3" sheetId="2" state="visible" r:id="rId4"/>
    <sheet name="NeighborEffect-i=2" sheetId="3" state="visible" r:id="rId5"/>
    <sheet name="NeighborEffect-i=1" sheetId="4" state="visible" r:id="rId6"/>
    <sheet name="Summary-MSA&amp;CMSA" sheetId="5" state="visible" r:id="rId7"/>
    <sheet name="Summary-APUMA" sheetId="6" state="visible" r:id="rId8"/>
    <sheet name="Babblefish-APUMA" sheetId="7" state="visible" r:id="rId9"/>
    <sheet name="OD-PUMA(Val)" sheetId="8" state="visible" r:id="rId10"/>
    <sheet name="OD-PUMA(rev)" sheetId="9" state="visible" r:id="rId11"/>
    <sheet name="OD-APUMA(Val)" sheetId="10" state="visible" r:id="rId12"/>
    <sheet name="OD-APUMA(rev)" sheetId="11" state="visible" r:id="rId13"/>
    <sheet name="MASTER6" sheetId="12" state="visible" r:id="rId14"/>
  </sheets>
  <calcPr iterateCount="100" refMode="A1" iterate="false" iterateDelta="0.001"/>
  <pivotCaches>
    <pivotCache cacheId="1" r:id="rId16"/>
  </pivotCaches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<sst xmlns="http://schemas.openxmlformats.org/spreadsheetml/2006/main" count="460" uniqueCount="172">
  <si>
    <t xml:space="preserve">Sum of TRIPS</t>
  </si>
  <si>
    <t xml:space="preserve">D-APUMA</t>
  </si>
  <si>
    <t xml:space="preserve">O-APUMA</t>
  </si>
  <si>
    <t xml:space="preserve">Work</t>
  </si>
  <si>
    <t xml:space="preserve">Locals</t>
  </si>
  <si>
    <t xml:space="preserve">OutOfStateSum</t>
  </si>
  <si>
    <t xml:space="preserve">N1^4</t>
  </si>
  <si>
    <t xml:space="preserve">Grand Total</t>
  </si>
  <si>
    <t xml:space="preserve">ResidentWorkers</t>
  </si>
  <si>
    <t xml:space="preserve">Non-ResidentWorkers</t>
  </si>
  <si>
    <t xml:space="preserve">Total Workers</t>
  </si>
  <si>
    <t xml:space="preserve">TollShare</t>
  </si>
  <si>
    <t xml:space="preserve">O-MSA</t>
  </si>
  <si>
    <t xml:space="preserve">O-CMSA</t>
  </si>
  <si>
    <t xml:space="preserve">PredictedTollShare</t>
  </si>
  <si>
    <t xml:space="preserve">Predicted Toll Shares by Alternative Geographies</t>
  </si>
  <si>
    <t xml:space="preserve">CMSA</t>
  </si>
  <si>
    <t xml:space="preserve">Metro Area</t>
  </si>
  <si>
    <t xml:space="preserve">Share</t>
  </si>
  <si>
    <t xml:space="preserve">APUMA (Counties)</t>
  </si>
  <si>
    <t xml:space="preserve">APUMA</t>
  </si>
  <si>
    <t xml:space="preserve">Bakersfield</t>
  </si>
  <si>
    <t xml:space="preserve">Kern  </t>
  </si>
  <si>
    <t xml:space="preserve">Chico</t>
  </si>
  <si>
    <t xml:space="preserve">Butte </t>
  </si>
  <si>
    <t xml:space="preserve">Fresno</t>
  </si>
  <si>
    <t xml:space="preserve">Fresno  </t>
  </si>
  <si>
    <t xml:space="preserve">Los Angeles</t>
  </si>
  <si>
    <t xml:space="preserve">Orange  </t>
  </si>
  <si>
    <t xml:space="preserve">Ventura  </t>
  </si>
  <si>
    <t xml:space="preserve">Riverside  </t>
  </si>
  <si>
    <t xml:space="preserve">San Bernardino  </t>
  </si>
  <si>
    <t xml:space="preserve">Merced</t>
  </si>
  <si>
    <t xml:space="preserve">Merced </t>
  </si>
  <si>
    <t xml:space="preserve">Modesto</t>
  </si>
  <si>
    <t xml:space="preserve">Stanislaus  </t>
  </si>
  <si>
    <t xml:space="preserve">Redding</t>
  </si>
  <si>
    <t xml:space="preserve">Shasta </t>
  </si>
  <si>
    <t xml:space="preserve">Sacramento</t>
  </si>
  <si>
    <t xml:space="preserve">Yolo </t>
  </si>
  <si>
    <t xml:space="preserve">Placer </t>
  </si>
  <si>
    <t xml:space="preserve">El Dorado </t>
  </si>
  <si>
    <t xml:space="preserve">Sacramento  </t>
  </si>
  <si>
    <t xml:space="preserve">Salinas</t>
  </si>
  <si>
    <t xml:space="preserve">Monterey  </t>
  </si>
  <si>
    <t xml:space="preserve">San Diego</t>
  </si>
  <si>
    <t xml:space="preserve">San Diego  </t>
  </si>
  <si>
    <t xml:space="preserve">San Francisco</t>
  </si>
  <si>
    <t xml:space="preserve">Alameda  </t>
  </si>
  <si>
    <t xml:space="preserve">Contra Costa  </t>
  </si>
  <si>
    <t xml:space="preserve">Marin  </t>
  </si>
  <si>
    <t xml:space="preserve">San Francisco (city) </t>
  </si>
  <si>
    <t xml:space="preserve">San Mateo  </t>
  </si>
  <si>
    <t xml:space="preserve">Santa Clara  </t>
  </si>
  <si>
    <t xml:space="preserve">Santa Cruz </t>
  </si>
  <si>
    <t xml:space="preserve">Sonoma  </t>
  </si>
  <si>
    <t xml:space="preserve">Napa </t>
  </si>
  <si>
    <t xml:space="preserve">Solano</t>
  </si>
  <si>
    <t xml:space="preserve">Santa Barbara</t>
  </si>
  <si>
    <t xml:space="preserve">Santa Barbara  </t>
  </si>
  <si>
    <t xml:space="preserve">Stockton</t>
  </si>
  <si>
    <t xml:space="preserve">San Joaquin  </t>
  </si>
  <si>
    <t xml:space="preserve">Visalia</t>
  </si>
  <si>
    <t xml:space="preserve">Tulare </t>
  </si>
  <si>
    <t xml:space="preserve">Yuba</t>
  </si>
  <si>
    <t xml:space="preserve">Sutter, Yuba </t>
  </si>
  <si>
    <t xml:space="preserve">NonMetro</t>
  </si>
  <si>
    <t xml:space="preserve">Del Norte, Lassen, Modoc, Siskiyou</t>
  </si>
  <si>
    <t xml:space="preserve">Humboldt </t>
  </si>
  <si>
    <t xml:space="preserve">Lake, Mendocino</t>
  </si>
  <si>
    <t xml:space="preserve">Colusa, Glenn, Tehama, Trinity </t>
  </si>
  <si>
    <t xml:space="preserve">Nevada, Plumas, Sierra </t>
  </si>
  <si>
    <t xml:space="preserve">Alpine, Amador, Calaveras, Inyo, Mariposa, Mono, Tuolumne </t>
  </si>
  <si>
    <t xml:space="preserve">Madera, San Benito </t>
  </si>
  <si>
    <t xml:space="preserve">Kings </t>
  </si>
  <si>
    <t xml:space="preserve">Imperial </t>
  </si>
  <si>
    <t xml:space="preserve">San Luis Obispo  </t>
  </si>
  <si>
    <t xml:space="preserve">INTPUMA</t>
  </si>
  <si>
    <t xml:space="preserve">Total</t>
  </si>
  <si>
    <t xml:space="preserve">COU</t>
  </si>
  <si>
    <t xml:space="preserve">NAME</t>
  </si>
  <si>
    <t xml:space="preserve">MSA/PMSA</t>
  </si>
  <si>
    <t xml:space="preserve">MSANAME</t>
  </si>
  <si>
    <t xml:space="preserve">CMSANAME</t>
  </si>
  <si>
    <t xml:space="preserve">Del Norte County</t>
  </si>
  <si>
    <t xml:space="preserve">Non-Metro</t>
  </si>
  <si>
    <t xml:space="preserve">Anaheim</t>
  </si>
  <si>
    <t xml:space="preserve">Lassen County</t>
  </si>
  <si>
    <t xml:space="preserve">Modoc County</t>
  </si>
  <si>
    <t xml:space="preserve">Siskiyou County</t>
  </si>
  <si>
    <t xml:space="preserve">Humboldt County</t>
  </si>
  <si>
    <t xml:space="preserve">Los Angeles (LA)</t>
  </si>
  <si>
    <t xml:space="preserve">Shasta County</t>
  </si>
  <si>
    <t xml:space="preserve">Lake County</t>
  </si>
  <si>
    <t xml:space="preserve">Mendocino County</t>
  </si>
  <si>
    <t xml:space="preserve">Oakland (SF)</t>
  </si>
  <si>
    <t xml:space="preserve">Colusa County</t>
  </si>
  <si>
    <t xml:space="preserve">Vallejo (SF)</t>
  </si>
  <si>
    <t xml:space="preserve">Oxnard-Ventura (LA)</t>
  </si>
  <si>
    <t xml:space="preserve">Glenn County</t>
  </si>
  <si>
    <t xml:space="preserve">Tehama County</t>
  </si>
  <si>
    <t xml:space="preserve">Riverside (LA)</t>
  </si>
  <si>
    <t xml:space="preserve">Trinity County</t>
  </si>
  <si>
    <t xml:space="preserve">Butte County</t>
  </si>
  <si>
    <t xml:space="preserve">San Francisco (SF)</t>
  </si>
  <si>
    <t xml:space="preserve">Nevada County</t>
  </si>
  <si>
    <t xml:space="preserve">Plumas County</t>
  </si>
  <si>
    <t xml:space="preserve">Sierra County</t>
  </si>
  <si>
    <t xml:space="preserve">San Jose (SF)</t>
  </si>
  <si>
    <t xml:space="preserve">Sutter County</t>
  </si>
  <si>
    <t xml:space="preserve">Yuba County</t>
  </si>
  <si>
    <t xml:space="preserve">Santa Cruz (SF)</t>
  </si>
  <si>
    <t xml:space="preserve">Napa County</t>
  </si>
  <si>
    <t xml:space="preserve">Santa Rosa (SF)</t>
  </si>
  <si>
    <t xml:space="preserve">Yolo County</t>
  </si>
  <si>
    <t xml:space="preserve">Placer County</t>
  </si>
  <si>
    <t xml:space="preserve">El Dorado County</t>
  </si>
  <si>
    <t xml:space="preserve">Marin County </t>
  </si>
  <si>
    <t xml:space="preserve">San Francisco city </t>
  </si>
  <si>
    <t xml:space="preserve">San Mateo County </t>
  </si>
  <si>
    <t xml:space="preserve">Alpine County</t>
  </si>
  <si>
    <t xml:space="preserve">Amador County</t>
  </si>
  <si>
    <t xml:space="preserve">Calaveras County</t>
  </si>
  <si>
    <t xml:space="preserve">Inyo County</t>
  </si>
  <si>
    <t xml:space="preserve">Mariposa County</t>
  </si>
  <si>
    <t xml:space="preserve">Mono County</t>
  </si>
  <si>
    <t xml:space="preserve">Tuolumne County</t>
  </si>
  <si>
    <t xml:space="preserve">Madera County</t>
  </si>
  <si>
    <t xml:space="preserve">San Benito County</t>
  </si>
  <si>
    <t xml:space="preserve">Merced County</t>
  </si>
  <si>
    <t xml:space="preserve">Kings County</t>
  </si>
  <si>
    <t xml:space="preserve">Santa Barbara County </t>
  </si>
  <si>
    <t xml:space="preserve">Tulare County</t>
  </si>
  <si>
    <t xml:space="preserve">Santa Cruz County</t>
  </si>
  <si>
    <t xml:space="preserve">Imperial County</t>
  </si>
  <si>
    <t xml:space="preserve">San Luis Obispo County </t>
  </si>
  <si>
    <t xml:space="preserve">total</t>
  </si>
  <si>
    <t xml:space="preserve">Alameda County </t>
  </si>
  <si>
    <t xml:space="preserve">Contra Costa County </t>
  </si>
  <si>
    <t xml:space="preserve">Fresno County </t>
  </si>
  <si>
    <t xml:space="preserve">Kern County </t>
  </si>
  <si>
    <t xml:space="preserve">Los Angeles County </t>
  </si>
  <si>
    <t xml:space="preserve">Monterey County </t>
  </si>
  <si>
    <t xml:space="preserve">Orange County </t>
  </si>
  <si>
    <t xml:space="preserve">Riverside County </t>
  </si>
  <si>
    <t xml:space="preserve">Sacramento County </t>
  </si>
  <si>
    <t xml:space="preserve">San Bernardino County </t>
  </si>
  <si>
    <t xml:space="preserve">Anaheim (LA)</t>
  </si>
  <si>
    <t xml:space="preserve">San Diego County </t>
  </si>
  <si>
    <t xml:space="preserve">San Joaquin County </t>
  </si>
  <si>
    <t xml:space="preserve">Santa Clara County </t>
  </si>
  <si>
    <t xml:space="preserve">Sonoma County </t>
  </si>
  <si>
    <t xml:space="preserve">Stanislaus County </t>
  </si>
  <si>
    <t xml:space="preserve">Ventura County </t>
  </si>
  <si>
    <t xml:space="preserve">CA-JTW-TRIPS</t>
  </si>
  <si>
    <t xml:space="preserve">TOTAL</t>
  </si>
  <si>
    <t xml:space="preserve">NoNeighbor</t>
  </si>
  <si>
    <t xml:space="preserve">ITERATION 0</t>
  </si>
  <si>
    <t xml:space="preserve">ITERATION 1</t>
  </si>
  <si>
    <t xml:space="preserve">ITERATION 2</t>
  </si>
  <si>
    <t xml:space="preserve">ITERATION 3</t>
  </si>
  <si>
    <t xml:space="preserve">UPPER BOUND (All Neighbors Tolls=1)</t>
  </si>
  <si>
    <t xml:space="preserve">Residents who Work of DMLPUMA</t>
  </si>
  <si>
    <t xml:space="preserve">Residents Who Work In DML PUMA</t>
  </si>
  <si>
    <t xml:space="preserve">Total Population</t>
  </si>
  <si>
    <t xml:space="preserve">ExportedLabor</t>
  </si>
  <si>
    <t xml:space="preserve">ImportedLabor</t>
  </si>
  <si>
    <t xml:space="preserve">TollShare*TotalPop</t>
  </si>
  <si>
    <t xml:space="preserve">AVERAGE</t>
  </si>
  <si>
    <t xml:space="preserve">O-INTPUMA</t>
  </si>
  <si>
    <t xml:space="preserve">D-INTPUMA</t>
  </si>
  <si>
    <t xml:space="preserve">TRIPS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</si>
</sst>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000000"/>
    <numFmt numFmtId="168" formatCode="0.000"/>
    <numFmt numFmtId="169" formatCode="0.00E+00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6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1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<Relationship Id="rId16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333" createdVersion="3">
  <cacheSource type="worksheet">
    <worksheetSource ref="D1:F6334" sheet="MASTER6"/>
  </cacheSource>
  <cacheFields count="3">
    <cacheField name="TRIPS" numFmtId="0">
      <sharedItems containsSemiMixedTypes="0" containsString="0" containsNumber="1" containsInteger="1" minValue="0" maxValue="1845064" count="593">
        <n v="0"/>
        <n v="13"/>
        <n v="26"/>
        <n v="39"/>
        <n v="52"/>
        <n v="65"/>
        <n v="78"/>
        <n v="91"/>
        <n v="104"/>
        <n v="117"/>
        <n v="130"/>
        <n v="143"/>
        <n v="156"/>
        <n v="169"/>
        <n v="182"/>
        <n v="195"/>
        <n v="208"/>
        <n v="221"/>
        <n v="234"/>
        <n v="247"/>
        <n v="260"/>
        <n v="273"/>
        <n v="286"/>
        <n v="299"/>
        <n v="312"/>
        <n v="325"/>
        <n v="338"/>
        <n v="351"/>
        <n v="364"/>
        <n v="377"/>
        <n v="390"/>
        <n v="403"/>
        <n v="416"/>
        <n v="429"/>
        <n v="442"/>
        <n v="455"/>
        <n v="468"/>
        <n v="481"/>
        <n v="494"/>
        <n v="507"/>
        <n v="520"/>
        <n v="533"/>
        <n v="546"/>
        <n v="559"/>
        <n v="572"/>
        <n v="585"/>
        <n v="598"/>
        <n v="611"/>
        <n v="624"/>
        <n v="637"/>
        <n v="650"/>
        <n v="663"/>
        <n v="676"/>
        <n v="689"/>
        <n v="702"/>
        <n v="715"/>
        <n v="728"/>
        <n v="754"/>
        <n v="767"/>
        <n v="780"/>
        <n v="793"/>
        <n v="806"/>
        <n v="819"/>
        <n v="832"/>
        <n v="845"/>
        <n v="858"/>
        <n v="871"/>
        <n v="884"/>
        <n v="897"/>
        <n v="910"/>
        <n v="923"/>
        <n v="936"/>
        <n v="949"/>
        <n v="962"/>
        <n v="975"/>
        <n v="988"/>
        <n v="1001"/>
        <n v="1014"/>
        <n v="1027"/>
        <n v="1040"/>
        <n v="1053"/>
        <n v="1066"/>
        <n v="1079"/>
        <n v="1092"/>
        <n v="1105"/>
        <n v="1118"/>
        <n v="1131"/>
        <n v="1157"/>
        <n v="1170"/>
        <n v="1183"/>
        <n v="1196"/>
        <n v="1209"/>
        <n v="1222"/>
        <n v="1235"/>
        <n v="1261"/>
        <n v="1274"/>
        <n v="1287"/>
        <n v="1300"/>
        <n v="1313"/>
        <n v="1326"/>
        <n v="1339"/>
        <n v="1365"/>
        <n v="1391"/>
        <n v="1404"/>
        <n v="1417"/>
        <n v="1430"/>
        <n v="1443"/>
        <n v="1456"/>
        <n v="1469"/>
        <n v="1482"/>
        <n v="1495"/>
        <n v="1508"/>
        <n v="1521"/>
        <n v="1534"/>
        <n v="1547"/>
        <n v="1560"/>
        <n v="1573"/>
        <n v="1586"/>
        <n v="1599"/>
        <n v="1612"/>
        <n v="1625"/>
        <n v="1638"/>
        <n v="1651"/>
        <n v="1677"/>
        <n v="1703"/>
        <n v="1716"/>
        <n v="1729"/>
        <n v="1742"/>
        <n v="1768"/>
        <n v="1781"/>
        <n v="1794"/>
        <n v="1807"/>
        <n v="1820"/>
        <n v="1859"/>
        <n v="1872"/>
        <n v="1885"/>
        <n v="1898"/>
        <n v="1911"/>
        <n v="1924"/>
        <n v="1937"/>
        <n v="1963"/>
        <n v="1976"/>
        <n v="2015"/>
        <n v="2041"/>
        <n v="2054"/>
        <n v="2093"/>
        <n v="2145"/>
        <n v="2184"/>
        <n v="2210"/>
        <n v="2236"/>
        <n v="2262"/>
        <n v="2275"/>
        <n v="2288"/>
        <n v="2301"/>
        <n v="2314"/>
        <n v="2327"/>
        <n v="2405"/>
        <n v="2444"/>
        <n v="2457"/>
        <n v="2470"/>
        <n v="2496"/>
        <n v="2509"/>
        <n v="2535"/>
        <n v="2548"/>
        <n v="2574"/>
        <n v="2587"/>
        <n v="2600"/>
        <n v="2613"/>
        <n v="2626"/>
        <n v="2652"/>
        <n v="2678"/>
        <n v="2691"/>
        <n v="2717"/>
        <n v="2743"/>
        <n v="2795"/>
        <n v="2821"/>
        <n v="2886"/>
        <n v="2899"/>
        <n v="2925"/>
        <n v="2938"/>
        <n v="2964"/>
        <n v="2990"/>
        <n v="3029"/>
        <n v="3081"/>
        <n v="3107"/>
        <n v="3120"/>
        <n v="3172"/>
        <n v="3198"/>
        <n v="3237"/>
        <n v="3263"/>
        <n v="3289"/>
        <n v="3302"/>
        <n v="3315"/>
        <n v="3341"/>
        <n v="3380"/>
        <n v="3510"/>
        <n v="3536"/>
        <n v="3549"/>
        <n v="3588"/>
        <n v="3614"/>
        <n v="3627"/>
        <n v="3653"/>
        <n v="3666"/>
        <n v="3705"/>
        <n v="3718"/>
        <n v="3744"/>
        <n v="3796"/>
        <n v="3809"/>
        <n v="3822"/>
        <n v="3835"/>
        <n v="3861"/>
        <n v="3913"/>
        <n v="3926"/>
        <n v="3952"/>
        <n v="3978"/>
        <n v="4017"/>
        <n v="4030"/>
        <n v="4056"/>
        <n v="4069"/>
        <n v="4095"/>
        <n v="4173"/>
        <n v="4199"/>
        <n v="4225"/>
        <n v="4238"/>
        <n v="4303"/>
        <n v="4329"/>
        <n v="4355"/>
        <n v="4368"/>
        <n v="4381"/>
        <n v="4433"/>
        <n v="4524"/>
        <n v="4615"/>
        <n v="4628"/>
        <n v="4667"/>
        <n v="4706"/>
        <n v="4719"/>
        <n v="4810"/>
        <n v="4849"/>
        <n v="4901"/>
        <n v="4927"/>
        <n v="4940"/>
        <n v="5018"/>
        <n v="5044"/>
        <n v="5109"/>
        <n v="5122"/>
        <n v="5161"/>
        <n v="5174"/>
        <n v="5239"/>
        <n v="5278"/>
        <n v="5369"/>
        <n v="5512"/>
        <n v="5577"/>
        <n v="5642"/>
        <n v="5707"/>
        <n v="5811"/>
        <n v="5876"/>
        <n v="5980"/>
        <n v="6214"/>
        <n v="6253"/>
        <n v="6305"/>
        <n v="6331"/>
        <n v="6435"/>
        <n v="6487"/>
        <n v="6591"/>
        <n v="6604"/>
        <n v="6695"/>
        <n v="6708"/>
        <n v="6721"/>
        <n v="6890"/>
        <n v="6903"/>
        <n v="7085"/>
        <n v="7189"/>
        <n v="7254"/>
        <n v="7371"/>
        <n v="7514"/>
        <n v="7527"/>
        <n v="7631"/>
        <n v="7852"/>
        <n v="7917"/>
        <n v="7982"/>
        <n v="8060"/>
        <n v="8125"/>
        <n v="8151"/>
        <n v="8229"/>
        <n v="8255"/>
        <n v="8320"/>
        <n v="8398"/>
        <n v="8450"/>
        <n v="8619"/>
        <n v="8801"/>
        <n v="8814"/>
        <n v="8879"/>
        <n v="8996"/>
        <n v="9256"/>
        <n v="9555"/>
        <n v="9672"/>
        <n v="9711"/>
        <n v="9724"/>
        <n v="9750"/>
        <n v="9815"/>
        <n v="9841"/>
        <n v="9919"/>
        <n v="10049"/>
        <n v="10205"/>
        <n v="10283"/>
        <n v="10348"/>
        <n v="10933"/>
        <n v="11076"/>
        <n v="11089"/>
        <n v="11141"/>
        <n v="11167"/>
        <n v="11219"/>
        <n v="11505"/>
        <n v="11674"/>
        <n v="11856"/>
        <n v="11934"/>
        <n v="11947"/>
        <n v="12220"/>
        <n v="12337"/>
        <n v="12350"/>
        <n v="12506"/>
        <n v="12662"/>
        <n v="12818"/>
        <n v="12883"/>
        <n v="12922"/>
        <n v="12935"/>
        <n v="12974"/>
        <n v="13039"/>
        <n v="13221"/>
        <n v="13234"/>
        <n v="13429"/>
        <n v="13468"/>
        <n v="13494"/>
        <n v="13533"/>
        <n v="13546"/>
        <n v="13598"/>
        <n v="13611"/>
        <n v="13780"/>
        <n v="13793"/>
        <n v="13858"/>
        <n v="13910"/>
        <n v="14196"/>
        <n v="14222"/>
        <n v="14235"/>
        <n v="14248"/>
        <n v="14352"/>
        <n v="14482"/>
        <n v="14781"/>
        <n v="14807"/>
        <n v="14885"/>
        <n v="15015"/>
        <n v="15041"/>
        <n v="15054"/>
        <n v="15145"/>
        <n v="15288"/>
        <n v="15366"/>
        <n v="15912"/>
        <n v="16029"/>
        <n v="16055"/>
        <n v="16081"/>
        <n v="16367"/>
        <n v="16406"/>
        <n v="16445"/>
        <n v="16471"/>
        <n v="16822"/>
        <n v="16939"/>
        <n v="17420"/>
        <n v="17498"/>
        <n v="17537"/>
        <n v="17602"/>
        <n v="17758"/>
        <n v="17784"/>
        <n v="17823"/>
        <n v="18044"/>
        <n v="18304"/>
        <n v="18343"/>
        <n v="18473"/>
        <n v="18629"/>
        <n v="19071"/>
        <n v="19318"/>
        <n v="19344"/>
        <n v="19383"/>
        <n v="19682"/>
        <n v="19695"/>
        <n v="19747"/>
        <n v="19799"/>
        <n v="19968"/>
        <n v="20527"/>
        <n v="20917"/>
        <n v="21203"/>
        <n v="21268"/>
        <n v="21307"/>
        <n v="21775"/>
        <n v="21957"/>
        <n v="22555"/>
        <n v="22893"/>
        <n v="23023"/>
        <n v="23049"/>
        <n v="23192"/>
        <n v="23660"/>
        <n v="23673"/>
        <n v="23699"/>
        <n v="23803"/>
        <n v="24388"/>
        <n v="24934"/>
        <n v="25129"/>
        <n v="25506"/>
        <n v="25610"/>
        <n v="25623"/>
        <n v="25688"/>
        <n v="26182"/>
        <n v="26650"/>
        <n v="26676"/>
        <n v="26858"/>
        <n v="27274"/>
        <n v="27664"/>
        <n v="28613"/>
        <n v="29393"/>
        <n v="29861"/>
        <n v="30563"/>
        <n v="30693"/>
        <n v="30706"/>
        <n v="32175"/>
        <n v="32396"/>
        <n v="32903"/>
        <n v="33098"/>
        <n v="33371"/>
        <n v="33397"/>
        <n v="33527"/>
        <n v="33917"/>
        <n v="34047"/>
        <n v="34346"/>
        <n v="34372"/>
        <n v="34944"/>
        <n v="35828"/>
        <n v="36257"/>
        <n v="36374"/>
        <n v="37583"/>
        <n v="37791"/>
        <n v="37934"/>
        <n v="38259"/>
        <n v="38376"/>
        <n v="38493"/>
        <n v="40924"/>
        <n v="41964"/>
        <n v="42302"/>
        <n v="43914"/>
        <n v="44408"/>
        <n v="44824"/>
        <n v="45084"/>
        <n v="46007"/>
        <n v="46176"/>
        <n v="47411"/>
        <n v="47697"/>
        <n v="49153"/>
        <n v="49257"/>
        <n v="49543"/>
        <n v="49764"/>
        <n v="50973"/>
        <n v="52455"/>
        <n v="52624"/>
        <n v="53183"/>
        <n v="53495"/>
        <n v="53742"/>
        <n v="53898"/>
        <n v="54197"/>
        <n v="54691"/>
        <n v="54756"/>
        <n v="55562"/>
        <n v="56004"/>
        <n v="56017"/>
        <n v="56394"/>
        <n v="56628"/>
        <n v="56823"/>
        <n v="57291"/>
        <n v="57447"/>
        <n v="58201"/>
        <n v="59202"/>
        <n v="59839"/>
        <n v="59956"/>
        <n v="60294"/>
        <n v="60866"/>
        <n v="61087"/>
        <n v="61399"/>
        <n v="62361"/>
        <n v="62647"/>
        <n v="63609"/>
        <n v="64883"/>
        <n v="65169"/>
        <n v="66183"/>
        <n v="66196"/>
        <n v="66378"/>
        <n v="66781"/>
        <n v="66976"/>
        <n v="67041"/>
        <n v="67470"/>
        <n v="67678"/>
        <n v="67782"/>
        <n v="67912"/>
        <n v="70278"/>
        <n v="70434"/>
        <n v="70551"/>
        <n v="70980"/>
        <n v="71240"/>
        <n v="71305"/>
        <n v="72020"/>
        <n v="72592"/>
        <n v="73463"/>
        <n v="73580"/>
        <n v="73723"/>
        <n v="74074"/>
        <n v="75231"/>
        <n v="77246"/>
        <n v="77454"/>
        <n v="78299"/>
        <n v="79183"/>
        <n v="80925"/>
        <n v="81172"/>
        <n v="82537"/>
        <n v="84006"/>
        <n v="86619"/>
        <n v="88868"/>
        <n v="90948"/>
        <n v="93327"/>
        <n v="93795"/>
        <n v="94055"/>
        <n v="94497"/>
        <n v="95147"/>
        <n v="95186"/>
        <n v="96213"/>
        <n v="96408"/>
        <n v="97097"/>
        <n v="100061"/>
        <n v="103519"/>
        <n v="106184"/>
        <n v="107159"/>
        <n v="108225"/>
        <n v="111722"/>
        <n v="111956"/>
        <n v="112021"/>
        <n v="116324"/>
        <n v="118885"/>
        <n v="122642"/>
        <n v="125190"/>
        <n v="125554"/>
        <n v="127478"/>
        <n v="129155"/>
        <n v="132912"/>
        <n v="139113"/>
        <n v="151931"/>
        <n v="154115"/>
        <n v="169559"/>
        <n v="171535"/>
        <n v="171821"/>
        <n v="174200"/>
        <n v="177047"/>
        <n v="187317"/>
        <n v="190333"/>
        <n v="192426"/>
        <n v="201604"/>
        <n v="203580"/>
        <n v="209313"/>
        <n v="211692"/>
        <n v="215475"/>
        <n v="215956"/>
        <n v="216515"/>
        <n v="220766"/>
        <n v="225030"/>
        <n v="228774"/>
        <n v="230763"/>
        <n v="254098"/>
        <n v="264576"/>
        <n v="269724"/>
        <n v="274924"/>
        <n v="313391"/>
        <n v="313768"/>
        <n v="337857"/>
        <n v="340483"/>
        <n v="343122"/>
        <n v="347230"/>
        <n v="361075"/>
        <n v="371969"/>
        <n v="377273"/>
        <n v="455325"/>
        <n v="497731"/>
        <n v="520962"/>
        <n v="542152"/>
        <n v="543075"/>
        <n v="595062"/>
        <n v="885469"/>
        <n v="1126294"/>
        <n v="1797110"/>
        <n v="1845064"/>
      </sharedItems>
    </cacheField>
    <cacheField name="O-APUMA" numFmtId="0">
      <sharedItems containsSemiMixedTypes="0" containsString="0" containsNumber="1" containsInteger="1" minValue="1" maxValue="103" count="41">
        <n v="1"/>
        <n v="2"/>
        <n v="3"/>
        <n v="4"/>
        <n v="5"/>
        <n v="6"/>
        <n v="7"/>
        <n v="8"/>
        <n v="9"/>
        <n v="10"/>
        <n v="11"/>
        <n v="12"/>
        <n v="15"/>
        <n v="19"/>
        <n v="22"/>
        <n v="26"/>
        <n v="27"/>
        <n v="30"/>
        <n v="31"/>
        <n v="32"/>
        <n v="75"/>
        <n v="76"/>
        <n v="77"/>
        <n v="80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3"/>
      </sharedItems>
    </cacheField>
    <cacheField name="D-APUMA" numFmtId="0">
      <sharedItems containsSemiMixedTypes="0" containsString="0" containsNumber="1" containsInteger="1" minValue="0" maxValue="999" count="45">
        <n v="0"/>
        <n v="1"/>
        <n v="2"/>
        <n v="3"/>
        <n v="4"/>
        <n v="5"/>
        <n v="6"/>
        <n v="7"/>
        <n v="8"/>
        <n v="9"/>
        <n v="10"/>
        <n v="11"/>
        <n v="12"/>
        <n v="15"/>
        <n v="19"/>
        <n v="22"/>
        <n v="26"/>
        <n v="27"/>
        <n v="30"/>
        <n v="31"/>
        <n v="32"/>
        <n v="75"/>
        <n v="76"/>
        <n v="77"/>
        <n v="80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3"/>
        <n v="858"/>
        <n v="983"/>
        <n v="999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33">
  <r>
    <x v="500"/>
    <x v="0"/>
    <x v="0"/>
  </r>
  <r>
    <x v="424"/>
    <x v="0"/>
    <x v="1"/>
  </r>
  <r>
    <x v="17"/>
    <x v="0"/>
    <x v="2"/>
  </r>
  <r>
    <x v="59"/>
    <x v="0"/>
    <x v="3"/>
  </r>
  <r>
    <x v="8"/>
    <x v="0"/>
    <x v="4"/>
  </r>
  <r>
    <x v="5"/>
    <x v="0"/>
    <x v="5"/>
  </r>
  <r>
    <x v="9"/>
    <x v="0"/>
    <x v="6"/>
  </r>
  <r>
    <x v="31"/>
    <x v="0"/>
    <x v="7"/>
  </r>
  <r>
    <x v="5"/>
    <x v="0"/>
    <x v="39"/>
  </r>
  <r>
    <x v="21"/>
    <x v="0"/>
    <x v="38"/>
  </r>
  <r>
    <x v="2"/>
    <x v="0"/>
    <x v="14"/>
  </r>
  <r>
    <x v="8"/>
    <x v="0"/>
    <x v="16"/>
  </r>
  <r>
    <x v="9"/>
    <x v="0"/>
    <x v="33"/>
  </r>
  <r>
    <x v="7"/>
    <x v="0"/>
    <x v="27"/>
  </r>
  <r>
    <x v="4"/>
    <x v="0"/>
    <x v="37"/>
  </r>
  <r>
    <x v="3"/>
    <x v="0"/>
    <x v="32"/>
  </r>
  <r>
    <x v="4"/>
    <x v="0"/>
    <x v="21"/>
  </r>
  <r>
    <x v="501"/>
    <x v="1"/>
    <x v="0"/>
  </r>
  <r>
    <x v="21"/>
    <x v="1"/>
    <x v="1"/>
  </r>
  <r>
    <x v="457"/>
    <x v="1"/>
    <x v="2"/>
  </r>
  <r>
    <x v="0"/>
    <x v="1"/>
    <x v="3"/>
  </r>
  <r>
    <x v="21"/>
    <x v="1"/>
    <x v="4"/>
  </r>
  <r>
    <x v="0"/>
    <x v="1"/>
    <x v="5"/>
  </r>
  <r>
    <x v="0"/>
    <x v="1"/>
    <x v="6"/>
  </r>
  <r>
    <x v="0"/>
    <x v="1"/>
    <x v="7"/>
  </r>
  <r>
    <x v="0"/>
    <x v="1"/>
    <x v="39"/>
  </r>
  <r>
    <x v="6"/>
    <x v="1"/>
    <x v="13"/>
  </r>
  <r>
    <x v="0"/>
    <x v="1"/>
    <x v="38"/>
  </r>
  <r>
    <x v="0"/>
    <x v="1"/>
    <x v="14"/>
  </r>
  <r>
    <x v="0"/>
    <x v="1"/>
    <x v="16"/>
  </r>
  <r>
    <x v="0"/>
    <x v="1"/>
    <x v="33"/>
  </r>
  <r>
    <x v="0"/>
    <x v="1"/>
    <x v="27"/>
  </r>
  <r>
    <x v="0"/>
    <x v="1"/>
    <x v="37"/>
  </r>
  <r>
    <x v="8"/>
    <x v="1"/>
    <x v="29"/>
  </r>
  <r>
    <x v="0"/>
    <x v="1"/>
    <x v="32"/>
  </r>
  <r>
    <x v="0"/>
    <x v="1"/>
    <x v="21"/>
  </r>
  <r>
    <x v="523"/>
    <x v="2"/>
    <x v="0"/>
  </r>
  <r>
    <x v="50"/>
    <x v="2"/>
    <x v="1"/>
  </r>
  <r>
    <x v="9"/>
    <x v="2"/>
    <x v="2"/>
  </r>
  <r>
    <x v="468"/>
    <x v="2"/>
    <x v="3"/>
  </r>
  <r>
    <x v="4"/>
    <x v="2"/>
    <x v="4"/>
  </r>
  <r>
    <x v="93"/>
    <x v="2"/>
    <x v="5"/>
  </r>
  <r>
    <x v="7"/>
    <x v="2"/>
    <x v="6"/>
  </r>
  <r>
    <x v="0"/>
    <x v="2"/>
    <x v="7"/>
  </r>
  <r>
    <x v="7"/>
    <x v="2"/>
    <x v="10"/>
  </r>
  <r>
    <x v="4"/>
    <x v="2"/>
    <x v="39"/>
  </r>
  <r>
    <x v="0"/>
    <x v="2"/>
    <x v="13"/>
  </r>
  <r>
    <x v="0"/>
    <x v="2"/>
    <x v="38"/>
  </r>
  <r>
    <x v="7"/>
    <x v="2"/>
    <x v="26"/>
  </r>
  <r>
    <x v="10"/>
    <x v="2"/>
    <x v="26"/>
  </r>
  <r>
    <x v="7"/>
    <x v="2"/>
    <x v="14"/>
  </r>
  <r>
    <x v="23"/>
    <x v="2"/>
    <x v="25"/>
  </r>
  <r>
    <x v="0"/>
    <x v="2"/>
    <x v="16"/>
  </r>
  <r>
    <x v="13"/>
    <x v="2"/>
    <x v="33"/>
  </r>
  <r>
    <x v="4"/>
    <x v="2"/>
    <x v="35"/>
  </r>
  <r>
    <x v="0"/>
    <x v="2"/>
    <x v="27"/>
  </r>
  <r>
    <x v="14"/>
    <x v="2"/>
    <x v="37"/>
  </r>
  <r>
    <x v="8"/>
    <x v="2"/>
    <x v="37"/>
  </r>
  <r>
    <x v="0"/>
    <x v="2"/>
    <x v="29"/>
  </r>
  <r>
    <x v="0"/>
    <x v="2"/>
    <x v="32"/>
  </r>
  <r>
    <x v="6"/>
    <x v="2"/>
    <x v="34"/>
  </r>
  <r>
    <x v="0"/>
    <x v="2"/>
    <x v="21"/>
  </r>
  <r>
    <x v="9"/>
    <x v="2"/>
    <x v="28"/>
  </r>
  <r>
    <x v="515"/>
    <x v="3"/>
    <x v="0"/>
  </r>
  <r>
    <x v="0"/>
    <x v="3"/>
    <x v="1"/>
  </r>
  <r>
    <x v="0"/>
    <x v="3"/>
    <x v="2"/>
  </r>
  <r>
    <x v="0"/>
    <x v="3"/>
    <x v="3"/>
  </r>
  <r>
    <x v="453"/>
    <x v="3"/>
    <x v="4"/>
  </r>
  <r>
    <x v="3"/>
    <x v="3"/>
    <x v="5"/>
  </r>
  <r>
    <x v="0"/>
    <x v="3"/>
    <x v="6"/>
  </r>
  <r>
    <x v="14"/>
    <x v="3"/>
    <x v="7"/>
  </r>
  <r>
    <x v="9"/>
    <x v="3"/>
    <x v="8"/>
  </r>
  <r>
    <x v="5"/>
    <x v="3"/>
    <x v="9"/>
  </r>
  <r>
    <x v="0"/>
    <x v="3"/>
    <x v="10"/>
  </r>
  <r>
    <x v="20"/>
    <x v="3"/>
    <x v="39"/>
  </r>
  <r>
    <x v="91"/>
    <x v="3"/>
    <x v="39"/>
  </r>
  <r>
    <x v="24"/>
    <x v="3"/>
    <x v="13"/>
  </r>
  <r>
    <x v="0"/>
    <x v="3"/>
    <x v="38"/>
  </r>
  <r>
    <x v="0"/>
    <x v="3"/>
    <x v="26"/>
  </r>
  <r>
    <x v="0"/>
    <x v="3"/>
    <x v="26"/>
  </r>
  <r>
    <x v="33"/>
    <x v="3"/>
    <x v="14"/>
  </r>
  <r>
    <x v="15"/>
    <x v="3"/>
    <x v="25"/>
  </r>
  <r>
    <x v="9"/>
    <x v="3"/>
    <x v="15"/>
  </r>
  <r>
    <x v="0"/>
    <x v="3"/>
    <x v="16"/>
  </r>
  <r>
    <x v="0"/>
    <x v="3"/>
    <x v="33"/>
  </r>
  <r>
    <x v="7"/>
    <x v="3"/>
    <x v="35"/>
  </r>
  <r>
    <x v="0"/>
    <x v="3"/>
    <x v="35"/>
  </r>
  <r>
    <x v="0"/>
    <x v="3"/>
    <x v="27"/>
  </r>
  <r>
    <x v="0"/>
    <x v="3"/>
    <x v="37"/>
  </r>
  <r>
    <x v="10"/>
    <x v="3"/>
    <x v="37"/>
  </r>
  <r>
    <x v="4"/>
    <x v="3"/>
    <x v="37"/>
  </r>
  <r>
    <x v="9"/>
    <x v="3"/>
    <x v="29"/>
  </r>
  <r>
    <x v="0"/>
    <x v="3"/>
    <x v="32"/>
  </r>
  <r>
    <x v="0"/>
    <x v="3"/>
    <x v="34"/>
  </r>
  <r>
    <x v="0"/>
    <x v="3"/>
    <x v="21"/>
  </r>
  <r>
    <x v="0"/>
    <x v="3"/>
    <x v="28"/>
  </r>
  <r>
    <x v="6"/>
    <x v="3"/>
    <x v="44"/>
  </r>
  <r>
    <x v="489"/>
    <x v="4"/>
    <x v="0"/>
  </r>
  <r>
    <x v="0"/>
    <x v="4"/>
    <x v="1"/>
  </r>
  <r>
    <x v="41"/>
    <x v="4"/>
    <x v="2"/>
  </r>
  <r>
    <x v="151"/>
    <x v="4"/>
    <x v="3"/>
  </r>
  <r>
    <x v="5"/>
    <x v="4"/>
    <x v="4"/>
  </r>
  <r>
    <x v="416"/>
    <x v="4"/>
    <x v="5"/>
  </r>
  <r>
    <x v="84"/>
    <x v="4"/>
    <x v="6"/>
  </r>
  <r>
    <x v="44"/>
    <x v="4"/>
    <x v="7"/>
  </r>
  <r>
    <x v="0"/>
    <x v="4"/>
    <x v="8"/>
  </r>
  <r>
    <x v="0"/>
    <x v="4"/>
    <x v="9"/>
  </r>
  <r>
    <x v="0"/>
    <x v="4"/>
    <x v="10"/>
  </r>
  <r>
    <x v="11"/>
    <x v="4"/>
    <x v="11"/>
  </r>
  <r>
    <x v="0"/>
    <x v="4"/>
    <x v="39"/>
  </r>
  <r>
    <x v="0"/>
    <x v="4"/>
    <x v="39"/>
  </r>
  <r>
    <x v="0"/>
    <x v="4"/>
    <x v="13"/>
  </r>
  <r>
    <x v="22"/>
    <x v="4"/>
    <x v="38"/>
  </r>
  <r>
    <x v="0"/>
    <x v="4"/>
    <x v="26"/>
  </r>
  <r>
    <x v="14"/>
    <x v="4"/>
    <x v="26"/>
  </r>
  <r>
    <x v="13"/>
    <x v="4"/>
    <x v="14"/>
  </r>
  <r>
    <x v="0"/>
    <x v="4"/>
    <x v="25"/>
  </r>
  <r>
    <x v="0"/>
    <x v="4"/>
    <x v="15"/>
  </r>
  <r>
    <x v="0"/>
    <x v="4"/>
    <x v="16"/>
  </r>
  <r>
    <x v="0"/>
    <x v="4"/>
    <x v="33"/>
  </r>
  <r>
    <x v="0"/>
    <x v="4"/>
    <x v="35"/>
  </r>
  <r>
    <x v="0"/>
    <x v="4"/>
    <x v="35"/>
  </r>
  <r>
    <x v="0"/>
    <x v="4"/>
    <x v="27"/>
  </r>
  <r>
    <x v="11"/>
    <x v="4"/>
    <x v="37"/>
  </r>
  <r>
    <x v="0"/>
    <x v="4"/>
    <x v="37"/>
  </r>
  <r>
    <x v="0"/>
    <x v="4"/>
    <x v="37"/>
  </r>
  <r>
    <x v="0"/>
    <x v="4"/>
    <x v="29"/>
  </r>
  <r>
    <x v="0"/>
    <x v="4"/>
    <x v="32"/>
  </r>
  <r>
    <x v="6"/>
    <x v="4"/>
    <x v="34"/>
  </r>
  <r>
    <x v="0"/>
    <x v="4"/>
    <x v="21"/>
  </r>
  <r>
    <x v="0"/>
    <x v="4"/>
    <x v="28"/>
  </r>
  <r>
    <x v="0"/>
    <x v="4"/>
    <x v="44"/>
  </r>
  <r>
    <x v="537"/>
    <x v="5"/>
    <x v="0"/>
  </r>
  <r>
    <x v="23"/>
    <x v="5"/>
    <x v="1"/>
  </r>
  <r>
    <x v="0"/>
    <x v="5"/>
    <x v="2"/>
  </r>
  <r>
    <x v="5"/>
    <x v="5"/>
    <x v="3"/>
  </r>
  <r>
    <x v="0"/>
    <x v="5"/>
    <x v="4"/>
  </r>
  <r>
    <x v="102"/>
    <x v="5"/>
    <x v="5"/>
  </r>
  <r>
    <x v="485"/>
    <x v="5"/>
    <x v="6"/>
  </r>
  <r>
    <x v="20"/>
    <x v="5"/>
    <x v="7"/>
  </r>
  <r>
    <x v="122"/>
    <x v="5"/>
    <x v="8"/>
  </r>
  <r>
    <x v="9"/>
    <x v="5"/>
    <x v="9"/>
  </r>
  <r>
    <x v="0"/>
    <x v="5"/>
    <x v="10"/>
  </r>
  <r>
    <x v="9"/>
    <x v="5"/>
    <x v="11"/>
  </r>
  <r>
    <x v="0"/>
    <x v="5"/>
    <x v="39"/>
  </r>
  <r>
    <x v="0"/>
    <x v="5"/>
    <x v="39"/>
  </r>
  <r>
    <x v="0"/>
    <x v="5"/>
    <x v="13"/>
  </r>
  <r>
    <x v="9"/>
    <x v="5"/>
    <x v="38"/>
  </r>
  <r>
    <x v="0"/>
    <x v="5"/>
    <x v="26"/>
  </r>
  <r>
    <x v="0"/>
    <x v="5"/>
    <x v="26"/>
  </r>
  <r>
    <x v="0"/>
    <x v="5"/>
    <x v="14"/>
  </r>
  <r>
    <x v="0"/>
    <x v="5"/>
    <x v="25"/>
  </r>
  <r>
    <x v="0"/>
    <x v="5"/>
    <x v="15"/>
  </r>
  <r>
    <x v="20"/>
    <x v="5"/>
    <x v="16"/>
  </r>
  <r>
    <x v="10"/>
    <x v="5"/>
    <x v="33"/>
  </r>
  <r>
    <x v="9"/>
    <x v="5"/>
    <x v="35"/>
  </r>
  <r>
    <x v="0"/>
    <x v="5"/>
    <x v="35"/>
  </r>
  <r>
    <x v="9"/>
    <x v="5"/>
    <x v="30"/>
  </r>
  <r>
    <x v="6"/>
    <x v="5"/>
    <x v="27"/>
  </r>
  <r>
    <x v="6"/>
    <x v="5"/>
    <x v="37"/>
  </r>
  <r>
    <x v="6"/>
    <x v="5"/>
    <x v="37"/>
  </r>
  <r>
    <x v="0"/>
    <x v="5"/>
    <x v="37"/>
  </r>
  <r>
    <x v="0"/>
    <x v="5"/>
    <x v="29"/>
  </r>
  <r>
    <x v="0"/>
    <x v="5"/>
    <x v="32"/>
  </r>
  <r>
    <x v="0"/>
    <x v="5"/>
    <x v="34"/>
  </r>
  <r>
    <x v="0"/>
    <x v="5"/>
    <x v="21"/>
  </r>
  <r>
    <x v="0"/>
    <x v="5"/>
    <x v="28"/>
  </r>
  <r>
    <x v="6"/>
    <x v="5"/>
    <x v="44"/>
  </r>
  <r>
    <x v="482"/>
    <x v="6"/>
    <x v="0"/>
  </r>
  <r>
    <x v="8"/>
    <x v="6"/>
    <x v="1"/>
  </r>
  <r>
    <x v="0"/>
    <x v="6"/>
    <x v="2"/>
  </r>
  <r>
    <x v="48"/>
    <x v="6"/>
    <x v="3"/>
  </r>
  <r>
    <x v="29"/>
    <x v="6"/>
    <x v="4"/>
  </r>
  <r>
    <x v="6"/>
    <x v="6"/>
    <x v="5"/>
  </r>
  <r>
    <x v="16"/>
    <x v="6"/>
    <x v="6"/>
  </r>
  <r>
    <x v="423"/>
    <x v="6"/>
    <x v="7"/>
  </r>
  <r>
    <x v="50"/>
    <x v="6"/>
    <x v="8"/>
  </r>
  <r>
    <x v="6"/>
    <x v="6"/>
    <x v="9"/>
  </r>
  <r>
    <x v="0"/>
    <x v="6"/>
    <x v="10"/>
  </r>
  <r>
    <x v="208"/>
    <x v="6"/>
    <x v="11"/>
  </r>
  <r>
    <x v="0"/>
    <x v="6"/>
    <x v="39"/>
  </r>
  <r>
    <x v="12"/>
    <x v="6"/>
    <x v="39"/>
  </r>
  <r>
    <x v="0"/>
    <x v="6"/>
    <x v="13"/>
  </r>
  <r>
    <x v="0"/>
    <x v="6"/>
    <x v="38"/>
  </r>
  <r>
    <x v="0"/>
    <x v="6"/>
    <x v="26"/>
  </r>
  <r>
    <x v="7"/>
    <x v="6"/>
    <x v="26"/>
  </r>
  <r>
    <x v="9"/>
    <x v="6"/>
    <x v="14"/>
  </r>
  <r>
    <x v="17"/>
    <x v="6"/>
    <x v="25"/>
  </r>
  <r>
    <x v="0"/>
    <x v="6"/>
    <x v="25"/>
  </r>
  <r>
    <x v="9"/>
    <x v="6"/>
    <x v="15"/>
  </r>
  <r>
    <x v="11"/>
    <x v="6"/>
    <x v="36"/>
  </r>
  <r>
    <x v="11"/>
    <x v="6"/>
    <x v="40"/>
  </r>
  <r>
    <x v="7"/>
    <x v="6"/>
    <x v="16"/>
  </r>
  <r>
    <x v="53"/>
    <x v="6"/>
    <x v="33"/>
  </r>
  <r>
    <x v="42"/>
    <x v="6"/>
    <x v="33"/>
  </r>
  <r>
    <x v="10"/>
    <x v="6"/>
    <x v="35"/>
  </r>
  <r>
    <x v="0"/>
    <x v="6"/>
    <x v="35"/>
  </r>
  <r>
    <x v="0"/>
    <x v="6"/>
    <x v="35"/>
  </r>
  <r>
    <x v="4"/>
    <x v="6"/>
    <x v="35"/>
  </r>
  <r>
    <x v="0"/>
    <x v="6"/>
    <x v="30"/>
  </r>
  <r>
    <x v="0"/>
    <x v="6"/>
    <x v="27"/>
  </r>
  <r>
    <x v="2"/>
    <x v="6"/>
    <x v="27"/>
  </r>
  <r>
    <x v="8"/>
    <x v="6"/>
    <x v="37"/>
  </r>
  <r>
    <x v="0"/>
    <x v="6"/>
    <x v="37"/>
  </r>
  <r>
    <x v="0"/>
    <x v="6"/>
    <x v="37"/>
  </r>
  <r>
    <x v="8"/>
    <x v="6"/>
    <x v="29"/>
  </r>
  <r>
    <x v="0"/>
    <x v="6"/>
    <x v="29"/>
  </r>
  <r>
    <x v="0"/>
    <x v="6"/>
    <x v="32"/>
  </r>
  <r>
    <x v="0"/>
    <x v="6"/>
    <x v="34"/>
  </r>
  <r>
    <x v="0"/>
    <x v="6"/>
    <x v="21"/>
  </r>
  <r>
    <x v="0"/>
    <x v="6"/>
    <x v="28"/>
  </r>
  <r>
    <x v="0"/>
    <x v="6"/>
    <x v="44"/>
  </r>
  <r>
    <x v="510"/>
    <x v="7"/>
    <x v="0"/>
  </r>
  <r>
    <x v="0"/>
    <x v="7"/>
    <x v="1"/>
  </r>
  <r>
    <x v="0"/>
    <x v="7"/>
    <x v="2"/>
  </r>
  <r>
    <x v="0"/>
    <x v="7"/>
    <x v="3"/>
  </r>
  <r>
    <x v="0"/>
    <x v="7"/>
    <x v="4"/>
  </r>
  <r>
    <x v="31"/>
    <x v="7"/>
    <x v="5"/>
  </r>
  <r>
    <x v="51"/>
    <x v="7"/>
    <x v="6"/>
  </r>
  <r>
    <x v="24"/>
    <x v="7"/>
    <x v="7"/>
  </r>
  <r>
    <x v="442"/>
    <x v="7"/>
    <x v="8"/>
  </r>
  <r>
    <x v="0"/>
    <x v="7"/>
    <x v="9"/>
  </r>
  <r>
    <x v="112"/>
    <x v="7"/>
    <x v="10"/>
  </r>
  <r>
    <x v="90"/>
    <x v="7"/>
    <x v="11"/>
  </r>
  <r>
    <x v="0"/>
    <x v="7"/>
    <x v="39"/>
  </r>
  <r>
    <x v="0"/>
    <x v="7"/>
    <x v="39"/>
  </r>
  <r>
    <x v="0"/>
    <x v="7"/>
    <x v="13"/>
  </r>
  <r>
    <x v="28"/>
    <x v="7"/>
    <x v="38"/>
  </r>
  <r>
    <x v="0"/>
    <x v="7"/>
    <x v="26"/>
  </r>
  <r>
    <x v="0"/>
    <x v="7"/>
    <x v="26"/>
  </r>
  <r>
    <x v="0"/>
    <x v="7"/>
    <x v="14"/>
  </r>
  <r>
    <x v="0"/>
    <x v="7"/>
    <x v="25"/>
  </r>
  <r>
    <x v="7"/>
    <x v="7"/>
    <x v="25"/>
  </r>
  <r>
    <x v="0"/>
    <x v="7"/>
    <x v="15"/>
  </r>
  <r>
    <x v="0"/>
    <x v="7"/>
    <x v="36"/>
  </r>
  <r>
    <x v="0"/>
    <x v="7"/>
    <x v="40"/>
  </r>
  <r>
    <x v="6"/>
    <x v="7"/>
    <x v="40"/>
  </r>
  <r>
    <x v="0"/>
    <x v="7"/>
    <x v="16"/>
  </r>
  <r>
    <x v="107"/>
    <x v="7"/>
    <x v="33"/>
  </r>
  <r>
    <x v="147"/>
    <x v="7"/>
    <x v="33"/>
  </r>
  <r>
    <x v="0"/>
    <x v="7"/>
    <x v="35"/>
  </r>
  <r>
    <x v="0"/>
    <x v="7"/>
    <x v="35"/>
  </r>
  <r>
    <x v="0"/>
    <x v="7"/>
    <x v="35"/>
  </r>
  <r>
    <x v="0"/>
    <x v="7"/>
    <x v="35"/>
  </r>
  <r>
    <x v="0"/>
    <x v="7"/>
    <x v="30"/>
  </r>
  <r>
    <x v="0"/>
    <x v="7"/>
    <x v="27"/>
  </r>
  <r>
    <x v="0"/>
    <x v="7"/>
    <x v="27"/>
  </r>
  <r>
    <x v="0"/>
    <x v="7"/>
    <x v="37"/>
  </r>
  <r>
    <x v="0"/>
    <x v="7"/>
    <x v="37"/>
  </r>
  <r>
    <x v="0"/>
    <x v="7"/>
    <x v="37"/>
  </r>
  <r>
    <x v="0"/>
    <x v="7"/>
    <x v="29"/>
  </r>
  <r>
    <x v="0"/>
    <x v="7"/>
    <x v="29"/>
  </r>
  <r>
    <x v="0"/>
    <x v="7"/>
    <x v="32"/>
  </r>
  <r>
    <x v="0"/>
    <x v="7"/>
    <x v="34"/>
  </r>
  <r>
    <x v="0"/>
    <x v="7"/>
    <x v="21"/>
  </r>
  <r>
    <x v="0"/>
    <x v="7"/>
    <x v="28"/>
  </r>
  <r>
    <x v="6"/>
    <x v="7"/>
    <x v="36"/>
  </r>
  <r>
    <x v="0"/>
    <x v="7"/>
    <x v="44"/>
  </r>
  <r>
    <x v="474"/>
    <x v="8"/>
    <x v="0"/>
  </r>
  <r>
    <x v="11"/>
    <x v="8"/>
    <x v="1"/>
  </r>
  <r>
    <x v="0"/>
    <x v="8"/>
    <x v="2"/>
  </r>
  <r>
    <x v="0"/>
    <x v="8"/>
    <x v="3"/>
  </r>
  <r>
    <x v="16"/>
    <x v="8"/>
    <x v="4"/>
  </r>
  <r>
    <x v="0"/>
    <x v="8"/>
    <x v="5"/>
  </r>
  <r>
    <x v="0"/>
    <x v="8"/>
    <x v="6"/>
  </r>
  <r>
    <x v="0"/>
    <x v="8"/>
    <x v="7"/>
  </r>
  <r>
    <x v="0"/>
    <x v="8"/>
    <x v="8"/>
  </r>
  <r>
    <x v="438"/>
    <x v="8"/>
    <x v="9"/>
  </r>
  <r>
    <x v="8"/>
    <x v="8"/>
    <x v="10"/>
  </r>
  <r>
    <x v="0"/>
    <x v="8"/>
    <x v="11"/>
  </r>
  <r>
    <x v="43"/>
    <x v="8"/>
    <x v="39"/>
  </r>
  <r>
    <x v="92"/>
    <x v="8"/>
    <x v="39"/>
  </r>
  <r>
    <x v="33"/>
    <x v="8"/>
    <x v="13"/>
  </r>
  <r>
    <x v="129"/>
    <x v="8"/>
    <x v="38"/>
  </r>
  <r>
    <x v="16"/>
    <x v="8"/>
    <x v="26"/>
  </r>
  <r>
    <x v="124"/>
    <x v="8"/>
    <x v="26"/>
  </r>
  <r>
    <x v="68"/>
    <x v="8"/>
    <x v="14"/>
  </r>
  <r>
    <x v="25"/>
    <x v="8"/>
    <x v="25"/>
  </r>
  <r>
    <x v="44"/>
    <x v="8"/>
    <x v="25"/>
  </r>
  <r>
    <x v="15"/>
    <x v="8"/>
    <x v="15"/>
  </r>
  <r>
    <x v="0"/>
    <x v="8"/>
    <x v="36"/>
  </r>
  <r>
    <x v="0"/>
    <x v="8"/>
    <x v="40"/>
  </r>
  <r>
    <x v="0"/>
    <x v="8"/>
    <x v="40"/>
  </r>
  <r>
    <x v="0"/>
    <x v="8"/>
    <x v="16"/>
  </r>
  <r>
    <x v="22"/>
    <x v="8"/>
    <x v="33"/>
  </r>
  <r>
    <x v="0"/>
    <x v="8"/>
    <x v="33"/>
  </r>
  <r>
    <x v="0"/>
    <x v="8"/>
    <x v="35"/>
  </r>
  <r>
    <x v="0"/>
    <x v="8"/>
    <x v="35"/>
  </r>
  <r>
    <x v="0"/>
    <x v="8"/>
    <x v="35"/>
  </r>
  <r>
    <x v="7"/>
    <x v="8"/>
    <x v="35"/>
  </r>
  <r>
    <x v="0"/>
    <x v="8"/>
    <x v="30"/>
  </r>
  <r>
    <x v="0"/>
    <x v="8"/>
    <x v="27"/>
  </r>
  <r>
    <x v="0"/>
    <x v="8"/>
    <x v="27"/>
  </r>
  <r>
    <x v="9"/>
    <x v="8"/>
    <x v="37"/>
  </r>
  <r>
    <x v="0"/>
    <x v="8"/>
    <x v="37"/>
  </r>
  <r>
    <x v="21"/>
    <x v="8"/>
    <x v="37"/>
  </r>
  <r>
    <x v="0"/>
    <x v="8"/>
    <x v="29"/>
  </r>
  <r>
    <x v="8"/>
    <x v="8"/>
    <x v="29"/>
  </r>
  <r>
    <x v="0"/>
    <x v="8"/>
    <x v="29"/>
  </r>
  <r>
    <x v="0"/>
    <x v="8"/>
    <x v="32"/>
  </r>
  <r>
    <x v="0"/>
    <x v="8"/>
    <x v="34"/>
  </r>
  <r>
    <x v="238"/>
    <x v="8"/>
    <x v="38"/>
  </r>
  <r>
    <x v="0"/>
    <x v="8"/>
    <x v="21"/>
  </r>
  <r>
    <x v="0"/>
    <x v="8"/>
    <x v="28"/>
  </r>
  <r>
    <x v="0"/>
    <x v="8"/>
    <x v="36"/>
  </r>
  <r>
    <x v="0"/>
    <x v="8"/>
    <x v="44"/>
  </r>
  <r>
    <x v="511"/>
    <x v="9"/>
    <x v="0"/>
  </r>
  <r>
    <x v="5"/>
    <x v="9"/>
    <x v="1"/>
  </r>
  <r>
    <x v="0"/>
    <x v="9"/>
    <x v="2"/>
  </r>
  <r>
    <x v="17"/>
    <x v="9"/>
    <x v="3"/>
  </r>
  <r>
    <x v="0"/>
    <x v="9"/>
    <x v="4"/>
  </r>
  <r>
    <x v="14"/>
    <x v="9"/>
    <x v="5"/>
  </r>
  <r>
    <x v="17"/>
    <x v="9"/>
    <x v="6"/>
  </r>
  <r>
    <x v="0"/>
    <x v="9"/>
    <x v="7"/>
  </r>
  <r>
    <x v="39"/>
    <x v="9"/>
    <x v="8"/>
  </r>
  <r>
    <x v="13"/>
    <x v="9"/>
    <x v="9"/>
  </r>
  <r>
    <x v="447"/>
    <x v="9"/>
    <x v="10"/>
  </r>
  <r>
    <x v="16"/>
    <x v="9"/>
    <x v="11"/>
  </r>
  <r>
    <x v="15"/>
    <x v="9"/>
    <x v="12"/>
  </r>
  <r>
    <x v="0"/>
    <x v="9"/>
    <x v="39"/>
  </r>
  <r>
    <x v="0"/>
    <x v="9"/>
    <x v="39"/>
  </r>
  <r>
    <x v="0"/>
    <x v="9"/>
    <x v="13"/>
  </r>
  <r>
    <x v="142"/>
    <x v="9"/>
    <x v="38"/>
  </r>
  <r>
    <x v="0"/>
    <x v="9"/>
    <x v="26"/>
  </r>
  <r>
    <x v="23"/>
    <x v="9"/>
    <x v="26"/>
  </r>
  <r>
    <x v="0"/>
    <x v="9"/>
    <x v="14"/>
  </r>
  <r>
    <x v="17"/>
    <x v="9"/>
    <x v="25"/>
  </r>
  <r>
    <x v="7"/>
    <x v="9"/>
    <x v="25"/>
  </r>
  <r>
    <x v="6"/>
    <x v="9"/>
    <x v="15"/>
  </r>
  <r>
    <x v="27"/>
    <x v="9"/>
    <x v="36"/>
  </r>
  <r>
    <x v="9"/>
    <x v="9"/>
    <x v="40"/>
  </r>
  <r>
    <x v="0"/>
    <x v="9"/>
    <x v="40"/>
  </r>
  <r>
    <x v="9"/>
    <x v="9"/>
    <x v="16"/>
  </r>
  <r>
    <x v="327"/>
    <x v="9"/>
    <x v="33"/>
  </r>
  <r>
    <x v="218"/>
    <x v="9"/>
    <x v="33"/>
  </r>
  <r>
    <x v="0"/>
    <x v="9"/>
    <x v="35"/>
  </r>
  <r>
    <x v="0"/>
    <x v="9"/>
    <x v="35"/>
  </r>
  <r>
    <x v="0"/>
    <x v="9"/>
    <x v="35"/>
  </r>
  <r>
    <x v="0"/>
    <x v="9"/>
    <x v="35"/>
  </r>
  <r>
    <x v="0"/>
    <x v="9"/>
    <x v="30"/>
  </r>
  <r>
    <x v="0"/>
    <x v="9"/>
    <x v="27"/>
  </r>
  <r>
    <x v="0"/>
    <x v="9"/>
    <x v="27"/>
  </r>
  <r>
    <x v="5"/>
    <x v="9"/>
    <x v="37"/>
  </r>
  <r>
    <x v="0"/>
    <x v="9"/>
    <x v="37"/>
  </r>
  <r>
    <x v="0"/>
    <x v="9"/>
    <x v="37"/>
  </r>
  <r>
    <x v="0"/>
    <x v="9"/>
    <x v="29"/>
  </r>
  <r>
    <x v="0"/>
    <x v="9"/>
    <x v="29"/>
  </r>
  <r>
    <x v="6"/>
    <x v="9"/>
    <x v="29"/>
  </r>
  <r>
    <x v="0"/>
    <x v="9"/>
    <x v="32"/>
  </r>
  <r>
    <x v="0"/>
    <x v="9"/>
    <x v="34"/>
  </r>
  <r>
    <x v="13"/>
    <x v="9"/>
    <x v="38"/>
  </r>
  <r>
    <x v="0"/>
    <x v="9"/>
    <x v="21"/>
  </r>
  <r>
    <x v="0"/>
    <x v="9"/>
    <x v="28"/>
  </r>
  <r>
    <x v="0"/>
    <x v="9"/>
    <x v="36"/>
  </r>
  <r>
    <x v="0"/>
    <x v="9"/>
    <x v="44"/>
  </r>
  <r>
    <x v="522"/>
    <x v="10"/>
    <x v="0"/>
  </r>
  <r>
    <x v="0"/>
    <x v="10"/>
    <x v="1"/>
  </r>
  <r>
    <x v="0"/>
    <x v="10"/>
    <x v="2"/>
  </r>
  <r>
    <x v="33"/>
    <x v="10"/>
    <x v="3"/>
  </r>
  <r>
    <x v="107"/>
    <x v="10"/>
    <x v="4"/>
  </r>
  <r>
    <x v="32"/>
    <x v="10"/>
    <x v="5"/>
  </r>
  <r>
    <x v="0"/>
    <x v="10"/>
    <x v="6"/>
  </r>
  <r>
    <x v="134"/>
    <x v="10"/>
    <x v="7"/>
  </r>
  <r>
    <x v="19"/>
    <x v="10"/>
    <x v="8"/>
  </r>
  <r>
    <x v="0"/>
    <x v="10"/>
    <x v="9"/>
  </r>
  <r>
    <x v="86"/>
    <x v="10"/>
    <x v="10"/>
  </r>
  <r>
    <x v="450"/>
    <x v="10"/>
    <x v="11"/>
  </r>
  <r>
    <x v="8"/>
    <x v="10"/>
    <x v="12"/>
  </r>
  <r>
    <x v="0"/>
    <x v="10"/>
    <x v="39"/>
  </r>
  <r>
    <x v="2"/>
    <x v="10"/>
    <x v="39"/>
  </r>
  <r>
    <x v="0"/>
    <x v="10"/>
    <x v="13"/>
  </r>
  <r>
    <x v="29"/>
    <x v="10"/>
    <x v="38"/>
  </r>
  <r>
    <x v="0"/>
    <x v="10"/>
    <x v="26"/>
  </r>
  <r>
    <x v="48"/>
    <x v="10"/>
    <x v="26"/>
  </r>
  <r>
    <x v="7"/>
    <x v="10"/>
    <x v="14"/>
  </r>
  <r>
    <x v="8"/>
    <x v="10"/>
    <x v="25"/>
  </r>
  <r>
    <x v="0"/>
    <x v="10"/>
    <x v="25"/>
  </r>
  <r>
    <x v="2"/>
    <x v="10"/>
    <x v="15"/>
  </r>
  <r>
    <x v="0"/>
    <x v="10"/>
    <x v="36"/>
  </r>
  <r>
    <x v="0"/>
    <x v="10"/>
    <x v="40"/>
  </r>
  <r>
    <x v="15"/>
    <x v="10"/>
    <x v="40"/>
  </r>
  <r>
    <x v="24"/>
    <x v="10"/>
    <x v="16"/>
  </r>
  <r>
    <x v="308"/>
    <x v="10"/>
    <x v="33"/>
  </r>
  <r>
    <x v="346"/>
    <x v="10"/>
    <x v="33"/>
  </r>
  <r>
    <x v="0"/>
    <x v="10"/>
    <x v="35"/>
  </r>
  <r>
    <x v="0"/>
    <x v="10"/>
    <x v="35"/>
  </r>
  <r>
    <x v="0"/>
    <x v="10"/>
    <x v="35"/>
  </r>
  <r>
    <x v="11"/>
    <x v="10"/>
    <x v="35"/>
  </r>
  <r>
    <x v="0"/>
    <x v="10"/>
    <x v="30"/>
  </r>
  <r>
    <x v="0"/>
    <x v="10"/>
    <x v="27"/>
  </r>
  <r>
    <x v="9"/>
    <x v="10"/>
    <x v="27"/>
  </r>
  <r>
    <x v="14"/>
    <x v="10"/>
    <x v="31"/>
  </r>
  <r>
    <x v="34"/>
    <x v="10"/>
    <x v="37"/>
  </r>
  <r>
    <x v="0"/>
    <x v="10"/>
    <x v="37"/>
  </r>
  <r>
    <x v="0"/>
    <x v="10"/>
    <x v="37"/>
  </r>
  <r>
    <x v="0"/>
    <x v="10"/>
    <x v="29"/>
  </r>
  <r>
    <x v="6"/>
    <x v="10"/>
    <x v="29"/>
  </r>
  <r>
    <x v="0"/>
    <x v="10"/>
    <x v="29"/>
  </r>
  <r>
    <x v="11"/>
    <x v="10"/>
    <x v="29"/>
  </r>
  <r>
    <x v="12"/>
    <x v="10"/>
    <x v="41"/>
  </r>
  <r>
    <x v="13"/>
    <x v="10"/>
    <x v="32"/>
  </r>
  <r>
    <x v="0"/>
    <x v="10"/>
    <x v="34"/>
  </r>
  <r>
    <x v="0"/>
    <x v="10"/>
    <x v="38"/>
  </r>
  <r>
    <x v="0"/>
    <x v="10"/>
    <x v="21"/>
  </r>
  <r>
    <x v="0"/>
    <x v="10"/>
    <x v="28"/>
  </r>
  <r>
    <x v="16"/>
    <x v="10"/>
    <x v="36"/>
  </r>
  <r>
    <x v="9"/>
    <x v="10"/>
    <x v="44"/>
  </r>
  <r>
    <x v="492"/>
    <x v="11"/>
    <x v="0"/>
  </r>
  <r>
    <x v="0"/>
    <x v="11"/>
    <x v="1"/>
  </r>
  <r>
    <x v="11"/>
    <x v="11"/>
    <x v="2"/>
  </r>
  <r>
    <x v="23"/>
    <x v="11"/>
    <x v="3"/>
  </r>
  <r>
    <x v="0"/>
    <x v="11"/>
    <x v="4"/>
  </r>
  <r>
    <x v="254"/>
    <x v="11"/>
    <x v="5"/>
  </r>
  <r>
    <x v="11"/>
    <x v="11"/>
    <x v="6"/>
  </r>
  <r>
    <x v="10"/>
    <x v="11"/>
    <x v="7"/>
  </r>
  <r>
    <x v="0"/>
    <x v="11"/>
    <x v="8"/>
  </r>
  <r>
    <x v="0"/>
    <x v="11"/>
    <x v="9"/>
  </r>
  <r>
    <x v="38"/>
    <x v="11"/>
    <x v="10"/>
  </r>
  <r>
    <x v="122"/>
    <x v="11"/>
    <x v="11"/>
  </r>
  <r>
    <x v="420"/>
    <x v="11"/>
    <x v="12"/>
  </r>
  <r>
    <x v="0"/>
    <x v="11"/>
    <x v="39"/>
  </r>
  <r>
    <x v="7"/>
    <x v="11"/>
    <x v="39"/>
  </r>
  <r>
    <x v="0"/>
    <x v="11"/>
    <x v="13"/>
  </r>
  <r>
    <x v="9"/>
    <x v="11"/>
    <x v="38"/>
  </r>
  <r>
    <x v="0"/>
    <x v="11"/>
    <x v="26"/>
  </r>
  <r>
    <x v="7"/>
    <x v="11"/>
    <x v="26"/>
  </r>
  <r>
    <x v="12"/>
    <x v="11"/>
    <x v="14"/>
  </r>
  <r>
    <x v="0"/>
    <x v="11"/>
    <x v="25"/>
  </r>
  <r>
    <x v="2"/>
    <x v="11"/>
    <x v="25"/>
  </r>
  <r>
    <x v="14"/>
    <x v="11"/>
    <x v="15"/>
  </r>
  <r>
    <x v="14"/>
    <x v="11"/>
    <x v="36"/>
  </r>
  <r>
    <x v="0"/>
    <x v="11"/>
    <x v="40"/>
  </r>
  <r>
    <x v="0"/>
    <x v="11"/>
    <x v="40"/>
  </r>
  <r>
    <x v="24"/>
    <x v="11"/>
    <x v="16"/>
  </r>
  <r>
    <x v="269"/>
    <x v="11"/>
    <x v="33"/>
  </r>
  <r>
    <x v="281"/>
    <x v="11"/>
    <x v="33"/>
  </r>
  <r>
    <x v="9"/>
    <x v="11"/>
    <x v="35"/>
  </r>
  <r>
    <x v="0"/>
    <x v="11"/>
    <x v="35"/>
  </r>
  <r>
    <x v="0"/>
    <x v="11"/>
    <x v="35"/>
  </r>
  <r>
    <x v="0"/>
    <x v="11"/>
    <x v="35"/>
  </r>
  <r>
    <x v="0"/>
    <x v="11"/>
    <x v="30"/>
  </r>
  <r>
    <x v="0"/>
    <x v="11"/>
    <x v="27"/>
  </r>
  <r>
    <x v="0"/>
    <x v="11"/>
    <x v="27"/>
  </r>
  <r>
    <x v="10"/>
    <x v="11"/>
    <x v="31"/>
  </r>
  <r>
    <x v="3"/>
    <x v="11"/>
    <x v="31"/>
  </r>
  <r>
    <x v="0"/>
    <x v="11"/>
    <x v="37"/>
  </r>
  <r>
    <x v="7"/>
    <x v="11"/>
    <x v="37"/>
  </r>
  <r>
    <x v="0"/>
    <x v="11"/>
    <x v="37"/>
  </r>
  <r>
    <x v="0"/>
    <x v="11"/>
    <x v="29"/>
  </r>
  <r>
    <x v="0"/>
    <x v="11"/>
    <x v="29"/>
  </r>
  <r>
    <x v="0"/>
    <x v="11"/>
    <x v="29"/>
  </r>
  <r>
    <x v="6"/>
    <x v="11"/>
    <x v="29"/>
  </r>
  <r>
    <x v="6"/>
    <x v="11"/>
    <x v="41"/>
  </r>
  <r>
    <x v="0"/>
    <x v="11"/>
    <x v="32"/>
  </r>
  <r>
    <x v="0"/>
    <x v="11"/>
    <x v="34"/>
  </r>
  <r>
    <x v="0"/>
    <x v="11"/>
    <x v="38"/>
  </r>
  <r>
    <x v="0"/>
    <x v="11"/>
    <x v="21"/>
  </r>
  <r>
    <x v="0"/>
    <x v="11"/>
    <x v="28"/>
  </r>
  <r>
    <x v="0"/>
    <x v="11"/>
    <x v="36"/>
  </r>
  <r>
    <x v="0"/>
    <x v="11"/>
    <x v="44"/>
  </r>
  <r>
    <x v="473"/>
    <x v="38"/>
    <x v="0"/>
  </r>
  <r>
    <x v="0"/>
    <x v="38"/>
    <x v="1"/>
  </r>
  <r>
    <x v="7"/>
    <x v="38"/>
    <x v="2"/>
  </r>
  <r>
    <x v="0"/>
    <x v="38"/>
    <x v="3"/>
  </r>
  <r>
    <x v="0"/>
    <x v="38"/>
    <x v="4"/>
  </r>
  <r>
    <x v="0"/>
    <x v="38"/>
    <x v="5"/>
  </r>
  <r>
    <x v="0"/>
    <x v="38"/>
    <x v="6"/>
  </r>
  <r>
    <x v="0"/>
    <x v="38"/>
    <x v="7"/>
  </r>
  <r>
    <x v="0"/>
    <x v="38"/>
    <x v="8"/>
  </r>
  <r>
    <x v="17"/>
    <x v="38"/>
    <x v="9"/>
  </r>
  <r>
    <x v="0"/>
    <x v="38"/>
    <x v="10"/>
  </r>
  <r>
    <x v="0"/>
    <x v="38"/>
    <x v="11"/>
  </r>
  <r>
    <x v="0"/>
    <x v="38"/>
    <x v="12"/>
  </r>
  <r>
    <x v="433"/>
    <x v="38"/>
    <x v="39"/>
  </r>
  <r>
    <x v="334"/>
    <x v="38"/>
    <x v="39"/>
  </r>
  <r>
    <x v="146"/>
    <x v="38"/>
    <x v="13"/>
  </r>
  <r>
    <x v="15"/>
    <x v="38"/>
    <x v="38"/>
  </r>
  <r>
    <x v="8"/>
    <x v="38"/>
    <x v="26"/>
  </r>
  <r>
    <x v="24"/>
    <x v="38"/>
    <x v="26"/>
  </r>
  <r>
    <x v="75"/>
    <x v="38"/>
    <x v="14"/>
  </r>
  <r>
    <x v="0"/>
    <x v="38"/>
    <x v="25"/>
  </r>
  <r>
    <x v="22"/>
    <x v="38"/>
    <x v="25"/>
  </r>
  <r>
    <x v="18"/>
    <x v="38"/>
    <x v="15"/>
  </r>
  <r>
    <x v="0"/>
    <x v="38"/>
    <x v="36"/>
  </r>
  <r>
    <x v="0"/>
    <x v="38"/>
    <x v="40"/>
  </r>
  <r>
    <x v="0"/>
    <x v="38"/>
    <x v="40"/>
  </r>
  <r>
    <x v="0"/>
    <x v="38"/>
    <x v="16"/>
  </r>
  <r>
    <x v="0"/>
    <x v="38"/>
    <x v="33"/>
  </r>
  <r>
    <x v="0"/>
    <x v="38"/>
    <x v="33"/>
  </r>
  <r>
    <x v="9"/>
    <x v="38"/>
    <x v="35"/>
  </r>
  <r>
    <x v="0"/>
    <x v="38"/>
    <x v="35"/>
  </r>
  <r>
    <x v="0"/>
    <x v="38"/>
    <x v="35"/>
  </r>
  <r>
    <x v="0"/>
    <x v="38"/>
    <x v="35"/>
  </r>
  <r>
    <x v="0"/>
    <x v="38"/>
    <x v="30"/>
  </r>
  <r>
    <x v="0"/>
    <x v="38"/>
    <x v="27"/>
  </r>
  <r>
    <x v="0"/>
    <x v="38"/>
    <x v="27"/>
  </r>
  <r>
    <x v="0"/>
    <x v="38"/>
    <x v="31"/>
  </r>
  <r>
    <x v="0"/>
    <x v="38"/>
    <x v="31"/>
  </r>
  <r>
    <x v="0"/>
    <x v="38"/>
    <x v="37"/>
  </r>
  <r>
    <x v="0"/>
    <x v="38"/>
    <x v="37"/>
  </r>
  <r>
    <x v="0"/>
    <x v="38"/>
    <x v="37"/>
  </r>
  <r>
    <x v="7"/>
    <x v="38"/>
    <x v="29"/>
  </r>
  <r>
    <x v="0"/>
    <x v="38"/>
    <x v="29"/>
  </r>
  <r>
    <x v="0"/>
    <x v="38"/>
    <x v="29"/>
  </r>
  <r>
    <x v="0"/>
    <x v="38"/>
    <x v="29"/>
  </r>
  <r>
    <x v="0"/>
    <x v="38"/>
    <x v="29"/>
  </r>
  <r>
    <x v="0"/>
    <x v="38"/>
    <x v="41"/>
  </r>
  <r>
    <x v="0"/>
    <x v="38"/>
    <x v="32"/>
  </r>
  <r>
    <x v="0"/>
    <x v="38"/>
    <x v="34"/>
  </r>
  <r>
    <x v="23"/>
    <x v="38"/>
    <x v="38"/>
  </r>
  <r>
    <x v="0"/>
    <x v="38"/>
    <x v="21"/>
  </r>
  <r>
    <x v="0"/>
    <x v="38"/>
    <x v="28"/>
  </r>
  <r>
    <x v="7"/>
    <x v="38"/>
    <x v="24"/>
  </r>
  <r>
    <x v="0"/>
    <x v="38"/>
    <x v="36"/>
  </r>
  <r>
    <x v="0"/>
    <x v="38"/>
    <x v="44"/>
  </r>
  <r>
    <x v="548"/>
    <x v="38"/>
    <x v="0"/>
  </r>
  <r>
    <x v="12"/>
    <x v="38"/>
    <x v="1"/>
  </r>
  <r>
    <x v="0"/>
    <x v="38"/>
    <x v="2"/>
  </r>
  <r>
    <x v="10"/>
    <x v="38"/>
    <x v="3"/>
  </r>
  <r>
    <x v="46"/>
    <x v="38"/>
    <x v="4"/>
  </r>
  <r>
    <x v="0"/>
    <x v="38"/>
    <x v="5"/>
  </r>
  <r>
    <x v="0"/>
    <x v="38"/>
    <x v="6"/>
  </r>
  <r>
    <x v="0"/>
    <x v="38"/>
    <x v="7"/>
  </r>
  <r>
    <x v="0"/>
    <x v="38"/>
    <x v="8"/>
  </r>
  <r>
    <x v="103"/>
    <x v="38"/>
    <x v="9"/>
  </r>
  <r>
    <x v="10"/>
    <x v="38"/>
    <x v="10"/>
  </r>
  <r>
    <x v="0"/>
    <x v="38"/>
    <x v="11"/>
  </r>
  <r>
    <x v="6"/>
    <x v="38"/>
    <x v="12"/>
  </r>
  <r>
    <x v="411"/>
    <x v="38"/>
    <x v="39"/>
  </r>
  <r>
    <x v="502"/>
    <x v="38"/>
    <x v="39"/>
  </r>
  <r>
    <x v="353"/>
    <x v="38"/>
    <x v="13"/>
  </r>
  <r>
    <x v="22"/>
    <x v="38"/>
    <x v="38"/>
  </r>
  <r>
    <x v="26"/>
    <x v="38"/>
    <x v="26"/>
  </r>
  <r>
    <x v="47"/>
    <x v="38"/>
    <x v="26"/>
  </r>
  <r>
    <x v="276"/>
    <x v="38"/>
    <x v="14"/>
  </r>
  <r>
    <x v="32"/>
    <x v="38"/>
    <x v="25"/>
  </r>
  <r>
    <x v="108"/>
    <x v="38"/>
    <x v="25"/>
  </r>
  <r>
    <x v="82"/>
    <x v="38"/>
    <x v="15"/>
  </r>
  <r>
    <x v="0"/>
    <x v="38"/>
    <x v="36"/>
  </r>
  <r>
    <x v="0"/>
    <x v="38"/>
    <x v="40"/>
  </r>
  <r>
    <x v="0"/>
    <x v="38"/>
    <x v="40"/>
  </r>
  <r>
    <x v="0"/>
    <x v="38"/>
    <x v="16"/>
  </r>
  <r>
    <x v="9"/>
    <x v="38"/>
    <x v="33"/>
  </r>
  <r>
    <x v="0"/>
    <x v="38"/>
    <x v="33"/>
  </r>
  <r>
    <x v="0"/>
    <x v="38"/>
    <x v="35"/>
  </r>
  <r>
    <x v="0"/>
    <x v="38"/>
    <x v="35"/>
  </r>
  <r>
    <x v="12"/>
    <x v="38"/>
    <x v="35"/>
  </r>
  <r>
    <x v="0"/>
    <x v="38"/>
    <x v="35"/>
  </r>
  <r>
    <x v="0"/>
    <x v="38"/>
    <x v="30"/>
  </r>
  <r>
    <x v="0"/>
    <x v="38"/>
    <x v="27"/>
  </r>
  <r>
    <x v="0"/>
    <x v="38"/>
    <x v="27"/>
  </r>
  <r>
    <x v="0"/>
    <x v="38"/>
    <x v="31"/>
  </r>
  <r>
    <x v="0"/>
    <x v="38"/>
    <x v="31"/>
  </r>
  <r>
    <x v="7"/>
    <x v="38"/>
    <x v="37"/>
  </r>
  <r>
    <x v="0"/>
    <x v="38"/>
    <x v="37"/>
  </r>
  <r>
    <x v="20"/>
    <x v="38"/>
    <x v="37"/>
  </r>
  <r>
    <x v="5"/>
    <x v="38"/>
    <x v="29"/>
  </r>
  <r>
    <x v="0"/>
    <x v="38"/>
    <x v="29"/>
  </r>
  <r>
    <x v="0"/>
    <x v="38"/>
    <x v="29"/>
  </r>
  <r>
    <x v="0"/>
    <x v="38"/>
    <x v="29"/>
  </r>
  <r>
    <x v="0"/>
    <x v="38"/>
    <x v="29"/>
  </r>
  <r>
    <x v="0"/>
    <x v="38"/>
    <x v="41"/>
  </r>
  <r>
    <x v="10"/>
    <x v="38"/>
    <x v="32"/>
  </r>
  <r>
    <x v="0"/>
    <x v="38"/>
    <x v="34"/>
  </r>
  <r>
    <x v="75"/>
    <x v="38"/>
    <x v="38"/>
  </r>
  <r>
    <x v="0"/>
    <x v="38"/>
    <x v="21"/>
  </r>
  <r>
    <x v="0"/>
    <x v="38"/>
    <x v="28"/>
  </r>
  <r>
    <x v="0"/>
    <x v="38"/>
    <x v="24"/>
  </r>
  <r>
    <x v="10"/>
    <x v="38"/>
    <x v="36"/>
  </r>
  <r>
    <x v="0"/>
    <x v="38"/>
    <x v="44"/>
  </r>
  <r>
    <x v="533"/>
    <x v="12"/>
    <x v="0"/>
  </r>
  <r>
    <x v="0"/>
    <x v="12"/>
    <x v="1"/>
  </r>
  <r>
    <x v="0"/>
    <x v="12"/>
    <x v="2"/>
  </r>
  <r>
    <x v="8"/>
    <x v="12"/>
    <x v="3"/>
  </r>
  <r>
    <x v="10"/>
    <x v="12"/>
    <x v="4"/>
  </r>
  <r>
    <x v="0"/>
    <x v="12"/>
    <x v="5"/>
  </r>
  <r>
    <x v="0"/>
    <x v="12"/>
    <x v="6"/>
  </r>
  <r>
    <x v="0"/>
    <x v="12"/>
    <x v="7"/>
  </r>
  <r>
    <x v="15"/>
    <x v="12"/>
    <x v="8"/>
  </r>
  <r>
    <x v="8"/>
    <x v="12"/>
    <x v="9"/>
  </r>
  <r>
    <x v="5"/>
    <x v="12"/>
    <x v="10"/>
  </r>
  <r>
    <x v="0"/>
    <x v="12"/>
    <x v="11"/>
  </r>
  <r>
    <x v="0"/>
    <x v="12"/>
    <x v="12"/>
  </r>
  <r>
    <x v="38"/>
    <x v="12"/>
    <x v="39"/>
  </r>
  <r>
    <x v="162"/>
    <x v="12"/>
    <x v="39"/>
  </r>
  <r>
    <x v="506"/>
    <x v="12"/>
    <x v="13"/>
  </r>
  <r>
    <x v="28"/>
    <x v="12"/>
    <x v="38"/>
  </r>
  <r>
    <x v="108"/>
    <x v="12"/>
    <x v="26"/>
  </r>
  <r>
    <x v="178"/>
    <x v="12"/>
    <x v="26"/>
  </r>
  <r>
    <x v="425"/>
    <x v="12"/>
    <x v="14"/>
  </r>
  <r>
    <x v="107"/>
    <x v="12"/>
    <x v="25"/>
  </r>
  <r>
    <x v="202"/>
    <x v="12"/>
    <x v="25"/>
  </r>
  <r>
    <x v="205"/>
    <x v="12"/>
    <x v="15"/>
  </r>
  <r>
    <x v="0"/>
    <x v="12"/>
    <x v="36"/>
  </r>
  <r>
    <x v="8"/>
    <x v="12"/>
    <x v="40"/>
  </r>
  <r>
    <x v="0"/>
    <x v="12"/>
    <x v="40"/>
  </r>
  <r>
    <x v="0"/>
    <x v="12"/>
    <x v="16"/>
  </r>
  <r>
    <x v="25"/>
    <x v="12"/>
    <x v="33"/>
  </r>
  <r>
    <x v="0"/>
    <x v="12"/>
    <x v="33"/>
  </r>
  <r>
    <x v="0"/>
    <x v="12"/>
    <x v="35"/>
  </r>
  <r>
    <x v="0"/>
    <x v="12"/>
    <x v="35"/>
  </r>
  <r>
    <x v="0"/>
    <x v="12"/>
    <x v="35"/>
  </r>
  <r>
    <x v="12"/>
    <x v="12"/>
    <x v="35"/>
  </r>
  <r>
    <x v="0"/>
    <x v="12"/>
    <x v="30"/>
  </r>
  <r>
    <x v="0"/>
    <x v="12"/>
    <x v="27"/>
  </r>
  <r>
    <x v="7"/>
    <x v="12"/>
    <x v="27"/>
  </r>
  <r>
    <x v="0"/>
    <x v="12"/>
    <x v="31"/>
  </r>
  <r>
    <x v="0"/>
    <x v="12"/>
    <x v="31"/>
  </r>
  <r>
    <x v="11"/>
    <x v="12"/>
    <x v="37"/>
  </r>
  <r>
    <x v="16"/>
    <x v="12"/>
    <x v="37"/>
  </r>
  <r>
    <x v="0"/>
    <x v="12"/>
    <x v="37"/>
  </r>
  <r>
    <x v="0"/>
    <x v="12"/>
    <x v="29"/>
  </r>
  <r>
    <x v="0"/>
    <x v="12"/>
    <x v="29"/>
  </r>
  <r>
    <x v="0"/>
    <x v="12"/>
    <x v="29"/>
  </r>
  <r>
    <x v="8"/>
    <x v="12"/>
    <x v="29"/>
  </r>
  <r>
    <x v="11"/>
    <x v="12"/>
    <x v="29"/>
  </r>
  <r>
    <x v="0"/>
    <x v="12"/>
    <x v="41"/>
  </r>
  <r>
    <x v="0"/>
    <x v="12"/>
    <x v="32"/>
  </r>
  <r>
    <x v="0"/>
    <x v="12"/>
    <x v="34"/>
  </r>
  <r>
    <x v="51"/>
    <x v="12"/>
    <x v="38"/>
  </r>
  <r>
    <x v="0"/>
    <x v="12"/>
    <x v="21"/>
  </r>
  <r>
    <x v="0"/>
    <x v="12"/>
    <x v="28"/>
  </r>
  <r>
    <x v="0"/>
    <x v="12"/>
    <x v="24"/>
  </r>
  <r>
    <x v="0"/>
    <x v="12"/>
    <x v="36"/>
  </r>
  <r>
    <x v="41"/>
    <x v="12"/>
    <x v="44"/>
  </r>
  <r>
    <x v="543"/>
    <x v="37"/>
    <x v="0"/>
  </r>
  <r>
    <x v="7"/>
    <x v="37"/>
    <x v="1"/>
  </r>
  <r>
    <x v="0"/>
    <x v="37"/>
    <x v="2"/>
  </r>
  <r>
    <x v="0"/>
    <x v="37"/>
    <x v="3"/>
  </r>
  <r>
    <x v="0"/>
    <x v="37"/>
    <x v="4"/>
  </r>
  <r>
    <x v="0"/>
    <x v="37"/>
    <x v="5"/>
  </r>
  <r>
    <x v="0"/>
    <x v="37"/>
    <x v="6"/>
  </r>
  <r>
    <x v="0"/>
    <x v="37"/>
    <x v="7"/>
  </r>
  <r>
    <x v="8"/>
    <x v="37"/>
    <x v="8"/>
  </r>
  <r>
    <x v="171"/>
    <x v="37"/>
    <x v="9"/>
  </r>
  <r>
    <x v="171"/>
    <x v="37"/>
    <x v="10"/>
  </r>
  <r>
    <x v="20"/>
    <x v="37"/>
    <x v="11"/>
  </r>
  <r>
    <x v="0"/>
    <x v="37"/>
    <x v="12"/>
  </r>
  <r>
    <x v="0"/>
    <x v="37"/>
    <x v="39"/>
  </r>
  <r>
    <x v="40"/>
    <x v="37"/>
    <x v="39"/>
  </r>
  <r>
    <x v="70"/>
    <x v="37"/>
    <x v="13"/>
  </r>
  <r>
    <x v="487"/>
    <x v="37"/>
    <x v="38"/>
  </r>
  <r>
    <x v="166"/>
    <x v="37"/>
    <x v="26"/>
  </r>
  <r>
    <x v="319"/>
    <x v="37"/>
    <x v="26"/>
  </r>
  <r>
    <x v="209"/>
    <x v="37"/>
    <x v="14"/>
  </r>
  <r>
    <x v="90"/>
    <x v="37"/>
    <x v="25"/>
  </r>
  <r>
    <x v="184"/>
    <x v="37"/>
    <x v="25"/>
  </r>
  <r>
    <x v="110"/>
    <x v="37"/>
    <x v="15"/>
  </r>
  <r>
    <x v="7"/>
    <x v="37"/>
    <x v="36"/>
  </r>
  <r>
    <x v="7"/>
    <x v="37"/>
    <x v="40"/>
  </r>
  <r>
    <x v="0"/>
    <x v="37"/>
    <x v="40"/>
  </r>
  <r>
    <x v="0"/>
    <x v="37"/>
    <x v="16"/>
  </r>
  <r>
    <x v="5"/>
    <x v="37"/>
    <x v="17"/>
  </r>
  <r>
    <x v="183"/>
    <x v="37"/>
    <x v="33"/>
  </r>
  <r>
    <x v="42"/>
    <x v="37"/>
    <x v="33"/>
  </r>
  <r>
    <x v="4"/>
    <x v="37"/>
    <x v="18"/>
  </r>
  <r>
    <x v="0"/>
    <x v="37"/>
    <x v="35"/>
  </r>
  <r>
    <x v="0"/>
    <x v="37"/>
    <x v="35"/>
  </r>
  <r>
    <x v="0"/>
    <x v="37"/>
    <x v="35"/>
  </r>
  <r>
    <x v="0"/>
    <x v="37"/>
    <x v="35"/>
  </r>
  <r>
    <x v="6"/>
    <x v="37"/>
    <x v="30"/>
  </r>
  <r>
    <x v="0"/>
    <x v="37"/>
    <x v="27"/>
  </r>
  <r>
    <x v="0"/>
    <x v="37"/>
    <x v="27"/>
  </r>
  <r>
    <x v="0"/>
    <x v="37"/>
    <x v="31"/>
  </r>
  <r>
    <x v="0"/>
    <x v="37"/>
    <x v="31"/>
  </r>
  <r>
    <x v="21"/>
    <x v="37"/>
    <x v="37"/>
  </r>
  <r>
    <x v="0"/>
    <x v="37"/>
    <x v="37"/>
  </r>
  <r>
    <x v="13"/>
    <x v="37"/>
    <x v="37"/>
  </r>
  <r>
    <x v="0"/>
    <x v="37"/>
    <x v="29"/>
  </r>
  <r>
    <x v="0"/>
    <x v="37"/>
    <x v="29"/>
  </r>
  <r>
    <x v="0"/>
    <x v="37"/>
    <x v="29"/>
  </r>
  <r>
    <x v="0"/>
    <x v="37"/>
    <x v="29"/>
  </r>
  <r>
    <x v="0"/>
    <x v="37"/>
    <x v="29"/>
  </r>
  <r>
    <x v="0"/>
    <x v="37"/>
    <x v="41"/>
  </r>
  <r>
    <x v="0"/>
    <x v="37"/>
    <x v="32"/>
  </r>
  <r>
    <x v="0"/>
    <x v="37"/>
    <x v="34"/>
  </r>
  <r>
    <x v="279"/>
    <x v="37"/>
    <x v="38"/>
  </r>
  <r>
    <x v="0"/>
    <x v="37"/>
    <x v="21"/>
  </r>
  <r>
    <x v="0"/>
    <x v="37"/>
    <x v="28"/>
  </r>
  <r>
    <x v="8"/>
    <x v="37"/>
    <x v="24"/>
  </r>
  <r>
    <x v="5"/>
    <x v="37"/>
    <x v="36"/>
  </r>
  <r>
    <x v="15"/>
    <x v="37"/>
    <x v="44"/>
  </r>
  <r>
    <x v="483"/>
    <x v="25"/>
    <x v="0"/>
  </r>
  <r>
    <x v="0"/>
    <x v="25"/>
    <x v="1"/>
  </r>
  <r>
    <x v="0"/>
    <x v="25"/>
    <x v="2"/>
  </r>
  <r>
    <x v="0"/>
    <x v="25"/>
    <x v="3"/>
  </r>
  <r>
    <x v="0"/>
    <x v="25"/>
    <x v="4"/>
  </r>
  <r>
    <x v="0"/>
    <x v="25"/>
    <x v="5"/>
  </r>
  <r>
    <x v="0"/>
    <x v="25"/>
    <x v="6"/>
  </r>
  <r>
    <x v="0"/>
    <x v="25"/>
    <x v="7"/>
  </r>
  <r>
    <x v="0"/>
    <x v="25"/>
    <x v="8"/>
  </r>
  <r>
    <x v="0"/>
    <x v="25"/>
    <x v="9"/>
  </r>
  <r>
    <x v="7"/>
    <x v="25"/>
    <x v="10"/>
  </r>
  <r>
    <x v="0"/>
    <x v="25"/>
    <x v="11"/>
  </r>
  <r>
    <x v="0"/>
    <x v="25"/>
    <x v="12"/>
  </r>
  <r>
    <x v="0"/>
    <x v="25"/>
    <x v="39"/>
  </r>
  <r>
    <x v="0"/>
    <x v="25"/>
    <x v="39"/>
  </r>
  <r>
    <x v="130"/>
    <x v="25"/>
    <x v="13"/>
  </r>
  <r>
    <x v="45"/>
    <x v="25"/>
    <x v="38"/>
  </r>
  <r>
    <x v="333"/>
    <x v="25"/>
    <x v="26"/>
  </r>
  <r>
    <x v="275"/>
    <x v="25"/>
    <x v="26"/>
  </r>
  <r>
    <x v="277"/>
    <x v="25"/>
    <x v="14"/>
  </r>
  <r>
    <x v="253"/>
    <x v="25"/>
    <x v="25"/>
  </r>
  <r>
    <x v="288"/>
    <x v="25"/>
    <x v="25"/>
  </r>
  <r>
    <x v="39"/>
    <x v="25"/>
    <x v="15"/>
  </r>
  <r>
    <x v="0"/>
    <x v="25"/>
    <x v="36"/>
  </r>
  <r>
    <x v="0"/>
    <x v="25"/>
    <x v="40"/>
  </r>
  <r>
    <x v="0"/>
    <x v="25"/>
    <x v="40"/>
  </r>
  <r>
    <x v="0"/>
    <x v="25"/>
    <x v="16"/>
  </r>
  <r>
    <x v="0"/>
    <x v="25"/>
    <x v="17"/>
  </r>
  <r>
    <x v="0"/>
    <x v="25"/>
    <x v="33"/>
  </r>
  <r>
    <x v="0"/>
    <x v="25"/>
    <x v="33"/>
  </r>
  <r>
    <x v="0"/>
    <x v="25"/>
    <x v="18"/>
  </r>
  <r>
    <x v="0"/>
    <x v="25"/>
    <x v="35"/>
  </r>
  <r>
    <x v="0"/>
    <x v="25"/>
    <x v="35"/>
  </r>
  <r>
    <x v="0"/>
    <x v="25"/>
    <x v="35"/>
  </r>
  <r>
    <x v="0"/>
    <x v="25"/>
    <x v="35"/>
  </r>
  <r>
    <x v="0"/>
    <x v="25"/>
    <x v="30"/>
  </r>
  <r>
    <x v="0"/>
    <x v="25"/>
    <x v="27"/>
  </r>
  <r>
    <x v="0"/>
    <x v="25"/>
    <x v="27"/>
  </r>
  <r>
    <x v="0"/>
    <x v="25"/>
    <x v="31"/>
  </r>
  <r>
    <x v="0"/>
    <x v="25"/>
    <x v="31"/>
  </r>
  <r>
    <x v="0"/>
    <x v="25"/>
    <x v="37"/>
  </r>
  <r>
    <x v="0"/>
    <x v="25"/>
    <x v="37"/>
  </r>
  <r>
    <x v="0"/>
    <x v="25"/>
    <x v="37"/>
  </r>
  <r>
    <x v="0"/>
    <x v="25"/>
    <x v="29"/>
  </r>
  <r>
    <x v="0"/>
    <x v="25"/>
    <x v="29"/>
  </r>
  <r>
    <x v="0"/>
    <x v="25"/>
    <x v="29"/>
  </r>
  <r>
    <x v="0"/>
    <x v="25"/>
    <x v="29"/>
  </r>
  <r>
    <x v="0"/>
    <x v="25"/>
    <x v="29"/>
  </r>
  <r>
    <x v="0"/>
    <x v="25"/>
    <x v="41"/>
  </r>
  <r>
    <x v="0"/>
    <x v="25"/>
    <x v="32"/>
  </r>
  <r>
    <x v="0"/>
    <x v="25"/>
    <x v="34"/>
  </r>
  <r>
    <x v="37"/>
    <x v="25"/>
    <x v="38"/>
  </r>
  <r>
    <x v="0"/>
    <x v="25"/>
    <x v="21"/>
  </r>
  <r>
    <x v="0"/>
    <x v="25"/>
    <x v="28"/>
  </r>
  <r>
    <x v="0"/>
    <x v="25"/>
    <x v="24"/>
  </r>
  <r>
    <x v="0"/>
    <x v="25"/>
    <x v="36"/>
  </r>
  <r>
    <x v="0"/>
    <x v="25"/>
    <x v="44"/>
  </r>
  <r>
    <x v="577"/>
    <x v="25"/>
    <x v="0"/>
  </r>
  <r>
    <x v="21"/>
    <x v="25"/>
    <x v="1"/>
  </r>
  <r>
    <x v="9"/>
    <x v="25"/>
    <x v="2"/>
  </r>
  <r>
    <x v="0"/>
    <x v="25"/>
    <x v="3"/>
  </r>
  <r>
    <x v="14"/>
    <x v="25"/>
    <x v="4"/>
  </r>
  <r>
    <x v="0"/>
    <x v="25"/>
    <x v="5"/>
  </r>
  <r>
    <x v="11"/>
    <x v="25"/>
    <x v="6"/>
  </r>
  <r>
    <x v="0"/>
    <x v="25"/>
    <x v="7"/>
  </r>
  <r>
    <x v="0"/>
    <x v="25"/>
    <x v="8"/>
  </r>
  <r>
    <x v="41"/>
    <x v="25"/>
    <x v="9"/>
  </r>
  <r>
    <x v="5"/>
    <x v="25"/>
    <x v="10"/>
  </r>
  <r>
    <x v="26"/>
    <x v="25"/>
    <x v="11"/>
  </r>
  <r>
    <x v="18"/>
    <x v="25"/>
    <x v="12"/>
  </r>
  <r>
    <x v="8"/>
    <x v="25"/>
    <x v="39"/>
  </r>
  <r>
    <x v="26"/>
    <x v="25"/>
    <x v="39"/>
  </r>
  <r>
    <x v="133"/>
    <x v="25"/>
    <x v="13"/>
  </r>
  <r>
    <x v="197"/>
    <x v="25"/>
    <x v="38"/>
  </r>
  <r>
    <x v="335"/>
    <x v="25"/>
    <x v="26"/>
  </r>
  <r>
    <x v="561"/>
    <x v="25"/>
    <x v="26"/>
  </r>
  <r>
    <x v="437"/>
    <x v="25"/>
    <x v="14"/>
  </r>
  <r>
    <x v="351"/>
    <x v="25"/>
    <x v="25"/>
  </r>
  <r>
    <x v="464"/>
    <x v="25"/>
    <x v="25"/>
  </r>
  <r>
    <x v="266"/>
    <x v="25"/>
    <x v="15"/>
  </r>
  <r>
    <x v="27"/>
    <x v="25"/>
    <x v="36"/>
  </r>
  <r>
    <x v="0"/>
    <x v="25"/>
    <x v="40"/>
  </r>
  <r>
    <x v="0"/>
    <x v="25"/>
    <x v="40"/>
  </r>
  <r>
    <x v="10"/>
    <x v="25"/>
    <x v="16"/>
  </r>
  <r>
    <x v="0"/>
    <x v="25"/>
    <x v="17"/>
  </r>
  <r>
    <x v="36"/>
    <x v="25"/>
    <x v="33"/>
  </r>
  <r>
    <x v="7"/>
    <x v="25"/>
    <x v="33"/>
  </r>
  <r>
    <x v="0"/>
    <x v="25"/>
    <x v="18"/>
  </r>
  <r>
    <x v="9"/>
    <x v="25"/>
    <x v="19"/>
  </r>
  <r>
    <x v="8"/>
    <x v="25"/>
    <x v="20"/>
  </r>
  <r>
    <x v="25"/>
    <x v="25"/>
    <x v="35"/>
  </r>
  <r>
    <x v="0"/>
    <x v="25"/>
    <x v="35"/>
  </r>
  <r>
    <x v="0"/>
    <x v="25"/>
    <x v="35"/>
  </r>
  <r>
    <x v="13"/>
    <x v="25"/>
    <x v="35"/>
  </r>
  <r>
    <x v="0"/>
    <x v="25"/>
    <x v="30"/>
  </r>
  <r>
    <x v="8"/>
    <x v="25"/>
    <x v="27"/>
  </r>
  <r>
    <x v="0"/>
    <x v="25"/>
    <x v="27"/>
  </r>
  <r>
    <x v="5"/>
    <x v="25"/>
    <x v="31"/>
  </r>
  <r>
    <x v="11"/>
    <x v="25"/>
    <x v="31"/>
  </r>
  <r>
    <x v="179"/>
    <x v="25"/>
    <x v="37"/>
  </r>
  <r>
    <x v="61"/>
    <x v="25"/>
    <x v="37"/>
  </r>
  <r>
    <x v="138"/>
    <x v="25"/>
    <x v="37"/>
  </r>
  <r>
    <x v="0"/>
    <x v="25"/>
    <x v="29"/>
  </r>
  <r>
    <x v="11"/>
    <x v="25"/>
    <x v="29"/>
  </r>
  <r>
    <x v="10"/>
    <x v="25"/>
    <x v="29"/>
  </r>
  <r>
    <x v="4"/>
    <x v="25"/>
    <x v="29"/>
  </r>
  <r>
    <x v="0"/>
    <x v="25"/>
    <x v="29"/>
  </r>
  <r>
    <x v="8"/>
    <x v="25"/>
    <x v="29"/>
  </r>
  <r>
    <x v="19"/>
    <x v="25"/>
    <x v="29"/>
  </r>
  <r>
    <x v="10"/>
    <x v="25"/>
    <x v="29"/>
  </r>
  <r>
    <x v="0"/>
    <x v="25"/>
    <x v="41"/>
  </r>
  <r>
    <x v="0"/>
    <x v="25"/>
    <x v="32"/>
  </r>
  <r>
    <x v="7"/>
    <x v="25"/>
    <x v="34"/>
  </r>
  <r>
    <x v="6"/>
    <x v="25"/>
    <x v="34"/>
  </r>
  <r>
    <x v="106"/>
    <x v="25"/>
    <x v="38"/>
  </r>
  <r>
    <x v="9"/>
    <x v="25"/>
    <x v="21"/>
  </r>
  <r>
    <x v="4"/>
    <x v="25"/>
    <x v="22"/>
  </r>
  <r>
    <x v="0"/>
    <x v="25"/>
    <x v="28"/>
  </r>
  <r>
    <x v="4"/>
    <x v="25"/>
    <x v="24"/>
  </r>
  <r>
    <x v="21"/>
    <x v="25"/>
    <x v="36"/>
  </r>
  <r>
    <x v="6"/>
    <x v="25"/>
    <x v="42"/>
  </r>
  <r>
    <x v="27"/>
    <x v="25"/>
    <x v="44"/>
  </r>
  <r>
    <x v="579"/>
    <x v="13"/>
    <x v="0"/>
  </r>
  <r>
    <x v="11"/>
    <x v="13"/>
    <x v="1"/>
  </r>
  <r>
    <x v="6"/>
    <x v="13"/>
    <x v="2"/>
  </r>
  <r>
    <x v="12"/>
    <x v="13"/>
    <x v="3"/>
  </r>
  <r>
    <x v="14"/>
    <x v="13"/>
    <x v="4"/>
  </r>
  <r>
    <x v="0"/>
    <x v="13"/>
    <x v="5"/>
  </r>
  <r>
    <x v="0"/>
    <x v="13"/>
    <x v="6"/>
  </r>
  <r>
    <x v="6"/>
    <x v="13"/>
    <x v="7"/>
  </r>
  <r>
    <x v="0"/>
    <x v="13"/>
    <x v="8"/>
  </r>
  <r>
    <x v="10"/>
    <x v="13"/>
    <x v="9"/>
  </r>
  <r>
    <x v="0"/>
    <x v="13"/>
    <x v="10"/>
  </r>
  <r>
    <x v="9"/>
    <x v="13"/>
    <x v="11"/>
  </r>
  <r>
    <x v="0"/>
    <x v="13"/>
    <x v="12"/>
  </r>
  <r>
    <x v="11"/>
    <x v="13"/>
    <x v="39"/>
  </r>
  <r>
    <x v="38"/>
    <x v="13"/>
    <x v="39"/>
  </r>
  <r>
    <x v="219"/>
    <x v="13"/>
    <x v="13"/>
  </r>
  <r>
    <x v="11"/>
    <x v="13"/>
    <x v="38"/>
  </r>
  <r>
    <x v="74"/>
    <x v="13"/>
    <x v="26"/>
  </r>
  <r>
    <x v="246"/>
    <x v="13"/>
    <x v="26"/>
  </r>
  <r>
    <x v="575"/>
    <x v="13"/>
    <x v="14"/>
  </r>
  <r>
    <x v="250"/>
    <x v="13"/>
    <x v="25"/>
  </r>
  <r>
    <x v="344"/>
    <x v="13"/>
    <x v="25"/>
  </r>
  <r>
    <x v="417"/>
    <x v="13"/>
    <x v="15"/>
  </r>
  <r>
    <x v="9"/>
    <x v="13"/>
    <x v="36"/>
  </r>
  <r>
    <x v="7"/>
    <x v="13"/>
    <x v="40"/>
  </r>
  <r>
    <x v="11"/>
    <x v="13"/>
    <x v="40"/>
  </r>
  <r>
    <x v="0"/>
    <x v="13"/>
    <x v="16"/>
  </r>
  <r>
    <x v="0"/>
    <x v="13"/>
    <x v="17"/>
  </r>
  <r>
    <x v="8"/>
    <x v="13"/>
    <x v="33"/>
  </r>
  <r>
    <x v="0"/>
    <x v="13"/>
    <x v="33"/>
  </r>
  <r>
    <x v="0"/>
    <x v="13"/>
    <x v="18"/>
  </r>
  <r>
    <x v="0"/>
    <x v="13"/>
    <x v="19"/>
  </r>
  <r>
    <x v="8"/>
    <x v="13"/>
    <x v="20"/>
  </r>
  <r>
    <x v="0"/>
    <x v="13"/>
    <x v="35"/>
  </r>
  <r>
    <x v="0"/>
    <x v="13"/>
    <x v="35"/>
  </r>
  <r>
    <x v="0"/>
    <x v="13"/>
    <x v="35"/>
  </r>
  <r>
    <x v="8"/>
    <x v="13"/>
    <x v="35"/>
  </r>
  <r>
    <x v="11"/>
    <x v="13"/>
    <x v="30"/>
  </r>
  <r>
    <x v="8"/>
    <x v="13"/>
    <x v="30"/>
  </r>
  <r>
    <x v="0"/>
    <x v="13"/>
    <x v="27"/>
  </r>
  <r>
    <x v="0"/>
    <x v="13"/>
    <x v="27"/>
  </r>
  <r>
    <x v="0"/>
    <x v="13"/>
    <x v="31"/>
  </r>
  <r>
    <x v="0"/>
    <x v="13"/>
    <x v="31"/>
  </r>
  <r>
    <x v="257"/>
    <x v="13"/>
    <x v="37"/>
  </r>
  <r>
    <x v="74"/>
    <x v="13"/>
    <x v="37"/>
  </r>
  <r>
    <x v="88"/>
    <x v="13"/>
    <x v="37"/>
  </r>
  <r>
    <x v="0"/>
    <x v="13"/>
    <x v="29"/>
  </r>
  <r>
    <x v="0"/>
    <x v="13"/>
    <x v="29"/>
  </r>
  <r>
    <x v="7"/>
    <x v="13"/>
    <x v="29"/>
  </r>
  <r>
    <x v="0"/>
    <x v="13"/>
    <x v="29"/>
  </r>
  <r>
    <x v="0"/>
    <x v="13"/>
    <x v="29"/>
  </r>
  <r>
    <x v="14"/>
    <x v="13"/>
    <x v="29"/>
  </r>
  <r>
    <x v="7"/>
    <x v="13"/>
    <x v="29"/>
  </r>
  <r>
    <x v="21"/>
    <x v="13"/>
    <x v="29"/>
  </r>
  <r>
    <x v="10"/>
    <x v="13"/>
    <x v="29"/>
  </r>
  <r>
    <x v="0"/>
    <x v="13"/>
    <x v="41"/>
  </r>
  <r>
    <x v="0"/>
    <x v="13"/>
    <x v="32"/>
  </r>
  <r>
    <x v="0"/>
    <x v="13"/>
    <x v="34"/>
  </r>
  <r>
    <x v="0"/>
    <x v="13"/>
    <x v="34"/>
  </r>
  <r>
    <x v="23"/>
    <x v="13"/>
    <x v="38"/>
  </r>
  <r>
    <x v="0"/>
    <x v="13"/>
    <x v="21"/>
  </r>
  <r>
    <x v="23"/>
    <x v="13"/>
    <x v="22"/>
  </r>
  <r>
    <x v="0"/>
    <x v="13"/>
    <x v="28"/>
  </r>
  <r>
    <x v="0"/>
    <x v="13"/>
    <x v="24"/>
  </r>
  <r>
    <x v="9"/>
    <x v="13"/>
    <x v="34"/>
  </r>
  <r>
    <x v="0"/>
    <x v="13"/>
    <x v="36"/>
  </r>
  <r>
    <x v="0"/>
    <x v="13"/>
    <x v="42"/>
  </r>
  <r>
    <x v="27"/>
    <x v="13"/>
    <x v="44"/>
  </r>
  <r>
    <x v="470"/>
    <x v="24"/>
    <x v="0"/>
  </r>
  <r>
    <x v="0"/>
    <x v="24"/>
    <x v="1"/>
  </r>
  <r>
    <x v="0"/>
    <x v="24"/>
    <x v="2"/>
  </r>
  <r>
    <x v="0"/>
    <x v="24"/>
    <x v="3"/>
  </r>
  <r>
    <x v="0"/>
    <x v="24"/>
    <x v="4"/>
  </r>
  <r>
    <x v="0"/>
    <x v="24"/>
    <x v="5"/>
  </r>
  <r>
    <x v="6"/>
    <x v="24"/>
    <x v="6"/>
  </r>
  <r>
    <x v="0"/>
    <x v="24"/>
    <x v="7"/>
  </r>
  <r>
    <x v="0"/>
    <x v="24"/>
    <x v="8"/>
  </r>
  <r>
    <x v="6"/>
    <x v="24"/>
    <x v="9"/>
  </r>
  <r>
    <x v="7"/>
    <x v="24"/>
    <x v="10"/>
  </r>
  <r>
    <x v="0"/>
    <x v="24"/>
    <x v="11"/>
  </r>
  <r>
    <x v="0"/>
    <x v="24"/>
    <x v="12"/>
  </r>
  <r>
    <x v="10"/>
    <x v="24"/>
    <x v="39"/>
  </r>
  <r>
    <x v="19"/>
    <x v="24"/>
    <x v="39"/>
  </r>
  <r>
    <x v="43"/>
    <x v="24"/>
    <x v="13"/>
  </r>
  <r>
    <x v="0"/>
    <x v="24"/>
    <x v="38"/>
  </r>
  <r>
    <x v="164"/>
    <x v="24"/>
    <x v="26"/>
  </r>
  <r>
    <x v="203"/>
    <x v="24"/>
    <x v="26"/>
  </r>
  <r>
    <x v="270"/>
    <x v="24"/>
    <x v="14"/>
  </r>
  <r>
    <x v="436"/>
    <x v="24"/>
    <x v="25"/>
  </r>
  <r>
    <x v="337"/>
    <x v="24"/>
    <x v="25"/>
  </r>
  <r>
    <x v="77"/>
    <x v="24"/>
    <x v="15"/>
  </r>
  <r>
    <x v="0"/>
    <x v="24"/>
    <x v="36"/>
  </r>
  <r>
    <x v="0"/>
    <x v="24"/>
    <x v="40"/>
  </r>
  <r>
    <x v="0"/>
    <x v="24"/>
    <x v="40"/>
  </r>
  <r>
    <x v="0"/>
    <x v="24"/>
    <x v="16"/>
  </r>
  <r>
    <x v="0"/>
    <x v="24"/>
    <x v="17"/>
  </r>
  <r>
    <x v="0"/>
    <x v="24"/>
    <x v="33"/>
  </r>
  <r>
    <x v="0"/>
    <x v="24"/>
    <x v="33"/>
  </r>
  <r>
    <x v="0"/>
    <x v="24"/>
    <x v="18"/>
  </r>
  <r>
    <x v="0"/>
    <x v="24"/>
    <x v="19"/>
  </r>
  <r>
    <x v="0"/>
    <x v="24"/>
    <x v="20"/>
  </r>
  <r>
    <x v="0"/>
    <x v="24"/>
    <x v="35"/>
  </r>
  <r>
    <x v="0"/>
    <x v="24"/>
    <x v="35"/>
  </r>
  <r>
    <x v="0"/>
    <x v="24"/>
    <x v="35"/>
  </r>
  <r>
    <x v="0"/>
    <x v="24"/>
    <x v="35"/>
  </r>
  <r>
    <x v="0"/>
    <x v="24"/>
    <x v="30"/>
  </r>
  <r>
    <x v="0"/>
    <x v="24"/>
    <x v="30"/>
  </r>
  <r>
    <x v="0"/>
    <x v="24"/>
    <x v="27"/>
  </r>
  <r>
    <x v="0"/>
    <x v="24"/>
    <x v="27"/>
  </r>
  <r>
    <x v="0"/>
    <x v="24"/>
    <x v="31"/>
  </r>
  <r>
    <x v="0"/>
    <x v="24"/>
    <x v="31"/>
  </r>
  <r>
    <x v="30"/>
    <x v="24"/>
    <x v="37"/>
  </r>
  <r>
    <x v="0"/>
    <x v="24"/>
    <x v="37"/>
  </r>
  <r>
    <x v="29"/>
    <x v="24"/>
    <x v="37"/>
  </r>
  <r>
    <x v="5"/>
    <x v="24"/>
    <x v="29"/>
  </r>
  <r>
    <x v="0"/>
    <x v="24"/>
    <x v="29"/>
  </r>
  <r>
    <x v="0"/>
    <x v="24"/>
    <x v="29"/>
  </r>
  <r>
    <x v="0"/>
    <x v="24"/>
    <x v="29"/>
  </r>
  <r>
    <x v="0"/>
    <x v="24"/>
    <x v="29"/>
  </r>
  <r>
    <x v="0"/>
    <x v="24"/>
    <x v="29"/>
  </r>
  <r>
    <x v="6"/>
    <x v="24"/>
    <x v="29"/>
  </r>
  <r>
    <x v="11"/>
    <x v="24"/>
    <x v="29"/>
  </r>
  <r>
    <x v="0"/>
    <x v="24"/>
    <x v="29"/>
  </r>
  <r>
    <x v="0"/>
    <x v="24"/>
    <x v="41"/>
  </r>
  <r>
    <x v="0"/>
    <x v="24"/>
    <x v="32"/>
  </r>
  <r>
    <x v="0"/>
    <x v="24"/>
    <x v="34"/>
  </r>
  <r>
    <x v="0"/>
    <x v="24"/>
    <x v="34"/>
  </r>
  <r>
    <x v="9"/>
    <x v="24"/>
    <x v="38"/>
  </r>
  <r>
    <x v="0"/>
    <x v="24"/>
    <x v="21"/>
  </r>
  <r>
    <x v="0"/>
    <x v="24"/>
    <x v="22"/>
  </r>
  <r>
    <x v="0"/>
    <x v="24"/>
    <x v="28"/>
  </r>
  <r>
    <x v="0"/>
    <x v="24"/>
    <x v="24"/>
  </r>
  <r>
    <x v="0"/>
    <x v="24"/>
    <x v="34"/>
  </r>
  <r>
    <x v="0"/>
    <x v="24"/>
    <x v="36"/>
  </r>
  <r>
    <x v="0"/>
    <x v="24"/>
    <x v="42"/>
  </r>
  <r>
    <x v="0"/>
    <x v="24"/>
    <x v="44"/>
  </r>
  <r>
    <x v="582"/>
    <x v="24"/>
    <x v="0"/>
  </r>
  <r>
    <x v="7"/>
    <x v="24"/>
    <x v="1"/>
  </r>
  <r>
    <x v="0"/>
    <x v="24"/>
    <x v="2"/>
  </r>
  <r>
    <x v="10"/>
    <x v="24"/>
    <x v="3"/>
  </r>
  <r>
    <x v="0"/>
    <x v="24"/>
    <x v="4"/>
  </r>
  <r>
    <x v="0"/>
    <x v="24"/>
    <x v="5"/>
  </r>
  <r>
    <x v="0"/>
    <x v="24"/>
    <x v="6"/>
  </r>
  <r>
    <x v="0"/>
    <x v="24"/>
    <x v="7"/>
  </r>
  <r>
    <x v="0"/>
    <x v="24"/>
    <x v="8"/>
  </r>
  <r>
    <x v="7"/>
    <x v="24"/>
    <x v="9"/>
  </r>
  <r>
    <x v="0"/>
    <x v="24"/>
    <x v="10"/>
  </r>
  <r>
    <x v="13"/>
    <x v="24"/>
    <x v="11"/>
  </r>
  <r>
    <x v="9"/>
    <x v="24"/>
    <x v="12"/>
  </r>
  <r>
    <x v="15"/>
    <x v="24"/>
    <x v="39"/>
  </r>
  <r>
    <x v="13"/>
    <x v="24"/>
    <x v="39"/>
  </r>
  <r>
    <x v="39"/>
    <x v="24"/>
    <x v="13"/>
  </r>
  <r>
    <x v="39"/>
    <x v="24"/>
    <x v="38"/>
  </r>
  <r>
    <x v="139"/>
    <x v="24"/>
    <x v="26"/>
  </r>
  <r>
    <x v="372"/>
    <x v="24"/>
    <x v="26"/>
  </r>
  <r>
    <x v="415"/>
    <x v="24"/>
    <x v="14"/>
  </r>
  <r>
    <x v="283"/>
    <x v="24"/>
    <x v="25"/>
  </r>
  <r>
    <x v="573"/>
    <x v="24"/>
    <x v="25"/>
  </r>
  <r>
    <x v="379"/>
    <x v="24"/>
    <x v="15"/>
  </r>
  <r>
    <x v="33"/>
    <x v="24"/>
    <x v="36"/>
  </r>
  <r>
    <x v="8"/>
    <x v="24"/>
    <x v="40"/>
  </r>
  <r>
    <x v="9"/>
    <x v="24"/>
    <x v="40"/>
  </r>
  <r>
    <x v="0"/>
    <x v="24"/>
    <x v="16"/>
  </r>
  <r>
    <x v="0"/>
    <x v="24"/>
    <x v="17"/>
  </r>
  <r>
    <x v="14"/>
    <x v="24"/>
    <x v="33"/>
  </r>
  <r>
    <x v="0"/>
    <x v="24"/>
    <x v="33"/>
  </r>
  <r>
    <x v="0"/>
    <x v="24"/>
    <x v="18"/>
  </r>
  <r>
    <x v="0"/>
    <x v="24"/>
    <x v="19"/>
  </r>
  <r>
    <x v="0"/>
    <x v="24"/>
    <x v="20"/>
  </r>
  <r>
    <x v="0"/>
    <x v="24"/>
    <x v="35"/>
  </r>
  <r>
    <x v="0"/>
    <x v="24"/>
    <x v="35"/>
  </r>
  <r>
    <x v="0"/>
    <x v="24"/>
    <x v="35"/>
  </r>
  <r>
    <x v="0"/>
    <x v="24"/>
    <x v="35"/>
  </r>
  <r>
    <x v="0"/>
    <x v="24"/>
    <x v="30"/>
  </r>
  <r>
    <x v="0"/>
    <x v="24"/>
    <x v="30"/>
  </r>
  <r>
    <x v="5"/>
    <x v="24"/>
    <x v="27"/>
  </r>
  <r>
    <x v="0"/>
    <x v="24"/>
    <x v="27"/>
  </r>
  <r>
    <x v="0"/>
    <x v="24"/>
    <x v="31"/>
  </r>
  <r>
    <x v="5"/>
    <x v="24"/>
    <x v="31"/>
  </r>
  <r>
    <x v="7"/>
    <x v="24"/>
    <x v="31"/>
  </r>
  <r>
    <x v="8"/>
    <x v="24"/>
    <x v="31"/>
  </r>
  <r>
    <x v="402"/>
    <x v="24"/>
    <x v="37"/>
  </r>
  <r>
    <x v="284"/>
    <x v="24"/>
    <x v="37"/>
  </r>
  <r>
    <x v="366"/>
    <x v="24"/>
    <x v="37"/>
  </r>
  <r>
    <x v="5"/>
    <x v="24"/>
    <x v="29"/>
  </r>
  <r>
    <x v="9"/>
    <x v="24"/>
    <x v="29"/>
  </r>
  <r>
    <x v="8"/>
    <x v="24"/>
    <x v="29"/>
  </r>
  <r>
    <x v="0"/>
    <x v="24"/>
    <x v="29"/>
  </r>
  <r>
    <x v="0"/>
    <x v="24"/>
    <x v="29"/>
  </r>
  <r>
    <x v="7"/>
    <x v="24"/>
    <x v="29"/>
  </r>
  <r>
    <x v="0"/>
    <x v="24"/>
    <x v="29"/>
  </r>
  <r>
    <x v="0"/>
    <x v="24"/>
    <x v="29"/>
  </r>
  <r>
    <x v="42"/>
    <x v="24"/>
    <x v="29"/>
  </r>
  <r>
    <x v="19"/>
    <x v="24"/>
    <x v="29"/>
  </r>
  <r>
    <x v="0"/>
    <x v="24"/>
    <x v="29"/>
  </r>
  <r>
    <x v="0"/>
    <x v="24"/>
    <x v="41"/>
  </r>
  <r>
    <x v="0"/>
    <x v="24"/>
    <x v="32"/>
  </r>
  <r>
    <x v="0"/>
    <x v="24"/>
    <x v="34"/>
  </r>
  <r>
    <x v="0"/>
    <x v="24"/>
    <x v="34"/>
  </r>
  <r>
    <x v="18"/>
    <x v="24"/>
    <x v="38"/>
  </r>
  <r>
    <x v="0"/>
    <x v="24"/>
    <x v="21"/>
  </r>
  <r>
    <x v="34"/>
    <x v="24"/>
    <x v="22"/>
  </r>
  <r>
    <x v="0"/>
    <x v="24"/>
    <x v="28"/>
  </r>
  <r>
    <x v="0"/>
    <x v="24"/>
    <x v="24"/>
  </r>
  <r>
    <x v="0"/>
    <x v="24"/>
    <x v="34"/>
  </r>
  <r>
    <x v="0"/>
    <x v="24"/>
    <x v="36"/>
  </r>
  <r>
    <x v="0"/>
    <x v="24"/>
    <x v="42"/>
  </r>
  <r>
    <x v="31"/>
    <x v="24"/>
    <x v="44"/>
  </r>
  <r>
    <x v="574"/>
    <x v="14"/>
    <x v="0"/>
  </r>
  <r>
    <x v="13"/>
    <x v="14"/>
    <x v="1"/>
  </r>
  <r>
    <x v="0"/>
    <x v="14"/>
    <x v="2"/>
  </r>
  <r>
    <x v="17"/>
    <x v="14"/>
    <x v="3"/>
  </r>
  <r>
    <x v="0"/>
    <x v="14"/>
    <x v="4"/>
  </r>
  <r>
    <x v="14"/>
    <x v="14"/>
    <x v="5"/>
  </r>
  <r>
    <x v="0"/>
    <x v="14"/>
    <x v="6"/>
  </r>
  <r>
    <x v="0"/>
    <x v="14"/>
    <x v="7"/>
  </r>
  <r>
    <x v="0"/>
    <x v="14"/>
    <x v="8"/>
  </r>
  <r>
    <x v="0"/>
    <x v="14"/>
    <x v="9"/>
  </r>
  <r>
    <x v="6"/>
    <x v="14"/>
    <x v="10"/>
  </r>
  <r>
    <x v="6"/>
    <x v="14"/>
    <x v="11"/>
  </r>
  <r>
    <x v="0"/>
    <x v="14"/>
    <x v="12"/>
  </r>
  <r>
    <x v="10"/>
    <x v="14"/>
    <x v="39"/>
  </r>
  <r>
    <x v="14"/>
    <x v="14"/>
    <x v="39"/>
  </r>
  <r>
    <x v="90"/>
    <x v="14"/>
    <x v="13"/>
  </r>
  <r>
    <x v="5"/>
    <x v="14"/>
    <x v="38"/>
  </r>
  <r>
    <x v="20"/>
    <x v="14"/>
    <x v="26"/>
  </r>
  <r>
    <x v="187"/>
    <x v="14"/>
    <x v="26"/>
  </r>
  <r>
    <x v="516"/>
    <x v="14"/>
    <x v="14"/>
  </r>
  <r>
    <x v="147"/>
    <x v="14"/>
    <x v="25"/>
  </r>
  <r>
    <x v="312"/>
    <x v="14"/>
    <x v="25"/>
  </r>
  <r>
    <x v="560"/>
    <x v="14"/>
    <x v="15"/>
  </r>
  <r>
    <x v="0"/>
    <x v="14"/>
    <x v="36"/>
  </r>
  <r>
    <x v="0"/>
    <x v="14"/>
    <x v="40"/>
  </r>
  <r>
    <x v="0"/>
    <x v="14"/>
    <x v="40"/>
  </r>
  <r>
    <x v="0"/>
    <x v="14"/>
    <x v="16"/>
  </r>
  <r>
    <x v="0"/>
    <x v="14"/>
    <x v="17"/>
  </r>
  <r>
    <x v="0"/>
    <x v="14"/>
    <x v="33"/>
  </r>
  <r>
    <x v="0"/>
    <x v="14"/>
    <x v="33"/>
  </r>
  <r>
    <x v="0"/>
    <x v="14"/>
    <x v="18"/>
  </r>
  <r>
    <x v="0"/>
    <x v="14"/>
    <x v="19"/>
  </r>
  <r>
    <x v="0"/>
    <x v="14"/>
    <x v="20"/>
  </r>
  <r>
    <x v="7"/>
    <x v="14"/>
    <x v="35"/>
  </r>
  <r>
    <x v="0"/>
    <x v="14"/>
    <x v="35"/>
  </r>
  <r>
    <x v="0"/>
    <x v="14"/>
    <x v="35"/>
  </r>
  <r>
    <x v="0"/>
    <x v="14"/>
    <x v="35"/>
  </r>
  <r>
    <x v="0"/>
    <x v="14"/>
    <x v="30"/>
  </r>
  <r>
    <x v="0"/>
    <x v="14"/>
    <x v="30"/>
  </r>
  <r>
    <x v="8"/>
    <x v="14"/>
    <x v="27"/>
  </r>
  <r>
    <x v="0"/>
    <x v="14"/>
    <x v="27"/>
  </r>
  <r>
    <x v="0"/>
    <x v="14"/>
    <x v="31"/>
  </r>
  <r>
    <x v="0"/>
    <x v="14"/>
    <x v="31"/>
  </r>
  <r>
    <x v="0"/>
    <x v="14"/>
    <x v="31"/>
  </r>
  <r>
    <x v="0"/>
    <x v="14"/>
    <x v="31"/>
  </r>
  <r>
    <x v="432"/>
    <x v="14"/>
    <x v="37"/>
  </r>
  <r>
    <x v="242"/>
    <x v="14"/>
    <x v="37"/>
  </r>
  <r>
    <x v="259"/>
    <x v="14"/>
    <x v="37"/>
  </r>
  <r>
    <x v="7"/>
    <x v="14"/>
    <x v="29"/>
  </r>
  <r>
    <x v="0"/>
    <x v="14"/>
    <x v="29"/>
  </r>
  <r>
    <x v="0"/>
    <x v="14"/>
    <x v="29"/>
  </r>
  <r>
    <x v="10"/>
    <x v="14"/>
    <x v="29"/>
  </r>
  <r>
    <x v="0"/>
    <x v="14"/>
    <x v="29"/>
  </r>
  <r>
    <x v="0"/>
    <x v="14"/>
    <x v="29"/>
  </r>
  <r>
    <x v="0"/>
    <x v="14"/>
    <x v="29"/>
  </r>
  <r>
    <x v="0"/>
    <x v="14"/>
    <x v="29"/>
  </r>
  <r>
    <x v="0"/>
    <x v="14"/>
    <x v="29"/>
  </r>
  <r>
    <x v="6"/>
    <x v="14"/>
    <x v="29"/>
  </r>
  <r>
    <x v="14"/>
    <x v="14"/>
    <x v="29"/>
  </r>
  <r>
    <x v="0"/>
    <x v="14"/>
    <x v="41"/>
  </r>
  <r>
    <x v="11"/>
    <x v="14"/>
    <x v="32"/>
  </r>
  <r>
    <x v="0"/>
    <x v="14"/>
    <x v="34"/>
  </r>
  <r>
    <x v="0"/>
    <x v="14"/>
    <x v="34"/>
  </r>
  <r>
    <x v="0"/>
    <x v="14"/>
    <x v="38"/>
  </r>
  <r>
    <x v="0"/>
    <x v="14"/>
    <x v="21"/>
  </r>
  <r>
    <x v="25"/>
    <x v="14"/>
    <x v="22"/>
  </r>
  <r>
    <x v="0"/>
    <x v="14"/>
    <x v="28"/>
  </r>
  <r>
    <x v="0"/>
    <x v="14"/>
    <x v="24"/>
  </r>
  <r>
    <x v="0"/>
    <x v="14"/>
    <x v="34"/>
  </r>
  <r>
    <x v="0"/>
    <x v="14"/>
    <x v="36"/>
  </r>
  <r>
    <x v="0"/>
    <x v="14"/>
    <x v="42"/>
  </r>
  <r>
    <x v="18"/>
    <x v="14"/>
    <x v="44"/>
  </r>
  <r>
    <x v="550"/>
    <x v="35"/>
    <x v="0"/>
  </r>
  <r>
    <x v="0"/>
    <x v="35"/>
    <x v="1"/>
  </r>
  <r>
    <x v="0"/>
    <x v="35"/>
    <x v="2"/>
  </r>
  <r>
    <x v="0"/>
    <x v="35"/>
    <x v="3"/>
  </r>
  <r>
    <x v="0"/>
    <x v="35"/>
    <x v="4"/>
  </r>
  <r>
    <x v="0"/>
    <x v="35"/>
    <x v="5"/>
  </r>
  <r>
    <x v="0"/>
    <x v="35"/>
    <x v="6"/>
  </r>
  <r>
    <x v="0"/>
    <x v="35"/>
    <x v="7"/>
  </r>
  <r>
    <x v="0"/>
    <x v="35"/>
    <x v="8"/>
  </r>
  <r>
    <x v="0"/>
    <x v="35"/>
    <x v="9"/>
  </r>
  <r>
    <x v="10"/>
    <x v="35"/>
    <x v="10"/>
  </r>
  <r>
    <x v="0"/>
    <x v="35"/>
    <x v="11"/>
  </r>
  <r>
    <x v="0"/>
    <x v="35"/>
    <x v="12"/>
  </r>
  <r>
    <x v="0"/>
    <x v="35"/>
    <x v="39"/>
  </r>
  <r>
    <x v="0"/>
    <x v="35"/>
    <x v="39"/>
  </r>
  <r>
    <x v="0"/>
    <x v="35"/>
    <x v="13"/>
  </r>
  <r>
    <x v="18"/>
    <x v="35"/>
    <x v="38"/>
  </r>
  <r>
    <x v="8"/>
    <x v="35"/>
    <x v="26"/>
  </r>
  <r>
    <x v="137"/>
    <x v="35"/>
    <x v="26"/>
  </r>
  <r>
    <x v="45"/>
    <x v="35"/>
    <x v="14"/>
  </r>
  <r>
    <x v="5"/>
    <x v="35"/>
    <x v="25"/>
  </r>
  <r>
    <x v="296"/>
    <x v="35"/>
    <x v="25"/>
  </r>
  <r>
    <x v="56"/>
    <x v="35"/>
    <x v="15"/>
  </r>
  <r>
    <x v="478"/>
    <x v="35"/>
    <x v="36"/>
  </r>
  <r>
    <x v="173"/>
    <x v="35"/>
    <x v="40"/>
  </r>
  <r>
    <x v="147"/>
    <x v="35"/>
    <x v="40"/>
  </r>
  <r>
    <x v="7"/>
    <x v="35"/>
    <x v="16"/>
  </r>
  <r>
    <x v="0"/>
    <x v="35"/>
    <x v="17"/>
  </r>
  <r>
    <x v="79"/>
    <x v="35"/>
    <x v="33"/>
  </r>
  <r>
    <x v="86"/>
    <x v="35"/>
    <x v="33"/>
  </r>
  <r>
    <x v="7"/>
    <x v="35"/>
    <x v="18"/>
  </r>
  <r>
    <x v="0"/>
    <x v="35"/>
    <x v="19"/>
  </r>
  <r>
    <x v="5"/>
    <x v="35"/>
    <x v="20"/>
  </r>
  <r>
    <x v="0"/>
    <x v="35"/>
    <x v="35"/>
  </r>
  <r>
    <x v="0"/>
    <x v="35"/>
    <x v="35"/>
  </r>
  <r>
    <x v="0"/>
    <x v="35"/>
    <x v="35"/>
  </r>
  <r>
    <x v="0"/>
    <x v="35"/>
    <x v="35"/>
  </r>
  <r>
    <x v="0"/>
    <x v="35"/>
    <x v="30"/>
  </r>
  <r>
    <x v="0"/>
    <x v="35"/>
    <x v="30"/>
  </r>
  <r>
    <x v="7"/>
    <x v="35"/>
    <x v="27"/>
  </r>
  <r>
    <x v="0"/>
    <x v="35"/>
    <x v="27"/>
  </r>
  <r>
    <x v="0"/>
    <x v="35"/>
    <x v="31"/>
  </r>
  <r>
    <x v="0"/>
    <x v="35"/>
    <x v="31"/>
  </r>
  <r>
    <x v="0"/>
    <x v="35"/>
    <x v="31"/>
  </r>
  <r>
    <x v="0"/>
    <x v="35"/>
    <x v="31"/>
  </r>
  <r>
    <x v="111"/>
    <x v="35"/>
    <x v="37"/>
  </r>
  <r>
    <x v="76"/>
    <x v="35"/>
    <x v="37"/>
  </r>
  <r>
    <x v="50"/>
    <x v="35"/>
    <x v="37"/>
  </r>
  <r>
    <x v="0"/>
    <x v="35"/>
    <x v="29"/>
  </r>
  <r>
    <x v="0"/>
    <x v="35"/>
    <x v="29"/>
  </r>
  <r>
    <x v="0"/>
    <x v="35"/>
    <x v="29"/>
  </r>
  <r>
    <x v="0"/>
    <x v="35"/>
    <x v="29"/>
  </r>
  <r>
    <x v="0"/>
    <x v="35"/>
    <x v="29"/>
  </r>
  <r>
    <x v="0"/>
    <x v="35"/>
    <x v="29"/>
  </r>
  <r>
    <x v="0"/>
    <x v="35"/>
    <x v="29"/>
  </r>
  <r>
    <x v="0"/>
    <x v="35"/>
    <x v="29"/>
  </r>
  <r>
    <x v="0"/>
    <x v="35"/>
    <x v="29"/>
  </r>
  <r>
    <x v="5"/>
    <x v="35"/>
    <x v="29"/>
  </r>
  <r>
    <x v="0"/>
    <x v="35"/>
    <x v="29"/>
  </r>
  <r>
    <x v="0"/>
    <x v="35"/>
    <x v="41"/>
  </r>
  <r>
    <x v="0"/>
    <x v="35"/>
    <x v="32"/>
  </r>
  <r>
    <x v="0"/>
    <x v="35"/>
    <x v="34"/>
  </r>
  <r>
    <x v="0"/>
    <x v="35"/>
    <x v="34"/>
  </r>
  <r>
    <x v="0"/>
    <x v="35"/>
    <x v="38"/>
  </r>
  <r>
    <x v="0"/>
    <x v="35"/>
    <x v="21"/>
  </r>
  <r>
    <x v="0"/>
    <x v="35"/>
    <x v="22"/>
  </r>
  <r>
    <x v="0"/>
    <x v="35"/>
    <x v="28"/>
  </r>
  <r>
    <x v="0"/>
    <x v="35"/>
    <x v="24"/>
  </r>
  <r>
    <x v="0"/>
    <x v="35"/>
    <x v="34"/>
  </r>
  <r>
    <x v="408"/>
    <x v="35"/>
    <x v="36"/>
  </r>
  <r>
    <x v="0"/>
    <x v="35"/>
    <x v="42"/>
  </r>
  <r>
    <x v="9"/>
    <x v="35"/>
    <x v="44"/>
  </r>
  <r>
    <x v="525"/>
    <x v="39"/>
    <x v="0"/>
  </r>
  <r>
    <x v="10"/>
    <x v="39"/>
    <x v="1"/>
  </r>
  <r>
    <x v="0"/>
    <x v="39"/>
    <x v="2"/>
  </r>
  <r>
    <x v="0"/>
    <x v="39"/>
    <x v="3"/>
  </r>
  <r>
    <x v="0"/>
    <x v="39"/>
    <x v="4"/>
  </r>
  <r>
    <x v="0"/>
    <x v="39"/>
    <x v="5"/>
  </r>
  <r>
    <x v="0"/>
    <x v="39"/>
    <x v="6"/>
  </r>
  <r>
    <x v="0"/>
    <x v="39"/>
    <x v="7"/>
  </r>
  <r>
    <x v="0"/>
    <x v="39"/>
    <x v="8"/>
  </r>
  <r>
    <x v="0"/>
    <x v="39"/>
    <x v="9"/>
  </r>
  <r>
    <x v="0"/>
    <x v="39"/>
    <x v="10"/>
  </r>
  <r>
    <x v="0"/>
    <x v="39"/>
    <x v="11"/>
  </r>
  <r>
    <x v="0"/>
    <x v="39"/>
    <x v="12"/>
  </r>
  <r>
    <x v="0"/>
    <x v="39"/>
    <x v="39"/>
  </r>
  <r>
    <x v="0"/>
    <x v="39"/>
    <x v="39"/>
  </r>
  <r>
    <x v="0"/>
    <x v="39"/>
    <x v="13"/>
  </r>
  <r>
    <x v="16"/>
    <x v="39"/>
    <x v="38"/>
  </r>
  <r>
    <x v="0"/>
    <x v="39"/>
    <x v="26"/>
  </r>
  <r>
    <x v="24"/>
    <x v="39"/>
    <x v="26"/>
  </r>
  <r>
    <x v="7"/>
    <x v="39"/>
    <x v="14"/>
  </r>
  <r>
    <x v="18"/>
    <x v="39"/>
    <x v="25"/>
  </r>
  <r>
    <x v="181"/>
    <x v="39"/>
    <x v="25"/>
  </r>
  <r>
    <x v="11"/>
    <x v="39"/>
    <x v="15"/>
  </r>
  <r>
    <x v="195"/>
    <x v="39"/>
    <x v="36"/>
  </r>
  <r>
    <x v="439"/>
    <x v="39"/>
    <x v="40"/>
  </r>
  <r>
    <x v="359"/>
    <x v="39"/>
    <x v="40"/>
  </r>
  <r>
    <x v="13"/>
    <x v="39"/>
    <x v="16"/>
  </r>
  <r>
    <x v="0"/>
    <x v="39"/>
    <x v="17"/>
  </r>
  <r>
    <x v="5"/>
    <x v="39"/>
    <x v="33"/>
  </r>
  <r>
    <x v="5"/>
    <x v="39"/>
    <x v="33"/>
  </r>
  <r>
    <x v="90"/>
    <x v="39"/>
    <x v="18"/>
  </r>
  <r>
    <x v="0"/>
    <x v="39"/>
    <x v="19"/>
  </r>
  <r>
    <x v="0"/>
    <x v="39"/>
    <x v="20"/>
  </r>
  <r>
    <x v="0"/>
    <x v="39"/>
    <x v="35"/>
  </r>
  <r>
    <x v="0"/>
    <x v="39"/>
    <x v="35"/>
  </r>
  <r>
    <x v="0"/>
    <x v="39"/>
    <x v="35"/>
  </r>
  <r>
    <x v="0"/>
    <x v="39"/>
    <x v="35"/>
  </r>
  <r>
    <x v="0"/>
    <x v="39"/>
    <x v="30"/>
  </r>
  <r>
    <x v="0"/>
    <x v="39"/>
    <x v="30"/>
  </r>
  <r>
    <x v="0"/>
    <x v="39"/>
    <x v="27"/>
  </r>
  <r>
    <x v="0"/>
    <x v="39"/>
    <x v="27"/>
  </r>
  <r>
    <x v="0"/>
    <x v="39"/>
    <x v="31"/>
  </r>
  <r>
    <x v="0"/>
    <x v="39"/>
    <x v="31"/>
  </r>
  <r>
    <x v="0"/>
    <x v="39"/>
    <x v="31"/>
  </r>
  <r>
    <x v="0"/>
    <x v="39"/>
    <x v="31"/>
  </r>
  <r>
    <x v="99"/>
    <x v="39"/>
    <x v="37"/>
  </r>
  <r>
    <x v="25"/>
    <x v="39"/>
    <x v="37"/>
  </r>
  <r>
    <x v="52"/>
    <x v="39"/>
    <x v="37"/>
  </r>
  <r>
    <x v="0"/>
    <x v="39"/>
    <x v="29"/>
  </r>
  <r>
    <x v="0"/>
    <x v="39"/>
    <x v="29"/>
  </r>
  <r>
    <x v="0"/>
    <x v="39"/>
    <x v="29"/>
  </r>
  <r>
    <x v="0"/>
    <x v="39"/>
    <x v="29"/>
  </r>
  <r>
    <x v="0"/>
    <x v="39"/>
    <x v="29"/>
  </r>
  <r>
    <x v="0"/>
    <x v="39"/>
    <x v="29"/>
  </r>
  <r>
    <x v="0"/>
    <x v="39"/>
    <x v="29"/>
  </r>
  <r>
    <x v="0"/>
    <x v="39"/>
    <x v="29"/>
  </r>
  <r>
    <x v="0"/>
    <x v="39"/>
    <x v="29"/>
  </r>
  <r>
    <x v="0"/>
    <x v="39"/>
    <x v="29"/>
  </r>
  <r>
    <x v="0"/>
    <x v="39"/>
    <x v="29"/>
  </r>
  <r>
    <x v="0"/>
    <x v="39"/>
    <x v="41"/>
  </r>
  <r>
    <x v="0"/>
    <x v="39"/>
    <x v="32"/>
  </r>
  <r>
    <x v="0"/>
    <x v="39"/>
    <x v="34"/>
  </r>
  <r>
    <x v="0"/>
    <x v="39"/>
    <x v="34"/>
  </r>
  <r>
    <x v="0"/>
    <x v="39"/>
    <x v="38"/>
  </r>
  <r>
    <x v="0"/>
    <x v="39"/>
    <x v="21"/>
  </r>
  <r>
    <x v="18"/>
    <x v="39"/>
    <x v="22"/>
  </r>
  <r>
    <x v="0"/>
    <x v="39"/>
    <x v="28"/>
  </r>
  <r>
    <x v="0"/>
    <x v="39"/>
    <x v="24"/>
  </r>
  <r>
    <x v="0"/>
    <x v="39"/>
    <x v="34"/>
  </r>
  <r>
    <x v="117"/>
    <x v="39"/>
    <x v="36"/>
  </r>
  <r>
    <x v="0"/>
    <x v="39"/>
    <x v="42"/>
  </r>
  <r>
    <x v="0"/>
    <x v="39"/>
    <x v="44"/>
  </r>
  <r>
    <x v="544"/>
    <x v="39"/>
    <x v="0"/>
  </r>
  <r>
    <x v="6"/>
    <x v="39"/>
    <x v="1"/>
  </r>
  <r>
    <x v="0"/>
    <x v="39"/>
    <x v="2"/>
  </r>
  <r>
    <x v="0"/>
    <x v="39"/>
    <x v="3"/>
  </r>
  <r>
    <x v="0"/>
    <x v="39"/>
    <x v="4"/>
  </r>
  <r>
    <x v="0"/>
    <x v="39"/>
    <x v="5"/>
  </r>
  <r>
    <x v="0"/>
    <x v="39"/>
    <x v="6"/>
  </r>
  <r>
    <x v="0"/>
    <x v="39"/>
    <x v="7"/>
  </r>
  <r>
    <x v="0"/>
    <x v="39"/>
    <x v="8"/>
  </r>
  <r>
    <x v="0"/>
    <x v="39"/>
    <x v="9"/>
  </r>
  <r>
    <x v="0"/>
    <x v="39"/>
    <x v="10"/>
  </r>
  <r>
    <x v="0"/>
    <x v="39"/>
    <x v="11"/>
  </r>
  <r>
    <x v="12"/>
    <x v="39"/>
    <x v="12"/>
  </r>
  <r>
    <x v="0"/>
    <x v="39"/>
    <x v="39"/>
  </r>
  <r>
    <x v="0"/>
    <x v="39"/>
    <x v="39"/>
  </r>
  <r>
    <x v="0"/>
    <x v="39"/>
    <x v="13"/>
  </r>
  <r>
    <x v="0"/>
    <x v="39"/>
    <x v="38"/>
  </r>
  <r>
    <x v="0"/>
    <x v="39"/>
    <x v="26"/>
  </r>
  <r>
    <x v="28"/>
    <x v="39"/>
    <x v="26"/>
  </r>
  <r>
    <x v="6"/>
    <x v="39"/>
    <x v="14"/>
  </r>
  <r>
    <x v="23"/>
    <x v="39"/>
    <x v="25"/>
  </r>
  <r>
    <x v="141"/>
    <x v="39"/>
    <x v="25"/>
  </r>
  <r>
    <x v="5"/>
    <x v="39"/>
    <x v="15"/>
  </r>
  <r>
    <x v="182"/>
    <x v="39"/>
    <x v="36"/>
  </r>
  <r>
    <x v="395"/>
    <x v="39"/>
    <x v="40"/>
  </r>
  <r>
    <x v="445"/>
    <x v="39"/>
    <x v="40"/>
  </r>
  <r>
    <x v="25"/>
    <x v="39"/>
    <x v="16"/>
  </r>
  <r>
    <x v="9"/>
    <x v="39"/>
    <x v="17"/>
  </r>
  <r>
    <x v="8"/>
    <x v="39"/>
    <x v="33"/>
  </r>
  <r>
    <x v="0"/>
    <x v="39"/>
    <x v="33"/>
  </r>
  <r>
    <x v="158"/>
    <x v="39"/>
    <x v="18"/>
  </r>
  <r>
    <x v="0"/>
    <x v="39"/>
    <x v="19"/>
  </r>
  <r>
    <x v="0"/>
    <x v="39"/>
    <x v="20"/>
  </r>
  <r>
    <x v="0"/>
    <x v="39"/>
    <x v="35"/>
  </r>
  <r>
    <x v="0"/>
    <x v="39"/>
    <x v="35"/>
  </r>
  <r>
    <x v="0"/>
    <x v="39"/>
    <x v="35"/>
  </r>
  <r>
    <x v="0"/>
    <x v="39"/>
    <x v="35"/>
  </r>
  <r>
    <x v="0"/>
    <x v="39"/>
    <x v="30"/>
  </r>
  <r>
    <x v="0"/>
    <x v="39"/>
    <x v="30"/>
  </r>
  <r>
    <x v="14"/>
    <x v="39"/>
    <x v="27"/>
  </r>
  <r>
    <x v="0"/>
    <x v="39"/>
    <x v="27"/>
  </r>
  <r>
    <x v="0"/>
    <x v="39"/>
    <x v="31"/>
  </r>
  <r>
    <x v="0"/>
    <x v="39"/>
    <x v="31"/>
  </r>
  <r>
    <x v="0"/>
    <x v="39"/>
    <x v="31"/>
  </r>
  <r>
    <x v="0"/>
    <x v="39"/>
    <x v="31"/>
  </r>
  <r>
    <x v="59"/>
    <x v="39"/>
    <x v="37"/>
  </r>
  <r>
    <x v="10"/>
    <x v="39"/>
    <x v="37"/>
  </r>
  <r>
    <x v="17"/>
    <x v="39"/>
    <x v="37"/>
  </r>
  <r>
    <x v="0"/>
    <x v="39"/>
    <x v="29"/>
  </r>
  <r>
    <x v="0"/>
    <x v="39"/>
    <x v="29"/>
  </r>
  <r>
    <x v="0"/>
    <x v="39"/>
    <x v="29"/>
  </r>
  <r>
    <x v="0"/>
    <x v="39"/>
    <x v="29"/>
  </r>
  <r>
    <x v="0"/>
    <x v="39"/>
    <x v="29"/>
  </r>
  <r>
    <x v="0"/>
    <x v="39"/>
    <x v="29"/>
  </r>
  <r>
    <x v="0"/>
    <x v="39"/>
    <x v="29"/>
  </r>
  <r>
    <x v="0"/>
    <x v="39"/>
    <x v="29"/>
  </r>
  <r>
    <x v="0"/>
    <x v="39"/>
    <x v="29"/>
  </r>
  <r>
    <x v="6"/>
    <x v="39"/>
    <x v="29"/>
  </r>
  <r>
    <x v="0"/>
    <x v="39"/>
    <x v="29"/>
  </r>
  <r>
    <x v="0"/>
    <x v="39"/>
    <x v="41"/>
  </r>
  <r>
    <x v="6"/>
    <x v="39"/>
    <x v="32"/>
  </r>
  <r>
    <x v="0"/>
    <x v="39"/>
    <x v="34"/>
  </r>
  <r>
    <x v="7"/>
    <x v="39"/>
    <x v="34"/>
  </r>
  <r>
    <x v="0"/>
    <x v="39"/>
    <x v="38"/>
  </r>
  <r>
    <x v="0"/>
    <x v="39"/>
    <x v="21"/>
  </r>
  <r>
    <x v="0"/>
    <x v="39"/>
    <x v="22"/>
  </r>
  <r>
    <x v="0"/>
    <x v="39"/>
    <x v="28"/>
  </r>
  <r>
    <x v="0"/>
    <x v="39"/>
    <x v="24"/>
  </r>
  <r>
    <x v="0"/>
    <x v="39"/>
    <x v="34"/>
  </r>
  <r>
    <x v="31"/>
    <x v="39"/>
    <x v="36"/>
  </r>
  <r>
    <x v="0"/>
    <x v="39"/>
    <x v="42"/>
  </r>
  <r>
    <x v="0"/>
    <x v="39"/>
    <x v="44"/>
  </r>
  <r>
    <x v="528"/>
    <x v="15"/>
    <x v="0"/>
  </r>
  <r>
    <x v="0"/>
    <x v="15"/>
    <x v="1"/>
  </r>
  <r>
    <x v="0"/>
    <x v="15"/>
    <x v="2"/>
  </r>
  <r>
    <x v="2"/>
    <x v="15"/>
    <x v="3"/>
  </r>
  <r>
    <x v="0"/>
    <x v="15"/>
    <x v="4"/>
  </r>
  <r>
    <x v="16"/>
    <x v="15"/>
    <x v="5"/>
  </r>
  <r>
    <x v="0"/>
    <x v="15"/>
    <x v="6"/>
  </r>
  <r>
    <x v="0"/>
    <x v="15"/>
    <x v="7"/>
  </r>
  <r>
    <x v="0"/>
    <x v="15"/>
    <x v="8"/>
  </r>
  <r>
    <x v="0"/>
    <x v="15"/>
    <x v="9"/>
  </r>
  <r>
    <x v="0"/>
    <x v="15"/>
    <x v="10"/>
  </r>
  <r>
    <x v="13"/>
    <x v="15"/>
    <x v="11"/>
  </r>
  <r>
    <x v="16"/>
    <x v="15"/>
    <x v="12"/>
  </r>
  <r>
    <x v="0"/>
    <x v="15"/>
    <x v="39"/>
  </r>
  <r>
    <x v="23"/>
    <x v="15"/>
    <x v="39"/>
  </r>
  <r>
    <x v="0"/>
    <x v="15"/>
    <x v="13"/>
  </r>
  <r>
    <x v="5"/>
    <x v="15"/>
    <x v="38"/>
  </r>
  <r>
    <x v="0"/>
    <x v="15"/>
    <x v="26"/>
  </r>
  <r>
    <x v="19"/>
    <x v="15"/>
    <x v="26"/>
  </r>
  <r>
    <x v="0"/>
    <x v="15"/>
    <x v="14"/>
  </r>
  <r>
    <x v="4"/>
    <x v="15"/>
    <x v="25"/>
  </r>
  <r>
    <x v="33"/>
    <x v="15"/>
    <x v="25"/>
  </r>
  <r>
    <x v="23"/>
    <x v="15"/>
    <x v="15"/>
  </r>
  <r>
    <x v="111"/>
    <x v="15"/>
    <x v="36"/>
  </r>
  <r>
    <x v="71"/>
    <x v="15"/>
    <x v="40"/>
  </r>
  <r>
    <x v="63"/>
    <x v="15"/>
    <x v="40"/>
  </r>
  <r>
    <x v="456"/>
    <x v="15"/>
    <x v="16"/>
  </r>
  <r>
    <x v="40"/>
    <x v="15"/>
    <x v="17"/>
  </r>
  <r>
    <x v="52"/>
    <x v="15"/>
    <x v="33"/>
  </r>
  <r>
    <x v="46"/>
    <x v="15"/>
    <x v="33"/>
  </r>
  <r>
    <x v="10"/>
    <x v="15"/>
    <x v="18"/>
  </r>
  <r>
    <x v="0"/>
    <x v="15"/>
    <x v="19"/>
  </r>
  <r>
    <x v="0"/>
    <x v="15"/>
    <x v="20"/>
  </r>
  <r>
    <x v="0"/>
    <x v="15"/>
    <x v="35"/>
  </r>
  <r>
    <x v="0"/>
    <x v="15"/>
    <x v="35"/>
  </r>
  <r>
    <x v="0"/>
    <x v="15"/>
    <x v="35"/>
  </r>
  <r>
    <x v="0"/>
    <x v="15"/>
    <x v="35"/>
  </r>
  <r>
    <x v="0"/>
    <x v="15"/>
    <x v="30"/>
  </r>
  <r>
    <x v="4"/>
    <x v="15"/>
    <x v="30"/>
  </r>
  <r>
    <x v="0"/>
    <x v="15"/>
    <x v="27"/>
  </r>
  <r>
    <x v="2"/>
    <x v="15"/>
    <x v="27"/>
  </r>
  <r>
    <x v="0"/>
    <x v="15"/>
    <x v="31"/>
  </r>
  <r>
    <x v="0"/>
    <x v="15"/>
    <x v="31"/>
  </r>
  <r>
    <x v="0"/>
    <x v="15"/>
    <x v="31"/>
  </r>
  <r>
    <x v="0"/>
    <x v="15"/>
    <x v="31"/>
  </r>
  <r>
    <x v="27"/>
    <x v="15"/>
    <x v="37"/>
  </r>
  <r>
    <x v="0"/>
    <x v="15"/>
    <x v="37"/>
  </r>
  <r>
    <x v="16"/>
    <x v="15"/>
    <x v="37"/>
  </r>
  <r>
    <x v="0"/>
    <x v="15"/>
    <x v="29"/>
  </r>
  <r>
    <x v="0"/>
    <x v="15"/>
    <x v="29"/>
  </r>
  <r>
    <x v="0"/>
    <x v="15"/>
    <x v="29"/>
  </r>
  <r>
    <x v="0"/>
    <x v="15"/>
    <x v="29"/>
  </r>
  <r>
    <x v="6"/>
    <x v="15"/>
    <x v="29"/>
  </r>
  <r>
    <x v="0"/>
    <x v="15"/>
    <x v="29"/>
  </r>
  <r>
    <x v="0"/>
    <x v="15"/>
    <x v="29"/>
  </r>
  <r>
    <x v="0"/>
    <x v="15"/>
    <x v="29"/>
  </r>
  <r>
    <x v="0"/>
    <x v="15"/>
    <x v="29"/>
  </r>
  <r>
    <x v="6"/>
    <x v="15"/>
    <x v="29"/>
  </r>
  <r>
    <x v="21"/>
    <x v="15"/>
    <x v="29"/>
  </r>
  <r>
    <x v="0"/>
    <x v="15"/>
    <x v="29"/>
  </r>
  <r>
    <x v="0"/>
    <x v="15"/>
    <x v="41"/>
  </r>
  <r>
    <x v="5"/>
    <x v="15"/>
    <x v="32"/>
  </r>
  <r>
    <x v="0"/>
    <x v="15"/>
    <x v="34"/>
  </r>
  <r>
    <x v="0"/>
    <x v="15"/>
    <x v="34"/>
  </r>
  <r>
    <x v="0"/>
    <x v="15"/>
    <x v="38"/>
  </r>
  <r>
    <x v="0"/>
    <x v="15"/>
    <x v="21"/>
  </r>
  <r>
    <x v="0"/>
    <x v="15"/>
    <x v="22"/>
  </r>
  <r>
    <x v="0"/>
    <x v="15"/>
    <x v="28"/>
  </r>
  <r>
    <x v="0"/>
    <x v="15"/>
    <x v="24"/>
  </r>
  <r>
    <x v="0"/>
    <x v="15"/>
    <x v="34"/>
  </r>
  <r>
    <x v="109"/>
    <x v="15"/>
    <x v="36"/>
  </r>
  <r>
    <x v="0"/>
    <x v="15"/>
    <x v="42"/>
  </r>
  <r>
    <x v="0"/>
    <x v="15"/>
    <x v="44"/>
  </r>
  <r>
    <x v="514"/>
    <x v="16"/>
    <x v="0"/>
  </r>
  <r>
    <x v="0"/>
    <x v="16"/>
    <x v="1"/>
  </r>
  <r>
    <x v="0"/>
    <x v="16"/>
    <x v="2"/>
  </r>
  <r>
    <x v="0"/>
    <x v="16"/>
    <x v="3"/>
  </r>
  <r>
    <x v="0"/>
    <x v="16"/>
    <x v="4"/>
  </r>
  <r>
    <x v="0"/>
    <x v="16"/>
    <x v="5"/>
  </r>
  <r>
    <x v="0"/>
    <x v="16"/>
    <x v="6"/>
  </r>
  <r>
    <x v="0"/>
    <x v="16"/>
    <x v="7"/>
  </r>
  <r>
    <x v="0"/>
    <x v="16"/>
    <x v="8"/>
  </r>
  <r>
    <x v="11"/>
    <x v="16"/>
    <x v="9"/>
  </r>
  <r>
    <x v="0"/>
    <x v="16"/>
    <x v="10"/>
  </r>
  <r>
    <x v="0"/>
    <x v="16"/>
    <x v="11"/>
  </r>
  <r>
    <x v="0"/>
    <x v="16"/>
    <x v="12"/>
  </r>
  <r>
    <x v="0"/>
    <x v="16"/>
    <x v="39"/>
  </r>
  <r>
    <x v="0"/>
    <x v="16"/>
    <x v="39"/>
  </r>
  <r>
    <x v="0"/>
    <x v="16"/>
    <x v="13"/>
  </r>
  <r>
    <x v="0"/>
    <x v="16"/>
    <x v="38"/>
  </r>
  <r>
    <x v="0"/>
    <x v="16"/>
    <x v="26"/>
  </r>
  <r>
    <x v="7"/>
    <x v="16"/>
    <x v="26"/>
  </r>
  <r>
    <x v="0"/>
    <x v="16"/>
    <x v="14"/>
  </r>
  <r>
    <x v="0"/>
    <x v="16"/>
    <x v="25"/>
  </r>
  <r>
    <x v="7"/>
    <x v="16"/>
    <x v="25"/>
  </r>
  <r>
    <x v="0"/>
    <x v="16"/>
    <x v="15"/>
  </r>
  <r>
    <x v="7"/>
    <x v="16"/>
    <x v="36"/>
  </r>
  <r>
    <x v="20"/>
    <x v="16"/>
    <x v="40"/>
  </r>
  <r>
    <x v="0"/>
    <x v="16"/>
    <x v="40"/>
  </r>
  <r>
    <x v="33"/>
    <x v="16"/>
    <x v="16"/>
  </r>
  <r>
    <x v="431"/>
    <x v="16"/>
    <x v="17"/>
  </r>
  <r>
    <x v="0"/>
    <x v="16"/>
    <x v="33"/>
  </r>
  <r>
    <x v="0"/>
    <x v="16"/>
    <x v="33"/>
  </r>
  <r>
    <x v="84"/>
    <x v="16"/>
    <x v="18"/>
  </r>
  <r>
    <x v="12"/>
    <x v="16"/>
    <x v="19"/>
  </r>
  <r>
    <x v="6"/>
    <x v="16"/>
    <x v="20"/>
  </r>
  <r>
    <x v="0"/>
    <x v="16"/>
    <x v="35"/>
  </r>
  <r>
    <x v="0"/>
    <x v="16"/>
    <x v="35"/>
  </r>
  <r>
    <x v="0"/>
    <x v="16"/>
    <x v="35"/>
  </r>
  <r>
    <x v="0"/>
    <x v="16"/>
    <x v="35"/>
  </r>
  <r>
    <x v="40"/>
    <x v="16"/>
    <x v="30"/>
  </r>
  <r>
    <x v="61"/>
    <x v="16"/>
    <x v="30"/>
  </r>
  <r>
    <x v="236"/>
    <x v="16"/>
    <x v="27"/>
  </r>
  <r>
    <x v="175"/>
    <x v="16"/>
    <x v="27"/>
  </r>
  <r>
    <x v="0"/>
    <x v="16"/>
    <x v="31"/>
  </r>
  <r>
    <x v="0"/>
    <x v="16"/>
    <x v="31"/>
  </r>
  <r>
    <x v="0"/>
    <x v="16"/>
    <x v="31"/>
  </r>
  <r>
    <x v="0"/>
    <x v="16"/>
    <x v="31"/>
  </r>
  <r>
    <x v="162"/>
    <x v="16"/>
    <x v="37"/>
  </r>
  <r>
    <x v="27"/>
    <x v="16"/>
    <x v="37"/>
  </r>
  <r>
    <x v="92"/>
    <x v="16"/>
    <x v="37"/>
  </r>
  <r>
    <x v="0"/>
    <x v="16"/>
    <x v="29"/>
  </r>
  <r>
    <x v="0"/>
    <x v="16"/>
    <x v="29"/>
  </r>
  <r>
    <x v="0"/>
    <x v="16"/>
    <x v="29"/>
  </r>
  <r>
    <x v="0"/>
    <x v="16"/>
    <x v="29"/>
  </r>
  <r>
    <x v="0"/>
    <x v="16"/>
    <x v="29"/>
  </r>
  <r>
    <x v="0"/>
    <x v="16"/>
    <x v="29"/>
  </r>
  <r>
    <x v="0"/>
    <x v="16"/>
    <x v="29"/>
  </r>
  <r>
    <x v="0"/>
    <x v="16"/>
    <x v="29"/>
  </r>
  <r>
    <x v="0"/>
    <x v="16"/>
    <x v="29"/>
  </r>
  <r>
    <x v="7"/>
    <x v="16"/>
    <x v="29"/>
  </r>
  <r>
    <x v="0"/>
    <x v="16"/>
    <x v="29"/>
  </r>
  <r>
    <x v="0"/>
    <x v="16"/>
    <x v="29"/>
  </r>
  <r>
    <x v="0"/>
    <x v="16"/>
    <x v="41"/>
  </r>
  <r>
    <x v="0"/>
    <x v="16"/>
    <x v="32"/>
  </r>
  <r>
    <x v="0"/>
    <x v="16"/>
    <x v="34"/>
  </r>
  <r>
    <x v="0"/>
    <x v="16"/>
    <x v="34"/>
  </r>
  <r>
    <x v="7"/>
    <x v="16"/>
    <x v="38"/>
  </r>
  <r>
    <x v="10"/>
    <x v="16"/>
    <x v="21"/>
  </r>
  <r>
    <x v="27"/>
    <x v="16"/>
    <x v="22"/>
  </r>
  <r>
    <x v="1"/>
    <x v="16"/>
    <x v="23"/>
  </r>
  <r>
    <x v="11"/>
    <x v="16"/>
    <x v="28"/>
  </r>
  <r>
    <x v="0"/>
    <x v="16"/>
    <x v="24"/>
  </r>
  <r>
    <x v="0"/>
    <x v="16"/>
    <x v="34"/>
  </r>
  <r>
    <x v="0"/>
    <x v="16"/>
    <x v="36"/>
  </r>
  <r>
    <x v="0"/>
    <x v="16"/>
    <x v="42"/>
  </r>
  <r>
    <x v="0"/>
    <x v="16"/>
    <x v="44"/>
  </r>
  <r>
    <x v="564"/>
    <x v="32"/>
    <x v="0"/>
  </r>
  <r>
    <x v="0"/>
    <x v="32"/>
    <x v="1"/>
  </r>
  <r>
    <x v="15"/>
    <x v="32"/>
    <x v="2"/>
  </r>
  <r>
    <x v="9"/>
    <x v="32"/>
    <x v="3"/>
  </r>
  <r>
    <x v="0"/>
    <x v="32"/>
    <x v="4"/>
  </r>
  <r>
    <x v="7"/>
    <x v="32"/>
    <x v="5"/>
  </r>
  <r>
    <x v="0"/>
    <x v="32"/>
    <x v="6"/>
  </r>
  <r>
    <x v="9"/>
    <x v="32"/>
    <x v="7"/>
  </r>
  <r>
    <x v="7"/>
    <x v="32"/>
    <x v="8"/>
  </r>
  <r>
    <x v="0"/>
    <x v="32"/>
    <x v="9"/>
  </r>
  <r>
    <x v="285"/>
    <x v="32"/>
    <x v="10"/>
  </r>
  <r>
    <x v="101"/>
    <x v="32"/>
    <x v="11"/>
  </r>
  <r>
    <x v="22"/>
    <x v="32"/>
    <x v="12"/>
  </r>
  <r>
    <x v="0"/>
    <x v="32"/>
    <x v="39"/>
  </r>
  <r>
    <x v="0"/>
    <x v="32"/>
    <x v="39"/>
  </r>
  <r>
    <x v="10"/>
    <x v="32"/>
    <x v="13"/>
  </r>
  <r>
    <x v="56"/>
    <x v="32"/>
    <x v="38"/>
  </r>
  <r>
    <x v="7"/>
    <x v="32"/>
    <x v="26"/>
  </r>
  <r>
    <x v="14"/>
    <x v="32"/>
    <x v="26"/>
  </r>
  <r>
    <x v="46"/>
    <x v="32"/>
    <x v="14"/>
  </r>
  <r>
    <x v="0"/>
    <x v="32"/>
    <x v="25"/>
  </r>
  <r>
    <x v="18"/>
    <x v="32"/>
    <x v="25"/>
  </r>
  <r>
    <x v="10"/>
    <x v="32"/>
    <x v="15"/>
  </r>
  <r>
    <x v="77"/>
    <x v="32"/>
    <x v="36"/>
  </r>
  <r>
    <x v="0"/>
    <x v="32"/>
    <x v="40"/>
  </r>
  <r>
    <x v="0"/>
    <x v="32"/>
    <x v="40"/>
  </r>
  <r>
    <x v="31"/>
    <x v="32"/>
    <x v="16"/>
  </r>
  <r>
    <x v="0"/>
    <x v="32"/>
    <x v="17"/>
  </r>
  <r>
    <x v="535"/>
    <x v="32"/>
    <x v="33"/>
  </r>
  <r>
    <x v="430"/>
    <x v="32"/>
    <x v="33"/>
  </r>
  <r>
    <x v="0"/>
    <x v="32"/>
    <x v="18"/>
  </r>
  <r>
    <x v="0"/>
    <x v="32"/>
    <x v="19"/>
  </r>
  <r>
    <x v="0"/>
    <x v="32"/>
    <x v="20"/>
  </r>
  <r>
    <x v="0"/>
    <x v="32"/>
    <x v="35"/>
  </r>
  <r>
    <x v="0"/>
    <x v="32"/>
    <x v="35"/>
  </r>
  <r>
    <x v="0"/>
    <x v="32"/>
    <x v="35"/>
  </r>
  <r>
    <x v="17"/>
    <x v="32"/>
    <x v="35"/>
  </r>
  <r>
    <x v="0"/>
    <x v="32"/>
    <x v="30"/>
  </r>
  <r>
    <x v="0"/>
    <x v="32"/>
    <x v="30"/>
  </r>
  <r>
    <x v="0"/>
    <x v="32"/>
    <x v="27"/>
  </r>
  <r>
    <x v="0"/>
    <x v="32"/>
    <x v="27"/>
  </r>
  <r>
    <x v="0"/>
    <x v="32"/>
    <x v="31"/>
  </r>
  <r>
    <x v="9"/>
    <x v="32"/>
    <x v="31"/>
  </r>
  <r>
    <x v="0"/>
    <x v="32"/>
    <x v="31"/>
  </r>
  <r>
    <x v="0"/>
    <x v="32"/>
    <x v="31"/>
  </r>
  <r>
    <x v="10"/>
    <x v="32"/>
    <x v="37"/>
  </r>
  <r>
    <x v="24"/>
    <x v="32"/>
    <x v="37"/>
  </r>
  <r>
    <x v="9"/>
    <x v="32"/>
    <x v="37"/>
  </r>
  <r>
    <x v="0"/>
    <x v="32"/>
    <x v="29"/>
  </r>
  <r>
    <x v="0"/>
    <x v="32"/>
    <x v="29"/>
  </r>
  <r>
    <x v="0"/>
    <x v="32"/>
    <x v="29"/>
  </r>
  <r>
    <x v="0"/>
    <x v="32"/>
    <x v="29"/>
  </r>
  <r>
    <x v="5"/>
    <x v="32"/>
    <x v="29"/>
  </r>
  <r>
    <x v="0"/>
    <x v="32"/>
    <x v="29"/>
  </r>
  <r>
    <x v="0"/>
    <x v="32"/>
    <x v="29"/>
  </r>
  <r>
    <x v="0"/>
    <x v="32"/>
    <x v="29"/>
  </r>
  <r>
    <x v="0"/>
    <x v="32"/>
    <x v="29"/>
  </r>
  <r>
    <x v="8"/>
    <x v="32"/>
    <x v="29"/>
  </r>
  <r>
    <x v="0"/>
    <x v="32"/>
    <x v="29"/>
  </r>
  <r>
    <x v="0"/>
    <x v="32"/>
    <x v="29"/>
  </r>
  <r>
    <x v="0"/>
    <x v="32"/>
    <x v="41"/>
  </r>
  <r>
    <x v="0"/>
    <x v="32"/>
    <x v="32"/>
  </r>
  <r>
    <x v="0"/>
    <x v="32"/>
    <x v="34"/>
  </r>
  <r>
    <x v="0"/>
    <x v="32"/>
    <x v="34"/>
  </r>
  <r>
    <x v="18"/>
    <x v="32"/>
    <x v="38"/>
  </r>
  <r>
    <x v="0"/>
    <x v="32"/>
    <x v="21"/>
  </r>
  <r>
    <x v="0"/>
    <x v="32"/>
    <x v="22"/>
  </r>
  <r>
    <x v="0"/>
    <x v="32"/>
    <x v="23"/>
  </r>
  <r>
    <x v="0"/>
    <x v="32"/>
    <x v="28"/>
  </r>
  <r>
    <x v="0"/>
    <x v="32"/>
    <x v="24"/>
  </r>
  <r>
    <x v="0"/>
    <x v="32"/>
    <x v="34"/>
  </r>
  <r>
    <x v="36"/>
    <x v="32"/>
    <x v="36"/>
  </r>
  <r>
    <x v="0"/>
    <x v="32"/>
    <x v="42"/>
  </r>
  <r>
    <x v="0"/>
    <x v="32"/>
    <x v="44"/>
  </r>
  <r>
    <x v="578"/>
    <x v="32"/>
    <x v="0"/>
  </r>
  <r>
    <x v="30"/>
    <x v="32"/>
    <x v="1"/>
  </r>
  <r>
    <x v="22"/>
    <x v="32"/>
    <x v="2"/>
  </r>
  <r>
    <x v="0"/>
    <x v="32"/>
    <x v="3"/>
  </r>
  <r>
    <x v="8"/>
    <x v="32"/>
    <x v="4"/>
  </r>
  <r>
    <x v="15"/>
    <x v="32"/>
    <x v="5"/>
  </r>
  <r>
    <x v="13"/>
    <x v="32"/>
    <x v="6"/>
  </r>
  <r>
    <x v="22"/>
    <x v="32"/>
    <x v="7"/>
  </r>
  <r>
    <x v="26"/>
    <x v="32"/>
    <x v="8"/>
  </r>
  <r>
    <x v="18"/>
    <x v="32"/>
    <x v="9"/>
  </r>
  <r>
    <x v="297"/>
    <x v="32"/>
    <x v="10"/>
  </r>
  <r>
    <x v="347"/>
    <x v="32"/>
    <x v="11"/>
  </r>
  <r>
    <x v="152"/>
    <x v="32"/>
    <x v="12"/>
  </r>
  <r>
    <x v="0"/>
    <x v="32"/>
    <x v="39"/>
  </r>
  <r>
    <x v="0"/>
    <x v="32"/>
    <x v="39"/>
  </r>
  <r>
    <x v="14"/>
    <x v="32"/>
    <x v="13"/>
  </r>
  <r>
    <x v="89"/>
    <x v="32"/>
    <x v="38"/>
  </r>
  <r>
    <x v="19"/>
    <x v="32"/>
    <x v="26"/>
  </r>
  <r>
    <x v="74"/>
    <x v="32"/>
    <x v="26"/>
  </r>
  <r>
    <x v="67"/>
    <x v="32"/>
    <x v="14"/>
  </r>
  <r>
    <x v="0"/>
    <x v="32"/>
    <x v="25"/>
  </r>
  <r>
    <x v="106"/>
    <x v="32"/>
    <x v="25"/>
  </r>
  <r>
    <x v="27"/>
    <x v="32"/>
    <x v="15"/>
  </r>
  <r>
    <x v="180"/>
    <x v="32"/>
    <x v="36"/>
  </r>
  <r>
    <x v="14"/>
    <x v="32"/>
    <x v="40"/>
  </r>
  <r>
    <x v="0"/>
    <x v="32"/>
    <x v="40"/>
  </r>
  <r>
    <x v="26"/>
    <x v="32"/>
    <x v="16"/>
  </r>
  <r>
    <x v="0"/>
    <x v="32"/>
    <x v="17"/>
  </r>
  <r>
    <x v="538"/>
    <x v="32"/>
    <x v="33"/>
  </r>
  <r>
    <x v="553"/>
    <x v="32"/>
    <x v="33"/>
  </r>
  <r>
    <x v="0"/>
    <x v="32"/>
    <x v="18"/>
  </r>
  <r>
    <x v="0"/>
    <x v="32"/>
    <x v="19"/>
  </r>
  <r>
    <x v="0"/>
    <x v="32"/>
    <x v="20"/>
  </r>
  <r>
    <x v="29"/>
    <x v="32"/>
    <x v="35"/>
  </r>
  <r>
    <x v="0"/>
    <x v="32"/>
    <x v="35"/>
  </r>
  <r>
    <x v="0"/>
    <x v="32"/>
    <x v="35"/>
  </r>
  <r>
    <x v="7"/>
    <x v="32"/>
    <x v="35"/>
  </r>
  <r>
    <x v="0"/>
    <x v="32"/>
    <x v="30"/>
  </r>
  <r>
    <x v="17"/>
    <x v="32"/>
    <x v="30"/>
  </r>
  <r>
    <x v="0"/>
    <x v="32"/>
    <x v="27"/>
  </r>
  <r>
    <x v="9"/>
    <x v="32"/>
    <x v="27"/>
  </r>
  <r>
    <x v="4"/>
    <x v="32"/>
    <x v="31"/>
  </r>
  <r>
    <x v="0"/>
    <x v="32"/>
    <x v="31"/>
  </r>
  <r>
    <x v="0"/>
    <x v="32"/>
    <x v="31"/>
  </r>
  <r>
    <x v="0"/>
    <x v="32"/>
    <x v="31"/>
  </r>
  <r>
    <x v="7"/>
    <x v="32"/>
    <x v="37"/>
  </r>
  <r>
    <x v="37"/>
    <x v="32"/>
    <x v="37"/>
  </r>
  <r>
    <x v="7"/>
    <x v="32"/>
    <x v="37"/>
  </r>
  <r>
    <x v="0"/>
    <x v="32"/>
    <x v="29"/>
  </r>
  <r>
    <x v="0"/>
    <x v="32"/>
    <x v="29"/>
  </r>
  <r>
    <x v="0"/>
    <x v="32"/>
    <x v="29"/>
  </r>
  <r>
    <x v="0"/>
    <x v="32"/>
    <x v="29"/>
  </r>
  <r>
    <x v="0"/>
    <x v="32"/>
    <x v="29"/>
  </r>
  <r>
    <x v="0"/>
    <x v="32"/>
    <x v="29"/>
  </r>
  <r>
    <x v="0"/>
    <x v="32"/>
    <x v="29"/>
  </r>
  <r>
    <x v="0"/>
    <x v="32"/>
    <x v="29"/>
  </r>
  <r>
    <x v="0"/>
    <x v="32"/>
    <x v="29"/>
  </r>
  <r>
    <x v="0"/>
    <x v="32"/>
    <x v="29"/>
  </r>
  <r>
    <x v="14"/>
    <x v="32"/>
    <x v="29"/>
  </r>
  <r>
    <x v="0"/>
    <x v="32"/>
    <x v="29"/>
  </r>
  <r>
    <x v="0"/>
    <x v="32"/>
    <x v="41"/>
  </r>
  <r>
    <x v="0"/>
    <x v="32"/>
    <x v="32"/>
  </r>
  <r>
    <x v="0"/>
    <x v="32"/>
    <x v="34"/>
  </r>
  <r>
    <x v="0"/>
    <x v="32"/>
    <x v="34"/>
  </r>
  <r>
    <x v="14"/>
    <x v="32"/>
    <x v="38"/>
  </r>
  <r>
    <x v="0"/>
    <x v="32"/>
    <x v="21"/>
  </r>
  <r>
    <x v="0"/>
    <x v="32"/>
    <x v="22"/>
  </r>
  <r>
    <x v="0"/>
    <x v="32"/>
    <x v="23"/>
  </r>
  <r>
    <x v="0"/>
    <x v="32"/>
    <x v="28"/>
  </r>
  <r>
    <x v="4"/>
    <x v="32"/>
    <x v="24"/>
  </r>
  <r>
    <x v="10"/>
    <x v="32"/>
    <x v="34"/>
  </r>
  <r>
    <x v="136"/>
    <x v="32"/>
    <x v="36"/>
  </r>
  <r>
    <x v="0"/>
    <x v="32"/>
    <x v="42"/>
  </r>
  <r>
    <x v="10"/>
    <x v="32"/>
    <x v="44"/>
  </r>
  <r>
    <x v="536"/>
    <x v="17"/>
    <x v="0"/>
  </r>
  <r>
    <x v="0"/>
    <x v="17"/>
    <x v="1"/>
  </r>
  <r>
    <x v="0"/>
    <x v="17"/>
    <x v="2"/>
  </r>
  <r>
    <x v="0"/>
    <x v="17"/>
    <x v="3"/>
  </r>
  <r>
    <x v="0"/>
    <x v="17"/>
    <x v="4"/>
  </r>
  <r>
    <x v="0"/>
    <x v="17"/>
    <x v="5"/>
  </r>
  <r>
    <x v="0"/>
    <x v="17"/>
    <x v="6"/>
  </r>
  <r>
    <x v="0"/>
    <x v="17"/>
    <x v="7"/>
  </r>
  <r>
    <x v="0"/>
    <x v="17"/>
    <x v="8"/>
  </r>
  <r>
    <x v="0"/>
    <x v="17"/>
    <x v="9"/>
  </r>
  <r>
    <x v="0"/>
    <x v="17"/>
    <x v="10"/>
  </r>
  <r>
    <x v="0"/>
    <x v="17"/>
    <x v="11"/>
  </r>
  <r>
    <x v="0"/>
    <x v="17"/>
    <x v="12"/>
  </r>
  <r>
    <x v="0"/>
    <x v="17"/>
    <x v="39"/>
  </r>
  <r>
    <x v="0"/>
    <x v="17"/>
    <x v="39"/>
  </r>
  <r>
    <x v="0"/>
    <x v="17"/>
    <x v="13"/>
  </r>
  <r>
    <x v="0"/>
    <x v="17"/>
    <x v="38"/>
  </r>
  <r>
    <x v="0"/>
    <x v="17"/>
    <x v="26"/>
  </r>
  <r>
    <x v="0"/>
    <x v="17"/>
    <x v="26"/>
  </r>
  <r>
    <x v="14"/>
    <x v="17"/>
    <x v="14"/>
  </r>
  <r>
    <x v="0"/>
    <x v="17"/>
    <x v="25"/>
  </r>
  <r>
    <x v="4"/>
    <x v="17"/>
    <x v="25"/>
  </r>
  <r>
    <x v="0"/>
    <x v="17"/>
    <x v="15"/>
  </r>
  <r>
    <x v="9"/>
    <x v="17"/>
    <x v="36"/>
  </r>
  <r>
    <x v="80"/>
    <x v="17"/>
    <x v="40"/>
  </r>
  <r>
    <x v="219"/>
    <x v="17"/>
    <x v="40"/>
  </r>
  <r>
    <x v="0"/>
    <x v="17"/>
    <x v="16"/>
  </r>
  <r>
    <x v="94"/>
    <x v="17"/>
    <x v="17"/>
  </r>
  <r>
    <x v="0"/>
    <x v="17"/>
    <x v="33"/>
  </r>
  <r>
    <x v="0"/>
    <x v="17"/>
    <x v="33"/>
  </r>
  <r>
    <x v="479"/>
    <x v="17"/>
    <x v="18"/>
  </r>
  <r>
    <x v="15"/>
    <x v="17"/>
    <x v="19"/>
  </r>
  <r>
    <x v="0"/>
    <x v="17"/>
    <x v="20"/>
  </r>
  <r>
    <x v="0"/>
    <x v="17"/>
    <x v="35"/>
  </r>
  <r>
    <x v="0"/>
    <x v="17"/>
    <x v="35"/>
  </r>
  <r>
    <x v="0"/>
    <x v="17"/>
    <x v="35"/>
  </r>
  <r>
    <x v="0"/>
    <x v="17"/>
    <x v="35"/>
  </r>
  <r>
    <x v="0"/>
    <x v="17"/>
    <x v="30"/>
  </r>
  <r>
    <x v="0"/>
    <x v="17"/>
    <x v="30"/>
  </r>
  <r>
    <x v="22"/>
    <x v="17"/>
    <x v="27"/>
  </r>
  <r>
    <x v="22"/>
    <x v="17"/>
    <x v="27"/>
  </r>
  <r>
    <x v="0"/>
    <x v="17"/>
    <x v="31"/>
  </r>
  <r>
    <x v="0"/>
    <x v="17"/>
    <x v="31"/>
  </r>
  <r>
    <x v="0"/>
    <x v="17"/>
    <x v="31"/>
  </r>
  <r>
    <x v="0"/>
    <x v="17"/>
    <x v="31"/>
  </r>
  <r>
    <x v="43"/>
    <x v="17"/>
    <x v="37"/>
  </r>
  <r>
    <x v="0"/>
    <x v="17"/>
    <x v="37"/>
  </r>
  <r>
    <x v="30"/>
    <x v="17"/>
    <x v="37"/>
  </r>
  <r>
    <x v="0"/>
    <x v="17"/>
    <x v="29"/>
  </r>
  <r>
    <x v="0"/>
    <x v="17"/>
    <x v="29"/>
  </r>
  <r>
    <x v="0"/>
    <x v="17"/>
    <x v="29"/>
  </r>
  <r>
    <x v="0"/>
    <x v="17"/>
    <x v="29"/>
  </r>
  <r>
    <x v="0"/>
    <x v="17"/>
    <x v="29"/>
  </r>
  <r>
    <x v="0"/>
    <x v="17"/>
    <x v="29"/>
  </r>
  <r>
    <x v="0"/>
    <x v="17"/>
    <x v="29"/>
  </r>
  <r>
    <x v="0"/>
    <x v="17"/>
    <x v="29"/>
  </r>
  <r>
    <x v="0"/>
    <x v="17"/>
    <x v="29"/>
  </r>
  <r>
    <x v="0"/>
    <x v="17"/>
    <x v="29"/>
  </r>
  <r>
    <x v="0"/>
    <x v="17"/>
    <x v="29"/>
  </r>
  <r>
    <x v="0"/>
    <x v="17"/>
    <x v="29"/>
  </r>
  <r>
    <x v="0"/>
    <x v="17"/>
    <x v="41"/>
  </r>
  <r>
    <x v="0"/>
    <x v="17"/>
    <x v="32"/>
  </r>
  <r>
    <x v="0"/>
    <x v="17"/>
    <x v="34"/>
  </r>
  <r>
    <x v="0"/>
    <x v="17"/>
    <x v="34"/>
  </r>
  <r>
    <x v="0"/>
    <x v="17"/>
    <x v="38"/>
  </r>
  <r>
    <x v="0"/>
    <x v="17"/>
    <x v="21"/>
  </r>
  <r>
    <x v="0"/>
    <x v="17"/>
    <x v="22"/>
  </r>
  <r>
    <x v="0"/>
    <x v="17"/>
    <x v="23"/>
  </r>
  <r>
    <x v="0"/>
    <x v="17"/>
    <x v="28"/>
  </r>
  <r>
    <x v="0"/>
    <x v="17"/>
    <x v="24"/>
  </r>
  <r>
    <x v="0"/>
    <x v="17"/>
    <x v="34"/>
  </r>
  <r>
    <x v="0"/>
    <x v="17"/>
    <x v="36"/>
  </r>
  <r>
    <x v="0"/>
    <x v="17"/>
    <x v="42"/>
  </r>
  <r>
    <x v="0"/>
    <x v="17"/>
    <x v="44"/>
  </r>
  <r>
    <x v="486"/>
    <x v="18"/>
    <x v="0"/>
  </r>
  <r>
    <x v="0"/>
    <x v="18"/>
    <x v="1"/>
  </r>
  <r>
    <x v="0"/>
    <x v="18"/>
    <x v="2"/>
  </r>
  <r>
    <x v="0"/>
    <x v="18"/>
    <x v="3"/>
  </r>
  <r>
    <x v="0"/>
    <x v="18"/>
    <x v="4"/>
  </r>
  <r>
    <x v="0"/>
    <x v="18"/>
    <x v="5"/>
  </r>
  <r>
    <x v="0"/>
    <x v="18"/>
    <x v="6"/>
  </r>
  <r>
    <x v="0"/>
    <x v="18"/>
    <x v="7"/>
  </r>
  <r>
    <x v="0"/>
    <x v="18"/>
    <x v="8"/>
  </r>
  <r>
    <x v="0"/>
    <x v="18"/>
    <x v="9"/>
  </r>
  <r>
    <x v="0"/>
    <x v="18"/>
    <x v="10"/>
  </r>
  <r>
    <x v="0"/>
    <x v="18"/>
    <x v="11"/>
  </r>
  <r>
    <x v="0"/>
    <x v="18"/>
    <x v="12"/>
  </r>
  <r>
    <x v="0"/>
    <x v="18"/>
    <x v="39"/>
  </r>
  <r>
    <x v="0"/>
    <x v="18"/>
    <x v="39"/>
  </r>
  <r>
    <x v="0"/>
    <x v="18"/>
    <x v="13"/>
  </r>
  <r>
    <x v="0"/>
    <x v="18"/>
    <x v="38"/>
  </r>
  <r>
    <x v="0"/>
    <x v="18"/>
    <x v="26"/>
  </r>
  <r>
    <x v="0"/>
    <x v="18"/>
    <x v="26"/>
  </r>
  <r>
    <x v="0"/>
    <x v="18"/>
    <x v="14"/>
  </r>
  <r>
    <x v="0"/>
    <x v="18"/>
    <x v="25"/>
  </r>
  <r>
    <x v="13"/>
    <x v="18"/>
    <x v="25"/>
  </r>
  <r>
    <x v="0"/>
    <x v="18"/>
    <x v="15"/>
  </r>
  <r>
    <x v="0"/>
    <x v="18"/>
    <x v="36"/>
  </r>
  <r>
    <x v="0"/>
    <x v="18"/>
    <x v="40"/>
  </r>
  <r>
    <x v="0"/>
    <x v="18"/>
    <x v="40"/>
  </r>
  <r>
    <x v="0"/>
    <x v="18"/>
    <x v="16"/>
  </r>
  <r>
    <x v="0"/>
    <x v="18"/>
    <x v="17"/>
  </r>
  <r>
    <x v="0"/>
    <x v="18"/>
    <x v="33"/>
  </r>
  <r>
    <x v="0"/>
    <x v="18"/>
    <x v="33"/>
  </r>
  <r>
    <x v="0"/>
    <x v="18"/>
    <x v="18"/>
  </r>
  <r>
    <x v="419"/>
    <x v="18"/>
    <x v="19"/>
  </r>
  <r>
    <x v="9"/>
    <x v="18"/>
    <x v="20"/>
  </r>
  <r>
    <x v="0"/>
    <x v="18"/>
    <x v="35"/>
  </r>
  <r>
    <x v="0"/>
    <x v="18"/>
    <x v="35"/>
  </r>
  <r>
    <x v="0"/>
    <x v="18"/>
    <x v="35"/>
  </r>
  <r>
    <x v="0"/>
    <x v="18"/>
    <x v="35"/>
  </r>
  <r>
    <x v="0"/>
    <x v="18"/>
    <x v="30"/>
  </r>
  <r>
    <x v="0"/>
    <x v="18"/>
    <x v="30"/>
  </r>
  <r>
    <x v="66"/>
    <x v="18"/>
    <x v="27"/>
  </r>
  <r>
    <x v="119"/>
    <x v="18"/>
    <x v="27"/>
  </r>
  <r>
    <x v="0"/>
    <x v="18"/>
    <x v="31"/>
  </r>
  <r>
    <x v="0"/>
    <x v="18"/>
    <x v="31"/>
  </r>
  <r>
    <x v="0"/>
    <x v="18"/>
    <x v="31"/>
  </r>
  <r>
    <x v="0"/>
    <x v="18"/>
    <x v="31"/>
  </r>
  <r>
    <x v="8"/>
    <x v="18"/>
    <x v="37"/>
  </r>
  <r>
    <x v="0"/>
    <x v="18"/>
    <x v="37"/>
  </r>
  <r>
    <x v="0"/>
    <x v="18"/>
    <x v="37"/>
  </r>
  <r>
    <x v="0"/>
    <x v="18"/>
    <x v="29"/>
  </r>
  <r>
    <x v="0"/>
    <x v="18"/>
    <x v="29"/>
  </r>
  <r>
    <x v="0"/>
    <x v="18"/>
    <x v="29"/>
  </r>
  <r>
    <x v="0"/>
    <x v="18"/>
    <x v="29"/>
  </r>
  <r>
    <x v="0"/>
    <x v="18"/>
    <x v="29"/>
  </r>
  <r>
    <x v="0"/>
    <x v="18"/>
    <x v="29"/>
  </r>
  <r>
    <x v="0"/>
    <x v="18"/>
    <x v="29"/>
  </r>
  <r>
    <x v="0"/>
    <x v="18"/>
    <x v="29"/>
  </r>
  <r>
    <x v="0"/>
    <x v="18"/>
    <x v="29"/>
  </r>
  <r>
    <x v="0"/>
    <x v="18"/>
    <x v="29"/>
  </r>
  <r>
    <x v="7"/>
    <x v="18"/>
    <x v="29"/>
  </r>
  <r>
    <x v="0"/>
    <x v="18"/>
    <x v="29"/>
  </r>
  <r>
    <x v="0"/>
    <x v="18"/>
    <x v="41"/>
  </r>
  <r>
    <x v="0"/>
    <x v="18"/>
    <x v="32"/>
  </r>
  <r>
    <x v="0"/>
    <x v="18"/>
    <x v="34"/>
  </r>
  <r>
    <x v="0"/>
    <x v="18"/>
    <x v="34"/>
  </r>
  <r>
    <x v="0"/>
    <x v="18"/>
    <x v="38"/>
  </r>
  <r>
    <x v="104"/>
    <x v="18"/>
    <x v="21"/>
  </r>
  <r>
    <x v="0"/>
    <x v="18"/>
    <x v="22"/>
  </r>
  <r>
    <x v="0"/>
    <x v="18"/>
    <x v="23"/>
  </r>
  <r>
    <x v="19"/>
    <x v="18"/>
    <x v="28"/>
  </r>
  <r>
    <x v="39"/>
    <x v="18"/>
    <x v="24"/>
  </r>
  <r>
    <x v="0"/>
    <x v="18"/>
    <x v="34"/>
  </r>
  <r>
    <x v="0"/>
    <x v="18"/>
    <x v="36"/>
  </r>
  <r>
    <x v="0"/>
    <x v="18"/>
    <x v="42"/>
  </r>
  <r>
    <x v="0"/>
    <x v="18"/>
    <x v="44"/>
  </r>
  <r>
    <x v="556"/>
    <x v="19"/>
    <x v="0"/>
  </r>
  <r>
    <x v="0"/>
    <x v="19"/>
    <x v="1"/>
  </r>
  <r>
    <x v="0"/>
    <x v="19"/>
    <x v="2"/>
  </r>
  <r>
    <x v="5"/>
    <x v="19"/>
    <x v="3"/>
  </r>
  <r>
    <x v="0"/>
    <x v="19"/>
    <x v="4"/>
  </r>
  <r>
    <x v="0"/>
    <x v="19"/>
    <x v="5"/>
  </r>
  <r>
    <x v="0"/>
    <x v="19"/>
    <x v="6"/>
  </r>
  <r>
    <x v="0"/>
    <x v="19"/>
    <x v="7"/>
  </r>
  <r>
    <x v="0"/>
    <x v="19"/>
    <x v="8"/>
  </r>
  <r>
    <x v="0"/>
    <x v="19"/>
    <x v="9"/>
  </r>
  <r>
    <x v="0"/>
    <x v="19"/>
    <x v="10"/>
  </r>
  <r>
    <x v="0"/>
    <x v="19"/>
    <x v="11"/>
  </r>
  <r>
    <x v="0"/>
    <x v="19"/>
    <x v="12"/>
  </r>
  <r>
    <x v="0"/>
    <x v="19"/>
    <x v="39"/>
  </r>
  <r>
    <x v="0"/>
    <x v="19"/>
    <x v="39"/>
  </r>
  <r>
    <x v="0"/>
    <x v="19"/>
    <x v="13"/>
  </r>
  <r>
    <x v="0"/>
    <x v="19"/>
    <x v="38"/>
  </r>
  <r>
    <x v="0"/>
    <x v="19"/>
    <x v="26"/>
  </r>
  <r>
    <x v="0"/>
    <x v="19"/>
    <x v="26"/>
  </r>
  <r>
    <x v="0"/>
    <x v="19"/>
    <x v="14"/>
  </r>
  <r>
    <x v="6"/>
    <x v="19"/>
    <x v="25"/>
  </r>
  <r>
    <x v="6"/>
    <x v="19"/>
    <x v="25"/>
  </r>
  <r>
    <x v="29"/>
    <x v="19"/>
    <x v="15"/>
  </r>
  <r>
    <x v="0"/>
    <x v="19"/>
    <x v="36"/>
  </r>
  <r>
    <x v="0"/>
    <x v="19"/>
    <x v="40"/>
  </r>
  <r>
    <x v="0"/>
    <x v="19"/>
    <x v="40"/>
  </r>
  <r>
    <x v="0"/>
    <x v="19"/>
    <x v="16"/>
  </r>
  <r>
    <x v="0"/>
    <x v="19"/>
    <x v="17"/>
  </r>
  <r>
    <x v="0"/>
    <x v="19"/>
    <x v="33"/>
  </r>
  <r>
    <x v="0"/>
    <x v="19"/>
    <x v="33"/>
  </r>
  <r>
    <x v="1"/>
    <x v="19"/>
    <x v="18"/>
  </r>
  <r>
    <x v="0"/>
    <x v="19"/>
    <x v="19"/>
  </r>
  <r>
    <x v="551"/>
    <x v="19"/>
    <x v="20"/>
  </r>
  <r>
    <x v="0"/>
    <x v="19"/>
    <x v="35"/>
  </r>
  <r>
    <x v="0"/>
    <x v="19"/>
    <x v="35"/>
  </r>
  <r>
    <x v="0"/>
    <x v="19"/>
    <x v="35"/>
  </r>
  <r>
    <x v="5"/>
    <x v="19"/>
    <x v="35"/>
  </r>
  <r>
    <x v="0"/>
    <x v="19"/>
    <x v="30"/>
  </r>
  <r>
    <x v="16"/>
    <x v="19"/>
    <x v="30"/>
  </r>
  <r>
    <x v="6"/>
    <x v="19"/>
    <x v="27"/>
  </r>
  <r>
    <x v="5"/>
    <x v="19"/>
    <x v="27"/>
  </r>
  <r>
    <x v="7"/>
    <x v="19"/>
    <x v="31"/>
  </r>
  <r>
    <x v="0"/>
    <x v="19"/>
    <x v="31"/>
  </r>
  <r>
    <x v="0"/>
    <x v="19"/>
    <x v="31"/>
  </r>
  <r>
    <x v="0"/>
    <x v="19"/>
    <x v="31"/>
  </r>
  <r>
    <x v="0"/>
    <x v="19"/>
    <x v="37"/>
  </r>
  <r>
    <x v="8"/>
    <x v="19"/>
    <x v="37"/>
  </r>
  <r>
    <x v="0"/>
    <x v="19"/>
    <x v="37"/>
  </r>
  <r>
    <x v="0"/>
    <x v="19"/>
    <x v="29"/>
  </r>
  <r>
    <x v="0"/>
    <x v="19"/>
    <x v="29"/>
  </r>
  <r>
    <x v="0"/>
    <x v="19"/>
    <x v="29"/>
  </r>
  <r>
    <x v="0"/>
    <x v="19"/>
    <x v="29"/>
  </r>
  <r>
    <x v="0"/>
    <x v="19"/>
    <x v="29"/>
  </r>
  <r>
    <x v="0"/>
    <x v="19"/>
    <x v="29"/>
  </r>
  <r>
    <x v="0"/>
    <x v="19"/>
    <x v="29"/>
  </r>
  <r>
    <x v="0"/>
    <x v="19"/>
    <x v="29"/>
  </r>
  <r>
    <x v="4"/>
    <x v="19"/>
    <x v="29"/>
  </r>
  <r>
    <x v="46"/>
    <x v="19"/>
    <x v="29"/>
  </r>
  <r>
    <x v="72"/>
    <x v="19"/>
    <x v="29"/>
  </r>
  <r>
    <x v="0"/>
    <x v="19"/>
    <x v="29"/>
  </r>
  <r>
    <x v="128"/>
    <x v="19"/>
    <x v="41"/>
  </r>
  <r>
    <x v="12"/>
    <x v="19"/>
    <x v="32"/>
  </r>
  <r>
    <x v="0"/>
    <x v="19"/>
    <x v="34"/>
  </r>
  <r>
    <x v="20"/>
    <x v="19"/>
    <x v="34"/>
  </r>
  <r>
    <x v="0"/>
    <x v="19"/>
    <x v="38"/>
  </r>
  <r>
    <x v="0"/>
    <x v="19"/>
    <x v="21"/>
  </r>
  <r>
    <x v="0"/>
    <x v="19"/>
    <x v="22"/>
  </r>
  <r>
    <x v="0"/>
    <x v="19"/>
    <x v="23"/>
  </r>
  <r>
    <x v="0"/>
    <x v="19"/>
    <x v="28"/>
  </r>
  <r>
    <x v="243"/>
    <x v="19"/>
    <x v="24"/>
  </r>
  <r>
    <x v="17"/>
    <x v="19"/>
    <x v="34"/>
  </r>
  <r>
    <x v="19"/>
    <x v="19"/>
    <x v="41"/>
  </r>
  <r>
    <x v="0"/>
    <x v="19"/>
    <x v="36"/>
  </r>
  <r>
    <x v="0"/>
    <x v="19"/>
    <x v="42"/>
  </r>
  <r>
    <x v="0"/>
    <x v="19"/>
    <x v="44"/>
  </r>
  <r>
    <x v="587"/>
    <x v="34"/>
    <x v="0"/>
  </r>
  <r>
    <x v="13"/>
    <x v="34"/>
    <x v="1"/>
  </r>
  <r>
    <x v="0"/>
    <x v="34"/>
    <x v="2"/>
  </r>
  <r>
    <x v="0"/>
    <x v="34"/>
    <x v="3"/>
  </r>
  <r>
    <x v="10"/>
    <x v="34"/>
    <x v="4"/>
  </r>
  <r>
    <x v="0"/>
    <x v="34"/>
    <x v="5"/>
  </r>
  <r>
    <x v="10"/>
    <x v="34"/>
    <x v="6"/>
  </r>
  <r>
    <x v="5"/>
    <x v="34"/>
    <x v="7"/>
  </r>
  <r>
    <x v="8"/>
    <x v="34"/>
    <x v="8"/>
  </r>
  <r>
    <x v="6"/>
    <x v="34"/>
    <x v="9"/>
  </r>
  <r>
    <x v="0"/>
    <x v="34"/>
    <x v="10"/>
  </r>
  <r>
    <x v="8"/>
    <x v="34"/>
    <x v="11"/>
  </r>
  <r>
    <x v="10"/>
    <x v="34"/>
    <x v="12"/>
  </r>
  <r>
    <x v="0"/>
    <x v="34"/>
    <x v="39"/>
  </r>
  <r>
    <x v="0"/>
    <x v="34"/>
    <x v="39"/>
  </r>
  <r>
    <x v="0"/>
    <x v="34"/>
    <x v="13"/>
  </r>
  <r>
    <x v="5"/>
    <x v="34"/>
    <x v="38"/>
  </r>
  <r>
    <x v="0"/>
    <x v="34"/>
    <x v="26"/>
  </r>
  <r>
    <x v="0"/>
    <x v="34"/>
    <x v="26"/>
  </r>
  <r>
    <x v="49"/>
    <x v="34"/>
    <x v="14"/>
  </r>
  <r>
    <x v="10"/>
    <x v="34"/>
    <x v="25"/>
  </r>
  <r>
    <x v="51"/>
    <x v="34"/>
    <x v="25"/>
  </r>
  <r>
    <x v="43"/>
    <x v="34"/>
    <x v="15"/>
  </r>
  <r>
    <x v="7"/>
    <x v="34"/>
    <x v="36"/>
  </r>
  <r>
    <x v="0"/>
    <x v="34"/>
    <x v="40"/>
  </r>
  <r>
    <x v="11"/>
    <x v="34"/>
    <x v="40"/>
  </r>
  <r>
    <x v="12"/>
    <x v="34"/>
    <x v="16"/>
  </r>
  <r>
    <x v="0"/>
    <x v="34"/>
    <x v="17"/>
  </r>
  <r>
    <x v="0"/>
    <x v="34"/>
    <x v="33"/>
  </r>
  <r>
    <x v="7"/>
    <x v="34"/>
    <x v="33"/>
  </r>
  <r>
    <x v="7"/>
    <x v="34"/>
    <x v="18"/>
  </r>
  <r>
    <x v="0"/>
    <x v="34"/>
    <x v="19"/>
  </r>
  <r>
    <x v="0"/>
    <x v="34"/>
    <x v="20"/>
  </r>
  <r>
    <x v="583"/>
    <x v="34"/>
    <x v="35"/>
  </r>
  <r>
    <x v="119"/>
    <x v="34"/>
    <x v="35"/>
  </r>
  <r>
    <x v="216"/>
    <x v="34"/>
    <x v="35"/>
  </r>
  <r>
    <x v="348"/>
    <x v="34"/>
    <x v="35"/>
  </r>
  <r>
    <x v="504"/>
    <x v="34"/>
    <x v="35"/>
  </r>
  <r>
    <x v="0"/>
    <x v="34"/>
    <x v="30"/>
  </r>
  <r>
    <x v="6"/>
    <x v="34"/>
    <x v="30"/>
  </r>
  <r>
    <x v="11"/>
    <x v="34"/>
    <x v="27"/>
  </r>
  <r>
    <x v="0"/>
    <x v="34"/>
    <x v="27"/>
  </r>
  <r>
    <x v="17"/>
    <x v="34"/>
    <x v="31"/>
  </r>
  <r>
    <x v="45"/>
    <x v="34"/>
    <x v="31"/>
  </r>
  <r>
    <x v="10"/>
    <x v="34"/>
    <x v="31"/>
  </r>
  <r>
    <x v="9"/>
    <x v="34"/>
    <x v="31"/>
  </r>
  <r>
    <x v="101"/>
    <x v="34"/>
    <x v="31"/>
  </r>
  <r>
    <x v="10"/>
    <x v="34"/>
    <x v="37"/>
  </r>
  <r>
    <x v="21"/>
    <x v="34"/>
    <x v="37"/>
  </r>
  <r>
    <x v="0"/>
    <x v="34"/>
    <x v="37"/>
  </r>
  <r>
    <x v="1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19"/>
    <x v="34"/>
    <x v="29"/>
  </r>
  <r>
    <x v="76"/>
    <x v="34"/>
    <x v="29"/>
  </r>
  <r>
    <x v="51"/>
    <x v="34"/>
    <x v="29"/>
  </r>
  <r>
    <x v="7"/>
    <x v="34"/>
    <x v="29"/>
  </r>
  <r>
    <x v="14"/>
    <x v="34"/>
    <x v="41"/>
  </r>
  <r>
    <x v="69"/>
    <x v="34"/>
    <x v="32"/>
  </r>
  <r>
    <x v="0"/>
    <x v="34"/>
    <x v="34"/>
  </r>
  <r>
    <x v="20"/>
    <x v="34"/>
    <x v="34"/>
  </r>
  <r>
    <x v="0"/>
    <x v="34"/>
    <x v="38"/>
  </r>
  <r>
    <x v="0"/>
    <x v="34"/>
    <x v="21"/>
  </r>
  <r>
    <x v="13"/>
    <x v="34"/>
    <x v="22"/>
  </r>
  <r>
    <x v="0"/>
    <x v="34"/>
    <x v="23"/>
  </r>
  <r>
    <x v="30"/>
    <x v="34"/>
    <x v="28"/>
  </r>
  <r>
    <x v="0"/>
    <x v="34"/>
    <x v="24"/>
  </r>
  <r>
    <x v="10"/>
    <x v="34"/>
    <x v="34"/>
  </r>
  <r>
    <x v="8"/>
    <x v="34"/>
    <x v="41"/>
  </r>
  <r>
    <x v="33"/>
    <x v="34"/>
    <x v="31"/>
  </r>
  <r>
    <x v="0"/>
    <x v="34"/>
    <x v="36"/>
  </r>
  <r>
    <x v="0"/>
    <x v="34"/>
    <x v="42"/>
  </r>
  <r>
    <x v="9"/>
    <x v="34"/>
    <x v="43"/>
  </r>
  <r>
    <x v="150"/>
    <x v="34"/>
    <x v="44"/>
  </r>
  <r>
    <x v="499"/>
    <x v="34"/>
    <x v="0"/>
  </r>
  <r>
    <x v="0"/>
    <x v="34"/>
    <x v="1"/>
  </r>
  <r>
    <x v="0"/>
    <x v="34"/>
    <x v="2"/>
  </r>
  <r>
    <x v="0"/>
    <x v="34"/>
    <x v="3"/>
  </r>
  <r>
    <x v="0"/>
    <x v="34"/>
    <x v="4"/>
  </r>
  <r>
    <x v="0"/>
    <x v="34"/>
    <x v="5"/>
  </r>
  <r>
    <x v="0"/>
    <x v="34"/>
    <x v="6"/>
  </r>
  <r>
    <x v="0"/>
    <x v="34"/>
    <x v="7"/>
  </r>
  <r>
    <x v="0"/>
    <x v="34"/>
    <x v="8"/>
  </r>
  <r>
    <x v="0"/>
    <x v="34"/>
    <x v="9"/>
  </r>
  <r>
    <x v="0"/>
    <x v="34"/>
    <x v="10"/>
  </r>
  <r>
    <x v="0"/>
    <x v="34"/>
    <x v="11"/>
  </r>
  <r>
    <x v="10"/>
    <x v="34"/>
    <x v="12"/>
  </r>
  <r>
    <x v="0"/>
    <x v="34"/>
    <x v="39"/>
  </r>
  <r>
    <x v="7"/>
    <x v="34"/>
    <x v="39"/>
  </r>
  <r>
    <x v="0"/>
    <x v="34"/>
    <x v="13"/>
  </r>
  <r>
    <x v="0"/>
    <x v="34"/>
    <x v="38"/>
  </r>
  <r>
    <x v="0"/>
    <x v="34"/>
    <x v="26"/>
  </r>
  <r>
    <x v="0"/>
    <x v="34"/>
    <x v="26"/>
  </r>
  <r>
    <x v="13"/>
    <x v="34"/>
    <x v="14"/>
  </r>
  <r>
    <x v="0"/>
    <x v="34"/>
    <x v="25"/>
  </r>
  <r>
    <x v="9"/>
    <x v="34"/>
    <x v="25"/>
  </r>
  <r>
    <x v="0"/>
    <x v="34"/>
    <x v="15"/>
  </r>
  <r>
    <x v="6"/>
    <x v="34"/>
    <x v="36"/>
  </r>
  <r>
    <x v="0"/>
    <x v="34"/>
    <x v="40"/>
  </r>
  <r>
    <x v="0"/>
    <x v="34"/>
    <x v="40"/>
  </r>
  <r>
    <x v="0"/>
    <x v="34"/>
    <x v="16"/>
  </r>
  <r>
    <x v="0"/>
    <x v="34"/>
    <x v="17"/>
  </r>
  <r>
    <x v="0"/>
    <x v="34"/>
    <x v="33"/>
  </r>
  <r>
    <x v="0"/>
    <x v="34"/>
    <x v="33"/>
  </r>
  <r>
    <x v="0"/>
    <x v="34"/>
    <x v="18"/>
  </r>
  <r>
    <x v="0"/>
    <x v="34"/>
    <x v="19"/>
  </r>
  <r>
    <x v="0"/>
    <x v="34"/>
    <x v="20"/>
  </r>
  <r>
    <x v="274"/>
    <x v="34"/>
    <x v="35"/>
  </r>
  <r>
    <x v="341"/>
    <x v="34"/>
    <x v="35"/>
  </r>
  <r>
    <x v="108"/>
    <x v="34"/>
    <x v="35"/>
  </r>
  <r>
    <x v="0"/>
    <x v="34"/>
    <x v="35"/>
  </r>
  <r>
    <x v="404"/>
    <x v="34"/>
    <x v="35"/>
  </r>
  <r>
    <x v="0"/>
    <x v="34"/>
    <x v="30"/>
  </r>
  <r>
    <x v="0"/>
    <x v="34"/>
    <x v="30"/>
  </r>
  <r>
    <x v="0"/>
    <x v="34"/>
    <x v="27"/>
  </r>
  <r>
    <x v="0"/>
    <x v="34"/>
    <x v="27"/>
  </r>
  <r>
    <x v="21"/>
    <x v="34"/>
    <x v="31"/>
  </r>
  <r>
    <x v="94"/>
    <x v="34"/>
    <x v="31"/>
  </r>
  <r>
    <x v="35"/>
    <x v="34"/>
    <x v="31"/>
  </r>
  <r>
    <x v="25"/>
    <x v="34"/>
    <x v="31"/>
  </r>
  <r>
    <x v="10"/>
    <x v="34"/>
    <x v="31"/>
  </r>
  <r>
    <x v="8"/>
    <x v="34"/>
    <x v="31"/>
  </r>
  <r>
    <x v="53"/>
    <x v="34"/>
    <x v="31"/>
  </r>
  <r>
    <x v="0"/>
    <x v="34"/>
    <x v="37"/>
  </r>
  <r>
    <x v="0"/>
    <x v="34"/>
    <x v="37"/>
  </r>
  <r>
    <x v="0"/>
    <x v="34"/>
    <x v="37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9"/>
    <x v="34"/>
    <x v="29"/>
  </r>
  <r>
    <x v="0"/>
    <x v="34"/>
    <x v="29"/>
  </r>
  <r>
    <x v="55"/>
    <x v="34"/>
    <x v="29"/>
  </r>
  <r>
    <x v="26"/>
    <x v="34"/>
    <x v="29"/>
  </r>
  <r>
    <x v="0"/>
    <x v="34"/>
    <x v="29"/>
  </r>
  <r>
    <x v="0"/>
    <x v="34"/>
    <x v="41"/>
  </r>
  <r>
    <x v="29"/>
    <x v="34"/>
    <x v="32"/>
  </r>
  <r>
    <x v="0"/>
    <x v="34"/>
    <x v="34"/>
  </r>
  <r>
    <x v="0"/>
    <x v="34"/>
    <x v="34"/>
  </r>
  <r>
    <x v="0"/>
    <x v="34"/>
    <x v="38"/>
  </r>
  <r>
    <x v="0"/>
    <x v="34"/>
    <x v="21"/>
  </r>
  <r>
    <x v="0"/>
    <x v="34"/>
    <x v="22"/>
  </r>
  <r>
    <x v="0"/>
    <x v="34"/>
    <x v="23"/>
  </r>
  <r>
    <x v="0"/>
    <x v="34"/>
    <x v="28"/>
  </r>
  <r>
    <x v="0"/>
    <x v="34"/>
    <x v="24"/>
  </r>
  <r>
    <x v="0"/>
    <x v="34"/>
    <x v="34"/>
  </r>
  <r>
    <x v="0"/>
    <x v="34"/>
    <x v="41"/>
  </r>
  <r>
    <x v="11"/>
    <x v="34"/>
    <x v="31"/>
  </r>
  <r>
    <x v="0"/>
    <x v="34"/>
    <x v="36"/>
  </r>
  <r>
    <x v="0"/>
    <x v="34"/>
    <x v="42"/>
  </r>
  <r>
    <x v="0"/>
    <x v="34"/>
    <x v="43"/>
  </r>
  <r>
    <x v="13"/>
    <x v="34"/>
    <x v="44"/>
  </r>
  <r>
    <x v="477"/>
    <x v="34"/>
    <x v="0"/>
  </r>
  <r>
    <x v="0"/>
    <x v="34"/>
    <x v="1"/>
  </r>
  <r>
    <x v="0"/>
    <x v="34"/>
    <x v="2"/>
  </r>
  <r>
    <x v="0"/>
    <x v="34"/>
    <x v="3"/>
  </r>
  <r>
    <x v="0"/>
    <x v="34"/>
    <x v="4"/>
  </r>
  <r>
    <x v="0"/>
    <x v="34"/>
    <x v="5"/>
  </r>
  <r>
    <x v="0"/>
    <x v="34"/>
    <x v="6"/>
  </r>
  <r>
    <x v="0"/>
    <x v="34"/>
    <x v="7"/>
  </r>
  <r>
    <x v="0"/>
    <x v="34"/>
    <x v="8"/>
  </r>
  <r>
    <x v="0"/>
    <x v="34"/>
    <x v="9"/>
  </r>
  <r>
    <x v="0"/>
    <x v="34"/>
    <x v="10"/>
  </r>
  <r>
    <x v="0"/>
    <x v="34"/>
    <x v="11"/>
  </r>
  <r>
    <x v="0"/>
    <x v="34"/>
    <x v="12"/>
  </r>
  <r>
    <x v="0"/>
    <x v="34"/>
    <x v="39"/>
  </r>
  <r>
    <x v="0"/>
    <x v="34"/>
    <x v="39"/>
  </r>
  <r>
    <x v="0"/>
    <x v="34"/>
    <x v="13"/>
  </r>
  <r>
    <x v="0"/>
    <x v="34"/>
    <x v="38"/>
  </r>
  <r>
    <x v="0"/>
    <x v="34"/>
    <x v="26"/>
  </r>
  <r>
    <x v="0"/>
    <x v="34"/>
    <x v="26"/>
  </r>
  <r>
    <x v="0"/>
    <x v="34"/>
    <x v="14"/>
  </r>
  <r>
    <x v="0"/>
    <x v="34"/>
    <x v="25"/>
  </r>
  <r>
    <x v="0"/>
    <x v="34"/>
    <x v="25"/>
  </r>
  <r>
    <x v="0"/>
    <x v="34"/>
    <x v="15"/>
  </r>
  <r>
    <x v="0"/>
    <x v="34"/>
    <x v="36"/>
  </r>
  <r>
    <x v="0"/>
    <x v="34"/>
    <x v="40"/>
  </r>
  <r>
    <x v="0"/>
    <x v="34"/>
    <x v="40"/>
  </r>
  <r>
    <x v="0"/>
    <x v="34"/>
    <x v="16"/>
  </r>
  <r>
    <x v="0"/>
    <x v="34"/>
    <x v="17"/>
  </r>
  <r>
    <x v="0"/>
    <x v="34"/>
    <x v="33"/>
  </r>
  <r>
    <x v="0"/>
    <x v="34"/>
    <x v="33"/>
  </r>
  <r>
    <x v="0"/>
    <x v="34"/>
    <x v="18"/>
  </r>
  <r>
    <x v="0"/>
    <x v="34"/>
    <x v="19"/>
  </r>
  <r>
    <x v="0"/>
    <x v="34"/>
    <x v="20"/>
  </r>
  <r>
    <x v="315"/>
    <x v="34"/>
    <x v="35"/>
  </r>
  <r>
    <x v="75"/>
    <x v="34"/>
    <x v="35"/>
  </r>
  <r>
    <x v="396"/>
    <x v="34"/>
    <x v="35"/>
  </r>
  <r>
    <x v="15"/>
    <x v="34"/>
    <x v="35"/>
  </r>
  <r>
    <x v="328"/>
    <x v="34"/>
    <x v="35"/>
  </r>
  <r>
    <x v="0"/>
    <x v="34"/>
    <x v="30"/>
  </r>
  <r>
    <x v="13"/>
    <x v="34"/>
    <x v="30"/>
  </r>
  <r>
    <x v="0"/>
    <x v="34"/>
    <x v="27"/>
  </r>
  <r>
    <x v="0"/>
    <x v="34"/>
    <x v="27"/>
  </r>
  <r>
    <x v="0"/>
    <x v="34"/>
    <x v="31"/>
  </r>
  <r>
    <x v="0"/>
    <x v="34"/>
    <x v="31"/>
  </r>
  <r>
    <x v="0"/>
    <x v="34"/>
    <x v="31"/>
  </r>
  <r>
    <x v="7"/>
    <x v="34"/>
    <x v="31"/>
  </r>
  <r>
    <x v="0"/>
    <x v="34"/>
    <x v="31"/>
  </r>
  <r>
    <x v="0"/>
    <x v="34"/>
    <x v="31"/>
  </r>
  <r>
    <x v="0"/>
    <x v="34"/>
    <x v="31"/>
  </r>
  <r>
    <x v="0"/>
    <x v="34"/>
    <x v="37"/>
  </r>
  <r>
    <x v="0"/>
    <x v="34"/>
    <x v="37"/>
  </r>
  <r>
    <x v="0"/>
    <x v="34"/>
    <x v="37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41"/>
  </r>
  <r>
    <x v="61"/>
    <x v="34"/>
    <x v="32"/>
  </r>
  <r>
    <x v="0"/>
    <x v="34"/>
    <x v="34"/>
  </r>
  <r>
    <x v="0"/>
    <x v="34"/>
    <x v="34"/>
  </r>
  <r>
    <x v="0"/>
    <x v="34"/>
    <x v="38"/>
  </r>
  <r>
    <x v="0"/>
    <x v="34"/>
    <x v="21"/>
  </r>
  <r>
    <x v="0"/>
    <x v="34"/>
    <x v="22"/>
  </r>
  <r>
    <x v="0"/>
    <x v="34"/>
    <x v="23"/>
  </r>
  <r>
    <x v="0"/>
    <x v="34"/>
    <x v="28"/>
  </r>
  <r>
    <x v="0"/>
    <x v="34"/>
    <x v="24"/>
  </r>
  <r>
    <x v="0"/>
    <x v="34"/>
    <x v="34"/>
  </r>
  <r>
    <x v="0"/>
    <x v="34"/>
    <x v="41"/>
  </r>
  <r>
    <x v="0"/>
    <x v="34"/>
    <x v="31"/>
  </r>
  <r>
    <x v="0"/>
    <x v="34"/>
    <x v="36"/>
  </r>
  <r>
    <x v="0"/>
    <x v="34"/>
    <x v="42"/>
  </r>
  <r>
    <x v="0"/>
    <x v="34"/>
    <x v="43"/>
  </r>
  <r>
    <x v="0"/>
    <x v="34"/>
    <x v="44"/>
  </r>
  <r>
    <x v="503"/>
    <x v="34"/>
    <x v="0"/>
  </r>
  <r>
    <x v="0"/>
    <x v="34"/>
    <x v="1"/>
  </r>
  <r>
    <x v="0"/>
    <x v="34"/>
    <x v="2"/>
  </r>
  <r>
    <x v="0"/>
    <x v="34"/>
    <x v="3"/>
  </r>
  <r>
    <x v="0"/>
    <x v="34"/>
    <x v="4"/>
  </r>
  <r>
    <x v="0"/>
    <x v="34"/>
    <x v="5"/>
  </r>
  <r>
    <x v="0"/>
    <x v="34"/>
    <x v="6"/>
  </r>
  <r>
    <x v="0"/>
    <x v="34"/>
    <x v="7"/>
  </r>
  <r>
    <x v="0"/>
    <x v="34"/>
    <x v="8"/>
  </r>
  <r>
    <x v="0"/>
    <x v="34"/>
    <x v="9"/>
  </r>
  <r>
    <x v="0"/>
    <x v="34"/>
    <x v="10"/>
  </r>
  <r>
    <x v="0"/>
    <x v="34"/>
    <x v="11"/>
  </r>
  <r>
    <x v="0"/>
    <x v="34"/>
    <x v="12"/>
  </r>
  <r>
    <x v="0"/>
    <x v="34"/>
    <x v="39"/>
  </r>
  <r>
    <x v="0"/>
    <x v="34"/>
    <x v="39"/>
  </r>
  <r>
    <x v="0"/>
    <x v="34"/>
    <x v="13"/>
  </r>
  <r>
    <x v="0"/>
    <x v="34"/>
    <x v="38"/>
  </r>
  <r>
    <x v="0"/>
    <x v="34"/>
    <x v="26"/>
  </r>
  <r>
    <x v="0"/>
    <x v="34"/>
    <x v="26"/>
  </r>
  <r>
    <x v="0"/>
    <x v="34"/>
    <x v="14"/>
  </r>
  <r>
    <x v="0"/>
    <x v="34"/>
    <x v="25"/>
  </r>
  <r>
    <x v="0"/>
    <x v="34"/>
    <x v="25"/>
  </r>
  <r>
    <x v="0"/>
    <x v="34"/>
    <x v="15"/>
  </r>
  <r>
    <x v="0"/>
    <x v="34"/>
    <x v="36"/>
  </r>
  <r>
    <x v="0"/>
    <x v="34"/>
    <x v="40"/>
  </r>
  <r>
    <x v="0"/>
    <x v="34"/>
    <x v="40"/>
  </r>
  <r>
    <x v="10"/>
    <x v="34"/>
    <x v="16"/>
  </r>
  <r>
    <x v="0"/>
    <x v="34"/>
    <x v="17"/>
  </r>
  <r>
    <x v="0"/>
    <x v="34"/>
    <x v="33"/>
  </r>
  <r>
    <x v="0"/>
    <x v="34"/>
    <x v="33"/>
  </r>
  <r>
    <x v="9"/>
    <x v="34"/>
    <x v="18"/>
  </r>
  <r>
    <x v="0"/>
    <x v="34"/>
    <x v="19"/>
  </r>
  <r>
    <x v="0"/>
    <x v="34"/>
    <x v="20"/>
  </r>
  <r>
    <x v="418"/>
    <x v="34"/>
    <x v="35"/>
  </r>
  <r>
    <x v="0"/>
    <x v="34"/>
    <x v="35"/>
  </r>
  <r>
    <x v="18"/>
    <x v="34"/>
    <x v="35"/>
  </r>
  <r>
    <x v="388"/>
    <x v="34"/>
    <x v="35"/>
  </r>
  <r>
    <x v="326"/>
    <x v="34"/>
    <x v="35"/>
  </r>
  <r>
    <x v="8"/>
    <x v="34"/>
    <x v="30"/>
  </r>
  <r>
    <x v="0"/>
    <x v="34"/>
    <x v="30"/>
  </r>
  <r>
    <x v="0"/>
    <x v="34"/>
    <x v="27"/>
  </r>
  <r>
    <x v="0"/>
    <x v="34"/>
    <x v="27"/>
  </r>
  <r>
    <x v="8"/>
    <x v="34"/>
    <x v="31"/>
  </r>
  <r>
    <x v="0"/>
    <x v="34"/>
    <x v="31"/>
  </r>
  <r>
    <x v="0"/>
    <x v="34"/>
    <x v="31"/>
  </r>
  <r>
    <x v="0"/>
    <x v="34"/>
    <x v="31"/>
  </r>
  <r>
    <x v="0"/>
    <x v="34"/>
    <x v="31"/>
  </r>
  <r>
    <x v="0"/>
    <x v="34"/>
    <x v="31"/>
  </r>
  <r>
    <x v="0"/>
    <x v="34"/>
    <x v="31"/>
  </r>
  <r>
    <x v="0"/>
    <x v="34"/>
    <x v="37"/>
  </r>
  <r>
    <x v="0"/>
    <x v="34"/>
    <x v="37"/>
  </r>
  <r>
    <x v="0"/>
    <x v="34"/>
    <x v="37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0"/>
    <x v="34"/>
    <x v="29"/>
  </r>
  <r>
    <x v="3"/>
    <x v="34"/>
    <x v="29"/>
  </r>
  <r>
    <x v="0"/>
    <x v="34"/>
    <x v="29"/>
  </r>
  <r>
    <x v="13"/>
    <x v="34"/>
    <x v="29"/>
  </r>
  <r>
    <x v="0"/>
    <x v="34"/>
    <x v="29"/>
  </r>
  <r>
    <x v="0"/>
    <x v="34"/>
    <x v="29"/>
  </r>
  <r>
    <x v="0"/>
    <x v="34"/>
    <x v="41"/>
  </r>
  <r>
    <x v="0"/>
    <x v="34"/>
    <x v="32"/>
  </r>
  <r>
    <x v="0"/>
    <x v="34"/>
    <x v="34"/>
  </r>
  <r>
    <x v="0"/>
    <x v="34"/>
    <x v="34"/>
  </r>
  <r>
    <x v="0"/>
    <x v="34"/>
    <x v="38"/>
  </r>
  <r>
    <x v="0"/>
    <x v="34"/>
    <x v="21"/>
  </r>
  <r>
    <x v="0"/>
    <x v="34"/>
    <x v="22"/>
  </r>
  <r>
    <x v="0"/>
    <x v="34"/>
    <x v="23"/>
  </r>
  <r>
    <x v="0"/>
    <x v="34"/>
    <x v="28"/>
  </r>
  <r>
    <x v="0"/>
    <x v="34"/>
    <x v="24"/>
  </r>
  <r>
    <x v="0"/>
    <x v="34"/>
    <x v="34"/>
  </r>
  <r>
    <x v="0"/>
    <x v="34"/>
    <x v="41"/>
  </r>
  <r>
    <x v="0"/>
    <x v="34"/>
    <x v="31"/>
  </r>
  <r>
    <x v="0"/>
    <x v="34"/>
    <x v="36"/>
  </r>
  <r>
    <x v="0"/>
    <x v="34"/>
    <x v="42"/>
  </r>
  <r>
    <x v="0"/>
    <x v="34"/>
    <x v="43"/>
  </r>
  <r>
    <x v="56"/>
    <x v="34"/>
    <x v="44"/>
  </r>
  <r>
    <x v="585"/>
    <x v="34"/>
    <x v="0"/>
  </r>
  <r>
    <x v="31"/>
    <x v="34"/>
    <x v="1"/>
  </r>
  <r>
    <x v="13"/>
    <x v="34"/>
    <x v="2"/>
  </r>
  <r>
    <x v="10"/>
    <x v="34"/>
    <x v="3"/>
  </r>
  <r>
    <x v="20"/>
    <x v="34"/>
    <x v="4"/>
  </r>
  <r>
    <x v="6"/>
    <x v="34"/>
    <x v="5"/>
  </r>
  <r>
    <x v="0"/>
    <x v="34"/>
    <x v="6"/>
  </r>
  <r>
    <x v="11"/>
    <x v="34"/>
    <x v="7"/>
  </r>
  <r>
    <x v="12"/>
    <x v="34"/>
    <x v="8"/>
  </r>
  <r>
    <x v="0"/>
    <x v="34"/>
    <x v="9"/>
  </r>
  <r>
    <x v="0"/>
    <x v="34"/>
    <x v="10"/>
  </r>
  <r>
    <x v="5"/>
    <x v="34"/>
    <x v="11"/>
  </r>
  <r>
    <x v="0"/>
    <x v="34"/>
    <x v="12"/>
  </r>
  <r>
    <x v="0"/>
    <x v="34"/>
    <x v="39"/>
  </r>
  <r>
    <x v="0"/>
    <x v="34"/>
    <x v="39"/>
  </r>
  <r>
    <x v="11"/>
    <x v="34"/>
    <x v="13"/>
  </r>
  <r>
    <x v="0"/>
    <x v="34"/>
    <x v="38"/>
  </r>
  <r>
    <x v="7"/>
    <x v="34"/>
    <x v="26"/>
  </r>
  <r>
    <x v="7"/>
    <x v="34"/>
    <x v="26"/>
  </r>
  <r>
    <x v="31"/>
    <x v="34"/>
    <x v="14"/>
  </r>
  <r>
    <x v="0"/>
    <x v="34"/>
    <x v="25"/>
  </r>
  <r>
    <x v="29"/>
    <x v="34"/>
    <x v="25"/>
  </r>
  <r>
    <x v="30"/>
    <x v="34"/>
    <x v="15"/>
  </r>
  <r>
    <x v="0"/>
    <x v="34"/>
    <x v="36"/>
  </r>
  <r>
    <x v="0"/>
    <x v="34"/>
    <x v="40"/>
  </r>
  <r>
    <x v="7"/>
    <x v="34"/>
    <x v="40"/>
  </r>
  <r>
    <x v="0"/>
    <x v="34"/>
    <x v="16"/>
  </r>
  <r>
    <x v="0"/>
    <x v="34"/>
    <x v="17"/>
  </r>
  <r>
    <x v="10"/>
    <x v="34"/>
    <x v="33"/>
  </r>
  <r>
    <x v="0"/>
    <x v="34"/>
    <x v="33"/>
  </r>
  <r>
    <x v="0"/>
    <x v="34"/>
    <x v="18"/>
  </r>
  <r>
    <x v="5"/>
    <x v="34"/>
    <x v="19"/>
  </r>
  <r>
    <x v="7"/>
    <x v="34"/>
    <x v="20"/>
  </r>
  <r>
    <x v="554"/>
    <x v="34"/>
    <x v="35"/>
  </r>
  <r>
    <x v="310"/>
    <x v="34"/>
    <x v="35"/>
  </r>
  <r>
    <x v="346"/>
    <x v="34"/>
    <x v="35"/>
  </r>
  <r>
    <x v="307"/>
    <x v="34"/>
    <x v="35"/>
  </r>
  <r>
    <x v="571"/>
    <x v="34"/>
    <x v="35"/>
  </r>
  <r>
    <x v="0"/>
    <x v="34"/>
    <x v="30"/>
  </r>
  <r>
    <x v="0"/>
    <x v="34"/>
    <x v="30"/>
  </r>
  <r>
    <x v="0"/>
    <x v="34"/>
    <x v="27"/>
  </r>
  <r>
    <x v="0"/>
    <x v="34"/>
    <x v="27"/>
  </r>
  <r>
    <x v="48"/>
    <x v="34"/>
    <x v="31"/>
  </r>
  <r>
    <x v="102"/>
    <x v="34"/>
    <x v="31"/>
  </r>
  <r>
    <x v="49"/>
    <x v="34"/>
    <x v="31"/>
  </r>
  <r>
    <x v="63"/>
    <x v="34"/>
    <x v="31"/>
  </r>
  <r>
    <x v="0"/>
    <x v="34"/>
    <x v="31"/>
  </r>
  <r>
    <x v="0"/>
    <x v="34"/>
    <x v="31"/>
  </r>
  <r>
    <x v="163"/>
    <x v="34"/>
    <x v="31"/>
  </r>
  <r>
    <x v="0"/>
    <x v="34"/>
    <x v="37"/>
  </r>
  <r>
    <x v="0"/>
    <x v="34"/>
    <x v="37"/>
  </r>
  <r>
    <x v="0"/>
    <x v="34"/>
    <x v="37"/>
  </r>
  <r>
    <x v="11"/>
    <x v="34"/>
    <x v="29"/>
  </r>
  <r>
    <x v="0"/>
    <x v="34"/>
    <x v="29"/>
  </r>
  <r>
    <x v="0"/>
    <x v="34"/>
    <x v="29"/>
  </r>
  <r>
    <x v="8"/>
    <x v="34"/>
    <x v="29"/>
  </r>
  <r>
    <x v="0"/>
    <x v="34"/>
    <x v="29"/>
  </r>
  <r>
    <x v="9"/>
    <x v="34"/>
    <x v="29"/>
  </r>
  <r>
    <x v="0"/>
    <x v="34"/>
    <x v="29"/>
  </r>
  <r>
    <x v="0"/>
    <x v="34"/>
    <x v="29"/>
  </r>
  <r>
    <x v="0"/>
    <x v="34"/>
    <x v="29"/>
  </r>
  <r>
    <x v="16"/>
    <x v="34"/>
    <x v="29"/>
  </r>
  <r>
    <x v="144"/>
    <x v="34"/>
    <x v="29"/>
  </r>
  <r>
    <x v="95"/>
    <x v="34"/>
    <x v="29"/>
  </r>
  <r>
    <x v="17"/>
    <x v="34"/>
    <x v="29"/>
  </r>
  <r>
    <x v="11"/>
    <x v="34"/>
    <x v="41"/>
  </r>
  <r>
    <x v="194"/>
    <x v="34"/>
    <x v="32"/>
  </r>
  <r>
    <x v="0"/>
    <x v="34"/>
    <x v="34"/>
  </r>
  <r>
    <x v="81"/>
    <x v="34"/>
    <x v="34"/>
  </r>
  <r>
    <x v="0"/>
    <x v="34"/>
    <x v="38"/>
  </r>
  <r>
    <x v="3"/>
    <x v="34"/>
    <x v="21"/>
  </r>
  <r>
    <x v="0"/>
    <x v="34"/>
    <x v="22"/>
  </r>
  <r>
    <x v="14"/>
    <x v="34"/>
    <x v="23"/>
  </r>
  <r>
    <x v="0"/>
    <x v="34"/>
    <x v="28"/>
  </r>
  <r>
    <x v="0"/>
    <x v="34"/>
    <x v="24"/>
  </r>
  <r>
    <x v="9"/>
    <x v="34"/>
    <x v="32"/>
  </r>
  <r>
    <x v="0"/>
    <x v="34"/>
    <x v="34"/>
  </r>
  <r>
    <x v="0"/>
    <x v="34"/>
    <x v="41"/>
  </r>
  <r>
    <x v="47"/>
    <x v="34"/>
    <x v="31"/>
  </r>
  <r>
    <x v="0"/>
    <x v="34"/>
    <x v="36"/>
  </r>
  <r>
    <x v="0"/>
    <x v="34"/>
    <x v="42"/>
  </r>
  <r>
    <x v="0"/>
    <x v="34"/>
    <x v="43"/>
  </r>
  <r>
    <x v="83"/>
    <x v="34"/>
    <x v="44"/>
  </r>
  <r>
    <x v="484"/>
    <x v="29"/>
    <x v="0"/>
  </r>
  <r>
    <x v="7"/>
    <x v="29"/>
    <x v="1"/>
  </r>
  <r>
    <x v="0"/>
    <x v="29"/>
    <x v="2"/>
  </r>
  <r>
    <x v="0"/>
    <x v="29"/>
    <x v="3"/>
  </r>
  <r>
    <x v="6"/>
    <x v="29"/>
    <x v="4"/>
  </r>
  <r>
    <x v="0"/>
    <x v="29"/>
    <x v="5"/>
  </r>
  <r>
    <x v="0"/>
    <x v="29"/>
    <x v="6"/>
  </r>
  <r>
    <x v="0"/>
    <x v="29"/>
    <x v="7"/>
  </r>
  <r>
    <x v="0"/>
    <x v="29"/>
    <x v="8"/>
  </r>
  <r>
    <x v="0"/>
    <x v="29"/>
    <x v="9"/>
  </r>
  <r>
    <x v="0"/>
    <x v="29"/>
    <x v="10"/>
  </r>
  <r>
    <x v="0"/>
    <x v="29"/>
    <x v="11"/>
  </r>
  <r>
    <x v="0"/>
    <x v="29"/>
    <x v="12"/>
  </r>
  <r>
    <x v="0"/>
    <x v="29"/>
    <x v="39"/>
  </r>
  <r>
    <x v="0"/>
    <x v="29"/>
    <x v="39"/>
  </r>
  <r>
    <x v="0"/>
    <x v="29"/>
    <x v="13"/>
  </r>
  <r>
    <x v="0"/>
    <x v="29"/>
    <x v="38"/>
  </r>
  <r>
    <x v="0"/>
    <x v="29"/>
    <x v="26"/>
  </r>
  <r>
    <x v="0"/>
    <x v="29"/>
    <x v="26"/>
  </r>
  <r>
    <x v="0"/>
    <x v="29"/>
    <x v="14"/>
  </r>
  <r>
    <x v="0"/>
    <x v="29"/>
    <x v="25"/>
  </r>
  <r>
    <x v="0"/>
    <x v="29"/>
    <x v="25"/>
  </r>
  <r>
    <x v="0"/>
    <x v="29"/>
    <x v="15"/>
  </r>
  <r>
    <x v="0"/>
    <x v="29"/>
    <x v="36"/>
  </r>
  <r>
    <x v="0"/>
    <x v="29"/>
    <x v="40"/>
  </r>
  <r>
    <x v="0"/>
    <x v="29"/>
    <x v="40"/>
  </r>
  <r>
    <x v="0"/>
    <x v="29"/>
    <x v="16"/>
  </r>
  <r>
    <x v="11"/>
    <x v="29"/>
    <x v="17"/>
  </r>
  <r>
    <x v="0"/>
    <x v="29"/>
    <x v="33"/>
  </r>
  <r>
    <x v="0"/>
    <x v="29"/>
    <x v="33"/>
  </r>
  <r>
    <x v="0"/>
    <x v="29"/>
    <x v="18"/>
  </r>
  <r>
    <x v="0"/>
    <x v="29"/>
    <x v="19"/>
  </r>
  <r>
    <x v="5"/>
    <x v="29"/>
    <x v="20"/>
  </r>
  <r>
    <x v="0"/>
    <x v="29"/>
    <x v="35"/>
  </r>
  <r>
    <x v="0"/>
    <x v="29"/>
    <x v="35"/>
  </r>
  <r>
    <x v="0"/>
    <x v="29"/>
    <x v="35"/>
  </r>
  <r>
    <x v="0"/>
    <x v="29"/>
    <x v="35"/>
  </r>
  <r>
    <x v="0"/>
    <x v="29"/>
    <x v="35"/>
  </r>
  <r>
    <x v="421"/>
    <x v="29"/>
    <x v="30"/>
  </r>
  <r>
    <x v="321"/>
    <x v="29"/>
    <x v="30"/>
  </r>
  <r>
    <x v="0"/>
    <x v="29"/>
    <x v="27"/>
  </r>
  <r>
    <x v="7"/>
    <x v="29"/>
    <x v="27"/>
  </r>
  <r>
    <x v="0"/>
    <x v="29"/>
    <x v="31"/>
  </r>
  <r>
    <x v="0"/>
    <x v="29"/>
    <x v="31"/>
  </r>
  <r>
    <x v="0"/>
    <x v="29"/>
    <x v="31"/>
  </r>
  <r>
    <x v="0"/>
    <x v="29"/>
    <x v="31"/>
  </r>
  <r>
    <x v="0"/>
    <x v="29"/>
    <x v="31"/>
  </r>
  <r>
    <x v="0"/>
    <x v="29"/>
    <x v="31"/>
  </r>
  <r>
    <x v="0"/>
    <x v="29"/>
    <x v="31"/>
  </r>
  <r>
    <x v="39"/>
    <x v="29"/>
    <x v="37"/>
  </r>
  <r>
    <x v="0"/>
    <x v="29"/>
    <x v="37"/>
  </r>
  <r>
    <x v="20"/>
    <x v="29"/>
    <x v="37"/>
  </r>
  <r>
    <x v="0"/>
    <x v="29"/>
    <x v="29"/>
  </r>
  <r>
    <x v="0"/>
    <x v="29"/>
    <x v="29"/>
  </r>
  <r>
    <x v="0"/>
    <x v="29"/>
    <x v="29"/>
  </r>
  <r>
    <x v="0"/>
    <x v="29"/>
    <x v="29"/>
  </r>
  <r>
    <x v="0"/>
    <x v="29"/>
    <x v="29"/>
  </r>
  <r>
    <x v="0"/>
    <x v="29"/>
    <x v="29"/>
  </r>
  <r>
    <x v="0"/>
    <x v="29"/>
    <x v="29"/>
  </r>
  <r>
    <x v="0"/>
    <x v="29"/>
    <x v="29"/>
  </r>
  <r>
    <x v="0"/>
    <x v="29"/>
    <x v="29"/>
  </r>
  <r>
    <x v="0"/>
    <x v="29"/>
    <x v="29"/>
  </r>
  <r>
    <x v="5"/>
    <x v="29"/>
    <x v="29"/>
  </r>
  <r>
    <x v="0"/>
    <x v="29"/>
    <x v="29"/>
  </r>
  <r>
    <x v="0"/>
    <x v="29"/>
    <x v="29"/>
  </r>
  <r>
    <x v="11"/>
    <x v="29"/>
    <x v="41"/>
  </r>
  <r>
    <x v="0"/>
    <x v="29"/>
    <x v="32"/>
  </r>
  <r>
    <x v="0"/>
    <x v="29"/>
    <x v="34"/>
  </r>
  <r>
    <x v="0"/>
    <x v="29"/>
    <x v="34"/>
  </r>
  <r>
    <x v="0"/>
    <x v="29"/>
    <x v="38"/>
  </r>
  <r>
    <x v="0"/>
    <x v="29"/>
    <x v="21"/>
  </r>
  <r>
    <x v="95"/>
    <x v="29"/>
    <x v="22"/>
  </r>
  <r>
    <x v="7"/>
    <x v="29"/>
    <x v="23"/>
  </r>
  <r>
    <x v="0"/>
    <x v="29"/>
    <x v="28"/>
  </r>
  <r>
    <x v="0"/>
    <x v="29"/>
    <x v="24"/>
  </r>
  <r>
    <x v="0"/>
    <x v="29"/>
    <x v="32"/>
  </r>
  <r>
    <x v="0"/>
    <x v="29"/>
    <x v="34"/>
  </r>
  <r>
    <x v="0"/>
    <x v="29"/>
    <x v="41"/>
  </r>
  <r>
    <x v="0"/>
    <x v="29"/>
    <x v="31"/>
  </r>
  <r>
    <x v="0"/>
    <x v="29"/>
    <x v="36"/>
  </r>
  <r>
    <x v="0"/>
    <x v="29"/>
    <x v="42"/>
  </r>
  <r>
    <x v="0"/>
    <x v="29"/>
    <x v="43"/>
  </r>
  <r>
    <x v="0"/>
    <x v="29"/>
    <x v="44"/>
  </r>
  <r>
    <x v="547"/>
    <x v="29"/>
    <x v="0"/>
  </r>
  <r>
    <x v="0"/>
    <x v="29"/>
    <x v="1"/>
  </r>
  <r>
    <x v="0"/>
    <x v="29"/>
    <x v="2"/>
  </r>
  <r>
    <x v="10"/>
    <x v="29"/>
    <x v="3"/>
  </r>
  <r>
    <x v="0"/>
    <x v="29"/>
    <x v="4"/>
  </r>
  <r>
    <x v="0"/>
    <x v="29"/>
    <x v="5"/>
  </r>
  <r>
    <x v="0"/>
    <x v="29"/>
    <x v="6"/>
  </r>
  <r>
    <x v="0"/>
    <x v="29"/>
    <x v="7"/>
  </r>
  <r>
    <x v="10"/>
    <x v="29"/>
    <x v="8"/>
  </r>
  <r>
    <x v="0"/>
    <x v="29"/>
    <x v="9"/>
  </r>
  <r>
    <x v="0"/>
    <x v="29"/>
    <x v="10"/>
  </r>
  <r>
    <x v="0"/>
    <x v="29"/>
    <x v="11"/>
  </r>
  <r>
    <x v="0"/>
    <x v="29"/>
    <x v="12"/>
  </r>
  <r>
    <x v="0"/>
    <x v="29"/>
    <x v="39"/>
  </r>
  <r>
    <x v="0"/>
    <x v="29"/>
    <x v="39"/>
  </r>
  <r>
    <x v="0"/>
    <x v="29"/>
    <x v="13"/>
  </r>
  <r>
    <x v="0"/>
    <x v="29"/>
    <x v="38"/>
  </r>
  <r>
    <x v="10"/>
    <x v="29"/>
    <x v="26"/>
  </r>
  <r>
    <x v="0"/>
    <x v="29"/>
    <x v="26"/>
  </r>
  <r>
    <x v="0"/>
    <x v="29"/>
    <x v="14"/>
  </r>
  <r>
    <x v="0"/>
    <x v="29"/>
    <x v="25"/>
  </r>
  <r>
    <x v="16"/>
    <x v="29"/>
    <x v="25"/>
  </r>
  <r>
    <x v="19"/>
    <x v="29"/>
    <x v="15"/>
  </r>
  <r>
    <x v="0"/>
    <x v="29"/>
    <x v="36"/>
  </r>
  <r>
    <x v="0"/>
    <x v="29"/>
    <x v="40"/>
  </r>
  <r>
    <x v="0"/>
    <x v="29"/>
    <x v="40"/>
  </r>
  <r>
    <x v="0"/>
    <x v="29"/>
    <x v="16"/>
  </r>
  <r>
    <x v="19"/>
    <x v="29"/>
    <x v="17"/>
  </r>
  <r>
    <x v="0"/>
    <x v="29"/>
    <x v="33"/>
  </r>
  <r>
    <x v="0"/>
    <x v="29"/>
    <x v="33"/>
  </r>
  <r>
    <x v="0"/>
    <x v="29"/>
    <x v="18"/>
  </r>
  <r>
    <x v="0"/>
    <x v="29"/>
    <x v="19"/>
  </r>
  <r>
    <x v="0"/>
    <x v="29"/>
    <x v="20"/>
  </r>
  <r>
    <x v="0"/>
    <x v="29"/>
    <x v="35"/>
  </r>
  <r>
    <x v="0"/>
    <x v="29"/>
    <x v="35"/>
  </r>
  <r>
    <x v="0"/>
    <x v="29"/>
    <x v="35"/>
  </r>
  <r>
    <x v="0"/>
    <x v="29"/>
    <x v="35"/>
  </r>
  <r>
    <x v="0"/>
    <x v="29"/>
    <x v="35"/>
  </r>
  <r>
    <x v="343"/>
    <x v="29"/>
    <x v="30"/>
  </r>
  <r>
    <x v="527"/>
    <x v="29"/>
    <x v="30"/>
  </r>
  <r>
    <x v="0"/>
    <x v="29"/>
    <x v="27"/>
  </r>
  <r>
    <x v="0"/>
    <x v="29"/>
    <x v="27"/>
  </r>
  <r>
    <x v="0"/>
    <x v="29"/>
    <x v="31"/>
  </r>
  <r>
    <x v="0"/>
    <x v="29"/>
    <x v="31"/>
  </r>
  <r>
    <x v="0"/>
    <x v="29"/>
    <x v="31"/>
  </r>
  <r>
    <x v="0"/>
    <x v="29"/>
    <x v="31"/>
  </r>
  <r>
    <x v="0"/>
    <x v="29"/>
    <x v="31"/>
  </r>
  <r>
    <x v="0"/>
    <x v="29"/>
    <x v="31"/>
  </r>
  <r>
    <x v="0"/>
    <x v="29"/>
    <x v="31"/>
  </r>
  <r>
    <x v="46"/>
    <x v="29"/>
    <x v="37"/>
  </r>
  <r>
    <x v="0"/>
    <x v="29"/>
    <x v="37"/>
  </r>
  <r>
    <x v="69"/>
    <x v="29"/>
    <x v="37"/>
  </r>
  <r>
    <x v="0"/>
    <x v="29"/>
    <x v="29"/>
  </r>
  <r>
    <x v="0"/>
    <x v="29"/>
    <x v="29"/>
  </r>
  <r>
    <x v="0"/>
    <x v="29"/>
    <x v="29"/>
  </r>
  <r>
    <x v="0"/>
    <x v="29"/>
    <x v="29"/>
  </r>
  <r>
    <x v="0"/>
    <x v="29"/>
    <x v="29"/>
  </r>
  <r>
    <x v="0"/>
    <x v="29"/>
    <x v="29"/>
  </r>
  <r>
    <x v="6"/>
    <x v="29"/>
    <x v="29"/>
  </r>
  <r>
    <x v="0"/>
    <x v="29"/>
    <x v="29"/>
  </r>
  <r>
    <x v="0"/>
    <x v="29"/>
    <x v="29"/>
  </r>
  <r>
    <x v="0"/>
    <x v="29"/>
    <x v="29"/>
  </r>
  <r>
    <x v="9"/>
    <x v="29"/>
    <x v="29"/>
  </r>
  <r>
    <x v="0"/>
    <x v="29"/>
    <x v="29"/>
  </r>
  <r>
    <x v="0"/>
    <x v="29"/>
    <x v="29"/>
  </r>
  <r>
    <x v="0"/>
    <x v="29"/>
    <x v="41"/>
  </r>
  <r>
    <x v="0"/>
    <x v="29"/>
    <x v="32"/>
  </r>
  <r>
    <x v="0"/>
    <x v="29"/>
    <x v="34"/>
  </r>
  <r>
    <x v="11"/>
    <x v="29"/>
    <x v="34"/>
  </r>
  <r>
    <x v="0"/>
    <x v="29"/>
    <x v="38"/>
  </r>
  <r>
    <x v="0"/>
    <x v="29"/>
    <x v="21"/>
  </r>
  <r>
    <x v="249"/>
    <x v="29"/>
    <x v="22"/>
  </r>
  <r>
    <x v="0"/>
    <x v="29"/>
    <x v="23"/>
  </r>
  <r>
    <x v="0"/>
    <x v="29"/>
    <x v="28"/>
  </r>
  <r>
    <x v="38"/>
    <x v="29"/>
    <x v="24"/>
  </r>
  <r>
    <x v="0"/>
    <x v="29"/>
    <x v="32"/>
  </r>
  <r>
    <x v="0"/>
    <x v="29"/>
    <x v="34"/>
  </r>
  <r>
    <x v="0"/>
    <x v="29"/>
    <x v="41"/>
  </r>
  <r>
    <x v="0"/>
    <x v="29"/>
    <x v="31"/>
  </r>
  <r>
    <x v="0"/>
    <x v="29"/>
    <x v="36"/>
  </r>
  <r>
    <x v="0"/>
    <x v="29"/>
    <x v="42"/>
  </r>
  <r>
    <x v="0"/>
    <x v="29"/>
    <x v="43"/>
  </r>
  <r>
    <x v="15"/>
    <x v="29"/>
    <x v="44"/>
  </r>
  <r>
    <x v="563"/>
    <x v="26"/>
    <x v="0"/>
  </r>
  <r>
    <x v="0"/>
    <x v="26"/>
    <x v="1"/>
  </r>
  <r>
    <x v="9"/>
    <x v="26"/>
    <x v="2"/>
  </r>
  <r>
    <x v="0"/>
    <x v="26"/>
    <x v="3"/>
  </r>
  <r>
    <x v="19"/>
    <x v="26"/>
    <x v="4"/>
  </r>
  <r>
    <x v="11"/>
    <x v="26"/>
    <x v="5"/>
  </r>
  <r>
    <x v="0"/>
    <x v="26"/>
    <x v="6"/>
  </r>
  <r>
    <x v="0"/>
    <x v="26"/>
    <x v="7"/>
  </r>
  <r>
    <x v="0"/>
    <x v="26"/>
    <x v="8"/>
  </r>
  <r>
    <x v="0"/>
    <x v="26"/>
    <x v="9"/>
  </r>
  <r>
    <x v="0"/>
    <x v="26"/>
    <x v="10"/>
  </r>
  <r>
    <x v="8"/>
    <x v="26"/>
    <x v="11"/>
  </r>
  <r>
    <x v="0"/>
    <x v="26"/>
    <x v="12"/>
  </r>
  <r>
    <x v="0"/>
    <x v="26"/>
    <x v="39"/>
  </r>
  <r>
    <x v="0"/>
    <x v="26"/>
    <x v="39"/>
  </r>
  <r>
    <x v="0"/>
    <x v="26"/>
    <x v="13"/>
  </r>
  <r>
    <x v="0"/>
    <x v="26"/>
    <x v="38"/>
  </r>
  <r>
    <x v="0"/>
    <x v="26"/>
    <x v="26"/>
  </r>
  <r>
    <x v="13"/>
    <x v="26"/>
    <x v="26"/>
  </r>
  <r>
    <x v="14"/>
    <x v="26"/>
    <x v="14"/>
  </r>
  <r>
    <x v="0"/>
    <x v="26"/>
    <x v="25"/>
  </r>
  <r>
    <x v="16"/>
    <x v="26"/>
    <x v="25"/>
  </r>
  <r>
    <x v="23"/>
    <x v="26"/>
    <x v="15"/>
  </r>
  <r>
    <x v="0"/>
    <x v="26"/>
    <x v="36"/>
  </r>
  <r>
    <x v="8"/>
    <x v="26"/>
    <x v="40"/>
  </r>
  <r>
    <x v="0"/>
    <x v="26"/>
    <x v="40"/>
  </r>
  <r>
    <x v="0"/>
    <x v="26"/>
    <x v="16"/>
  </r>
  <r>
    <x v="196"/>
    <x v="26"/>
    <x v="17"/>
  </r>
  <r>
    <x v="11"/>
    <x v="26"/>
    <x v="33"/>
  </r>
  <r>
    <x v="0"/>
    <x v="26"/>
    <x v="33"/>
  </r>
  <r>
    <x v="36"/>
    <x v="26"/>
    <x v="18"/>
  </r>
  <r>
    <x v="79"/>
    <x v="26"/>
    <x v="19"/>
  </r>
  <r>
    <x v="7"/>
    <x v="26"/>
    <x v="20"/>
  </r>
  <r>
    <x v="8"/>
    <x v="26"/>
    <x v="35"/>
  </r>
  <r>
    <x v="0"/>
    <x v="26"/>
    <x v="35"/>
  </r>
  <r>
    <x v="0"/>
    <x v="26"/>
    <x v="35"/>
  </r>
  <r>
    <x v="0"/>
    <x v="26"/>
    <x v="35"/>
  </r>
  <r>
    <x v="0"/>
    <x v="26"/>
    <x v="35"/>
  </r>
  <r>
    <x v="0"/>
    <x v="26"/>
    <x v="30"/>
  </r>
  <r>
    <x v="25"/>
    <x v="26"/>
    <x v="30"/>
  </r>
  <r>
    <x v="539"/>
    <x v="26"/>
    <x v="27"/>
  </r>
  <r>
    <x v="360"/>
    <x v="26"/>
    <x v="27"/>
  </r>
  <r>
    <x v="9"/>
    <x v="26"/>
    <x v="31"/>
  </r>
  <r>
    <x v="0"/>
    <x v="26"/>
    <x v="31"/>
  </r>
  <r>
    <x v="0"/>
    <x v="26"/>
    <x v="31"/>
  </r>
  <r>
    <x v="0"/>
    <x v="26"/>
    <x v="31"/>
  </r>
  <r>
    <x v="0"/>
    <x v="26"/>
    <x v="31"/>
  </r>
  <r>
    <x v="0"/>
    <x v="26"/>
    <x v="31"/>
  </r>
  <r>
    <x v="0"/>
    <x v="26"/>
    <x v="31"/>
  </r>
  <r>
    <x v="7"/>
    <x v="26"/>
    <x v="37"/>
  </r>
  <r>
    <x v="0"/>
    <x v="26"/>
    <x v="37"/>
  </r>
  <r>
    <x v="0"/>
    <x v="26"/>
    <x v="37"/>
  </r>
  <r>
    <x v="8"/>
    <x v="26"/>
    <x v="29"/>
  </r>
  <r>
    <x v="0"/>
    <x v="26"/>
    <x v="29"/>
  </r>
  <r>
    <x v="0"/>
    <x v="26"/>
    <x v="29"/>
  </r>
  <r>
    <x v="0"/>
    <x v="26"/>
    <x v="29"/>
  </r>
  <r>
    <x v="0"/>
    <x v="26"/>
    <x v="29"/>
  </r>
  <r>
    <x v="0"/>
    <x v="26"/>
    <x v="29"/>
  </r>
  <r>
    <x v="0"/>
    <x v="26"/>
    <x v="29"/>
  </r>
  <r>
    <x v="0"/>
    <x v="26"/>
    <x v="29"/>
  </r>
  <r>
    <x v="0"/>
    <x v="26"/>
    <x v="29"/>
  </r>
  <r>
    <x v="0"/>
    <x v="26"/>
    <x v="29"/>
  </r>
  <r>
    <x v="0"/>
    <x v="26"/>
    <x v="29"/>
  </r>
  <r>
    <x v="12"/>
    <x v="26"/>
    <x v="29"/>
  </r>
  <r>
    <x v="0"/>
    <x v="26"/>
    <x v="29"/>
  </r>
  <r>
    <x v="29"/>
    <x v="26"/>
    <x v="41"/>
  </r>
  <r>
    <x v="0"/>
    <x v="26"/>
    <x v="32"/>
  </r>
  <r>
    <x v="0"/>
    <x v="26"/>
    <x v="34"/>
  </r>
  <r>
    <x v="0"/>
    <x v="26"/>
    <x v="34"/>
  </r>
  <r>
    <x v="0"/>
    <x v="26"/>
    <x v="38"/>
  </r>
  <r>
    <x v="40"/>
    <x v="26"/>
    <x v="21"/>
  </r>
  <r>
    <x v="6"/>
    <x v="26"/>
    <x v="22"/>
  </r>
  <r>
    <x v="0"/>
    <x v="26"/>
    <x v="23"/>
  </r>
  <r>
    <x v="0"/>
    <x v="26"/>
    <x v="28"/>
  </r>
  <r>
    <x v="0"/>
    <x v="26"/>
    <x v="24"/>
  </r>
  <r>
    <x v="0"/>
    <x v="26"/>
    <x v="32"/>
  </r>
  <r>
    <x v="0"/>
    <x v="26"/>
    <x v="34"/>
  </r>
  <r>
    <x v="0"/>
    <x v="26"/>
    <x v="41"/>
  </r>
  <r>
    <x v="0"/>
    <x v="26"/>
    <x v="31"/>
  </r>
  <r>
    <x v="0"/>
    <x v="26"/>
    <x v="36"/>
  </r>
  <r>
    <x v="0"/>
    <x v="26"/>
    <x v="42"/>
  </r>
  <r>
    <x v="0"/>
    <x v="26"/>
    <x v="43"/>
  </r>
  <r>
    <x v="0"/>
    <x v="26"/>
    <x v="44"/>
  </r>
  <r>
    <x v="557"/>
    <x v="26"/>
    <x v="0"/>
  </r>
  <r>
    <x v="0"/>
    <x v="26"/>
    <x v="1"/>
  </r>
  <r>
    <x v="0"/>
    <x v="26"/>
    <x v="2"/>
  </r>
  <r>
    <x v="0"/>
    <x v="26"/>
    <x v="3"/>
  </r>
  <r>
    <x v="8"/>
    <x v="26"/>
    <x v="4"/>
  </r>
  <r>
    <x v="4"/>
    <x v="26"/>
    <x v="5"/>
  </r>
  <r>
    <x v="14"/>
    <x v="26"/>
    <x v="6"/>
  </r>
  <r>
    <x v="0"/>
    <x v="26"/>
    <x v="7"/>
  </r>
  <r>
    <x v="7"/>
    <x v="26"/>
    <x v="8"/>
  </r>
  <r>
    <x v="0"/>
    <x v="26"/>
    <x v="9"/>
  </r>
  <r>
    <x v="0"/>
    <x v="26"/>
    <x v="10"/>
  </r>
  <r>
    <x v="7"/>
    <x v="26"/>
    <x v="11"/>
  </r>
  <r>
    <x v="0"/>
    <x v="26"/>
    <x v="12"/>
  </r>
  <r>
    <x v="0"/>
    <x v="26"/>
    <x v="39"/>
  </r>
  <r>
    <x v="0"/>
    <x v="26"/>
    <x v="39"/>
  </r>
  <r>
    <x v="0"/>
    <x v="26"/>
    <x v="13"/>
  </r>
  <r>
    <x v="0"/>
    <x v="26"/>
    <x v="38"/>
  </r>
  <r>
    <x v="0"/>
    <x v="26"/>
    <x v="26"/>
  </r>
  <r>
    <x v="0"/>
    <x v="26"/>
    <x v="26"/>
  </r>
  <r>
    <x v="14"/>
    <x v="26"/>
    <x v="14"/>
  </r>
  <r>
    <x v="0"/>
    <x v="26"/>
    <x v="25"/>
  </r>
  <r>
    <x v="0"/>
    <x v="26"/>
    <x v="25"/>
  </r>
  <r>
    <x v="6"/>
    <x v="26"/>
    <x v="15"/>
  </r>
  <r>
    <x v="11"/>
    <x v="26"/>
    <x v="36"/>
  </r>
  <r>
    <x v="0"/>
    <x v="26"/>
    <x v="40"/>
  </r>
  <r>
    <x v="7"/>
    <x v="26"/>
    <x v="40"/>
  </r>
  <r>
    <x v="0"/>
    <x v="26"/>
    <x v="16"/>
  </r>
  <r>
    <x v="88"/>
    <x v="26"/>
    <x v="17"/>
  </r>
  <r>
    <x v="0"/>
    <x v="26"/>
    <x v="33"/>
  </r>
  <r>
    <x v="0"/>
    <x v="26"/>
    <x v="33"/>
  </r>
  <r>
    <x v="64"/>
    <x v="26"/>
    <x v="18"/>
  </r>
  <r>
    <x v="137"/>
    <x v="26"/>
    <x v="19"/>
  </r>
  <r>
    <x v="0"/>
    <x v="26"/>
    <x v="20"/>
  </r>
  <r>
    <x v="0"/>
    <x v="26"/>
    <x v="35"/>
  </r>
  <r>
    <x v="0"/>
    <x v="26"/>
    <x v="35"/>
  </r>
  <r>
    <x v="0"/>
    <x v="26"/>
    <x v="35"/>
  </r>
  <r>
    <x v="0"/>
    <x v="26"/>
    <x v="35"/>
  </r>
  <r>
    <x v="0"/>
    <x v="26"/>
    <x v="35"/>
  </r>
  <r>
    <x v="15"/>
    <x v="26"/>
    <x v="30"/>
  </r>
  <r>
    <x v="0"/>
    <x v="26"/>
    <x v="30"/>
  </r>
  <r>
    <x v="467"/>
    <x v="26"/>
    <x v="27"/>
  </r>
  <r>
    <x v="496"/>
    <x v="26"/>
    <x v="27"/>
  </r>
  <r>
    <x v="0"/>
    <x v="26"/>
    <x v="31"/>
  </r>
  <r>
    <x v="0"/>
    <x v="26"/>
    <x v="31"/>
  </r>
  <r>
    <x v="0"/>
    <x v="26"/>
    <x v="31"/>
  </r>
  <r>
    <x v="0"/>
    <x v="26"/>
    <x v="31"/>
  </r>
  <r>
    <x v="0"/>
    <x v="26"/>
    <x v="31"/>
  </r>
  <r>
    <x v="0"/>
    <x v="26"/>
    <x v="31"/>
  </r>
  <r>
    <x v="0"/>
    <x v="26"/>
    <x v="31"/>
  </r>
  <r>
    <x v="0"/>
    <x v="26"/>
    <x v="37"/>
  </r>
  <r>
    <x v="0"/>
    <x v="26"/>
    <x v="37"/>
  </r>
  <r>
    <x v="0"/>
    <x v="26"/>
    <x v="37"/>
  </r>
  <r>
    <x v="0"/>
    <x v="26"/>
    <x v="29"/>
  </r>
  <r>
    <x v="0"/>
    <x v="26"/>
    <x v="29"/>
  </r>
  <r>
    <x v="0"/>
    <x v="26"/>
    <x v="29"/>
  </r>
  <r>
    <x v="0"/>
    <x v="26"/>
    <x v="29"/>
  </r>
  <r>
    <x v="0"/>
    <x v="26"/>
    <x v="29"/>
  </r>
  <r>
    <x v="0"/>
    <x v="26"/>
    <x v="29"/>
  </r>
  <r>
    <x v="0"/>
    <x v="26"/>
    <x v="29"/>
  </r>
  <r>
    <x v="0"/>
    <x v="26"/>
    <x v="29"/>
  </r>
  <r>
    <x v="0"/>
    <x v="26"/>
    <x v="29"/>
  </r>
  <r>
    <x v="0"/>
    <x v="26"/>
    <x v="29"/>
  </r>
  <r>
    <x v="23"/>
    <x v="26"/>
    <x v="29"/>
  </r>
  <r>
    <x v="14"/>
    <x v="26"/>
    <x v="29"/>
  </r>
  <r>
    <x v="0"/>
    <x v="26"/>
    <x v="29"/>
  </r>
  <r>
    <x v="0"/>
    <x v="26"/>
    <x v="41"/>
  </r>
  <r>
    <x v="10"/>
    <x v="26"/>
    <x v="32"/>
  </r>
  <r>
    <x v="0"/>
    <x v="26"/>
    <x v="34"/>
  </r>
  <r>
    <x v="0"/>
    <x v="26"/>
    <x v="34"/>
  </r>
  <r>
    <x v="0"/>
    <x v="26"/>
    <x v="38"/>
  </r>
  <r>
    <x v="165"/>
    <x v="26"/>
    <x v="21"/>
  </r>
  <r>
    <x v="0"/>
    <x v="26"/>
    <x v="22"/>
  </r>
  <r>
    <x v="0"/>
    <x v="26"/>
    <x v="23"/>
  </r>
  <r>
    <x v="8"/>
    <x v="26"/>
    <x v="28"/>
  </r>
  <r>
    <x v="6"/>
    <x v="26"/>
    <x v="24"/>
  </r>
  <r>
    <x v="0"/>
    <x v="26"/>
    <x v="32"/>
  </r>
  <r>
    <x v="0"/>
    <x v="26"/>
    <x v="34"/>
  </r>
  <r>
    <x v="0"/>
    <x v="26"/>
    <x v="41"/>
  </r>
  <r>
    <x v="0"/>
    <x v="26"/>
    <x v="31"/>
  </r>
  <r>
    <x v="0"/>
    <x v="26"/>
    <x v="36"/>
  </r>
  <r>
    <x v="0"/>
    <x v="26"/>
    <x v="42"/>
  </r>
  <r>
    <x v="0"/>
    <x v="26"/>
    <x v="43"/>
  </r>
  <r>
    <x v="0"/>
    <x v="26"/>
    <x v="44"/>
  </r>
  <r>
    <x v="549"/>
    <x v="30"/>
    <x v="0"/>
  </r>
  <r>
    <x v="0"/>
    <x v="30"/>
    <x v="1"/>
  </r>
  <r>
    <x v="0"/>
    <x v="30"/>
    <x v="2"/>
  </r>
  <r>
    <x v="0"/>
    <x v="30"/>
    <x v="3"/>
  </r>
  <r>
    <x v="0"/>
    <x v="30"/>
    <x v="4"/>
  </r>
  <r>
    <x v="0"/>
    <x v="30"/>
    <x v="5"/>
  </r>
  <r>
    <x v="6"/>
    <x v="30"/>
    <x v="6"/>
  </r>
  <r>
    <x v="0"/>
    <x v="30"/>
    <x v="7"/>
  </r>
  <r>
    <x v="0"/>
    <x v="30"/>
    <x v="8"/>
  </r>
  <r>
    <x v="5"/>
    <x v="30"/>
    <x v="9"/>
  </r>
  <r>
    <x v="0"/>
    <x v="30"/>
    <x v="10"/>
  </r>
  <r>
    <x v="0"/>
    <x v="30"/>
    <x v="11"/>
  </r>
  <r>
    <x v="0"/>
    <x v="30"/>
    <x v="12"/>
  </r>
  <r>
    <x v="0"/>
    <x v="30"/>
    <x v="39"/>
  </r>
  <r>
    <x v="0"/>
    <x v="30"/>
    <x v="39"/>
  </r>
  <r>
    <x v="0"/>
    <x v="30"/>
    <x v="13"/>
  </r>
  <r>
    <x v="0"/>
    <x v="30"/>
    <x v="38"/>
  </r>
  <r>
    <x v="0"/>
    <x v="30"/>
    <x v="26"/>
  </r>
  <r>
    <x v="0"/>
    <x v="30"/>
    <x v="26"/>
  </r>
  <r>
    <x v="0"/>
    <x v="30"/>
    <x v="14"/>
  </r>
  <r>
    <x v="0"/>
    <x v="30"/>
    <x v="25"/>
  </r>
  <r>
    <x v="0"/>
    <x v="30"/>
    <x v="25"/>
  </r>
  <r>
    <x v="0"/>
    <x v="30"/>
    <x v="15"/>
  </r>
  <r>
    <x v="0"/>
    <x v="30"/>
    <x v="36"/>
  </r>
  <r>
    <x v="0"/>
    <x v="30"/>
    <x v="40"/>
  </r>
  <r>
    <x v="0"/>
    <x v="30"/>
    <x v="40"/>
  </r>
  <r>
    <x v="0"/>
    <x v="30"/>
    <x v="16"/>
  </r>
  <r>
    <x v="0"/>
    <x v="30"/>
    <x v="17"/>
  </r>
  <r>
    <x v="0"/>
    <x v="30"/>
    <x v="33"/>
  </r>
  <r>
    <x v="5"/>
    <x v="30"/>
    <x v="33"/>
  </r>
  <r>
    <x v="0"/>
    <x v="30"/>
    <x v="18"/>
  </r>
  <r>
    <x v="0"/>
    <x v="30"/>
    <x v="19"/>
  </r>
  <r>
    <x v="0"/>
    <x v="30"/>
    <x v="20"/>
  </r>
  <r>
    <x v="7"/>
    <x v="30"/>
    <x v="35"/>
  </r>
  <r>
    <x v="0"/>
    <x v="30"/>
    <x v="35"/>
  </r>
  <r>
    <x v="0"/>
    <x v="30"/>
    <x v="35"/>
  </r>
  <r>
    <x v="0"/>
    <x v="30"/>
    <x v="35"/>
  </r>
  <r>
    <x v="0"/>
    <x v="30"/>
    <x v="35"/>
  </r>
  <r>
    <x v="0"/>
    <x v="30"/>
    <x v="30"/>
  </r>
  <r>
    <x v="0"/>
    <x v="30"/>
    <x v="30"/>
  </r>
  <r>
    <x v="5"/>
    <x v="30"/>
    <x v="27"/>
  </r>
  <r>
    <x v="0"/>
    <x v="30"/>
    <x v="27"/>
  </r>
  <r>
    <x v="446"/>
    <x v="30"/>
    <x v="31"/>
  </r>
  <r>
    <x v="139"/>
    <x v="30"/>
    <x v="31"/>
  </r>
  <r>
    <x v="198"/>
    <x v="30"/>
    <x v="31"/>
  </r>
  <r>
    <x v="139"/>
    <x v="30"/>
    <x v="31"/>
  </r>
  <r>
    <x v="221"/>
    <x v="30"/>
    <x v="31"/>
  </r>
  <r>
    <x v="201"/>
    <x v="30"/>
    <x v="31"/>
  </r>
  <r>
    <x v="488"/>
    <x v="30"/>
    <x v="31"/>
  </r>
  <r>
    <x v="0"/>
    <x v="30"/>
    <x v="37"/>
  </r>
  <r>
    <x v="14"/>
    <x v="30"/>
    <x v="37"/>
  </r>
  <r>
    <x v="0"/>
    <x v="30"/>
    <x v="37"/>
  </r>
  <r>
    <x v="0"/>
    <x v="30"/>
    <x v="29"/>
  </r>
  <r>
    <x v="9"/>
    <x v="30"/>
    <x v="29"/>
  </r>
  <r>
    <x v="0"/>
    <x v="30"/>
    <x v="29"/>
  </r>
  <r>
    <x v="0"/>
    <x v="30"/>
    <x v="29"/>
  </r>
  <r>
    <x v="17"/>
    <x v="30"/>
    <x v="29"/>
  </r>
  <r>
    <x v="0"/>
    <x v="30"/>
    <x v="29"/>
  </r>
  <r>
    <x v="0"/>
    <x v="30"/>
    <x v="29"/>
  </r>
  <r>
    <x v="20"/>
    <x v="30"/>
    <x v="29"/>
  </r>
  <r>
    <x v="7"/>
    <x v="30"/>
    <x v="29"/>
  </r>
  <r>
    <x v="32"/>
    <x v="30"/>
    <x v="29"/>
  </r>
  <r>
    <x v="13"/>
    <x v="30"/>
    <x v="29"/>
  </r>
  <r>
    <x v="161"/>
    <x v="30"/>
    <x v="29"/>
  </r>
  <r>
    <x v="74"/>
    <x v="30"/>
    <x v="29"/>
  </r>
  <r>
    <x v="90"/>
    <x v="30"/>
    <x v="29"/>
  </r>
  <r>
    <x v="7"/>
    <x v="30"/>
    <x v="41"/>
  </r>
  <r>
    <x v="10"/>
    <x v="30"/>
    <x v="32"/>
  </r>
  <r>
    <x v="95"/>
    <x v="30"/>
    <x v="32"/>
  </r>
  <r>
    <x v="0"/>
    <x v="30"/>
    <x v="34"/>
  </r>
  <r>
    <x v="23"/>
    <x v="30"/>
    <x v="34"/>
  </r>
  <r>
    <x v="0"/>
    <x v="30"/>
    <x v="38"/>
  </r>
  <r>
    <x v="0"/>
    <x v="30"/>
    <x v="21"/>
  </r>
  <r>
    <x v="0"/>
    <x v="30"/>
    <x v="22"/>
  </r>
  <r>
    <x v="8"/>
    <x v="30"/>
    <x v="23"/>
  </r>
  <r>
    <x v="0"/>
    <x v="30"/>
    <x v="28"/>
  </r>
  <r>
    <x v="15"/>
    <x v="30"/>
    <x v="24"/>
  </r>
  <r>
    <x v="37"/>
    <x v="30"/>
    <x v="32"/>
  </r>
  <r>
    <x v="0"/>
    <x v="30"/>
    <x v="34"/>
  </r>
  <r>
    <x v="0"/>
    <x v="30"/>
    <x v="41"/>
  </r>
  <r>
    <x v="268"/>
    <x v="30"/>
    <x v="31"/>
  </r>
  <r>
    <x v="0"/>
    <x v="30"/>
    <x v="36"/>
  </r>
  <r>
    <x v="0"/>
    <x v="30"/>
    <x v="42"/>
  </r>
  <r>
    <x v="0"/>
    <x v="30"/>
    <x v="43"/>
  </r>
  <r>
    <x v="0"/>
    <x v="30"/>
    <x v="44"/>
  </r>
  <r>
    <x v="481"/>
    <x v="30"/>
    <x v="0"/>
  </r>
  <r>
    <x v="0"/>
    <x v="30"/>
    <x v="1"/>
  </r>
  <r>
    <x v="0"/>
    <x v="30"/>
    <x v="2"/>
  </r>
  <r>
    <x v="13"/>
    <x v="30"/>
    <x v="3"/>
  </r>
  <r>
    <x v="0"/>
    <x v="30"/>
    <x v="4"/>
  </r>
  <r>
    <x v="0"/>
    <x v="30"/>
    <x v="5"/>
  </r>
  <r>
    <x v="0"/>
    <x v="30"/>
    <x v="6"/>
  </r>
  <r>
    <x v="0"/>
    <x v="30"/>
    <x v="7"/>
  </r>
  <r>
    <x v="0"/>
    <x v="30"/>
    <x v="8"/>
  </r>
  <r>
    <x v="0"/>
    <x v="30"/>
    <x v="9"/>
  </r>
  <r>
    <x v="8"/>
    <x v="30"/>
    <x v="10"/>
  </r>
  <r>
    <x v="0"/>
    <x v="30"/>
    <x v="11"/>
  </r>
  <r>
    <x v="0"/>
    <x v="30"/>
    <x v="12"/>
  </r>
  <r>
    <x v="0"/>
    <x v="30"/>
    <x v="39"/>
  </r>
  <r>
    <x v="0"/>
    <x v="30"/>
    <x v="39"/>
  </r>
  <r>
    <x v="0"/>
    <x v="30"/>
    <x v="13"/>
  </r>
  <r>
    <x v="0"/>
    <x v="30"/>
    <x v="38"/>
  </r>
  <r>
    <x v="0"/>
    <x v="30"/>
    <x v="26"/>
  </r>
  <r>
    <x v="10"/>
    <x v="30"/>
    <x v="26"/>
  </r>
  <r>
    <x v="7"/>
    <x v="30"/>
    <x v="14"/>
  </r>
  <r>
    <x v="0"/>
    <x v="30"/>
    <x v="25"/>
  </r>
  <r>
    <x v="0"/>
    <x v="30"/>
    <x v="25"/>
  </r>
  <r>
    <x v="0"/>
    <x v="30"/>
    <x v="15"/>
  </r>
  <r>
    <x v="0"/>
    <x v="30"/>
    <x v="36"/>
  </r>
  <r>
    <x v="0"/>
    <x v="30"/>
    <x v="40"/>
  </r>
  <r>
    <x v="0"/>
    <x v="30"/>
    <x v="40"/>
  </r>
  <r>
    <x v="0"/>
    <x v="30"/>
    <x v="16"/>
  </r>
  <r>
    <x v="0"/>
    <x v="30"/>
    <x v="17"/>
  </r>
  <r>
    <x v="0"/>
    <x v="30"/>
    <x v="33"/>
  </r>
  <r>
    <x v="0"/>
    <x v="30"/>
    <x v="33"/>
  </r>
  <r>
    <x v="0"/>
    <x v="30"/>
    <x v="18"/>
  </r>
  <r>
    <x v="0"/>
    <x v="30"/>
    <x v="19"/>
  </r>
  <r>
    <x v="0"/>
    <x v="30"/>
    <x v="20"/>
  </r>
  <r>
    <x v="6"/>
    <x v="30"/>
    <x v="35"/>
  </r>
  <r>
    <x v="49"/>
    <x v="30"/>
    <x v="35"/>
  </r>
  <r>
    <x v="30"/>
    <x v="30"/>
    <x v="35"/>
  </r>
  <r>
    <x v="0"/>
    <x v="30"/>
    <x v="35"/>
  </r>
  <r>
    <x v="84"/>
    <x v="30"/>
    <x v="35"/>
  </r>
  <r>
    <x v="0"/>
    <x v="30"/>
    <x v="30"/>
  </r>
  <r>
    <x v="0"/>
    <x v="30"/>
    <x v="30"/>
  </r>
  <r>
    <x v="0"/>
    <x v="30"/>
    <x v="27"/>
  </r>
  <r>
    <x v="0"/>
    <x v="30"/>
    <x v="27"/>
  </r>
  <r>
    <x v="200"/>
    <x v="30"/>
    <x v="31"/>
  </r>
  <r>
    <x v="405"/>
    <x v="30"/>
    <x v="31"/>
  </r>
  <r>
    <x v="260"/>
    <x v="30"/>
    <x v="31"/>
  </r>
  <r>
    <x v="293"/>
    <x v="30"/>
    <x v="31"/>
  </r>
  <r>
    <x v="53"/>
    <x v="30"/>
    <x v="31"/>
  </r>
  <r>
    <x v="17"/>
    <x v="30"/>
    <x v="31"/>
  </r>
  <r>
    <x v="394"/>
    <x v="30"/>
    <x v="31"/>
  </r>
  <r>
    <x v="0"/>
    <x v="30"/>
    <x v="37"/>
  </r>
  <r>
    <x v="0"/>
    <x v="30"/>
    <x v="37"/>
  </r>
  <r>
    <x v="0"/>
    <x v="30"/>
    <x v="37"/>
  </r>
  <r>
    <x v="0"/>
    <x v="30"/>
    <x v="29"/>
  </r>
  <r>
    <x v="0"/>
    <x v="30"/>
    <x v="29"/>
  </r>
  <r>
    <x v="0"/>
    <x v="30"/>
    <x v="29"/>
  </r>
  <r>
    <x v="34"/>
    <x v="30"/>
    <x v="29"/>
  </r>
  <r>
    <x v="0"/>
    <x v="30"/>
    <x v="29"/>
  </r>
  <r>
    <x v="0"/>
    <x v="30"/>
    <x v="29"/>
  </r>
  <r>
    <x v="9"/>
    <x v="30"/>
    <x v="29"/>
  </r>
  <r>
    <x v="0"/>
    <x v="30"/>
    <x v="29"/>
  </r>
  <r>
    <x v="11"/>
    <x v="30"/>
    <x v="29"/>
  </r>
  <r>
    <x v="0"/>
    <x v="30"/>
    <x v="29"/>
  </r>
  <r>
    <x v="0"/>
    <x v="30"/>
    <x v="29"/>
  </r>
  <r>
    <x v="31"/>
    <x v="30"/>
    <x v="29"/>
  </r>
  <r>
    <x v="140"/>
    <x v="30"/>
    <x v="29"/>
  </r>
  <r>
    <x v="109"/>
    <x v="30"/>
    <x v="29"/>
  </r>
  <r>
    <x v="39"/>
    <x v="30"/>
    <x v="29"/>
  </r>
  <r>
    <x v="0"/>
    <x v="30"/>
    <x v="41"/>
  </r>
  <r>
    <x v="0"/>
    <x v="30"/>
    <x v="32"/>
  </r>
  <r>
    <x v="25"/>
    <x v="30"/>
    <x v="32"/>
  </r>
  <r>
    <x v="8"/>
    <x v="30"/>
    <x v="34"/>
  </r>
  <r>
    <x v="37"/>
    <x v="30"/>
    <x v="34"/>
  </r>
  <r>
    <x v="0"/>
    <x v="30"/>
    <x v="38"/>
  </r>
  <r>
    <x v="0"/>
    <x v="30"/>
    <x v="21"/>
  </r>
  <r>
    <x v="0"/>
    <x v="30"/>
    <x v="22"/>
  </r>
  <r>
    <x v="0"/>
    <x v="30"/>
    <x v="23"/>
  </r>
  <r>
    <x v="0"/>
    <x v="30"/>
    <x v="28"/>
  </r>
  <r>
    <x v="0"/>
    <x v="30"/>
    <x v="24"/>
  </r>
  <r>
    <x v="0"/>
    <x v="30"/>
    <x v="32"/>
  </r>
  <r>
    <x v="0"/>
    <x v="30"/>
    <x v="34"/>
  </r>
  <r>
    <x v="0"/>
    <x v="30"/>
    <x v="41"/>
  </r>
  <r>
    <x v="91"/>
    <x v="30"/>
    <x v="31"/>
  </r>
  <r>
    <x v="0"/>
    <x v="30"/>
    <x v="36"/>
  </r>
  <r>
    <x v="0"/>
    <x v="30"/>
    <x v="42"/>
  </r>
  <r>
    <x v="0"/>
    <x v="30"/>
    <x v="43"/>
  </r>
  <r>
    <x v="8"/>
    <x v="30"/>
    <x v="44"/>
  </r>
  <r>
    <x v="480"/>
    <x v="30"/>
    <x v="0"/>
  </r>
  <r>
    <x v="0"/>
    <x v="30"/>
    <x v="1"/>
  </r>
  <r>
    <x v="0"/>
    <x v="30"/>
    <x v="2"/>
  </r>
  <r>
    <x v="0"/>
    <x v="30"/>
    <x v="3"/>
  </r>
  <r>
    <x v="0"/>
    <x v="30"/>
    <x v="4"/>
  </r>
  <r>
    <x v="0"/>
    <x v="30"/>
    <x v="5"/>
  </r>
  <r>
    <x v="0"/>
    <x v="30"/>
    <x v="6"/>
  </r>
  <r>
    <x v="0"/>
    <x v="30"/>
    <x v="7"/>
  </r>
  <r>
    <x v="0"/>
    <x v="30"/>
    <x v="8"/>
  </r>
  <r>
    <x v="0"/>
    <x v="30"/>
    <x v="9"/>
  </r>
  <r>
    <x v="0"/>
    <x v="30"/>
    <x v="10"/>
  </r>
  <r>
    <x v="13"/>
    <x v="30"/>
    <x v="11"/>
  </r>
  <r>
    <x v="0"/>
    <x v="30"/>
    <x v="12"/>
  </r>
  <r>
    <x v="0"/>
    <x v="30"/>
    <x v="39"/>
  </r>
  <r>
    <x v="0"/>
    <x v="30"/>
    <x v="39"/>
  </r>
  <r>
    <x v="0"/>
    <x v="30"/>
    <x v="13"/>
  </r>
  <r>
    <x v="0"/>
    <x v="30"/>
    <x v="38"/>
  </r>
  <r>
    <x v="0"/>
    <x v="30"/>
    <x v="26"/>
  </r>
  <r>
    <x v="0"/>
    <x v="30"/>
    <x v="26"/>
  </r>
  <r>
    <x v="0"/>
    <x v="30"/>
    <x v="14"/>
  </r>
  <r>
    <x v="0"/>
    <x v="30"/>
    <x v="25"/>
  </r>
  <r>
    <x v="0"/>
    <x v="30"/>
    <x v="25"/>
  </r>
  <r>
    <x v="0"/>
    <x v="30"/>
    <x v="15"/>
  </r>
  <r>
    <x v="0"/>
    <x v="30"/>
    <x v="36"/>
  </r>
  <r>
    <x v="0"/>
    <x v="30"/>
    <x v="40"/>
  </r>
  <r>
    <x v="0"/>
    <x v="30"/>
    <x v="40"/>
  </r>
  <r>
    <x v="0"/>
    <x v="30"/>
    <x v="16"/>
  </r>
  <r>
    <x v="0"/>
    <x v="30"/>
    <x v="17"/>
  </r>
  <r>
    <x v="0"/>
    <x v="30"/>
    <x v="33"/>
  </r>
  <r>
    <x v="0"/>
    <x v="30"/>
    <x v="33"/>
  </r>
  <r>
    <x v="0"/>
    <x v="30"/>
    <x v="18"/>
  </r>
  <r>
    <x v="0"/>
    <x v="30"/>
    <x v="19"/>
  </r>
  <r>
    <x v="0"/>
    <x v="30"/>
    <x v="20"/>
  </r>
  <r>
    <x v="16"/>
    <x v="30"/>
    <x v="35"/>
  </r>
  <r>
    <x v="0"/>
    <x v="30"/>
    <x v="35"/>
  </r>
  <r>
    <x v="0"/>
    <x v="30"/>
    <x v="35"/>
  </r>
  <r>
    <x v="0"/>
    <x v="30"/>
    <x v="35"/>
  </r>
  <r>
    <x v="21"/>
    <x v="30"/>
    <x v="35"/>
  </r>
  <r>
    <x v="0"/>
    <x v="30"/>
    <x v="30"/>
  </r>
  <r>
    <x v="0"/>
    <x v="30"/>
    <x v="30"/>
  </r>
  <r>
    <x v="0"/>
    <x v="30"/>
    <x v="27"/>
  </r>
  <r>
    <x v="0"/>
    <x v="30"/>
    <x v="27"/>
  </r>
  <r>
    <x v="245"/>
    <x v="30"/>
    <x v="31"/>
  </r>
  <r>
    <x v="96"/>
    <x v="30"/>
    <x v="31"/>
  </r>
  <r>
    <x v="314"/>
    <x v="30"/>
    <x v="31"/>
  </r>
  <r>
    <x v="235"/>
    <x v="30"/>
    <x v="31"/>
  </r>
  <r>
    <x v="64"/>
    <x v="30"/>
    <x v="31"/>
  </r>
  <r>
    <x v="38"/>
    <x v="30"/>
    <x v="31"/>
  </r>
  <r>
    <x v="401"/>
    <x v="30"/>
    <x v="31"/>
  </r>
  <r>
    <x v="0"/>
    <x v="30"/>
    <x v="37"/>
  </r>
  <r>
    <x v="0"/>
    <x v="30"/>
    <x v="37"/>
  </r>
  <r>
    <x v="0"/>
    <x v="30"/>
    <x v="37"/>
  </r>
  <r>
    <x v="0"/>
    <x v="30"/>
    <x v="29"/>
  </r>
  <r>
    <x v="0"/>
    <x v="30"/>
    <x v="29"/>
  </r>
  <r>
    <x v="11"/>
    <x v="30"/>
    <x v="29"/>
  </r>
  <r>
    <x v="0"/>
    <x v="30"/>
    <x v="29"/>
  </r>
  <r>
    <x v="0"/>
    <x v="30"/>
    <x v="29"/>
  </r>
  <r>
    <x v="0"/>
    <x v="30"/>
    <x v="29"/>
  </r>
  <r>
    <x v="0"/>
    <x v="30"/>
    <x v="29"/>
  </r>
  <r>
    <x v="0"/>
    <x v="30"/>
    <x v="29"/>
  </r>
  <r>
    <x v="17"/>
    <x v="30"/>
    <x v="29"/>
  </r>
  <r>
    <x v="0"/>
    <x v="30"/>
    <x v="29"/>
  </r>
  <r>
    <x v="0"/>
    <x v="30"/>
    <x v="29"/>
  </r>
  <r>
    <x v="0"/>
    <x v="30"/>
    <x v="29"/>
  </r>
  <r>
    <x v="157"/>
    <x v="30"/>
    <x v="29"/>
  </r>
  <r>
    <x v="101"/>
    <x v="30"/>
    <x v="29"/>
  </r>
  <r>
    <x v="108"/>
    <x v="30"/>
    <x v="29"/>
  </r>
  <r>
    <x v="0"/>
    <x v="30"/>
    <x v="41"/>
  </r>
  <r>
    <x v="0"/>
    <x v="30"/>
    <x v="32"/>
  </r>
  <r>
    <x v="14"/>
    <x v="30"/>
    <x v="32"/>
  </r>
  <r>
    <x v="0"/>
    <x v="30"/>
    <x v="34"/>
  </r>
  <r>
    <x v="38"/>
    <x v="30"/>
    <x v="34"/>
  </r>
  <r>
    <x v="0"/>
    <x v="30"/>
    <x v="38"/>
  </r>
  <r>
    <x v="0"/>
    <x v="30"/>
    <x v="21"/>
  </r>
  <r>
    <x v="0"/>
    <x v="30"/>
    <x v="22"/>
  </r>
  <r>
    <x v="0"/>
    <x v="30"/>
    <x v="23"/>
  </r>
  <r>
    <x v="0"/>
    <x v="30"/>
    <x v="28"/>
  </r>
  <r>
    <x v="8"/>
    <x v="30"/>
    <x v="24"/>
  </r>
  <r>
    <x v="8"/>
    <x v="30"/>
    <x v="32"/>
  </r>
  <r>
    <x v="0"/>
    <x v="30"/>
    <x v="34"/>
  </r>
  <r>
    <x v="0"/>
    <x v="30"/>
    <x v="41"/>
  </r>
  <r>
    <x v="81"/>
    <x v="30"/>
    <x v="31"/>
  </r>
  <r>
    <x v="0"/>
    <x v="30"/>
    <x v="36"/>
  </r>
  <r>
    <x v="0"/>
    <x v="30"/>
    <x v="42"/>
  </r>
  <r>
    <x v="0"/>
    <x v="30"/>
    <x v="43"/>
  </r>
  <r>
    <x v="0"/>
    <x v="30"/>
    <x v="44"/>
  </r>
  <r>
    <x v="466"/>
    <x v="30"/>
    <x v="0"/>
  </r>
  <r>
    <x v="6"/>
    <x v="30"/>
    <x v="1"/>
  </r>
  <r>
    <x v="0"/>
    <x v="30"/>
    <x v="2"/>
  </r>
  <r>
    <x v="5"/>
    <x v="30"/>
    <x v="3"/>
  </r>
  <r>
    <x v="0"/>
    <x v="30"/>
    <x v="4"/>
  </r>
  <r>
    <x v="0"/>
    <x v="30"/>
    <x v="5"/>
  </r>
  <r>
    <x v="0"/>
    <x v="30"/>
    <x v="6"/>
  </r>
  <r>
    <x v="6"/>
    <x v="30"/>
    <x v="7"/>
  </r>
  <r>
    <x v="0"/>
    <x v="30"/>
    <x v="8"/>
  </r>
  <r>
    <x v="0"/>
    <x v="30"/>
    <x v="9"/>
  </r>
  <r>
    <x v="0"/>
    <x v="30"/>
    <x v="10"/>
  </r>
  <r>
    <x v="13"/>
    <x v="30"/>
    <x v="11"/>
  </r>
  <r>
    <x v="0"/>
    <x v="30"/>
    <x v="12"/>
  </r>
  <r>
    <x v="0"/>
    <x v="30"/>
    <x v="39"/>
  </r>
  <r>
    <x v="0"/>
    <x v="30"/>
    <x v="39"/>
  </r>
  <r>
    <x v="0"/>
    <x v="30"/>
    <x v="13"/>
  </r>
  <r>
    <x v="0"/>
    <x v="30"/>
    <x v="38"/>
  </r>
  <r>
    <x v="8"/>
    <x v="30"/>
    <x v="26"/>
  </r>
  <r>
    <x v="0"/>
    <x v="30"/>
    <x v="26"/>
  </r>
  <r>
    <x v="0"/>
    <x v="30"/>
    <x v="14"/>
  </r>
  <r>
    <x v="0"/>
    <x v="30"/>
    <x v="25"/>
  </r>
  <r>
    <x v="13"/>
    <x v="30"/>
    <x v="25"/>
  </r>
  <r>
    <x v="6"/>
    <x v="30"/>
    <x v="15"/>
  </r>
  <r>
    <x v="6"/>
    <x v="30"/>
    <x v="36"/>
  </r>
  <r>
    <x v="0"/>
    <x v="30"/>
    <x v="40"/>
  </r>
  <r>
    <x v="0"/>
    <x v="30"/>
    <x v="40"/>
  </r>
  <r>
    <x v="0"/>
    <x v="30"/>
    <x v="16"/>
  </r>
  <r>
    <x v="0"/>
    <x v="30"/>
    <x v="17"/>
  </r>
  <r>
    <x v="0"/>
    <x v="30"/>
    <x v="33"/>
  </r>
  <r>
    <x v="0"/>
    <x v="30"/>
    <x v="33"/>
  </r>
  <r>
    <x v="0"/>
    <x v="30"/>
    <x v="18"/>
  </r>
  <r>
    <x v="0"/>
    <x v="30"/>
    <x v="19"/>
  </r>
  <r>
    <x v="0"/>
    <x v="30"/>
    <x v="20"/>
  </r>
  <r>
    <x v="40"/>
    <x v="30"/>
    <x v="35"/>
  </r>
  <r>
    <x v="17"/>
    <x v="30"/>
    <x v="35"/>
  </r>
  <r>
    <x v="0"/>
    <x v="30"/>
    <x v="35"/>
  </r>
  <r>
    <x v="0"/>
    <x v="30"/>
    <x v="35"/>
  </r>
  <r>
    <x v="37"/>
    <x v="30"/>
    <x v="35"/>
  </r>
  <r>
    <x v="0"/>
    <x v="30"/>
    <x v="30"/>
  </r>
  <r>
    <x v="0"/>
    <x v="30"/>
    <x v="30"/>
  </r>
  <r>
    <x v="0"/>
    <x v="30"/>
    <x v="27"/>
  </r>
  <r>
    <x v="0"/>
    <x v="30"/>
    <x v="27"/>
  </r>
  <r>
    <x v="231"/>
    <x v="30"/>
    <x v="31"/>
  </r>
  <r>
    <x v="240"/>
    <x v="30"/>
    <x v="31"/>
  </r>
  <r>
    <x v="289"/>
    <x v="30"/>
    <x v="31"/>
  </r>
  <r>
    <x v="354"/>
    <x v="30"/>
    <x v="31"/>
  </r>
  <r>
    <x v="83"/>
    <x v="30"/>
    <x v="31"/>
  </r>
  <r>
    <x v="32"/>
    <x v="30"/>
    <x v="31"/>
  </r>
  <r>
    <x v="392"/>
    <x v="30"/>
    <x v="31"/>
  </r>
  <r>
    <x v="0"/>
    <x v="30"/>
    <x v="37"/>
  </r>
  <r>
    <x v="0"/>
    <x v="30"/>
    <x v="37"/>
  </r>
  <r>
    <x v="0"/>
    <x v="30"/>
    <x v="37"/>
  </r>
  <r>
    <x v="0"/>
    <x v="30"/>
    <x v="29"/>
  </r>
  <r>
    <x v="9"/>
    <x v="30"/>
    <x v="29"/>
  </r>
  <r>
    <x v="0"/>
    <x v="30"/>
    <x v="29"/>
  </r>
  <r>
    <x v="0"/>
    <x v="30"/>
    <x v="29"/>
  </r>
  <r>
    <x v="0"/>
    <x v="30"/>
    <x v="29"/>
  </r>
  <r>
    <x v="0"/>
    <x v="30"/>
    <x v="29"/>
  </r>
  <r>
    <x v="14"/>
    <x v="30"/>
    <x v="29"/>
  </r>
  <r>
    <x v="0"/>
    <x v="30"/>
    <x v="29"/>
  </r>
  <r>
    <x v="9"/>
    <x v="30"/>
    <x v="29"/>
  </r>
  <r>
    <x v="6"/>
    <x v="30"/>
    <x v="29"/>
  </r>
  <r>
    <x v="9"/>
    <x v="30"/>
    <x v="29"/>
  </r>
  <r>
    <x v="6"/>
    <x v="30"/>
    <x v="29"/>
  </r>
  <r>
    <x v="149"/>
    <x v="30"/>
    <x v="29"/>
  </r>
  <r>
    <x v="58"/>
    <x v="30"/>
    <x v="29"/>
  </r>
  <r>
    <x v="75"/>
    <x v="30"/>
    <x v="29"/>
  </r>
  <r>
    <x v="0"/>
    <x v="30"/>
    <x v="41"/>
  </r>
  <r>
    <x v="0"/>
    <x v="30"/>
    <x v="32"/>
  </r>
  <r>
    <x v="0"/>
    <x v="30"/>
    <x v="32"/>
  </r>
  <r>
    <x v="10"/>
    <x v="30"/>
    <x v="34"/>
  </r>
  <r>
    <x v="9"/>
    <x v="30"/>
    <x v="34"/>
  </r>
  <r>
    <x v="16"/>
    <x v="30"/>
    <x v="34"/>
  </r>
  <r>
    <x v="0"/>
    <x v="30"/>
    <x v="38"/>
  </r>
  <r>
    <x v="0"/>
    <x v="30"/>
    <x v="21"/>
  </r>
  <r>
    <x v="0"/>
    <x v="30"/>
    <x v="22"/>
  </r>
  <r>
    <x v="0"/>
    <x v="30"/>
    <x v="23"/>
  </r>
  <r>
    <x v="0"/>
    <x v="30"/>
    <x v="28"/>
  </r>
  <r>
    <x v="7"/>
    <x v="30"/>
    <x v="24"/>
  </r>
  <r>
    <x v="0"/>
    <x v="30"/>
    <x v="32"/>
  </r>
  <r>
    <x v="0"/>
    <x v="30"/>
    <x v="34"/>
  </r>
  <r>
    <x v="0"/>
    <x v="30"/>
    <x v="41"/>
  </r>
  <r>
    <x v="105"/>
    <x v="30"/>
    <x v="31"/>
  </r>
  <r>
    <x v="0"/>
    <x v="30"/>
    <x v="36"/>
  </r>
  <r>
    <x v="0"/>
    <x v="30"/>
    <x v="42"/>
  </r>
  <r>
    <x v="0"/>
    <x v="30"/>
    <x v="43"/>
  </r>
  <r>
    <x v="6"/>
    <x v="30"/>
    <x v="44"/>
  </r>
  <r>
    <x v="490"/>
    <x v="30"/>
    <x v="0"/>
  </r>
  <r>
    <x v="0"/>
    <x v="30"/>
    <x v="1"/>
  </r>
  <r>
    <x v="0"/>
    <x v="30"/>
    <x v="2"/>
  </r>
  <r>
    <x v="0"/>
    <x v="30"/>
    <x v="3"/>
  </r>
  <r>
    <x v="0"/>
    <x v="30"/>
    <x v="4"/>
  </r>
  <r>
    <x v="0"/>
    <x v="30"/>
    <x v="5"/>
  </r>
  <r>
    <x v="0"/>
    <x v="30"/>
    <x v="6"/>
  </r>
  <r>
    <x v="0"/>
    <x v="30"/>
    <x v="7"/>
  </r>
  <r>
    <x v="0"/>
    <x v="30"/>
    <x v="8"/>
  </r>
  <r>
    <x v="0"/>
    <x v="30"/>
    <x v="9"/>
  </r>
  <r>
    <x v="0"/>
    <x v="30"/>
    <x v="10"/>
  </r>
  <r>
    <x v="0"/>
    <x v="30"/>
    <x v="11"/>
  </r>
  <r>
    <x v="0"/>
    <x v="30"/>
    <x v="12"/>
  </r>
  <r>
    <x v="0"/>
    <x v="30"/>
    <x v="39"/>
  </r>
  <r>
    <x v="0"/>
    <x v="30"/>
    <x v="39"/>
  </r>
  <r>
    <x v="0"/>
    <x v="30"/>
    <x v="13"/>
  </r>
  <r>
    <x v="0"/>
    <x v="30"/>
    <x v="38"/>
  </r>
  <r>
    <x v="0"/>
    <x v="30"/>
    <x v="26"/>
  </r>
  <r>
    <x v="0"/>
    <x v="30"/>
    <x v="26"/>
  </r>
  <r>
    <x v="0"/>
    <x v="30"/>
    <x v="14"/>
  </r>
  <r>
    <x v="0"/>
    <x v="30"/>
    <x v="25"/>
  </r>
  <r>
    <x v="0"/>
    <x v="30"/>
    <x v="25"/>
  </r>
  <r>
    <x v="0"/>
    <x v="30"/>
    <x v="15"/>
  </r>
  <r>
    <x v="0"/>
    <x v="30"/>
    <x v="36"/>
  </r>
  <r>
    <x v="0"/>
    <x v="30"/>
    <x v="40"/>
  </r>
  <r>
    <x v="0"/>
    <x v="30"/>
    <x v="40"/>
  </r>
  <r>
    <x v="0"/>
    <x v="30"/>
    <x v="16"/>
  </r>
  <r>
    <x v="0"/>
    <x v="30"/>
    <x v="17"/>
  </r>
  <r>
    <x v="0"/>
    <x v="30"/>
    <x v="33"/>
  </r>
  <r>
    <x v="0"/>
    <x v="30"/>
    <x v="33"/>
  </r>
  <r>
    <x v="0"/>
    <x v="30"/>
    <x v="18"/>
  </r>
  <r>
    <x v="0"/>
    <x v="30"/>
    <x v="19"/>
  </r>
  <r>
    <x v="0"/>
    <x v="30"/>
    <x v="20"/>
  </r>
  <r>
    <x v="0"/>
    <x v="30"/>
    <x v="35"/>
  </r>
  <r>
    <x v="0"/>
    <x v="30"/>
    <x v="35"/>
  </r>
  <r>
    <x v="0"/>
    <x v="30"/>
    <x v="35"/>
  </r>
  <r>
    <x v="0"/>
    <x v="30"/>
    <x v="35"/>
  </r>
  <r>
    <x v="7"/>
    <x v="30"/>
    <x v="35"/>
  </r>
  <r>
    <x v="0"/>
    <x v="30"/>
    <x v="30"/>
  </r>
  <r>
    <x v="0"/>
    <x v="30"/>
    <x v="30"/>
  </r>
  <r>
    <x v="0"/>
    <x v="30"/>
    <x v="27"/>
  </r>
  <r>
    <x v="0"/>
    <x v="30"/>
    <x v="27"/>
  </r>
  <r>
    <x v="234"/>
    <x v="30"/>
    <x v="31"/>
  </r>
  <r>
    <x v="13"/>
    <x v="30"/>
    <x v="31"/>
  </r>
  <r>
    <x v="18"/>
    <x v="30"/>
    <x v="31"/>
  </r>
  <r>
    <x v="27"/>
    <x v="30"/>
    <x v="31"/>
  </r>
  <r>
    <x v="320"/>
    <x v="30"/>
    <x v="31"/>
  </r>
  <r>
    <x v="236"/>
    <x v="30"/>
    <x v="31"/>
  </r>
  <r>
    <x v="406"/>
    <x v="30"/>
    <x v="31"/>
  </r>
  <r>
    <x v="0"/>
    <x v="30"/>
    <x v="37"/>
  </r>
  <r>
    <x v="0"/>
    <x v="30"/>
    <x v="37"/>
  </r>
  <r>
    <x v="0"/>
    <x v="30"/>
    <x v="37"/>
  </r>
  <r>
    <x v="7"/>
    <x v="30"/>
    <x v="29"/>
  </r>
  <r>
    <x v="5"/>
    <x v="30"/>
    <x v="29"/>
  </r>
  <r>
    <x v="7"/>
    <x v="30"/>
    <x v="29"/>
  </r>
  <r>
    <x v="18"/>
    <x v="30"/>
    <x v="29"/>
  </r>
  <r>
    <x v="0"/>
    <x v="30"/>
    <x v="29"/>
  </r>
  <r>
    <x v="13"/>
    <x v="30"/>
    <x v="29"/>
  </r>
  <r>
    <x v="20"/>
    <x v="30"/>
    <x v="29"/>
  </r>
  <r>
    <x v="0"/>
    <x v="30"/>
    <x v="29"/>
  </r>
  <r>
    <x v="52"/>
    <x v="30"/>
    <x v="29"/>
  </r>
  <r>
    <x v="12"/>
    <x v="30"/>
    <x v="29"/>
  </r>
  <r>
    <x v="17"/>
    <x v="30"/>
    <x v="29"/>
  </r>
  <r>
    <x v="16"/>
    <x v="30"/>
    <x v="29"/>
  </r>
  <r>
    <x v="252"/>
    <x v="30"/>
    <x v="29"/>
  </r>
  <r>
    <x v="154"/>
    <x v="30"/>
    <x v="29"/>
  </r>
  <r>
    <x v="227"/>
    <x v="30"/>
    <x v="29"/>
  </r>
  <r>
    <x v="6"/>
    <x v="30"/>
    <x v="41"/>
  </r>
  <r>
    <x v="0"/>
    <x v="30"/>
    <x v="32"/>
  </r>
  <r>
    <x v="26"/>
    <x v="30"/>
    <x v="32"/>
  </r>
  <r>
    <x v="0"/>
    <x v="30"/>
    <x v="34"/>
  </r>
  <r>
    <x v="9"/>
    <x v="30"/>
    <x v="34"/>
  </r>
  <r>
    <x v="30"/>
    <x v="30"/>
    <x v="34"/>
  </r>
  <r>
    <x v="0"/>
    <x v="30"/>
    <x v="38"/>
  </r>
  <r>
    <x v="0"/>
    <x v="30"/>
    <x v="21"/>
  </r>
  <r>
    <x v="0"/>
    <x v="30"/>
    <x v="22"/>
  </r>
  <r>
    <x v="0"/>
    <x v="30"/>
    <x v="23"/>
  </r>
  <r>
    <x v="0"/>
    <x v="30"/>
    <x v="28"/>
  </r>
  <r>
    <x v="0"/>
    <x v="30"/>
    <x v="24"/>
  </r>
  <r>
    <x v="0"/>
    <x v="30"/>
    <x v="32"/>
  </r>
  <r>
    <x v="0"/>
    <x v="30"/>
    <x v="34"/>
  </r>
  <r>
    <x v="0"/>
    <x v="30"/>
    <x v="41"/>
  </r>
  <r>
    <x v="212"/>
    <x v="30"/>
    <x v="31"/>
  </r>
  <r>
    <x v="0"/>
    <x v="30"/>
    <x v="36"/>
  </r>
  <r>
    <x v="0"/>
    <x v="30"/>
    <x v="42"/>
  </r>
  <r>
    <x v="0"/>
    <x v="30"/>
    <x v="43"/>
  </r>
  <r>
    <x v="0"/>
    <x v="30"/>
    <x v="44"/>
  </r>
  <r>
    <x v="508"/>
    <x v="30"/>
    <x v="0"/>
  </r>
  <r>
    <x v="0"/>
    <x v="30"/>
    <x v="1"/>
  </r>
  <r>
    <x v="0"/>
    <x v="30"/>
    <x v="2"/>
  </r>
  <r>
    <x v="0"/>
    <x v="30"/>
    <x v="3"/>
  </r>
  <r>
    <x v="0"/>
    <x v="30"/>
    <x v="4"/>
  </r>
  <r>
    <x v="0"/>
    <x v="30"/>
    <x v="5"/>
  </r>
  <r>
    <x v="0"/>
    <x v="30"/>
    <x v="6"/>
  </r>
  <r>
    <x v="0"/>
    <x v="30"/>
    <x v="7"/>
  </r>
  <r>
    <x v="0"/>
    <x v="30"/>
    <x v="8"/>
  </r>
  <r>
    <x v="0"/>
    <x v="30"/>
    <x v="9"/>
  </r>
  <r>
    <x v="0"/>
    <x v="30"/>
    <x v="10"/>
  </r>
  <r>
    <x v="0"/>
    <x v="30"/>
    <x v="11"/>
  </r>
  <r>
    <x v="0"/>
    <x v="30"/>
    <x v="12"/>
  </r>
  <r>
    <x v="0"/>
    <x v="30"/>
    <x v="39"/>
  </r>
  <r>
    <x v="0"/>
    <x v="30"/>
    <x v="39"/>
  </r>
  <r>
    <x v="0"/>
    <x v="30"/>
    <x v="13"/>
  </r>
  <r>
    <x v="0"/>
    <x v="30"/>
    <x v="38"/>
  </r>
  <r>
    <x v="0"/>
    <x v="30"/>
    <x v="26"/>
  </r>
  <r>
    <x v="0"/>
    <x v="30"/>
    <x v="26"/>
  </r>
  <r>
    <x v="0"/>
    <x v="30"/>
    <x v="14"/>
  </r>
  <r>
    <x v="0"/>
    <x v="30"/>
    <x v="25"/>
  </r>
  <r>
    <x v="0"/>
    <x v="30"/>
    <x v="25"/>
  </r>
  <r>
    <x v="0"/>
    <x v="30"/>
    <x v="15"/>
  </r>
  <r>
    <x v="0"/>
    <x v="30"/>
    <x v="36"/>
  </r>
  <r>
    <x v="0"/>
    <x v="30"/>
    <x v="40"/>
  </r>
  <r>
    <x v="0"/>
    <x v="30"/>
    <x v="40"/>
  </r>
  <r>
    <x v="0"/>
    <x v="30"/>
    <x v="16"/>
  </r>
  <r>
    <x v="0"/>
    <x v="30"/>
    <x v="17"/>
  </r>
  <r>
    <x v="0"/>
    <x v="30"/>
    <x v="33"/>
  </r>
  <r>
    <x v="0"/>
    <x v="30"/>
    <x v="33"/>
  </r>
  <r>
    <x v="0"/>
    <x v="30"/>
    <x v="18"/>
  </r>
  <r>
    <x v="7"/>
    <x v="30"/>
    <x v="19"/>
  </r>
  <r>
    <x v="6"/>
    <x v="30"/>
    <x v="20"/>
  </r>
  <r>
    <x v="0"/>
    <x v="30"/>
    <x v="35"/>
  </r>
  <r>
    <x v="0"/>
    <x v="30"/>
    <x v="35"/>
  </r>
  <r>
    <x v="0"/>
    <x v="30"/>
    <x v="35"/>
  </r>
  <r>
    <x v="0"/>
    <x v="30"/>
    <x v="35"/>
  </r>
  <r>
    <x v="6"/>
    <x v="30"/>
    <x v="35"/>
  </r>
  <r>
    <x v="0"/>
    <x v="30"/>
    <x v="30"/>
  </r>
  <r>
    <x v="0"/>
    <x v="30"/>
    <x v="30"/>
  </r>
  <r>
    <x v="0"/>
    <x v="30"/>
    <x v="27"/>
  </r>
  <r>
    <x v="0"/>
    <x v="30"/>
    <x v="27"/>
  </r>
  <r>
    <x v="271"/>
    <x v="30"/>
    <x v="31"/>
  </r>
  <r>
    <x v="17"/>
    <x v="30"/>
    <x v="31"/>
  </r>
  <r>
    <x v="58"/>
    <x v="30"/>
    <x v="31"/>
  </r>
  <r>
    <x v="38"/>
    <x v="30"/>
    <x v="31"/>
  </r>
  <r>
    <x v="214"/>
    <x v="30"/>
    <x v="31"/>
  </r>
  <r>
    <x v="349"/>
    <x v="30"/>
    <x v="31"/>
  </r>
  <r>
    <x v="403"/>
    <x v="30"/>
    <x v="31"/>
  </r>
  <r>
    <x v="0"/>
    <x v="30"/>
    <x v="37"/>
  </r>
  <r>
    <x v="0"/>
    <x v="30"/>
    <x v="37"/>
  </r>
  <r>
    <x v="0"/>
    <x v="30"/>
    <x v="37"/>
  </r>
  <r>
    <x v="0"/>
    <x v="30"/>
    <x v="29"/>
  </r>
  <r>
    <x v="14"/>
    <x v="30"/>
    <x v="29"/>
  </r>
  <r>
    <x v="7"/>
    <x v="30"/>
    <x v="29"/>
  </r>
  <r>
    <x v="0"/>
    <x v="30"/>
    <x v="29"/>
  </r>
  <r>
    <x v="0"/>
    <x v="30"/>
    <x v="29"/>
  </r>
  <r>
    <x v="7"/>
    <x v="30"/>
    <x v="29"/>
  </r>
  <r>
    <x v="0"/>
    <x v="30"/>
    <x v="29"/>
  </r>
  <r>
    <x v="7"/>
    <x v="30"/>
    <x v="29"/>
  </r>
  <r>
    <x v="31"/>
    <x v="30"/>
    <x v="29"/>
  </r>
  <r>
    <x v="11"/>
    <x v="30"/>
    <x v="29"/>
  </r>
  <r>
    <x v="9"/>
    <x v="30"/>
    <x v="29"/>
  </r>
  <r>
    <x v="8"/>
    <x v="30"/>
    <x v="29"/>
  </r>
  <r>
    <x v="233"/>
    <x v="30"/>
    <x v="29"/>
  </r>
  <r>
    <x v="180"/>
    <x v="30"/>
    <x v="29"/>
  </r>
  <r>
    <x v="207"/>
    <x v="30"/>
    <x v="29"/>
  </r>
  <r>
    <x v="0"/>
    <x v="30"/>
    <x v="41"/>
  </r>
  <r>
    <x v="0"/>
    <x v="30"/>
    <x v="32"/>
  </r>
  <r>
    <x v="14"/>
    <x v="30"/>
    <x v="32"/>
  </r>
  <r>
    <x v="12"/>
    <x v="30"/>
    <x v="34"/>
  </r>
  <r>
    <x v="7"/>
    <x v="30"/>
    <x v="34"/>
  </r>
  <r>
    <x v="61"/>
    <x v="30"/>
    <x v="34"/>
  </r>
  <r>
    <x v="0"/>
    <x v="30"/>
    <x v="38"/>
  </r>
  <r>
    <x v="0"/>
    <x v="30"/>
    <x v="21"/>
  </r>
  <r>
    <x v="0"/>
    <x v="30"/>
    <x v="22"/>
  </r>
  <r>
    <x v="0"/>
    <x v="30"/>
    <x v="23"/>
  </r>
  <r>
    <x v="0"/>
    <x v="30"/>
    <x v="28"/>
  </r>
  <r>
    <x v="0"/>
    <x v="30"/>
    <x v="24"/>
  </r>
  <r>
    <x v="0"/>
    <x v="30"/>
    <x v="32"/>
  </r>
  <r>
    <x v="0"/>
    <x v="30"/>
    <x v="34"/>
  </r>
  <r>
    <x v="0"/>
    <x v="30"/>
    <x v="41"/>
  </r>
  <r>
    <x v="257"/>
    <x v="30"/>
    <x v="31"/>
  </r>
  <r>
    <x v="0"/>
    <x v="30"/>
    <x v="36"/>
  </r>
  <r>
    <x v="0"/>
    <x v="30"/>
    <x v="42"/>
  </r>
  <r>
    <x v="0"/>
    <x v="30"/>
    <x v="43"/>
  </r>
  <r>
    <x v="11"/>
    <x v="30"/>
    <x v="44"/>
  </r>
  <r>
    <x v="586"/>
    <x v="30"/>
    <x v="0"/>
  </r>
  <r>
    <x v="18"/>
    <x v="30"/>
    <x v="1"/>
  </r>
  <r>
    <x v="8"/>
    <x v="30"/>
    <x v="2"/>
  </r>
  <r>
    <x v="10"/>
    <x v="30"/>
    <x v="3"/>
  </r>
  <r>
    <x v="14"/>
    <x v="30"/>
    <x v="4"/>
  </r>
  <r>
    <x v="5"/>
    <x v="30"/>
    <x v="5"/>
  </r>
  <r>
    <x v="0"/>
    <x v="30"/>
    <x v="6"/>
  </r>
  <r>
    <x v="0"/>
    <x v="30"/>
    <x v="7"/>
  </r>
  <r>
    <x v="0"/>
    <x v="30"/>
    <x v="8"/>
  </r>
  <r>
    <x v="17"/>
    <x v="30"/>
    <x v="9"/>
  </r>
  <r>
    <x v="17"/>
    <x v="30"/>
    <x v="10"/>
  </r>
  <r>
    <x v="14"/>
    <x v="30"/>
    <x v="11"/>
  </r>
  <r>
    <x v="6"/>
    <x v="30"/>
    <x v="12"/>
  </r>
  <r>
    <x v="0"/>
    <x v="30"/>
    <x v="39"/>
  </r>
  <r>
    <x v="6"/>
    <x v="30"/>
    <x v="39"/>
  </r>
  <r>
    <x v="0"/>
    <x v="30"/>
    <x v="13"/>
  </r>
  <r>
    <x v="0"/>
    <x v="30"/>
    <x v="38"/>
  </r>
  <r>
    <x v="0"/>
    <x v="30"/>
    <x v="26"/>
  </r>
  <r>
    <x v="5"/>
    <x v="30"/>
    <x v="26"/>
  </r>
  <r>
    <x v="30"/>
    <x v="30"/>
    <x v="14"/>
  </r>
  <r>
    <x v="10"/>
    <x v="30"/>
    <x v="25"/>
  </r>
  <r>
    <x v="8"/>
    <x v="30"/>
    <x v="25"/>
  </r>
  <r>
    <x v="5"/>
    <x v="30"/>
    <x v="15"/>
  </r>
  <r>
    <x v="0"/>
    <x v="30"/>
    <x v="36"/>
  </r>
  <r>
    <x v="0"/>
    <x v="30"/>
    <x v="40"/>
  </r>
  <r>
    <x v="0"/>
    <x v="30"/>
    <x v="40"/>
  </r>
  <r>
    <x v="0"/>
    <x v="30"/>
    <x v="16"/>
  </r>
  <r>
    <x v="0"/>
    <x v="30"/>
    <x v="17"/>
  </r>
  <r>
    <x v="0"/>
    <x v="30"/>
    <x v="33"/>
  </r>
  <r>
    <x v="6"/>
    <x v="30"/>
    <x v="33"/>
  </r>
  <r>
    <x v="0"/>
    <x v="30"/>
    <x v="18"/>
  </r>
  <r>
    <x v="8"/>
    <x v="30"/>
    <x v="19"/>
  </r>
  <r>
    <x v="41"/>
    <x v="30"/>
    <x v="20"/>
  </r>
  <r>
    <x v="114"/>
    <x v="30"/>
    <x v="35"/>
  </r>
  <r>
    <x v="28"/>
    <x v="30"/>
    <x v="35"/>
  </r>
  <r>
    <x v="14"/>
    <x v="30"/>
    <x v="35"/>
  </r>
  <r>
    <x v="0"/>
    <x v="30"/>
    <x v="35"/>
  </r>
  <r>
    <x v="40"/>
    <x v="30"/>
    <x v="35"/>
  </r>
  <r>
    <x v="0"/>
    <x v="30"/>
    <x v="30"/>
  </r>
  <r>
    <x v="0"/>
    <x v="30"/>
    <x v="30"/>
  </r>
  <r>
    <x v="0"/>
    <x v="30"/>
    <x v="27"/>
  </r>
  <r>
    <x v="11"/>
    <x v="30"/>
    <x v="27"/>
  </r>
  <r>
    <x v="452"/>
    <x v="30"/>
    <x v="31"/>
  </r>
  <r>
    <x v="251"/>
    <x v="30"/>
    <x v="31"/>
  </r>
  <r>
    <x v="272"/>
    <x v="30"/>
    <x v="31"/>
  </r>
  <r>
    <x v="174"/>
    <x v="30"/>
    <x v="31"/>
  </r>
  <r>
    <x v="356"/>
    <x v="30"/>
    <x v="31"/>
  </r>
  <r>
    <x v="373"/>
    <x v="30"/>
    <x v="31"/>
  </r>
  <r>
    <x v="580"/>
    <x v="30"/>
    <x v="31"/>
  </r>
  <r>
    <x v="0"/>
    <x v="30"/>
    <x v="37"/>
  </r>
  <r>
    <x v="10"/>
    <x v="30"/>
    <x v="37"/>
  </r>
  <r>
    <x v="8"/>
    <x v="30"/>
    <x v="37"/>
  </r>
  <r>
    <x v="59"/>
    <x v="30"/>
    <x v="29"/>
  </r>
  <r>
    <x v="57"/>
    <x v="30"/>
    <x v="29"/>
  </r>
  <r>
    <x v="84"/>
    <x v="30"/>
    <x v="29"/>
  </r>
  <r>
    <x v="38"/>
    <x v="30"/>
    <x v="29"/>
  </r>
  <r>
    <x v="67"/>
    <x v="30"/>
    <x v="29"/>
  </r>
  <r>
    <x v="138"/>
    <x v="30"/>
    <x v="29"/>
  </r>
  <r>
    <x v="48"/>
    <x v="30"/>
    <x v="29"/>
  </r>
  <r>
    <x v="75"/>
    <x v="30"/>
    <x v="29"/>
  </r>
  <r>
    <x v="206"/>
    <x v="30"/>
    <x v="29"/>
  </r>
  <r>
    <x v="24"/>
    <x v="30"/>
    <x v="29"/>
  </r>
  <r>
    <x v="81"/>
    <x v="30"/>
    <x v="29"/>
  </r>
  <r>
    <x v="72"/>
    <x v="30"/>
    <x v="29"/>
  </r>
  <r>
    <x v="498"/>
    <x v="30"/>
    <x v="29"/>
  </r>
  <r>
    <x v="393"/>
    <x v="30"/>
    <x v="29"/>
  </r>
  <r>
    <x v="407"/>
    <x v="30"/>
    <x v="29"/>
  </r>
  <r>
    <x v="12"/>
    <x v="30"/>
    <x v="41"/>
  </r>
  <r>
    <x v="0"/>
    <x v="30"/>
    <x v="32"/>
  </r>
  <r>
    <x v="195"/>
    <x v="30"/>
    <x v="32"/>
  </r>
  <r>
    <x v="20"/>
    <x v="30"/>
    <x v="34"/>
  </r>
  <r>
    <x v="87"/>
    <x v="30"/>
    <x v="34"/>
  </r>
  <r>
    <x v="181"/>
    <x v="30"/>
    <x v="34"/>
  </r>
  <r>
    <x v="0"/>
    <x v="30"/>
    <x v="38"/>
  </r>
  <r>
    <x v="0"/>
    <x v="30"/>
    <x v="21"/>
  </r>
  <r>
    <x v="0"/>
    <x v="30"/>
    <x v="22"/>
  </r>
  <r>
    <x v="19"/>
    <x v="30"/>
    <x v="23"/>
  </r>
  <r>
    <x v="12"/>
    <x v="30"/>
    <x v="28"/>
  </r>
  <r>
    <x v="5"/>
    <x v="30"/>
    <x v="28"/>
  </r>
  <r>
    <x v="3"/>
    <x v="30"/>
    <x v="24"/>
  </r>
  <r>
    <x v="119"/>
    <x v="30"/>
    <x v="32"/>
  </r>
  <r>
    <x v="29"/>
    <x v="30"/>
    <x v="34"/>
  </r>
  <r>
    <x v="0"/>
    <x v="30"/>
    <x v="41"/>
  </r>
  <r>
    <x v="465"/>
    <x v="30"/>
    <x v="31"/>
  </r>
  <r>
    <x v="0"/>
    <x v="30"/>
    <x v="36"/>
  </r>
  <r>
    <x v="0"/>
    <x v="30"/>
    <x v="42"/>
  </r>
  <r>
    <x v="0"/>
    <x v="30"/>
    <x v="43"/>
  </r>
  <r>
    <x v="13"/>
    <x v="30"/>
    <x v="44"/>
  </r>
  <r>
    <x v="572"/>
    <x v="36"/>
    <x v="0"/>
  </r>
  <r>
    <x v="7"/>
    <x v="36"/>
    <x v="1"/>
  </r>
  <r>
    <x v="11"/>
    <x v="36"/>
    <x v="2"/>
  </r>
  <r>
    <x v="18"/>
    <x v="36"/>
    <x v="3"/>
  </r>
  <r>
    <x v="14"/>
    <x v="36"/>
    <x v="4"/>
  </r>
  <r>
    <x v="0"/>
    <x v="36"/>
    <x v="5"/>
  </r>
  <r>
    <x v="0"/>
    <x v="36"/>
    <x v="6"/>
  </r>
  <r>
    <x v="0"/>
    <x v="36"/>
    <x v="7"/>
  </r>
  <r>
    <x v="0"/>
    <x v="36"/>
    <x v="8"/>
  </r>
  <r>
    <x v="0"/>
    <x v="36"/>
    <x v="9"/>
  </r>
  <r>
    <x v="0"/>
    <x v="36"/>
    <x v="10"/>
  </r>
  <r>
    <x v="6"/>
    <x v="36"/>
    <x v="11"/>
  </r>
  <r>
    <x v="4"/>
    <x v="36"/>
    <x v="12"/>
  </r>
  <r>
    <x v="21"/>
    <x v="36"/>
    <x v="39"/>
  </r>
  <r>
    <x v="0"/>
    <x v="36"/>
    <x v="39"/>
  </r>
  <r>
    <x v="30"/>
    <x v="36"/>
    <x v="13"/>
  </r>
  <r>
    <x v="0"/>
    <x v="36"/>
    <x v="38"/>
  </r>
  <r>
    <x v="6"/>
    <x v="36"/>
    <x v="26"/>
  </r>
  <r>
    <x v="258"/>
    <x v="36"/>
    <x v="26"/>
  </r>
  <r>
    <x v="188"/>
    <x v="36"/>
    <x v="14"/>
  </r>
  <r>
    <x v="44"/>
    <x v="36"/>
    <x v="25"/>
  </r>
  <r>
    <x v="282"/>
    <x v="36"/>
    <x v="25"/>
  </r>
  <r>
    <x v="376"/>
    <x v="36"/>
    <x v="15"/>
  </r>
  <r>
    <x v="10"/>
    <x v="36"/>
    <x v="36"/>
  </r>
  <r>
    <x v="0"/>
    <x v="36"/>
    <x v="40"/>
  </r>
  <r>
    <x v="12"/>
    <x v="36"/>
    <x v="40"/>
  </r>
  <r>
    <x v="0"/>
    <x v="36"/>
    <x v="16"/>
  </r>
  <r>
    <x v="82"/>
    <x v="36"/>
    <x v="17"/>
  </r>
  <r>
    <x v="11"/>
    <x v="36"/>
    <x v="33"/>
  </r>
  <r>
    <x v="0"/>
    <x v="36"/>
    <x v="33"/>
  </r>
  <r>
    <x v="0"/>
    <x v="36"/>
    <x v="18"/>
  </r>
  <r>
    <x v="0"/>
    <x v="36"/>
    <x v="19"/>
  </r>
  <r>
    <x v="0"/>
    <x v="36"/>
    <x v="20"/>
  </r>
  <r>
    <x v="6"/>
    <x v="36"/>
    <x v="35"/>
  </r>
  <r>
    <x v="0"/>
    <x v="36"/>
    <x v="35"/>
  </r>
  <r>
    <x v="0"/>
    <x v="36"/>
    <x v="35"/>
  </r>
  <r>
    <x v="5"/>
    <x v="36"/>
    <x v="35"/>
  </r>
  <r>
    <x v="0"/>
    <x v="36"/>
    <x v="35"/>
  </r>
  <r>
    <x v="6"/>
    <x v="36"/>
    <x v="30"/>
  </r>
  <r>
    <x v="21"/>
    <x v="36"/>
    <x v="30"/>
  </r>
  <r>
    <x v="0"/>
    <x v="36"/>
    <x v="27"/>
  </r>
  <r>
    <x v="0"/>
    <x v="36"/>
    <x v="27"/>
  </r>
  <r>
    <x v="0"/>
    <x v="36"/>
    <x v="31"/>
  </r>
  <r>
    <x v="0"/>
    <x v="36"/>
    <x v="31"/>
  </r>
  <r>
    <x v="7"/>
    <x v="36"/>
    <x v="31"/>
  </r>
  <r>
    <x v="0"/>
    <x v="36"/>
    <x v="31"/>
  </r>
  <r>
    <x v="0"/>
    <x v="36"/>
    <x v="31"/>
  </r>
  <r>
    <x v="0"/>
    <x v="36"/>
    <x v="31"/>
  </r>
  <r>
    <x v="0"/>
    <x v="36"/>
    <x v="31"/>
  </r>
  <r>
    <x v="555"/>
    <x v="36"/>
    <x v="37"/>
  </r>
  <r>
    <x v="434"/>
    <x v="36"/>
    <x v="37"/>
  </r>
  <r>
    <x v="505"/>
    <x v="36"/>
    <x v="37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35"/>
    <x v="36"/>
    <x v="29"/>
  </r>
  <r>
    <x v="6"/>
    <x v="36"/>
    <x v="29"/>
  </r>
  <r>
    <x v="6"/>
    <x v="36"/>
    <x v="29"/>
  </r>
  <r>
    <x v="0"/>
    <x v="36"/>
    <x v="29"/>
  </r>
  <r>
    <x v="10"/>
    <x v="36"/>
    <x v="41"/>
  </r>
  <r>
    <x v="0"/>
    <x v="36"/>
    <x v="32"/>
  </r>
  <r>
    <x v="0"/>
    <x v="36"/>
    <x v="32"/>
  </r>
  <r>
    <x v="0"/>
    <x v="36"/>
    <x v="34"/>
  </r>
  <r>
    <x v="0"/>
    <x v="36"/>
    <x v="34"/>
  </r>
  <r>
    <x v="0"/>
    <x v="36"/>
    <x v="34"/>
  </r>
  <r>
    <x v="0"/>
    <x v="36"/>
    <x v="38"/>
  </r>
  <r>
    <x v="0"/>
    <x v="36"/>
    <x v="21"/>
  </r>
  <r>
    <x v="156"/>
    <x v="36"/>
    <x v="22"/>
  </r>
  <r>
    <x v="0"/>
    <x v="36"/>
    <x v="23"/>
  </r>
  <r>
    <x v="5"/>
    <x v="36"/>
    <x v="28"/>
  </r>
  <r>
    <x v="10"/>
    <x v="36"/>
    <x v="28"/>
  </r>
  <r>
    <x v="10"/>
    <x v="36"/>
    <x v="24"/>
  </r>
  <r>
    <x v="0"/>
    <x v="36"/>
    <x v="32"/>
  </r>
  <r>
    <x v="0"/>
    <x v="36"/>
    <x v="34"/>
  </r>
  <r>
    <x v="0"/>
    <x v="36"/>
    <x v="41"/>
  </r>
  <r>
    <x v="0"/>
    <x v="36"/>
    <x v="31"/>
  </r>
  <r>
    <x v="0"/>
    <x v="36"/>
    <x v="36"/>
  </r>
  <r>
    <x v="0"/>
    <x v="36"/>
    <x v="42"/>
  </r>
  <r>
    <x v="0"/>
    <x v="36"/>
    <x v="43"/>
  </r>
  <r>
    <x v="14"/>
    <x v="36"/>
    <x v="44"/>
  </r>
  <r>
    <x v="448"/>
    <x v="36"/>
    <x v="0"/>
  </r>
  <r>
    <x v="0"/>
    <x v="36"/>
    <x v="1"/>
  </r>
  <r>
    <x v="0"/>
    <x v="36"/>
    <x v="2"/>
  </r>
  <r>
    <x v="0"/>
    <x v="36"/>
    <x v="3"/>
  </r>
  <r>
    <x v="0"/>
    <x v="36"/>
    <x v="4"/>
  </r>
  <r>
    <x v="0"/>
    <x v="36"/>
    <x v="5"/>
  </r>
  <r>
    <x v="0"/>
    <x v="36"/>
    <x v="6"/>
  </r>
  <r>
    <x v="0"/>
    <x v="36"/>
    <x v="7"/>
  </r>
  <r>
    <x v="0"/>
    <x v="36"/>
    <x v="8"/>
  </r>
  <r>
    <x v="0"/>
    <x v="36"/>
    <x v="9"/>
  </r>
  <r>
    <x v="9"/>
    <x v="36"/>
    <x v="10"/>
  </r>
  <r>
    <x v="0"/>
    <x v="36"/>
    <x v="11"/>
  </r>
  <r>
    <x v="0"/>
    <x v="36"/>
    <x v="12"/>
  </r>
  <r>
    <x v="0"/>
    <x v="36"/>
    <x v="39"/>
  </r>
  <r>
    <x v="0"/>
    <x v="36"/>
    <x v="39"/>
  </r>
  <r>
    <x v="0"/>
    <x v="36"/>
    <x v="13"/>
  </r>
  <r>
    <x v="0"/>
    <x v="36"/>
    <x v="38"/>
  </r>
  <r>
    <x v="7"/>
    <x v="36"/>
    <x v="26"/>
  </r>
  <r>
    <x v="126"/>
    <x v="36"/>
    <x v="26"/>
  </r>
  <r>
    <x v="62"/>
    <x v="36"/>
    <x v="14"/>
  </r>
  <r>
    <x v="9"/>
    <x v="36"/>
    <x v="25"/>
  </r>
  <r>
    <x v="130"/>
    <x v="36"/>
    <x v="25"/>
  </r>
  <r>
    <x v="206"/>
    <x v="36"/>
    <x v="15"/>
  </r>
  <r>
    <x v="0"/>
    <x v="36"/>
    <x v="36"/>
  </r>
  <r>
    <x v="0"/>
    <x v="36"/>
    <x v="40"/>
  </r>
  <r>
    <x v="0"/>
    <x v="36"/>
    <x v="40"/>
  </r>
  <r>
    <x v="0"/>
    <x v="36"/>
    <x v="16"/>
  </r>
  <r>
    <x v="0"/>
    <x v="36"/>
    <x v="17"/>
  </r>
  <r>
    <x v="0"/>
    <x v="36"/>
    <x v="33"/>
  </r>
  <r>
    <x v="0"/>
    <x v="36"/>
    <x v="33"/>
  </r>
  <r>
    <x v="0"/>
    <x v="36"/>
    <x v="18"/>
  </r>
  <r>
    <x v="0"/>
    <x v="36"/>
    <x v="19"/>
  </r>
  <r>
    <x v="0"/>
    <x v="36"/>
    <x v="20"/>
  </r>
  <r>
    <x v="0"/>
    <x v="36"/>
    <x v="35"/>
  </r>
  <r>
    <x v="0"/>
    <x v="36"/>
    <x v="35"/>
  </r>
  <r>
    <x v="0"/>
    <x v="36"/>
    <x v="35"/>
  </r>
  <r>
    <x v="0"/>
    <x v="36"/>
    <x v="35"/>
  </r>
  <r>
    <x v="0"/>
    <x v="36"/>
    <x v="35"/>
  </r>
  <r>
    <x v="0"/>
    <x v="36"/>
    <x v="30"/>
  </r>
  <r>
    <x v="0"/>
    <x v="36"/>
    <x v="30"/>
  </r>
  <r>
    <x v="0"/>
    <x v="36"/>
    <x v="27"/>
  </r>
  <r>
    <x v="0"/>
    <x v="36"/>
    <x v="27"/>
  </r>
  <r>
    <x v="0"/>
    <x v="36"/>
    <x v="31"/>
  </r>
  <r>
    <x v="0"/>
    <x v="36"/>
    <x v="31"/>
  </r>
  <r>
    <x v="0"/>
    <x v="36"/>
    <x v="31"/>
  </r>
  <r>
    <x v="0"/>
    <x v="36"/>
    <x v="31"/>
  </r>
  <r>
    <x v="0"/>
    <x v="36"/>
    <x v="31"/>
  </r>
  <r>
    <x v="0"/>
    <x v="36"/>
    <x v="31"/>
  </r>
  <r>
    <x v="0"/>
    <x v="36"/>
    <x v="31"/>
  </r>
  <r>
    <x v="410"/>
    <x v="36"/>
    <x v="37"/>
  </r>
  <r>
    <x v="397"/>
    <x v="36"/>
    <x v="37"/>
  </r>
  <r>
    <x v="281"/>
    <x v="36"/>
    <x v="37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41"/>
  </r>
  <r>
    <x v="0"/>
    <x v="36"/>
    <x v="32"/>
  </r>
  <r>
    <x v="0"/>
    <x v="36"/>
    <x v="32"/>
  </r>
  <r>
    <x v="0"/>
    <x v="36"/>
    <x v="34"/>
  </r>
  <r>
    <x v="0"/>
    <x v="36"/>
    <x v="34"/>
  </r>
  <r>
    <x v="0"/>
    <x v="36"/>
    <x v="34"/>
  </r>
  <r>
    <x v="0"/>
    <x v="36"/>
    <x v="38"/>
  </r>
  <r>
    <x v="0"/>
    <x v="36"/>
    <x v="21"/>
  </r>
  <r>
    <x v="0"/>
    <x v="36"/>
    <x v="22"/>
  </r>
  <r>
    <x v="0"/>
    <x v="36"/>
    <x v="23"/>
  </r>
  <r>
    <x v="0"/>
    <x v="36"/>
    <x v="28"/>
  </r>
  <r>
    <x v="0"/>
    <x v="36"/>
    <x v="28"/>
  </r>
  <r>
    <x v="0"/>
    <x v="36"/>
    <x v="24"/>
  </r>
  <r>
    <x v="0"/>
    <x v="36"/>
    <x v="32"/>
  </r>
  <r>
    <x v="0"/>
    <x v="36"/>
    <x v="34"/>
  </r>
  <r>
    <x v="0"/>
    <x v="36"/>
    <x v="41"/>
  </r>
  <r>
    <x v="0"/>
    <x v="36"/>
    <x v="31"/>
  </r>
  <r>
    <x v="7"/>
    <x v="36"/>
    <x v="36"/>
  </r>
  <r>
    <x v="0"/>
    <x v="36"/>
    <x v="42"/>
  </r>
  <r>
    <x v="0"/>
    <x v="36"/>
    <x v="43"/>
  </r>
  <r>
    <x v="0"/>
    <x v="36"/>
    <x v="44"/>
  </r>
  <r>
    <x v="581"/>
    <x v="36"/>
    <x v="0"/>
  </r>
  <r>
    <x v="0"/>
    <x v="36"/>
    <x v="1"/>
  </r>
  <r>
    <x v="0"/>
    <x v="36"/>
    <x v="2"/>
  </r>
  <r>
    <x v="0"/>
    <x v="36"/>
    <x v="3"/>
  </r>
  <r>
    <x v="0"/>
    <x v="36"/>
    <x v="4"/>
  </r>
  <r>
    <x v="0"/>
    <x v="36"/>
    <x v="5"/>
  </r>
  <r>
    <x v="0"/>
    <x v="36"/>
    <x v="6"/>
  </r>
  <r>
    <x v="0"/>
    <x v="36"/>
    <x v="7"/>
  </r>
  <r>
    <x v="0"/>
    <x v="36"/>
    <x v="8"/>
  </r>
  <r>
    <x v="0"/>
    <x v="36"/>
    <x v="9"/>
  </r>
  <r>
    <x v="17"/>
    <x v="36"/>
    <x v="10"/>
  </r>
  <r>
    <x v="6"/>
    <x v="36"/>
    <x v="11"/>
  </r>
  <r>
    <x v="0"/>
    <x v="36"/>
    <x v="12"/>
  </r>
  <r>
    <x v="0"/>
    <x v="36"/>
    <x v="39"/>
  </r>
  <r>
    <x v="0"/>
    <x v="36"/>
    <x v="39"/>
  </r>
  <r>
    <x v="6"/>
    <x v="36"/>
    <x v="13"/>
  </r>
  <r>
    <x v="21"/>
    <x v="36"/>
    <x v="38"/>
  </r>
  <r>
    <x v="5"/>
    <x v="36"/>
    <x v="26"/>
  </r>
  <r>
    <x v="220"/>
    <x v="36"/>
    <x v="26"/>
  </r>
  <r>
    <x v="217"/>
    <x v="36"/>
    <x v="14"/>
  </r>
  <r>
    <x v="19"/>
    <x v="36"/>
    <x v="25"/>
  </r>
  <r>
    <x v="323"/>
    <x v="36"/>
    <x v="25"/>
  </r>
  <r>
    <x v="301"/>
    <x v="36"/>
    <x v="15"/>
  </r>
  <r>
    <x v="0"/>
    <x v="36"/>
    <x v="36"/>
  </r>
  <r>
    <x v="0"/>
    <x v="36"/>
    <x v="40"/>
  </r>
  <r>
    <x v="0"/>
    <x v="36"/>
    <x v="40"/>
  </r>
  <r>
    <x v="0"/>
    <x v="36"/>
    <x v="16"/>
  </r>
  <r>
    <x v="8"/>
    <x v="36"/>
    <x v="17"/>
  </r>
  <r>
    <x v="10"/>
    <x v="36"/>
    <x v="33"/>
  </r>
  <r>
    <x v="36"/>
    <x v="36"/>
    <x v="33"/>
  </r>
  <r>
    <x v="0"/>
    <x v="36"/>
    <x v="18"/>
  </r>
  <r>
    <x v="0"/>
    <x v="36"/>
    <x v="19"/>
  </r>
  <r>
    <x v="5"/>
    <x v="36"/>
    <x v="20"/>
  </r>
  <r>
    <x v="0"/>
    <x v="36"/>
    <x v="35"/>
  </r>
  <r>
    <x v="0"/>
    <x v="36"/>
    <x v="35"/>
  </r>
  <r>
    <x v="0"/>
    <x v="36"/>
    <x v="35"/>
  </r>
  <r>
    <x v="0"/>
    <x v="36"/>
    <x v="35"/>
  </r>
  <r>
    <x v="6"/>
    <x v="36"/>
    <x v="35"/>
  </r>
  <r>
    <x v="7"/>
    <x v="36"/>
    <x v="30"/>
  </r>
  <r>
    <x v="21"/>
    <x v="36"/>
    <x v="30"/>
  </r>
  <r>
    <x v="0"/>
    <x v="36"/>
    <x v="27"/>
  </r>
  <r>
    <x v="0"/>
    <x v="36"/>
    <x v="27"/>
  </r>
  <r>
    <x v="0"/>
    <x v="36"/>
    <x v="31"/>
  </r>
  <r>
    <x v="0"/>
    <x v="36"/>
    <x v="31"/>
  </r>
  <r>
    <x v="0"/>
    <x v="36"/>
    <x v="31"/>
  </r>
  <r>
    <x v="0"/>
    <x v="36"/>
    <x v="31"/>
  </r>
  <r>
    <x v="0"/>
    <x v="36"/>
    <x v="31"/>
  </r>
  <r>
    <x v="0"/>
    <x v="36"/>
    <x v="31"/>
  </r>
  <r>
    <x v="5"/>
    <x v="36"/>
    <x v="31"/>
  </r>
  <r>
    <x v="545"/>
    <x v="36"/>
    <x v="37"/>
  </r>
  <r>
    <x v="428"/>
    <x v="36"/>
    <x v="37"/>
  </r>
  <r>
    <x v="562"/>
    <x v="36"/>
    <x v="37"/>
  </r>
  <r>
    <x v="6"/>
    <x v="36"/>
    <x v="29"/>
  </r>
  <r>
    <x v="0"/>
    <x v="36"/>
    <x v="29"/>
  </r>
  <r>
    <x v="0"/>
    <x v="36"/>
    <x v="29"/>
  </r>
  <r>
    <x v="4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0"/>
    <x v="36"/>
    <x v="29"/>
  </r>
  <r>
    <x v="18"/>
    <x v="36"/>
    <x v="29"/>
  </r>
  <r>
    <x v="0"/>
    <x v="36"/>
    <x v="29"/>
  </r>
  <r>
    <x v="0"/>
    <x v="36"/>
    <x v="41"/>
  </r>
  <r>
    <x v="0"/>
    <x v="36"/>
    <x v="32"/>
  </r>
  <r>
    <x v="0"/>
    <x v="36"/>
    <x v="32"/>
  </r>
  <r>
    <x v="0"/>
    <x v="36"/>
    <x v="34"/>
  </r>
  <r>
    <x v="0"/>
    <x v="36"/>
    <x v="34"/>
  </r>
  <r>
    <x v="0"/>
    <x v="36"/>
    <x v="34"/>
  </r>
  <r>
    <x v="10"/>
    <x v="36"/>
    <x v="38"/>
  </r>
  <r>
    <x v="0"/>
    <x v="36"/>
    <x v="21"/>
  </r>
  <r>
    <x v="159"/>
    <x v="36"/>
    <x v="22"/>
  </r>
  <r>
    <x v="0"/>
    <x v="36"/>
    <x v="23"/>
  </r>
  <r>
    <x v="0"/>
    <x v="36"/>
    <x v="28"/>
  </r>
  <r>
    <x v="0"/>
    <x v="36"/>
    <x v="28"/>
  </r>
  <r>
    <x v="0"/>
    <x v="36"/>
    <x v="24"/>
  </r>
  <r>
    <x v="0"/>
    <x v="36"/>
    <x v="32"/>
  </r>
  <r>
    <x v="0"/>
    <x v="36"/>
    <x v="34"/>
  </r>
  <r>
    <x v="0"/>
    <x v="36"/>
    <x v="41"/>
  </r>
  <r>
    <x v="0"/>
    <x v="36"/>
    <x v="31"/>
  </r>
  <r>
    <x v="43"/>
    <x v="36"/>
    <x v="36"/>
  </r>
  <r>
    <x v="0"/>
    <x v="36"/>
    <x v="42"/>
  </r>
  <r>
    <x v="0"/>
    <x v="36"/>
    <x v="43"/>
  </r>
  <r>
    <x v="0"/>
    <x v="36"/>
    <x v="44"/>
  </r>
  <r>
    <x v="475"/>
    <x v="28"/>
    <x v="0"/>
  </r>
  <r>
    <x v="0"/>
    <x v="28"/>
    <x v="1"/>
  </r>
  <r>
    <x v="8"/>
    <x v="28"/>
    <x v="2"/>
  </r>
  <r>
    <x v="0"/>
    <x v="28"/>
    <x v="3"/>
  </r>
  <r>
    <x v="0"/>
    <x v="28"/>
    <x v="4"/>
  </r>
  <r>
    <x v="0"/>
    <x v="28"/>
    <x v="5"/>
  </r>
  <r>
    <x v="0"/>
    <x v="28"/>
    <x v="6"/>
  </r>
  <r>
    <x v="0"/>
    <x v="28"/>
    <x v="7"/>
  </r>
  <r>
    <x v="0"/>
    <x v="28"/>
    <x v="8"/>
  </r>
  <r>
    <x v="0"/>
    <x v="28"/>
    <x v="9"/>
  </r>
  <r>
    <x v="0"/>
    <x v="28"/>
    <x v="10"/>
  </r>
  <r>
    <x v="0"/>
    <x v="28"/>
    <x v="11"/>
  </r>
  <r>
    <x v="0"/>
    <x v="28"/>
    <x v="12"/>
  </r>
  <r>
    <x v="0"/>
    <x v="28"/>
    <x v="39"/>
  </r>
  <r>
    <x v="0"/>
    <x v="28"/>
    <x v="39"/>
  </r>
  <r>
    <x v="0"/>
    <x v="28"/>
    <x v="13"/>
  </r>
  <r>
    <x v="0"/>
    <x v="28"/>
    <x v="38"/>
  </r>
  <r>
    <x v="0"/>
    <x v="28"/>
    <x v="26"/>
  </r>
  <r>
    <x v="0"/>
    <x v="28"/>
    <x v="26"/>
  </r>
  <r>
    <x v="18"/>
    <x v="28"/>
    <x v="14"/>
  </r>
  <r>
    <x v="0"/>
    <x v="28"/>
    <x v="25"/>
  </r>
  <r>
    <x v="12"/>
    <x v="28"/>
    <x v="25"/>
  </r>
  <r>
    <x v="0"/>
    <x v="28"/>
    <x v="15"/>
  </r>
  <r>
    <x v="0"/>
    <x v="28"/>
    <x v="36"/>
  </r>
  <r>
    <x v="0"/>
    <x v="28"/>
    <x v="40"/>
  </r>
  <r>
    <x v="0"/>
    <x v="28"/>
    <x v="40"/>
  </r>
  <r>
    <x v="0"/>
    <x v="28"/>
    <x v="16"/>
  </r>
  <r>
    <x v="0"/>
    <x v="28"/>
    <x v="17"/>
  </r>
  <r>
    <x v="8"/>
    <x v="28"/>
    <x v="33"/>
  </r>
  <r>
    <x v="0"/>
    <x v="28"/>
    <x v="33"/>
  </r>
  <r>
    <x v="0"/>
    <x v="28"/>
    <x v="18"/>
  </r>
  <r>
    <x v="12"/>
    <x v="28"/>
    <x v="19"/>
  </r>
  <r>
    <x v="0"/>
    <x v="28"/>
    <x v="20"/>
  </r>
  <r>
    <x v="4"/>
    <x v="28"/>
    <x v="35"/>
  </r>
  <r>
    <x v="0"/>
    <x v="28"/>
    <x v="35"/>
  </r>
  <r>
    <x v="0"/>
    <x v="28"/>
    <x v="35"/>
  </r>
  <r>
    <x v="0"/>
    <x v="28"/>
    <x v="35"/>
  </r>
  <r>
    <x v="0"/>
    <x v="28"/>
    <x v="35"/>
  </r>
  <r>
    <x v="0"/>
    <x v="28"/>
    <x v="30"/>
  </r>
  <r>
    <x v="0"/>
    <x v="28"/>
    <x v="30"/>
  </r>
  <r>
    <x v="0"/>
    <x v="28"/>
    <x v="27"/>
  </r>
  <r>
    <x v="0"/>
    <x v="28"/>
    <x v="27"/>
  </r>
  <r>
    <x v="0"/>
    <x v="28"/>
    <x v="31"/>
  </r>
  <r>
    <x v="0"/>
    <x v="28"/>
    <x v="31"/>
  </r>
  <r>
    <x v="0"/>
    <x v="28"/>
    <x v="31"/>
  </r>
  <r>
    <x v="0"/>
    <x v="28"/>
    <x v="31"/>
  </r>
  <r>
    <x v="8"/>
    <x v="28"/>
    <x v="31"/>
  </r>
  <r>
    <x v="0"/>
    <x v="28"/>
    <x v="31"/>
  </r>
  <r>
    <x v="26"/>
    <x v="28"/>
    <x v="31"/>
  </r>
  <r>
    <x v="0"/>
    <x v="28"/>
    <x v="37"/>
  </r>
  <r>
    <x v="0"/>
    <x v="28"/>
    <x v="37"/>
  </r>
  <r>
    <x v="0"/>
    <x v="28"/>
    <x v="37"/>
  </r>
  <r>
    <x v="391"/>
    <x v="28"/>
    <x v="29"/>
  </r>
  <r>
    <x v="247"/>
    <x v="28"/>
    <x v="29"/>
  </r>
  <r>
    <x v="7"/>
    <x v="28"/>
    <x v="29"/>
  </r>
  <r>
    <x v="6"/>
    <x v="28"/>
    <x v="29"/>
  </r>
  <r>
    <x v="46"/>
    <x v="28"/>
    <x v="29"/>
  </r>
  <r>
    <x v="9"/>
    <x v="28"/>
    <x v="29"/>
  </r>
  <r>
    <x v="9"/>
    <x v="28"/>
    <x v="29"/>
  </r>
  <r>
    <x v="12"/>
    <x v="28"/>
    <x v="29"/>
  </r>
  <r>
    <x v="0"/>
    <x v="28"/>
    <x v="29"/>
  </r>
  <r>
    <x v="33"/>
    <x v="28"/>
    <x v="29"/>
  </r>
  <r>
    <x v="46"/>
    <x v="28"/>
    <x v="29"/>
  </r>
  <r>
    <x v="80"/>
    <x v="28"/>
    <x v="29"/>
  </r>
  <r>
    <x v="199"/>
    <x v="28"/>
    <x v="29"/>
  </r>
  <r>
    <x v="409"/>
    <x v="28"/>
    <x v="29"/>
  </r>
  <r>
    <x v="4"/>
    <x v="28"/>
    <x v="29"/>
  </r>
  <r>
    <x v="20"/>
    <x v="28"/>
    <x v="41"/>
  </r>
  <r>
    <x v="14"/>
    <x v="28"/>
    <x v="32"/>
  </r>
  <r>
    <x v="9"/>
    <x v="28"/>
    <x v="32"/>
  </r>
  <r>
    <x v="0"/>
    <x v="28"/>
    <x v="34"/>
  </r>
  <r>
    <x v="5"/>
    <x v="28"/>
    <x v="34"/>
  </r>
  <r>
    <x v="5"/>
    <x v="28"/>
    <x v="34"/>
  </r>
  <r>
    <x v="0"/>
    <x v="28"/>
    <x v="38"/>
  </r>
  <r>
    <x v="0"/>
    <x v="28"/>
    <x v="21"/>
  </r>
  <r>
    <x v="0"/>
    <x v="28"/>
    <x v="22"/>
  </r>
  <r>
    <x v="0"/>
    <x v="28"/>
    <x v="23"/>
  </r>
  <r>
    <x v="0"/>
    <x v="28"/>
    <x v="28"/>
  </r>
  <r>
    <x v="0"/>
    <x v="28"/>
    <x v="28"/>
  </r>
  <r>
    <x v="0"/>
    <x v="28"/>
    <x v="24"/>
  </r>
  <r>
    <x v="0"/>
    <x v="28"/>
    <x v="32"/>
  </r>
  <r>
    <x v="0"/>
    <x v="28"/>
    <x v="34"/>
  </r>
  <r>
    <x v="6"/>
    <x v="28"/>
    <x v="41"/>
  </r>
  <r>
    <x v="13"/>
    <x v="28"/>
    <x v="31"/>
  </r>
  <r>
    <x v="0"/>
    <x v="28"/>
    <x v="36"/>
  </r>
  <r>
    <x v="0"/>
    <x v="28"/>
    <x v="42"/>
  </r>
  <r>
    <x v="0"/>
    <x v="28"/>
    <x v="43"/>
  </r>
  <r>
    <x v="0"/>
    <x v="28"/>
    <x v="44"/>
  </r>
  <r>
    <x v="526"/>
    <x v="28"/>
    <x v="0"/>
  </r>
  <r>
    <x v="0"/>
    <x v="28"/>
    <x v="1"/>
  </r>
  <r>
    <x v="16"/>
    <x v="28"/>
    <x v="2"/>
  </r>
  <r>
    <x v="0"/>
    <x v="28"/>
    <x v="3"/>
  </r>
  <r>
    <x v="11"/>
    <x v="28"/>
    <x v="4"/>
  </r>
  <r>
    <x v="0"/>
    <x v="28"/>
    <x v="5"/>
  </r>
  <r>
    <x v="0"/>
    <x v="28"/>
    <x v="6"/>
  </r>
  <r>
    <x v="0"/>
    <x v="28"/>
    <x v="7"/>
  </r>
  <r>
    <x v="0"/>
    <x v="28"/>
    <x v="8"/>
  </r>
  <r>
    <x v="0"/>
    <x v="28"/>
    <x v="9"/>
  </r>
  <r>
    <x v="0"/>
    <x v="28"/>
    <x v="10"/>
  </r>
  <r>
    <x v="0"/>
    <x v="28"/>
    <x v="11"/>
  </r>
  <r>
    <x v="0"/>
    <x v="28"/>
    <x v="12"/>
  </r>
  <r>
    <x v="0"/>
    <x v="28"/>
    <x v="39"/>
  </r>
  <r>
    <x v="0"/>
    <x v="28"/>
    <x v="39"/>
  </r>
  <r>
    <x v="0"/>
    <x v="28"/>
    <x v="13"/>
  </r>
  <r>
    <x v="0"/>
    <x v="28"/>
    <x v="38"/>
  </r>
  <r>
    <x v="0"/>
    <x v="28"/>
    <x v="26"/>
  </r>
  <r>
    <x v="0"/>
    <x v="28"/>
    <x v="26"/>
  </r>
  <r>
    <x v="0"/>
    <x v="28"/>
    <x v="14"/>
  </r>
  <r>
    <x v="0"/>
    <x v="28"/>
    <x v="25"/>
  </r>
  <r>
    <x v="7"/>
    <x v="28"/>
    <x v="25"/>
  </r>
  <r>
    <x v="0"/>
    <x v="28"/>
    <x v="15"/>
  </r>
  <r>
    <x v="0"/>
    <x v="28"/>
    <x v="36"/>
  </r>
  <r>
    <x v="0"/>
    <x v="28"/>
    <x v="40"/>
  </r>
  <r>
    <x v="0"/>
    <x v="28"/>
    <x v="40"/>
  </r>
  <r>
    <x v="13"/>
    <x v="28"/>
    <x v="16"/>
  </r>
  <r>
    <x v="0"/>
    <x v="28"/>
    <x v="17"/>
  </r>
  <r>
    <x v="0"/>
    <x v="28"/>
    <x v="33"/>
  </r>
  <r>
    <x v="0"/>
    <x v="28"/>
    <x v="33"/>
  </r>
  <r>
    <x v="0"/>
    <x v="28"/>
    <x v="18"/>
  </r>
  <r>
    <x v="0"/>
    <x v="28"/>
    <x v="19"/>
  </r>
  <r>
    <x v="0"/>
    <x v="28"/>
    <x v="20"/>
  </r>
  <r>
    <x v="0"/>
    <x v="28"/>
    <x v="35"/>
  </r>
  <r>
    <x v="0"/>
    <x v="28"/>
    <x v="35"/>
  </r>
  <r>
    <x v="0"/>
    <x v="28"/>
    <x v="35"/>
  </r>
  <r>
    <x v="0"/>
    <x v="28"/>
    <x v="35"/>
  </r>
  <r>
    <x v="0"/>
    <x v="28"/>
    <x v="35"/>
  </r>
  <r>
    <x v="0"/>
    <x v="28"/>
    <x v="30"/>
  </r>
  <r>
    <x v="7"/>
    <x v="28"/>
    <x v="30"/>
  </r>
  <r>
    <x v="0"/>
    <x v="28"/>
    <x v="27"/>
  </r>
  <r>
    <x v="0"/>
    <x v="28"/>
    <x v="27"/>
  </r>
  <r>
    <x v="0"/>
    <x v="28"/>
    <x v="31"/>
  </r>
  <r>
    <x v="0"/>
    <x v="28"/>
    <x v="31"/>
  </r>
  <r>
    <x v="0"/>
    <x v="28"/>
    <x v="31"/>
  </r>
  <r>
    <x v="0"/>
    <x v="28"/>
    <x v="31"/>
  </r>
  <r>
    <x v="0"/>
    <x v="28"/>
    <x v="31"/>
  </r>
  <r>
    <x v="10"/>
    <x v="28"/>
    <x v="31"/>
  </r>
  <r>
    <x v="51"/>
    <x v="28"/>
    <x v="31"/>
  </r>
  <r>
    <x v="0"/>
    <x v="28"/>
    <x v="37"/>
  </r>
  <r>
    <x v="0"/>
    <x v="28"/>
    <x v="37"/>
  </r>
  <r>
    <x v="0"/>
    <x v="28"/>
    <x v="37"/>
  </r>
  <r>
    <x v="255"/>
    <x v="28"/>
    <x v="29"/>
  </r>
  <r>
    <x v="412"/>
    <x v="28"/>
    <x v="29"/>
  </r>
  <r>
    <x v="6"/>
    <x v="28"/>
    <x v="29"/>
  </r>
  <r>
    <x v="11"/>
    <x v="28"/>
    <x v="29"/>
  </r>
  <r>
    <x v="5"/>
    <x v="28"/>
    <x v="29"/>
  </r>
  <r>
    <x v="19"/>
    <x v="28"/>
    <x v="29"/>
  </r>
  <r>
    <x v="42"/>
    <x v="28"/>
    <x v="29"/>
  </r>
  <r>
    <x v="36"/>
    <x v="28"/>
    <x v="29"/>
  </r>
  <r>
    <x v="42"/>
    <x v="28"/>
    <x v="29"/>
  </r>
  <r>
    <x v="9"/>
    <x v="28"/>
    <x v="29"/>
  </r>
  <r>
    <x v="100"/>
    <x v="28"/>
    <x v="29"/>
  </r>
  <r>
    <x v="168"/>
    <x v="28"/>
    <x v="29"/>
  </r>
  <r>
    <x v="303"/>
    <x v="28"/>
    <x v="29"/>
  </r>
  <r>
    <x v="422"/>
    <x v="28"/>
    <x v="29"/>
  </r>
  <r>
    <x v="47"/>
    <x v="28"/>
    <x v="29"/>
  </r>
  <r>
    <x v="12"/>
    <x v="28"/>
    <x v="41"/>
  </r>
  <r>
    <x v="0"/>
    <x v="28"/>
    <x v="32"/>
  </r>
  <r>
    <x v="0"/>
    <x v="28"/>
    <x v="32"/>
  </r>
  <r>
    <x v="0"/>
    <x v="28"/>
    <x v="34"/>
  </r>
  <r>
    <x v="0"/>
    <x v="28"/>
    <x v="34"/>
  </r>
  <r>
    <x v="0"/>
    <x v="28"/>
    <x v="34"/>
  </r>
  <r>
    <x v="0"/>
    <x v="28"/>
    <x v="38"/>
  </r>
  <r>
    <x v="0"/>
    <x v="28"/>
    <x v="21"/>
  </r>
  <r>
    <x v="0"/>
    <x v="28"/>
    <x v="22"/>
  </r>
  <r>
    <x v="0"/>
    <x v="28"/>
    <x v="23"/>
  </r>
  <r>
    <x v="0"/>
    <x v="28"/>
    <x v="28"/>
  </r>
  <r>
    <x v="0"/>
    <x v="28"/>
    <x v="28"/>
  </r>
  <r>
    <x v="0"/>
    <x v="28"/>
    <x v="24"/>
  </r>
  <r>
    <x v="0"/>
    <x v="28"/>
    <x v="32"/>
  </r>
  <r>
    <x v="0"/>
    <x v="28"/>
    <x v="34"/>
  </r>
  <r>
    <x v="0"/>
    <x v="28"/>
    <x v="41"/>
  </r>
  <r>
    <x v="8"/>
    <x v="28"/>
    <x v="31"/>
  </r>
  <r>
    <x v="0"/>
    <x v="28"/>
    <x v="36"/>
  </r>
  <r>
    <x v="0"/>
    <x v="28"/>
    <x v="42"/>
  </r>
  <r>
    <x v="0"/>
    <x v="28"/>
    <x v="43"/>
  </r>
  <r>
    <x v="0"/>
    <x v="28"/>
    <x v="44"/>
  </r>
  <r>
    <x v="491"/>
    <x v="28"/>
    <x v="0"/>
  </r>
  <r>
    <x v="0"/>
    <x v="28"/>
    <x v="1"/>
  </r>
  <r>
    <x v="0"/>
    <x v="28"/>
    <x v="2"/>
  </r>
  <r>
    <x v="0"/>
    <x v="28"/>
    <x v="3"/>
  </r>
  <r>
    <x v="0"/>
    <x v="28"/>
    <x v="4"/>
  </r>
  <r>
    <x v="0"/>
    <x v="28"/>
    <x v="5"/>
  </r>
  <r>
    <x v="0"/>
    <x v="28"/>
    <x v="6"/>
  </r>
  <r>
    <x v="0"/>
    <x v="28"/>
    <x v="7"/>
  </r>
  <r>
    <x v="0"/>
    <x v="28"/>
    <x v="8"/>
  </r>
  <r>
    <x v="0"/>
    <x v="28"/>
    <x v="9"/>
  </r>
  <r>
    <x v="0"/>
    <x v="28"/>
    <x v="10"/>
  </r>
  <r>
    <x v="0"/>
    <x v="28"/>
    <x v="11"/>
  </r>
  <r>
    <x v="0"/>
    <x v="28"/>
    <x v="12"/>
  </r>
  <r>
    <x v="0"/>
    <x v="28"/>
    <x v="39"/>
  </r>
  <r>
    <x v="0"/>
    <x v="28"/>
    <x v="39"/>
  </r>
  <r>
    <x v="0"/>
    <x v="28"/>
    <x v="13"/>
  </r>
  <r>
    <x v="0"/>
    <x v="28"/>
    <x v="38"/>
  </r>
  <r>
    <x v="0"/>
    <x v="28"/>
    <x v="26"/>
  </r>
  <r>
    <x v="0"/>
    <x v="28"/>
    <x v="26"/>
  </r>
  <r>
    <x v="5"/>
    <x v="28"/>
    <x v="14"/>
  </r>
  <r>
    <x v="0"/>
    <x v="28"/>
    <x v="25"/>
  </r>
  <r>
    <x v="5"/>
    <x v="28"/>
    <x v="25"/>
  </r>
  <r>
    <x v="0"/>
    <x v="28"/>
    <x v="15"/>
  </r>
  <r>
    <x v="0"/>
    <x v="28"/>
    <x v="36"/>
  </r>
  <r>
    <x v="0"/>
    <x v="28"/>
    <x v="40"/>
  </r>
  <r>
    <x v="0"/>
    <x v="28"/>
    <x v="40"/>
  </r>
  <r>
    <x v="0"/>
    <x v="28"/>
    <x v="16"/>
  </r>
  <r>
    <x v="0"/>
    <x v="28"/>
    <x v="17"/>
  </r>
  <r>
    <x v="0"/>
    <x v="28"/>
    <x v="33"/>
  </r>
  <r>
    <x v="0"/>
    <x v="28"/>
    <x v="33"/>
  </r>
  <r>
    <x v="0"/>
    <x v="28"/>
    <x v="18"/>
  </r>
  <r>
    <x v="0"/>
    <x v="28"/>
    <x v="19"/>
  </r>
  <r>
    <x v="0"/>
    <x v="28"/>
    <x v="20"/>
  </r>
  <r>
    <x v="10"/>
    <x v="28"/>
    <x v="35"/>
  </r>
  <r>
    <x v="0"/>
    <x v="28"/>
    <x v="35"/>
  </r>
  <r>
    <x v="0"/>
    <x v="28"/>
    <x v="35"/>
  </r>
  <r>
    <x v="0"/>
    <x v="28"/>
    <x v="35"/>
  </r>
  <r>
    <x v="0"/>
    <x v="28"/>
    <x v="35"/>
  </r>
  <r>
    <x v="0"/>
    <x v="28"/>
    <x v="30"/>
  </r>
  <r>
    <x v="0"/>
    <x v="28"/>
    <x v="30"/>
  </r>
  <r>
    <x v="0"/>
    <x v="28"/>
    <x v="27"/>
  </r>
  <r>
    <x v="0"/>
    <x v="28"/>
    <x v="27"/>
  </r>
  <r>
    <x v="48"/>
    <x v="28"/>
    <x v="31"/>
  </r>
  <r>
    <x v="0"/>
    <x v="28"/>
    <x v="31"/>
  </r>
  <r>
    <x v="7"/>
    <x v="28"/>
    <x v="31"/>
  </r>
  <r>
    <x v="0"/>
    <x v="28"/>
    <x v="31"/>
  </r>
  <r>
    <x v="0"/>
    <x v="28"/>
    <x v="31"/>
  </r>
  <r>
    <x v="8"/>
    <x v="28"/>
    <x v="31"/>
  </r>
  <r>
    <x v="42"/>
    <x v="28"/>
    <x v="31"/>
  </r>
  <r>
    <x v="0"/>
    <x v="28"/>
    <x v="37"/>
  </r>
  <r>
    <x v="0"/>
    <x v="28"/>
    <x v="37"/>
  </r>
  <r>
    <x v="0"/>
    <x v="28"/>
    <x v="37"/>
  </r>
  <r>
    <x v="36"/>
    <x v="28"/>
    <x v="29"/>
  </r>
  <r>
    <x v="23"/>
    <x v="28"/>
    <x v="29"/>
  </r>
  <r>
    <x v="286"/>
    <x v="28"/>
    <x v="29"/>
  </r>
  <r>
    <x v="59"/>
    <x v="28"/>
    <x v="29"/>
  </r>
  <r>
    <x v="19"/>
    <x v="28"/>
    <x v="29"/>
  </r>
  <r>
    <x v="26"/>
    <x v="28"/>
    <x v="29"/>
  </r>
  <r>
    <x v="116"/>
    <x v="28"/>
    <x v="29"/>
  </r>
  <r>
    <x v="8"/>
    <x v="28"/>
    <x v="29"/>
  </r>
  <r>
    <x v="29"/>
    <x v="28"/>
    <x v="29"/>
  </r>
  <r>
    <x v="0"/>
    <x v="28"/>
    <x v="29"/>
  </r>
  <r>
    <x v="37"/>
    <x v="28"/>
    <x v="29"/>
  </r>
  <r>
    <x v="98"/>
    <x v="28"/>
    <x v="29"/>
  </r>
  <r>
    <x v="380"/>
    <x v="28"/>
    <x v="29"/>
  </r>
  <r>
    <x v="362"/>
    <x v="28"/>
    <x v="29"/>
  </r>
  <r>
    <x v="33"/>
    <x v="28"/>
    <x v="29"/>
  </r>
  <r>
    <x v="11"/>
    <x v="28"/>
    <x v="41"/>
  </r>
  <r>
    <x v="0"/>
    <x v="28"/>
    <x v="32"/>
  </r>
  <r>
    <x v="4"/>
    <x v="28"/>
    <x v="32"/>
  </r>
  <r>
    <x v="0"/>
    <x v="28"/>
    <x v="34"/>
  </r>
  <r>
    <x v="16"/>
    <x v="28"/>
    <x v="34"/>
  </r>
  <r>
    <x v="21"/>
    <x v="28"/>
    <x v="34"/>
  </r>
  <r>
    <x v="0"/>
    <x v="28"/>
    <x v="38"/>
  </r>
  <r>
    <x v="0"/>
    <x v="28"/>
    <x v="21"/>
  </r>
  <r>
    <x v="0"/>
    <x v="28"/>
    <x v="22"/>
  </r>
  <r>
    <x v="0"/>
    <x v="28"/>
    <x v="23"/>
  </r>
  <r>
    <x v="0"/>
    <x v="28"/>
    <x v="28"/>
  </r>
  <r>
    <x v="0"/>
    <x v="28"/>
    <x v="28"/>
  </r>
  <r>
    <x v="0"/>
    <x v="28"/>
    <x v="24"/>
  </r>
  <r>
    <x v="0"/>
    <x v="28"/>
    <x v="32"/>
  </r>
  <r>
    <x v="0"/>
    <x v="28"/>
    <x v="34"/>
  </r>
  <r>
    <x v="0"/>
    <x v="28"/>
    <x v="41"/>
  </r>
  <r>
    <x v="40"/>
    <x v="28"/>
    <x v="31"/>
  </r>
  <r>
    <x v="0"/>
    <x v="28"/>
    <x v="36"/>
  </r>
  <r>
    <x v="0"/>
    <x v="28"/>
    <x v="42"/>
  </r>
  <r>
    <x v="0"/>
    <x v="28"/>
    <x v="43"/>
  </r>
  <r>
    <x v="0"/>
    <x v="28"/>
    <x v="44"/>
  </r>
  <r>
    <x v="519"/>
    <x v="28"/>
    <x v="0"/>
  </r>
  <r>
    <x v="0"/>
    <x v="28"/>
    <x v="1"/>
  </r>
  <r>
    <x v="0"/>
    <x v="28"/>
    <x v="2"/>
  </r>
  <r>
    <x v="0"/>
    <x v="28"/>
    <x v="3"/>
  </r>
  <r>
    <x v="0"/>
    <x v="28"/>
    <x v="4"/>
  </r>
  <r>
    <x v="0"/>
    <x v="28"/>
    <x v="5"/>
  </r>
  <r>
    <x v="0"/>
    <x v="28"/>
    <x v="6"/>
  </r>
  <r>
    <x v="0"/>
    <x v="28"/>
    <x v="7"/>
  </r>
  <r>
    <x v="0"/>
    <x v="28"/>
    <x v="8"/>
  </r>
  <r>
    <x v="0"/>
    <x v="28"/>
    <x v="9"/>
  </r>
  <r>
    <x v="0"/>
    <x v="28"/>
    <x v="10"/>
  </r>
  <r>
    <x v="0"/>
    <x v="28"/>
    <x v="11"/>
  </r>
  <r>
    <x v="0"/>
    <x v="28"/>
    <x v="12"/>
  </r>
  <r>
    <x v="0"/>
    <x v="28"/>
    <x v="39"/>
  </r>
  <r>
    <x v="0"/>
    <x v="28"/>
    <x v="39"/>
  </r>
  <r>
    <x v="0"/>
    <x v="28"/>
    <x v="13"/>
  </r>
  <r>
    <x v="0"/>
    <x v="28"/>
    <x v="38"/>
  </r>
  <r>
    <x v="0"/>
    <x v="28"/>
    <x v="26"/>
  </r>
  <r>
    <x v="0"/>
    <x v="28"/>
    <x v="26"/>
  </r>
  <r>
    <x v="0"/>
    <x v="28"/>
    <x v="14"/>
  </r>
  <r>
    <x v="0"/>
    <x v="28"/>
    <x v="25"/>
  </r>
  <r>
    <x v="0"/>
    <x v="28"/>
    <x v="25"/>
  </r>
  <r>
    <x v="0"/>
    <x v="28"/>
    <x v="15"/>
  </r>
  <r>
    <x v="0"/>
    <x v="28"/>
    <x v="36"/>
  </r>
  <r>
    <x v="0"/>
    <x v="28"/>
    <x v="40"/>
  </r>
  <r>
    <x v="0"/>
    <x v="28"/>
    <x v="40"/>
  </r>
  <r>
    <x v="0"/>
    <x v="28"/>
    <x v="16"/>
  </r>
  <r>
    <x v="0"/>
    <x v="28"/>
    <x v="17"/>
  </r>
  <r>
    <x v="0"/>
    <x v="28"/>
    <x v="33"/>
  </r>
  <r>
    <x v="0"/>
    <x v="28"/>
    <x v="33"/>
  </r>
  <r>
    <x v="0"/>
    <x v="28"/>
    <x v="18"/>
  </r>
  <r>
    <x v="0"/>
    <x v="28"/>
    <x v="19"/>
  </r>
  <r>
    <x v="0"/>
    <x v="28"/>
    <x v="20"/>
  </r>
  <r>
    <x v="0"/>
    <x v="28"/>
    <x v="35"/>
  </r>
  <r>
    <x v="0"/>
    <x v="28"/>
    <x v="35"/>
  </r>
  <r>
    <x v="0"/>
    <x v="28"/>
    <x v="35"/>
  </r>
  <r>
    <x v="0"/>
    <x v="28"/>
    <x v="35"/>
  </r>
  <r>
    <x v="0"/>
    <x v="28"/>
    <x v="35"/>
  </r>
  <r>
    <x v="0"/>
    <x v="28"/>
    <x v="30"/>
  </r>
  <r>
    <x v="0"/>
    <x v="28"/>
    <x v="30"/>
  </r>
  <r>
    <x v="0"/>
    <x v="28"/>
    <x v="27"/>
  </r>
  <r>
    <x v="0"/>
    <x v="28"/>
    <x v="27"/>
  </r>
  <r>
    <x v="6"/>
    <x v="28"/>
    <x v="31"/>
  </r>
  <r>
    <x v="5"/>
    <x v="28"/>
    <x v="31"/>
  </r>
  <r>
    <x v="0"/>
    <x v="28"/>
    <x v="31"/>
  </r>
  <r>
    <x v="0"/>
    <x v="28"/>
    <x v="31"/>
  </r>
  <r>
    <x v="0"/>
    <x v="28"/>
    <x v="31"/>
  </r>
  <r>
    <x v="8"/>
    <x v="28"/>
    <x v="31"/>
  </r>
  <r>
    <x v="50"/>
    <x v="28"/>
    <x v="31"/>
  </r>
  <r>
    <x v="0"/>
    <x v="28"/>
    <x v="37"/>
  </r>
  <r>
    <x v="0"/>
    <x v="28"/>
    <x v="37"/>
  </r>
  <r>
    <x v="0"/>
    <x v="28"/>
    <x v="37"/>
  </r>
  <r>
    <x v="27"/>
    <x v="28"/>
    <x v="29"/>
  </r>
  <r>
    <x v="38"/>
    <x v="28"/>
    <x v="29"/>
  </r>
  <r>
    <x v="50"/>
    <x v="28"/>
    <x v="29"/>
  </r>
  <r>
    <x v="265"/>
    <x v="28"/>
    <x v="29"/>
  </r>
  <r>
    <x v="37"/>
    <x v="28"/>
    <x v="29"/>
  </r>
  <r>
    <x v="26"/>
    <x v="28"/>
    <x v="29"/>
  </r>
  <r>
    <x v="30"/>
    <x v="28"/>
    <x v="29"/>
  </r>
  <r>
    <x v="0"/>
    <x v="28"/>
    <x v="29"/>
  </r>
  <r>
    <x v="8"/>
    <x v="28"/>
    <x v="29"/>
  </r>
  <r>
    <x v="21"/>
    <x v="28"/>
    <x v="29"/>
  </r>
  <r>
    <x v="0"/>
    <x v="28"/>
    <x v="29"/>
  </r>
  <r>
    <x v="18"/>
    <x v="28"/>
    <x v="29"/>
  </r>
  <r>
    <x v="330"/>
    <x v="28"/>
    <x v="29"/>
  </r>
  <r>
    <x v="383"/>
    <x v="28"/>
    <x v="29"/>
  </r>
  <r>
    <x v="18"/>
    <x v="28"/>
    <x v="29"/>
  </r>
  <r>
    <x v="0"/>
    <x v="28"/>
    <x v="41"/>
  </r>
  <r>
    <x v="0"/>
    <x v="28"/>
    <x v="32"/>
  </r>
  <r>
    <x v="6"/>
    <x v="28"/>
    <x v="32"/>
  </r>
  <r>
    <x v="0"/>
    <x v="28"/>
    <x v="34"/>
  </r>
  <r>
    <x v="5"/>
    <x v="28"/>
    <x v="34"/>
  </r>
  <r>
    <x v="25"/>
    <x v="28"/>
    <x v="34"/>
  </r>
  <r>
    <x v="0"/>
    <x v="28"/>
    <x v="38"/>
  </r>
  <r>
    <x v="0"/>
    <x v="28"/>
    <x v="21"/>
  </r>
  <r>
    <x v="0"/>
    <x v="28"/>
    <x v="22"/>
  </r>
  <r>
    <x v="0"/>
    <x v="28"/>
    <x v="23"/>
  </r>
  <r>
    <x v="0"/>
    <x v="28"/>
    <x v="28"/>
  </r>
  <r>
    <x v="0"/>
    <x v="28"/>
    <x v="28"/>
  </r>
  <r>
    <x v="0"/>
    <x v="28"/>
    <x v="24"/>
  </r>
  <r>
    <x v="0"/>
    <x v="28"/>
    <x v="32"/>
  </r>
  <r>
    <x v="0"/>
    <x v="28"/>
    <x v="34"/>
  </r>
  <r>
    <x v="0"/>
    <x v="28"/>
    <x v="41"/>
  </r>
  <r>
    <x v="12"/>
    <x v="28"/>
    <x v="31"/>
  </r>
  <r>
    <x v="0"/>
    <x v="28"/>
    <x v="36"/>
  </r>
  <r>
    <x v="0"/>
    <x v="28"/>
    <x v="42"/>
  </r>
  <r>
    <x v="0"/>
    <x v="28"/>
    <x v="43"/>
  </r>
  <r>
    <x v="0"/>
    <x v="28"/>
    <x v="44"/>
  </r>
  <r>
    <x v="517"/>
    <x v="28"/>
    <x v="0"/>
  </r>
  <r>
    <x v="0"/>
    <x v="28"/>
    <x v="1"/>
  </r>
  <r>
    <x v="0"/>
    <x v="28"/>
    <x v="2"/>
  </r>
  <r>
    <x v="0"/>
    <x v="28"/>
    <x v="3"/>
  </r>
  <r>
    <x v="0"/>
    <x v="28"/>
    <x v="4"/>
  </r>
  <r>
    <x v="0"/>
    <x v="28"/>
    <x v="5"/>
  </r>
  <r>
    <x v="0"/>
    <x v="28"/>
    <x v="6"/>
  </r>
  <r>
    <x v="0"/>
    <x v="28"/>
    <x v="7"/>
  </r>
  <r>
    <x v="0"/>
    <x v="28"/>
    <x v="8"/>
  </r>
  <r>
    <x v="0"/>
    <x v="28"/>
    <x v="9"/>
  </r>
  <r>
    <x v="0"/>
    <x v="28"/>
    <x v="10"/>
  </r>
  <r>
    <x v="0"/>
    <x v="28"/>
    <x v="11"/>
  </r>
  <r>
    <x v="0"/>
    <x v="28"/>
    <x v="12"/>
  </r>
  <r>
    <x v="0"/>
    <x v="28"/>
    <x v="39"/>
  </r>
  <r>
    <x v="0"/>
    <x v="28"/>
    <x v="39"/>
  </r>
  <r>
    <x v="0"/>
    <x v="28"/>
    <x v="13"/>
  </r>
  <r>
    <x v="0"/>
    <x v="28"/>
    <x v="38"/>
  </r>
  <r>
    <x v="0"/>
    <x v="28"/>
    <x v="26"/>
  </r>
  <r>
    <x v="0"/>
    <x v="28"/>
    <x v="26"/>
  </r>
  <r>
    <x v="0"/>
    <x v="28"/>
    <x v="14"/>
  </r>
  <r>
    <x v="0"/>
    <x v="28"/>
    <x v="25"/>
  </r>
  <r>
    <x v="0"/>
    <x v="28"/>
    <x v="25"/>
  </r>
  <r>
    <x v="0"/>
    <x v="28"/>
    <x v="15"/>
  </r>
  <r>
    <x v="0"/>
    <x v="28"/>
    <x v="36"/>
  </r>
  <r>
    <x v="0"/>
    <x v="28"/>
    <x v="40"/>
  </r>
  <r>
    <x v="0"/>
    <x v="28"/>
    <x v="40"/>
  </r>
  <r>
    <x v="0"/>
    <x v="28"/>
    <x v="16"/>
  </r>
  <r>
    <x v="0"/>
    <x v="28"/>
    <x v="17"/>
  </r>
  <r>
    <x v="0"/>
    <x v="28"/>
    <x v="33"/>
  </r>
  <r>
    <x v="0"/>
    <x v="28"/>
    <x v="33"/>
  </r>
  <r>
    <x v="0"/>
    <x v="28"/>
    <x v="18"/>
  </r>
  <r>
    <x v="0"/>
    <x v="28"/>
    <x v="19"/>
  </r>
  <r>
    <x v="0"/>
    <x v="28"/>
    <x v="20"/>
  </r>
  <r>
    <x v="0"/>
    <x v="28"/>
    <x v="35"/>
  </r>
  <r>
    <x v="0"/>
    <x v="28"/>
    <x v="35"/>
  </r>
  <r>
    <x v="0"/>
    <x v="28"/>
    <x v="35"/>
  </r>
  <r>
    <x v="0"/>
    <x v="28"/>
    <x v="35"/>
  </r>
  <r>
    <x v="0"/>
    <x v="28"/>
    <x v="35"/>
  </r>
  <r>
    <x v="0"/>
    <x v="28"/>
    <x v="30"/>
  </r>
  <r>
    <x v="0"/>
    <x v="28"/>
    <x v="30"/>
  </r>
  <r>
    <x v="0"/>
    <x v="28"/>
    <x v="27"/>
  </r>
  <r>
    <x v="0"/>
    <x v="28"/>
    <x v="27"/>
  </r>
  <r>
    <x v="7"/>
    <x v="28"/>
    <x v="31"/>
  </r>
  <r>
    <x v="0"/>
    <x v="28"/>
    <x v="31"/>
  </r>
  <r>
    <x v="0"/>
    <x v="28"/>
    <x v="31"/>
  </r>
  <r>
    <x v="0"/>
    <x v="28"/>
    <x v="31"/>
  </r>
  <r>
    <x v="0"/>
    <x v="28"/>
    <x v="31"/>
  </r>
  <r>
    <x v="17"/>
    <x v="28"/>
    <x v="31"/>
  </r>
  <r>
    <x v="25"/>
    <x v="28"/>
    <x v="31"/>
  </r>
  <r>
    <x v="0"/>
    <x v="28"/>
    <x v="37"/>
  </r>
  <r>
    <x v="0"/>
    <x v="28"/>
    <x v="37"/>
  </r>
  <r>
    <x v="0"/>
    <x v="28"/>
    <x v="37"/>
  </r>
  <r>
    <x v="10"/>
    <x v="28"/>
    <x v="29"/>
  </r>
  <r>
    <x v="18"/>
    <x v="28"/>
    <x v="29"/>
  </r>
  <r>
    <x v="19"/>
    <x v="28"/>
    <x v="29"/>
  </r>
  <r>
    <x v="18"/>
    <x v="28"/>
    <x v="29"/>
  </r>
  <r>
    <x v="248"/>
    <x v="28"/>
    <x v="29"/>
  </r>
  <r>
    <x v="106"/>
    <x v="28"/>
    <x v="29"/>
  </r>
  <r>
    <x v="6"/>
    <x v="28"/>
    <x v="29"/>
  </r>
  <r>
    <x v="0"/>
    <x v="28"/>
    <x v="29"/>
  </r>
  <r>
    <x v="47"/>
    <x v="28"/>
    <x v="29"/>
  </r>
  <r>
    <x v="9"/>
    <x v="28"/>
    <x v="29"/>
  </r>
  <r>
    <x v="78"/>
    <x v="28"/>
    <x v="29"/>
  </r>
  <r>
    <x v="0"/>
    <x v="28"/>
    <x v="29"/>
  </r>
  <r>
    <x v="324"/>
    <x v="28"/>
    <x v="29"/>
  </r>
  <r>
    <x v="363"/>
    <x v="28"/>
    <x v="29"/>
  </r>
  <r>
    <x v="61"/>
    <x v="28"/>
    <x v="29"/>
  </r>
  <r>
    <x v="0"/>
    <x v="28"/>
    <x v="41"/>
  </r>
  <r>
    <x v="0"/>
    <x v="28"/>
    <x v="32"/>
  </r>
  <r>
    <x v="0"/>
    <x v="28"/>
    <x v="32"/>
  </r>
  <r>
    <x v="9"/>
    <x v="28"/>
    <x v="34"/>
  </r>
  <r>
    <x v="0"/>
    <x v="28"/>
    <x v="34"/>
  </r>
  <r>
    <x v="0"/>
    <x v="28"/>
    <x v="34"/>
  </r>
  <r>
    <x v="0"/>
    <x v="28"/>
    <x v="38"/>
  </r>
  <r>
    <x v="0"/>
    <x v="28"/>
    <x v="21"/>
  </r>
  <r>
    <x v="0"/>
    <x v="28"/>
    <x v="22"/>
  </r>
  <r>
    <x v="0"/>
    <x v="28"/>
    <x v="23"/>
  </r>
  <r>
    <x v="0"/>
    <x v="28"/>
    <x v="28"/>
  </r>
  <r>
    <x v="0"/>
    <x v="28"/>
    <x v="28"/>
  </r>
  <r>
    <x v="0"/>
    <x v="28"/>
    <x v="24"/>
  </r>
  <r>
    <x v="0"/>
    <x v="28"/>
    <x v="32"/>
  </r>
  <r>
    <x v="0"/>
    <x v="28"/>
    <x v="34"/>
  </r>
  <r>
    <x v="0"/>
    <x v="28"/>
    <x v="41"/>
  </r>
  <r>
    <x v="0"/>
    <x v="28"/>
    <x v="31"/>
  </r>
  <r>
    <x v="0"/>
    <x v="28"/>
    <x v="36"/>
  </r>
  <r>
    <x v="0"/>
    <x v="28"/>
    <x v="42"/>
  </r>
  <r>
    <x v="0"/>
    <x v="28"/>
    <x v="43"/>
  </r>
  <r>
    <x v="0"/>
    <x v="28"/>
    <x v="44"/>
  </r>
  <r>
    <x v="524"/>
    <x v="28"/>
    <x v="0"/>
  </r>
  <r>
    <x v="0"/>
    <x v="28"/>
    <x v="1"/>
  </r>
  <r>
    <x v="0"/>
    <x v="28"/>
    <x v="2"/>
  </r>
  <r>
    <x v="0"/>
    <x v="28"/>
    <x v="3"/>
  </r>
  <r>
    <x v="0"/>
    <x v="28"/>
    <x v="4"/>
  </r>
  <r>
    <x v="0"/>
    <x v="28"/>
    <x v="5"/>
  </r>
  <r>
    <x v="0"/>
    <x v="28"/>
    <x v="6"/>
  </r>
  <r>
    <x v="0"/>
    <x v="28"/>
    <x v="7"/>
  </r>
  <r>
    <x v="0"/>
    <x v="28"/>
    <x v="8"/>
  </r>
  <r>
    <x v="0"/>
    <x v="28"/>
    <x v="9"/>
  </r>
  <r>
    <x v="0"/>
    <x v="28"/>
    <x v="10"/>
  </r>
  <r>
    <x v="0"/>
    <x v="28"/>
    <x v="11"/>
  </r>
  <r>
    <x v="0"/>
    <x v="28"/>
    <x v="12"/>
  </r>
  <r>
    <x v="0"/>
    <x v="28"/>
    <x v="39"/>
  </r>
  <r>
    <x v="0"/>
    <x v="28"/>
    <x v="39"/>
  </r>
  <r>
    <x v="0"/>
    <x v="28"/>
    <x v="13"/>
  </r>
  <r>
    <x v="0"/>
    <x v="28"/>
    <x v="38"/>
  </r>
  <r>
    <x v="0"/>
    <x v="28"/>
    <x v="26"/>
  </r>
  <r>
    <x v="0"/>
    <x v="28"/>
    <x v="26"/>
  </r>
  <r>
    <x v="0"/>
    <x v="28"/>
    <x v="14"/>
  </r>
  <r>
    <x v="0"/>
    <x v="28"/>
    <x v="25"/>
  </r>
  <r>
    <x v="0"/>
    <x v="28"/>
    <x v="25"/>
  </r>
  <r>
    <x v="0"/>
    <x v="28"/>
    <x v="15"/>
  </r>
  <r>
    <x v="0"/>
    <x v="28"/>
    <x v="36"/>
  </r>
  <r>
    <x v="0"/>
    <x v="28"/>
    <x v="40"/>
  </r>
  <r>
    <x v="6"/>
    <x v="28"/>
    <x v="40"/>
  </r>
  <r>
    <x v="0"/>
    <x v="28"/>
    <x v="16"/>
  </r>
  <r>
    <x v="0"/>
    <x v="28"/>
    <x v="17"/>
  </r>
  <r>
    <x v="0"/>
    <x v="28"/>
    <x v="33"/>
  </r>
  <r>
    <x v="0"/>
    <x v="28"/>
    <x v="33"/>
  </r>
  <r>
    <x v="0"/>
    <x v="28"/>
    <x v="18"/>
  </r>
  <r>
    <x v="8"/>
    <x v="28"/>
    <x v="19"/>
  </r>
  <r>
    <x v="0"/>
    <x v="28"/>
    <x v="20"/>
  </r>
  <r>
    <x v="0"/>
    <x v="28"/>
    <x v="35"/>
  </r>
  <r>
    <x v="0"/>
    <x v="28"/>
    <x v="35"/>
  </r>
  <r>
    <x v="0"/>
    <x v="28"/>
    <x v="35"/>
  </r>
  <r>
    <x v="0"/>
    <x v="28"/>
    <x v="35"/>
  </r>
  <r>
    <x v="0"/>
    <x v="28"/>
    <x v="35"/>
  </r>
  <r>
    <x v="0"/>
    <x v="28"/>
    <x v="30"/>
  </r>
  <r>
    <x v="0"/>
    <x v="28"/>
    <x v="30"/>
  </r>
  <r>
    <x v="0"/>
    <x v="28"/>
    <x v="27"/>
  </r>
  <r>
    <x v="0"/>
    <x v="28"/>
    <x v="27"/>
  </r>
  <r>
    <x v="36"/>
    <x v="28"/>
    <x v="31"/>
  </r>
  <r>
    <x v="6"/>
    <x v="28"/>
    <x v="31"/>
  </r>
  <r>
    <x v="11"/>
    <x v="28"/>
    <x v="31"/>
  </r>
  <r>
    <x v="0"/>
    <x v="28"/>
    <x v="31"/>
  </r>
  <r>
    <x v="0"/>
    <x v="28"/>
    <x v="31"/>
  </r>
  <r>
    <x v="49"/>
    <x v="28"/>
    <x v="31"/>
  </r>
  <r>
    <x v="104"/>
    <x v="28"/>
    <x v="31"/>
  </r>
  <r>
    <x v="0"/>
    <x v="28"/>
    <x v="37"/>
  </r>
  <r>
    <x v="0"/>
    <x v="28"/>
    <x v="37"/>
  </r>
  <r>
    <x v="0"/>
    <x v="28"/>
    <x v="37"/>
  </r>
  <r>
    <x v="9"/>
    <x v="28"/>
    <x v="29"/>
  </r>
  <r>
    <x v="24"/>
    <x v="28"/>
    <x v="29"/>
  </r>
  <r>
    <x v="7"/>
    <x v="28"/>
    <x v="29"/>
  </r>
  <r>
    <x v="67"/>
    <x v="28"/>
    <x v="29"/>
  </r>
  <r>
    <x v="146"/>
    <x v="28"/>
    <x v="29"/>
  </r>
  <r>
    <x v="283"/>
    <x v="28"/>
    <x v="29"/>
  </r>
  <r>
    <x v="14"/>
    <x v="28"/>
    <x v="29"/>
  </r>
  <r>
    <x v="29"/>
    <x v="28"/>
    <x v="29"/>
  </r>
  <r>
    <x v="95"/>
    <x v="28"/>
    <x v="29"/>
  </r>
  <r>
    <x v="7"/>
    <x v="28"/>
    <x v="29"/>
  </r>
  <r>
    <x v="72"/>
    <x v="28"/>
    <x v="29"/>
  </r>
  <r>
    <x v="30"/>
    <x v="28"/>
    <x v="29"/>
  </r>
  <r>
    <x v="389"/>
    <x v="28"/>
    <x v="29"/>
  </r>
  <r>
    <x v="336"/>
    <x v="28"/>
    <x v="29"/>
  </r>
  <r>
    <x v="120"/>
    <x v="28"/>
    <x v="29"/>
  </r>
  <r>
    <x v="0"/>
    <x v="28"/>
    <x v="41"/>
  </r>
  <r>
    <x v="0"/>
    <x v="28"/>
    <x v="32"/>
  </r>
  <r>
    <x v="0"/>
    <x v="28"/>
    <x v="32"/>
  </r>
  <r>
    <x v="0"/>
    <x v="28"/>
    <x v="34"/>
  </r>
  <r>
    <x v="7"/>
    <x v="28"/>
    <x v="34"/>
  </r>
  <r>
    <x v="0"/>
    <x v="28"/>
    <x v="34"/>
  </r>
  <r>
    <x v="0"/>
    <x v="28"/>
    <x v="38"/>
  </r>
  <r>
    <x v="0"/>
    <x v="28"/>
    <x v="21"/>
  </r>
  <r>
    <x v="0"/>
    <x v="28"/>
    <x v="22"/>
  </r>
  <r>
    <x v="0"/>
    <x v="28"/>
    <x v="23"/>
  </r>
  <r>
    <x v="0"/>
    <x v="28"/>
    <x v="28"/>
  </r>
  <r>
    <x v="0"/>
    <x v="28"/>
    <x v="28"/>
  </r>
  <r>
    <x v="0"/>
    <x v="28"/>
    <x v="24"/>
  </r>
  <r>
    <x v="0"/>
    <x v="28"/>
    <x v="32"/>
  </r>
  <r>
    <x v="0"/>
    <x v="28"/>
    <x v="34"/>
  </r>
  <r>
    <x v="0"/>
    <x v="28"/>
    <x v="41"/>
  </r>
  <r>
    <x v="8"/>
    <x v="28"/>
    <x v="31"/>
  </r>
  <r>
    <x v="0"/>
    <x v="28"/>
    <x v="36"/>
  </r>
  <r>
    <x v="0"/>
    <x v="28"/>
    <x v="42"/>
  </r>
  <r>
    <x v="0"/>
    <x v="28"/>
    <x v="43"/>
  </r>
  <r>
    <x v="0"/>
    <x v="28"/>
    <x v="44"/>
  </r>
  <r>
    <x v="493"/>
    <x v="28"/>
    <x v="0"/>
  </r>
  <r>
    <x v="0"/>
    <x v="28"/>
    <x v="1"/>
  </r>
  <r>
    <x v="0"/>
    <x v="28"/>
    <x v="2"/>
  </r>
  <r>
    <x v="0"/>
    <x v="28"/>
    <x v="3"/>
  </r>
  <r>
    <x v="0"/>
    <x v="28"/>
    <x v="4"/>
  </r>
  <r>
    <x v="0"/>
    <x v="28"/>
    <x v="5"/>
  </r>
  <r>
    <x v="0"/>
    <x v="28"/>
    <x v="6"/>
  </r>
  <r>
    <x v="0"/>
    <x v="28"/>
    <x v="7"/>
  </r>
  <r>
    <x v="0"/>
    <x v="28"/>
    <x v="8"/>
  </r>
  <r>
    <x v="0"/>
    <x v="28"/>
    <x v="9"/>
  </r>
  <r>
    <x v="0"/>
    <x v="28"/>
    <x v="10"/>
  </r>
  <r>
    <x v="0"/>
    <x v="28"/>
    <x v="11"/>
  </r>
  <r>
    <x v="0"/>
    <x v="28"/>
    <x v="12"/>
  </r>
  <r>
    <x v="0"/>
    <x v="28"/>
    <x v="39"/>
  </r>
  <r>
    <x v="0"/>
    <x v="28"/>
    <x v="39"/>
  </r>
  <r>
    <x v="0"/>
    <x v="28"/>
    <x v="13"/>
  </r>
  <r>
    <x v="0"/>
    <x v="28"/>
    <x v="38"/>
  </r>
  <r>
    <x v="0"/>
    <x v="28"/>
    <x v="26"/>
  </r>
  <r>
    <x v="0"/>
    <x v="28"/>
    <x v="26"/>
  </r>
  <r>
    <x v="0"/>
    <x v="28"/>
    <x v="14"/>
  </r>
  <r>
    <x v="0"/>
    <x v="28"/>
    <x v="25"/>
  </r>
  <r>
    <x v="0"/>
    <x v="28"/>
    <x v="25"/>
  </r>
  <r>
    <x v="0"/>
    <x v="28"/>
    <x v="15"/>
  </r>
  <r>
    <x v="0"/>
    <x v="28"/>
    <x v="36"/>
  </r>
  <r>
    <x v="0"/>
    <x v="28"/>
    <x v="40"/>
  </r>
  <r>
    <x v="0"/>
    <x v="28"/>
    <x v="40"/>
  </r>
  <r>
    <x v="0"/>
    <x v="28"/>
    <x v="16"/>
  </r>
  <r>
    <x v="0"/>
    <x v="28"/>
    <x v="17"/>
  </r>
  <r>
    <x v="0"/>
    <x v="28"/>
    <x v="33"/>
  </r>
  <r>
    <x v="0"/>
    <x v="28"/>
    <x v="33"/>
  </r>
  <r>
    <x v="0"/>
    <x v="28"/>
    <x v="18"/>
  </r>
  <r>
    <x v="0"/>
    <x v="28"/>
    <x v="19"/>
  </r>
  <r>
    <x v="0"/>
    <x v="28"/>
    <x v="20"/>
  </r>
  <r>
    <x v="0"/>
    <x v="28"/>
    <x v="35"/>
  </r>
  <r>
    <x v="0"/>
    <x v="28"/>
    <x v="35"/>
  </r>
  <r>
    <x v="0"/>
    <x v="28"/>
    <x v="35"/>
  </r>
  <r>
    <x v="0"/>
    <x v="28"/>
    <x v="35"/>
  </r>
  <r>
    <x v="0"/>
    <x v="28"/>
    <x v="35"/>
  </r>
  <r>
    <x v="0"/>
    <x v="28"/>
    <x v="30"/>
  </r>
  <r>
    <x v="0"/>
    <x v="28"/>
    <x v="30"/>
  </r>
  <r>
    <x v="0"/>
    <x v="28"/>
    <x v="27"/>
  </r>
  <r>
    <x v="0"/>
    <x v="28"/>
    <x v="27"/>
  </r>
  <r>
    <x v="5"/>
    <x v="28"/>
    <x v="31"/>
  </r>
  <r>
    <x v="0"/>
    <x v="28"/>
    <x v="31"/>
  </r>
  <r>
    <x v="0"/>
    <x v="28"/>
    <x v="31"/>
  </r>
  <r>
    <x v="11"/>
    <x v="28"/>
    <x v="31"/>
  </r>
  <r>
    <x v="0"/>
    <x v="28"/>
    <x v="31"/>
  </r>
  <r>
    <x v="0"/>
    <x v="28"/>
    <x v="31"/>
  </r>
  <r>
    <x v="54"/>
    <x v="28"/>
    <x v="31"/>
  </r>
  <r>
    <x v="0"/>
    <x v="28"/>
    <x v="37"/>
  </r>
  <r>
    <x v="0"/>
    <x v="28"/>
    <x v="37"/>
  </r>
  <r>
    <x v="0"/>
    <x v="28"/>
    <x v="37"/>
  </r>
  <r>
    <x v="20"/>
    <x v="28"/>
    <x v="29"/>
  </r>
  <r>
    <x v="20"/>
    <x v="28"/>
    <x v="29"/>
  </r>
  <r>
    <x v="152"/>
    <x v="28"/>
    <x v="29"/>
  </r>
  <r>
    <x v="26"/>
    <x v="28"/>
    <x v="29"/>
  </r>
  <r>
    <x v="21"/>
    <x v="28"/>
    <x v="29"/>
  </r>
  <r>
    <x v="18"/>
    <x v="28"/>
    <x v="29"/>
  </r>
  <r>
    <x v="278"/>
    <x v="28"/>
    <x v="29"/>
  </r>
  <r>
    <x v="7"/>
    <x v="28"/>
    <x v="29"/>
  </r>
  <r>
    <x v="10"/>
    <x v="28"/>
    <x v="29"/>
  </r>
  <r>
    <x v="20"/>
    <x v="28"/>
    <x v="29"/>
  </r>
  <r>
    <x v="28"/>
    <x v="28"/>
    <x v="29"/>
  </r>
  <r>
    <x v="59"/>
    <x v="28"/>
    <x v="29"/>
  </r>
  <r>
    <x v="368"/>
    <x v="28"/>
    <x v="29"/>
  </r>
  <r>
    <x v="262"/>
    <x v="28"/>
    <x v="29"/>
  </r>
  <r>
    <x v="22"/>
    <x v="28"/>
    <x v="29"/>
  </r>
  <r>
    <x v="0"/>
    <x v="28"/>
    <x v="41"/>
  </r>
  <r>
    <x v="8"/>
    <x v="28"/>
    <x v="32"/>
  </r>
  <r>
    <x v="15"/>
    <x v="28"/>
    <x v="32"/>
  </r>
  <r>
    <x v="0"/>
    <x v="28"/>
    <x v="34"/>
  </r>
  <r>
    <x v="15"/>
    <x v="28"/>
    <x v="34"/>
  </r>
  <r>
    <x v="27"/>
    <x v="28"/>
    <x v="34"/>
  </r>
  <r>
    <x v="0"/>
    <x v="28"/>
    <x v="38"/>
  </r>
  <r>
    <x v="0"/>
    <x v="28"/>
    <x v="21"/>
  </r>
  <r>
    <x v="0"/>
    <x v="28"/>
    <x v="22"/>
  </r>
  <r>
    <x v="0"/>
    <x v="28"/>
    <x v="23"/>
  </r>
  <r>
    <x v="0"/>
    <x v="28"/>
    <x v="28"/>
  </r>
  <r>
    <x v="0"/>
    <x v="28"/>
    <x v="28"/>
  </r>
  <r>
    <x v="0"/>
    <x v="28"/>
    <x v="24"/>
  </r>
  <r>
    <x v="0"/>
    <x v="28"/>
    <x v="32"/>
  </r>
  <r>
    <x v="0"/>
    <x v="28"/>
    <x v="34"/>
  </r>
  <r>
    <x v="0"/>
    <x v="28"/>
    <x v="41"/>
  </r>
  <r>
    <x v="9"/>
    <x v="28"/>
    <x v="31"/>
  </r>
  <r>
    <x v="0"/>
    <x v="28"/>
    <x v="36"/>
  </r>
  <r>
    <x v="0"/>
    <x v="28"/>
    <x v="42"/>
  </r>
  <r>
    <x v="0"/>
    <x v="28"/>
    <x v="43"/>
  </r>
  <r>
    <x v="0"/>
    <x v="28"/>
    <x v="44"/>
  </r>
  <r>
    <x v="509"/>
    <x v="28"/>
    <x v="0"/>
  </r>
  <r>
    <x v="0"/>
    <x v="28"/>
    <x v="1"/>
  </r>
  <r>
    <x v="0"/>
    <x v="28"/>
    <x v="2"/>
  </r>
  <r>
    <x v="0"/>
    <x v="28"/>
    <x v="3"/>
  </r>
  <r>
    <x v="0"/>
    <x v="28"/>
    <x v="4"/>
  </r>
  <r>
    <x v="0"/>
    <x v="28"/>
    <x v="5"/>
  </r>
  <r>
    <x v="0"/>
    <x v="28"/>
    <x v="6"/>
  </r>
  <r>
    <x v="0"/>
    <x v="28"/>
    <x v="7"/>
  </r>
  <r>
    <x v="0"/>
    <x v="28"/>
    <x v="8"/>
  </r>
  <r>
    <x v="0"/>
    <x v="28"/>
    <x v="9"/>
  </r>
  <r>
    <x v="0"/>
    <x v="28"/>
    <x v="10"/>
  </r>
  <r>
    <x v="0"/>
    <x v="28"/>
    <x v="11"/>
  </r>
  <r>
    <x v="0"/>
    <x v="28"/>
    <x v="12"/>
  </r>
  <r>
    <x v="0"/>
    <x v="28"/>
    <x v="39"/>
  </r>
  <r>
    <x v="0"/>
    <x v="28"/>
    <x v="39"/>
  </r>
  <r>
    <x v="0"/>
    <x v="28"/>
    <x v="13"/>
  </r>
  <r>
    <x v="0"/>
    <x v="28"/>
    <x v="38"/>
  </r>
  <r>
    <x v="0"/>
    <x v="28"/>
    <x v="26"/>
  </r>
  <r>
    <x v="0"/>
    <x v="28"/>
    <x v="26"/>
  </r>
  <r>
    <x v="0"/>
    <x v="28"/>
    <x v="14"/>
  </r>
  <r>
    <x v="0"/>
    <x v="28"/>
    <x v="25"/>
  </r>
  <r>
    <x v="0"/>
    <x v="28"/>
    <x v="25"/>
  </r>
  <r>
    <x v="0"/>
    <x v="28"/>
    <x v="15"/>
  </r>
  <r>
    <x v="0"/>
    <x v="28"/>
    <x v="36"/>
  </r>
  <r>
    <x v="0"/>
    <x v="28"/>
    <x v="40"/>
  </r>
  <r>
    <x v="0"/>
    <x v="28"/>
    <x v="40"/>
  </r>
  <r>
    <x v="0"/>
    <x v="28"/>
    <x v="16"/>
  </r>
  <r>
    <x v="0"/>
    <x v="28"/>
    <x v="17"/>
  </r>
  <r>
    <x v="0"/>
    <x v="28"/>
    <x v="33"/>
  </r>
  <r>
    <x v="0"/>
    <x v="28"/>
    <x v="33"/>
  </r>
  <r>
    <x v="0"/>
    <x v="28"/>
    <x v="18"/>
  </r>
  <r>
    <x v="0"/>
    <x v="28"/>
    <x v="19"/>
  </r>
  <r>
    <x v="0"/>
    <x v="28"/>
    <x v="20"/>
  </r>
  <r>
    <x v="0"/>
    <x v="28"/>
    <x v="35"/>
  </r>
  <r>
    <x v="0"/>
    <x v="28"/>
    <x v="35"/>
  </r>
  <r>
    <x v="4"/>
    <x v="28"/>
    <x v="35"/>
  </r>
  <r>
    <x v="0"/>
    <x v="28"/>
    <x v="35"/>
  </r>
  <r>
    <x v="11"/>
    <x v="28"/>
    <x v="35"/>
  </r>
  <r>
    <x v="0"/>
    <x v="28"/>
    <x v="30"/>
  </r>
  <r>
    <x v="0"/>
    <x v="28"/>
    <x v="30"/>
  </r>
  <r>
    <x v="0"/>
    <x v="28"/>
    <x v="27"/>
  </r>
  <r>
    <x v="7"/>
    <x v="28"/>
    <x v="27"/>
  </r>
  <r>
    <x v="64"/>
    <x v="28"/>
    <x v="31"/>
  </r>
  <r>
    <x v="0"/>
    <x v="28"/>
    <x v="31"/>
  </r>
  <r>
    <x v="8"/>
    <x v="28"/>
    <x v="31"/>
  </r>
  <r>
    <x v="0"/>
    <x v="28"/>
    <x v="31"/>
  </r>
  <r>
    <x v="10"/>
    <x v="28"/>
    <x v="31"/>
  </r>
  <r>
    <x v="10"/>
    <x v="28"/>
    <x v="31"/>
  </r>
  <r>
    <x v="156"/>
    <x v="28"/>
    <x v="31"/>
  </r>
  <r>
    <x v="0"/>
    <x v="28"/>
    <x v="37"/>
  </r>
  <r>
    <x v="0"/>
    <x v="28"/>
    <x v="37"/>
  </r>
  <r>
    <x v="0"/>
    <x v="28"/>
    <x v="37"/>
  </r>
  <r>
    <x v="5"/>
    <x v="28"/>
    <x v="29"/>
  </r>
  <r>
    <x v="13"/>
    <x v="28"/>
    <x v="29"/>
  </r>
  <r>
    <x v="20"/>
    <x v="28"/>
    <x v="29"/>
  </r>
  <r>
    <x v="4"/>
    <x v="28"/>
    <x v="29"/>
  </r>
  <r>
    <x v="14"/>
    <x v="28"/>
    <x v="29"/>
  </r>
  <r>
    <x v="8"/>
    <x v="28"/>
    <x v="29"/>
  </r>
  <r>
    <x v="18"/>
    <x v="28"/>
    <x v="29"/>
  </r>
  <r>
    <x v="318"/>
    <x v="28"/>
    <x v="29"/>
  </r>
  <r>
    <x v="0"/>
    <x v="28"/>
    <x v="29"/>
  </r>
  <r>
    <x v="6"/>
    <x v="28"/>
    <x v="29"/>
  </r>
  <r>
    <x v="10"/>
    <x v="28"/>
    <x v="29"/>
  </r>
  <r>
    <x v="53"/>
    <x v="28"/>
    <x v="29"/>
  </r>
  <r>
    <x v="371"/>
    <x v="28"/>
    <x v="29"/>
  </r>
  <r>
    <x v="237"/>
    <x v="28"/>
    <x v="29"/>
  </r>
  <r>
    <x v="55"/>
    <x v="28"/>
    <x v="29"/>
  </r>
  <r>
    <x v="9"/>
    <x v="28"/>
    <x v="41"/>
  </r>
  <r>
    <x v="0"/>
    <x v="28"/>
    <x v="32"/>
  </r>
  <r>
    <x v="64"/>
    <x v="28"/>
    <x v="32"/>
  </r>
  <r>
    <x v="44"/>
    <x v="28"/>
    <x v="34"/>
  </r>
  <r>
    <x v="145"/>
    <x v="28"/>
    <x v="34"/>
  </r>
  <r>
    <x v="276"/>
    <x v="28"/>
    <x v="34"/>
  </r>
  <r>
    <x v="0"/>
    <x v="28"/>
    <x v="38"/>
  </r>
  <r>
    <x v="0"/>
    <x v="28"/>
    <x v="21"/>
  </r>
  <r>
    <x v="0"/>
    <x v="28"/>
    <x v="22"/>
  </r>
  <r>
    <x v="0"/>
    <x v="28"/>
    <x v="23"/>
  </r>
  <r>
    <x v="0"/>
    <x v="28"/>
    <x v="28"/>
  </r>
  <r>
    <x v="0"/>
    <x v="28"/>
    <x v="28"/>
  </r>
  <r>
    <x v="0"/>
    <x v="28"/>
    <x v="24"/>
  </r>
  <r>
    <x v="30"/>
    <x v="28"/>
    <x v="32"/>
  </r>
  <r>
    <x v="10"/>
    <x v="28"/>
    <x v="34"/>
  </r>
  <r>
    <x v="0"/>
    <x v="28"/>
    <x v="41"/>
  </r>
  <r>
    <x v="88"/>
    <x v="28"/>
    <x v="31"/>
  </r>
  <r>
    <x v="0"/>
    <x v="28"/>
    <x v="36"/>
  </r>
  <r>
    <x v="0"/>
    <x v="28"/>
    <x v="42"/>
  </r>
  <r>
    <x v="0"/>
    <x v="28"/>
    <x v="43"/>
  </r>
  <r>
    <x v="0"/>
    <x v="28"/>
    <x v="44"/>
  </r>
  <r>
    <x v="455"/>
    <x v="28"/>
    <x v="0"/>
  </r>
  <r>
    <x v="0"/>
    <x v="28"/>
    <x v="1"/>
  </r>
  <r>
    <x v="0"/>
    <x v="28"/>
    <x v="2"/>
  </r>
  <r>
    <x v="0"/>
    <x v="28"/>
    <x v="3"/>
  </r>
  <r>
    <x v="9"/>
    <x v="28"/>
    <x v="4"/>
  </r>
  <r>
    <x v="0"/>
    <x v="28"/>
    <x v="5"/>
  </r>
  <r>
    <x v="0"/>
    <x v="28"/>
    <x v="6"/>
  </r>
  <r>
    <x v="0"/>
    <x v="28"/>
    <x v="7"/>
  </r>
  <r>
    <x v="0"/>
    <x v="28"/>
    <x v="8"/>
  </r>
  <r>
    <x v="0"/>
    <x v="28"/>
    <x v="9"/>
  </r>
  <r>
    <x v="0"/>
    <x v="28"/>
    <x v="10"/>
  </r>
  <r>
    <x v="0"/>
    <x v="28"/>
    <x v="11"/>
  </r>
  <r>
    <x v="0"/>
    <x v="28"/>
    <x v="12"/>
  </r>
  <r>
    <x v="0"/>
    <x v="28"/>
    <x v="39"/>
  </r>
  <r>
    <x v="0"/>
    <x v="28"/>
    <x v="39"/>
  </r>
  <r>
    <x v="0"/>
    <x v="28"/>
    <x v="13"/>
  </r>
  <r>
    <x v="0"/>
    <x v="28"/>
    <x v="38"/>
  </r>
  <r>
    <x v="0"/>
    <x v="28"/>
    <x v="26"/>
  </r>
  <r>
    <x v="0"/>
    <x v="28"/>
    <x v="26"/>
  </r>
  <r>
    <x v="0"/>
    <x v="28"/>
    <x v="14"/>
  </r>
  <r>
    <x v="0"/>
    <x v="28"/>
    <x v="25"/>
  </r>
  <r>
    <x v="7"/>
    <x v="28"/>
    <x v="25"/>
  </r>
  <r>
    <x v="0"/>
    <x v="28"/>
    <x v="15"/>
  </r>
  <r>
    <x v="0"/>
    <x v="28"/>
    <x v="36"/>
  </r>
  <r>
    <x v="0"/>
    <x v="28"/>
    <x v="40"/>
  </r>
  <r>
    <x v="0"/>
    <x v="28"/>
    <x v="40"/>
  </r>
  <r>
    <x v="0"/>
    <x v="28"/>
    <x v="16"/>
  </r>
  <r>
    <x v="0"/>
    <x v="28"/>
    <x v="17"/>
  </r>
  <r>
    <x v="0"/>
    <x v="28"/>
    <x v="33"/>
  </r>
  <r>
    <x v="0"/>
    <x v="28"/>
    <x v="33"/>
  </r>
  <r>
    <x v="0"/>
    <x v="28"/>
    <x v="18"/>
  </r>
  <r>
    <x v="0"/>
    <x v="28"/>
    <x v="19"/>
  </r>
  <r>
    <x v="0"/>
    <x v="28"/>
    <x v="20"/>
  </r>
  <r>
    <x v="0"/>
    <x v="28"/>
    <x v="35"/>
  </r>
  <r>
    <x v="0"/>
    <x v="28"/>
    <x v="35"/>
  </r>
  <r>
    <x v="0"/>
    <x v="28"/>
    <x v="35"/>
  </r>
  <r>
    <x v="0"/>
    <x v="28"/>
    <x v="35"/>
  </r>
  <r>
    <x v="0"/>
    <x v="28"/>
    <x v="35"/>
  </r>
  <r>
    <x v="0"/>
    <x v="28"/>
    <x v="30"/>
  </r>
  <r>
    <x v="5"/>
    <x v="28"/>
    <x v="30"/>
  </r>
  <r>
    <x v="0"/>
    <x v="28"/>
    <x v="27"/>
  </r>
  <r>
    <x v="0"/>
    <x v="28"/>
    <x v="27"/>
  </r>
  <r>
    <x v="14"/>
    <x v="28"/>
    <x v="31"/>
  </r>
  <r>
    <x v="0"/>
    <x v="28"/>
    <x v="31"/>
  </r>
  <r>
    <x v="0"/>
    <x v="28"/>
    <x v="31"/>
  </r>
  <r>
    <x v="0"/>
    <x v="28"/>
    <x v="31"/>
  </r>
  <r>
    <x v="15"/>
    <x v="28"/>
    <x v="31"/>
  </r>
  <r>
    <x v="10"/>
    <x v="28"/>
    <x v="31"/>
  </r>
  <r>
    <x v="96"/>
    <x v="28"/>
    <x v="31"/>
  </r>
  <r>
    <x v="0"/>
    <x v="28"/>
    <x v="37"/>
  </r>
  <r>
    <x v="0"/>
    <x v="28"/>
    <x v="37"/>
  </r>
  <r>
    <x v="0"/>
    <x v="28"/>
    <x v="37"/>
  </r>
  <r>
    <x v="7"/>
    <x v="28"/>
    <x v="29"/>
  </r>
  <r>
    <x v="13"/>
    <x v="28"/>
    <x v="29"/>
  </r>
  <r>
    <x v="0"/>
    <x v="28"/>
    <x v="29"/>
  </r>
  <r>
    <x v="7"/>
    <x v="28"/>
    <x v="29"/>
  </r>
  <r>
    <x v="28"/>
    <x v="28"/>
    <x v="29"/>
  </r>
  <r>
    <x v="8"/>
    <x v="28"/>
    <x v="29"/>
  </r>
  <r>
    <x v="0"/>
    <x v="28"/>
    <x v="29"/>
  </r>
  <r>
    <x v="0"/>
    <x v="28"/>
    <x v="29"/>
  </r>
  <r>
    <x v="294"/>
    <x v="28"/>
    <x v="29"/>
  </r>
  <r>
    <x v="69"/>
    <x v="28"/>
    <x v="29"/>
  </r>
  <r>
    <x v="40"/>
    <x v="28"/>
    <x v="29"/>
  </r>
  <r>
    <x v="0"/>
    <x v="28"/>
    <x v="29"/>
  </r>
  <r>
    <x v="386"/>
    <x v="28"/>
    <x v="29"/>
  </r>
  <r>
    <x v="313"/>
    <x v="28"/>
    <x v="29"/>
  </r>
  <r>
    <x v="228"/>
    <x v="28"/>
    <x v="29"/>
  </r>
  <r>
    <x v="0"/>
    <x v="28"/>
    <x v="41"/>
  </r>
  <r>
    <x v="0"/>
    <x v="28"/>
    <x v="32"/>
  </r>
  <r>
    <x v="5"/>
    <x v="28"/>
    <x v="32"/>
  </r>
  <r>
    <x v="0"/>
    <x v="28"/>
    <x v="34"/>
  </r>
  <r>
    <x v="14"/>
    <x v="28"/>
    <x v="34"/>
  </r>
  <r>
    <x v="0"/>
    <x v="28"/>
    <x v="34"/>
  </r>
  <r>
    <x v="0"/>
    <x v="28"/>
    <x v="38"/>
  </r>
  <r>
    <x v="0"/>
    <x v="28"/>
    <x v="21"/>
  </r>
  <r>
    <x v="0"/>
    <x v="28"/>
    <x v="22"/>
  </r>
  <r>
    <x v="0"/>
    <x v="28"/>
    <x v="23"/>
  </r>
  <r>
    <x v="0"/>
    <x v="28"/>
    <x v="28"/>
  </r>
  <r>
    <x v="0"/>
    <x v="28"/>
    <x v="28"/>
  </r>
  <r>
    <x v="0"/>
    <x v="28"/>
    <x v="24"/>
  </r>
  <r>
    <x v="0"/>
    <x v="28"/>
    <x v="32"/>
  </r>
  <r>
    <x v="0"/>
    <x v="28"/>
    <x v="34"/>
  </r>
  <r>
    <x v="0"/>
    <x v="28"/>
    <x v="41"/>
  </r>
  <r>
    <x v="53"/>
    <x v="28"/>
    <x v="31"/>
  </r>
  <r>
    <x v="0"/>
    <x v="28"/>
    <x v="36"/>
  </r>
  <r>
    <x v="0"/>
    <x v="28"/>
    <x v="42"/>
  </r>
  <r>
    <x v="0"/>
    <x v="28"/>
    <x v="43"/>
  </r>
  <r>
    <x v="7"/>
    <x v="28"/>
    <x v="44"/>
  </r>
  <r>
    <x v="472"/>
    <x v="28"/>
    <x v="0"/>
  </r>
  <r>
    <x v="0"/>
    <x v="28"/>
    <x v="1"/>
  </r>
  <r>
    <x v="0"/>
    <x v="28"/>
    <x v="2"/>
  </r>
  <r>
    <x v="0"/>
    <x v="28"/>
    <x v="3"/>
  </r>
  <r>
    <x v="0"/>
    <x v="28"/>
    <x v="4"/>
  </r>
  <r>
    <x v="0"/>
    <x v="28"/>
    <x v="5"/>
  </r>
  <r>
    <x v="0"/>
    <x v="28"/>
    <x v="6"/>
  </r>
  <r>
    <x v="0"/>
    <x v="28"/>
    <x v="7"/>
  </r>
  <r>
    <x v="0"/>
    <x v="28"/>
    <x v="8"/>
  </r>
  <r>
    <x v="0"/>
    <x v="28"/>
    <x v="9"/>
  </r>
  <r>
    <x v="0"/>
    <x v="28"/>
    <x v="10"/>
  </r>
  <r>
    <x v="0"/>
    <x v="28"/>
    <x v="11"/>
  </r>
  <r>
    <x v="0"/>
    <x v="28"/>
    <x v="12"/>
  </r>
  <r>
    <x v="0"/>
    <x v="28"/>
    <x v="39"/>
  </r>
  <r>
    <x v="0"/>
    <x v="28"/>
    <x v="39"/>
  </r>
  <r>
    <x v="0"/>
    <x v="28"/>
    <x v="13"/>
  </r>
  <r>
    <x v="0"/>
    <x v="28"/>
    <x v="38"/>
  </r>
  <r>
    <x v="0"/>
    <x v="28"/>
    <x v="26"/>
  </r>
  <r>
    <x v="0"/>
    <x v="28"/>
    <x v="26"/>
  </r>
  <r>
    <x v="0"/>
    <x v="28"/>
    <x v="14"/>
  </r>
  <r>
    <x v="0"/>
    <x v="28"/>
    <x v="25"/>
  </r>
  <r>
    <x v="0"/>
    <x v="28"/>
    <x v="25"/>
  </r>
  <r>
    <x v="29"/>
    <x v="28"/>
    <x v="15"/>
  </r>
  <r>
    <x v="0"/>
    <x v="28"/>
    <x v="36"/>
  </r>
  <r>
    <x v="0"/>
    <x v="28"/>
    <x v="40"/>
  </r>
  <r>
    <x v="0"/>
    <x v="28"/>
    <x v="40"/>
  </r>
  <r>
    <x v="0"/>
    <x v="28"/>
    <x v="16"/>
  </r>
  <r>
    <x v="0"/>
    <x v="28"/>
    <x v="17"/>
  </r>
  <r>
    <x v="0"/>
    <x v="28"/>
    <x v="33"/>
  </r>
  <r>
    <x v="0"/>
    <x v="28"/>
    <x v="33"/>
  </r>
  <r>
    <x v="0"/>
    <x v="28"/>
    <x v="18"/>
  </r>
  <r>
    <x v="0"/>
    <x v="28"/>
    <x v="19"/>
  </r>
  <r>
    <x v="0"/>
    <x v="28"/>
    <x v="20"/>
  </r>
  <r>
    <x v="0"/>
    <x v="28"/>
    <x v="35"/>
  </r>
  <r>
    <x v="0"/>
    <x v="28"/>
    <x v="35"/>
  </r>
  <r>
    <x v="0"/>
    <x v="28"/>
    <x v="35"/>
  </r>
  <r>
    <x v="0"/>
    <x v="28"/>
    <x v="35"/>
  </r>
  <r>
    <x v="0"/>
    <x v="28"/>
    <x v="35"/>
  </r>
  <r>
    <x v="0"/>
    <x v="28"/>
    <x v="30"/>
  </r>
  <r>
    <x v="10"/>
    <x v="28"/>
    <x v="30"/>
  </r>
  <r>
    <x v="0"/>
    <x v="28"/>
    <x v="27"/>
  </r>
  <r>
    <x v="0"/>
    <x v="28"/>
    <x v="27"/>
  </r>
  <r>
    <x v="4"/>
    <x v="28"/>
    <x v="31"/>
  </r>
  <r>
    <x v="0"/>
    <x v="28"/>
    <x v="31"/>
  </r>
  <r>
    <x v="0"/>
    <x v="28"/>
    <x v="31"/>
  </r>
  <r>
    <x v="0"/>
    <x v="28"/>
    <x v="31"/>
  </r>
  <r>
    <x v="0"/>
    <x v="28"/>
    <x v="31"/>
  </r>
  <r>
    <x v="5"/>
    <x v="28"/>
    <x v="31"/>
  </r>
  <r>
    <x v="19"/>
    <x v="28"/>
    <x v="31"/>
  </r>
  <r>
    <x v="0"/>
    <x v="28"/>
    <x v="37"/>
  </r>
  <r>
    <x v="0"/>
    <x v="28"/>
    <x v="37"/>
  </r>
  <r>
    <x v="0"/>
    <x v="28"/>
    <x v="37"/>
  </r>
  <r>
    <x v="21"/>
    <x v="28"/>
    <x v="29"/>
  </r>
  <r>
    <x v="0"/>
    <x v="28"/>
    <x v="29"/>
  </r>
  <r>
    <x v="20"/>
    <x v="28"/>
    <x v="29"/>
  </r>
  <r>
    <x v="0"/>
    <x v="28"/>
    <x v="29"/>
  </r>
  <r>
    <x v="62"/>
    <x v="28"/>
    <x v="29"/>
  </r>
  <r>
    <x v="37"/>
    <x v="28"/>
    <x v="29"/>
  </r>
  <r>
    <x v="3"/>
    <x v="28"/>
    <x v="29"/>
  </r>
  <r>
    <x v="0"/>
    <x v="28"/>
    <x v="29"/>
  </r>
  <r>
    <x v="47"/>
    <x v="28"/>
    <x v="29"/>
  </r>
  <r>
    <x v="292"/>
    <x v="28"/>
    <x v="29"/>
  </r>
  <r>
    <x v="178"/>
    <x v="28"/>
    <x v="29"/>
  </r>
  <r>
    <x v="33"/>
    <x v="28"/>
    <x v="29"/>
  </r>
  <r>
    <x v="336"/>
    <x v="28"/>
    <x v="29"/>
  </r>
  <r>
    <x v="382"/>
    <x v="28"/>
    <x v="29"/>
  </r>
  <r>
    <x v="97"/>
    <x v="28"/>
    <x v="29"/>
  </r>
  <r>
    <x v="15"/>
    <x v="28"/>
    <x v="41"/>
  </r>
  <r>
    <x v="0"/>
    <x v="28"/>
    <x v="32"/>
  </r>
  <r>
    <x v="12"/>
    <x v="28"/>
    <x v="32"/>
  </r>
  <r>
    <x v="0"/>
    <x v="28"/>
    <x v="34"/>
  </r>
  <r>
    <x v="23"/>
    <x v="28"/>
    <x v="34"/>
  </r>
  <r>
    <x v="0"/>
    <x v="28"/>
    <x v="34"/>
  </r>
  <r>
    <x v="0"/>
    <x v="28"/>
    <x v="38"/>
  </r>
  <r>
    <x v="0"/>
    <x v="28"/>
    <x v="21"/>
  </r>
  <r>
    <x v="0"/>
    <x v="28"/>
    <x v="22"/>
  </r>
  <r>
    <x v="0"/>
    <x v="28"/>
    <x v="23"/>
  </r>
  <r>
    <x v="0"/>
    <x v="28"/>
    <x v="28"/>
  </r>
  <r>
    <x v="0"/>
    <x v="28"/>
    <x v="28"/>
  </r>
  <r>
    <x v="0"/>
    <x v="28"/>
    <x v="24"/>
  </r>
  <r>
    <x v="9"/>
    <x v="28"/>
    <x v="32"/>
  </r>
  <r>
    <x v="0"/>
    <x v="28"/>
    <x v="34"/>
  </r>
  <r>
    <x v="0"/>
    <x v="28"/>
    <x v="41"/>
  </r>
  <r>
    <x v="9"/>
    <x v="28"/>
    <x v="31"/>
  </r>
  <r>
    <x v="0"/>
    <x v="28"/>
    <x v="36"/>
  </r>
  <r>
    <x v="0"/>
    <x v="28"/>
    <x v="42"/>
  </r>
  <r>
    <x v="0"/>
    <x v="28"/>
    <x v="43"/>
  </r>
  <r>
    <x v="0"/>
    <x v="28"/>
    <x v="44"/>
  </r>
  <r>
    <x v="469"/>
    <x v="28"/>
    <x v="0"/>
  </r>
  <r>
    <x v="12"/>
    <x v="28"/>
    <x v="1"/>
  </r>
  <r>
    <x v="8"/>
    <x v="28"/>
    <x v="2"/>
  </r>
  <r>
    <x v="0"/>
    <x v="28"/>
    <x v="3"/>
  </r>
  <r>
    <x v="0"/>
    <x v="28"/>
    <x v="4"/>
  </r>
  <r>
    <x v="0"/>
    <x v="28"/>
    <x v="5"/>
  </r>
  <r>
    <x v="0"/>
    <x v="28"/>
    <x v="6"/>
  </r>
  <r>
    <x v="0"/>
    <x v="28"/>
    <x v="7"/>
  </r>
  <r>
    <x v="0"/>
    <x v="28"/>
    <x v="8"/>
  </r>
  <r>
    <x v="0"/>
    <x v="28"/>
    <x v="9"/>
  </r>
  <r>
    <x v="0"/>
    <x v="28"/>
    <x v="10"/>
  </r>
  <r>
    <x v="0"/>
    <x v="28"/>
    <x v="11"/>
  </r>
  <r>
    <x v="0"/>
    <x v="28"/>
    <x v="12"/>
  </r>
  <r>
    <x v="0"/>
    <x v="28"/>
    <x v="39"/>
  </r>
  <r>
    <x v="0"/>
    <x v="28"/>
    <x v="39"/>
  </r>
  <r>
    <x v="0"/>
    <x v="28"/>
    <x v="13"/>
  </r>
  <r>
    <x v="0"/>
    <x v="28"/>
    <x v="38"/>
  </r>
  <r>
    <x v="0"/>
    <x v="28"/>
    <x v="26"/>
  </r>
  <r>
    <x v="0"/>
    <x v="28"/>
    <x v="26"/>
  </r>
  <r>
    <x v="0"/>
    <x v="28"/>
    <x v="14"/>
  </r>
  <r>
    <x v="0"/>
    <x v="28"/>
    <x v="25"/>
  </r>
  <r>
    <x v="0"/>
    <x v="28"/>
    <x v="25"/>
  </r>
  <r>
    <x v="0"/>
    <x v="28"/>
    <x v="15"/>
  </r>
  <r>
    <x v="0"/>
    <x v="28"/>
    <x v="36"/>
  </r>
  <r>
    <x v="0"/>
    <x v="28"/>
    <x v="40"/>
  </r>
  <r>
    <x v="0"/>
    <x v="28"/>
    <x v="40"/>
  </r>
  <r>
    <x v="0"/>
    <x v="28"/>
    <x v="16"/>
  </r>
  <r>
    <x v="0"/>
    <x v="28"/>
    <x v="17"/>
  </r>
  <r>
    <x v="0"/>
    <x v="28"/>
    <x v="33"/>
  </r>
  <r>
    <x v="0"/>
    <x v="28"/>
    <x v="33"/>
  </r>
  <r>
    <x v="0"/>
    <x v="28"/>
    <x v="18"/>
  </r>
  <r>
    <x v="0"/>
    <x v="28"/>
    <x v="19"/>
  </r>
  <r>
    <x v="0"/>
    <x v="28"/>
    <x v="20"/>
  </r>
  <r>
    <x v="0"/>
    <x v="28"/>
    <x v="35"/>
  </r>
  <r>
    <x v="9"/>
    <x v="28"/>
    <x v="35"/>
  </r>
  <r>
    <x v="0"/>
    <x v="28"/>
    <x v="35"/>
  </r>
  <r>
    <x v="0"/>
    <x v="28"/>
    <x v="35"/>
  </r>
  <r>
    <x v="0"/>
    <x v="28"/>
    <x v="35"/>
  </r>
  <r>
    <x v="0"/>
    <x v="28"/>
    <x v="30"/>
  </r>
  <r>
    <x v="0"/>
    <x v="28"/>
    <x v="30"/>
  </r>
  <r>
    <x v="0"/>
    <x v="28"/>
    <x v="27"/>
  </r>
  <r>
    <x v="0"/>
    <x v="28"/>
    <x v="27"/>
  </r>
  <r>
    <x v="0"/>
    <x v="28"/>
    <x v="31"/>
  </r>
  <r>
    <x v="0"/>
    <x v="28"/>
    <x v="31"/>
  </r>
  <r>
    <x v="0"/>
    <x v="28"/>
    <x v="31"/>
  </r>
  <r>
    <x v="0"/>
    <x v="28"/>
    <x v="31"/>
  </r>
  <r>
    <x v="11"/>
    <x v="28"/>
    <x v="31"/>
  </r>
  <r>
    <x v="0"/>
    <x v="28"/>
    <x v="31"/>
  </r>
  <r>
    <x v="50"/>
    <x v="28"/>
    <x v="31"/>
  </r>
  <r>
    <x v="0"/>
    <x v="28"/>
    <x v="37"/>
  </r>
  <r>
    <x v="0"/>
    <x v="28"/>
    <x v="37"/>
  </r>
  <r>
    <x v="0"/>
    <x v="28"/>
    <x v="37"/>
  </r>
  <r>
    <x v="115"/>
    <x v="28"/>
    <x v="29"/>
  </r>
  <r>
    <x v="11"/>
    <x v="28"/>
    <x v="29"/>
  </r>
  <r>
    <x v="5"/>
    <x v="28"/>
    <x v="29"/>
  </r>
  <r>
    <x v="0"/>
    <x v="28"/>
    <x v="29"/>
  </r>
  <r>
    <x v="8"/>
    <x v="28"/>
    <x v="29"/>
  </r>
  <r>
    <x v="15"/>
    <x v="28"/>
    <x v="29"/>
  </r>
  <r>
    <x v="9"/>
    <x v="28"/>
    <x v="29"/>
  </r>
  <r>
    <x v="20"/>
    <x v="28"/>
    <x v="29"/>
  </r>
  <r>
    <x v="26"/>
    <x v="28"/>
    <x v="29"/>
  </r>
  <r>
    <x v="61"/>
    <x v="28"/>
    <x v="29"/>
  </r>
  <r>
    <x v="385"/>
    <x v="28"/>
    <x v="29"/>
  </r>
  <r>
    <x v="24"/>
    <x v="28"/>
    <x v="29"/>
  </r>
  <r>
    <x v="296"/>
    <x v="28"/>
    <x v="29"/>
  </r>
  <r>
    <x v="441"/>
    <x v="28"/>
    <x v="29"/>
  </r>
  <r>
    <x v="29"/>
    <x v="28"/>
    <x v="29"/>
  </r>
  <r>
    <x v="3"/>
    <x v="28"/>
    <x v="41"/>
  </r>
  <r>
    <x v="0"/>
    <x v="28"/>
    <x v="32"/>
  </r>
  <r>
    <x v="0"/>
    <x v="28"/>
    <x v="32"/>
  </r>
  <r>
    <x v="0"/>
    <x v="28"/>
    <x v="34"/>
  </r>
  <r>
    <x v="0"/>
    <x v="28"/>
    <x v="34"/>
  </r>
  <r>
    <x v="0"/>
    <x v="28"/>
    <x v="34"/>
  </r>
  <r>
    <x v="0"/>
    <x v="28"/>
    <x v="38"/>
  </r>
  <r>
    <x v="0"/>
    <x v="28"/>
    <x v="21"/>
  </r>
  <r>
    <x v="0"/>
    <x v="28"/>
    <x v="22"/>
  </r>
  <r>
    <x v="0"/>
    <x v="28"/>
    <x v="23"/>
  </r>
  <r>
    <x v="0"/>
    <x v="28"/>
    <x v="28"/>
  </r>
  <r>
    <x v="0"/>
    <x v="28"/>
    <x v="28"/>
  </r>
  <r>
    <x v="0"/>
    <x v="28"/>
    <x v="24"/>
  </r>
  <r>
    <x v="0"/>
    <x v="28"/>
    <x v="32"/>
  </r>
  <r>
    <x v="0"/>
    <x v="28"/>
    <x v="34"/>
  </r>
  <r>
    <x v="0"/>
    <x v="28"/>
    <x v="41"/>
  </r>
  <r>
    <x v="0"/>
    <x v="28"/>
    <x v="31"/>
  </r>
  <r>
    <x v="0"/>
    <x v="28"/>
    <x v="36"/>
  </r>
  <r>
    <x v="0"/>
    <x v="28"/>
    <x v="42"/>
  </r>
  <r>
    <x v="0"/>
    <x v="28"/>
    <x v="43"/>
  </r>
  <r>
    <x v="8"/>
    <x v="28"/>
    <x v="44"/>
  </r>
  <r>
    <x v="497"/>
    <x v="28"/>
    <x v="0"/>
  </r>
  <r>
    <x v="0"/>
    <x v="28"/>
    <x v="1"/>
  </r>
  <r>
    <x v="0"/>
    <x v="28"/>
    <x v="2"/>
  </r>
  <r>
    <x v="0"/>
    <x v="28"/>
    <x v="3"/>
  </r>
  <r>
    <x v="0"/>
    <x v="28"/>
    <x v="4"/>
  </r>
  <r>
    <x v="0"/>
    <x v="28"/>
    <x v="5"/>
  </r>
  <r>
    <x v="0"/>
    <x v="28"/>
    <x v="6"/>
  </r>
  <r>
    <x v="0"/>
    <x v="28"/>
    <x v="7"/>
  </r>
  <r>
    <x v="0"/>
    <x v="28"/>
    <x v="8"/>
  </r>
  <r>
    <x v="0"/>
    <x v="28"/>
    <x v="9"/>
  </r>
  <r>
    <x v="0"/>
    <x v="28"/>
    <x v="10"/>
  </r>
  <r>
    <x v="0"/>
    <x v="28"/>
    <x v="11"/>
  </r>
  <r>
    <x v="0"/>
    <x v="28"/>
    <x v="12"/>
  </r>
  <r>
    <x v="0"/>
    <x v="28"/>
    <x v="39"/>
  </r>
  <r>
    <x v="0"/>
    <x v="28"/>
    <x v="39"/>
  </r>
  <r>
    <x v="0"/>
    <x v="28"/>
    <x v="13"/>
  </r>
  <r>
    <x v="0"/>
    <x v="28"/>
    <x v="38"/>
  </r>
  <r>
    <x v="0"/>
    <x v="28"/>
    <x v="26"/>
  </r>
  <r>
    <x v="0"/>
    <x v="28"/>
    <x v="26"/>
  </r>
  <r>
    <x v="0"/>
    <x v="28"/>
    <x v="14"/>
  </r>
  <r>
    <x v="0"/>
    <x v="28"/>
    <x v="25"/>
  </r>
  <r>
    <x v="0"/>
    <x v="28"/>
    <x v="25"/>
  </r>
  <r>
    <x v="0"/>
    <x v="28"/>
    <x v="15"/>
  </r>
  <r>
    <x v="0"/>
    <x v="28"/>
    <x v="36"/>
  </r>
  <r>
    <x v="0"/>
    <x v="28"/>
    <x v="40"/>
  </r>
  <r>
    <x v="0"/>
    <x v="28"/>
    <x v="40"/>
  </r>
  <r>
    <x v="0"/>
    <x v="28"/>
    <x v="16"/>
  </r>
  <r>
    <x v="0"/>
    <x v="28"/>
    <x v="17"/>
  </r>
  <r>
    <x v="0"/>
    <x v="28"/>
    <x v="33"/>
  </r>
  <r>
    <x v="0"/>
    <x v="28"/>
    <x v="33"/>
  </r>
  <r>
    <x v="0"/>
    <x v="28"/>
    <x v="18"/>
  </r>
  <r>
    <x v="0"/>
    <x v="28"/>
    <x v="19"/>
  </r>
  <r>
    <x v="0"/>
    <x v="28"/>
    <x v="20"/>
  </r>
  <r>
    <x v="3"/>
    <x v="28"/>
    <x v="35"/>
  </r>
  <r>
    <x v="0"/>
    <x v="28"/>
    <x v="35"/>
  </r>
  <r>
    <x v="0"/>
    <x v="28"/>
    <x v="35"/>
  </r>
  <r>
    <x v="0"/>
    <x v="28"/>
    <x v="35"/>
  </r>
  <r>
    <x v="11"/>
    <x v="28"/>
    <x v="35"/>
  </r>
  <r>
    <x v="0"/>
    <x v="28"/>
    <x v="30"/>
  </r>
  <r>
    <x v="0"/>
    <x v="28"/>
    <x v="30"/>
  </r>
  <r>
    <x v="0"/>
    <x v="28"/>
    <x v="27"/>
  </r>
  <r>
    <x v="0"/>
    <x v="28"/>
    <x v="27"/>
  </r>
  <r>
    <x v="0"/>
    <x v="28"/>
    <x v="31"/>
  </r>
  <r>
    <x v="0"/>
    <x v="28"/>
    <x v="31"/>
  </r>
  <r>
    <x v="0"/>
    <x v="28"/>
    <x v="31"/>
  </r>
  <r>
    <x v="0"/>
    <x v="28"/>
    <x v="31"/>
  </r>
  <r>
    <x v="0"/>
    <x v="28"/>
    <x v="31"/>
  </r>
  <r>
    <x v="12"/>
    <x v="28"/>
    <x v="31"/>
  </r>
  <r>
    <x v="19"/>
    <x v="28"/>
    <x v="31"/>
  </r>
  <r>
    <x v="0"/>
    <x v="28"/>
    <x v="37"/>
  </r>
  <r>
    <x v="0"/>
    <x v="28"/>
    <x v="37"/>
  </r>
  <r>
    <x v="0"/>
    <x v="28"/>
    <x v="37"/>
  </r>
  <r>
    <x v="71"/>
    <x v="28"/>
    <x v="29"/>
  </r>
  <r>
    <x v="169"/>
    <x v="28"/>
    <x v="29"/>
  </r>
  <r>
    <x v="48"/>
    <x v="28"/>
    <x v="29"/>
  </r>
  <r>
    <x v="17"/>
    <x v="28"/>
    <x v="29"/>
  </r>
  <r>
    <x v="8"/>
    <x v="28"/>
    <x v="29"/>
  </r>
  <r>
    <x v="0"/>
    <x v="28"/>
    <x v="29"/>
  </r>
  <r>
    <x v="44"/>
    <x v="28"/>
    <x v="29"/>
  </r>
  <r>
    <x v="15"/>
    <x v="28"/>
    <x v="29"/>
  </r>
  <r>
    <x v="5"/>
    <x v="28"/>
    <x v="29"/>
  </r>
  <r>
    <x v="0"/>
    <x v="28"/>
    <x v="29"/>
  </r>
  <r>
    <x v="22"/>
    <x v="28"/>
    <x v="29"/>
  </r>
  <r>
    <x v="398"/>
    <x v="28"/>
    <x v="29"/>
  </r>
  <r>
    <x v="331"/>
    <x v="28"/>
    <x v="29"/>
  </r>
  <r>
    <x v="367"/>
    <x v="28"/>
    <x v="29"/>
  </r>
  <r>
    <x v="14"/>
    <x v="28"/>
    <x v="29"/>
  </r>
  <r>
    <x v="0"/>
    <x v="28"/>
    <x v="41"/>
  </r>
  <r>
    <x v="0"/>
    <x v="28"/>
    <x v="32"/>
  </r>
  <r>
    <x v="0"/>
    <x v="28"/>
    <x v="32"/>
  </r>
  <r>
    <x v="0"/>
    <x v="28"/>
    <x v="34"/>
  </r>
  <r>
    <x v="0"/>
    <x v="28"/>
    <x v="34"/>
  </r>
  <r>
    <x v="23"/>
    <x v="28"/>
    <x v="34"/>
  </r>
  <r>
    <x v="0"/>
    <x v="28"/>
    <x v="38"/>
  </r>
  <r>
    <x v="0"/>
    <x v="28"/>
    <x v="21"/>
  </r>
  <r>
    <x v="0"/>
    <x v="28"/>
    <x v="22"/>
  </r>
  <r>
    <x v="0"/>
    <x v="28"/>
    <x v="23"/>
  </r>
  <r>
    <x v="0"/>
    <x v="28"/>
    <x v="28"/>
  </r>
  <r>
    <x v="0"/>
    <x v="28"/>
    <x v="28"/>
  </r>
  <r>
    <x v="0"/>
    <x v="28"/>
    <x v="24"/>
  </r>
  <r>
    <x v="0"/>
    <x v="28"/>
    <x v="32"/>
  </r>
  <r>
    <x v="0"/>
    <x v="28"/>
    <x v="34"/>
  </r>
  <r>
    <x v="8"/>
    <x v="28"/>
    <x v="41"/>
  </r>
  <r>
    <x v="4"/>
    <x v="28"/>
    <x v="31"/>
  </r>
  <r>
    <x v="0"/>
    <x v="28"/>
    <x v="36"/>
  </r>
  <r>
    <x v="0"/>
    <x v="28"/>
    <x v="42"/>
  </r>
  <r>
    <x v="0"/>
    <x v="28"/>
    <x v="43"/>
  </r>
  <r>
    <x v="6"/>
    <x v="28"/>
    <x v="44"/>
  </r>
  <r>
    <x v="591"/>
    <x v="28"/>
    <x v="0"/>
  </r>
  <r>
    <x v="79"/>
    <x v="28"/>
    <x v="1"/>
  </r>
  <r>
    <x v="67"/>
    <x v="28"/>
    <x v="2"/>
  </r>
  <r>
    <x v="56"/>
    <x v="28"/>
    <x v="3"/>
  </r>
  <r>
    <x v="16"/>
    <x v="28"/>
    <x v="4"/>
  </r>
  <r>
    <x v="12"/>
    <x v="28"/>
    <x v="5"/>
  </r>
  <r>
    <x v="11"/>
    <x v="28"/>
    <x v="6"/>
  </r>
  <r>
    <x v="16"/>
    <x v="28"/>
    <x v="7"/>
  </r>
  <r>
    <x v="0"/>
    <x v="28"/>
    <x v="8"/>
  </r>
  <r>
    <x v="0"/>
    <x v="28"/>
    <x v="9"/>
  </r>
  <r>
    <x v="12"/>
    <x v="28"/>
    <x v="10"/>
  </r>
  <r>
    <x v="22"/>
    <x v="28"/>
    <x v="11"/>
  </r>
  <r>
    <x v="7"/>
    <x v="28"/>
    <x v="12"/>
  </r>
  <r>
    <x v="0"/>
    <x v="28"/>
    <x v="39"/>
  </r>
  <r>
    <x v="0"/>
    <x v="28"/>
    <x v="39"/>
  </r>
  <r>
    <x v="5"/>
    <x v="28"/>
    <x v="13"/>
  </r>
  <r>
    <x v="11"/>
    <x v="28"/>
    <x v="38"/>
  </r>
  <r>
    <x v="10"/>
    <x v="28"/>
    <x v="26"/>
  </r>
  <r>
    <x v="27"/>
    <x v="28"/>
    <x v="26"/>
  </r>
  <r>
    <x v="34"/>
    <x v="28"/>
    <x v="14"/>
  </r>
  <r>
    <x v="0"/>
    <x v="28"/>
    <x v="25"/>
  </r>
  <r>
    <x v="45"/>
    <x v="28"/>
    <x v="25"/>
  </r>
  <r>
    <x v="22"/>
    <x v="28"/>
    <x v="15"/>
  </r>
  <r>
    <x v="12"/>
    <x v="28"/>
    <x v="36"/>
  </r>
  <r>
    <x v="0"/>
    <x v="28"/>
    <x v="40"/>
  </r>
  <r>
    <x v="6"/>
    <x v="28"/>
    <x v="40"/>
  </r>
  <r>
    <x v="14"/>
    <x v="28"/>
    <x v="16"/>
  </r>
  <r>
    <x v="7"/>
    <x v="28"/>
    <x v="17"/>
  </r>
  <r>
    <x v="5"/>
    <x v="28"/>
    <x v="33"/>
  </r>
  <r>
    <x v="23"/>
    <x v="28"/>
    <x v="33"/>
  </r>
  <r>
    <x v="0"/>
    <x v="28"/>
    <x v="18"/>
  </r>
  <r>
    <x v="48"/>
    <x v="28"/>
    <x v="19"/>
  </r>
  <r>
    <x v="23"/>
    <x v="28"/>
    <x v="20"/>
  </r>
  <r>
    <x v="53"/>
    <x v="28"/>
    <x v="35"/>
  </r>
  <r>
    <x v="0"/>
    <x v="28"/>
    <x v="35"/>
  </r>
  <r>
    <x v="4"/>
    <x v="28"/>
    <x v="35"/>
  </r>
  <r>
    <x v="0"/>
    <x v="28"/>
    <x v="35"/>
  </r>
  <r>
    <x v="21"/>
    <x v="28"/>
    <x v="35"/>
  </r>
  <r>
    <x v="0"/>
    <x v="28"/>
    <x v="30"/>
  </r>
  <r>
    <x v="9"/>
    <x v="28"/>
    <x v="30"/>
  </r>
  <r>
    <x v="17"/>
    <x v="28"/>
    <x v="27"/>
  </r>
  <r>
    <x v="5"/>
    <x v="28"/>
    <x v="27"/>
  </r>
  <r>
    <x v="230"/>
    <x v="28"/>
    <x v="31"/>
  </r>
  <r>
    <x v="85"/>
    <x v="28"/>
    <x v="31"/>
  </r>
  <r>
    <x v="33"/>
    <x v="28"/>
    <x v="31"/>
  </r>
  <r>
    <x v="7"/>
    <x v="28"/>
    <x v="31"/>
  </r>
  <r>
    <x v="139"/>
    <x v="28"/>
    <x v="31"/>
  </r>
  <r>
    <x v="219"/>
    <x v="28"/>
    <x v="31"/>
  </r>
  <r>
    <x v="458"/>
    <x v="28"/>
    <x v="31"/>
  </r>
  <r>
    <x v="5"/>
    <x v="28"/>
    <x v="37"/>
  </r>
  <r>
    <x v="5"/>
    <x v="28"/>
    <x v="37"/>
  </r>
  <r>
    <x v="13"/>
    <x v="28"/>
    <x v="37"/>
  </r>
  <r>
    <x v="367"/>
    <x v="28"/>
    <x v="29"/>
  </r>
  <r>
    <x v="352"/>
    <x v="28"/>
    <x v="29"/>
  </r>
  <r>
    <x v="381"/>
    <x v="28"/>
    <x v="29"/>
  </r>
  <r>
    <x v="264"/>
    <x v="28"/>
    <x v="29"/>
  </r>
  <r>
    <x v="267"/>
    <x v="28"/>
    <x v="29"/>
  </r>
  <r>
    <x v="329"/>
    <x v="28"/>
    <x v="29"/>
  </r>
  <r>
    <x v="345"/>
    <x v="28"/>
    <x v="29"/>
  </r>
  <r>
    <x v="337"/>
    <x v="28"/>
    <x v="29"/>
  </r>
  <r>
    <x v="377"/>
    <x v="28"/>
    <x v="29"/>
  </r>
  <r>
    <x v="311"/>
    <x v="28"/>
    <x v="29"/>
  </r>
  <r>
    <x v="370"/>
    <x v="28"/>
    <x v="29"/>
  </r>
  <r>
    <x v="440"/>
    <x v="28"/>
    <x v="29"/>
  </r>
  <r>
    <x v="589"/>
    <x v="28"/>
    <x v="29"/>
  </r>
  <r>
    <x v="576"/>
    <x v="28"/>
    <x v="29"/>
  </r>
  <r>
    <x v="454"/>
    <x v="28"/>
    <x v="29"/>
  </r>
  <r>
    <x v="246"/>
    <x v="28"/>
    <x v="41"/>
  </r>
  <r>
    <x v="17"/>
    <x v="28"/>
    <x v="32"/>
  </r>
  <r>
    <x v="131"/>
    <x v="28"/>
    <x v="32"/>
  </r>
  <r>
    <x v="80"/>
    <x v="28"/>
    <x v="34"/>
  </r>
  <r>
    <x v="219"/>
    <x v="28"/>
    <x v="34"/>
  </r>
  <r>
    <x v="298"/>
    <x v="28"/>
    <x v="34"/>
  </r>
  <r>
    <x v="5"/>
    <x v="28"/>
    <x v="38"/>
  </r>
  <r>
    <x v="0"/>
    <x v="28"/>
    <x v="21"/>
  </r>
  <r>
    <x v="0"/>
    <x v="28"/>
    <x v="22"/>
  </r>
  <r>
    <x v="9"/>
    <x v="28"/>
    <x v="23"/>
  </r>
  <r>
    <x v="50"/>
    <x v="28"/>
    <x v="28"/>
  </r>
  <r>
    <x v="280"/>
    <x v="28"/>
    <x v="28"/>
  </r>
  <r>
    <x v="14"/>
    <x v="28"/>
    <x v="24"/>
  </r>
  <r>
    <x v="101"/>
    <x v="28"/>
    <x v="32"/>
  </r>
  <r>
    <x v="67"/>
    <x v="28"/>
    <x v="34"/>
  </r>
  <r>
    <x v="26"/>
    <x v="28"/>
    <x v="41"/>
  </r>
  <r>
    <x v="338"/>
    <x v="28"/>
    <x v="31"/>
  </r>
  <r>
    <x v="0"/>
    <x v="28"/>
    <x v="36"/>
  </r>
  <r>
    <x v="0"/>
    <x v="28"/>
    <x v="42"/>
  </r>
  <r>
    <x v="0"/>
    <x v="28"/>
    <x v="43"/>
  </r>
  <r>
    <x v="51"/>
    <x v="28"/>
    <x v="44"/>
  </r>
  <r>
    <x v="592"/>
    <x v="28"/>
    <x v="0"/>
  </r>
  <r>
    <x v="23"/>
    <x v="28"/>
    <x v="1"/>
  </r>
  <r>
    <x v="93"/>
    <x v="28"/>
    <x v="2"/>
  </r>
  <r>
    <x v="27"/>
    <x v="28"/>
    <x v="3"/>
  </r>
  <r>
    <x v="5"/>
    <x v="28"/>
    <x v="4"/>
  </r>
  <r>
    <x v="12"/>
    <x v="28"/>
    <x v="5"/>
  </r>
  <r>
    <x v="10"/>
    <x v="28"/>
    <x v="6"/>
  </r>
  <r>
    <x v="5"/>
    <x v="28"/>
    <x v="7"/>
  </r>
  <r>
    <x v="28"/>
    <x v="28"/>
    <x v="8"/>
  </r>
  <r>
    <x v="12"/>
    <x v="28"/>
    <x v="9"/>
  </r>
  <r>
    <x v="0"/>
    <x v="28"/>
    <x v="10"/>
  </r>
  <r>
    <x v="18"/>
    <x v="28"/>
    <x v="11"/>
  </r>
  <r>
    <x v="0"/>
    <x v="28"/>
    <x v="12"/>
  </r>
  <r>
    <x v="0"/>
    <x v="28"/>
    <x v="39"/>
  </r>
  <r>
    <x v="0"/>
    <x v="28"/>
    <x v="39"/>
  </r>
  <r>
    <x v="0"/>
    <x v="28"/>
    <x v="13"/>
  </r>
  <r>
    <x v="19"/>
    <x v="28"/>
    <x v="38"/>
  </r>
  <r>
    <x v="7"/>
    <x v="28"/>
    <x v="26"/>
  </r>
  <r>
    <x v="43"/>
    <x v="28"/>
    <x v="26"/>
  </r>
  <r>
    <x v="61"/>
    <x v="28"/>
    <x v="14"/>
  </r>
  <r>
    <x v="0"/>
    <x v="28"/>
    <x v="25"/>
  </r>
  <r>
    <x v="35"/>
    <x v="28"/>
    <x v="25"/>
  </r>
  <r>
    <x v="111"/>
    <x v="28"/>
    <x v="15"/>
  </r>
  <r>
    <x v="0"/>
    <x v="28"/>
    <x v="36"/>
  </r>
  <r>
    <x v="0"/>
    <x v="28"/>
    <x v="40"/>
  </r>
  <r>
    <x v="0"/>
    <x v="28"/>
    <x v="40"/>
  </r>
  <r>
    <x v="39"/>
    <x v="28"/>
    <x v="16"/>
  </r>
  <r>
    <x v="0"/>
    <x v="28"/>
    <x v="17"/>
  </r>
  <r>
    <x v="0"/>
    <x v="28"/>
    <x v="33"/>
  </r>
  <r>
    <x v="0"/>
    <x v="28"/>
    <x v="33"/>
  </r>
  <r>
    <x v="0"/>
    <x v="28"/>
    <x v="18"/>
  </r>
  <r>
    <x v="6"/>
    <x v="28"/>
    <x v="19"/>
  </r>
  <r>
    <x v="57"/>
    <x v="28"/>
    <x v="20"/>
  </r>
  <r>
    <x v="52"/>
    <x v="28"/>
    <x v="35"/>
  </r>
  <r>
    <x v="0"/>
    <x v="28"/>
    <x v="35"/>
  </r>
  <r>
    <x v="10"/>
    <x v="28"/>
    <x v="35"/>
  </r>
  <r>
    <x v="8"/>
    <x v="28"/>
    <x v="35"/>
  </r>
  <r>
    <x v="39"/>
    <x v="28"/>
    <x v="35"/>
  </r>
  <r>
    <x v="0"/>
    <x v="28"/>
    <x v="30"/>
  </r>
  <r>
    <x v="30"/>
    <x v="28"/>
    <x v="30"/>
  </r>
  <r>
    <x v="11"/>
    <x v="28"/>
    <x v="27"/>
  </r>
  <r>
    <x v="0"/>
    <x v="28"/>
    <x v="27"/>
  </r>
  <r>
    <x v="46"/>
    <x v="28"/>
    <x v="31"/>
  </r>
  <r>
    <x v="9"/>
    <x v="28"/>
    <x v="31"/>
  </r>
  <r>
    <x v="0"/>
    <x v="28"/>
    <x v="31"/>
  </r>
  <r>
    <x v="5"/>
    <x v="28"/>
    <x v="31"/>
  </r>
  <r>
    <x v="91"/>
    <x v="28"/>
    <x v="31"/>
  </r>
  <r>
    <x v="5"/>
    <x v="28"/>
    <x v="31"/>
  </r>
  <r>
    <x v="300"/>
    <x v="28"/>
    <x v="31"/>
  </r>
  <r>
    <x v="0"/>
    <x v="28"/>
    <x v="37"/>
  </r>
  <r>
    <x v="8"/>
    <x v="28"/>
    <x v="37"/>
  </r>
  <r>
    <x v="9"/>
    <x v="28"/>
    <x v="37"/>
  </r>
  <r>
    <x v="463"/>
    <x v="28"/>
    <x v="29"/>
  </r>
  <r>
    <x v="414"/>
    <x v="28"/>
    <x v="29"/>
  </r>
  <r>
    <x v="226"/>
    <x v="28"/>
    <x v="29"/>
  </r>
  <r>
    <x v="269"/>
    <x v="28"/>
    <x v="29"/>
  </r>
  <r>
    <x v="244"/>
    <x v="28"/>
    <x v="29"/>
  </r>
  <r>
    <x v="216"/>
    <x v="28"/>
    <x v="29"/>
  </r>
  <r>
    <x v="144"/>
    <x v="28"/>
    <x v="29"/>
  </r>
  <r>
    <x v="144"/>
    <x v="28"/>
    <x v="29"/>
  </r>
  <r>
    <x v="332"/>
    <x v="28"/>
    <x v="29"/>
  </r>
  <r>
    <x v="304"/>
    <x v="28"/>
    <x v="29"/>
  </r>
  <r>
    <x v="494"/>
    <x v="28"/>
    <x v="29"/>
  </r>
  <r>
    <x v="350"/>
    <x v="28"/>
    <x v="29"/>
  </r>
  <r>
    <x v="569"/>
    <x v="28"/>
    <x v="29"/>
  </r>
  <r>
    <x v="590"/>
    <x v="28"/>
    <x v="29"/>
  </r>
  <r>
    <x v="357"/>
    <x v="28"/>
    <x v="29"/>
  </r>
  <r>
    <x v="342"/>
    <x v="28"/>
    <x v="41"/>
  </r>
  <r>
    <x v="0"/>
    <x v="28"/>
    <x v="32"/>
  </r>
  <r>
    <x v="34"/>
    <x v="28"/>
    <x v="32"/>
  </r>
  <r>
    <x v="0"/>
    <x v="28"/>
    <x v="34"/>
  </r>
  <r>
    <x v="107"/>
    <x v="28"/>
    <x v="34"/>
  </r>
  <r>
    <x v="132"/>
    <x v="28"/>
    <x v="34"/>
  </r>
  <r>
    <x v="0"/>
    <x v="28"/>
    <x v="38"/>
  </r>
  <r>
    <x v="0"/>
    <x v="28"/>
    <x v="21"/>
  </r>
  <r>
    <x v="0"/>
    <x v="28"/>
    <x v="22"/>
  </r>
  <r>
    <x v="7"/>
    <x v="28"/>
    <x v="23"/>
  </r>
  <r>
    <x v="0"/>
    <x v="28"/>
    <x v="28"/>
  </r>
  <r>
    <x v="60"/>
    <x v="28"/>
    <x v="28"/>
  </r>
  <r>
    <x v="19"/>
    <x v="28"/>
    <x v="24"/>
  </r>
  <r>
    <x v="19"/>
    <x v="28"/>
    <x v="32"/>
  </r>
  <r>
    <x v="4"/>
    <x v="28"/>
    <x v="34"/>
  </r>
  <r>
    <x v="33"/>
    <x v="28"/>
    <x v="41"/>
  </r>
  <r>
    <x v="120"/>
    <x v="28"/>
    <x v="31"/>
  </r>
  <r>
    <x v="0"/>
    <x v="28"/>
    <x v="36"/>
  </r>
  <r>
    <x v="0"/>
    <x v="28"/>
    <x v="42"/>
  </r>
  <r>
    <x v="0"/>
    <x v="28"/>
    <x v="43"/>
  </r>
  <r>
    <x v="91"/>
    <x v="28"/>
    <x v="44"/>
  </r>
  <r>
    <x v="567"/>
    <x v="28"/>
    <x v="0"/>
  </r>
  <r>
    <x v="6"/>
    <x v="28"/>
    <x v="1"/>
  </r>
  <r>
    <x v="0"/>
    <x v="28"/>
    <x v="2"/>
  </r>
  <r>
    <x v="0"/>
    <x v="28"/>
    <x v="3"/>
  </r>
  <r>
    <x v="0"/>
    <x v="28"/>
    <x v="4"/>
  </r>
  <r>
    <x v="0"/>
    <x v="28"/>
    <x v="5"/>
  </r>
  <r>
    <x v="0"/>
    <x v="28"/>
    <x v="6"/>
  </r>
  <r>
    <x v="0"/>
    <x v="28"/>
    <x v="7"/>
  </r>
  <r>
    <x v="0"/>
    <x v="28"/>
    <x v="8"/>
  </r>
  <r>
    <x v="0"/>
    <x v="28"/>
    <x v="9"/>
  </r>
  <r>
    <x v="0"/>
    <x v="28"/>
    <x v="10"/>
  </r>
  <r>
    <x v="0"/>
    <x v="28"/>
    <x v="11"/>
  </r>
  <r>
    <x v="0"/>
    <x v="28"/>
    <x v="12"/>
  </r>
  <r>
    <x v="0"/>
    <x v="28"/>
    <x v="39"/>
  </r>
  <r>
    <x v="0"/>
    <x v="28"/>
    <x v="39"/>
  </r>
  <r>
    <x v="0"/>
    <x v="28"/>
    <x v="13"/>
  </r>
  <r>
    <x v="0"/>
    <x v="28"/>
    <x v="38"/>
  </r>
  <r>
    <x v="0"/>
    <x v="28"/>
    <x v="26"/>
  </r>
  <r>
    <x v="13"/>
    <x v="28"/>
    <x v="26"/>
  </r>
  <r>
    <x v="16"/>
    <x v="28"/>
    <x v="14"/>
  </r>
  <r>
    <x v="0"/>
    <x v="28"/>
    <x v="25"/>
  </r>
  <r>
    <x v="0"/>
    <x v="28"/>
    <x v="25"/>
  </r>
  <r>
    <x v="14"/>
    <x v="28"/>
    <x v="15"/>
  </r>
  <r>
    <x v="0"/>
    <x v="28"/>
    <x v="36"/>
  </r>
  <r>
    <x v="0"/>
    <x v="28"/>
    <x v="40"/>
  </r>
  <r>
    <x v="0"/>
    <x v="28"/>
    <x v="40"/>
  </r>
  <r>
    <x v="0"/>
    <x v="28"/>
    <x v="16"/>
  </r>
  <r>
    <x v="0"/>
    <x v="28"/>
    <x v="17"/>
  </r>
  <r>
    <x v="0"/>
    <x v="28"/>
    <x v="33"/>
  </r>
  <r>
    <x v="0"/>
    <x v="28"/>
    <x v="33"/>
  </r>
  <r>
    <x v="0"/>
    <x v="28"/>
    <x v="18"/>
  </r>
  <r>
    <x v="0"/>
    <x v="28"/>
    <x v="19"/>
  </r>
  <r>
    <x v="6"/>
    <x v="28"/>
    <x v="20"/>
  </r>
  <r>
    <x v="17"/>
    <x v="28"/>
    <x v="35"/>
  </r>
  <r>
    <x v="0"/>
    <x v="28"/>
    <x v="35"/>
  </r>
  <r>
    <x v="0"/>
    <x v="28"/>
    <x v="35"/>
  </r>
  <r>
    <x v="0"/>
    <x v="28"/>
    <x v="35"/>
  </r>
  <r>
    <x v="7"/>
    <x v="28"/>
    <x v="35"/>
  </r>
  <r>
    <x v="0"/>
    <x v="28"/>
    <x v="30"/>
  </r>
  <r>
    <x v="0"/>
    <x v="28"/>
    <x v="30"/>
  </r>
  <r>
    <x v="10"/>
    <x v="28"/>
    <x v="27"/>
  </r>
  <r>
    <x v="0"/>
    <x v="28"/>
    <x v="27"/>
  </r>
  <r>
    <x v="172"/>
    <x v="28"/>
    <x v="31"/>
  </r>
  <r>
    <x v="36"/>
    <x v="28"/>
    <x v="31"/>
  </r>
  <r>
    <x v="42"/>
    <x v="28"/>
    <x v="31"/>
  </r>
  <r>
    <x v="0"/>
    <x v="28"/>
    <x v="31"/>
  </r>
  <r>
    <x v="93"/>
    <x v="28"/>
    <x v="31"/>
  </r>
  <r>
    <x v="167"/>
    <x v="28"/>
    <x v="31"/>
  </r>
  <r>
    <x v="374"/>
    <x v="28"/>
    <x v="31"/>
  </r>
  <r>
    <x v="0"/>
    <x v="28"/>
    <x v="37"/>
  </r>
  <r>
    <x v="0"/>
    <x v="28"/>
    <x v="37"/>
  </r>
  <r>
    <x v="0"/>
    <x v="28"/>
    <x v="37"/>
  </r>
  <r>
    <x v="89"/>
    <x v="28"/>
    <x v="29"/>
  </r>
  <r>
    <x v="51"/>
    <x v="28"/>
    <x v="29"/>
  </r>
  <r>
    <x v="25"/>
    <x v="28"/>
    <x v="29"/>
  </r>
  <r>
    <x v="19"/>
    <x v="28"/>
    <x v="29"/>
  </r>
  <r>
    <x v="85"/>
    <x v="28"/>
    <x v="29"/>
  </r>
  <r>
    <x v="129"/>
    <x v="28"/>
    <x v="29"/>
  </r>
  <r>
    <x v="11"/>
    <x v="28"/>
    <x v="29"/>
  </r>
  <r>
    <x v="18"/>
    <x v="28"/>
    <x v="29"/>
  </r>
  <r>
    <x v="290"/>
    <x v="28"/>
    <x v="29"/>
  </r>
  <r>
    <x v="33"/>
    <x v="28"/>
    <x v="29"/>
  </r>
  <r>
    <x v="34"/>
    <x v="28"/>
    <x v="29"/>
  </r>
  <r>
    <x v="69"/>
    <x v="28"/>
    <x v="29"/>
  </r>
  <r>
    <x v="461"/>
    <x v="28"/>
    <x v="29"/>
  </r>
  <r>
    <x v="400"/>
    <x v="28"/>
    <x v="29"/>
  </r>
  <r>
    <x v="520"/>
    <x v="28"/>
    <x v="29"/>
  </r>
  <r>
    <x v="21"/>
    <x v="28"/>
    <x v="41"/>
  </r>
  <r>
    <x v="0"/>
    <x v="28"/>
    <x v="32"/>
  </r>
  <r>
    <x v="18"/>
    <x v="28"/>
    <x v="32"/>
  </r>
  <r>
    <x v="0"/>
    <x v="28"/>
    <x v="34"/>
  </r>
  <r>
    <x v="9"/>
    <x v="28"/>
    <x v="34"/>
  </r>
  <r>
    <x v="11"/>
    <x v="28"/>
    <x v="34"/>
  </r>
  <r>
    <x v="0"/>
    <x v="28"/>
    <x v="38"/>
  </r>
  <r>
    <x v="0"/>
    <x v="28"/>
    <x v="21"/>
  </r>
  <r>
    <x v="0"/>
    <x v="28"/>
    <x v="22"/>
  </r>
  <r>
    <x v="0"/>
    <x v="28"/>
    <x v="23"/>
  </r>
  <r>
    <x v="0"/>
    <x v="28"/>
    <x v="28"/>
  </r>
  <r>
    <x v="0"/>
    <x v="28"/>
    <x v="28"/>
  </r>
  <r>
    <x v="0"/>
    <x v="28"/>
    <x v="24"/>
  </r>
  <r>
    <x v="0"/>
    <x v="28"/>
    <x v="32"/>
  </r>
  <r>
    <x v="0"/>
    <x v="28"/>
    <x v="34"/>
  </r>
  <r>
    <x v="21"/>
    <x v="28"/>
    <x v="41"/>
  </r>
  <r>
    <x v="151"/>
    <x v="28"/>
    <x v="31"/>
  </r>
  <r>
    <x v="0"/>
    <x v="28"/>
    <x v="36"/>
  </r>
  <r>
    <x v="0"/>
    <x v="28"/>
    <x v="42"/>
  </r>
  <r>
    <x v="0"/>
    <x v="28"/>
    <x v="43"/>
  </r>
  <r>
    <x v="12"/>
    <x v="28"/>
    <x v="44"/>
  </r>
  <r>
    <x v="570"/>
    <x v="40"/>
    <x v="0"/>
  </r>
  <r>
    <x v="5"/>
    <x v="40"/>
    <x v="1"/>
  </r>
  <r>
    <x v="0"/>
    <x v="40"/>
    <x v="2"/>
  </r>
  <r>
    <x v="4"/>
    <x v="40"/>
    <x v="3"/>
  </r>
  <r>
    <x v="9"/>
    <x v="40"/>
    <x v="4"/>
  </r>
  <r>
    <x v="0"/>
    <x v="40"/>
    <x v="5"/>
  </r>
  <r>
    <x v="8"/>
    <x v="40"/>
    <x v="6"/>
  </r>
  <r>
    <x v="0"/>
    <x v="40"/>
    <x v="7"/>
  </r>
  <r>
    <x v="0"/>
    <x v="40"/>
    <x v="8"/>
  </r>
  <r>
    <x v="0"/>
    <x v="40"/>
    <x v="9"/>
  </r>
  <r>
    <x v="0"/>
    <x v="40"/>
    <x v="10"/>
  </r>
  <r>
    <x v="0"/>
    <x v="40"/>
    <x v="11"/>
  </r>
  <r>
    <x v="0"/>
    <x v="40"/>
    <x v="12"/>
  </r>
  <r>
    <x v="0"/>
    <x v="40"/>
    <x v="39"/>
  </r>
  <r>
    <x v="0"/>
    <x v="40"/>
    <x v="39"/>
  </r>
  <r>
    <x v="7"/>
    <x v="40"/>
    <x v="13"/>
  </r>
  <r>
    <x v="0"/>
    <x v="40"/>
    <x v="38"/>
  </r>
  <r>
    <x v="0"/>
    <x v="40"/>
    <x v="26"/>
  </r>
  <r>
    <x v="17"/>
    <x v="40"/>
    <x v="26"/>
  </r>
  <r>
    <x v="9"/>
    <x v="40"/>
    <x v="14"/>
  </r>
  <r>
    <x v="0"/>
    <x v="40"/>
    <x v="25"/>
  </r>
  <r>
    <x v="9"/>
    <x v="40"/>
    <x v="25"/>
  </r>
  <r>
    <x v="125"/>
    <x v="40"/>
    <x v="15"/>
  </r>
  <r>
    <x v="7"/>
    <x v="40"/>
    <x v="36"/>
  </r>
  <r>
    <x v="0"/>
    <x v="40"/>
    <x v="40"/>
  </r>
  <r>
    <x v="0"/>
    <x v="40"/>
    <x v="40"/>
  </r>
  <r>
    <x v="0"/>
    <x v="40"/>
    <x v="16"/>
  </r>
  <r>
    <x v="0"/>
    <x v="40"/>
    <x v="17"/>
  </r>
  <r>
    <x v="0"/>
    <x v="40"/>
    <x v="33"/>
  </r>
  <r>
    <x v="8"/>
    <x v="40"/>
    <x v="33"/>
  </r>
  <r>
    <x v="0"/>
    <x v="40"/>
    <x v="18"/>
  </r>
  <r>
    <x v="0"/>
    <x v="40"/>
    <x v="19"/>
  </r>
  <r>
    <x v="210"/>
    <x v="40"/>
    <x v="20"/>
  </r>
  <r>
    <x v="26"/>
    <x v="40"/>
    <x v="35"/>
  </r>
  <r>
    <x v="0"/>
    <x v="40"/>
    <x v="35"/>
  </r>
  <r>
    <x v="0"/>
    <x v="40"/>
    <x v="35"/>
  </r>
  <r>
    <x v="0"/>
    <x v="40"/>
    <x v="35"/>
  </r>
  <r>
    <x v="8"/>
    <x v="40"/>
    <x v="35"/>
  </r>
  <r>
    <x v="0"/>
    <x v="40"/>
    <x v="30"/>
  </r>
  <r>
    <x v="13"/>
    <x v="40"/>
    <x v="30"/>
  </r>
  <r>
    <x v="0"/>
    <x v="40"/>
    <x v="27"/>
  </r>
  <r>
    <x v="0"/>
    <x v="40"/>
    <x v="27"/>
  </r>
  <r>
    <x v="6"/>
    <x v="40"/>
    <x v="31"/>
  </r>
  <r>
    <x v="0"/>
    <x v="40"/>
    <x v="31"/>
  </r>
  <r>
    <x v="0"/>
    <x v="40"/>
    <x v="31"/>
  </r>
  <r>
    <x v="0"/>
    <x v="40"/>
    <x v="31"/>
  </r>
  <r>
    <x v="8"/>
    <x v="40"/>
    <x v="31"/>
  </r>
  <r>
    <x v="0"/>
    <x v="40"/>
    <x v="31"/>
  </r>
  <r>
    <x v="0"/>
    <x v="40"/>
    <x v="31"/>
  </r>
  <r>
    <x v="0"/>
    <x v="40"/>
    <x v="37"/>
  </r>
  <r>
    <x v="5"/>
    <x v="40"/>
    <x v="37"/>
  </r>
  <r>
    <x v="0"/>
    <x v="40"/>
    <x v="37"/>
  </r>
  <r>
    <x v="177"/>
    <x v="40"/>
    <x v="29"/>
  </r>
  <r>
    <x v="77"/>
    <x v="40"/>
    <x v="29"/>
  </r>
  <r>
    <x v="7"/>
    <x v="40"/>
    <x v="29"/>
  </r>
  <r>
    <x v="7"/>
    <x v="40"/>
    <x v="29"/>
  </r>
  <r>
    <x v="0"/>
    <x v="40"/>
    <x v="29"/>
  </r>
  <r>
    <x v="6"/>
    <x v="40"/>
    <x v="29"/>
  </r>
  <r>
    <x v="0"/>
    <x v="40"/>
    <x v="29"/>
  </r>
  <r>
    <x v="16"/>
    <x v="40"/>
    <x v="29"/>
  </r>
  <r>
    <x v="0"/>
    <x v="40"/>
    <x v="29"/>
  </r>
  <r>
    <x v="10"/>
    <x v="40"/>
    <x v="29"/>
  </r>
  <r>
    <x v="115"/>
    <x v="40"/>
    <x v="29"/>
  </r>
  <r>
    <x v="27"/>
    <x v="40"/>
    <x v="29"/>
  </r>
  <r>
    <x v="387"/>
    <x v="40"/>
    <x v="29"/>
  </r>
  <r>
    <x v="449"/>
    <x v="40"/>
    <x v="29"/>
  </r>
  <r>
    <x v="25"/>
    <x v="40"/>
    <x v="29"/>
  </r>
  <r>
    <x v="552"/>
    <x v="40"/>
    <x v="41"/>
  </r>
  <r>
    <x v="0"/>
    <x v="40"/>
    <x v="32"/>
  </r>
  <r>
    <x v="4"/>
    <x v="40"/>
    <x v="32"/>
  </r>
  <r>
    <x v="0"/>
    <x v="40"/>
    <x v="34"/>
  </r>
  <r>
    <x v="17"/>
    <x v="40"/>
    <x v="34"/>
  </r>
  <r>
    <x v="15"/>
    <x v="40"/>
    <x v="34"/>
  </r>
  <r>
    <x v="0"/>
    <x v="40"/>
    <x v="38"/>
  </r>
  <r>
    <x v="0"/>
    <x v="40"/>
    <x v="21"/>
  </r>
  <r>
    <x v="0"/>
    <x v="40"/>
    <x v="22"/>
  </r>
  <r>
    <x v="0"/>
    <x v="40"/>
    <x v="23"/>
  </r>
  <r>
    <x v="22"/>
    <x v="40"/>
    <x v="28"/>
  </r>
  <r>
    <x v="15"/>
    <x v="40"/>
    <x v="28"/>
  </r>
  <r>
    <x v="26"/>
    <x v="40"/>
    <x v="24"/>
  </r>
  <r>
    <x v="7"/>
    <x v="40"/>
    <x v="32"/>
  </r>
  <r>
    <x v="0"/>
    <x v="40"/>
    <x v="34"/>
  </r>
  <r>
    <x v="369"/>
    <x v="40"/>
    <x v="41"/>
  </r>
  <r>
    <x v="0"/>
    <x v="40"/>
    <x v="31"/>
  </r>
  <r>
    <x v="0"/>
    <x v="40"/>
    <x v="36"/>
  </r>
  <r>
    <x v="0"/>
    <x v="40"/>
    <x v="42"/>
  </r>
  <r>
    <x v="0"/>
    <x v="40"/>
    <x v="43"/>
  </r>
  <r>
    <x v="0"/>
    <x v="40"/>
    <x v="44"/>
  </r>
  <r>
    <x v="495"/>
    <x v="31"/>
    <x v="0"/>
  </r>
  <r>
    <x v="0"/>
    <x v="31"/>
    <x v="1"/>
  </r>
  <r>
    <x v="0"/>
    <x v="31"/>
    <x v="2"/>
  </r>
  <r>
    <x v="0"/>
    <x v="31"/>
    <x v="3"/>
  </r>
  <r>
    <x v="0"/>
    <x v="31"/>
    <x v="4"/>
  </r>
  <r>
    <x v="0"/>
    <x v="31"/>
    <x v="5"/>
  </r>
  <r>
    <x v="0"/>
    <x v="31"/>
    <x v="6"/>
  </r>
  <r>
    <x v="0"/>
    <x v="31"/>
    <x v="7"/>
  </r>
  <r>
    <x v="0"/>
    <x v="31"/>
    <x v="8"/>
  </r>
  <r>
    <x v="0"/>
    <x v="31"/>
    <x v="9"/>
  </r>
  <r>
    <x v="0"/>
    <x v="31"/>
    <x v="10"/>
  </r>
  <r>
    <x v="7"/>
    <x v="31"/>
    <x v="11"/>
  </r>
  <r>
    <x v="0"/>
    <x v="31"/>
    <x v="12"/>
  </r>
  <r>
    <x v="0"/>
    <x v="31"/>
    <x v="39"/>
  </r>
  <r>
    <x v="0"/>
    <x v="31"/>
    <x v="39"/>
  </r>
  <r>
    <x v="0"/>
    <x v="31"/>
    <x v="13"/>
  </r>
  <r>
    <x v="0"/>
    <x v="31"/>
    <x v="38"/>
  </r>
  <r>
    <x v="0"/>
    <x v="31"/>
    <x v="26"/>
  </r>
  <r>
    <x v="0"/>
    <x v="31"/>
    <x v="26"/>
  </r>
  <r>
    <x v="0"/>
    <x v="31"/>
    <x v="14"/>
  </r>
  <r>
    <x v="0"/>
    <x v="31"/>
    <x v="25"/>
  </r>
  <r>
    <x v="0"/>
    <x v="31"/>
    <x v="25"/>
  </r>
  <r>
    <x v="0"/>
    <x v="31"/>
    <x v="15"/>
  </r>
  <r>
    <x v="0"/>
    <x v="31"/>
    <x v="36"/>
  </r>
  <r>
    <x v="0"/>
    <x v="31"/>
    <x v="40"/>
  </r>
  <r>
    <x v="0"/>
    <x v="31"/>
    <x v="40"/>
  </r>
  <r>
    <x v="0"/>
    <x v="31"/>
    <x v="16"/>
  </r>
  <r>
    <x v="0"/>
    <x v="31"/>
    <x v="17"/>
  </r>
  <r>
    <x v="0"/>
    <x v="31"/>
    <x v="33"/>
  </r>
  <r>
    <x v="0"/>
    <x v="31"/>
    <x v="33"/>
  </r>
  <r>
    <x v="0"/>
    <x v="31"/>
    <x v="18"/>
  </r>
  <r>
    <x v="0"/>
    <x v="31"/>
    <x v="19"/>
  </r>
  <r>
    <x v="0"/>
    <x v="31"/>
    <x v="20"/>
  </r>
  <r>
    <x v="0"/>
    <x v="31"/>
    <x v="35"/>
  </r>
  <r>
    <x v="0"/>
    <x v="31"/>
    <x v="35"/>
  </r>
  <r>
    <x v="0"/>
    <x v="31"/>
    <x v="35"/>
  </r>
  <r>
    <x v="0"/>
    <x v="31"/>
    <x v="35"/>
  </r>
  <r>
    <x v="0"/>
    <x v="31"/>
    <x v="35"/>
  </r>
  <r>
    <x v="0"/>
    <x v="31"/>
    <x v="30"/>
  </r>
  <r>
    <x v="0"/>
    <x v="31"/>
    <x v="30"/>
  </r>
  <r>
    <x v="0"/>
    <x v="31"/>
    <x v="27"/>
  </r>
  <r>
    <x v="0"/>
    <x v="31"/>
    <x v="27"/>
  </r>
  <r>
    <x v="47"/>
    <x v="31"/>
    <x v="31"/>
  </r>
  <r>
    <x v="0"/>
    <x v="31"/>
    <x v="31"/>
  </r>
  <r>
    <x v="0"/>
    <x v="31"/>
    <x v="31"/>
  </r>
  <r>
    <x v="0"/>
    <x v="31"/>
    <x v="31"/>
  </r>
  <r>
    <x v="10"/>
    <x v="31"/>
    <x v="31"/>
  </r>
  <r>
    <x v="0"/>
    <x v="31"/>
    <x v="31"/>
  </r>
  <r>
    <x v="204"/>
    <x v="31"/>
    <x v="31"/>
  </r>
  <r>
    <x v="0"/>
    <x v="31"/>
    <x v="37"/>
  </r>
  <r>
    <x v="0"/>
    <x v="31"/>
    <x v="37"/>
  </r>
  <r>
    <x v="0"/>
    <x v="31"/>
    <x v="37"/>
  </r>
  <r>
    <x v="0"/>
    <x v="31"/>
    <x v="29"/>
  </r>
  <r>
    <x v="9"/>
    <x v="31"/>
    <x v="29"/>
  </r>
  <r>
    <x v="0"/>
    <x v="31"/>
    <x v="29"/>
  </r>
  <r>
    <x v="0"/>
    <x v="31"/>
    <x v="29"/>
  </r>
  <r>
    <x v="0"/>
    <x v="31"/>
    <x v="29"/>
  </r>
  <r>
    <x v="0"/>
    <x v="31"/>
    <x v="29"/>
  </r>
  <r>
    <x v="0"/>
    <x v="31"/>
    <x v="29"/>
  </r>
  <r>
    <x v="35"/>
    <x v="31"/>
    <x v="29"/>
  </r>
  <r>
    <x v="19"/>
    <x v="31"/>
    <x v="29"/>
  </r>
  <r>
    <x v="0"/>
    <x v="31"/>
    <x v="29"/>
  </r>
  <r>
    <x v="19"/>
    <x v="31"/>
    <x v="29"/>
  </r>
  <r>
    <x v="0"/>
    <x v="31"/>
    <x v="29"/>
  </r>
  <r>
    <x v="185"/>
    <x v="31"/>
    <x v="29"/>
  </r>
  <r>
    <x v="135"/>
    <x v="31"/>
    <x v="29"/>
  </r>
  <r>
    <x v="110"/>
    <x v="31"/>
    <x v="29"/>
  </r>
  <r>
    <x v="0"/>
    <x v="31"/>
    <x v="41"/>
  </r>
  <r>
    <x v="325"/>
    <x v="31"/>
    <x v="32"/>
  </r>
  <r>
    <x v="285"/>
    <x v="31"/>
    <x v="32"/>
  </r>
  <r>
    <x v="26"/>
    <x v="31"/>
    <x v="34"/>
  </r>
  <r>
    <x v="92"/>
    <x v="31"/>
    <x v="34"/>
  </r>
  <r>
    <x v="206"/>
    <x v="31"/>
    <x v="34"/>
  </r>
  <r>
    <x v="0"/>
    <x v="31"/>
    <x v="38"/>
  </r>
  <r>
    <x v="0"/>
    <x v="31"/>
    <x v="21"/>
  </r>
  <r>
    <x v="0"/>
    <x v="31"/>
    <x v="22"/>
  </r>
  <r>
    <x v="0"/>
    <x v="31"/>
    <x v="23"/>
  </r>
  <r>
    <x v="0"/>
    <x v="31"/>
    <x v="28"/>
  </r>
  <r>
    <x v="0"/>
    <x v="31"/>
    <x v="28"/>
  </r>
  <r>
    <x v="0"/>
    <x v="31"/>
    <x v="24"/>
  </r>
  <r>
    <x v="287"/>
    <x v="31"/>
    <x v="32"/>
  </r>
  <r>
    <x v="153"/>
    <x v="31"/>
    <x v="34"/>
  </r>
  <r>
    <x v="0"/>
    <x v="31"/>
    <x v="41"/>
  </r>
  <r>
    <x v="73"/>
    <x v="31"/>
    <x v="31"/>
  </r>
  <r>
    <x v="0"/>
    <x v="31"/>
    <x v="36"/>
  </r>
  <r>
    <x v="0"/>
    <x v="31"/>
    <x v="42"/>
  </r>
  <r>
    <x v="0"/>
    <x v="31"/>
    <x v="43"/>
  </r>
  <r>
    <x v="9"/>
    <x v="31"/>
    <x v="44"/>
  </r>
  <r>
    <x v="584"/>
    <x v="31"/>
    <x v="0"/>
  </r>
  <r>
    <x v="19"/>
    <x v="31"/>
    <x v="1"/>
  </r>
  <r>
    <x v="19"/>
    <x v="31"/>
    <x v="2"/>
  </r>
  <r>
    <x v="20"/>
    <x v="31"/>
    <x v="3"/>
  </r>
  <r>
    <x v="3"/>
    <x v="31"/>
    <x v="4"/>
  </r>
  <r>
    <x v="0"/>
    <x v="31"/>
    <x v="5"/>
  </r>
  <r>
    <x v="0"/>
    <x v="31"/>
    <x v="6"/>
  </r>
  <r>
    <x v="8"/>
    <x v="31"/>
    <x v="7"/>
  </r>
  <r>
    <x v="0"/>
    <x v="31"/>
    <x v="8"/>
  </r>
  <r>
    <x v="8"/>
    <x v="31"/>
    <x v="9"/>
  </r>
  <r>
    <x v="10"/>
    <x v="31"/>
    <x v="10"/>
  </r>
  <r>
    <x v="0"/>
    <x v="31"/>
    <x v="11"/>
  </r>
  <r>
    <x v="0"/>
    <x v="31"/>
    <x v="12"/>
  </r>
  <r>
    <x v="0"/>
    <x v="31"/>
    <x v="39"/>
  </r>
  <r>
    <x v="0"/>
    <x v="31"/>
    <x v="39"/>
  </r>
  <r>
    <x v="0"/>
    <x v="31"/>
    <x v="13"/>
  </r>
  <r>
    <x v="0"/>
    <x v="31"/>
    <x v="38"/>
  </r>
  <r>
    <x v="0"/>
    <x v="31"/>
    <x v="26"/>
  </r>
  <r>
    <x v="0"/>
    <x v="31"/>
    <x v="26"/>
  </r>
  <r>
    <x v="0"/>
    <x v="31"/>
    <x v="14"/>
  </r>
  <r>
    <x v="0"/>
    <x v="31"/>
    <x v="25"/>
  </r>
  <r>
    <x v="11"/>
    <x v="31"/>
    <x v="25"/>
  </r>
  <r>
    <x v="8"/>
    <x v="31"/>
    <x v="15"/>
  </r>
  <r>
    <x v="0"/>
    <x v="31"/>
    <x v="36"/>
  </r>
  <r>
    <x v="0"/>
    <x v="31"/>
    <x v="40"/>
  </r>
  <r>
    <x v="0"/>
    <x v="31"/>
    <x v="40"/>
  </r>
  <r>
    <x v="0"/>
    <x v="31"/>
    <x v="16"/>
  </r>
  <r>
    <x v="0"/>
    <x v="31"/>
    <x v="17"/>
  </r>
  <r>
    <x v="0"/>
    <x v="31"/>
    <x v="33"/>
  </r>
  <r>
    <x v="8"/>
    <x v="31"/>
    <x v="33"/>
  </r>
  <r>
    <x v="0"/>
    <x v="31"/>
    <x v="18"/>
  </r>
  <r>
    <x v="8"/>
    <x v="31"/>
    <x v="19"/>
  </r>
  <r>
    <x v="8"/>
    <x v="31"/>
    <x v="20"/>
  </r>
  <r>
    <x v="170"/>
    <x v="31"/>
    <x v="35"/>
  </r>
  <r>
    <x v="31"/>
    <x v="31"/>
    <x v="35"/>
  </r>
  <r>
    <x v="47"/>
    <x v="31"/>
    <x v="35"/>
  </r>
  <r>
    <x v="0"/>
    <x v="31"/>
    <x v="35"/>
  </r>
  <r>
    <x v="192"/>
    <x v="31"/>
    <x v="35"/>
  </r>
  <r>
    <x v="0"/>
    <x v="31"/>
    <x v="30"/>
  </r>
  <r>
    <x v="12"/>
    <x v="31"/>
    <x v="30"/>
  </r>
  <r>
    <x v="0"/>
    <x v="31"/>
    <x v="27"/>
  </r>
  <r>
    <x v="7"/>
    <x v="31"/>
    <x v="27"/>
  </r>
  <r>
    <x v="207"/>
    <x v="31"/>
    <x v="31"/>
  </r>
  <r>
    <x v="20"/>
    <x v="31"/>
    <x v="31"/>
  </r>
  <r>
    <x v="43"/>
    <x v="31"/>
    <x v="31"/>
  </r>
  <r>
    <x v="68"/>
    <x v="31"/>
    <x v="31"/>
  </r>
  <r>
    <x v="86"/>
    <x v="31"/>
    <x v="31"/>
  </r>
  <r>
    <x v="61"/>
    <x v="31"/>
    <x v="31"/>
  </r>
  <r>
    <x v="364"/>
    <x v="31"/>
    <x v="31"/>
  </r>
  <r>
    <x v="0"/>
    <x v="31"/>
    <x v="37"/>
  </r>
  <r>
    <x v="0"/>
    <x v="31"/>
    <x v="37"/>
  </r>
  <r>
    <x v="0"/>
    <x v="31"/>
    <x v="37"/>
  </r>
  <r>
    <x v="19"/>
    <x v="31"/>
    <x v="29"/>
  </r>
  <r>
    <x v="40"/>
    <x v="31"/>
    <x v="29"/>
  </r>
  <r>
    <x v="0"/>
    <x v="31"/>
    <x v="29"/>
  </r>
  <r>
    <x v="14"/>
    <x v="31"/>
    <x v="29"/>
  </r>
  <r>
    <x v="5"/>
    <x v="31"/>
    <x v="29"/>
  </r>
  <r>
    <x v="37"/>
    <x v="31"/>
    <x v="29"/>
  </r>
  <r>
    <x v="19"/>
    <x v="31"/>
    <x v="29"/>
  </r>
  <r>
    <x v="108"/>
    <x v="31"/>
    <x v="29"/>
  </r>
  <r>
    <x v="56"/>
    <x v="31"/>
    <x v="29"/>
  </r>
  <r>
    <x v="11"/>
    <x v="31"/>
    <x v="29"/>
  </r>
  <r>
    <x v="35"/>
    <x v="31"/>
    <x v="29"/>
  </r>
  <r>
    <x v="49"/>
    <x v="31"/>
    <x v="29"/>
  </r>
  <r>
    <x v="309"/>
    <x v="31"/>
    <x v="29"/>
  </r>
  <r>
    <x v="239"/>
    <x v="31"/>
    <x v="29"/>
  </r>
  <r>
    <x v="160"/>
    <x v="31"/>
    <x v="29"/>
  </r>
  <r>
    <x v="9"/>
    <x v="31"/>
    <x v="41"/>
  </r>
  <r>
    <x v="191"/>
    <x v="31"/>
    <x v="32"/>
  </r>
  <r>
    <x v="565"/>
    <x v="31"/>
    <x v="32"/>
  </r>
  <r>
    <x v="96"/>
    <x v="31"/>
    <x v="34"/>
  </r>
  <r>
    <x v="186"/>
    <x v="31"/>
    <x v="34"/>
  </r>
  <r>
    <x v="322"/>
    <x v="31"/>
    <x v="34"/>
  </r>
  <r>
    <x v="0"/>
    <x v="31"/>
    <x v="38"/>
  </r>
  <r>
    <x v="0"/>
    <x v="31"/>
    <x v="21"/>
  </r>
  <r>
    <x v="8"/>
    <x v="31"/>
    <x v="22"/>
  </r>
  <r>
    <x v="11"/>
    <x v="31"/>
    <x v="23"/>
  </r>
  <r>
    <x v="0"/>
    <x v="31"/>
    <x v="28"/>
  </r>
  <r>
    <x v="0"/>
    <x v="31"/>
    <x v="28"/>
  </r>
  <r>
    <x v="8"/>
    <x v="31"/>
    <x v="24"/>
  </r>
  <r>
    <x v="399"/>
    <x v="31"/>
    <x v="32"/>
  </r>
  <r>
    <x v="219"/>
    <x v="31"/>
    <x v="34"/>
  </r>
  <r>
    <x v="0"/>
    <x v="31"/>
    <x v="41"/>
  </r>
  <r>
    <x v="291"/>
    <x v="31"/>
    <x v="31"/>
  </r>
  <r>
    <x v="0"/>
    <x v="31"/>
    <x v="36"/>
  </r>
  <r>
    <x v="0"/>
    <x v="31"/>
    <x v="42"/>
  </r>
  <r>
    <x v="0"/>
    <x v="31"/>
    <x v="43"/>
  </r>
  <r>
    <x v="0"/>
    <x v="31"/>
    <x v="44"/>
  </r>
  <r>
    <x v="460"/>
    <x v="33"/>
    <x v="0"/>
  </r>
  <r>
    <x v="0"/>
    <x v="33"/>
    <x v="1"/>
  </r>
  <r>
    <x v="8"/>
    <x v="33"/>
    <x v="2"/>
  </r>
  <r>
    <x v="9"/>
    <x v="33"/>
    <x v="3"/>
  </r>
  <r>
    <x v="0"/>
    <x v="33"/>
    <x v="4"/>
  </r>
  <r>
    <x v="0"/>
    <x v="33"/>
    <x v="5"/>
  </r>
  <r>
    <x v="0"/>
    <x v="33"/>
    <x v="6"/>
  </r>
  <r>
    <x v="0"/>
    <x v="33"/>
    <x v="7"/>
  </r>
  <r>
    <x v="0"/>
    <x v="33"/>
    <x v="8"/>
  </r>
  <r>
    <x v="0"/>
    <x v="33"/>
    <x v="9"/>
  </r>
  <r>
    <x v="0"/>
    <x v="33"/>
    <x v="10"/>
  </r>
  <r>
    <x v="0"/>
    <x v="33"/>
    <x v="11"/>
  </r>
  <r>
    <x v="0"/>
    <x v="33"/>
    <x v="12"/>
  </r>
  <r>
    <x v="0"/>
    <x v="33"/>
    <x v="39"/>
  </r>
  <r>
    <x v="0"/>
    <x v="33"/>
    <x v="39"/>
  </r>
  <r>
    <x v="0"/>
    <x v="33"/>
    <x v="13"/>
  </r>
  <r>
    <x v="0"/>
    <x v="33"/>
    <x v="38"/>
  </r>
  <r>
    <x v="0"/>
    <x v="33"/>
    <x v="26"/>
  </r>
  <r>
    <x v="0"/>
    <x v="33"/>
    <x v="26"/>
  </r>
  <r>
    <x v="0"/>
    <x v="33"/>
    <x v="14"/>
  </r>
  <r>
    <x v="0"/>
    <x v="33"/>
    <x v="25"/>
  </r>
  <r>
    <x v="0"/>
    <x v="33"/>
    <x v="25"/>
  </r>
  <r>
    <x v="0"/>
    <x v="33"/>
    <x v="15"/>
  </r>
  <r>
    <x v="0"/>
    <x v="33"/>
    <x v="36"/>
  </r>
  <r>
    <x v="0"/>
    <x v="33"/>
    <x v="40"/>
  </r>
  <r>
    <x v="0"/>
    <x v="33"/>
    <x v="40"/>
  </r>
  <r>
    <x v="0"/>
    <x v="33"/>
    <x v="16"/>
  </r>
  <r>
    <x v="0"/>
    <x v="33"/>
    <x v="17"/>
  </r>
  <r>
    <x v="0"/>
    <x v="33"/>
    <x v="33"/>
  </r>
  <r>
    <x v="0"/>
    <x v="33"/>
    <x v="33"/>
  </r>
  <r>
    <x v="0"/>
    <x v="33"/>
    <x v="18"/>
  </r>
  <r>
    <x v="0"/>
    <x v="33"/>
    <x v="19"/>
  </r>
  <r>
    <x v="0"/>
    <x v="33"/>
    <x v="20"/>
  </r>
  <r>
    <x v="4"/>
    <x v="33"/>
    <x v="35"/>
  </r>
  <r>
    <x v="0"/>
    <x v="33"/>
    <x v="35"/>
  </r>
  <r>
    <x v="0"/>
    <x v="33"/>
    <x v="35"/>
  </r>
  <r>
    <x v="0"/>
    <x v="33"/>
    <x v="35"/>
  </r>
  <r>
    <x v="0"/>
    <x v="33"/>
    <x v="35"/>
  </r>
  <r>
    <x v="0"/>
    <x v="33"/>
    <x v="30"/>
  </r>
  <r>
    <x v="0"/>
    <x v="33"/>
    <x v="30"/>
  </r>
  <r>
    <x v="0"/>
    <x v="33"/>
    <x v="27"/>
  </r>
  <r>
    <x v="0"/>
    <x v="33"/>
    <x v="27"/>
  </r>
  <r>
    <x v="6"/>
    <x v="33"/>
    <x v="31"/>
  </r>
  <r>
    <x v="0"/>
    <x v="33"/>
    <x v="31"/>
  </r>
  <r>
    <x v="0"/>
    <x v="33"/>
    <x v="31"/>
  </r>
  <r>
    <x v="0"/>
    <x v="33"/>
    <x v="31"/>
  </r>
  <r>
    <x v="0"/>
    <x v="33"/>
    <x v="31"/>
  </r>
  <r>
    <x v="0"/>
    <x v="33"/>
    <x v="31"/>
  </r>
  <r>
    <x v="120"/>
    <x v="33"/>
    <x v="31"/>
  </r>
  <r>
    <x v="0"/>
    <x v="33"/>
    <x v="37"/>
  </r>
  <r>
    <x v="0"/>
    <x v="33"/>
    <x v="37"/>
  </r>
  <r>
    <x v="0"/>
    <x v="33"/>
    <x v="37"/>
  </r>
  <r>
    <x v="7"/>
    <x v="33"/>
    <x v="29"/>
  </r>
  <r>
    <x v="22"/>
    <x v="33"/>
    <x v="29"/>
  </r>
  <r>
    <x v="39"/>
    <x v="33"/>
    <x v="29"/>
  </r>
  <r>
    <x v="18"/>
    <x v="33"/>
    <x v="29"/>
  </r>
  <r>
    <x v="0"/>
    <x v="33"/>
    <x v="29"/>
  </r>
  <r>
    <x v="0"/>
    <x v="33"/>
    <x v="29"/>
  </r>
  <r>
    <x v="59"/>
    <x v="33"/>
    <x v="29"/>
  </r>
  <r>
    <x v="185"/>
    <x v="33"/>
    <x v="29"/>
  </r>
  <r>
    <x v="0"/>
    <x v="33"/>
    <x v="29"/>
  </r>
  <r>
    <x v="22"/>
    <x v="33"/>
    <x v="29"/>
  </r>
  <r>
    <x v="20"/>
    <x v="33"/>
    <x v="29"/>
  </r>
  <r>
    <x v="71"/>
    <x v="33"/>
    <x v="29"/>
  </r>
  <r>
    <x v="277"/>
    <x v="33"/>
    <x v="29"/>
  </r>
  <r>
    <x v="164"/>
    <x v="33"/>
    <x v="29"/>
  </r>
  <r>
    <x v="8"/>
    <x v="33"/>
    <x v="29"/>
  </r>
  <r>
    <x v="0"/>
    <x v="33"/>
    <x v="41"/>
  </r>
  <r>
    <x v="0"/>
    <x v="33"/>
    <x v="32"/>
  </r>
  <r>
    <x v="107"/>
    <x v="33"/>
    <x v="32"/>
  </r>
  <r>
    <x v="302"/>
    <x v="33"/>
    <x v="34"/>
  </r>
  <r>
    <x v="232"/>
    <x v="33"/>
    <x v="34"/>
  </r>
  <r>
    <x v="306"/>
    <x v="33"/>
    <x v="34"/>
  </r>
  <r>
    <x v="0"/>
    <x v="33"/>
    <x v="38"/>
  </r>
  <r>
    <x v="0"/>
    <x v="33"/>
    <x v="21"/>
  </r>
  <r>
    <x v="0"/>
    <x v="33"/>
    <x v="22"/>
  </r>
  <r>
    <x v="0"/>
    <x v="33"/>
    <x v="23"/>
  </r>
  <r>
    <x v="0"/>
    <x v="33"/>
    <x v="28"/>
  </r>
  <r>
    <x v="0"/>
    <x v="33"/>
    <x v="28"/>
  </r>
  <r>
    <x v="0"/>
    <x v="33"/>
    <x v="24"/>
  </r>
  <r>
    <x v="51"/>
    <x v="33"/>
    <x v="32"/>
  </r>
  <r>
    <x v="64"/>
    <x v="33"/>
    <x v="34"/>
  </r>
  <r>
    <x v="0"/>
    <x v="33"/>
    <x v="41"/>
  </r>
  <r>
    <x v="6"/>
    <x v="33"/>
    <x v="31"/>
  </r>
  <r>
    <x v="0"/>
    <x v="33"/>
    <x v="36"/>
  </r>
  <r>
    <x v="0"/>
    <x v="33"/>
    <x v="42"/>
  </r>
  <r>
    <x v="0"/>
    <x v="33"/>
    <x v="43"/>
  </r>
  <r>
    <x v="0"/>
    <x v="33"/>
    <x v="44"/>
  </r>
  <r>
    <x v="512"/>
    <x v="33"/>
    <x v="0"/>
  </r>
  <r>
    <x v="0"/>
    <x v="33"/>
    <x v="1"/>
  </r>
  <r>
    <x v="0"/>
    <x v="33"/>
    <x v="2"/>
  </r>
  <r>
    <x v="0"/>
    <x v="33"/>
    <x v="3"/>
  </r>
  <r>
    <x v="0"/>
    <x v="33"/>
    <x v="4"/>
  </r>
  <r>
    <x v="0"/>
    <x v="33"/>
    <x v="5"/>
  </r>
  <r>
    <x v="0"/>
    <x v="33"/>
    <x v="6"/>
  </r>
  <r>
    <x v="0"/>
    <x v="33"/>
    <x v="7"/>
  </r>
  <r>
    <x v="0"/>
    <x v="33"/>
    <x v="8"/>
  </r>
  <r>
    <x v="0"/>
    <x v="33"/>
    <x v="9"/>
  </r>
  <r>
    <x v="0"/>
    <x v="33"/>
    <x v="10"/>
  </r>
  <r>
    <x v="0"/>
    <x v="33"/>
    <x v="11"/>
  </r>
  <r>
    <x v="0"/>
    <x v="33"/>
    <x v="12"/>
  </r>
  <r>
    <x v="0"/>
    <x v="33"/>
    <x v="39"/>
  </r>
  <r>
    <x v="0"/>
    <x v="33"/>
    <x v="39"/>
  </r>
  <r>
    <x v="12"/>
    <x v="33"/>
    <x v="13"/>
  </r>
  <r>
    <x v="0"/>
    <x v="33"/>
    <x v="38"/>
  </r>
  <r>
    <x v="0"/>
    <x v="33"/>
    <x v="26"/>
  </r>
  <r>
    <x v="0"/>
    <x v="33"/>
    <x v="26"/>
  </r>
  <r>
    <x v="19"/>
    <x v="33"/>
    <x v="14"/>
  </r>
  <r>
    <x v="0"/>
    <x v="33"/>
    <x v="25"/>
  </r>
  <r>
    <x v="0"/>
    <x v="33"/>
    <x v="25"/>
  </r>
  <r>
    <x v="0"/>
    <x v="33"/>
    <x v="15"/>
  </r>
  <r>
    <x v="10"/>
    <x v="33"/>
    <x v="36"/>
  </r>
  <r>
    <x v="0"/>
    <x v="33"/>
    <x v="40"/>
  </r>
  <r>
    <x v="0"/>
    <x v="33"/>
    <x v="40"/>
  </r>
  <r>
    <x v="0"/>
    <x v="33"/>
    <x v="16"/>
  </r>
  <r>
    <x v="0"/>
    <x v="33"/>
    <x v="17"/>
  </r>
  <r>
    <x v="0"/>
    <x v="33"/>
    <x v="33"/>
  </r>
  <r>
    <x v="0"/>
    <x v="33"/>
    <x v="33"/>
  </r>
  <r>
    <x v="0"/>
    <x v="33"/>
    <x v="18"/>
  </r>
  <r>
    <x v="0"/>
    <x v="33"/>
    <x v="19"/>
  </r>
  <r>
    <x v="0"/>
    <x v="33"/>
    <x v="20"/>
  </r>
  <r>
    <x v="0"/>
    <x v="33"/>
    <x v="35"/>
  </r>
  <r>
    <x v="0"/>
    <x v="33"/>
    <x v="35"/>
  </r>
  <r>
    <x v="0"/>
    <x v="33"/>
    <x v="35"/>
  </r>
  <r>
    <x v="0"/>
    <x v="33"/>
    <x v="35"/>
  </r>
  <r>
    <x v="0"/>
    <x v="33"/>
    <x v="35"/>
  </r>
  <r>
    <x v="0"/>
    <x v="33"/>
    <x v="30"/>
  </r>
  <r>
    <x v="0"/>
    <x v="33"/>
    <x v="30"/>
  </r>
  <r>
    <x v="0"/>
    <x v="33"/>
    <x v="27"/>
  </r>
  <r>
    <x v="0"/>
    <x v="33"/>
    <x v="27"/>
  </r>
  <r>
    <x v="38"/>
    <x v="33"/>
    <x v="31"/>
  </r>
  <r>
    <x v="11"/>
    <x v="33"/>
    <x v="31"/>
  </r>
  <r>
    <x v="17"/>
    <x v="33"/>
    <x v="31"/>
  </r>
  <r>
    <x v="0"/>
    <x v="33"/>
    <x v="31"/>
  </r>
  <r>
    <x v="6"/>
    <x v="33"/>
    <x v="31"/>
  </r>
  <r>
    <x v="0"/>
    <x v="33"/>
    <x v="31"/>
  </r>
  <r>
    <x v="187"/>
    <x v="33"/>
    <x v="31"/>
  </r>
  <r>
    <x v="0"/>
    <x v="33"/>
    <x v="37"/>
  </r>
  <r>
    <x v="0"/>
    <x v="33"/>
    <x v="37"/>
  </r>
  <r>
    <x v="0"/>
    <x v="33"/>
    <x v="37"/>
  </r>
  <r>
    <x v="7"/>
    <x v="33"/>
    <x v="29"/>
  </r>
  <r>
    <x v="0"/>
    <x v="33"/>
    <x v="29"/>
  </r>
  <r>
    <x v="51"/>
    <x v="33"/>
    <x v="29"/>
  </r>
  <r>
    <x v="5"/>
    <x v="33"/>
    <x v="29"/>
  </r>
  <r>
    <x v="11"/>
    <x v="33"/>
    <x v="29"/>
  </r>
  <r>
    <x v="0"/>
    <x v="33"/>
    <x v="29"/>
  </r>
  <r>
    <x v="42"/>
    <x v="33"/>
    <x v="29"/>
  </r>
  <r>
    <x v="190"/>
    <x v="33"/>
    <x v="29"/>
  </r>
  <r>
    <x v="7"/>
    <x v="33"/>
    <x v="29"/>
  </r>
  <r>
    <x v="0"/>
    <x v="33"/>
    <x v="29"/>
  </r>
  <r>
    <x v="0"/>
    <x v="33"/>
    <x v="29"/>
  </r>
  <r>
    <x v="11"/>
    <x v="33"/>
    <x v="29"/>
  </r>
  <r>
    <x v="295"/>
    <x v="33"/>
    <x v="29"/>
  </r>
  <r>
    <x v="181"/>
    <x v="33"/>
    <x v="29"/>
  </r>
  <r>
    <x v="24"/>
    <x v="33"/>
    <x v="29"/>
  </r>
  <r>
    <x v="0"/>
    <x v="33"/>
    <x v="41"/>
  </r>
  <r>
    <x v="0"/>
    <x v="33"/>
    <x v="32"/>
  </r>
  <r>
    <x v="126"/>
    <x v="33"/>
    <x v="32"/>
  </r>
  <r>
    <x v="193"/>
    <x v="33"/>
    <x v="34"/>
  </r>
  <r>
    <x v="329"/>
    <x v="33"/>
    <x v="34"/>
  </r>
  <r>
    <x v="355"/>
    <x v="33"/>
    <x v="34"/>
  </r>
  <r>
    <x v="0"/>
    <x v="33"/>
    <x v="38"/>
  </r>
  <r>
    <x v="0"/>
    <x v="33"/>
    <x v="21"/>
  </r>
  <r>
    <x v="0"/>
    <x v="33"/>
    <x v="22"/>
  </r>
  <r>
    <x v="0"/>
    <x v="33"/>
    <x v="23"/>
  </r>
  <r>
    <x v="0"/>
    <x v="33"/>
    <x v="28"/>
  </r>
  <r>
    <x v="0"/>
    <x v="33"/>
    <x v="28"/>
  </r>
  <r>
    <x v="0"/>
    <x v="33"/>
    <x v="24"/>
  </r>
  <r>
    <x v="76"/>
    <x v="33"/>
    <x v="32"/>
  </r>
  <r>
    <x v="18"/>
    <x v="33"/>
    <x v="34"/>
  </r>
  <r>
    <x v="0"/>
    <x v="33"/>
    <x v="41"/>
  </r>
  <r>
    <x v="35"/>
    <x v="33"/>
    <x v="31"/>
  </r>
  <r>
    <x v="0"/>
    <x v="33"/>
    <x v="36"/>
  </r>
  <r>
    <x v="0"/>
    <x v="33"/>
    <x v="42"/>
  </r>
  <r>
    <x v="0"/>
    <x v="33"/>
    <x v="43"/>
  </r>
  <r>
    <x v="0"/>
    <x v="33"/>
    <x v="44"/>
  </r>
  <r>
    <x v="588"/>
    <x v="33"/>
    <x v="0"/>
  </r>
  <r>
    <x v="15"/>
    <x v="33"/>
    <x v="1"/>
  </r>
  <r>
    <x v="34"/>
    <x v="33"/>
    <x v="2"/>
  </r>
  <r>
    <x v="26"/>
    <x v="33"/>
    <x v="3"/>
  </r>
  <r>
    <x v="16"/>
    <x v="33"/>
    <x v="4"/>
  </r>
  <r>
    <x v="0"/>
    <x v="33"/>
    <x v="5"/>
  </r>
  <r>
    <x v="0"/>
    <x v="33"/>
    <x v="6"/>
  </r>
  <r>
    <x v="0"/>
    <x v="33"/>
    <x v="7"/>
  </r>
  <r>
    <x v="0"/>
    <x v="33"/>
    <x v="8"/>
  </r>
  <r>
    <x v="0"/>
    <x v="33"/>
    <x v="9"/>
  </r>
  <r>
    <x v="8"/>
    <x v="33"/>
    <x v="10"/>
  </r>
  <r>
    <x v="6"/>
    <x v="33"/>
    <x v="11"/>
  </r>
  <r>
    <x v="20"/>
    <x v="33"/>
    <x v="12"/>
  </r>
  <r>
    <x v="0"/>
    <x v="33"/>
    <x v="39"/>
  </r>
  <r>
    <x v="9"/>
    <x v="33"/>
    <x v="39"/>
  </r>
  <r>
    <x v="0"/>
    <x v="33"/>
    <x v="13"/>
  </r>
  <r>
    <x v="0"/>
    <x v="33"/>
    <x v="38"/>
  </r>
  <r>
    <x v="0"/>
    <x v="33"/>
    <x v="26"/>
  </r>
  <r>
    <x v="4"/>
    <x v="33"/>
    <x v="26"/>
  </r>
  <r>
    <x v="2"/>
    <x v="33"/>
    <x v="14"/>
  </r>
  <r>
    <x v="0"/>
    <x v="33"/>
    <x v="25"/>
  </r>
  <r>
    <x v="6"/>
    <x v="33"/>
    <x v="25"/>
  </r>
  <r>
    <x v="0"/>
    <x v="33"/>
    <x v="15"/>
  </r>
  <r>
    <x v="0"/>
    <x v="33"/>
    <x v="36"/>
  </r>
  <r>
    <x v="5"/>
    <x v="33"/>
    <x v="40"/>
  </r>
  <r>
    <x v="0"/>
    <x v="33"/>
    <x v="40"/>
  </r>
  <r>
    <x v="0"/>
    <x v="33"/>
    <x v="16"/>
  </r>
  <r>
    <x v="0"/>
    <x v="33"/>
    <x v="17"/>
  </r>
  <r>
    <x v="0"/>
    <x v="33"/>
    <x v="33"/>
  </r>
  <r>
    <x v="0"/>
    <x v="33"/>
    <x v="33"/>
  </r>
  <r>
    <x v="9"/>
    <x v="33"/>
    <x v="18"/>
  </r>
  <r>
    <x v="0"/>
    <x v="33"/>
    <x v="19"/>
  </r>
  <r>
    <x v="17"/>
    <x v="33"/>
    <x v="20"/>
  </r>
  <r>
    <x v="21"/>
    <x v="33"/>
    <x v="35"/>
  </r>
  <r>
    <x v="0"/>
    <x v="33"/>
    <x v="35"/>
  </r>
  <r>
    <x v="0"/>
    <x v="33"/>
    <x v="35"/>
  </r>
  <r>
    <x v="27"/>
    <x v="33"/>
    <x v="35"/>
  </r>
  <r>
    <x v="7"/>
    <x v="33"/>
    <x v="35"/>
  </r>
  <r>
    <x v="0"/>
    <x v="33"/>
    <x v="30"/>
  </r>
  <r>
    <x v="16"/>
    <x v="33"/>
    <x v="30"/>
  </r>
  <r>
    <x v="0"/>
    <x v="33"/>
    <x v="27"/>
  </r>
  <r>
    <x v="0"/>
    <x v="33"/>
    <x v="27"/>
  </r>
  <r>
    <x v="112"/>
    <x v="33"/>
    <x v="31"/>
  </r>
  <r>
    <x v="27"/>
    <x v="33"/>
    <x v="31"/>
  </r>
  <r>
    <x v="31"/>
    <x v="33"/>
    <x v="31"/>
  </r>
  <r>
    <x v="0"/>
    <x v="33"/>
    <x v="31"/>
  </r>
  <r>
    <x v="58"/>
    <x v="33"/>
    <x v="31"/>
  </r>
  <r>
    <x v="19"/>
    <x v="33"/>
    <x v="31"/>
  </r>
  <r>
    <x v="339"/>
    <x v="33"/>
    <x v="31"/>
  </r>
  <r>
    <x v="5"/>
    <x v="33"/>
    <x v="37"/>
  </r>
  <r>
    <x v="0"/>
    <x v="33"/>
    <x v="37"/>
  </r>
  <r>
    <x v="0"/>
    <x v="33"/>
    <x v="37"/>
  </r>
  <r>
    <x v="60"/>
    <x v="33"/>
    <x v="29"/>
  </r>
  <r>
    <x v="120"/>
    <x v="33"/>
    <x v="29"/>
  </r>
  <r>
    <x v="132"/>
    <x v="33"/>
    <x v="29"/>
  </r>
  <r>
    <x v="72"/>
    <x v="33"/>
    <x v="29"/>
  </r>
  <r>
    <x v="27"/>
    <x v="33"/>
    <x v="29"/>
  </r>
  <r>
    <x v="48"/>
    <x v="33"/>
    <x v="29"/>
  </r>
  <r>
    <x v="138"/>
    <x v="33"/>
    <x v="29"/>
  </r>
  <r>
    <x v="299"/>
    <x v="33"/>
    <x v="29"/>
  </r>
  <r>
    <x v="46"/>
    <x v="33"/>
    <x v="29"/>
  </r>
  <r>
    <x v="0"/>
    <x v="33"/>
    <x v="29"/>
  </r>
  <r>
    <x v="30"/>
    <x v="33"/>
    <x v="29"/>
  </r>
  <r>
    <x v="118"/>
    <x v="33"/>
    <x v="29"/>
  </r>
  <r>
    <x v="443"/>
    <x v="33"/>
    <x v="29"/>
  </r>
  <r>
    <x v="365"/>
    <x v="33"/>
    <x v="29"/>
  </r>
  <r>
    <x v="153"/>
    <x v="33"/>
    <x v="29"/>
  </r>
  <r>
    <x v="17"/>
    <x v="33"/>
    <x v="41"/>
  </r>
  <r>
    <x v="78"/>
    <x v="33"/>
    <x v="32"/>
  </r>
  <r>
    <x v="340"/>
    <x v="33"/>
    <x v="32"/>
  </r>
  <r>
    <x v="316"/>
    <x v="33"/>
    <x v="34"/>
  </r>
  <r>
    <x v="384"/>
    <x v="33"/>
    <x v="34"/>
  </r>
  <r>
    <x v="568"/>
    <x v="33"/>
    <x v="34"/>
  </r>
  <r>
    <x v="0"/>
    <x v="33"/>
    <x v="38"/>
  </r>
  <r>
    <x v="0"/>
    <x v="33"/>
    <x v="21"/>
  </r>
  <r>
    <x v="0"/>
    <x v="33"/>
    <x v="22"/>
  </r>
  <r>
    <x v="24"/>
    <x v="33"/>
    <x v="23"/>
  </r>
  <r>
    <x v="19"/>
    <x v="33"/>
    <x v="28"/>
  </r>
  <r>
    <x v="102"/>
    <x v="33"/>
    <x v="28"/>
  </r>
  <r>
    <x v="0"/>
    <x v="33"/>
    <x v="24"/>
  </r>
  <r>
    <x v="317"/>
    <x v="33"/>
    <x v="32"/>
  </r>
  <r>
    <x v="444"/>
    <x v="33"/>
    <x v="34"/>
  </r>
  <r>
    <x v="8"/>
    <x v="33"/>
    <x v="41"/>
  </r>
  <r>
    <x v="215"/>
    <x v="33"/>
    <x v="31"/>
  </r>
  <r>
    <x v="0"/>
    <x v="33"/>
    <x v="36"/>
  </r>
  <r>
    <x v="0"/>
    <x v="33"/>
    <x v="42"/>
  </r>
  <r>
    <x v="0"/>
    <x v="33"/>
    <x v="43"/>
  </r>
  <r>
    <x v="0"/>
    <x v="33"/>
    <x v="44"/>
  </r>
  <r>
    <x v="476"/>
    <x v="37"/>
    <x v="0"/>
  </r>
  <r>
    <x v="3"/>
    <x v="37"/>
    <x v="1"/>
  </r>
  <r>
    <x v="0"/>
    <x v="37"/>
    <x v="2"/>
  </r>
  <r>
    <x v="0"/>
    <x v="37"/>
    <x v="3"/>
  </r>
  <r>
    <x v="0"/>
    <x v="37"/>
    <x v="4"/>
  </r>
  <r>
    <x v="0"/>
    <x v="37"/>
    <x v="5"/>
  </r>
  <r>
    <x v="0"/>
    <x v="37"/>
    <x v="6"/>
  </r>
  <r>
    <x v="0"/>
    <x v="37"/>
    <x v="7"/>
  </r>
  <r>
    <x v="0"/>
    <x v="37"/>
    <x v="8"/>
  </r>
  <r>
    <x v="112"/>
    <x v="37"/>
    <x v="9"/>
  </r>
  <r>
    <x v="0"/>
    <x v="37"/>
    <x v="10"/>
  </r>
  <r>
    <x v="0"/>
    <x v="37"/>
    <x v="11"/>
  </r>
  <r>
    <x v="7"/>
    <x v="37"/>
    <x v="12"/>
  </r>
  <r>
    <x v="0"/>
    <x v="37"/>
    <x v="39"/>
  </r>
  <r>
    <x v="46"/>
    <x v="37"/>
    <x v="39"/>
  </r>
  <r>
    <x v="45"/>
    <x v="37"/>
    <x v="13"/>
  </r>
  <r>
    <x v="244"/>
    <x v="37"/>
    <x v="38"/>
  </r>
  <r>
    <x v="155"/>
    <x v="37"/>
    <x v="26"/>
  </r>
  <r>
    <x v="261"/>
    <x v="37"/>
    <x v="26"/>
  </r>
  <r>
    <x v="229"/>
    <x v="37"/>
    <x v="14"/>
  </r>
  <r>
    <x v="99"/>
    <x v="37"/>
    <x v="25"/>
  </r>
  <r>
    <x v="211"/>
    <x v="37"/>
    <x v="25"/>
  </r>
  <r>
    <x v="79"/>
    <x v="37"/>
    <x v="15"/>
  </r>
  <r>
    <x v="0"/>
    <x v="37"/>
    <x v="36"/>
  </r>
  <r>
    <x v="0"/>
    <x v="37"/>
    <x v="40"/>
  </r>
  <r>
    <x v="0"/>
    <x v="37"/>
    <x v="40"/>
  </r>
  <r>
    <x v="0"/>
    <x v="37"/>
    <x v="16"/>
  </r>
  <r>
    <x v="0"/>
    <x v="37"/>
    <x v="17"/>
  </r>
  <r>
    <x v="4"/>
    <x v="37"/>
    <x v="33"/>
  </r>
  <r>
    <x v="8"/>
    <x v="37"/>
    <x v="33"/>
  </r>
  <r>
    <x v="0"/>
    <x v="37"/>
    <x v="18"/>
  </r>
  <r>
    <x v="0"/>
    <x v="37"/>
    <x v="19"/>
  </r>
  <r>
    <x v="0"/>
    <x v="37"/>
    <x v="20"/>
  </r>
  <r>
    <x v="0"/>
    <x v="37"/>
    <x v="35"/>
  </r>
  <r>
    <x v="0"/>
    <x v="37"/>
    <x v="35"/>
  </r>
  <r>
    <x v="0"/>
    <x v="37"/>
    <x v="35"/>
  </r>
  <r>
    <x v="0"/>
    <x v="37"/>
    <x v="35"/>
  </r>
  <r>
    <x v="0"/>
    <x v="37"/>
    <x v="35"/>
  </r>
  <r>
    <x v="0"/>
    <x v="37"/>
    <x v="30"/>
  </r>
  <r>
    <x v="0"/>
    <x v="37"/>
    <x v="30"/>
  </r>
  <r>
    <x v="0"/>
    <x v="37"/>
    <x v="27"/>
  </r>
  <r>
    <x v="0"/>
    <x v="37"/>
    <x v="27"/>
  </r>
  <r>
    <x v="0"/>
    <x v="37"/>
    <x v="31"/>
  </r>
  <r>
    <x v="0"/>
    <x v="37"/>
    <x v="31"/>
  </r>
  <r>
    <x v="0"/>
    <x v="37"/>
    <x v="31"/>
  </r>
  <r>
    <x v="0"/>
    <x v="37"/>
    <x v="31"/>
  </r>
  <r>
    <x v="0"/>
    <x v="37"/>
    <x v="31"/>
  </r>
  <r>
    <x v="0"/>
    <x v="37"/>
    <x v="31"/>
  </r>
  <r>
    <x v="13"/>
    <x v="37"/>
    <x v="31"/>
  </r>
  <r>
    <x v="9"/>
    <x v="37"/>
    <x v="37"/>
  </r>
  <r>
    <x v="7"/>
    <x v="37"/>
    <x v="37"/>
  </r>
  <r>
    <x v="22"/>
    <x v="37"/>
    <x v="37"/>
  </r>
  <r>
    <x v="0"/>
    <x v="37"/>
    <x v="29"/>
  </r>
  <r>
    <x v="0"/>
    <x v="37"/>
    <x v="29"/>
  </r>
  <r>
    <x v="0"/>
    <x v="37"/>
    <x v="29"/>
  </r>
  <r>
    <x v="6"/>
    <x v="37"/>
    <x v="29"/>
  </r>
  <r>
    <x v="0"/>
    <x v="37"/>
    <x v="29"/>
  </r>
  <r>
    <x v="0"/>
    <x v="37"/>
    <x v="29"/>
  </r>
  <r>
    <x v="0"/>
    <x v="37"/>
    <x v="29"/>
  </r>
  <r>
    <x v="0"/>
    <x v="37"/>
    <x v="29"/>
  </r>
  <r>
    <x v="0"/>
    <x v="37"/>
    <x v="29"/>
  </r>
  <r>
    <x v="0"/>
    <x v="37"/>
    <x v="29"/>
  </r>
  <r>
    <x v="0"/>
    <x v="37"/>
    <x v="29"/>
  </r>
  <r>
    <x v="0"/>
    <x v="37"/>
    <x v="29"/>
  </r>
  <r>
    <x v="0"/>
    <x v="37"/>
    <x v="29"/>
  </r>
  <r>
    <x v="0"/>
    <x v="37"/>
    <x v="29"/>
  </r>
  <r>
    <x v="0"/>
    <x v="37"/>
    <x v="29"/>
  </r>
  <r>
    <x v="0"/>
    <x v="37"/>
    <x v="41"/>
  </r>
  <r>
    <x v="0"/>
    <x v="37"/>
    <x v="32"/>
  </r>
  <r>
    <x v="0"/>
    <x v="37"/>
    <x v="32"/>
  </r>
  <r>
    <x v="0"/>
    <x v="37"/>
    <x v="34"/>
  </r>
  <r>
    <x v="0"/>
    <x v="37"/>
    <x v="34"/>
  </r>
  <r>
    <x v="0"/>
    <x v="37"/>
    <x v="34"/>
  </r>
  <r>
    <x v="390"/>
    <x v="37"/>
    <x v="38"/>
  </r>
  <r>
    <x v="0"/>
    <x v="37"/>
    <x v="21"/>
  </r>
  <r>
    <x v="0"/>
    <x v="37"/>
    <x v="22"/>
  </r>
  <r>
    <x v="0"/>
    <x v="37"/>
    <x v="23"/>
  </r>
  <r>
    <x v="0"/>
    <x v="37"/>
    <x v="28"/>
  </r>
  <r>
    <x v="0"/>
    <x v="37"/>
    <x v="28"/>
  </r>
  <r>
    <x v="0"/>
    <x v="37"/>
    <x v="24"/>
  </r>
  <r>
    <x v="0"/>
    <x v="37"/>
    <x v="32"/>
  </r>
  <r>
    <x v="0"/>
    <x v="37"/>
    <x v="34"/>
  </r>
  <r>
    <x v="0"/>
    <x v="37"/>
    <x v="41"/>
  </r>
  <r>
    <x v="0"/>
    <x v="37"/>
    <x v="31"/>
  </r>
  <r>
    <x v="0"/>
    <x v="37"/>
    <x v="36"/>
  </r>
  <r>
    <x v="0"/>
    <x v="37"/>
    <x v="42"/>
  </r>
  <r>
    <x v="0"/>
    <x v="37"/>
    <x v="43"/>
  </r>
  <r>
    <x v="23"/>
    <x v="37"/>
    <x v="44"/>
  </r>
  <r>
    <x v="559"/>
    <x v="24"/>
    <x v="0"/>
  </r>
  <r>
    <x v="0"/>
    <x v="24"/>
    <x v="1"/>
  </r>
  <r>
    <x v="6"/>
    <x v="24"/>
    <x v="2"/>
  </r>
  <r>
    <x v="0"/>
    <x v="24"/>
    <x v="3"/>
  </r>
  <r>
    <x v="0"/>
    <x v="24"/>
    <x v="4"/>
  </r>
  <r>
    <x v="0"/>
    <x v="24"/>
    <x v="5"/>
  </r>
  <r>
    <x v="5"/>
    <x v="24"/>
    <x v="6"/>
  </r>
  <r>
    <x v="0"/>
    <x v="24"/>
    <x v="7"/>
  </r>
  <r>
    <x v="0"/>
    <x v="24"/>
    <x v="8"/>
  </r>
  <r>
    <x v="0"/>
    <x v="24"/>
    <x v="9"/>
  </r>
  <r>
    <x v="0"/>
    <x v="24"/>
    <x v="10"/>
  </r>
  <r>
    <x v="9"/>
    <x v="24"/>
    <x v="11"/>
  </r>
  <r>
    <x v="6"/>
    <x v="24"/>
    <x v="12"/>
  </r>
  <r>
    <x v="9"/>
    <x v="24"/>
    <x v="39"/>
  </r>
  <r>
    <x v="13"/>
    <x v="24"/>
    <x v="39"/>
  </r>
  <r>
    <x v="73"/>
    <x v="24"/>
    <x v="13"/>
  </r>
  <r>
    <x v="16"/>
    <x v="24"/>
    <x v="38"/>
  </r>
  <r>
    <x v="121"/>
    <x v="24"/>
    <x v="26"/>
  </r>
  <r>
    <x v="280"/>
    <x v="24"/>
    <x v="26"/>
  </r>
  <r>
    <x v="413"/>
    <x v="24"/>
    <x v="14"/>
  </r>
  <r>
    <x v="375"/>
    <x v="24"/>
    <x v="25"/>
  </r>
  <r>
    <x v="530"/>
    <x v="24"/>
    <x v="25"/>
  </r>
  <r>
    <x v="224"/>
    <x v="24"/>
    <x v="15"/>
  </r>
  <r>
    <x v="18"/>
    <x v="24"/>
    <x v="36"/>
  </r>
  <r>
    <x v="6"/>
    <x v="24"/>
    <x v="40"/>
  </r>
  <r>
    <x v="0"/>
    <x v="24"/>
    <x v="40"/>
  </r>
  <r>
    <x v="0"/>
    <x v="24"/>
    <x v="16"/>
  </r>
  <r>
    <x v="0"/>
    <x v="24"/>
    <x v="17"/>
  </r>
  <r>
    <x v="13"/>
    <x v="24"/>
    <x v="33"/>
  </r>
  <r>
    <x v="10"/>
    <x v="24"/>
    <x v="33"/>
  </r>
  <r>
    <x v="0"/>
    <x v="24"/>
    <x v="18"/>
  </r>
  <r>
    <x v="0"/>
    <x v="24"/>
    <x v="19"/>
  </r>
  <r>
    <x v="0"/>
    <x v="24"/>
    <x v="20"/>
  </r>
  <r>
    <x v="0"/>
    <x v="24"/>
    <x v="35"/>
  </r>
  <r>
    <x v="0"/>
    <x v="24"/>
    <x v="35"/>
  </r>
  <r>
    <x v="0"/>
    <x v="24"/>
    <x v="35"/>
  </r>
  <r>
    <x v="0"/>
    <x v="24"/>
    <x v="35"/>
  </r>
  <r>
    <x v="0"/>
    <x v="24"/>
    <x v="35"/>
  </r>
  <r>
    <x v="0"/>
    <x v="24"/>
    <x v="30"/>
  </r>
  <r>
    <x v="0"/>
    <x v="24"/>
    <x v="30"/>
  </r>
  <r>
    <x v="0"/>
    <x v="24"/>
    <x v="27"/>
  </r>
  <r>
    <x v="0"/>
    <x v="24"/>
    <x v="27"/>
  </r>
  <r>
    <x v="0"/>
    <x v="24"/>
    <x v="31"/>
  </r>
  <r>
    <x v="0"/>
    <x v="24"/>
    <x v="31"/>
  </r>
  <r>
    <x v="0"/>
    <x v="24"/>
    <x v="31"/>
  </r>
  <r>
    <x v="0"/>
    <x v="24"/>
    <x v="31"/>
  </r>
  <r>
    <x v="0"/>
    <x v="24"/>
    <x v="31"/>
  </r>
  <r>
    <x v="0"/>
    <x v="24"/>
    <x v="31"/>
  </r>
  <r>
    <x v="0"/>
    <x v="24"/>
    <x v="31"/>
  </r>
  <r>
    <x v="65"/>
    <x v="24"/>
    <x v="37"/>
  </r>
  <r>
    <x v="25"/>
    <x v="24"/>
    <x v="37"/>
  </r>
  <r>
    <x v="64"/>
    <x v="24"/>
    <x v="37"/>
  </r>
  <r>
    <x v="0"/>
    <x v="24"/>
    <x v="29"/>
  </r>
  <r>
    <x v="0"/>
    <x v="24"/>
    <x v="29"/>
  </r>
  <r>
    <x v="0"/>
    <x v="24"/>
    <x v="29"/>
  </r>
  <r>
    <x v="6"/>
    <x v="24"/>
    <x v="29"/>
  </r>
  <r>
    <x v="0"/>
    <x v="24"/>
    <x v="29"/>
  </r>
  <r>
    <x v="0"/>
    <x v="24"/>
    <x v="29"/>
  </r>
  <r>
    <x v="0"/>
    <x v="24"/>
    <x v="29"/>
  </r>
  <r>
    <x v="0"/>
    <x v="24"/>
    <x v="29"/>
  </r>
  <r>
    <x v="0"/>
    <x v="24"/>
    <x v="29"/>
  </r>
  <r>
    <x v="0"/>
    <x v="24"/>
    <x v="29"/>
  </r>
  <r>
    <x v="0"/>
    <x v="24"/>
    <x v="29"/>
  </r>
  <r>
    <x v="0"/>
    <x v="24"/>
    <x v="29"/>
  </r>
  <r>
    <x v="0"/>
    <x v="24"/>
    <x v="29"/>
  </r>
  <r>
    <x v="18"/>
    <x v="24"/>
    <x v="29"/>
  </r>
  <r>
    <x v="0"/>
    <x v="24"/>
    <x v="29"/>
  </r>
  <r>
    <x v="0"/>
    <x v="24"/>
    <x v="41"/>
  </r>
  <r>
    <x v="0"/>
    <x v="24"/>
    <x v="32"/>
  </r>
  <r>
    <x v="0"/>
    <x v="24"/>
    <x v="32"/>
  </r>
  <r>
    <x v="0"/>
    <x v="24"/>
    <x v="34"/>
  </r>
  <r>
    <x v="0"/>
    <x v="24"/>
    <x v="34"/>
  </r>
  <r>
    <x v="0"/>
    <x v="24"/>
    <x v="34"/>
  </r>
  <r>
    <x v="26"/>
    <x v="24"/>
    <x v="38"/>
  </r>
  <r>
    <x v="0"/>
    <x v="24"/>
    <x v="21"/>
  </r>
  <r>
    <x v="0"/>
    <x v="24"/>
    <x v="22"/>
  </r>
  <r>
    <x v="0"/>
    <x v="24"/>
    <x v="23"/>
  </r>
  <r>
    <x v="0"/>
    <x v="24"/>
    <x v="28"/>
  </r>
  <r>
    <x v="0"/>
    <x v="24"/>
    <x v="28"/>
  </r>
  <r>
    <x v="0"/>
    <x v="24"/>
    <x v="24"/>
  </r>
  <r>
    <x v="0"/>
    <x v="24"/>
    <x v="32"/>
  </r>
  <r>
    <x v="0"/>
    <x v="24"/>
    <x v="34"/>
  </r>
  <r>
    <x v="0"/>
    <x v="24"/>
    <x v="41"/>
  </r>
  <r>
    <x v="0"/>
    <x v="24"/>
    <x v="31"/>
  </r>
  <r>
    <x v="10"/>
    <x v="24"/>
    <x v="36"/>
  </r>
  <r>
    <x v="0"/>
    <x v="24"/>
    <x v="42"/>
  </r>
  <r>
    <x v="0"/>
    <x v="24"/>
    <x v="43"/>
  </r>
  <r>
    <x v="0"/>
    <x v="24"/>
    <x v="44"/>
  </r>
  <r>
    <x v="558"/>
    <x v="20"/>
    <x v="0"/>
  </r>
  <r>
    <x v="0"/>
    <x v="20"/>
    <x v="1"/>
  </r>
  <r>
    <x v="8"/>
    <x v="20"/>
    <x v="2"/>
  </r>
  <r>
    <x v="0"/>
    <x v="20"/>
    <x v="3"/>
  </r>
  <r>
    <x v="0"/>
    <x v="20"/>
    <x v="4"/>
  </r>
  <r>
    <x v="0"/>
    <x v="20"/>
    <x v="5"/>
  </r>
  <r>
    <x v="0"/>
    <x v="20"/>
    <x v="6"/>
  </r>
  <r>
    <x v="0"/>
    <x v="20"/>
    <x v="7"/>
  </r>
  <r>
    <x v="0"/>
    <x v="20"/>
    <x v="8"/>
  </r>
  <r>
    <x v="0"/>
    <x v="20"/>
    <x v="9"/>
  </r>
  <r>
    <x v="0"/>
    <x v="20"/>
    <x v="10"/>
  </r>
  <r>
    <x v="0"/>
    <x v="20"/>
    <x v="11"/>
  </r>
  <r>
    <x v="0"/>
    <x v="20"/>
    <x v="12"/>
  </r>
  <r>
    <x v="0"/>
    <x v="20"/>
    <x v="39"/>
  </r>
  <r>
    <x v="0"/>
    <x v="20"/>
    <x v="39"/>
  </r>
  <r>
    <x v="0"/>
    <x v="20"/>
    <x v="13"/>
  </r>
  <r>
    <x v="0"/>
    <x v="20"/>
    <x v="38"/>
  </r>
  <r>
    <x v="0"/>
    <x v="20"/>
    <x v="26"/>
  </r>
  <r>
    <x v="7"/>
    <x v="20"/>
    <x v="26"/>
  </r>
  <r>
    <x v="7"/>
    <x v="20"/>
    <x v="14"/>
  </r>
  <r>
    <x v="0"/>
    <x v="20"/>
    <x v="25"/>
  </r>
  <r>
    <x v="0"/>
    <x v="20"/>
    <x v="25"/>
  </r>
  <r>
    <x v="0"/>
    <x v="20"/>
    <x v="15"/>
  </r>
  <r>
    <x v="9"/>
    <x v="20"/>
    <x v="36"/>
  </r>
  <r>
    <x v="0"/>
    <x v="20"/>
    <x v="40"/>
  </r>
  <r>
    <x v="0"/>
    <x v="20"/>
    <x v="40"/>
  </r>
  <r>
    <x v="0"/>
    <x v="20"/>
    <x v="16"/>
  </r>
  <r>
    <x v="0"/>
    <x v="20"/>
    <x v="17"/>
  </r>
  <r>
    <x v="0"/>
    <x v="20"/>
    <x v="33"/>
  </r>
  <r>
    <x v="0"/>
    <x v="20"/>
    <x v="33"/>
  </r>
  <r>
    <x v="0"/>
    <x v="20"/>
    <x v="18"/>
  </r>
  <r>
    <x v="148"/>
    <x v="20"/>
    <x v="19"/>
  </r>
  <r>
    <x v="0"/>
    <x v="20"/>
    <x v="20"/>
  </r>
  <r>
    <x v="0"/>
    <x v="20"/>
    <x v="35"/>
  </r>
  <r>
    <x v="0"/>
    <x v="20"/>
    <x v="35"/>
  </r>
  <r>
    <x v="0"/>
    <x v="20"/>
    <x v="35"/>
  </r>
  <r>
    <x v="0"/>
    <x v="20"/>
    <x v="35"/>
  </r>
  <r>
    <x v="0"/>
    <x v="20"/>
    <x v="35"/>
  </r>
  <r>
    <x v="5"/>
    <x v="20"/>
    <x v="30"/>
  </r>
  <r>
    <x v="0"/>
    <x v="20"/>
    <x v="30"/>
  </r>
  <r>
    <x v="97"/>
    <x v="20"/>
    <x v="27"/>
  </r>
  <r>
    <x v="225"/>
    <x v="20"/>
    <x v="27"/>
  </r>
  <r>
    <x v="0"/>
    <x v="20"/>
    <x v="31"/>
  </r>
  <r>
    <x v="10"/>
    <x v="20"/>
    <x v="31"/>
  </r>
  <r>
    <x v="0"/>
    <x v="20"/>
    <x v="31"/>
  </r>
  <r>
    <x v="0"/>
    <x v="20"/>
    <x v="31"/>
  </r>
  <r>
    <x v="0"/>
    <x v="20"/>
    <x v="31"/>
  </r>
  <r>
    <x v="0"/>
    <x v="20"/>
    <x v="31"/>
  </r>
  <r>
    <x v="0"/>
    <x v="20"/>
    <x v="31"/>
  </r>
  <r>
    <x v="7"/>
    <x v="20"/>
    <x v="37"/>
  </r>
  <r>
    <x v="0"/>
    <x v="20"/>
    <x v="37"/>
  </r>
  <r>
    <x v="0"/>
    <x v="20"/>
    <x v="37"/>
  </r>
  <r>
    <x v="0"/>
    <x v="20"/>
    <x v="29"/>
  </r>
  <r>
    <x v="0"/>
    <x v="20"/>
    <x v="29"/>
  </r>
  <r>
    <x v="0"/>
    <x v="20"/>
    <x v="29"/>
  </r>
  <r>
    <x v="0"/>
    <x v="20"/>
    <x v="29"/>
  </r>
  <r>
    <x v="0"/>
    <x v="20"/>
    <x v="29"/>
  </r>
  <r>
    <x v="0"/>
    <x v="20"/>
    <x v="29"/>
  </r>
  <r>
    <x v="0"/>
    <x v="20"/>
    <x v="29"/>
  </r>
  <r>
    <x v="0"/>
    <x v="20"/>
    <x v="29"/>
  </r>
  <r>
    <x v="0"/>
    <x v="20"/>
    <x v="29"/>
  </r>
  <r>
    <x v="0"/>
    <x v="20"/>
    <x v="29"/>
  </r>
  <r>
    <x v="0"/>
    <x v="20"/>
    <x v="29"/>
  </r>
  <r>
    <x v="0"/>
    <x v="20"/>
    <x v="29"/>
  </r>
  <r>
    <x v="18"/>
    <x v="20"/>
    <x v="29"/>
  </r>
  <r>
    <x v="20"/>
    <x v="20"/>
    <x v="29"/>
  </r>
  <r>
    <x v="0"/>
    <x v="20"/>
    <x v="29"/>
  </r>
  <r>
    <x v="0"/>
    <x v="20"/>
    <x v="41"/>
  </r>
  <r>
    <x v="0"/>
    <x v="20"/>
    <x v="32"/>
  </r>
  <r>
    <x v="10"/>
    <x v="20"/>
    <x v="32"/>
  </r>
  <r>
    <x v="0"/>
    <x v="20"/>
    <x v="34"/>
  </r>
  <r>
    <x v="0"/>
    <x v="20"/>
    <x v="34"/>
  </r>
  <r>
    <x v="0"/>
    <x v="20"/>
    <x v="34"/>
  </r>
  <r>
    <x v="0"/>
    <x v="20"/>
    <x v="38"/>
  </r>
  <r>
    <x v="534"/>
    <x v="20"/>
    <x v="21"/>
  </r>
  <r>
    <x v="0"/>
    <x v="20"/>
    <x v="22"/>
  </r>
  <r>
    <x v="0"/>
    <x v="20"/>
    <x v="23"/>
  </r>
  <r>
    <x v="7"/>
    <x v="20"/>
    <x v="28"/>
  </r>
  <r>
    <x v="162"/>
    <x v="20"/>
    <x v="28"/>
  </r>
  <r>
    <x v="5"/>
    <x v="20"/>
    <x v="24"/>
  </r>
  <r>
    <x v="0"/>
    <x v="20"/>
    <x v="32"/>
  </r>
  <r>
    <x v="0"/>
    <x v="20"/>
    <x v="34"/>
  </r>
  <r>
    <x v="0"/>
    <x v="20"/>
    <x v="41"/>
  </r>
  <r>
    <x v="11"/>
    <x v="20"/>
    <x v="31"/>
  </r>
  <r>
    <x v="0"/>
    <x v="20"/>
    <x v="36"/>
  </r>
  <r>
    <x v="0"/>
    <x v="20"/>
    <x v="42"/>
  </r>
  <r>
    <x v="0"/>
    <x v="20"/>
    <x v="43"/>
  </r>
  <r>
    <x v="7"/>
    <x v="20"/>
    <x v="44"/>
  </r>
  <r>
    <x v="540"/>
    <x v="21"/>
    <x v="0"/>
  </r>
  <r>
    <x v="0"/>
    <x v="21"/>
    <x v="1"/>
  </r>
  <r>
    <x v="0"/>
    <x v="21"/>
    <x v="2"/>
  </r>
  <r>
    <x v="0"/>
    <x v="21"/>
    <x v="3"/>
  </r>
  <r>
    <x v="11"/>
    <x v="21"/>
    <x v="4"/>
  </r>
  <r>
    <x v="0"/>
    <x v="21"/>
    <x v="5"/>
  </r>
  <r>
    <x v="0"/>
    <x v="21"/>
    <x v="6"/>
  </r>
  <r>
    <x v="0"/>
    <x v="21"/>
    <x v="7"/>
  </r>
  <r>
    <x v="0"/>
    <x v="21"/>
    <x v="8"/>
  </r>
  <r>
    <x v="0"/>
    <x v="21"/>
    <x v="9"/>
  </r>
  <r>
    <x v="0"/>
    <x v="21"/>
    <x v="10"/>
  </r>
  <r>
    <x v="0"/>
    <x v="21"/>
    <x v="11"/>
  </r>
  <r>
    <x v="0"/>
    <x v="21"/>
    <x v="12"/>
  </r>
  <r>
    <x v="0"/>
    <x v="21"/>
    <x v="39"/>
  </r>
  <r>
    <x v="0"/>
    <x v="21"/>
    <x v="39"/>
  </r>
  <r>
    <x v="0"/>
    <x v="21"/>
    <x v="13"/>
  </r>
  <r>
    <x v="0"/>
    <x v="21"/>
    <x v="38"/>
  </r>
  <r>
    <x v="0"/>
    <x v="21"/>
    <x v="26"/>
  </r>
  <r>
    <x v="14"/>
    <x v="21"/>
    <x v="26"/>
  </r>
  <r>
    <x v="44"/>
    <x v="21"/>
    <x v="14"/>
  </r>
  <r>
    <x v="7"/>
    <x v="21"/>
    <x v="25"/>
  </r>
  <r>
    <x v="59"/>
    <x v="21"/>
    <x v="25"/>
  </r>
  <r>
    <x v="113"/>
    <x v="21"/>
    <x v="15"/>
  </r>
  <r>
    <x v="0"/>
    <x v="21"/>
    <x v="36"/>
  </r>
  <r>
    <x v="0"/>
    <x v="21"/>
    <x v="40"/>
  </r>
  <r>
    <x v="8"/>
    <x v="21"/>
    <x v="40"/>
  </r>
  <r>
    <x v="0"/>
    <x v="21"/>
    <x v="16"/>
  </r>
  <r>
    <x v="8"/>
    <x v="21"/>
    <x v="17"/>
  </r>
  <r>
    <x v="0"/>
    <x v="21"/>
    <x v="33"/>
  </r>
  <r>
    <x v="0"/>
    <x v="21"/>
    <x v="33"/>
  </r>
  <r>
    <x v="0"/>
    <x v="21"/>
    <x v="18"/>
  </r>
  <r>
    <x v="0"/>
    <x v="21"/>
    <x v="19"/>
  </r>
  <r>
    <x v="0"/>
    <x v="21"/>
    <x v="20"/>
  </r>
  <r>
    <x v="7"/>
    <x v="21"/>
    <x v="35"/>
  </r>
  <r>
    <x v="0"/>
    <x v="21"/>
    <x v="35"/>
  </r>
  <r>
    <x v="0"/>
    <x v="21"/>
    <x v="35"/>
  </r>
  <r>
    <x v="0"/>
    <x v="21"/>
    <x v="35"/>
  </r>
  <r>
    <x v="0"/>
    <x v="21"/>
    <x v="35"/>
  </r>
  <r>
    <x v="87"/>
    <x v="21"/>
    <x v="30"/>
  </r>
  <r>
    <x v="189"/>
    <x v="21"/>
    <x v="30"/>
  </r>
  <r>
    <x v="0"/>
    <x v="21"/>
    <x v="27"/>
  </r>
  <r>
    <x v="4"/>
    <x v="21"/>
    <x v="27"/>
  </r>
  <r>
    <x v="0"/>
    <x v="21"/>
    <x v="31"/>
  </r>
  <r>
    <x v="0"/>
    <x v="21"/>
    <x v="31"/>
  </r>
  <r>
    <x v="0"/>
    <x v="21"/>
    <x v="31"/>
  </r>
  <r>
    <x v="0"/>
    <x v="21"/>
    <x v="31"/>
  </r>
  <r>
    <x v="0"/>
    <x v="21"/>
    <x v="31"/>
  </r>
  <r>
    <x v="0"/>
    <x v="21"/>
    <x v="31"/>
  </r>
  <r>
    <x v="0"/>
    <x v="21"/>
    <x v="31"/>
  </r>
  <r>
    <x v="273"/>
    <x v="21"/>
    <x v="37"/>
  </r>
  <r>
    <x v="109"/>
    <x v="21"/>
    <x v="37"/>
  </r>
  <r>
    <x v="263"/>
    <x v="21"/>
    <x v="37"/>
  </r>
  <r>
    <x v="0"/>
    <x v="21"/>
    <x v="29"/>
  </r>
  <r>
    <x v="0"/>
    <x v="21"/>
    <x v="29"/>
  </r>
  <r>
    <x v="0"/>
    <x v="21"/>
    <x v="29"/>
  </r>
  <r>
    <x v="0"/>
    <x v="21"/>
    <x v="29"/>
  </r>
  <r>
    <x v="0"/>
    <x v="21"/>
    <x v="29"/>
  </r>
  <r>
    <x v="0"/>
    <x v="21"/>
    <x v="29"/>
  </r>
  <r>
    <x v="0"/>
    <x v="21"/>
    <x v="29"/>
  </r>
  <r>
    <x v="0"/>
    <x v="21"/>
    <x v="29"/>
  </r>
  <r>
    <x v="0"/>
    <x v="21"/>
    <x v="29"/>
  </r>
  <r>
    <x v="0"/>
    <x v="21"/>
    <x v="29"/>
  </r>
  <r>
    <x v="0"/>
    <x v="21"/>
    <x v="29"/>
  </r>
  <r>
    <x v="0"/>
    <x v="21"/>
    <x v="29"/>
  </r>
  <r>
    <x v="0"/>
    <x v="21"/>
    <x v="29"/>
  </r>
  <r>
    <x v="19"/>
    <x v="21"/>
    <x v="29"/>
  </r>
  <r>
    <x v="0"/>
    <x v="21"/>
    <x v="29"/>
  </r>
  <r>
    <x v="0"/>
    <x v="21"/>
    <x v="41"/>
  </r>
  <r>
    <x v="0"/>
    <x v="21"/>
    <x v="32"/>
  </r>
  <r>
    <x v="0"/>
    <x v="21"/>
    <x v="32"/>
  </r>
  <r>
    <x v="0"/>
    <x v="21"/>
    <x v="34"/>
  </r>
  <r>
    <x v="0"/>
    <x v="21"/>
    <x v="34"/>
  </r>
  <r>
    <x v="0"/>
    <x v="21"/>
    <x v="34"/>
  </r>
  <r>
    <x v="0"/>
    <x v="21"/>
    <x v="38"/>
  </r>
  <r>
    <x v="0"/>
    <x v="21"/>
    <x v="21"/>
  </r>
  <r>
    <x v="521"/>
    <x v="21"/>
    <x v="22"/>
  </r>
  <r>
    <x v="0"/>
    <x v="21"/>
    <x v="23"/>
  </r>
  <r>
    <x v="5"/>
    <x v="21"/>
    <x v="28"/>
  </r>
  <r>
    <x v="16"/>
    <x v="21"/>
    <x v="28"/>
  </r>
  <r>
    <x v="0"/>
    <x v="21"/>
    <x v="24"/>
  </r>
  <r>
    <x v="0"/>
    <x v="21"/>
    <x v="32"/>
  </r>
  <r>
    <x v="0"/>
    <x v="21"/>
    <x v="34"/>
  </r>
  <r>
    <x v="7"/>
    <x v="21"/>
    <x v="41"/>
  </r>
  <r>
    <x v="0"/>
    <x v="21"/>
    <x v="31"/>
  </r>
  <r>
    <x v="0"/>
    <x v="21"/>
    <x v="36"/>
  </r>
  <r>
    <x v="0"/>
    <x v="21"/>
    <x v="42"/>
  </r>
  <r>
    <x v="0"/>
    <x v="21"/>
    <x v="43"/>
  </r>
  <r>
    <x v="16"/>
    <x v="21"/>
    <x v="44"/>
  </r>
  <r>
    <x v="507"/>
    <x v="22"/>
    <x v="0"/>
  </r>
  <r>
    <x v="0"/>
    <x v="22"/>
    <x v="1"/>
  </r>
  <r>
    <x v="0"/>
    <x v="22"/>
    <x v="2"/>
  </r>
  <r>
    <x v="0"/>
    <x v="22"/>
    <x v="3"/>
  </r>
  <r>
    <x v="29"/>
    <x v="22"/>
    <x v="4"/>
  </r>
  <r>
    <x v="0"/>
    <x v="22"/>
    <x v="5"/>
  </r>
  <r>
    <x v="0"/>
    <x v="22"/>
    <x v="6"/>
  </r>
  <r>
    <x v="0"/>
    <x v="22"/>
    <x v="7"/>
  </r>
  <r>
    <x v="0"/>
    <x v="22"/>
    <x v="8"/>
  </r>
  <r>
    <x v="0"/>
    <x v="22"/>
    <x v="9"/>
  </r>
  <r>
    <x v="0"/>
    <x v="22"/>
    <x v="10"/>
  </r>
  <r>
    <x v="0"/>
    <x v="22"/>
    <x v="11"/>
  </r>
  <r>
    <x v="0"/>
    <x v="22"/>
    <x v="12"/>
  </r>
  <r>
    <x v="0"/>
    <x v="22"/>
    <x v="39"/>
  </r>
  <r>
    <x v="0"/>
    <x v="22"/>
    <x v="39"/>
  </r>
  <r>
    <x v="3"/>
    <x v="22"/>
    <x v="13"/>
  </r>
  <r>
    <x v="0"/>
    <x v="22"/>
    <x v="38"/>
  </r>
  <r>
    <x v="0"/>
    <x v="22"/>
    <x v="26"/>
  </r>
  <r>
    <x v="0"/>
    <x v="22"/>
    <x v="26"/>
  </r>
  <r>
    <x v="0"/>
    <x v="22"/>
    <x v="14"/>
  </r>
  <r>
    <x v="0"/>
    <x v="22"/>
    <x v="25"/>
  </r>
  <r>
    <x v="6"/>
    <x v="22"/>
    <x v="25"/>
  </r>
  <r>
    <x v="0"/>
    <x v="22"/>
    <x v="15"/>
  </r>
  <r>
    <x v="0"/>
    <x v="22"/>
    <x v="36"/>
  </r>
  <r>
    <x v="0"/>
    <x v="22"/>
    <x v="40"/>
  </r>
  <r>
    <x v="0"/>
    <x v="22"/>
    <x v="40"/>
  </r>
  <r>
    <x v="0"/>
    <x v="22"/>
    <x v="16"/>
  </r>
  <r>
    <x v="0"/>
    <x v="22"/>
    <x v="17"/>
  </r>
  <r>
    <x v="6"/>
    <x v="22"/>
    <x v="33"/>
  </r>
  <r>
    <x v="0"/>
    <x v="22"/>
    <x v="33"/>
  </r>
  <r>
    <x v="0"/>
    <x v="22"/>
    <x v="18"/>
  </r>
  <r>
    <x v="0"/>
    <x v="22"/>
    <x v="19"/>
  </r>
  <r>
    <x v="0"/>
    <x v="22"/>
    <x v="20"/>
  </r>
  <r>
    <x v="11"/>
    <x v="22"/>
    <x v="35"/>
  </r>
  <r>
    <x v="0"/>
    <x v="22"/>
    <x v="35"/>
  </r>
  <r>
    <x v="0"/>
    <x v="22"/>
    <x v="35"/>
  </r>
  <r>
    <x v="0"/>
    <x v="22"/>
    <x v="35"/>
  </r>
  <r>
    <x v="4"/>
    <x v="22"/>
    <x v="35"/>
  </r>
  <r>
    <x v="0"/>
    <x v="22"/>
    <x v="30"/>
  </r>
  <r>
    <x v="0"/>
    <x v="22"/>
    <x v="30"/>
  </r>
  <r>
    <x v="0"/>
    <x v="22"/>
    <x v="27"/>
  </r>
  <r>
    <x v="0"/>
    <x v="22"/>
    <x v="27"/>
  </r>
  <r>
    <x v="0"/>
    <x v="22"/>
    <x v="31"/>
  </r>
  <r>
    <x v="0"/>
    <x v="22"/>
    <x v="31"/>
  </r>
  <r>
    <x v="0"/>
    <x v="22"/>
    <x v="31"/>
  </r>
  <r>
    <x v="0"/>
    <x v="22"/>
    <x v="31"/>
  </r>
  <r>
    <x v="0"/>
    <x v="22"/>
    <x v="31"/>
  </r>
  <r>
    <x v="0"/>
    <x v="22"/>
    <x v="31"/>
  </r>
  <r>
    <x v="0"/>
    <x v="22"/>
    <x v="31"/>
  </r>
  <r>
    <x v="0"/>
    <x v="22"/>
    <x v="37"/>
  </r>
  <r>
    <x v="0"/>
    <x v="22"/>
    <x v="37"/>
  </r>
  <r>
    <x v="0"/>
    <x v="22"/>
    <x v="37"/>
  </r>
  <r>
    <x v="0"/>
    <x v="22"/>
    <x v="29"/>
  </r>
  <r>
    <x v="0"/>
    <x v="22"/>
    <x v="29"/>
  </r>
  <r>
    <x v="0"/>
    <x v="22"/>
    <x v="29"/>
  </r>
  <r>
    <x v="0"/>
    <x v="22"/>
    <x v="29"/>
  </r>
  <r>
    <x v="0"/>
    <x v="22"/>
    <x v="29"/>
  </r>
  <r>
    <x v="0"/>
    <x v="22"/>
    <x v="29"/>
  </r>
  <r>
    <x v="0"/>
    <x v="22"/>
    <x v="29"/>
  </r>
  <r>
    <x v="0"/>
    <x v="22"/>
    <x v="29"/>
  </r>
  <r>
    <x v="0"/>
    <x v="22"/>
    <x v="29"/>
  </r>
  <r>
    <x v="0"/>
    <x v="22"/>
    <x v="29"/>
  </r>
  <r>
    <x v="0"/>
    <x v="22"/>
    <x v="29"/>
  </r>
  <r>
    <x v="0"/>
    <x v="22"/>
    <x v="29"/>
  </r>
  <r>
    <x v="12"/>
    <x v="22"/>
    <x v="29"/>
  </r>
  <r>
    <x v="0"/>
    <x v="22"/>
    <x v="29"/>
  </r>
  <r>
    <x v="0"/>
    <x v="22"/>
    <x v="29"/>
  </r>
  <r>
    <x v="0"/>
    <x v="22"/>
    <x v="41"/>
  </r>
  <r>
    <x v="0"/>
    <x v="22"/>
    <x v="32"/>
  </r>
  <r>
    <x v="48"/>
    <x v="22"/>
    <x v="32"/>
  </r>
  <r>
    <x v="0"/>
    <x v="22"/>
    <x v="34"/>
  </r>
  <r>
    <x v="0"/>
    <x v="22"/>
    <x v="34"/>
  </r>
  <r>
    <x v="0"/>
    <x v="22"/>
    <x v="34"/>
  </r>
  <r>
    <x v="0"/>
    <x v="22"/>
    <x v="38"/>
  </r>
  <r>
    <x v="0"/>
    <x v="22"/>
    <x v="21"/>
  </r>
  <r>
    <x v="0"/>
    <x v="22"/>
    <x v="22"/>
  </r>
  <r>
    <x v="427"/>
    <x v="22"/>
    <x v="23"/>
  </r>
  <r>
    <x v="0"/>
    <x v="22"/>
    <x v="28"/>
  </r>
  <r>
    <x v="0"/>
    <x v="22"/>
    <x v="28"/>
  </r>
  <r>
    <x v="0"/>
    <x v="22"/>
    <x v="24"/>
  </r>
  <r>
    <x v="0"/>
    <x v="22"/>
    <x v="32"/>
  </r>
  <r>
    <x v="0"/>
    <x v="22"/>
    <x v="34"/>
  </r>
  <r>
    <x v="0"/>
    <x v="22"/>
    <x v="41"/>
  </r>
  <r>
    <x v="0"/>
    <x v="22"/>
    <x v="31"/>
  </r>
  <r>
    <x v="0"/>
    <x v="22"/>
    <x v="36"/>
  </r>
  <r>
    <x v="0"/>
    <x v="22"/>
    <x v="42"/>
  </r>
  <r>
    <x v="0"/>
    <x v="22"/>
    <x v="43"/>
  </r>
  <r>
    <x v="5"/>
    <x v="22"/>
    <x v="44"/>
  </r>
  <r>
    <x v="532"/>
    <x v="27"/>
    <x v="0"/>
  </r>
  <r>
    <x v="8"/>
    <x v="27"/>
    <x v="1"/>
  </r>
  <r>
    <x v="0"/>
    <x v="27"/>
    <x v="2"/>
  </r>
  <r>
    <x v="0"/>
    <x v="27"/>
    <x v="3"/>
  </r>
  <r>
    <x v="0"/>
    <x v="27"/>
    <x v="4"/>
  </r>
  <r>
    <x v="0"/>
    <x v="27"/>
    <x v="5"/>
  </r>
  <r>
    <x v="0"/>
    <x v="27"/>
    <x v="6"/>
  </r>
  <r>
    <x v="0"/>
    <x v="27"/>
    <x v="7"/>
  </r>
  <r>
    <x v="0"/>
    <x v="27"/>
    <x v="8"/>
  </r>
  <r>
    <x v="0"/>
    <x v="27"/>
    <x v="9"/>
  </r>
  <r>
    <x v="0"/>
    <x v="27"/>
    <x v="10"/>
  </r>
  <r>
    <x v="0"/>
    <x v="27"/>
    <x v="11"/>
  </r>
  <r>
    <x v="0"/>
    <x v="27"/>
    <x v="12"/>
  </r>
  <r>
    <x v="0"/>
    <x v="27"/>
    <x v="39"/>
  </r>
  <r>
    <x v="0"/>
    <x v="27"/>
    <x v="39"/>
  </r>
  <r>
    <x v="7"/>
    <x v="27"/>
    <x v="13"/>
  </r>
  <r>
    <x v="0"/>
    <x v="27"/>
    <x v="38"/>
  </r>
  <r>
    <x v="0"/>
    <x v="27"/>
    <x v="26"/>
  </r>
  <r>
    <x v="0"/>
    <x v="27"/>
    <x v="26"/>
  </r>
  <r>
    <x v="0"/>
    <x v="27"/>
    <x v="14"/>
  </r>
  <r>
    <x v="8"/>
    <x v="27"/>
    <x v="25"/>
  </r>
  <r>
    <x v="0"/>
    <x v="27"/>
    <x v="25"/>
  </r>
  <r>
    <x v="0"/>
    <x v="27"/>
    <x v="15"/>
  </r>
  <r>
    <x v="7"/>
    <x v="27"/>
    <x v="36"/>
  </r>
  <r>
    <x v="0"/>
    <x v="27"/>
    <x v="40"/>
  </r>
  <r>
    <x v="0"/>
    <x v="27"/>
    <x v="40"/>
  </r>
  <r>
    <x v="0"/>
    <x v="27"/>
    <x v="16"/>
  </r>
  <r>
    <x v="0"/>
    <x v="27"/>
    <x v="17"/>
  </r>
  <r>
    <x v="0"/>
    <x v="27"/>
    <x v="33"/>
  </r>
  <r>
    <x v="0"/>
    <x v="27"/>
    <x v="33"/>
  </r>
  <r>
    <x v="0"/>
    <x v="27"/>
    <x v="18"/>
  </r>
  <r>
    <x v="8"/>
    <x v="27"/>
    <x v="19"/>
  </r>
  <r>
    <x v="11"/>
    <x v="27"/>
    <x v="20"/>
  </r>
  <r>
    <x v="0"/>
    <x v="27"/>
    <x v="35"/>
  </r>
  <r>
    <x v="0"/>
    <x v="27"/>
    <x v="35"/>
  </r>
  <r>
    <x v="0"/>
    <x v="27"/>
    <x v="35"/>
  </r>
  <r>
    <x v="0"/>
    <x v="27"/>
    <x v="35"/>
  </r>
  <r>
    <x v="0"/>
    <x v="27"/>
    <x v="35"/>
  </r>
  <r>
    <x v="0"/>
    <x v="27"/>
    <x v="30"/>
  </r>
  <r>
    <x v="0"/>
    <x v="27"/>
    <x v="30"/>
  </r>
  <r>
    <x v="7"/>
    <x v="27"/>
    <x v="27"/>
  </r>
  <r>
    <x v="0"/>
    <x v="27"/>
    <x v="27"/>
  </r>
  <r>
    <x v="0"/>
    <x v="27"/>
    <x v="31"/>
  </r>
  <r>
    <x v="0"/>
    <x v="27"/>
    <x v="31"/>
  </r>
  <r>
    <x v="0"/>
    <x v="27"/>
    <x v="31"/>
  </r>
  <r>
    <x v="0"/>
    <x v="27"/>
    <x v="31"/>
  </r>
  <r>
    <x v="0"/>
    <x v="27"/>
    <x v="31"/>
  </r>
  <r>
    <x v="0"/>
    <x v="27"/>
    <x v="31"/>
  </r>
  <r>
    <x v="0"/>
    <x v="27"/>
    <x v="31"/>
  </r>
  <r>
    <x v="0"/>
    <x v="27"/>
    <x v="37"/>
  </r>
  <r>
    <x v="0"/>
    <x v="27"/>
    <x v="37"/>
  </r>
  <r>
    <x v="0"/>
    <x v="27"/>
    <x v="37"/>
  </r>
  <r>
    <x v="0"/>
    <x v="27"/>
    <x v="29"/>
  </r>
  <r>
    <x v="0"/>
    <x v="27"/>
    <x v="29"/>
  </r>
  <r>
    <x v="0"/>
    <x v="27"/>
    <x v="29"/>
  </r>
  <r>
    <x v="0"/>
    <x v="27"/>
    <x v="29"/>
  </r>
  <r>
    <x v="0"/>
    <x v="27"/>
    <x v="29"/>
  </r>
  <r>
    <x v="0"/>
    <x v="27"/>
    <x v="29"/>
  </r>
  <r>
    <x v="0"/>
    <x v="27"/>
    <x v="29"/>
  </r>
  <r>
    <x v="0"/>
    <x v="27"/>
    <x v="29"/>
  </r>
  <r>
    <x v="0"/>
    <x v="27"/>
    <x v="29"/>
  </r>
  <r>
    <x v="0"/>
    <x v="27"/>
    <x v="29"/>
  </r>
  <r>
    <x v="0"/>
    <x v="27"/>
    <x v="29"/>
  </r>
  <r>
    <x v="0"/>
    <x v="27"/>
    <x v="29"/>
  </r>
  <r>
    <x v="45"/>
    <x v="27"/>
    <x v="29"/>
  </r>
  <r>
    <x v="18"/>
    <x v="27"/>
    <x v="29"/>
  </r>
  <r>
    <x v="0"/>
    <x v="27"/>
    <x v="29"/>
  </r>
  <r>
    <x v="7"/>
    <x v="27"/>
    <x v="41"/>
  </r>
  <r>
    <x v="0"/>
    <x v="27"/>
    <x v="32"/>
  </r>
  <r>
    <x v="0"/>
    <x v="27"/>
    <x v="32"/>
  </r>
  <r>
    <x v="0"/>
    <x v="27"/>
    <x v="34"/>
  </r>
  <r>
    <x v="0"/>
    <x v="27"/>
    <x v="34"/>
  </r>
  <r>
    <x v="19"/>
    <x v="27"/>
    <x v="34"/>
  </r>
  <r>
    <x v="0"/>
    <x v="27"/>
    <x v="38"/>
  </r>
  <r>
    <x v="0"/>
    <x v="27"/>
    <x v="21"/>
  </r>
  <r>
    <x v="0"/>
    <x v="27"/>
    <x v="22"/>
  </r>
  <r>
    <x v="11"/>
    <x v="27"/>
    <x v="23"/>
  </r>
  <r>
    <x v="471"/>
    <x v="27"/>
    <x v="28"/>
  </r>
  <r>
    <x v="378"/>
    <x v="27"/>
    <x v="28"/>
  </r>
  <r>
    <x v="0"/>
    <x v="27"/>
    <x v="24"/>
  </r>
  <r>
    <x v="0"/>
    <x v="27"/>
    <x v="32"/>
  </r>
  <r>
    <x v="0"/>
    <x v="27"/>
    <x v="34"/>
  </r>
  <r>
    <x v="0"/>
    <x v="27"/>
    <x v="41"/>
  </r>
  <r>
    <x v="0"/>
    <x v="27"/>
    <x v="31"/>
  </r>
  <r>
    <x v="0"/>
    <x v="27"/>
    <x v="36"/>
  </r>
  <r>
    <x v="0"/>
    <x v="27"/>
    <x v="42"/>
  </r>
  <r>
    <x v="0"/>
    <x v="27"/>
    <x v="43"/>
  </r>
  <r>
    <x v="0"/>
    <x v="27"/>
    <x v="44"/>
  </r>
  <r>
    <x v="566"/>
    <x v="27"/>
    <x v="0"/>
  </r>
  <r>
    <x v="0"/>
    <x v="27"/>
    <x v="1"/>
  </r>
  <r>
    <x v="0"/>
    <x v="27"/>
    <x v="2"/>
  </r>
  <r>
    <x v="0"/>
    <x v="27"/>
    <x v="3"/>
  </r>
  <r>
    <x v="14"/>
    <x v="27"/>
    <x v="4"/>
  </r>
  <r>
    <x v="0"/>
    <x v="27"/>
    <x v="5"/>
  </r>
  <r>
    <x v="0"/>
    <x v="27"/>
    <x v="6"/>
  </r>
  <r>
    <x v="0"/>
    <x v="27"/>
    <x v="7"/>
  </r>
  <r>
    <x v="0"/>
    <x v="27"/>
    <x v="8"/>
  </r>
  <r>
    <x v="0"/>
    <x v="27"/>
    <x v="9"/>
  </r>
  <r>
    <x v="0"/>
    <x v="27"/>
    <x v="10"/>
  </r>
  <r>
    <x v="0"/>
    <x v="27"/>
    <x v="11"/>
  </r>
  <r>
    <x v="0"/>
    <x v="27"/>
    <x v="12"/>
  </r>
  <r>
    <x v="0"/>
    <x v="27"/>
    <x v="39"/>
  </r>
  <r>
    <x v="0"/>
    <x v="27"/>
    <x v="39"/>
  </r>
  <r>
    <x v="0"/>
    <x v="27"/>
    <x v="13"/>
  </r>
  <r>
    <x v="0"/>
    <x v="27"/>
    <x v="38"/>
  </r>
  <r>
    <x v="0"/>
    <x v="27"/>
    <x v="26"/>
  </r>
  <r>
    <x v="0"/>
    <x v="27"/>
    <x v="26"/>
  </r>
  <r>
    <x v="6"/>
    <x v="27"/>
    <x v="14"/>
  </r>
  <r>
    <x v="0"/>
    <x v="27"/>
    <x v="25"/>
  </r>
  <r>
    <x v="0"/>
    <x v="27"/>
    <x v="25"/>
  </r>
  <r>
    <x v="0"/>
    <x v="27"/>
    <x v="15"/>
  </r>
  <r>
    <x v="0"/>
    <x v="27"/>
    <x v="36"/>
  </r>
  <r>
    <x v="0"/>
    <x v="27"/>
    <x v="40"/>
  </r>
  <r>
    <x v="0"/>
    <x v="27"/>
    <x v="40"/>
  </r>
  <r>
    <x v="23"/>
    <x v="27"/>
    <x v="16"/>
  </r>
  <r>
    <x v="16"/>
    <x v="27"/>
    <x v="17"/>
  </r>
  <r>
    <x v="0"/>
    <x v="27"/>
    <x v="33"/>
  </r>
  <r>
    <x v="0"/>
    <x v="27"/>
    <x v="33"/>
  </r>
  <r>
    <x v="0"/>
    <x v="27"/>
    <x v="18"/>
  </r>
  <r>
    <x v="6"/>
    <x v="27"/>
    <x v="19"/>
  </r>
  <r>
    <x v="16"/>
    <x v="27"/>
    <x v="20"/>
  </r>
  <r>
    <x v="0"/>
    <x v="27"/>
    <x v="35"/>
  </r>
  <r>
    <x v="0"/>
    <x v="27"/>
    <x v="35"/>
  </r>
  <r>
    <x v="0"/>
    <x v="27"/>
    <x v="35"/>
  </r>
  <r>
    <x v="0"/>
    <x v="27"/>
    <x v="35"/>
  </r>
  <r>
    <x v="0"/>
    <x v="27"/>
    <x v="35"/>
  </r>
  <r>
    <x v="9"/>
    <x v="27"/>
    <x v="30"/>
  </r>
  <r>
    <x v="7"/>
    <x v="27"/>
    <x v="30"/>
  </r>
  <r>
    <x v="0"/>
    <x v="27"/>
    <x v="27"/>
  </r>
  <r>
    <x v="5"/>
    <x v="27"/>
    <x v="27"/>
  </r>
  <r>
    <x v="0"/>
    <x v="27"/>
    <x v="31"/>
  </r>
  <r>
    <x v="0"/>
    <x v="27"/>
    <x v="31"/>
  </r>
  <r>
    <x v="0"/>
    <x v="27"/>
    <x v="31"/>
  </r>
  <r>
    <x v="0"/>
    <x v="27"/>
    <x v="31"/>
  </r>
  <r>
    <x v="0"/>
    <x v="27"/>
    <x v="31"/>
  </r>
  <r>
    <x v="0"/>
    <x v="27"/>
    <x v="31"/>
  </r>
  <r>
    <x v="13"/>
    <x v="27"/>
    <x v="31"/>
  </r>
  <r>
    <x v="0"/>
    <x v="27"/>
    <x v="37"/>
  </r>
  <r>
    <x v="0"/>
    <x v="27"/>
    <x v="37"/>
  </r>
  <r>
    <x v="0"/>
    <x v="27"/>
    <x v="37"/>
  </r>
  <r>
    <x v="50"/>
    <x v="27"/>
    <x v="29"/>
  </r>
  <r>
    <x v="0"/>
    <x v="27"/>
    <x v="29"/>
  </r>
  <r>
    <x v="0"/>
    <x v="27"/>
    <x v="29"/>
  </r>
  <r>
    <x v="0"/>
    <x v="27"/>
    <x v="29"/>
  </r>
  <r>
    <x v="0"/>
    <x v="27"/>
    <x v="29"/>
  </r>
  <r>
    <x v="0"/>
    <x v="27"/>
    <x v="29"/>
  </r>
  <r>
    <x v="0"/>
    <x v="27"/>
    <x v="29"/>
  </r>
  <r>
    <x v="0"/>
    <x v="27"/>
    <x v="29"/>
  </r>
  <r>
    <x v="0"/>
    <x v="27"/>
    <x v="29"/>
  </r>
  <r>
    <x v="0"/>
    <x v="27"/>
    <x v="29"/>
  </r>
  <r>
    <x v="0"/>
    <x v="27"/>
    <x v="29"/>
  </r>
  <r>
    <x v="0"/>
    <x v="27"/>
    <x v="29"/>
  </r>
  <r>
    <x v="241"/>
    <x v="27"/>
    <x v="29"/>
  </r>
  <r>
    <x v="86"/>
    <x v="27"/>
    <x v="29"/>
  </r>
  <r>
    <x v="0"/>
    <x v="27"/>
    <x v="29"/>
  </r>
  <r>
    <x v="9"/>
    <x v="27"/>
    <x v="41"/>
  </r>
  <r>
    <x v="0"/>
    <x v="27"/>
    <x v="32"/>
  </r>
  <r>
    <x v="7"/>
    <x v="27"/>
    <x v="32"/>
  </r>
  <r>
    <x v="0"/>
    <x v="27"/>
    <x v="34"/>
  </r>
  <r>
    <x v="0"/>
    <x v="27"/>
    <x v="34"/>
  </r>
  <r>
    <x v="104"/>
    <x v="27"/>
    <x v="34"/>
  </r>
  <r>
    <x v="0"/>
    <x v="27"/>
    <x v="38"/>
  </r>
  <r>
    <x v="108"/>
    <x v="27"/>
    <x v="21"/>
  </r>
  <r>
    <x v="0"/>
    <x v="27"/>
    <x v="22"/>
  </r>
  <r>
    <x v="0"/>
    <x v="27"/>
    <x v="23"/>
  </r>
  <r>
    <x v="435"/>
    <x v="27"/>
    <x v="28"/>
  </r>
  <r>
    <x v="529"/>
    <x v="27"/>
    <x v="28"/>
  </r>
  <r>
    <x v="16"/>
    <x v="27"/>
    <x v="24"/>
  </r>
  <r>
    <x v="0"/>
    <x v="27"/>
    <x v="32"/>
  </r>
  <r>
    <x v="0"/>
    <x v="27"/>
    <x v="34"/>
  </r>
  <r>
    <x v="0"/>
    <x v="27"/>
    <x v="41"/>
  </r>
  <r>
    <x v="0"/>
    <x v="27"/>
    <x v="31"/>
  </r>
  <r>
    <x v="0"/>
    <x v="27"/>
    <x v="36"/>
  </r>
  <r>
    <x v="0"/>
    <x v="27"/>
    <x v="42"/>
  </r>
  <r>
    <x v="0"/>
    <x v="27"/>
    <x v="43"/>
  </r>
  <r>
    <x v="0"/>
    <x v="27"/>
    <x v="44"/>
  </r>
  <r>
    <x v="541"/>
    <x v="23"/>
    <x v="0"/>
  </r>
  <r>
    <x v="0"/>
    <x v="23"/>
    <x v="1"/>
  </r>
  <r>
    <x v="19"/>
    <x v="23"/>
    <x v="2"/>
  </r>
  <r>
    <x v="0"/>
    <x v="23"/>
    <x v="3"/>
  </r>
  <r>
    <x v="0"/>
    <x v="23"/>
    <x v="4"/>
  </r>
  <r>
    <x v="0"/>
    <x v="23"/>
    <x v="5"/>
  </r>
  <r>
    <x v="0"/>
    <x v="23"/>
    <x v="6"/>
  </r>
  <r>
    <x v="0"/>
    <x v="23"/>
    <x v="7"/>
  </r>
  <r>
    <x v="0"/>
    <x v="23"/>
    <x v="8"/>
  </r>
  <r>
    <x v="0"/>
    <x v="23"/>
    <x v="9"/>
  </r>
  <r>
    <x v="0"/>
    <x v="23"/>
    <x v="10"/>
  </r>
  <r>
    <x v="0"/>
    <x v="23"/>
    <x v="11"/>
  </r>
  <r>
    <x v="0"/>
    <x v="23"/>
    <x v="12"/>
  </r>
  <r>
    <x v="0"/>
    <x v="23"/>
    <x v="39"/>
  </r>
  <r>
    <x v="0"/>
    <x v="23"/>
    <x v="39"/>
  </r>
  <r>
    <x v="0"/>
    <x v="23"/>
    <x v="13"/>
  </r>
  <r>
    <x v="0"/>
    <x v="23"/>
    <x v="38"/>
  </r>
  <r>
    <x v="0"/>
    <x v="23"/>
    <x v="26"/>
  </r>
  <r>
    <x v="6"/>
    <x v="23"/>
    <x v="26"/>
  </r>
  <r>
    <x v="8"/>
    <x v="23"/>
    <x v="14"/>
  </r>
  <r>
    <x v="0"/>
    <x v="23"/>
    <x v="25"/>
  </r>
  <r>
    <x v="0"/>
    <x v="23"/>
    <x v="25"/>
  </r>
  <r>
    <x v="7"/>
    <x v="23"/>
    <x v="15"/>
  </r>
  <r>
    <x v="0"/>
    <x v="23"/>
    <x v="36"/>
  </r>
  <r>
    <x v="0"/>
    <x v="23"/>
    <x v="40"/>
  </r>
  <r>
    <x v="7"/>
    <x v="23"/>
    <x v="40"/>
  </r>
  <r>
    <x v="0"/>
    <x v="23"/>
    <x v="16"/>
  </r>
  <r>
    <x v="0"/>
    <x v="23"/>
    <x v="17"/>
  </r>
  <r>
    <x v="8"/>
    <x v="23"/>
    <x v="33"/>
  </r>
  <r>
    <x v="9"/>
    <x v="23"/>
    <x v="33"/>
  </r>
  <r>
    <x v="0"/>
    <x v="23"/>
    <x v="18"/>
  </r>
  <r>
    <x v="13"/>
    <x v="23"/>
    <x v="19"/>
  </r>
  <r>
    <x v="256"/>
    <x v="23"/>
    <x v="20"/>
  </r>
  <r>
    <x v="0"/>
    <x v="23"/>
    <x v="35"/>
  </r>
  <r>
    <x v="0"/>
    <x v="23"/>
    <x v="35"/>
  </r>
  <r>
    <x v="0"/>
    <x v="23"/>
    <x v="35"/>
  </r>
  <r>
    <x v="0"/>
    <x v="23"/>
    <x v="35"/>
  </r>
  <r>
    <x v="13"/>
    <x v="23"/>
    <x v="35"/>
  </r>
  <r>
    <x v="8"/>
    <x v="23"/>
    <x v="30"/>
  </r>
  <r>
    <x v="0"/>
    <x v="23"/>
    <x v="30"/>
  </r>
  <r>
    <x v="0"/>
    <x v="23"/>
    <x v="27"/>
  </r>
  <r>
    <x v="0"/>
    <x v="23"/>
    <x v="27"/>
  </r>
  <r>
    <x v="0"/>
    <x v="23"/>
    <x v="31"/>
  </r>
  <r>
    <x v="0"/>
    <x v="23"/>
    <x v="31"/>
  </r>
  <r>
    <x v="0"/>
    <x v="23"/>
    <x v="31"/>
  </r>
  <r>
    <x v="0"/>
    <x v="23"/>
    <x v="31"/>
  </r>
  <r>
    <x v="0"/>
    <x v="23"/>
    <x v="31"/>
  </r>
  <r>
    <x v="0"/>
    <x v="23"/>
    <x v="31"/>
  </r>
  <r>
    <x v="0"/>
    <x v="23"/>
    <x v="31"/>
  </r>
  <r>
    <x v="0"/>
    <x v="23"/>
    <x v="37"/>
  </r>
  <r>
    <x v="0"/>
    <x v="23"/>
    <x v="37"/>
  </r>
  <r>
    <x v="19"/>
    <x v="23"/>
    <x v="37"/>
  </r>
  <r>
    <x v="0"/>
    <x v="23"/>
    <x v="29"/>
  </r>
  <r>
    <x v="0"/>
    <x v="23"/>
    <x v="29"/>
  </r>
  <r>
    <x v="0"/>
    <x v="23"/>
    <x v="29"/>
  </r>
  <r>
    <x v="0"/>
    <x v="23"/>
    <x v="29"/>
  </r>
  <r>
    <x v="0"/>
    <x v="23"/>
    <x v="29"/>
  </r>
  <r>
    <x v="0"/>
    <x v="23"/>
    <x v="29"/>
  </r>
  <r>
    <x v="0"/>
    <x v="23"/>
    <x v="29"/>
  </r>
  <r>
    <x v="0"/>
    <x v="23"/>
    <x v="29"/>
  </r>
  <r>
    <x v="0"/>
    <x v="23"/>
    <x v="29"/>
  </r>
  <r>
    <x v="0"/>
    <x v="23"/>
    <x v="29"/>
  </r>
  <r>
    <x v="0"/>
    <x v="23"/>
    <x v="29"/>
  </r>
  <r>
    <x v="0"/>
    <x v="23"/>
    <x v="29"/>
  </r>
  <r>
    <x v="38"/>
    <x v="23"/>
    <x v="29"/>
  </r>
  <r>
    <x v="8"/>
    <x v="23"/>
    <x v="29"/>
  </r>
  <r>
    <x v="0"/>
    <x v="23"/>
    <x v="29"/>
  </r>
  <r>
    <x v="14"/>
    <x v="23"/>
    <x v="41"/>
  </r>
  <r>
    <x v="0"/>
    <x v="23"/>
    <x v="32"/>
  </r>
  <r>
    <x v="0"/>
    <x v="23"/>
    <x v="32"/>
  </r>
  <r>
    <x v="0"/>
    <x v="23"/>
    <x v="34"/>
  </r>
  <r>
    <x v="0"/>
    <x v="23"/>
    <x v="34"/>
  </r>
  <r>
    <x v="0"/>
    <x v="23"/>
    <x v="34"/>
  </r>
  <r>
    <x v="0"/>
    <x v="23"/>
    <x v="38"/>
  </r>
  <r>
    <x v="0"/>
    <x v="23"/>
    <x v="21"/>
  </r>
  <r>
    <x v="0"/>
    <x v="23"/>
    <x v="22"/>
  </r>
  <r>
    <x v="0"/>
    <x v="23"/>
    <x v="23"/>
  </r>
  <r>
    <x v="7"/>
    <x v="23"/>
    <x v="28"/>
  </r>
  <r>
    <x v="13"/>
    <x v="23"/>
    <x v="28"/>
  </r>
  <r>
    <x v="518"/>
    <x v="23"/>
    <x v="24"/>
  </r>
  <r>
    <x v="0"/>
    <x v="23"/>
    <x v="32"/>
  </r>
  <r>
    <x v="0"/>
    <x v="23"/>
    <x v="34"/>
  </r>
  <r>
    <x v="10"/>
    <x v="23"/>
    <x v="41"/>
  </r>
  <r>
    <x v="0"/>
    <x v="23"/>
    <x v="31"/>
  </r>
  <r>
    <x v="0"/>
    <x v="23"/>
    <x v="36"/>
  </r>
  <r>
    <x v="0"/>
    <x v="23"/>
    <x v="42"/>
  </r>
  <r>
    <x v="0"/>
    <x v="23"/>
    <x v="43"/>
  </r>
  <r>
    <x v="0"/>
    <x v="23"/>
    <x v="44"/>
  </r>
  <r>
    <x v="542"/>
    <x v="31"/>
    <x v="0"/>
  </r>
  <r>
    <x v="9"/>
    <x v="31"/>
    <x v="1"/>
  </r>
  <r>
    <x v="8"/>
    <x v="31"/>
    <x v="2"/>
  </r>
  <r>
    <x v="0"/>
    <x v="31"/>
    <x v="3"/>
  </r>
  <r>
    <x v="0"/>
    <x v="31"/>
    <x v="4"/>
  </r>
  <r>
    <x v="0"/>
    <x v="31"/>
    <x v="5"/>
  </r>
  <r>
    <x v="9"/>
    <x v="31"/>
    <x v="6"/>
  </r>
  <r>
    <x v="0"/>
    <x v="31"/>
    <x v="7"/>
  </r>
  <r>
    <x v="0"/>
    <x v="31"/>
    <x v="8"/>
  </r>
  <r>
    <x v="0"/>
    <x v="31"/>
    <x v="9"/>
  </r>
  <r>
    <x v="0"/>
    <x v="31"/>
    <x v="10"/>
  </r>
  <r>
    <x v="0"/>
    <x v="31"/>
    <x v="11"/>
  </r>
  <r>
    <x v="0"/>
    <x v="31"/>
    <x v="12"/>
  </r>
  <r>
    <x v="0"/>
    <x v="31"/>
    <x v="39"/>
  </r>
  <r>
    <x v="0"/>
    <x v="31"/>
    <x v="39"/>
  </r>
  <r>
    <x v="0"/>
    <x v="31"/>
    <x v="13"/>
  </r>
  <r>
    <x v="0"/>
    <x v="31"/>
    <x v="38"/>
  </r>
  <r>
    <x v="0"/>
    <x v="31"/>
    <x v="26"/>
  </r>
  <r>
    <x v="0"/>
    <x v="31"/>
    <x v="26"/>
  </r>
  <r>
    <x v="10"/>
    <x v="31"/>
    <x v="14"/>
  </r>
  <r>
    <x v="0"/>
    <x v="31"/>
    <x v="25"/>
  </r>
  <r>
    <x v="8"/>
    <x v="31"/>
    <x v="25"/>
  </r>
  <r>
    <x v="0"/>
    <x v="31"/>
    <x v="15"/>
  </r>
  <r>
    <x v="0"/>
    <x v="31"/>
    <x v="36"/>
  </r>
  <r>
    <x v="0"/>
    <x v="31"/>
    <x v="40"/>
  </r>
  <r>
    <x v="0"/>
    <x v="31"/>
    <x v="40"/>
  </r>
  <r>
    <x v="0"/>
    <x v="31"/>
    <x v="16"/>
  </r>
  <r>
    <x v="0"/>
    <x v="31"/>
    <x v="17"/>
  </r>
  <r>
    <x v="0"/>
    <x v="31"/>
    <x v="33"/>
  </r>
  <r>
    <x v="0"/>
    <x v="31"/>
    <x v="33"/>
  </r>
  <r>
    <x v="0"/>
    <x v="31"/>
    <x v="18"/>
  </r>
  <r>
    <x v="0"/>
    <x v="31"/>
    <x v="19"/>
  </r>
  <r>
    <x v="0"/>
    <x v="31"/>
    <x v="20"/>
  </r>
  <r>
    <x v="0"/>
    <x v="31"/>
    <x v="35"/>
  </r>
  <r>
    <x v="11"/>
    <x v="31"/>
    <x v="35"/>
  </r>
  <r>
    <x v="0"/>
    <x v="31"/>
    <x v="35"/>
  </r>
  <r>
    <x v="0"/>
    <x v="31"/>
    <x v="35"/>
  </r>
  <r>
    <x v="0"/>
    <x v="31"/>
    <x v="35"/>
  </r>
  <r>
    <x v="6"/>
    <x v="31"/>
    <x v="30"/>
  </r>
  <r>
    <x v="0"/>
    <x v="31"/>
    <x v="30"/>
  </r>
  <r>
    <x v="0"/>
    <x v="31"/>
    <x v="27"/>
  </r>
  <r>
    <x v="0"/>
    <x v="31"/>
    <x v="27"/>
  </r>
  <r>
    <x v="108"/>
    <x v="31"/>
    <x v="31"/>
  </r>
  <r>
    <x v="12"/>
    <x v="31"/>
    <x v="31"/>
  </r>
  <r>
    <x v="0"/>
    <x v="31"/>
    <x v="31"/>
  </r>
  <r>
    <x v="11"/>
    <x v="31"/>
    <x v="31"/>
  </r>
  <r>
    <x v="25"/>
    <x v="31"/>
    <x v="31"/>
  </r>
  <r>
    <x v="49"/>
    <x v="31"/>
    <x v="31"/>
  </r>
  <r>
    <x v="222"/>
    <x v="31"/>
    <x v="31"/>
  </r>
  <r>
    <x v="0"/>
    <x v="31"/>
    <x v="37"/>
  </r>
  <r>
    <x v="0"/>
    <x v="31"/>
    <x v="37"/>
  </r>
  <r>
    <x v="0"/>
    <x v="31"/>
    <x v="37"/>
  </r>
  <r>
    <x v="8"/>
    <x v="31"/>
    <x v="29"/>
  </r>
  <r>
    <x v="10"/>
    <x v="31"/>
    <x v="29"/>
  </r>
  <r>
    <x v="0"/>
    <x v="31"/>
    <x v="29"/>
  </r>
  <r>
    <x v="0"/>
    <x v="31"/>
    <x v="29"/>
  </r>
  <r>
    <x v="0"/>
    <x v="31"/>
    <x v="29"/>
  </r>
  <r>
    <x v="0"/>
    <x v="31"/>
    <x v="29"/>
  </r>
  <r>
    <x v="0"/>
    <x v="31"/>
    <x v="29"/>
  </r>
  <r>
    <x v="7"/>
    <x v="31"/>
    <x v="29"/>
  </r>
  <r>
    <x v="0"/>
    <x v="31"/>
    <x v="29"/>
  </r>
  <r>
    <x v="0"/>
    <x v="31"/>
    <x v="29"/>
  </r>
  <r>
    <x v="0"/>
    <x v="31"/>
    <x v="29"/>
  </r>
  <r>
    <x v="11"/>
    <x v="31"/>
    <x v="29"/>
  </r>
  <r>
    <x v="223"/>
    <x v="31"/>
    <x v="29"/>
  </r>
  <r>
    <x v="74"/>
    <x v="31"/>
    <x v="29"/>
  </r>
  <r>
    <x v="32"/>
    <x v="31"/>
    <x v="29"/>
  </r>
  <r>
    <x v="0"/>
    <x v="31"/>
    <x v="41"/>
  </r>
  <r>
    <x v="157"/>
    <x v="31"/>
    <x v="32"/>
  </r>
  <r>
    <x v="358"/>
    <x v="31"/>
    <x v="32"/>
  </r>
  <r>
    <x v="32"/>
    <x v="31"/>
    <x v="34"/>
  </r>
  <r>
    <x v="117"/>
    <x v="31"/>
    <x v="34"/>
  </r>
  <r>
    <x v="256"/>
    <x v="31"/>
    <x v="34"/>
  </r>
  <r>
    <x v="0"/>
    <x v="31"/>
    <x v="38"/>
  </r>
  <r>
    <x v="0"/>
    <x v="31"/>
    <x v="21"/>
  </r>
  <r>
    <x v="0"/>
    <x v="31"/>
    <x v="22"/>
  </r>
  <r>
    <x v="0"/>
    <x v="31"/>
    <x v="23"/>
  </r>
  <r>
    <x v="0"/>
    <x v="31"/>
    <x v="28"/>
  </r>
  <r>
    <x v="0"/>
    <x v="31"/>
    <x v="28"/>
  </r>
  <r>
    <x v="8"/>
    <x v="31"/>
    <x v="24"/>
  </r>
  <r>
    <x v="462"/>
    <x v="31"/>
    <x v="32"/>
  </r>
  <r>
    <x v="209"/>
    <x v="31"/>
    <x v="34"/>
  </r>
  <r>
    <x v="0"/>
    <x v="31"/>
    <x v="41"/>
  </r>
  <r>
    <x v="190"/>
    <x v="31"/>
    <x v="31"/>
  </r>
  <r>
    <x v="0"/>
    <x v="31"/>
    <x v="36"/>
  </r>
  <r>
    <x v="0"/>
    <x v="31"/>
    <x v="42"/>
  </r>
  <r>
    <x v="0"/>
    <x v="31"/>
    <x v="43"/>
  </r>
  <r>
    <x v="0"/>
    <x v="31"/>
    <x v="44"/>
  </r>
  <r>
    <x v="531"/>
    <x v="33"/>
    <x v="0"/>
  </r>
  <r>
    <x v="15"/>
    <x v="33"/>
    <x v="1"/>
  </r>
  <r>
    <x v="10"/>
    <x v="33"/>
    <x v="2"/>
  </r>
  <r>
    <x v="7"/>
    <x v="33"/>
    <x v="3"/>
  </r>
  <r>
    <x v="0"/>
    <x v="33"/>
    <x v="4"/>
  </r>
  <r>
    <x v="0"/>
    <x v="33"/>
    <x v="5"/>
  </r>
  <r>
    <x v="0"/>
    <x v="33"/>
    <x v="6"/>
  </r>
  <r>
    <x v="0"/>
    <x v="33"/>
    <x v="7"/>
  </r>
  <r>
    <x v="0"/>
    <x v="33"/>
    <x v="8"/>
  </r>
  <r>
    <x v="0"/>
    <x v="33"/>
    <x v="9"/>
  </r>
  <r>
    <x v="0"/>
    <x v="33"/>
    <x v="10"/>
  </r>
  <r>
    <x v="0"/>
    <x v="33"/>
    <x v="11"/>
  </r>
  <r>
    <x v="0"/>
    <x v="33"/>
    <x v="12"/>
  </r>
  <r>
    <x v="0"/>
    <x v="33"/>
    <x v="39"/>
  </r>
  <r>
    <x v="0"/>
    <x v="33"/>
    <x v="39"/>
  </r>
  <r>
    <x v="0"/>
    <x v="33"/>
    <x v="13"/>
  </r>
  <r>
    <x v="0"/>
    <x v="33"/>
    <x v="38"/>
  </r>
  <r>
    <x v="0"/>
    <x v="33"/>
    <x v="26"/>
  </r>
  <r>
    <x v="0"/>
    <x v="33"/>
    <x v="26"/>
  </r>
  <r>
    <x v="0"/>
    <x v="33"/>
    <x v="14"/>
  </r>
  <r>
    <x v="0"/>
    <x v="33"/>
    <x v="25"/>
  </r>
  <r>
    <x v="0"/>
    <x v="33"/>
    <x v="25"/>
  </r>
  <r>
    <x v="0"/>
    <x v="33"/>
    <x v="15"/>
  </r>
  <r>
    <x v="0"/>
    <x v="33"/>
    <x v="36"/>
  </r>
  <r>
    <x v="0"/>
    <x v="33"/>
    <x v="40"/>
  </r>
  <r>
    <x v="0"/>
    <x v="33"/>
    <x v="40"/>
  </r>
  <r>
    <x v="0"/>
    <x v="33"/>
    <x v="16"/>
  </r>
  <r>
    <x v="0"/>
    <x v="33"/>
    <x v="17"/>
  </r>
  <r>
    <x v="0"/>
    <x v="33"/>
    <x v="33"/>
  </r>
  <r>
    <x v="0"/>
    <x v="33"/>
    <x v="33"/>
  </r>
  <r>
    <x v="0"/>
    <x v="33"/>
    <x v="18"/>
  </r>
  <r>
    <x v="0"/>
    <x v="33"/>
    <x v="19"/>
  </r>
  <r>
    <x v="0"/>
    <x v="33"/>
    <x v="20"/>
  </r>
  <r>
    <x v="0"/>
    <x v="33"/>
    <x v="35"/>
  </r>
  <r>
    <x v="0"/>
    <x v="33"/>
    <x v="35"/>
  </r>
  <r>
    <x v="0"/>
    <x v="33"/>
    <x v="35"/>
  </r>
  <r>
    <x v="0"/>
    <x v="33"/>
    <x v="35"/>
  </r>
  <r>
    <x v="0"/>
    <x v="33"/>
    <x v="35"/>
  </r>
  <r>
    <x v="0"/>
    <x v="33"/>
    <x v="30"/>
  </r>
  <r>
    <x v="7"/>
    <x v="33"/>
    <x v="30"/>
  </r>
  <r>
    <x v="0"/>
    <x v="33"/>
    <x v="27"/>
  </r>
  <r>
    <x v="0"/>
    <x v="33"/>
    <x v="27"/>
  </r>
  <r>
    <x v="23"/>
    <x v="33"/>
    <x v="31"/>
  </r>
  <r>
    <x v="0"/>
    <x v="33"/>
    <x v="31"/>
  </r>
  <r>
    <x v="0"/>
    <x v="33"/>
    <x v="31"/>
  </r>
  <r>
    <x v="0"/>
    <x v="33"/>
    <x v="31"/>
  </r>
  <r>
    <x v="0"/>
    <x v="33"/>
    <x v="31"/>
  </r>
  <r>
    <x v="8"/>
    <x v="33"/>
    <x v="31"/>
  </r>
  <r>
    <x v="96"/>
    <x v="33"/>
    <x v="31"/>
  </r>
  <r>
    <x v="12"/>
    <x v="33"/>
    <x v="37"/>
  </r>
  <r>
    <x v="0"/>
    <x v="33"/>
    <x v="37"/>
  </r>
  <r>
    <x v="0"/>
    <x v="33"/>
    <x v="37"/>
  </r>
  <r>
    <x v="28"/>
    <x v="33"/>
    <x v="29"/>
  </r>
  <r>
    <x v="11"/>
    <x v="33"/>
    <x v="29"/>
  </r>
  <r>
    <x v="0"/>
    <x v="33"/>
    <x v="29"/>
  </r>
  <r>
    <x v="11"/>
    <x v="33"/>
    <x v="29"/>
  </r>
  <r>
    <x v="0"/>
    <x v="33"/>
    <x v="29"/>
  </r>
  <r>
    <x v="0"/>
    <x v="33"/>
    <x v="29"/>
  </r>
  <r>
    <x v="0"/>
    <x v="33"/>
    <x v="29"/>
  </r>
  <r>
    <x v="45"/>
    <x v="33"/>
    <x v="29"/>
  </r>
  <r>
    <x v="0"/>
    <x v="33"/>
    <x v="29"/>
  </r>
  <r>
    <x v="0"/>
    <x v="33"/>
    <x v="29"/>
  </r>
  <r>
    <x v="6"/>
    <x v="33"/>
    <x v="29"/>
  </r>
  <r>
    <x v="16"/>
    <x v="33"/>
    <x v="29"/>
  </r>
  <r>
    <x v="112"/>
    <x v="33"/>
    <x v="29"/>
  </r>
  <r>
    <x v="72"/>
    <x v="33"/>
    <x v="29"/>
  </r>
  <r>
    <x v="16"/>
    <x v="33"/>
    <x v="29"/>
  </r>
  <r>
    <x v="0"/>
    <x v="33"/>
    <x v="41"/>
  </r>
  <r>
    <x v="36"/>
    <x v="33"/>
    <x v="32"/>
  </r>
  <r>
    <x v="127"/>
    <x v="33"/>
    <x v="32"/>
  </r>
  <r>
    <x v="84"/>
    <x v="33"/>
    <x v="34"/>
  </r>
  <r>
    <x v="127"/>
    <x v="33"/>
    <x v="34"/>
  </r>
  <r>
    <x v="361"/>
    <x v="33"/>
    <x v="34"/>
  </r>
  <r>
    <x v="0"/>
    <x v="33"/>
    <x v="38"/>
  </r>
  <r>
    <x v="0"/>
    <x v="33"/>
    <x v="21"/>
  </r>
  <r>
    <x v="0"/>
    <x v="33"/>
    <x v="22"/>
  </r>
  <r>
    <x v="0"/>
    <x v="33"/>
    <x v="23"/>
  </r>
  <r>
    <x v="0"/>
    <x v="33"/>
    <x v="28"/>
  </r>
  <r>
    <x v="0"/>
    <x v="33"/>
    <x v="28"/>
  </r>
  <r>
    <x v="0"/>
    <x v="33"/>
    <x v="24"/>
  </r>
  <r>
    <x v="176"/>
    <x v="33"/>
    <x v="32"/>
  </r>
  <r>
    <x v="429"/>
    <x v="33"/>
    <x v="34"/>
  </r>
  <r>
    <x v="0"/>
    <x v="33"/>
    <x v="41"/>
  </r>
  <r>
    <x v="35"/>
    <x v="33"/>
    <x v="31"/>
  </r>
  <r>
    <x v="0"/>
    <x v="33"/>
    <x v="36"/>
  </r>
  <r>
    <x v="0"/>
    <x v="33"/>
    <x v="42"/>
  </r>
  <r>
    <x v="0"/>
    <x v="33"/>
    <x v="43"/>
  </r>
  <r>
    <x v="9"/>
    <x v="33"/>
    <x v="44"/>
  </r>
  <r>
    <x v="513"/>
    <x v="40"/>
    <x v="0"/>
  </r>
  <r>
    <x v="0"/>
    <x v="40"/>
    <x v="1"/>
  </r>
  <r>
    <x v="9"/>
    <x v="40"/>
    <x v="2"/>
  </r>
  <r>
    <x v="0"/>
    <x v="40"/>
    <x v="3"/>
  </r>
  <r>
    <x v="0"/>
    <x v="40"/>
    <x v="4"/>
  </r>
  <r>
    <x v="0"/>
    <x v="40"/>
    <x v="5"/>
  </r>
  <r>
    <x v="0"/>
    <x v="40"/>
    <x v="6"/>
  </r>
  <r>
    <x v="0"/>
    <x v="40"/>
    <x v="7"/>
  </r>
  <r>
    <x v="0"/>
    <x v="40"/>
    <x v="8"/>
  </r>
  <r>
    <x v="0"/>
    <x v="40"/>
    <x v="9"/>
  </r>
  <r>
    <x v="0"/>
    <x v="40"/>
    <x v="10"/>
  </r>
  <r>
    <x v="0"/>
    <x v="40"/>
    <x v="11"/>
  </r>
  <r>
    <x v="0"/>
    <x v="40"/>
    <x v="12"/>
  </r>
  <r>
    <x v="0"/>
    <x v="40"/>
    <x v="39"/>
  </r>
  <r>
    <x v="0"/>
    <x v="40"/>
    <x v="39"/>
  </r>
  <r>
    <x v="0"/>
    <x v="40"/>
    <x v="13"/>
  </r>
  <r>
    <x v="0"/>
    <x v="40"/>
    <x v="38"/>
  </r>
  <r>
    <x v="0"/>
    <x v="40"/>
    <x v="26"/>
  </r>
  <r>
    <x v="0"/>
    <x v="40"/>
    <x v="26"/>
  </r>
  <r>
    <x v="0"/>
    <x v="40"/>
    <x v="14"/>
  </r>
  <r>
    <x v="0"/>
    <x v="40"/>
    <x v="25"/>
  </r>
  <r>
    <x v="0"/>
    <x v="40"/>
    <x v="25"/>
  </r>
  <r>
    <x v="6"/>
    <x v="40"/>
    <x v="15"/>
  </r>
  <r>
    <x v="0"/>
    <x v="40"/>
    <x v="36"/>
  </r>
  <r>
    <x v="0"/>
    <x v="40"/>
    <x v="40"/>
  </r>
  <r>
    <x v="0"/>
    <x v="40"/>
    <x v="40"/>
  </r>
  <r>
    <x v="0"/>
    <x v="40"/>
    <x v="16"/>
  </r>
  <r>
    <x v="0"/>
    <x v="40"/>
    <x v="17"/>
  </r>
  <r>
    <x v="0"/>
    <x v="40"/>
    <x v="33"/>
  </r>
  <r>
    <x v="0"/>
    <x v="40"/>
    <x v="33"/>
  </r>
  <r>
    <x v="0"/>
    <x v="40"/>
    <x v="18"/>
  </r>
  <r>
    <x v="0"/>
    <x v="40"/>
    <x v="19"/>
  </r>
  <r>
    <x v="40"/>
    <x v="40"/>
    <x v="20"/>
  </r>
  <r>
    <x v="7"/>
    <x v="40"/>
    <x v="35"/>
  </r>
  <r>
    <x v="0"/>
    <x v="40"/>
    <x v="35"/>
  </r>
  <r>
    <x v="0"/>
    <x v="40"/>
    <x v="35"/>
  </r>
  <r>
    <x v="0"/>
    <x v="40"/>
    <x v="35"/>
  </r>
  <r>
    <x v="0"/>
    <x v="40"/>
    <x v="35"/>
  </r>
  <r>
    <x v="0"/>
    <x v="40"/>
    <x v="30"/>
  </r>
  <r>
    <x v="0"/>
    <x v="40"/>
    <x v="30"/>
  </r>
  <r>
    <x v="0"/>
    <x v="40"/>
    <x v="27"/>
  </r>
  <r>
    <x v="0"/>
    <x v="40"/>
    <x v="27"/>
  </r>
  <r>
    <x v="0"/>
    <x v="40"/>
    <x v="31"/>
  </r>
  <r>
    <x v="0"/>
    <x v="40"/>
    <x v="31"/>
  </r>
  <r>
    <x v="0"/>
    <x v="40"/>
    <x v="31"/>
  </r>
  <r>
    <x v="0"/>
    <x v="40"/>
    <x v="31"/>
  </r>
  <r>
    <x v="0"/>
    <x v="40"/>
    <x v="31"/>
  </r>
  <r>
    <x v="0"/>
    <x v="40"/>
    <x v="31"/>
  </r>
  <r>
    <x v="0"/>
    <x v="40"/>
    <x v="31"/>
  </r>
  <r>
    <x v="0"/>
    <x v="40"/>
    <x v="37"/>
  </r>
  <r>
    <x v="0"/>
    <x v="40"/>
    <x v="37"/>
  </r>
  <r>
    <x v="0"/>
    <x v="40"/>
    <x v="37"/>
  </r>
  <r>
    <x v="0"/>
    <x v="40"/>
    <x v="29"/>
  </r>
  <r>
    <x v="0"/>
    <x v="40"/>
    <x v="29"/>
  </r>
  <r>
    <x v="0"/>
    <x v="40"/>
    <x v="29"/>
  </r>
  <r>
    <x v="0"/>
    <x v="40"/>
    <x v="29"/>
  </r>
  <r>
    <x v="0"/>
    <x v="40"/>
    <x v="29"/>
  </r>
  <r>
    <x v="0"/>
    <x v="40"/>
    <x v="29"/>
  </r>
  <r>
    <x v="0"/>
    <x v="40"/>
    <x v="29"/>
  </r>
  <r>
    <x v="0"/>
    <x v="40"/>
    <x v="29"/>
  </r>
  <r>
    <x v="0"/>
    <x v="40"/>
    <x v="29"/>
  </r>
  <r>
    <x v="0"/>
    <x v="40"/>
    <x v="29"/>
  </r>
  <r>
    <x v="0"/>
    <x v="40"/>
    <x v="29"/>
  </r>
  <r>
    <x v="5"/>
    <x v="40"/>
    <x v="29"/>
  </r>
  <r>
    <x v="143"/>
    <x v="40"/>
    <x v="29"/>
  </r>
  <r>
    <x v="123"/>
    <x v="40"/>
    <x v="29"/>
  </r>
  <r>
    <x v="18"/>
    <x v="40"/>
    <x v="29"/>
  </r>
  <r>
    <x v="426"/>
    <x v="40"/>
    <x v="41"/>
  </r>
  <r>
    <x v="0"/>
    <x v="40"/>
    <x v="32"/>
  </r>
  <r>
    <x v="0"/>
    <x v="40"/>
    <x v="32"/>
  </r>
  <r>
    <x v="0"/>
    <x v="40"/>
    <x v="34"/>
  </r>
  <r>
    <x v="0"/>
    <x v="40"/>
    <x v="34"/>
  </r>
  <r>
    <x v="9"/>
    <x v="40"/>
    <x v="34"/>
  </r>
  <r>
    <x v="0"/>
    <x v="40"/>
    <x v="38"/>
  </r>
  <r>
    <x v="0"/>
    <x v="40"/>
    <x v="21"/>
  </r>
  <r>
    <x v="0"/>
    <x v="40"/>
    <x v="22"/>
  </r>
  <r>
    <x v="0"/>
    <x v="40"/>
    <x v="23"/>
  </r>
  <r>
    <x v="0"/>
    <x v="40"/>
    <x v="28"/>
  </r>
  <r>
    <x v="0"/>
    <x v="40"/>
    <x v="28"/>
  </r>
  <r>
    <x v="7"/>
    <x v="40"/>
    <x v="24"/>
  </r>
  <r>
    <x v="0"/>
    <x v="40"/>
    <x v="32"/>
  </r>
  <r>
    <x v="0"/>
    <x v="40"/>
    <x v="34"/>
  </r>
  <r>
    <x v="411"/>
    <x v="40"/>
    <x v="41"/>
  </r>
  <r>
    <x v="9"/>
    <x v="40"/>
    <x v="31"/>
  </r>
  <r>
    <x v="0"/>
    <x v="40"/>
    <x v="36"/>
  </r>
  <r>
    <x v="0"/>
    <x v="40"/>
    <x v="42"/>
  </r>
  <r>
    <x v="0"/>
    <x v="40"/>
    <x v="43"/>
  </r>
  <r>
    <x v="0"/>
    <x v="40"/>
    <x v="44"/>
  </r>
  <r>
    <x v="546"/>
    <x v="30"/>
    <x v="0"/>
  </r>
  <r>
    <x v="6"/>
    <x v="30"/>
    <x v="1"/>
  </r>
  <r>
    <x v="0"/>
    <x v="30"/>
    <x v="2"/>
  </r>
  <r>
    <x v="0"/>
    <x v="30"/>
    <x v="3"/>
  </r>
  <r>
    <x v="0"/>
    <x v="30"/>
    <x v="4"/>
  </r>
  <r>
    <x v="0"/>
    <x v="30"/>
    <x v="5"/>
  </r>
  <r>
    <x v="0"/>
    <x v="30"/>
    <x v="6"/>
  </r>
  <r>
    <x v="0"/>
    <x v="30"/>
    <x v="7"/>
  </r>
  <r>
    <x v="0"/>
    <x v="30"/>
    <x v="8"/>
  </r>
  <r>
    <x v="0"/>
    <x v="30"/>
    <x v="9"/>
  </r>
  <r>
    <x v="0"/>
    <x v="30"/>
    <x v="10"/>
  </r>
  <r>
    <x v="6"/>
    <x v="30"/>
    <x v="11"/>
  </r>
  <r>
    <x v="0"/>
    <x v="30"/>
    <x v="12"/>
  </r>
  <r>
    <x v="0"/>
    <x v="30"/>
    <x v="39"/>
  </r>
  <r>
    <x v="0"/>
    <x v="30"/>
    <x v="39"/>
  </r>
  <r>
    <x v="0"/>
    <x v="30"/>
    <x v="13"/>
  </r>
  <r>
    <x v="0"/>
    <x v="30"/>
    <x v="38"/>
  </r>
  <r>
    <x v="0"/>
    <x v="30"/>
    <x v="26"/>
  </r>
  <r>
    <x v="8"/>
    <x v="30"/>
    <x v="26"/>
  </r>
  <r>
    <x v="0"/>
    <x v="30"/>
    <x v="14"/>
  </r>
  <r>
    <x v="0"/>
    <x v="30"/>
    <x v="25"/>
  </r>
  <r>
    <x v="0"/>
    <x v="30"/>
    <x v="25"/>
  </r>
  <r>
    <x v="0"/>
    <x v="30"/>
    <x v="15"/>
  </r>
  <r>
    <x v="0"/>
    <x v="30"/>
    <x v="36"/>
  </r>
  <r>
    <x v="0"/>
    <x v="30"/>
    <x v="40"/>
  </r>
  <r>
    <x v="0"/>
    <x v="30"/>
    <x v="40"/>
  </r>
  <r>
    <x v="0"/>
    <x v="30"/>
    <x v="16"/>
  </r>
  <r>
    <x v="0"/>
    <x v="30"/>
    <x v="17"/>
  </r>
  <r>
    <x v="0"/>
    <x v="30"/>
    <x v="33"/>
  </r>
  <r>
    <x v="0"/>
    <x v="30"/>
    <x v="33"/>
  </r>
  <r>
    <x v="0"/>
    <x v="30"/>
    <x v="18"/>
  </r>
  <r>
    <x v="0"/>
    <x v="30"/>
    <x v="19"/>
  </r>
  <r>
    <x v="0"/>
    <x v="30"/>
    <x v="20"/>
  </r>
  <r>
    <x v="7"/>
    <x v="30"/>
    <x v="35"/>
  </r>
  <r>
    <x v="17"/>
    <x v="30"/>
    <x v="35"/>
  </r>
  <r>
    <x v="0"/>
    <x v="30"/>
    <x v="35"/>
  </r>
  <r>
    <x v="0"/>
    <x v="30"/>
    <x v="35"/>
  </r>
  <r>
    <x v="0"/>
    <x v="30"/>
    <x v="35"/>
  </r>
  <r>
    <x v="0"/>
    <x v="30"/>
    <x v="30"/>
  </r>
  <r>
    <x v="0"/>
    <x v="30"/>
    <x v="30"/>
  </r>
  <r>
    <x v="0"/>
    <x v="30"/>
    <x v="27"/>
  </r>
  <r>
    <x v="0"/>
    <x v="30"/>
    <x v="27"/>
  </r>
  <r>
    <x v="305"/>
    <x v="30"/>
    <x v="31"/>
  </r>
  <r>
    <x v="35"/>
    <x v="30"/>
    <x v="31"/>
  </r>
  <r>
    <x v="43"/>
    <x v="30"/>
    <x v="31"/>
  </r>
  <r>
    <x v="52"/>
    <x v="30"/>
    <x v="31"/>
  </r>
  <r>
    <x v="97"/>
    <x v="30"/>
    <x v="31"/>
  </r>
  <r>
    <x v="235"/>
    <x v="30"/>
    <x v="31"/>
  </r>
  <r>
    <x v="459"/>
    <x v="30"/>
    <x v="31"/>
  </r>
  <r>
    <x v="0"/>
    <x v="30"/>
    <x v="37"/>
  </r>
  <r>
    <x v="0"/>
    <x v="30"/>
    <x v="37"/>
  </r>
  <r>
    <x v="0"/>
    <x v="30"/>
    <x v="37"/>
  </r>
  <r>
    <x v="5"/>
    <x v="30"/>
    <x v="29"/>
  </r>
  <r>
    <x v="7"/>
    <x v="30"/>
    <x v="29"/>
  </r>
  <r>
    <x v="19"/>
    <x v="30"/>
    <x v="29"/>
  </r>
  <r>
    <x v="40"/>
    <x v="30"/>
    <x v="29"/>
  </r>
  <r>
    <x v="8"/>
    <x v="30"/>
    <x v="29"/>
  </r>
  <r>
    <x v="25"/>
    <x v="30"/>
    <x v="29"/>
  </r>
  <r>
    <x v="6"/>
    <x v="30"/>
    <x v="29"/>
  </r>
  <r>
    <x v="18"/>
    <x v="30"/>
    <x v="29"/>
  </r>
  <r>
    <x v="27"/>
    <x v="30"/>
    <x v="29"/>
  </r>
  <r>
    <x v="14"/>
    <x v="30"/>
    <x v="29"/>
  </r>
  <r>
    <x v="0"/>
    <x v="30"/>
    <x v="29"/>
  </r>
  <r>
    <x v="0"/>
    <x v="30"/>
    <x v="29"/>
  </r>
  <r>
    <x v="311"/>
    <x v="30"/>
    <x v="29"/>
  </r>
  <r>
    <x v="213"/>
    <x v="30"/>
    <x v="29"/>
  </r>
  <r>
    <x v="185"/>
    <x v="30"/>
    <x v="29"/>
  </r>
  <r>
    <x v="11"/>
    <x v="30"/>
    <x v="41"/>
  </r>
  <r>
    <x v="0"/>
    <x v="30"/>
    <x v="32"/>
  </r>
  <r>
    <x v="47"/>
    <x v="30"/>
    <x v="32"/>
  </r>
  <r>
    <x v="0"/>
    <x v="30"/>
    <x v="34"/>
  </r>
  <r>
    <x v="34"/>
    <x v="30"/>
    <x v="34"/>
  </r>
  <r>
    <x v="51"/>
    <x v="30"/>
    <x v="34"/>
  </r>
  <r>
    <x v="0"/>
    <x v="30"/>
    <x v="38"/>
  </r>
  <r>
    <x v="0"/>
    <x v="30"/>
    <x v="21"/>
  </r>
  <r>
    <x v="0"/>
    <x v="30"/>
    <x v="22"/>
  </r>
  <r>
    <x v="0"/>
    <x v="30"/>
    <x v="23"/>
  </r>
  <r>
    <x v="0"/>
    <x v="30"/>
    <x v="28"/>
  </r>
  <r>
    <x v="0"/>
    <x v="30"/>
    <x v="28"/>
  </r>
  <r>
    <x v="0"/>
    <x v="30"/>
    <x v="24"/>
  </r>
  <r>
    <x v="33"/>
    <x v="30"/>
    <x v="32"/>
  </r>
  <r>
    <x v="19"/>
    <x v="30"/>
    <x v="34"/>
  </r>
  <r>
    <x v="0"/>
    <x v="30"/>
    <x v="41"/>
  </r>
  <r>
    <x v="451"/>
    <x v="30"/>
    <x v="31"/>
  </r>
  <r>
    <x v="0"/>
    <x v="30"/>
    <x v="36"/>
  </r>
  <r>
    <x v="0"/>
    <x v="30"/>
    <x v="42"/>
  </r>
  <r>
    <x v="0"/>
    <x v="30"/>
    <x v="43"/>
  </r>
  <r>
    <x v="11"/>
    <x v="30"/>
    <x v="44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9" cacheId="1" dataOnRows="0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1:A2" firstHeaderRow="1" firstDataRow="1" firstDataCol="0"/>
  <pivotFields count="3">
    <pivotField dataField="1" compact="0" showAll="0"/>
    <pivotField compact="0" showAll="0"/>
    <pivotField compact="0" showAll="0"/>
  </pivotFields>
  <rowItems count="1">
    <i/>
  </rowItems>
  <colItems count="1">
    <i/>
  </colItems>
  <dataFields count="1">
    <dataField name="Sum of TRIPS" fld="0" subtotal="sum" numFmtId="169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5" min="3" style="0" width="9.28"/>
    <col collapsed="false" customWidth="true" hidden="false" outlineLevel="0" max="16" min="16" style="0" width="9.56"/>
    <col collapsed="false" customWidth="true" hidden="false" outlineLevel="0" max="26" min="17" style="0" width="9.28"/>
    <col collapsed="false" customWidth="true" hidden="false" outlineLevel="0" max="27" min="27" style="0" width="9.56"/>
    <col collapsed="false" customWidth="true" hidden="false" outlineLevel="0" max="30" min="28" style="0" width="9.28"/>
    <col collapsed="false" customWidth="true" hidden="false" outlineLevel="0" max="31" min="31" style="0" width="9.56"/>
    <col collapsed="false" customWidth="true" hidden="false" outlineLevel="0" max="32" min="32" style="0" width="9.28"/>
    <col collapsed="false" customWidth="true" hidden="false" outlineLevel="0" max="33" min="33" style="0" width="9.56"/>
    <col collapsed="false" customWidth="true" hidden="false" outlineLevel="0" max="38" min="34" style="0" width="9.28"/>
    <col collapsed="false" customWidth="true" hidden="false" outlineLevel="0" max="39" min="39" style="0" width="9.56"/>
    <col collapsed="false" customWidth="true" hidden="false" outlineLevel="0" max="44" min="40" style="0" width="9.28"/>
    <col collapsed="false" customWidth="true" hidden="false" outlineLevel="0" max="47" min="47" style="0" width="10.13"/>
  </cols>
  <sheetData>
    <row r="1" customFormat="false" ht="12.75" hidden="false" customHeight="false" outlineLevel="0" collapsed="false">
      <c r="A1" s="0" t="s">
        <v>0</v>
      </c>
      <c r="B1" s="0" t="s">
        <v>1</v>
      </c>
    </row>
    <row r="2" customFormat="false" ht="12.75" hidden="false" customHeight="false" outlineLevel="0" collapsed="false">
      <c r="A2" s="0" t="s">
        <v>2</v>
      </c>
      <c r="B2" s="0" t="n">
        <v>0</v>
      </c>
      <c r="C2" s="0" t="n">
        <v>1</v>
      </c>
      <c r="D2" s="0" t="n">
        <v>2</v>
      </c>
      <c r="E2" s="0" t="n">
        <v>3</v>
      </c>
      <c r="F2" s="0" t="n">
        <v>4</v>
      </c>
      <c r="G2" s="0" t="n">
        <v>5</v>
      </c>
      <c r="H2" s="0" t="n">
        <v>6</v>
      </c>
      <c r="I2" s="0" t="n">
        <v>7</v>
      </c>
      <c r="J2" s="0" t="n">
        <v>8</v>
      </c>
      <c r="K2" s="0" t="n">
        <v>9</v>
      </c>
      <c r="L2" s="0" t="n">
        <v>10</v>
      </c>
      <c r="M2" s="0" t="n">
        <v>11</v>
      </c>
      <c r="N2" s="0" t="n">
        <v>12</v>
      </c>
      <c r="O2" s="0" t="n">
        <v>15</v>
      </c>
      <c r="P2" s="0" t="n">
        <v>19</v>
      </c>
      <c r="Q2" s="0" t="n">
        <v>22</v>
      </c>
      <c r="R2" s="0" t="n">
        <v>26</v>
      </c>
      <c r="S2" s="0" t="n">
        <v>27</v>
      </c>
      <c r="T2" s="0" t="n">
        <v>30</v>
      </c>
      <c r="U2" s="0" t="n">
        <v>31</v>
      </c>
      <c r="V2" s="0" t="n">
        <v>32</v>
      </c>
      <c r="W2" s="0" t="n">
        <v>75</v>
      </c>
      <c r="X2" s="0" t="n">
        <v>76</v>
      </c>
      <c r="Y2" s="0" t="n">
        <v>77</v>
      </c>
      <c r="Z2" s="0" t="n">
        <v>80</v>
      </c>
      <c r="AA2" s="0" t="n">
        <v>86</v>
      </c>
      <c r="AB2" s="0" t="n">
        <v>87</v>
      </c>
      <c r="AC2" s="0" t="n">
        <v>88</v>
      </c>
      <c r="AD2" s="0" t="n">
        <v>89</v>
      </c>
      <c r="AE2" s="0" t="n">
        <v>90</v>
      </c>
      <c r="AF2" s="0" t="n">
        <v>91</v>
      </c>
      <c r="AG2" s="0" t="n">
        <v>92</v>
      </c>
      <c r="AH2" s="0" t="n">
        <v>93</v>
      </c>
      <c r="AI2" s="0" t="n">
        <v>94</v>
      </c>
      <c r="AJ2" s="0" t="n">
        <v>95</v>
      </c>
      <c r="AK2" s="0" t="n">
        <v>96</v>
      </c>
      <c r="AL2" s="0" t="n">
        <v>97</v>
      </c>
      <c r="AM2" s="0" t="n">
        <v>98</v>
      </c>
      <c r="AN2" s="0" t="n">
        <v>99</v>
      </c>
      <c r="AO2" s="0" t="n">
        <v>100</v>
      </c>
      <c r="AP2" s="0" t="n">
        <v>101</v>
      </c>
      <c r="AQ2" s="0" t="n">
        <v>103</v>
      </c>
      <c r="AR2" s="0" t="s">
        <v>3</v>
      </c>
      <c r="AS2" s="0" t="s">
        <v>4</v>
      </c>
      <c r="AT2" s="0" t="s">
        <v>5</v>
      </c>
      <c r="AU2" s="0" t="s">
        <v>6</v>
      </c>
    </row>
    <row r="3" customFormat="false" ht="12.75" hidden="false" customHeight="false" outlineLevel="0" collapsed="false">
      <c r="A3" s="0" t="n">
        <v>1</v>
      </c>
      <c r="B3" s="0" t="n">
        <v>70434</v>
      </c>
      <c r="C3" s="1" t="n">
        <v>0</v>
      </c>
      <c r="D3" s="1" t="n">
        <f aca="false">'OD-APUMA(Val)'!D3*D$49</f>
        <v>221</v>
      </c>
      <c r="E3" s="1" t="n">
        <f aca="false">'OD-APUMA(Val)'!E3*E$49</f>
        <v>780</v>
      </c>
      <c r="F3" s="1" t="n">
        <f aca="false">'OD-APUMA(Val)'!F3*F$49</f>
        <v>104</v>
      </c>
      <c r="G3" s="1" t="n">
        <f aca="false">'OD-APUMA(Val)'!G3*G$49</f>
        <v>65</v>
      </c>
      <c r="H3" s="1" t="n">
        <f aca="false">'OD-APUMA(Val)'!H3*H$49</f>
        <v>117</v>
      </c>
      <c r="I3" s="1" t="n">
        <f aca="false">'OD-APUMA(Val)'!I3*I$49</f>
        <v>403</v>
      </c>
      <c r="J3" s="1" t="n">
        <f aca="false">'OD-APUMA(Val)'!J3*J$49</f>
        <v>0</v>
      </c>
      <c r="K3" s="1" t="n">
        <f aca="false">'OD-APUMA(Val)'!K3*K$49</f>
        <v>0</v>
      </c>
      <c r="L3" s="1" t="n">
        <f aca="false">'OD-APUMA(Val)'!L3*L$49</f>
        <v>0</v>
      </c>
      <c r="M3" s="1" t="n">
        <f aca="false">'OD-APUMA(Val)'!M3*M$49</f>
        <v>0</v>
      </c>
      <c r="N3" s="1" t="n">
        <f aca="false">'OD-APUMA(Val)'!N3*N$49</f>
        <v>0</v>
      </c>
      <c r="O3" s="1" t="n">
        <f aca="false">'OD-APUMA(Val)'!O3*O$49</f>
        <v>0</v>
      </c>
      <c r="P3" s="1" t="n">
        <f aca="false">'OD-APUMA(Val)'!P3*P$49</f>
        <v>26</v>
      </c>
      <c r="Q3" s="1" t="n">
        <f aca="false">'OD-APUMA(Val)'!Q3*Q$49</f>
        <v>0</v>
      </c>
      <c r="R3" s="1" t="n">
        <f aca="false">'OD-APUMA(Val)'!R3*R$49</f>
        <v>104</v>
      </c>
      <c r="S3" s="1" t="n">
        <f aca="false">'OD-APUMA(Val)'!S3*S$49</f>
        <v>0</v>
      </c>
      <c r="T3" s="1" t="n">
        <f aca="false">'OD-APUMA(Val)'!T3*T$49</f>
        <v>0</v>
      </c>
      <c r="U3" s="1" t="n">
        <f aca="false">'OD-APUMA(Val)'!U3*U$49</f>
        <v>0</v>
      </c>
      <c r="V3" s="1" t="n">
        <f aca="false">'OD-APUMA(Val)'!V3*V$49</f>
        <v>0</v>
      </c>
      <c r="W3" s="1" t="n">
        <f aca="false">'OD-APUMA(Val)'!W3*W$49</f>
        <v>52</v>
      </c>
      <c r="X3" s="1" t="n">
        <f aca="false">'OD-APUMA(Val)'!X3*X$49</f>
        <v>0</v>
      </c>
      <c r="Y3" s="1" t="n">
        <f aca="false">'OD-APUMA(Val)'!Y3*Y$49</f>
        <v>0</v>
      </c>
      <c r="Z3" s="1" t="n">
        <f aca="false">'OD-APUMA(Val)'!Z3*Z$49</f>
        <v>0</v>
      </c>
      <c r="AA3" s="1" t="n">
        <f aca="false">'OD-APUMA(Val)'!AA3*AA$49</f>
        <v>0</v>
      </c>
      <c r="AB3" s="1" t="n">
        <f aca="false">'OD-APUMA(Val)'!AB3*AB$49</f>
        <v>0</v>
      </c>
      <c r="AC3" s="1" t="n">
        <f aca="false">'OD-APUMA(Val)'!AC3*AC$49</f>
        <v>91</v>
      </c>
      <c r="AD3" s="1" t="n">
        <f aca="false">'OD-APUMA(Val)'!AD3*AD$49</f>
        <v>0</v>
      </c>
      <c r="AE3" s="1" t="n">
        <f aca="false">'OD-APUMA(Val)'!AE3*AE$49</f>
        <v>0</v>
      </c>
      <c r="AF3" s="1" t="n">
        <f aca="false">'OD-APUMA(Val)'!AF3*AF$49</f>
        <v>0</v>
      </c>
      <c r="AG3" s="1" t="n">
        <f aca="false">'OD-APUMA(Val)'!AG3*AG$49</f>
        <v>0</v>
      </c>
      <c r="AH3" s="1" t="n">
        <f aca="false">'OD-APUMA(Val)'!AH3*AH$49</f>
        <v>39</v>
      </c>
      <c r="AI3" s="1" t="n">
        <f aca="false">'OD-APUMA(Val)'!AI3*AI$49</f>
        <v>117</v>
      </c>
      <c r="AJ3" s="1" t="n">
        <f aca="false">'OD-APUMA(Val)'!AJ3*AJ$49</f>
        <v>0</v>
      </c>
      <c r="AK3" s="1" t="n">
        <f aca="false">'OD-APUMA(Val)'!AK3*AK$49</f>
        <v>0</v>
      </c>
      <c r="AL3" s="1" t="n">
        <f aca="false">'OD-APUMA(Val)'!AL3*AL$49</f>
        <v>0</v>
      </c>
      <c r="AM3" s="1" t="n">
        <f aca="false">'OD-APUMA(Val)'!AM3*AM$49</f>
        <v>52</v>
      </c>
      <c r="AN3" s="1" t="n">
        <f aca="false">'OD-APUMA(Val)'!AN3*AN$49</f>
        <v>273</v>
      </c>
      <c r="AO3" s="1" t="n">
        <f aca="false">'OD-APUMA(Val)'!AO3*AO$49</f>
        <v>65</v>
      </c>
      <c r="AP3" s="1" t="n">
        <f aca="false">'OD-APUMA(Val)'!AP3*AP$49</f>
        <v>0</v>
      </c>
      <c r="AQ3" s="1" t="n">
        <f aca="false">'OD-APUMA(Val)'!AQ3*AQ$49</f>
        <v>0</v>
      </c>
      <c r="AR3" s="0" t="n">
        <f aca="false">SUM('OD-APUMA(Val)'!C3:AQ3)</f>
        <v>35412</v>
      </c>
      <c r="AS3" s="0" t="n">
        <f aca="false">MAX('OD-APUMA(Val)'!C3:AQ3)</f>
        <v>32903</v>
      </c>
      <c r="AT3" s="2" t="n">
        <f aca="false">SUM(C3:AQ3)/AR3</f>
        <v>0.0708516886930984</v>
      </c>
      <c r="AU3" s="3" t="n">
        <f aca="false">AT3^4</f>
        <v>2.52000163797238E-005</v>
      </c>
    </row>
    <row r="4" customFormat="false" ht="12.75" hidden="false" customHeight="false" outlineLevel="0" collapsed="false">
      <c r="A4" s="0" t="n">
        <v>2</v>
      </c>
      <c r="B4" s="0" t="n">
        <v>70551</v>
      </c>
      <c r="C4" s="1" t="n">
        <f aca="false">'OD-APUMA(Val)'!C4*C$49</f>
        <v>273</v>
      </c>
      <c r="D4" s="1" t="n">
        <v>0</v>
      </c>
      <c r="E4" s="1" t="n">
        <f aca="false">'OD-APUMA(Val)'!E4*E$49</f>
        <v>0</v>
      </c>
      <c r="F4" s="1" t="n">
        <f aca="false">'OD-APUMA(Val)'!F4*F$49</f>
        <v>273</v>
      </c>
      <c r="G4" s="1" t="n">
        <f aca="false">'OD-APUMA(Val)'!G4*G$49</f>
        <v>0</v>
      </c>
      <c r="H4" s="1" t="n">
        <f aca="false">'OD-APUMA(Val)'!H4*H$49</f>
        <v>0</v>
      </c>
      <c r="I4" s="1" t="n">
        <f aca="false">'OD-APUMA(Val)'!I4*I$49</f>
        <v>0</v>
      </c>
      <c r="J4" s="1" t="n">
        <f aca="false">'OD-APUMA(Val)'!J4*J$49</f>
        <v>0</v>
      </c>
      <c r="K4" s="1" t="n">
        <f aca="false">'OD-APUMA(Val)'!K4*K$49</f>
        <v>0</v>
      </c>
      <c r="L4" s="1" t="n">
        <f aca="false">'OD-APUMA(Val)'!L4*L$49</f>
        <v>0</v>
      </c>
      <c r="M4" s="1" t="n">
        <f aca="false">'OD-APUMA(Val)'!M4*M$49</f>
        <v>0</v>
      </c>
      <c r="N4" s="1" t="n">
        <f aca="false">'OD-APUMA(Val)'!N4*N$49</f>
        <v>0</v>
      </c>
      <c r="O4" s="1" t="n">
        <f aca="false">'OD-APUMA(Val)'!O4*O$49</f>
        <v>78</v>
      </c>
      <c r="P4" s="1" t="n">
        <f aca="false">'OD-APUMA(Val)'!P4*P$49</f>
        <v>0</v>
      </c>
      <c r="Q4" s="1" t="n">
        <f aca="false">'OD-APUMA(Val)'!Q4*Q$49</f>
        <v>0</v>
      </c>
      <c r="R4" s="1" t="n">
        <f aca="false">'OD-APUMA(Val)'!R4*R$49</f>
        <v>0</v>
      </c>
      <c r="S4" s="1" t="n">
        <f aca="false">'OD-APUMA(Val)'!S4*S$49</f>
        <v>0</v>
      </c>
      <c r="T4" s="1" t="n">
        <f aca="false">'OD-APUMA(Val)'!T4*T$49</f>
        <v>0</v>
      </c>
      <c r="U4" s="1" t="n">
        <f aca="false">'OD-APUMA(Val)'!U4*U$49</f>
        <v>0</v>
      </c>
      <c r="V4" s="1" t="n">
        <f aca="false">'OD-APUMA(Val)'!V4*V$49</f>
        <v>0</v>
      </c>
      <c r="W4" s="1" t="n">
        <f aca="false">'OD-APUMA(Val)'!W4*W$49</f>
        <v>0</v>
      </c>
      <c r="X4" s="1" t="n">
        <f aca="false">'OD-APUMA(Val)'!X4*X$49</f>
        <v>0</v>
      </c>
      <c r="Y4" s="1" t="n">
        <f aca="false">'OD-APUMA(Val)'!Y4*Y$49</f>
        <v>0</v>
      </c>
      <c r="Z4" s="1" t="n">
        <f aca="false">'OD-APUMA(Val)'!Z4*Z$49</f>
        <v>0</v>
      </c>
      <c r="AA4" s="1" t="n">
        <f aca="false">'OD-APUMA(Val)'!AA4*AA$49</f>
        <v>0</v>
      </c>
      <c r="AB4" s="1" t="n">
        <f aca="false">'OD-APUMA(Val)'!AB4*AB$49</f>
        <v>0</v>
      </c>
      <c r="AC4" s="1" t="n">
        <f aca="false">'OD-APUMA(Val)'!AC4*AC$49</f>
        <v>0</v>
      </c>
      <c r="AD4" s="1" t="n">
        <f aca="false">'OD-APUMA(Val)'!AD4*AD$49</f>
        <v>0</v>
      </c>
      <c r="AE4" s="1" t="n">
        <f aca="false">'OD-APUMA(Val)'!AE4*AE$49</f>
        <v>104</v>
      </c>
      <c r="AF4" s="1" t="n">
        <f aca="false">'OD-APUMA(Val)'!AF4*AF$49</f>
        <v>0</v>
      </c>
      <c r="AG4" s="1" t="n">
        <f aca="false">'OD-APUMA(Val)'!AG4*AG$49</f>
        <v>0</v>
      </c>
      <c r="AH4" s="1" t="n">
        <f aca="false">'OD-APUMA(Val)'!AH4*AH$49</f>
        <v>0</v>
      </c>
      <c r="AI4" s="1" t="n">
        <f aca="false">'OD-APUMA(Val)'!AI4*AI$49</f>
        <v>0</v>
      </c>
      <c r="AJ4" s="1" t="n">
        <f aca="false">'OD-APUMA(Val)'!AJ4*AJ$49</f>
        <v>0</v>
      </c>
      <c r="AK4" s="1" t="n">
        <f aca="false">'OD-APUMA(Val)'!AK4*AK$49</f>
        <v>0</v>
      </c>
      <c r="AL4" s="1" t="n">
        <f aca="false">'OD-APUMA(Val)'!AL4*AL$49</f>
        <v>0</v>
      </c>
      <c r="AM4" s="1" t="n">
        <f aca="false">'OD-APUMA(Val)'!AM4*AM$49</f>
        <v>0</v>
      </c>
      <c r="AN4" s="1" t="n">
        <f aca="false">'OD-APUMA(Val)'!AN4*AN$49</f>
        <v>0</v>
      </c>
      <c r="AO4" s="1" t="n">
        <f aca="false">'OD-APUMA(Val)'!AO4*AO$49</f>
        <v>0</v>
      </c>
      <c r="AP4" s="1" t="n">
        <f aca="false">'OD-APUMA(Val)'!AP4*AP$49</f>
        <v>0</v>
      </c>
      <c r="AQ4" s="1" t="n">
        <f aca="false">'OD-APUMA(Val)'!AQ4*AQ$49</f>
        <v>0</v>
      </c>
      <c r="AR4" s="0" t="n">
        <f aca="false">SUM('OD-APUMA(Val)'!C4:AQ4)</f>
        <v>50492</v>
      </c>
      <c r="AS4" s="0" t="n">
        <f aca="false">MAX('OD-APUMA(Val)'!C4:AQ4)</f>
        <v>49764</v>
      </c>
      <c r="AT4" s="2" t="n">
        <f aca="false">SUM(C4:AQ4)/AR4</f>
        <v>0.0144181256436663</v>
      </c>
      <c r="AU4" s="3" t="n">
        <f aca="false">AT4^4</f>
        <v>4.32150702260546E-008</v>
      </c>
    </row>
    <row r="5" customFormat="false" ht="12.75" hidden="false" customHeight="false" outlineLevel="0" collapsed="false">
      <c r="A5" s="0" t="n">
        <v>3</v>
      </c>
      <c r="B5" s="0" t="n">
        <v>93327</v>
      </c>
      <c r="C5" s="1" t="n">
        <f aca="false">'OD-APUMA(Val)'!C5*C$49</f>
        <v>650</v>
      </c>
      <c r="D5" s="1" t="n">
        <f aca="false">'OD-APUMA(Val)'!D5*D$49</f>
        <v>117</v>
      </c>
      <c r="E5" s="1" t="n">
        <v>0</v>
      </c>
      <c r="F5" s="1" t="n">
        <f aca="false">'OD-APUMA(Val)'!F5*F$49</f>
        <v>52</v>
      </c>
      <c r="G5" s="1" t="n">
        <f aca="false">'OD-APUMA(Val)'!G5*G$49</f>
        <v>1235</v>
      </c>
      <c r="H5" s="1" t="n">
        <f aca="false">'OD-APUMA(Val)'!H5*H$49</f>
        <v>91</v>
      </c>
      <c r="I5" s="1" t="n">
        <f aca="false">'OD-APUMA(Val)'!I5*I$49</f>
        <v>0</v>
      </c>
      <c r="J5" s="1" t="n">
        <f aca="false">'OD-APUMA(Val)'!J5*J$49</f>
        <v>0</v>
      </c>
      <c r="K5" s="1" t="n">
        <f aca="false">'OD-APUMA(Val)'!K5*K$49</f>
        <v>0</v>
      </c>
      <c r="L5" s="1" t="n">
        <f aca="false">'OD-APUMA(Val)'!L5*L$49</f>
        <v>91</v>
      </c>
      <c r="M5" s="1" t="n">
        <f aca="false">'OD-APUMA(Val)'!M5*M$49</f>
        <v>0</v>
      </c>
      <c r="N5" s="1" t="n">
        <f aca="false">'OD-APUMA(Val)'!N5*N$49</f>
        <v>0</v>
      </c>
      <c r="O5" s="1" t="n">
        <f aca="false">'OD-APUMA(Val)'!O5*O$49</f>
        <v>0</v>
      </c>
      <c r="P5" s="1" t="n">
        <f aca="false">'OD-APUMA(Val)'!P5*P$49</f>
        <v>91</v>
      </c>
      <c r="Q5" s="1" t="n">
        <f aca="false">'OD-APUMA(Val)'!Q5*Q$49</f>
        <v>0</v>
      </c>
      <c r="R5" s="1" t="n">
        <f aca="false">'OD-APUMA(Val)'!R5*R$49</f>
        <v>0</v>
      </c>
      <c r="S5" s="1" t="n">
        <f aca="false">'OD-APUMA(Val)'!S5*S$49</f>
        <v>0</v>
      </c>
      <c r="T5" s="1" t="n">
        <f aca="false">'OD-APUMA(Val)'!T5*T$49</f>
        <v>0</v>
      </c>
      <c r="U5" s="1" t="n">
        <f aca="false">'OD-APUMA(Val)'!U5*U$49</f>
        <v>0</v>
      </c>
      <c r="V5" s="1" t="n">
        <f aca="false">'OD-APUMA(Val)'!V5*V$49</f>
        <v>0</v>
      </c>
      <c r="W5" s="1" t="n">
        <f aca="false">'OD-APUMA(Val)'!W5*W$49</f>
        <v>0</v>
      </c>
      <c r="X5" s="1" t="n">
        <f aca="false">'OD-APUMA(Val)'!X5*X$49</f>
        <v>0</v>
      </c>
      <c r="Y5" s="1" t="n">
        <f aca="false">'OD-APUMA(Val)'!Y5*Y$49</f>
        <v>0</v>
      </c>
      <c r="Z5" s="1" t="n">
        <f aca="false">'OD-APUMA(Val)'!Z5*Z$49</f>
        <v>0</v>
      </c>
      <c r="AA5" s="1" t="n">
        <f aca="false">'OD-APUMA(Val)'!AA5*AA$49</f>
        <v>299</v>
      </c>
      <c r="AB5" s="1" t="n">
        <f aca="false">'OD-APUMA(Val)'!AB5*AB$49</f>
        <v>221</v>
      </c>
      <c r="AC5" s="1" t="n">
        <f aca="false">'OD-APUMA(Val)'!AC5*AC$49</f>
        <v>0</v>
      </c>
      <c r="AD5" s="1" t="n">
        <f aca="false">'OD-APUMA(Val)'!AD5*AD$49</f>
        <v>117</v>
      </c>
      <c r="AE5" s="1" t="n">
        <f aca="false">'OD-APUMA(Val)'!AE5*AE$49</f>
        <v>0</v>
      </c>
      <c r="AF5" s="1" t="n">
        <f aca="false">'OD-APUMA(Val)'!AF5*AF$49</f>
        <v>0</v>
      </c>
      <c r="AG5" s="1" t="n">
        <f aca="false">'OD-APUMA(Val)'!AG5*AG$49</f>
        <v>0</v>
      </c>
      <c r="AH5" s="1" t="n">
        <f aca="false">'OD-APUMA(Val)'!AH5*AH$49</f>
        <v>0</v>
      </c>
      <c r="AI5" s="1" t="n">
        <f aca="false">'OD-APUMA(Val)'!AI5*AI$49</f>
        <v>169</v>
      </c>
      <c r="AJ5" s="1" t="n">
        <f aca="false">'OD-APUMA(Val)'!AJ5*AJ$49</f>
        <v>78</v>
      </c>
      <c r="AK5" s="1" t="n">
        <f aca="false">'OD-APUMA(Val)'!AK5*AK$49</f>
        <v>52</v>
      </c>
      <c r="AL5" s="1" t="n">
        <f aca="false">'OD-APUMA(Val)'!AL5*AL$49</f>
        <v>0</v>
      </c>
      <c r="AM5" s="1" t="n">
        <f aca="false">'OD-APUMA(Val)'!AM5*AM$49</f>
        <v>286</v>
      </c>
      <c r="AN5" s="1" t="n">
        <f aca="false">'OD-APUMA(Val)'!AN5*AN$49</f>
        <v>0</v>
      </c>
      <c r="AO5" s="1" t="n">
        <f aca="false">'OD-APUMA(Val)'!AO5*AO$49</f>
        <v>52</v>
      </c>
      <c r="AP5" s="1" t="n">
        <f aca="false">'OD-APUMA(Val)'!AP5*AP$49</f>
        <v>0</v>
      </c>
      <c r="AQ5" s="1" t="n">
        <f aca="false">'OD-APUMA(Val)'!AQ5*AQ$49</f>
        <v>0</v>
      </c>
      <c r="AR5" s="0" t="n">
        <f aca="false">SUM('OD-APUMA(Val)'!C5:AQ5)</f>
        <v>59163</v>
      </c>
      <c r="AS5" s="0" t="n">
        <f aca="false">MAX('OD-APUMA(Val)'!C5:AQ5)</f>
        <v>55562</v>
      </c>
      <c r="AT5" s="2" t="n">
        <f aca="false">SUM(C5:AQ5)/AR5</f>
        <v>0.0608657437925731</v>
      </c>
      <c r="AU5" s="3" t="n">
        <f aca="false">AT5^4</f>
        <v>1.37243483970945E-005</v>
      </c>
    </row>
    <row r="6" customFormat="false" ht="12.75" hidden="false" customHeight="false" outlineLevel="0" collapsed="false">
      <c r="A6" s="0" t="n">
        <v>4</v>
      </c>
      <c r="B6" s="0" t="n">
        <v>79183</v>
      </c>
      <c r="C6" s="1" t="n">
        <f aca="false">'OD-APUMA(Val)'!C6*C$49</f>
        <v>0</v>
      </c>
      <c r="D6" s="1" t="n">
        <f aca="false">'OD-APUMA(Val)'!D6*D$49</f>
        <v>0</v>
      </c>
      <c r="E6" s="1" t="n">
        <f aca="false">'OD-APUMA(Val)'!E6*E$49</f>
        <v>0</v>
      </c>
      <c r="F6" s="1" t="n">
        <v>0</v>
      </c>
      <c r="G6" s="1" t="n">
        <f aca="false">'OD-APUMA(Val)'!G6*G$49</f>
        <v>39</v>
      </c>
      <c r="H6" s="1" t="n">
        <f aca="false">'OD-APUMA(Val)'!H6*H$49</f>
        <v>0</v>
      </c>
      <c r="I6" s="1" t="n">
        <f aca="false">'OD-APUMA(Val)'!I6*I$49</f>
        <v>182</v>
      </c>
      <c r="J6" s="1" t="n">
        <f aca="false">'OD-APUMA(Val)'!J6*J$49</f>
        <v>117</v>
      </c>
      <c r="K6" s="1" t="n">
        <f aca="false">'OD-APUMA(Val)'!K6*K$49</f>
        <v>65</v>
      </c>
      <c r="L6" s="1" t="n">
        <f aca="false">'OD-APUMA(Val)'!L6*L$49</f>
        <v>0</v>
      </c>
      <c r="M6" s="1" t="n">
        <f aca="false">'OD-APUMA(Val)'!M6*M$49</f>
        <v>0</v>
      </c>
      <c r="N6" s="1" t="n">
        <f aca="false">'OD-APUMA(Val)'!N6*N$49</f>
        <v>0</v>
      </c>
      <c r="O6" s="1" t="n">
        <f aca="false">'OD-APUMA(Val)'!O6*O$49</f>
        <v>312</v>
      </c>
      <c r="P6" s="1" t="n">
        <f aca="false">'OD-APUMA(Val)'!P6*P$49</f>
        <v>429</v>
      </c>
      <c r="Q6" s="1" t="n">
        <f aca="false">'OD-APUMA(Val)'!Q6*Q$49</f>
        <v>117</v>
      </c>
      <c r="R6" s="1" t="n">
        <f aca="false">'OD-APUMA(Val)'!R6*R$49</f>
        <v>0</v>
      </c>
      <c r="S6" s="1" t="n">
        <f aca="false">'OD-APUMA(Val)'!S6*S$49</f>
        <v>0</v>
      </c>
      <c r="T6" s="1" t="n">
        <f aca="false">'OD-APUMA(Val)'!T6*T$49</f>
        <v>0</v>
      </c>
      <c r="U6" s="1" t="n">
        <f aca="false">'OD-APUMA(Val)'!U6*U$49</f>
        <v>0</v>
      </c>
      <c r="V6" s="1" t="n">
        <f aca="false">'OD-APUMA(Val)'!V6*V$49</f>
        <v>0</v>
      </c>
      <c r="W6" s="1" t="n">
        <f aca="false">'OD-APUMA(Val)'!W6*W$49</f>
        <v>0</v>
      </c>
      <c r="X6" s="1" t="n">
        <f aca="false">'OD-APUMA(Val)'!X6*X$49</f>
        <v>0</v>
      </c>
      <c r="Y6" s="1" t="n">
        <f aca="false">'OD-APUMA(Val)'!Y6*Y$49</f>
        <v>0</v>
      </c>
      <c r="Z6" s="1" t="n">
        <f aca="false">'OD-APUMA(Val)'!Z6*Z$49</f>
        <v>0</v>
      </c>
      <c r="AA6" s="1" t="n">
        <f aca="false">'OD-APUMA(Val)'!AA6*AA$49</f>
        <v>195</v>
      </c>
      <c r="AB6" s="1" t="n">
        <f aca="false">'OD-APUMA(Val)'!AB6*AB$49</f>
        <v>0</v>
      </c>
      <c r="AC6" s="1" t="n">
        <f aca="false">'OD-APUMA(Val)'!AC6*AC$49</f>
        <v>0</v>
      </c>
      <c r="AD6" s="1" t="n">
        <f aca="false">'OD-APUMA(Val)'!AD6*AD$49</f>
        <v>0</v>
      </c>
      <c r="AE6" s="1" t="n">
        <f aca="false">'OD-APUMA(Val)'!AE6*AE$49</f>
        <v>117</v>
      </c>
      <c r="AF6" s="1" t="n">
        <f aca="false">'OD-APUMA(Val)'!AF6*AF$49</f>
        <v>0</v>
      </c>
      <c r="AG6" s="1" t="n">
        <f aca="false">'OD-APUMA(Val)'!AG6*AG$49</f>
        <v>0</v>
      </c>
      <c r="AH6" s="1" t="n">
        <f aca="false">'OD-APUMA(Val)'!AH6*AH$49</f>
        <v>0</v>
      </c>
      <c r="AI6" s="1" t="n">
        <f aca="false">'OD-APUMA(Val)'!AI6*AI$49</f>
        <v>0</v>
      </c>
      <c r="AJ6" s="1" t="n">
        <f aca="false">'OD-APUMA(Val)'!AJ6*AJ$49</f>
        <v>0</v>
      </c>
      <c r="AK6" s="1" t="n">
        <f aca="false">'OD-APUMA(Val)'!AK6*AK$49</f>
        <v>91</v>
      </c>
      <c r="AL6" s="1" t="n">
        <f aca="false">'OD-APUMA(Val)'!AL6*AL$49</f>
        <v>0</v>
      </c>
      <c r="AM6" s="1" t="n">
        <f aca="false">'OD-APUMA(Val)'!AM6*AM$49</f>
        <v>182</v>
      </c>
      <c r="AN6" s="1" t="n">
        <f aca="false">'OD-APUMA(Val)'!AN6*AN$49</f>
        <v>0</v>
      </c>
      <c r="AO6" s="1" t="n">
        <f aca="false">'OD-APUMA(Val)'!AO6*AO$49</f>
        <v>1469</v>
      </c>
      <c r="AP6" s="1" t="n">
        <f aca="false">'OD-APUMA(Val)'!AP6*AP$49</f>
        <v>0</v>
      </c>
      <c r="AQ6" s="1" t="n">
        <f aca="false">'OD-APUMA(Val)'!AQ6*AQ$49</f>
        <v>0</v>
      </c>
      <c r="AR6" s="0" t="n">
        <f aca="false">SUM('OD-APUMA(Val)'!C6:AQ6)</f>
        <v>51012</v>
      </c>
      <c r="AS6" s="0" t="n">
        <f aca="false">MAX('OD-APUMA(Val)'!C6:AQ6)</f>
        <v>47697</v>
      </c>
      <c r="AT6" s="2" t="n">
        <f aca="false">SUM(C6:AQ6)/AR6</f>
        <v>0.0649847094801223</v>
      </c>
      <c r="AU6" s="3" t="n">
        <f aca="false">AT6^4</f>
        <v>1.78338342898149E-005</v>
      </c>
    </row>
    <row r="7" customFormat="false" ht="12.75" hidden="false" customHeight="false" outlineLevel="0" collapsed="false">
      <c r="A7" s="0" t="n">
        <v>5</v>
      </c>
      <c r="B7" s="0" t="n">
        <v>66183</v>
      </c>
      <c r="C7" s="1" t="n">
        <f aca="false">'OD-APUMA(Val)'!C7*C$49</f>
        <v>0</v>
      </c>
      <c r="D7" s="1" t="n">
        <f aca="false">'OD-APUMA(Val)'!D7*D$49</f>
        <v>533</v>
      </c>
      <c r="E7" s="1" t="n">
        <f aca="false">'OD-APUMA(Val)'!E7*E$49</f>
        <v>2275</v>
      </c>
      <c r="F7" s="1" t="n">
        <f aca="false">'OD-APUMA(Val)'!F7*F$49</f>
        <v>65</v>
      </c>
      <c r="G7" s="1" t="n">
        <v>0</v>
      </c>
      <c r="H7" s="1" t="n">
        <f aca="false">'OD-APUMA(Val)'!H7*H$49</f>
        <v>1105</v>
      </c>
      <c r="I7" s="1" t="n">
        <f aca="false">'OD-APUMA(Val)'!I7*I$49</f>
        <v>572</v>
      </c>
      <c r="J7" s="1" t="n">
        <f aca="false">'OD-APUMA(Val)'!J7*J$49</f>
        <v>0</v>
      </c>
      <c r="K7" s="1" t="n">
        <f aca="false">'OD-APUMA(Val)'!K7*K$49</f>
        <v>0</v>
      </c>
      <c r="L7" s="1" t="n">
        <f aca="false">'OD-APUMA(Val)'!L7*L$49</f>
        <v>0</v>
      </c>
      <c r="M7" s="1" t="n">
        <f aca="false">'OD-APUMA(Val)'!M7*M$49</f>
        <v>143</v>
      </c>
      <c r="N7" s="1" t="n">
        <f aca="false">'OD-APUMA(Val)'!N7*N$49</f>
        <v>0</v>
      </c>
      <c r="O7" s="1" t="n">
        <f aca="false">'OD-APUMA(Val)'!O7*O$49</f>
        <v>0</v>
      </c>
      <c r="P7" s="1" t="n">
        <f aca="false">'OD-APUMA(Val)'!P7*P$49</f>
        <v>169</v>
      </c>
      <c r="Q7" s="1" t="n">
        <f aca="false">'OD-APUMA(Val)'!Q7*Q$49</f>
        <v>0</v>
      </c>
      <c r="R7" s="1" t="n">
        <f aca="false">'OD-APUMA(Val)'!R7*R$49</f>
        <v>0</v>
      </c>
      <c r="S7" s="1" t="n">
        <f aca="false">'OD-APUMA(Val)'!S7*S$49</f>
        <v>0</v>
      </c>
      <c r="T7" s="1" t="n">
        <f aca="false">'OD-APUMA(Val)'!T7*T$49</f>
        <v>0</v>
      </c>
      <c r="U7" s="1" t="n">
        <f aca="false">'OD-APUMA(Val)'!U7*U$49</f>
        <v>0</v>
      </c>
      <c r="V7" s="1" t="n">
        <f aca="false">'OD-APUMA(Val)'!V7*V$49</f>
        <v>0</v>
      </c>
      <c r="W7" s="1" t="n">
        <f aca="false">'OD-APUMA(Val)'!W7*W$49</f>
        <v>0</v>
      </c>
      <c r="X7" s="1" t="n">
        <f aca="false">'OD-APUMA(Val)'!X7*X$49</f>
        <v>0</v>
      </c>
      <c r="Y7" s="1" t="n">
        <f aca="false">'OD-APUMA(Val)'!Y7*Y$49</f>
        <v>0</v>
      </c>
      <c r="Z7" s="1" t="n">
        <f aca="false">'OD-APUMA(Val)'!Z7*Z$49</f>
        <v>0</v>
      </c>
      <c r="AA7" s="1" t="n">
        <f aca="false">'OD-APUMA(Val)'!AA7*AA$49</f>
        <v>0</v>
      </c>
      <c r="AB7" s="1" t="n">
        <f aca="false">'OD-APUMA(Val)'!AB7*AB$49</f>
        <v>182</v>
      </c>
      <c r="AC7" s="1" t="n">
        <f aca="false">'OD-APUMA(Val)'!AC7*AC$49</f>
        <v>0</v>
      </c>
      <c r="AD7" s="1" t="n">
        <f aca="false">'OD-APUMA(Val)'!AD7*AD$49</f>
        <v>0</v>
      </c>
      <c r="AE7" s="1" t="n">
        <f aca="false">'OD-APUMA(Val)'!AE7*AE$49</f>
        <v>0</v>
      </c>
      <c r="AF7" s="1" t="n">
        <f aca="false">'OD-APUMA(Val)'!AF7*AF$49</f>
        <v>0</v>
      </c>
      <c r="AG7" s="1" t="n">
        <f aca="false">'OD-APUMA(Val)'!AG7*AG$49</f>
        <v>0</v>
      </c>
      <c r="AH7" s="1" t="n">
        <f aca="false">'OD-APUMA(Val)'!AH7*AH$49</f>
        <v>0</v>
      </c>
      <c r="AI7" s="1" t="n">
        <f aca="false">'OD-APUMA(Val)'!AI7*AI$49</f>
        <v>0</v>
      </c>
      <c r="AJ7" s="1" t="n">
        <f aca="false">'OD-APUMA(Val)'!AJ7*AJ$49</f>
        <v>78</v>
      </c>
      <c r="AK7" s="1" t="n">
        <f aca="false">'OD-APUMA(Val)'!AK7*AK$49</f>
        <v>0</v>
      </c>
      <c r="AL7" s="1" t="n">
        <f aca="false">'OD-APUMA(Val)'!AL7*AL$49</f>
        <v>0</v>
      </c>
      <c r="AM7" s="1" t="n">
        <f aca="false">'OD-APUMA(Val)'!AM7*AM$49</f>
        <v>143</v>
      </c>
      <c r="AN7" s="1" t="n">
        <f aca="false">'OD-APUMA(Val)'!AN7*AN$49</f>
        <v>286</v>
      </c>
      <c r="AO7" s="1" t="n">
        <f aca="false">'OD-APUMA(Val)'!AO7*AO$49</f>
        <v>0</v>
      </c>
      <c r="AP7" s="1" t="n">
        <f aca="false">'OD-APUMA(Val)'!AP7*AP$49</f>
        <v>0</v>
      </c>
      <c r="AQ7" s="1" t="n">
        <f aca="false">'OD-APUMA(Val)'!AQ7*AQ$49</f>
        <v>0</v>
      </c>
      <c r="AR7" s="0" t="n">
        <f aca="false">SUM('OD-APUMA(Val)'!C7:AQ7)</f>
        <v>34164</v>
      </c>
      <c r="AS7" s="0" t="n">
        <f aca="false">MAX('OD-APUMA(Val)'!C7:AQ7)</f>
        <v>28613</v>
      </c>
      <c r="AT7" s="2" t="n">
        <f aca="false">SUM(C7:AQ7)/AR7</f>
        <v>0.16248097412481</v>
      </c>
      <c r="AU7" s="3" t="n">
        <f aca="false">AT7^4</f>
        <v>0.000696963535098969</v>
      </c>
    </row>
    <row r="8" customFormat="false" ht="12.75" hidden="false" customHeight="false" outlineLevel="0" collapsed="false">
      <c r="A8" s="0" t="n">
        <v>6</v>
      </c>
      <c r="B8" s="0" t="n">
        <v>111722</v>
      </c>
      <c r="C8" s="1" t="n">
        <f aca="false">'OD-APUMA(Val)'!C8*C$49</f>
        <v>299</v>
      </c>
      <c r="D8" s="1" t="n">
        <f aca="false">'OD-APUMA(Val)'!D8*D$49</f>
        <v>0</v>
      </c>
      <c r="E8" s="1" t="n">
        <f aca="false">'OD-APUMA(Val)'!E8*E$49</f>
        <v>65</v>
      </c>
      <c r="F8" s="1" t="n">
        <f aca="false">'OD-APUMA(Val)'!F8*F$49</f>
        <v>0</v>
      </c>
      <c r="G8" s="1" t="n">
        <f aca="false">'OD-APUMA(Val)'!G8*G$49</f>
        <v>1391</v>
      </c>
      <c r="H8" s="1" t="n">
        <v>0</v>
      </c>
      <c r="I8" s="1" t="n">
        <f aca="false">'OD-APUMA(Val)'!I8*I$49</f>
        <v>260</v>
      </c>
      <c r="J8" s="1" t="n">
        <f aca="false">'OD-APUMA(Val)'!J8*J$49</f>
        <v>1651</v>
      </c>
      <c r="K8" s="1" t="n">
        <f aca="false">'OD-APUMA(Val)'!K8*K$49</f>
        <v>117</v>
      </c>
      <c r="L8" s="1" t="n">
        <f aca="false">'OD-APUMA(Val)'!L8*L$49</f>
        <v>0</v>
      </c>
      <c r="M8" s="1" t="n">
        <f aca="false">'OD-APUMA(Val)'!M8*M$49</f>
        <v>117</v>
      </c>
      <c r="N8" s="1" t="n">
        <f aca="false">'OD-APUMA(Val)'!N8*N$49</f>
        <v>0</v>
      </c>
      <c r="O8" s="1" t="n">
        <f aca="false">'OD-APUMA(Val)'!O8*O$49</f>
        <v>0</v>
      </c>
      <c r="P8" s="1" t="n">
        <f aca="false">'OD-APUMA(Val)'!P8*P$49</f>
        <v>0</v>
      </c>
      <c r="Q8" s="1" t="n">
        <f aca="false">'OD-APUMA(Val)'!Q8*Q$49</f>
        <v>0</v>
      </c>
      <c r="R8" s="1" t="n">
        <f aca="false">'OD-APUMA(Val)'!R8*R$49</f>
        <v>260</v>
      </c>
      <c r="S8" s="1" t="n">
        <f aca="false">'OD-APUMA(Val)'!S8*S$49</f>
        <v>0</v>
      </c>
      <c r="T8" s="1" t="n">
        <f aca="false">'OD-APUMA(Val)'!T8*T$49</f>
        <v>0</v>
      </c>
      <c r="U8" s="1" t="n">
        <f aca="false">'OD-APUMA(Val)'!U8*U$49</f>
        <v>0</v>
      </c>
      <c r="V8" s="1" t="n">
        <f aca="false">'OD-APUMA(Val)'!V8*V$49</f>
        <v>0</v>
      </c>
      <c r="W8" s="1" t="n">
        <f aca="false">'OD-APUMA(Val)'!W8*W$49</f>
        <v>0</v>
      </c>
      <c r="X8" s="1" t="n">
        <f aca="false">'OD-APUMA(Val)'!X8*X$49</f>
        <v>0</v>
      </c>
      <c r="Y8" s="1" t="n">
        <f aca="false">'OD-APUMA(Val)'!Y8*Y$49</f>
        <v>0</v>
      </c>
      <c r="Z8" s="1" t="n">
        <f aca="false">'OD-APUMA(Val)'!Z8*Z$49</f>
        <v>0</v>
      </c>
      <c r="AA8" s="1" t="n">
        <f aca="false">'OD-APUMA(Val)'!AA8*AA$49</f>
        <v>0</v>
      </c>
      <c r="AB8" s="1" t="n">
        <f aca="false">'OD-APUMA(Val)'!AB8*AB$49</f>
        <v>0</v>
      </c>
      <c r="AC8" s="1" t="n">
        <f aca="false">'OD-APUMA(Val)'!AC8*AC$49</f>
        <v>78</v>
      </c>
      <c r="AD8" s="1" t="n">
        <f aca="false">'OD-APUMA(Val)'!AD8*AD$49</f>
        <v>0</v>
      </c>
      <c r="AE8" s="1" t="n">
        <f aca="false">'OD-APUMA(Val)'!AE8*AE$49</f>
        <v>0</v>
      </c>
      <c r="AF8" s="1" t="n">
        <f aca="false">'OD-APUMA(Val)'!AF8*AF$49</f>
        <v>117</v>
      </c>
      <c r="AG8" s="1" t="n">
        <f aca="false">'OD-APUMA(Val)'!AG8*AG$49</f>
        <v>0</v>
      </c>
      <c r="AH8" s="1" t="n">
        <f aca="false">'OD-APUMA(Val)'!AH8*AH$49</f>
        <v>0</v>
      </c>
      <c r="AI8" s="1" t="n">
        <f aca="false">'OD-APUMA(Val)'!AI8*AI$49</f>
        <v>130</v>
      </c>
      <c r="AJ8" s="1" t="n">
        <f aca="false">'OD-APUMA(Val)'!AJ8*AJ$49</f>
        <v>0</v>
      </c>
      <c r="AK8" s="1" t="n">
        <f aca="false">'OD-APUMA(Val)'!AK8*AK$49</f>
        <v>117</v>
      </c>
      <c r="AL8" s="1" t="n">
        <f aca="false">'OD-APUMA(Val)'!AL8*AL$49</f>
        <v>0</v>
      </c>
      <c r="AM8" s="1" t="n">
        <f aca="false">'OD-APUMA(Val)'!AM8*AM$49</f>
        <v>156</v>
      </c>
      <c r="AN8" s="1" t="n">
        <f aca="false">'OD-APUMA(Val)'!AN8*AN$49</f>
        <v>117</v>
      </c>
      <c r="AO8" s="1" t="n">
        <f aca="false">'OD-APUMA(Val)'!AO8*AO$49</f>
        <v>0</v>
      </c>
      <c r="AP8" s="1" t="n">
        <f aca="false">'OD-APUMA(Val)'!AP8*AP$49</f>
        <v>0</v>
      </c>
      <c r="AQ8" s="1" t="n">
        <f aca="false">'OD-APUMA(Val)'!AQ8*AQ$49</f>
        <v>0</v>
      </c>
      <c r="AR8" s="0" t="n">
        <f aca="false">SUM('OD-APUMA(Val)'!C8:AQ8)</f>
        <v>67522</v>
      </c>
      <c r="AS8" s="0" t="n">
        <f aca="false">MAX('OD-APUMA(Val)'!C8:AQ8)</f>
        <v>62647</v>
      </c>
      <c r="AT8" s="2" t="n">
        <f aca="false">SUM(C8:AQ8)/AR8</f>
        <v>0.0721986907970735</v>
      </c>
      <c r="AU8" s="3" t="n">
        <f aca="false">AT8^4</f>
        <v>2.71717299558459E-005</v>
      </c>
    </row>
    <row r="9" customFormat="false" ht="12.75" hidden="false" customHeight="false" outlineLevel="0" collapsed="false">
      <c r="A9" s="0" t="n">
        <v>7</v>
      </c>
      <c r="B9" s="0" t="n">
        <v>61087</v>
      </c>
      <c r="C9" s="1" t="n">
        <f aca="false">'OD-APUMA(Val)'!C9*C$49</f>
        <v>104</v>
      </c>
      <c r="D9" s="1" t="n">
        <f aca="false">'OD-APUMA(Val)'!D9*D$49</f>
        <v>0</v>
      </c>
      <c r="E9" s="1" t="n">
        <f aca="false">'OD-APUMA(Val)'!E9*E$49</f>
        <v>624</v>
      </c>
      <c r="F9" s="1" t="n">
        <f aca="false">'OD-APUMA(Val)'!F9*F$49</f>
        <v>377</v>
      </c>
      <c r="G9" s="1" t="n">
        <f aca="false">'OD-APUMA(Val)'!G9*G$49</f>
        <v>78</v>
      </c>
      <c r="H9" s="1" t="n">
        <f aca="false">'OD-APUMA(Val)'!H9*H$49</f>
        <v>208</v>
      </c>
      <c r="I9" s="1" t="n">
        <v>0</v>
      </c>
      <c r="J9" s="1" t="n">
        <f aca="false">'OD-APUMA(Val)'!J9*J$49</f>
        <v>650</v>
      </c>
      <c r="K9" s="1" t="n">
        <f aca="false">'OD-APUMA(Val)'!K9*K$49</f>
        <v>78</v>
      </c>
      <c r="L9" s="1" t="n">
        <f aca="false">'OD-APUMA(Val)'!L9*L$49</f>
        <v>0</v>
      </c>
      <c r="M9" s="1" t="n">
        <f aca="false">'OD-APUMA(Val)'!M9*M$49</f>
        <v>3822</v>
      </c>
      <c r="N9" s="1" t="n">
        <f aca="false">'OD-APUMA(Val)'!N9*N$49</f>
        <v>0</v>
      </c>
      <c r="O9" s="1" t="n">
        <f aca="false">'OD-APUMA(Val)'!O9*O$49</f>
        <v>0</v>
      </c>
      <c r="P9" s="1" t="n">
        <f aca="false">'OD-APUMA(Val)'!P9*P$49</f>
        <v>117</v>
      </c>
      <c r="Q9" s="1" t="n">
        <f aca="false">'OD-APUMA(Val)'!Q9*Q$49</f>
        <v>117</v>
      </c>
      <c r="R9" s="1" t="n">
        <f aca="false">'OD-APUMA(Val)'!R9*R$49</f>
        <v>91</v>
      </c>
      <c r="S9" s="1" t="n">
        <f aca="false">'OD-APUMA(Val)'!S9*S$49</f>
        <v>0</v>
      </c>
      <c r="T9" s="1" t="n">
        <f aca="false">'OD-APUMA(Val)'!T9*T$49</f>
        <v>0</v>
      </c>
      <c r="U9" s="1" t="n">
        <f aca="false">'OD-APUMA(Val)'!U9*U$49</f>
        <v>0</v>
      </c>
      <c r="V9" s="1" t="n">
        <f aca="false">'OD-APUMA(Val)'!V9*V$49</f>
        <v>0</v>
      </c>
      <c r="W9" s="1" t="n">
        <f aca="false">'OD-APUMA(Val)'!W9*W$49</f>
        <v>0</v>
      </c>
      <c r="X9" s="1" t="n">
        <f aca="false">'OD-APUMA(Val)'!X9*X$49</f>
        <v>0</v>
      </c>
      <c r="Y9" s="1" t="n">
        <f aca="false">'OD-APUMA(Val)'!Y9*Y$49</f>
        <v>0</v>
      </c>
      <c r="Z9" s="1" t="n">
        <f aca="false">'OD-APUMA(Val)'!Z9*Z$49</f>
        <v>0</v>
      </c>
      <c r="AA9" s="1" t="n">
        <f aca="false">'OD-APUMA(Val)'!AA9*AA$49</f>
        <v>221</v>
      </c>
      <c r="AB9" s="1" t="n">
        <f aca="false">'OD-APUMA(Val)'!AB9*AB$49</f>
        <v>91</v>
      </c>
      <c r="AC9" s="1" t="n">
        <f aca="false">'OD-APUMA(Val)'!AC9*AC$49</f>
        <v>26</v>
      </c>
      <c r="AD9" s="1" t="n">
        <f aca="false">'OD-APUMA(Val)'!AD9*AD$49</f>
        <v>0</v>
      </c>
      <c r="AE9" s="1" t="n">
        <f aca="false">'OD-APUMA(Val)'!AE9*AE$49</f>
        <v>104</v>
      </c>
      <c r="AF9" s="1" t="n">
        <f aca="false">'OD-APUMA(Val)'!AF9*AF$49</f>
        <v>0</v>
      </c>
      <c r="AG9" s="1" t="n">
        <f aca="false">'OD-APUMA(Val)'!AG9*AG$49</f>
        <v>0</v>
      </c>
      <c r="AH9" s="1" t="n">
        <f aca="false">'OD-APUMA(Val)'!AH9*AH$49</f>
        <v>0</v>
      </c>
      <c r="AI9" s="1" t="n">
        <f aca="false">'OD-APUMA(Val)'!AI9*AI$49</f>
        <v>1235</v>
      </c>
      <c r="AJ9" s="1" t="n">
        <f aca="false">'OD-APUMA(Val)'!AJ9*AJ$49</f>
        <v>0</v>
      </c>
      <c r="AK9" s="1" t="n">
        <f aca="false">'OD-APUMA(Val)'!AK9*AK$49</f>
        <v>182</v>
      </c>
      <c r="AL9" s="1" t="n">
        <f aca="false">'OD-APUMA(Val)'!AL9*AL$49</f>
        <v>143</v>
      </c>
      <c r="AM9" s="1" t="n">
        <f aca="false">'OD-APUMA(Val)'!AM9*AM$49</f>
        <v>104</v>
      </c>
      <c r="AN9" s="1" t="n">
        <f aca="false">'OD-APUMA(Val)'!AN9*AN$49</f>
        <v>0</v>
      </c>
      <c r="AO9" s="1" t="n">
        <f aca="false">'OD-APUMA(Val)'!AO9*AO$49</f>
        <v>156</v>
      </c>
      <c r="AP9" s="1" t="n">
        <f aca="false">'OD-APUMA(Val)'!AP9*AP$49</f>
        <v>143</v>
      </c>
      <c r="AQ9" s="1" t="n">
        <f aca="false">'OD-APUMA(Val)'!AQ9*AQ$49</f>
        <v>0</v>
      </c>
      <c r="AR9" s="0" t="n">
        <f aca="false">SUM('OD-APUMA(Val)'!C9:AQ9)</f>
        <v>41067</v>
      </c>
      <c r="AS9" s="0" t="n">
        <f aca="false">MAX('OD-APUMA(Val)'!C9:AQ9)</f>
        <v>32396</v>
      </c>
      <c r="AT9" s="2" t="n">
        <f aca="false">SUM(C9:AQ9)/AR9</f>
        <v>0.211142766698322</v>
      </c>
      <c r="AU9" s="3" t="n">
        <f aca="false">AT9^4</f>
        <v>0.00198748945015926</v>
      </c>
    </row>
    <row r="10" customFormat="false" ht="12.75" hidden="false" customHeight="false" outlineLevel="0" collapsed="false">
      <c r="A10" s="0" t="n">
        <v>8</v>
      </c>
      <c r="B10" s="0" t="n">
        <v>74074</v>
      </c>
      <c r="C10" s="1" t="n">
        <f aca="false">'OD-APUMA(Val)'!C10*C$49</f>
        <v>0</v>
      </c>
      <c r="D10" s="1" t="n">
        <f aca="false">'OD-APUMA(Val)'!D10*D$49</f>
        <v>0</v>
      </c>
      <c r="E10" s="1" t="n">
        <f aca="false">'OD-APUMA(Val)'!E10*E$49</f>
        <v>0</v>
      </c>
      <c r="F10" s="1" t="n">
        <f aca="false">'OD-APUMA(Val)'!F10*F$49</f>
        <v>0</v>
      </c>
      <c r="G10" s="1" t="n">
        <f aca="false">'OD-APUMA(Val)'!G10*G$49</f>
        <v>403</v>
      </c>
      <c r="H10" s="1" t="n">
        <f aca="false">'OD-APUMA(Val)'!H10*H$49</f>
        <v>663</v>
      </c>
      <c r="I10" s="1" t="n">
        <f aca="false">'OD-APUMA(Val)'!I10*I$49</f>
        <v>312</v>
      </c>
      <c r="J10" s="1" t="n">
        <v>0</v>
      </c>
      <c r="K10" s="1" t="n">
        <f aca="false">'OD-APUMA(Val)'!K10*K$49</f>
        <v>0</v>
      </c>
      <c r="L10" s="1" t="n">
        <f aca="false">'OD-APUMA(Val)'!L10*L$49</f>
        <v>1521</v>
      </c>
      <c r="M10" s="1" t="n">
        <f aca="false">'OD-APUMA(Val)'!M10*M$49</f>
        <v>1196</v>
      </c>
      <c r="N10" s="1" t="n">
        <f aca="false">'OD-APUMA(Val)'!N10*N$49</f>
        <v>0</v>
      </c>
      <c r="O10" s="1" t="n">
        <f aca="false">'OD-APUMA(Val)'!O10*O$49</f>
        <v>0</v>
      </c>
      <c r="P10" s="1" t="n">
        <f aca="false">'OD-APUMA(Val)'!P10*P$49</f>
        <v>0</v>
      </c>
      <c r="Q10" s="1" t="n">
        <f aca="false">'OD-APUMA(Val)'!Q10*Q$49</f>
        <v>0</v>
      </c>
      <c r="R10" s="1" t="n">
        <f aca="false">'OD-APUMA(Val)'!R10*R$49</f>
        <v>0</v>
      </c>
      <c r="S10" s="1" t="n">
        <f aca="false">'OD-APUMA(Val)'!S10*S$49</f>
        <v>0</v>
      </c>
      <c r="T10" s="1" t="n">
        <f aca="false">'OD-APUMA(Val)'!T10*T$49</f>
        <v>0</v>
      </c>
      <c r="U10" s="1" t="n">
        <f aca="false">'OD-APUMA(Val)'!U10*U$49</f>
        <v>0</v>
      </c>
      <c r="V10" s="1" t="n">
        <f aca="false">'OD-APUMA(Val)'!V10*V$49</f>
        <v>0</v>
      </c>
      <c r="W10" s="1" t="n">
        <f aca="false">'OD-APUMA(Val)'!W10*W$49</f>
        <v>0</v>
      </c>
      <c r="X10" s="1" t="n">
        <f aca="false">'OD-APUMA(Val)'!X10*X$49</f>
        <v>0</v>
      </c>
      <c r="Y10" s="1" t="n">
        <f aca="false">'OD-APUMA(Val)'!Y10*Y$49</f>
        <v>0</v>
      </c>
      <c r="Z10" s="1" t="n">
        <f aca="false">'OD-APUMA(Val)'!Z10*Z$49</f>
        <v>0</v>
      </c>
      <c r="AA10" s="1" t="n">
        <f aca="false">'OD-APUMA(Val)'!AA10*AA$49</f>
        <v>91</v>
      </c>
      <c r="AB10" s="1" t="n">
        <f aca="false">'OD-APUMA(Val)'!AB10*AB$49</f>
        <v>0</v>
      </c>
      <c r="AC10" s="1" t="n">
        <f aca="false">'OD-APUMA(Val)'!AC10*AC$49</f>
        <v>0</v>
      </c>
      <c r="AD10" s="1" t="n">
        <f aca="false">'OD-APUMA(Val)'!AD10*AD$49</f>
        <v>0</v>
      </c>
      <c r="AE10" s="1" t="n">
        <f aca="false">'OD-APUMA(Val)'!AE10*AE$49</f>
        <v>0</v>
      </c>
      <c r="AF10" s="1" t="n">
        <f aca="false">'OD-APUMA(Val)'!AF10*AF$49</f>
        <v>0</v>
      </c>
      <c r="AG10" s="1" t="n">
        <f aca="false">'OD-APUMA(Val)'!AG10*AG$49</f>
        <v>0</v>
      </c>
      <c r="AH10" s="1" t="n">
        <f aca="false">'OD-APUMA(Val)'!AH10*AH$49</f>
        <v>0</v>
      </c>
      <c r="AI10" s="1" t="n">
        <f aca="false">'OD-APUMA(Val)'!AI10*AI$49</f>
        <v>3640</v>
      </c>
      <c r="AJ10" s="1" t="n">
        <f aca="false">'OD-APUMA(Val)'!AJ10*AJ$49</f>
        <v>0</v>
      </c>
      <c r="AK10" s="1" t="n">
        <f aca="false">'OD-APUMA(Val)'!AK10*AK$49</f>
        <v>0</v>
      </c>
      <c r="AL10" s="1" t="n">
        <f aca="false">'OD-APUMA(Val)'!AL10*AL$49</f>
        <v>78</v>
      </c>
      <c r="AM10" s="1" t="n">
        <f aca="false">'OD-APUMA(Val)'!AM10*AM$49</f>
        <v>0</v>
      </c>
      <c r="AN10" s="1" t="n">
        <f aca="false">'OD-APUMA(Val)'!AN10*AN$49</f>
        <v>364</v>
      </c>
      <c r="AO10" s="1" t="n">
        <f aca="false">'OD-APUMA(Val)'!AO10*AO$49</f>
        <v>0</v>
      </c>
      <c r="AP10" s="1" t="n">
        <f aca="false">'OD-APUMA(Val)'!AP10*AP$49</f>
        <v>78</v>
      </c>
      <c r="AQ10" s="1" t="n">
        <f aca="false">'OD-APUMA(Val)'!AQ10*AQ$49</f>
        <v>0</v>
      </c>
      <c r="AR10" s="0" t="n">
        <f aca="false">SUM('OD-APUMA(Val)'!C10:AQ10)</f>
        <v>46839</v>
      </c>
      <c r="AS10" s="0" t="n">
        <f aca="false">MAX('OD-APUMA(Val)'!C10:AQ10)</f>
        <v>38493</v>
      </c>
      <c r="AT10" s="2" t="n">
        <f aca="false">SUM(C10:AQ10)/AR10</f>
        <v>0.178184845961699</v>
      </c>
      <c r="AU10" s="3" t="n">
        <f aca="false">AT10^4</f>
        <v>0.00100805229750585</v>
      </c>
    </row>
    <row r="11" customFormat="false" ht="12.75" hidden="false" customHeight="false" outlineLevel="0" collapsed="false">
      <c r="A11" s="0" t="n">
        <v>9</v>
      </c>
      <c r="B11" s="0" t="n">
        <v>57291</v>
      </c>
      <c r="C11" s="1" t="n">
        <f aca="false">'OD-APUMA(Val)'!C11*C$49</f>
        <v>143</v>
      </c>
      <c r="D11" s="1" t="n">
        <f aca="false">'OD-APUMA(Val)'!D11*D$49</f>
        <v>0</v>
      </c>
      <c r="E11" s="1" t="n">
        <f aca="false">'OD-APUMA(Val)'!E11*E$49</f>
        <v>0</v>
      </c>
      <c r="F11" s="1" t="n">
        <f aca="false">'OD-APUMA(Val)'!F11*F$49</f>
        <v>208</v>
      </c>
      <c r="G11" s="1" t="n">
        <f aca="false">'OD-APUMA(Val)'!G11*G$49</f>
        <v>0</v>
      </c>
      <c r="H11" s="1" t="n">
        <f aca="false">'OD-APUMA(Val)'!H11*H$49</f>
        <v>0</v>
      </c>
      <c r="I11" s="1" t="n">
        <f aca="false">'OD-APUMA(Val)'!I11*I$49</f>
        <v>0</v>
      </c>
      <c r="J11" s="1" t="n">
        <f aca="false">'OD-APUMA(Val)'!J11*J$49</f>
        <v>0</v>
      </c>
      <c r="K11" s="1" t="n">
        <v>0</v>
      </c>
      <c r="L11" s="1" t="n">
        <f aca="false">'OD-APUMA(Val)'!L11*L$49</f>
        <v>104</v>
      </c>
      <c r="M11" s="1" t="n">
        <f aca="false">'OD-APUMA(Val)'!M11*M$49</f>
        <v>0</v>
      </c>
      <c r="N11" s="1" t="n">
        <f aca="false">'OD-APUMA(Val)'!N11*N$49</f>
        <v>0</v>
      </c>
      <c r="O11" s="1" t="n">
        <f aca="false">'OD-APUMA(Val)'!O11*O$49</f>
        <v>429</v>
      </c>
      <c r="P11" s="1" t="n">
        <f aca="false">'OD-APUMA(Val)'!P11*P$49</f>
        <v>897</v>
      </c>
      <c r="Q11" s="1" t="n">
        <f aca="false">'OD-APUMA(Val)'!Q11*Q$49</f>
        <v>195</v>
      </c>
      <c r="R11" s="1" t="n">
        <f aca="false">'OD-APUMA(Val)'!R11*R$49</f>
        <v>0</v>
      </c>
      <c r="S11" s="1" t="n">
        <f aca="false">'OD-APUMA(Val)'!S11*S$49</f>
        <v>0</v>
      </c>
      <c r="T11" s="1" t="n">
        <f aca="false">'OD-APUMA(Val)'!T11*T$49</f>
        <v>0</v>
      </c>
      <c r="U11" s="1" t="n">
        <f aca="false">'OD-APUMA(Val)'!U11*U$49</f>
        <v>0</v>
      </c>
      <c r="V11" s="1" t="n">
        <f aca="false">'OD-APUMA(Val)'!V11*V$49</f>
        <v>0</v>
      </c>
      <c r="W11" s="1" t="n">
        <f aca="false">'OD-APUMA(Val)'!W11*W$49</f>
        <v>0</v>
      </c>
      <c r="X11" s="1" t="n">
        <f aca="false">'OD-APUMA(Val)'!X11*X$49</f>
        <v>0</v>
      </c>
      <c r="Y11" s="1" t="n">
        <f aca="false">'OD-APUMA(Val)'!Y11*Y$49</f>
        <v>0</v>
      </c>
      <c r="Z11" s="1" t="n">
        <f aca="false">'OD-APUMA(Val)'!Z11*Z$49</f>
        <v>0</v>
      </c>
      <c r="AA11" s="1" t="n">
        <f aca="false">'OD-APUMA(Val)'!AA11*AA$49</f>
        <v>897</v>
      </c>
      <c r="AB11" s="1" t="n">
        <f aca="false">'OD-APUMA(Val)'!AB11*AB$49</f>
        <v>1911</v>
      </c>
      <c r="AC11" s="1" t="n">
        <f aca="false">'OD-APUMA(Val)'!AC11*AC$49</f>
        <v>0</v>
      </c>
      <c r="AD11" s="1" t="n">
        <f aca="false">'OD-APUMA(Val)'!AD11*AD$49</f>
        <v>0</v>
      </c>
      <c r="AE11" s="1" t="n">
        <f aca="false">'OD-APUMA(Val)'!AE11*AE$49</f>
        <v>104</v>
      </c>
      <c r="AF11" s="1" t="n">
        <f aca="false">'OD-APUMA(Val)'!AF11*AF$49</f>
        <v>0</v>
      </c>
      <c r="AG11" s="1" t="n">
        <f aca="false">'OD-APUMA(Val)'!AG11*AG$49</f>
        <v>0</v>
      </c>
      <c r="AH11" s="1" t="n">
        <f aca="false">'OD-APUMA(Val)'!AH11*AH$49</f>
        <v>0</v>
      </c>
      <c r="AI11" s="1" t="n">
        <f aca="false">'OD-APUMA(Val)'!AI11*AI$49</f>
        <v>286</v>
      </c>
      <c r="AJ11" s="1" t="n">
        <f aca="false">'OD-APUMA(Val)'!AJ11*AJ$49</f>
        <v>0</v>
      </c>
      <c r="AK11" s="1" t="n">
        <f aca="false">'OD-APUMA(Val)'!AK11*AK$49</f>
        <v>91</v>
      </c>
      <c r="AL11" s="1" t="n">
        <f aca="false">'OD-APUMA(Val)'!AL11*AL$49</f>
        <v>0</v>
      </c>
      <c r="AM11" s="1" t="n">
        <f aca="false">'OD-APUMA(Val)'!AM11*AM$49</f>
        <v>390</v>
      </c>
      <c r="AN11" s="1" t="n">
        <f aca="false">'OD-APUMA(Val)'!AN11*AN$49</f>
        <v>6682</v>
      </c>
      <c r="AO11" s="1" t="n">
        <f aca="false">'OD-APUMA(Val)'!AO11*AO$49</f>
        <v>1781</v>
      </c>
      <c r="AP11" s="1" t="n">
        <f aca="false">'OD-APUMA(Val)'!AP11*AP$49</f>
        <v>0</v>
      </c>
      <c r="AQ11" s="1" t="n">
        <f aca="false">'OD-APUMA(Val)'!AQ11*AQ$49</f>
        <v>0</v>
      </c>
      <c r="AR11" s="0" t="n">
        <f aca="false">SUM('OD-APUMA(Val)'!C11:AQ11)</f>
        <v>51909</v>
      </c>
      <c r="AS11" s="0" t="n">
        <f aca="false">MAX('OD-APUMA(Val)'!C11:AQ11)</f>
        <v>37791</v>
      </c>
      <c r="AT11" s="2" t="n">
        <f aca="false">SUM(C11:AQ11)/AR11</f>
        <v>0.271975957926371</v>
      </c>
      <c r="AU11" s="3" t="n">
        <f aca="false">AT11^4</f>
        <v>0.00547169725566326</v>
      </c>
    </row>
    <row r="12" customFormat="false" ht="12.75" hidden="false" customHeight="false" outlineLevel="0" collapsed="false">
      <c r="A12" s="0" t="n">
        <v>10</v>
      </c>
      <c r="B12" s="0" t="n">
        <v>75231</v>
      </c>
      <c r="C12" s="1" t="n">
        <f aca="false">'OD-APUMA(Val)'!C12*C$49</f>
        <v>65</v>
      </c>
      <c r="D12" s="1" t="n">
        <f aca="false">'OD-APUMA(Val)'!D12*D$49</f>
        <v>0</v>
      </c>
      <c r="E12" s="1" t="n">
        <f aca="false">'OD-APUMA(Val)'!E12*E$49</f>
        <v>221</v>
      </c>
      <c r="F12" s="1" t="n">
        <f aca="false">'OD-APUMA(Val)'!F12*F$49</f>
        <v>0</v>
      </c>
      <c r="G12" s="1" t="n">
        <f aca="false">'OD-APUMA(Val)'!G12*G$49</f>
        <v>182</v>
      </c>
      <c r="H12" s="1" t="n">
        <f aca="false">'OD-APUMA(Val)'!H12*H$49</f>
        <v>221</v>
      </c>
      <c r="I12" s="1" t="n">
        <f aca="false">'OD-APUMA(Val)'!I12*I$49</f>
        <v>0</v>
      </c>
      <c r="J12" s="1" t="n">
        <f aca="false">'OD-APUMA(Val)'!J12*J$49</f>
        <v>507</v>
      </c>
      <c r="K12" s="1" t="n">
        <f aca="false">'OD-APUMA(Val)'!K12*K$49</f>
        <v>169</v>
      </c>
      <c r="L12" s="1" t="n">
        <v>0</v>
      </c>
      <c r="M12" s="1" t="n">
        <f aca="false">'OD-APUMA(Val)'!M12*M$49</f>
        <v>208</v>
      </c>
      <c r="N12" s="1" t="n">
        <f aca="false">'OD-APUMA(Val)'!N12*N$49</f>
        <v>195</v>
      </c>
      <c r="O12" s="1" t="n">
        <f aca="false">'OD-APUMA(Val)'!O12*O$49</f>
        <v>0</v>
      </c>
      <c r="P12" s="1" t="n">
        <f aca="false">'OD-APUMA(Val)'!P12*P$49</f>
        <v>0</v>
      </c>
      <c r="Q12" s="1" t="n">
        <f aca="false">'OD-APUMA(Val)'!Q12*Q$49</f>
        <v>78</v>
      </c>
      <c r="R12" s="1" t="n">
        <f aca="false">'OD-APUMA(Val)'!R12*R$49</f>
        <v>117</v>
      </c>
      <c r="S12" s="1" t="n">
        <f aca="false">'OD-APUMA(Val)'!S12*S$49</f>
        <v>0</v>
      </c>
      <c r="T12" s="1" t="n">
        <f aca="false">'OD-APUMA(Val)'!T12*T$49</f>
        <v>0</v>
      </c>
      <c r="U12" s="1" t="n">
        <f aca="false">'OD-APUMA(Val)'!U12*U$49</f>
        <v>0</v>
      </c>
      <c r="V12" s="1" t="n">
        <f aca="false">'OD-APUMA(Val)'!V12*V$49</f>
        <v>0</v>
      </c>
      <c r="W12" s="1" t="n">
        <f aca="false">'OD-APUMA(Val)'!W12*W$49</f>
        <v>0</v>
      </c>
      <c r="X12" s="1" t="n">
        <f aca="false">'OD-APUMA(Val)'!X12*X$49</f>
        <v>0</v>
      </c>
      <c r="Y12" s="1" t="n">
        <f aca="false">'OD-APUMA(Val)'!Y12*Y$49</f>
        <v>0</v>
      </c>
      <c r="Z12" s="1" t="n">
        <f aca="false">'OD-APUMA(Val)'!Z12*Z$49</f>
        <v>0</v>
      </c>
      <c r="AA12" s="1" t="n">
        <f aca="false">'OD-APUMA(Val)'!AA12*AA$49</f>
        <v>312</v>
      </c>
      <c r="AB12" s="1" t="n">
        <f aca="false">'OD-APUMA(Val)'!AB12*AB$49</f>
        <v>299</v>
      </c>
      <c r="AC12" s="1" t="n">
        <f aca="false">'OD-APUMA(Val)'!AC12*AC$49</f>
        <v>0</v>
      </c>
      <c r="AD12" s="1" t="n">
        <f aca="false">'OD-APUMA(Val)'!AD12*AD$49</f>
        <v>0</v>
      </c>
      <c r="AE12" s="1" t="n">
        <f aca="false">'OD-APUMA(Val)'!AE12*AE$49</f>
        <v>78</v>
      </c>
      <c r="AF12" s="1" t="n">
        <f aca="false">'OD-APUMA(Val)'!AF12*AF$49</f>
        <v>0</v>
      </c>
      <c r="AG12" s="1" t="n">
        <f aca="false">'OD-APUMA(Val)'!AG12*AG$49</f>
        <v>0</v>
      </c>
      <c r="AH12" s="1" t="n">
        <f aca="false">'OD-APUMA(Val)'!AH12*AH$49</f>
        <v>0</v>
      </c>
      <c r="AI12" s="1" t="n">
        <f aca="false">'OD-APUMA(Val)'!AI12*AI$49</f>
        <v>17108</v>
      </c>
      <c r="AJ12" s="1" t="n">
        <f aca="false">'OD-APUMA(Val)'!AJ12*AJ$49</f>
        <v>0</v>
      </c>
      <c r="AK12" s="1" t="n">
        <f aca="false">'OD-APUMA(Val)'!AK12*AK$49</f>
        <v>0</v>
      </c>
      <c r="AL12" s="1" t="n">
        <f aca="false">'OD-APUMA(Val)'!AL12*AL$49</f>
        <v>351</v>
      </c>
      <c r="AM12" s="1" t="n">
        <f aca="false">'OD-APUMA(Val)'!AM12*AM$49</f>
        <v>65</v>
      </c>
      <c r="AN12" s="1" t="n">
        <f aca="false">'OD-APUMA(Val)'!AN12*AN$49</f>
        <v>2184</v>
      </c>
      <c r="AO12" s="1" t="n">
        <f aca="false">'OD-APUMA(Val)'!AO12*AO$49</f>
        <v>0</v>
      </c>
      <c r="AP12" s="1" t="n">
        <f aca="false">'OD-APUMA(Val)'!AP12*AP$49</f>
        <v>117</v>
      </c>
      <c r="AQ12" s="1" t="n">
        <f aca="false">'OD-APUMA(Val)'!AQ12*AQ$49</f>
        <v>0</v>
      </c>
      <c r="AR12" s="0" t="n">
        <f aca="false">SUM('OD-APUMA(Val)'!C12:AQ12)</f>
        <v>66885</v>
      </c>
      <c r="AS12" s="0" t="n">
        <f aca="false">MAX('OD-APUMA(Val)'!C12:AQ12)</f>
        <v>44408</v>
      </c>
      <c r="AT12" s="2" t="n">
        <f aca="false">SUM(C12:AQ12)/AR12</f>
        <v>0.336054421768708</v>
      </c>
      <c r="AU12" s="3" t="n">
        <f aca="false">AT12^4</f>
        <v>0.0127537663584207</v>
      </c>
    </row>
    <row r="13" customFormat="false" ht="12.75" hidden="false" customHeight="false" outlineLevel="0" collapsed="false">
      <c r="A13" s="0" t="n">
        <v>11</v>
      </c>
      <c r="B13" s="0" t="n">
        <v>90948</v>
      </c>
      <c r="C13" s="1" t="n">
        <f aca="false">'OD-APUMA(Val)'!C13*C$49</f>
        <v>0</v>
      </c>
      <c r="D13" s="1" t="n">
        <f aca="false">'OD-APUMA(Val)'!D13*D$49</f>
        <v>0</v>
      </c>
      <c r="E13" s="1" t="n">
        <f aca="false">'OD-APUMA(Val)'!E13*E$49</f>
        <v>429</v>
      </c>
      <c r="F13" s="1" t="n">
        <f aca="false">'OD-APUMA(Val)'!F13*F$49</f>
        <v>1456</v>
      </c>
      <c r="G13" s="1" t="n">
        <f aca="false">'OD-APUMA(Val)'!G13*G$49</f>
        <v>416</v>
      </c>
      <c r="H13" s="1" t="n">
        <f aca="false">'OD-APUMA(Val)'!H13*H$49</f>
        <v>0</v>
      </c>
      <c r="I13" s="1" t="n">
        <f aca="false">'OD-APUMA(Val)'!I13*I$49</f>
        <v>1872</v>
      </c>
      <c r="J13" s="1" t="n">
        <f aca="false">'OD-APUMA(Val)'!J13*J$49</f>
        <v>247</v>
      </c>
      <c r="K13" s="1" t="n">
        <f aca="false">'OD-APUMA(Val)'!K13*K$49</f>
        <v>0</v>
      </c>
      <c r="L13" s="1" t="n">
        <f aca="false">'OD-APUMA(Val)'!L13*L$49</f>
        <v>1131</v>
      </c>
      <c r="M13" s="1" t="n">
        <v>0</v>
      </c>
      <c r="N13" s="1" t="n">
        <f aca="false">'OD-APUMA(Val)'!N13*N$49</f>
        <v>104</v>
      </c>
      <c r="O13" s="1" t="n">
        <f aca="false">'OD-APUMA(Val)'!O13*O$49</f>
        <v>0</v>
      </c>
      <c r="P13" s="1" t="n">
        <f aca="false">'OD-APUMA(Val)'!P13*P$49</f>
        <v>91</v>
      </c>
      <c r="Q13" s="1" t="n">
        <f aca="false">'OD-APUMA(Val)'!Q13*Q$49</f>
        <v>26</v>
      </c>
      <c r="R13" s="1" t="n">
        <f aca="false">'OD-APUMA(Val)'!R13*R$49</f>
        <v>312</v>
      </c>
      <c r="S13" s="1" t="n">
        <f aca="false">'OD-APUMA(Val)'!S13*S$49</f>
        <v>0</v>
      </c>
      <c r="T13" s="1" t="n">
        <f aca="false">'OD-APUMA(Val)'!T13*T$49</f>
        <v>0</v>
      </c>
      <c r="U13" s="1" t="n">
        <f aca="false">'OD-APUMA(Val)'!U13*U$49</f>
        <v>0</v>
      </c>
      <c r="V13" s="1" t="n">
        <f aca="false">'OD-APUMA(Val)'!V13*V$49</f>
        <v>0</v>
      </c>
      <c r="W13" s="1" t="n">
        <f aca="false">'OD-APUMA(Val)'!W13*W$49</f>
        <v>0</v>
      </c>
      <c r="X13" s="1" t="n">
        <f aca="false">'OD-APUMA(Val)'!X13*X$49</f>
        <v>0</v>
      </c>
      <c r="Y13" s="1" t="n">
        <f aca="false">'OD-APUMA(Val)'!Y13*Y$49</f>
        <v>0</v>
      </c>
      <c r="Z13" s="1" t="n">
        <f aca="false">'OD-APUMA(Val)'!Z13*Z$49</f>
        <v>0</v>
      </c>
      <c r="AA13" s="1" t="n">
        <f aca="false">'OD-APUMA(Val)'!AA13*AA$49</f>
        <v>104</v>
      </c>
      <c r="AB13" s="1" t="n">
        <f aca="false">'OD-APUMA(Val)'!AB13*AB$49</f>
        <v>624</v>
      </c>
      <c r="AC13" s="1" t="n">
        <f aca="false">'OD-APUMA(Val)'!AC13*AC$49</f>
        <v>117</v>
      </c>
      <c r="AD13" s="1" t="n">
        <f aca="false">'OD-APUMA(Val)'!AD13*AD$49</f>
        <v>0</v>
      </c>
      <c r="AE13" s="1" t="n">
        <f aca="false">'OD-APUMA(Val)'!AE13*AE$49</f>
        <v>221</v>
      </c>
      <c r="AF13" s="1" t="n">
        <f aca="false">'OD-APUMA(Val)'!AF13*AF$49</f>
        <v>0</v>
      </c>
      <c r="AG13" s="1" t="n">
        <f aca="false">'OD-APUMA(Val)'!AG13*AG$49</f>
        <v>182</v>
      </c>
      <c r="AH13" s="1" t="n">
        <f aca="false">'OD-APUMA(Val)'!AH13*AH$49</f>
        <v>169</v>
      </c>
      <c r="AI13" s="1" t="n">
        <f aca="false">'OD-APUMA(Val)'!AI13*AI$49</f>
        <v>25571</v>
      </c>
      <c r="AJ13" s="1" t="n">
        <f aca="false">'OD-APUMA(Val)'!AJ13*AJ$49</f>
        <v>0</v>
      </c>
      <c r="AK13" s="1" t="n">
        <f aca="false">'OD-APUMA(Val)'!AK13*AK$49</f>
        <v>143</v>
      </c>
      <c r="AL13" s="1" t="n">
        <f aca="false">'OD-APUMA(Val)'!AL13*AL$49</f>
        <v>208</v>
      </c>
      <c r="AM13" s="1" t="n">
        <f aca="false">'OD-APUMA(Val)'!AM13*AM$49</f>
        <v>442</v>
      </c>
      <c r="AN13" s="1" t="n">
        <f aca="false">'OD-APUMA(Val)'!AN13*AN$49</f>
        <v>377</v>
      </c>
      <c r="AO13" s="1" t="n">
        <f aca="false">'OD-APUMA(Val)'!AO13*AO$49</f>
        <v>26</v>
      </c>
      <c r="AP13" s="1" t="n">
        <f aca="false">'OD-APUMA(Val)'!AP13*AP$49</f>
        <v>195</v>
      </c>
      <c r="AQ13" s="1" t="n">
        <f aca="false">'OD-APUMA(Val)'!AQ13*AQ$49</f>
        <v>156</v>
      </c>
      <c r="AR13" s="0" t="n">
        <f aca="false">SUM('OD-APUMA(Val)'!C13:AQ13)</f>
        <v>80626</v>
      </c>
      <c r="AS13" s="0" t="n">
        <f aca="false">MAX('OD-APUMA(Val)'!C13:AQ13)</f>
        <v>46007</v>
      </c>
      <c r="AT13" s="2" t="n">
        <f aca="false">SUM(C13:AQ13)/AR13</f>
        <v>0.429377620122541</v>
      </c>
      <c r="AU13" s="3" t="n">
        <f aca="false">AT13^4</f>
        <v>0.0339905050913549</v>
      </c>
    </row>
    <row r="14" customFormat="false" ht="12.75" hidden="false" customHeight="false" outlineLevel="0" collapsed="false">
      <c r="A14" s="0" t="n">
        <v>12</v>
      </c>
      <c r="B14" s="0" t="n">
        <v>66781</v>
      </c>
      <c r="C14" s="1" t="n">
        <f aca="false">'OD-APUMA(Val)'!C14*C$49</f>
        <v>0</v>
      </c>
      <c r="D14" s="1" t="n">
        <f aca="false">'OD-APUMA(Val)'!D14*D$49</f>
        <v>143</v>
      </c>
      <c r="E14" s="1" t="n">
        <f aca="false">'OD-APUMA(Val)'!E14*E$49</f>
        <v>299</v>
      </c>
      <c r="F14" s="1" t="n">
        <f aca="false">'OD-APUMA(Val)'!F14*F$49</f>
        <v>0</v>
      </c>
      <c r="G14" s="1" t="n">
        <f aca="false">'OD-APUMA(Val)'!G14*G$49</f>
        <v>5811</v>
      </c>
      <c r="H14" s="1" t="n">
        <f aca="false">'OD-APUMA(Val)'!H14*H$49</f>
        <v>143</v>
      </c>
      <c r="I14" s="1" t="n">
        <f aca="false">'OD-APUMA(Val)'!I14*I$49</f>
        <v>130</v>
      </c>
      <c r="J14" s="1" t="n">
        <f aca="false">'OD-APUMA(Val)'!J14*J$49</f>
        <v>0</v>
      </c>
      <c r="K14" s="1" t="n">
        <f aca="false">'OD-APUMA(Val)'!K14*K$49</f>
        <v>0</v>
      </c>
      <c r="L14" s="1" t="n">
        <f aca="false">'OD-APUMA(Val)'!L14*L$49</f>
        <v>494</v>
      </c>
      <c r="M14" s="1" t="n">
        <f aca="false">'OD-APUMA(Val)'!M14*M$49</f>
        <v>1651</v>
      </c>
      <c r="N14" s="1" t="n">
        <v>0</v>
      </c>
      <c r="O14" s="1" t="n">
        <f aca="false">'OD-APUMA(Val)'!O14*O$49</f>
        <v>0</v>
      </c>
      <c r="P14" s="1" t="n">
        <f aca="false">'OD-APUMA(Val)'!P14*P$49</f>
        <v>156</v>
      </c>
      <c r="Q14" s="1" t="n">
        <f aca="false">'OD-APUMA(Val)'!Q14*Q$49</f>
        <v>182</v>
      </c>
      <c r="R14" s="1" t="n">
        <f aca="false">'OD-APUMA(Val)'!R14*R$49</f>
        <v>312</v>
      </c>
      <c r="S14" s="1" t="n">
        <f aca="false">'OD-APUMA(Val)'!S14*S$49</f>
        <v>0</v>
      </c>
      <c r="T14" s="1" t="n">
        <f aca="false">'OD-APUMA(Val)'!T14*T$49</f>
        <v>0</v>
      </c>
      <c r="U14" s="1" t="n">
        <f aca="false">'OD-APUMA(Val)'!U14*U$49</f>
        <v>0</v>
      </c>
      <c r="V14" s="1" t="n">
        <f aca="false">'OD-APUMA(Val)'!V14*V$49</f>
        <v>0</v>
      </c>
      <c r="W14" s="1" t="n">
        <f aca="false">'OD-APUMA(Val)'!W14*W$49</f>
        <v>0</v>
      </c>
      <c r="X14" s="1" t="n">
        <f aca="false">'OD-APUMA(Val)'!X14*X$49</f>
        <v>0</v>
      </c>
      <c r="Y14" s="1" t="n">
        <f aca="false">'OD-APUMA(Val)'!Y14*Y$49</f>
        <v>0</v>
      </c>
      <c r="Z14" s="1" t="n">
        <f aca="false">'OD-APUMA(Val)'!Z14*Z$49</f>
        <v>0</v>
      </c>
      <c r="AA14" s="1" t="n">
        <f aca="false">'OD-APUMA(Val)'!AA14*AA$49</f>
        <v>26</v>
      </c>
      <c r="AB14" s="1" t="n">
        <f aca="false">'OD-APUMA(Val)'!AB14*AB$49</f>
        <v>91</v>
      </c>
      <c r="AC14" s="1" t="n">
        <f aca="false">'OD-APUMA(Val)'!AC14*AC$49</f>
        <v>0</v>
      </c>
      <c r="AD14" s="1" t="n">
        <f aca="false">'OD-APUMA(Val)'!AD14*AD$49</f>
        <v>0</v>
      </c>
      <c r="AE14" s="1" t="n">
        <f aca="false">'OD-APUMA(Val)'!AE14*AE$49</f>
        <v>78</v>
      </c>
      <c r="AF14" s="1" t="n">
        <f aca="false">'OD-APUMA(Val)'!AF14*AF$49</f>
        <v>0</v>
      </c>
      <c r="AG14" s="1" t="n">
        <f aca="false">'OD-APUMA(Val)'!AG14*AG$49</f>
        <v>169</v>
      </c>
      <c r="AH14" s="1" t="n">
        <f aca="false">'OD-APUMA(Val)'!AH14*AH$49</f>
        <v>0</v>
      </c>
      <c r="AI14" s="1" t="n">
        <f aca="false">'OD-APUMA(Val)'!AI14*AI$49</f>
        <v>15028</v>
      </c>
      <c r="AJ14" s="1" t="n">
        <f aca="false">'OD-APUMA(Val)'!AJ14*AJ$49</f>
        <v>0</v>
      </c>
      <c r="AK14" s="1" t="n">
        <f aca="false">'OD-APUMA(Val)'!AK14*AK$49</f>
        <v>117</v>
      </c>
      <c r="AL14" s="1" t="n">
        <f aca="false">'OD-APUMA(Val)'!AL14*AL$49</f>
        <v>182</v>
      </c>
      <c r="AM14" s="1" t="n">
        <f aca="false">'OD-APUMA(Val)'!AM14*AM$49</f>
        <v>91</v>
      </c>
      <c r="AN14" s="1" t="n">
        <f aca="false">'OD-APUMA(Val)'!AN14*AN$49</f>
        <v>117</v>
      </c>
      <c r="AO14" s="1" t="n">
        <f aca="false">'OD-APUMA(Val)'!AO14*AO$49</f>
        <v>91</v>
      </c>
      <c r="AP14" s="1" t="n">
        <f aca="false">'OD-APUMA(Val)'!AP14*AP$49</f>
        <v>0</v>
      </c>
      <c r="AQ14" s="1" t="n">
        <f aca="false">'OD-APUMA(Val)'!AQ14*AQ$49</f>
        <v>78</v>
      </c>
      <c r="AR14" s="0" t="n">
        <f aca="false">SUM('OD-APUMA(Val)'!C14:AQ14)</f>
        <v>56082</v>
      </c>
      <c r="AS14" s="0" t="n">
        <f aca="false">MAX('OD-APUMA(Val)'!C14:AQ14)</f>
        <v>30693</v>
      </c>
      <c r="AT14" s="2" t="n">
        <f aca="false">SUM(C14:AQ14)/AR14</f>
        <v>0.452712100139082</v>
      </c>
      <c r="AU14" s="3" t="n">
        <f aca="false">AT14^4</f>
        <v>0.0420037833795753</v>
      </c>
    </row>
    <row r="15" customFormat="false" ht="12.75" hidden="false" customHeight="false" outlineLevel="0" collapsed="false">
      <c r="A15" s="0" t="n">
        <v>15</v>
      </c>
      <c r="B15" s="0" t="n">
        <v>103519</v>
      </c>
      <c r="C15" s="1" t="n">
        <f aca="false">'OD-APUMA(Val)'!C15*C$49</f>
        <v>0</v>
      </c>
      <c r="D15" s="1" t="n">
        <f aca="false">'OD-APUMA(Val)'!D15*D$49</f>
        <v>0</v>
      </c>
      <c r="E15" s="1" t="n">
        <f aca="false">'OD-APUMA(Val)'!E15*E$49</f>
        <v>104</v>
      </c>
      <c r="F15" s="1" t="n">
        <f aca="false">'OD-APUMA(Val)'!F15*F$49</f>
        <v>130</v>
      </c>
      <c r="G15" s="1" t="n">
        <f aca="false">'OD-APUMA(Val)'!G15*G$49</f>
        <v>0</v>
      </c>
      <c r="H15" s="1" t="n">
        <f aca="false">'OD-APUMA(Val)'!H15*H$49</f>
        <v>0</v>
      </c>
      <c r="I15" s="1" t="n">
        <f aca="false">'OD-APUMA(Val)'!I15*I$49</f>
        <v>0</v>
      </c>
      <c r="J15" s="1" t="n">
        <f aca="false">'OD-APUMA(Val)'!J15*J$49</f>
        <v>195</v>
      </c>
      <c r="K15" s="1" t="n">
        <f aca="false">'OD-APUMA(Val)'!K15*K$49</f>
        <v>104</v>
      </c>
      <c r="L15" s="1" t="n">
        <f aca="false">'OD-APUMA(Val)'!L15*L$49</f>
        <v>65</v>
      </c>
      <c r="M15" s="1" t="n">
        <f aca="false">'OD-APUMA(Val)'!M15*M$49</f>
        <v>0</v>
      </c>
      <c r="N15" s="1" t="n">
        <f aca="false">'OD-APUMA(Val)'!N15*N$49</f>
        <v>0</v>
      </c>
      <c r="O15" s="1" t="n">
        <v>0</v>
      </c>
      <c r="P15" s="1" t="n">
        <f aca="false">'OD-APUMA(Val)'!P15*P$49</f>
        <v>33098</v>
      </c>
      <c r="Q15" s="1" t="n">
        <f aca="false">'OD-APUMA(Val)'!Q15*Q$49</f>
        <v>3744</v>
      </c>
      <c r="R15" s="1" t="n">
        <f aca="false">'OD-APUMA(Val)'!R15*R$49</f>
        <v>0</v>
      </c>
      <c r="S15" s="1" t="n">
        <f aca="false">'OD-APUMA(Val)'!S15*S$49</f>
        <v>0</v>
      </c>
      <c r="T15" s="1" t="n">
        <f aca="false">'OD-APUMA(Val)'!T15*T$49</f>
        <v>0</v>
      </c>
      <c r="U15" s="1" t="n">
        <f aca="false">'OD-APUMA(Val)'!U15*U$49</f>
        <v>0</v>
      </c>
      <c r="V15" s="1" t="n">
        <f aca="false">'OD-APUMA(Val)'!V15*V$49</f>
        <v>0</v>
      </c>
      <c r="W15" s="1" t="n">
        <f aca="false">'OD-APUMA(Val)'!W15*W$49</f>
        <v>0</v>
      </c>
      <c r="X15" s="1" t="n">
        <f aca="false">'OD-APUMA(Val)'!X15*X$49</f>
        <v>0</v>
      </c>
      <c r="Y15" s="1" t="n">
        <f aca="false">'OD-APUMA(Val)'!Y15*Y$49</f>
        <v>0</v>
      </c>
      <c r="Z15" s="1" t="n">
        <f aca="false">'OD-APUMA(Val)'!Z15*Z$49</f>
        <v>0</v>
      </c>
      <c r="AA15" s="1" t="n">
        <f aca="false">'OD-APUMA(Val)'!AA15*AA$49</f>
        <v>5122</v>
      </c>
      <c r="AB15" s="1" t="n">
        <f aca="false">'OD-APUMA(Val)'!AB15*AB$49</f>
        <v>4394</v>
      </c>
      <c r="AC15" s="1" t="n">
        <f aca="false">'OD-APUMA(Val)'!AC15*AC$49</f>
        <v>91</v>
      </c>
      <c r="AD15" s="1" t="n">
        <f aca="false">'OD-APUMA(Val)'!AD15*AD$49</f>
        <v>0</v>
      </c>
      <c r="AE15" s="1" t="n">
        <f aca="false">'OD-APUMA(Val)'!AE15*AE$49</f>
        <v>247</v>
      </c>
      <c r="AF15" s="1" t="n">
        <f aca="false">'OD-APUMA(Val)'!AF15*AF$49</f>
        <v>0</v>
      </c>
      <c r="AG15" s="1" t="n">
        <f aca="false">'OD-APUMA(Val)'!AG15*AG$49</f>
        <v>0</v>
      </c>
      <c r="AH15" s="1" t="n">
        <f aca="false">'OD-APUMA(Val)'!AH15*AH$49</f>
        <v>0</v>
      </c>
      <c r="AI15" s="1" t="n">
        <f aca="false">'OD-APUMA(Val)'!AI15*AI$49</f>
        <v>325</v>
      </c>
      <c r="AJ15" s="1" t="n">
        <f aca="false">'OD-APUMA(Val)'!AJ15*AJ$49</f>
        <v>0</v>
      </c>
      <c r="AK15" s="1" t="n">
        <f aca="false">'OD-APUMA(Val)'!AK15*AK$49</f>
        <v>156</v>
      </c>
      <c r="AL15" s="1" t="n">
        <f aca="false">'OD-APUMA(Val)'!AL15*AL$49</f>
        <v>0</v>
      </c>
      <c r="AM15" s="1" t="n">
        <f aca="false">'OD-APUMA(Val)'!AM15*AM$49</f>
        <v>351</v>
      </c>
      <c r="AN15" s="1" t="n">
        <f aca="false">'OD-APUMA(Val)'!AN15*AN$49</f>
        <v>1027</v>
      </c>
      <c r="AO15" s="1" t="n">
        <f aca="false">'OD-APUMA(Val)'!AO15*AO$49</f>
        <v>3029</v>
      </c>
      <c r="AP15" s="1" t="n">
        <f aca="false">'OD-APUMA(Val)'!AP15*AP$49</f>
        <v>104</v>
      </c>
      <c r="AQ15" s="1" t="n">
        <f aca="false">'OD-APUMA(Val)'!AQ15*AQ$49</f>
        <v>0</v>
      </c>
      <c r="AR15" s="0" t="n">
        <f aca="false">SUM('OD-APUMA(Val)'!C15:AQ15)</f>
        <v>124878</v>
      </c>
      <c r="AS15" s="0" t="n">
        <f aca="false">MAX('OD-APUMA(Val)'!C15:AQ15)</f>
        <v>72592</v>
      </c>
      <c r="AT15" s="2" t="n">
        <f aca="false">SUM(C15:AQ15)/AR15</f>
        <v>0.418696647928378</v>
      </c>
      <c r="AU15" s="3" t="n">
        <f aca="false">AT15^4</f>
        <v>0.0307325032224284</v>
      </c>
    </row>
    <row r="16" customFormat="false" ht="12.75" hidden="false" customHeight="false" outlineLevel="0" collapsed="false">
      <c r="A16" s="0" t="n">
        <v>19</v>
      </c>
      <c r="B16" s="0" t="n">
        <v>347230</v>
      </c>
      <c r="C16" s="1" t="n">
        <f aca="false">'OD-APUMA(Val)'!C16*C$49</f>
        <v>143</v>
      </c>
      <c r="D16" s="1" t="n">
        <f aca="false">'OD-APUMA(Val)'!D16*D$49</f>
        <v>78</v>
      </c>
      <c r="E16" s="1" t="n">
        <f aca="false">'OD-APUMA(Val)'!E16*E$49</f>
        <v>156</v>
      </c>
      <c r="F16" s="1" t="n">
        <f aca="false">'OD-APUMA(Val)'!F16*F$49</f>
        <v>182</v>
      </c>
      <c r="G16" s="1" t="n">
        <f aca="false">'OD-APUMA(Val)'!G16*G$49</f>
        <v>0</v>
      </c>
      <c r="H16" s="1" t="n">
        <f aca="false">'OD-APUMA(Val)'!H16*H$49</f>
        <v>0</v>
      </c>
      <c r="I16" s="1" t="n">
        <f aca="false">'OD-APUMA(Val)'!I16*I$49</f>
        <v>78</v>
      </c>
      <c r="J16" s="1" t="n">
        <f aca="false">'OD-APUMA(Val)'!J16*J$49</f>
        <v>0</v>
      </c>
      <c r="K16" s="1" t="n">
        <f aca="false">'OD-APUMA(Val)'!K16*K$49</f>
        <v>130</v>
      </c>
      <c r="L16" s="1" t="n">
        <f aca="false">'OD-APUMA(Val)'!L16*L$49</f>
        <v>0</v>
      </c>
      <c r="M16" s="1" t="n">
        <f aca="false">'OD-APUMA(Val)'!M16*M$49</f>
        <v>117</v>
      </c>
      <c r="N16" s="1" t="n">
        <f aca="false">'OD-APUMA(Val)'!N16*N$49</f>
        <v>0</v>
      </c>
      <c r="O16" s="1" t="n">
        <f aca="false">'OD-APUMA(Val)'!O16*O$49</f>
        <v>4095</v>
      </c>
      <c r="P16" s="1" t="n">
        <v>0</v>
      </c>
      <c r="Q16" s="1" t="n">
        <f aca="false">'OD-APUMA(Val)'!Q16*Q$49</f>
        <v>29393</v>
      </c>
      <c r="R16" s="1" t="n">
        <f aca="false">'OD-APUMA(Val)'!R16*R$49</f>
        <v>0</v>
      </c>
      <c r="S16" s="1" t="n">
        <f aca="false">'OD-APUMA(Val)'!S16*S$49</f>
        <v>0</v>
      </c>
      <c r="T16" s="1" t="n">
        <f aca="false">'OD-APUMA(Val)'!T16*T$49</f>
        <v>0</v>
      </c>
      <c r="U16" s="1" t="n">
        <f aca="false">'OD-APUMA(Val)'!U16*U$49</f>
        <v>0</v>
      </c>
      <c r="V16" s="1" t="n">
        <f aca="false">'OD-APUMA(Val)'!V16*V$49</f>
        <v>104</v>
      </c>
      <c r="W16" s="1" t="n">
        <f aca="false">'OD-APUMA(Val)'!W16*W$49</f>
        <v>0</v>
      </c>
      <c r="X16" s="1" t="n">
        <f aca="false">'OD-APUMA(Val)'!X16*X$49</f>
        <v>299</v>
      </c>
      <c r="Y16" s="1" t="n">
        <f aca="false">'OD-APUMA(Val)'!Y16*Y$49</f>
        <v>0</v>
      </c>
      <c r="Z16" s="1" t="n">
        <f aca="false">'OD-APUMA(Val)'!Z16*Z$49</f>
        <v>0</v>
      </c>
      <c r="AA16" s="1" t="n">
        <f aca="false">'OD-APUMA(Val)'!AA16*AA$49</f>
        <v>19760</v>
      </c>
      <c r="AB16" s="1" t="n">
        <f aca="false">'OD-APUMA(Val)'!AB16*AB$49</f>
        <v>6149</v>
      </c>
      <c r="AC16" s="1" t="n">
        <f aca="false">'OD-APUMA(Val)'!AC16*AC$49</f>
        <v>0</v>
      </c>
      <c r="AD16" s="1" t="n">
        <f aca="false">'OD-APUMA(Val)'!AD16*AD$49</f>
        <v>0</v>
      </c>
      <c r="AE16" s="1" t="n">
        <f aca="false">'OD-APUMA(Val)'!AE16*AE$49</f>
        <v>767</v>
      </c>
      <c r="AF16" s="1" t="n">
        <f aca="false">'OD-APUMA(Val)'!AF16*AF$49</f>
        <v>247</v>
      </c>
      <c r="AG16" s="1" t="n">
        <f aca="false">'OD-APUMA(Val)'!AG16*AG$49</f>
        <v>0</v>
      </c>
      <c r="AH16" s="1" t="n">
        <f aca="false">'OD-APUMA(Val)'!AH16*AH$49</f>
        <v>0</v>
      </c>
      <c r="AI16" s="1" t="n">
        <f aca="false">'OD-APUMA(Val)'!AI16*AI$49</f>
        <v>104</v>
      </c>
      <c r="AJ16" s="1" t="n">
        <f aca="false">'OD-APUMA(Val)'!AJ16*AJ$49</f>
        <v>117</v>
      </c>
      <c r="AK16" s="1" t="n">
        <f aca="false">'OD-APUMA(Val)'!AK16*AK$49</f>
        <v>104</v>
      </c>
      <c r="AL16" s="1" t="n">
        <f aca="false">'OD-APUMA(Val)'!AL16*AL$49</f>
        <v>117</v>
      </c>
      <c r="AM16" s="1" t="n">
        <f aca="false">'OD-APUMA(Val)'!AM16*AM$49</f>
        <v>8359</v>
      </c>
      <c r="AN16" s="1" t="n">
        <f aca="false">'OD-APUMA(Val)'!AN16*AN$49</f>
        <v>442</v>
      </c>
      <c r="AO16" s="1" t="n">
        <f aca="false">'OD-APUMA(Val)'!AO16*AO$49</f>
        <v>637</v>
      </c>
      <c r="AP16" s="1" t="n">
        <f aca="false">'OD-APUMA(Val)'!AP16*AP$49</f>
        <v>234</v>
      </c>
      <c r="AQ16" s="1" t="n">
        <f aca="false">'OD-APUMA(Val)'!AQ16*AQ$49</f>
        <v>0</v>
      </c>
      <c r="AR16" s="0" t="n">
        <f aca="false">SUM('OD-APUMA(Val)'!C16:AQ16)</f>
        <v>385580</v>
      </c>
      <c r="AS16" s="0" t="n">
        <f aca="false">MAX('OD-APUMA(Val)'!C16:AQ16)</f>
        <v>313768</v>
      </c>
      <c r="AT16" s="2" t="n">
        <f aca="false">SUM(C16:AQ16)/AR16</f>
        <v>0.186244099797707</v>
      </c>
      <c r="AU16" s="3" t="n">
        <f aca="false">AT16^4</f>
        <v>0.00120317858337227</v>
      </c>
    </row>
    <row r="17" customFormat="false" ht="12.75" hidden="false" customHeight="false" outlineLevel="0" collapsed="false">
      <c r="A17" s="0" t="n">
        <v>22</v>
      </c>
      <c r="B17" s="0" t="n">
        <v>313391</v>
      </c>
      <c r="C17" s="1" t="n">
        <f aca="false">'OD-APUMA(Val)'!C17*C$49</f>
        <v>169</v>
      </c>
      <c r="D17" s="1" t="n">
        <f aca="false">'OD-APUMA(Val)'!D17*D$49</f>
        <v>0</v>
      </c>
      <c r="E17" s="1" t="n">
        <f aca="false">'OD-APUMA(Val)'!E17*E$49</f>
        <v>221</v>
      </c>
      <c r="F17" s="1" t="n">
        <f aca="false">'OD-APUMA(Val)'!F17*F$49</f>
        <v>0</v>
      </c>
      <c r="G17" s="1" t="n">
        <f aca="false">'OD-APUMA(Val)'!G17*G$49</f>
        <v>182</v>
      </c>
      <c r="H17" s="1" t="n">
        <f aca="false">'OD-APUMA(Val)'!H17*H$49</f>
        <v>0</v>
      </c>
      <c r="I17" s="1" t="n">
        <f aca="false">'OD-APUMA(Val)'!I17*I$49</f>
        <v>0</v>
      </c>
      <c r="J17" s="1" t="n">
        <f aca="false">'OD-APUMA(Val)'!J17*J$49</f>
        <v>0</v>
      </c>
      <c r="K17" s="1" t="n">
        <f aca="false">'OD-APUMA(Val)'!K17*K$49</f>
        <v>0</v>
      </c>
      <c r="L17" s="1" t="n">
        <f aca="false">'OD-APUMA(Val)'!L17*L$49</f>
        <v>78</v>
      </c>
      <c r="M17" s="1" t="n">
        <f aca="false">'OD-APUMA(Val)'!M17*M$49</f>
        <v>78</v>
      </c>
      <c r="N17" s="1" t="n">
        <f aca="false">'OD-APUMA(Val)'!N17*N$49</f>
        <v>0</v>
      </c>
      <c r="O17" s="1" t="n">
        <f aca="false">'OD-APUMA(Val)'!O17*O$49</f>
        <v>1196</v>
      </c>
      <c r="P17" s="1" t="n">
        <f aca="false">'OD-APUMA(Val)'!P17*P$49</f>
        <v>80925</v>
      </c>
      <c r="Q17" s="1" t="n">
        <v>0</v>
      </c>
      <c r="R17" s="1" t="n">
        <f aca="false">'OD-APUMA(Val)'!R17*R$49</f>
        <v>0</v>
      </c>
      <c r="S17" s="1" t="n">
        <f aca="false">'OD-APUMA(Val)'!S17*S$49</f>
        <v>0</v>
      </c>
      <c r="T17" s="1" t="n">
        <f aca="false">'OD-APUMA(Val)'!T17*T$49</f>
        <v>0</v>
      </c>
      <c r="U17" s="1" t="n">
        <f aca="false">'OD-APUMA(Val)'!U17*U$49</f>
        <v>0</v>
      </c>
      <c r="V17" s="1" t="n">
        <f aca="false">'OD-APUMA(Val)'!V17*V$49</f>
        <v>0</v>
      </c>
      <c r="W17" s="1" t="n">
        <f aca="false">'OD-APUMA(Val)'!W17*W$49</f>
        <v>0</v>
      </c>
      <c r="X17" s="1" t="n">
        <f aca="false">'OD-APUMA(Val)'!X17*X$49</f>
        <v>325</v>
      </c>
      <c r="Y17" s="1" t="n">
        <f aca="false">'OD-APUMA(Val)'!Y17*Y$49</f>
        <v>0</v>
      </c>
      <c r="Z17" s="1" t="n">
        <f aca="false">'OD-APUMA(Val)'!Z17*Z$49</f>
        <v>0</v>
      </c>
      <c r="AA17" s="1" t="n">
        <f aca="false">'OD-APUMA(Val)'!AA17*AA$49</f>
        <v>13689</v>
      </c>
      <c r="AB17" s="1" t="n">
        <f aca="false">'OD-APUMA(Val)'!AB17*AB$49</f>
        <v>3458</v>
      </c>
      <c r="AC17" s="1" t="n">
        <f aca="false">'OD-APUMA(Val)'!AC17*AC$49</f>
        <v>104</v>
      </c>
      <c r="AD17" s="1" t="n">
        <f aca="false">'OD-APUMA(Val)'!AD17*AD$49</f>
        <v>0</v>
      </c>
      <c r="AE17" s="1" t="n">
        <f aca="false">'OD-APUMA(Val)'!AE17*AE$49</f>
        <v>481</v>
      </c>
      <c r="AF17" s="1" t="n">
        <f aca="false">'OD-APUMA(Val)'!AF17*AF$49</f>
        <v>0</v>
      </c>
      <c r="AG17" s="1" t="n">
        <f aca="false">'OD-APUMA(Val)'!AG17*AG$49</f>
        <v>0</v>
      </c>
      <c r="AH17" s="1" t="n">
        <f aca="false">'OD-APUMA(Val)'!AH17*AH$49</f>
        <v>143</v>
      </c>
      <c r="AI17" s="1" t="n">
        <f aca="false">'OD-APUMA(Val)'!AI17*AI$49</f>
        <v>0</v>
      </c>
      <c r="AJ17" s="1" t="n">
        <f aca="false">'OD-APUMA(Val)'!AJ17*AJ$49</f>
        <v>0</v>
      </c>
      <c r="AK17" s="1" t="n">
        <f aca="false">'OD-APUMA(Val)'!AK17*AK$49</f>
        <v>91</v>
      </c>
      <c r="AL17" s="1" t="n">
        <f aca="false">'OD-APUMA(Val)'!AL17*AL$49</f>
        <v>0</v>
      </c>
      <c r="AM17" s="1" t="n">
        <f aca="false">'OD-APUMA(Val)'!AM17*AM$49</f>
        <v>45721</v>
      </c>
      <c r="AN17" s="1" t="n">
        <f aca="false">'OD-APUMA(Val)'!AN17*AN$49</f>
        <v>65</v>
      </c>
      <c r="AO17" s="1" t="n">
        <f aca="false">'OD-APUMA(Val)'!AO17*AO$49</f>
        <v>312</v>
      </c>
      <c r="AP17" s="1" t="n">
        <f aca="false">'OD-APUMA(Val)'!AP17*AP$49</f>
        <v>0</v>
      </c>
      <c r="AQ17" s="1" t="n">
        <f aca="false">'OD-APUMA(Val)'!AQ17*AQ$49</f>
        <v>0</v>
      </c>
      <c r="AR17" s="0" t="n">
        <f aca="false">SUM('OD-APUMA(Val)'!C17:AQ17)</f>
        <v>350818</v>
      </c>
      <c r="AS17" s="0" t="n">
        <f aca="false">MAX('OD-APUMA(Val)'!C17:AQ17)</f>
        <v>203580</v>
      </c>
      <c r="AT17" s="2" t="n">
        <f aca="false">SUM(C17:AQ17)/AR17</f>
        <v>0.419699103238716</v>
      </c>
      <c r="AU17" s="3" t="n">
        <f aca="false">AT17^4</f>
        <v>0.0310278844235707</v>
      </c>
    </row>
    <row r="18" customFormat="false" ht="12.75" hidden="false" customHeight="false" outlineLevel="0" collapsed="false">
      <c r="A18" s="0" t="n">
        <v>26</v>
      </c>
      <c r="B18" s="0" t="n">
        <v>95186</v>
      </c>
      <c r="C18" s="1" t="n">
        <f aca="false">'OD-APUMA(Val)'!C18*C$49</f>
        <v>0</v>
      </c>
      <c r="D18" s="1" t="n">
        <f aca="false">'OD-APUMA(Val)'!D18*D$49</f>
        <v>0</v>
      </c>
      <c r="E18" s="1" t="n">
        <f aca="false">'OD-APUMA(Val)'!E18*E$49</f>
        <v>26</v>
      </c>
      <c r="F18" s="1" t="n">
        <f aca="false">'OD-APUMA(Val)'!F18*F$49</f>
        <v>0</v>
      </c>
      <c r="G18" s="1" t="n">
        <f aca="false">'OD-APUMA(Val)'!G18*G$49</f>
        <v>208</v>
      </c>
      <c r="H18" s="1" t="n">
        <f aca="false">'OD-APUMA(Val)'!H18*H$49</f>
        <v>0</v>
      </c>
      <c r="I18" s="1" t="n">
        <f aca="false">'OD-APUMA(Val)'!I18*I$49</f>
        <v>0</v>
      </c>
      <c r="J18" s="1" t="n">
        <f aca="false">'OD-APUMA(Val)'!J18*J$49</f>
        <v>0</v>
      </c>
      <c r="K18" s="1" t="n">
        <f aca="false">'OD-APUMA(Val)'!K18*K$49</f>
        <v>0</v>
      </c>
      <c r="L18" s="1" t="n">
        <f aca="false">'OD-APUMA(Val)'!L18*L$49</f>
        <v>0</v>
      </c>
      <c r="M18" s="1" t="n">
        <f aca="false">'OD-APUMA(Val)'!M18*M$49</f>
        <v>169</v>
      </c>
      <c r="N18" s="1" t="n">
        <f aca="false">'OD-APUMA(Val)'!N18*N$49</f>
        <v>208</v>
      </c>
      <c r="O18" s="1" t="n">
        <f aca="false">'OD-APUMA(Val)'!O18*O$49</f>
        <v>0</v>
      </c>
      <c r="P18" s="1" t="n">
        <f aca="false">'OD-APUMA(Val)'!P18*P$49</f>
        <v>0</v>
      </c>
      <c r="Q18" s="1" t="n">
        <f aca="false">'OD-APUMA(Val)'!Q18*Q$49</f>
        <v>299</v>
      </c>
      <c r="R18" s="1" t="n">
        <v>0</v>
      </c>
      <c r="S18" s="1" t="n">
        <f aca="false">'OD-APUMA(Val)'!S18*S$49</f>
        <v>520</v>
      </c>
      <c r="T18" s="1" t="n">
        <f aca="false">'OD-APUMA(Val)'!T18*T$49</f>
        <v>130</v>
      </c>
      <c r="U18" s="1" t="n">
        <f aca="false">'OD-APUMA(Val)'!U18*U$49</f>
        <v>0</v>
      </c>
      <c r="V18" s="1" t="n">
        <f aca="false">'OD-APUMA(Val)'!V18*V$49</f>
        <v>0</v>
      </c>
      <c r="W18" s="1" t="n">
        <f aca="false">'OD-APUMA(Val)'!W18*W$49</f>
        <v>0</v>
      </c>
      <c r="X18" s="1" t="n">
        <f aca="false">'OD-APUMA(Val)'!X18*X$49</f>
        <v>0</v>
      </c>
      <c r="Y18" s="1" t="n">
        <f aca="false">'OD-APUMA(Val)'!Y18*Y$49</f>
        <v>0</v>
      </c>
      <c r="Z18" s="1" t="n">
        <f aca="false">'OD-APUMA(Val)'!Z18*Z$49</f>
        <v>0</v>
      </c>
      <c r="AA18" s="1" t="n">
        <f aca="false">'OD-APUMA(Val)'!AA18*AA$49</f>
        <v>481</v>
      </c>
      <c r="AB18" s="1" t="n">
        <f aca="false">'OD-APUMA(Val)'!AB18*AB$49</f>
        <v>247</v>
      </c>
      <c r="AC18" s="1" t="n">
        <f aca="false">'OD-APUMA(Val)'!AC18*AC$49</f>
        <v>26</v>
      </c>
      <c r="AD18" s="1" t="n">
        <f aca="false">'OD-APUMA(Val)'!AD18*AD$49</f>
        <v>0</v>
      </c>
      <c r="AE18" s="1" t="n">
        <f aca="false">'OD-APUMA(Val)'!AE18*AE$49</f>
        <v>429</v>
      </c>
      <c r="AF18" s="1" t="n">
        <f aca="false">'OD-APUMA(Val)'!AF18*AF$49</f>
        <v>52</v>
      </c>
      <c r="AG18" s="1" t="n">
        <f aca="false">'OD-APUMA(Val)'!AG18*AG$49</f>
        <v>0</v>
      </c>
      <c r="AH18" s="1" t="n">
        <f aca="false">'OD-APUMA(Val)'!AH18*AH$49</f>
        <v>65</v>
      </c>
      <c r="AI18" s="1" t="n">
        <f aca="false">'OD-APUMA(Val)'!AI18*AI$49</f>
        <v>1274</v>
      </c>
      <c r="AJ18" s="1" t="n">
        <f aca="false">'OD-APUMA(Val)'!AJ18*AJ$49</f>
        <v>0</v>
      </c>
      <c r="AK18" s="1" t="n">
        <f aca="false">'OD-APUMA(Val)'!AK18*AK$49</f>
        <v>0</v>
      </c>
      <c r="AL18" s="1" t="n">
        <f aca="false">'OD-APUMA(Val)'!AL18*AL$49</f>
        <v>2990</v>
      </c>
      <c r="AM18" s="1" t="n">
        <f aca="false">'OD-APUMA(Val)'!AM18*AM$49</f>
        <v>559</v>
      </c>
      <c r="AN18" s="1" t="n">
        <f aca="false">'OD-APUMA(Val)'!AN18*AN$49</f>
        <v>65</v>
      </c>
      <c r="AO18" s="1" t="n">
        <f aca="false">'OD-APUMA(Val)'!AO18*AO$49</f>
        <v>299</v>
      </c>
      <c r="AP18" s="1" t="n">
        <f aca="false">'OD-APUMA(Val)'!AP18*AP$49</f>
        <v>1768</v>
      </c>
      <c r="AQ18" s="1" t="n">
        <f aca="false">'OD-APUMA(Val)'!AQ18*AQ$49</f>
        <v>0</v>
      </c>
      <c r="AR18" s="0" t="n">
        <f aca="false">SUM('OD-APUMA(Val)'!C18:AQ18)</f>
        <v>59358</v>
      </c>
      <c r="AS18" s="0" t="n">
        <f aca="false">MAX('OD-APUMA(Val)'!C18:AQ18)</f>
        <v>49543</v>
      </c>
      <c r="AT18" s="2" t="n">
        <f aca="false">SUM(C18:AQ18)/AR18</f>
        <v>0.165352606219886</v>
      </c>
      <c r="AU18" s="3" t="n">
        <f aca="false">AT18^4</f>
        <v>0.000747556768304588</v>
      </c>
    </row>
    <row r="19" customFormat="false" ht="12.75" hidden="false" customHeight="false" outlineLevel="0" collapsed="false">
      <c r="A19" s="0" t="n">
        <v>27</v>
      </c>
      <c r="B19" s="0" t="n">
        <v>78299</v>
      </c>
      <c r="C19" s="1" t="n">
        <f aca="false">'OD-APUMA(Val)'!C19*C$49</f>
        <v>0</v>
      </c>
      <c r="D19" s="1" t="n">
        <f aca="false">'OD-APUMA(Val)'!D19*D$49</f>
        <v>0</v>
      </c>
      <c r="E19" s="1" t="n">
        <f aca="false">'OD-APUMA(Val)'!E19*E$49</f>
        <v>0</v>
      </c>
      <c r="F19" s="1" t="n">
        <f aca="false">'OD-APUMA(Val)'!F19*F$49</f>
        <v>0</v>
      </c>
      <c r="G19" s="1" t="n">
        <f aca="false">'OD-APUMA(Val)'!G19*G$49</f>
        <v>0</v>
      </c>
      <c r="H19" s="1" t="n">
        <f aca="false">'OD-APUMA(Val)'!H19*H$49</f>
        <v>0</v>
      </c>
      <c r="I19" s="1" t="n">
        <f aca="false">'OD-APUMA(Val)'!I19*I$49</f>
        <v>0</v>
      </c>
      <c r="J19" s="1" t="n">
        <f aca="false">'OD-APUMA(Val)'!J19*J$49</f>
        <v>0</v>
      </c>
      <c r="K19" s="1" t="n">
        <f aca="false">'OD-APUMA(Val)'!K19*K$49</f>
        <v>143</v>
      </c>
      <c r="L19" s="1" t="n">
        <f aca="false">'OD-APUMA(Val)'!L19*L$49</f>
        <v>0</v>
      </c>
      <c r="M19" s="1" t="n">
        <f aca="false">'OD-APUMA(Val)'!M19*M$49</f>
        <v>0</v>
      </c>
      <c r="N19" s="1" t="n">
        <f aca="false">'OD-APUMA(Val)'!N19*N$49</f>
        <v>0</v>
      </c>
      <c r="O19" s="1" t="n">
        <f aca="false">'OD-APUMA(Val)'!O19*O$49</f>
        <v>0</v>
      </c>
      <c r="P19" s="1" t="n">
        <f aca="false">'OD-APUMA(Val)'!P19*P$49</f>
        <v>0</v>
      </c>
      <c r="Q19" s="1" t="n">
        <f aca="false">'OD-APUMA(Val)'!Q19*Q$49</f>
        <v>0</v>
      </c>
      <c r="R19" s="1" t="n">
        <f aca="false">'OD-APUMA(Val)'!R19*R$49</f>
        <v>429</v>
      </c>
      <c r="S19" s="1" t="n">
        <v>0</v>
      </c>
      <c r="T19" s="1" t="n">
        <f aca="false">'OD-APUMA(Val)'!T19*T$49</f>
        <v>1105</v>
      </c>
      <c r="U19" s="1" t="n">
        <f aca="false">'OD-APUMA(Val)'!U19*U$49</f>
        <v>156</v>
      </c>
      <c r="V19" s="1" t="n">
        <f aca="false">'OD-APUMA(Val)'!V19*V$49</f>
        <v>78</v>
      </c>
      <c r="W19" s="1" t="n">
        <f aca="false">'OD-APUMA(Val)'!W19*W$49</f>
        <v>130</v>
      </c>
      <c r="X19" s="1" t="n">
        <f aca="false">'OD-APUMA(Val)'!X19*X$49</f>
        <v>351</v>
      </c>
      <c r="Y19" s="1" t="n">
        <f aca="false">'OD-APUMA(Val)'!Y19*Y$49</f>
        <v>13</v>
      </c>
      <c r="Z19" s="1" t="n">
        <f aca="false">'OD-APUMA(Val)'!Z19*Z$49</f>
        <v>0</v>
      </c>
      <c r="AA19" s="1" t="n">
        <f aca="false">'OD-APUMA(Val)'!AA19*AA$49</f>
        <v>91</v>
      </c>
      <c r="AB19" s="1" t="n">
        <f aca="false">'OD-APUMA(Val)'!AB19*AB$49</f>
        <v>91</v>
      </c>
      <c r="AC19" s="1" t="n">
        <f aca="false">'OD-APUMA(Val)'!AC19*AC$49</f>
        <v>7631</v>
      </c>
      <c r="AD19" s="1" t="n">
        <f aca="false">'OD-APUMA(Val)'!AD19*AD$49</f>
        <v>143</v>
      </c>
      <c r="AE19" s="1" t="n">
        <f aca="false">'OD-APUMA(Val)'!AE19*AE$49</f>
        <v>91</v>
      </c>
      <c r="AF19" s="1" t="n">
        <f aca="false">'OD-APUMA(Val)'!AF19*AF$49</f>
        <v>1326</v>
      </c>
      <c r="AG19" s="1" t="n">
        <f aca="false">'OD-APUMA(Val)'!AG19*AG$49</f>
        <v>0</v>
      </c>
      <c r="AH19" s="1" t="n">
        <f aca="false">'OD-APUMA(Val)'!AH19*AH$49</f>
        <v>0</v>
      </c>
      <c r="AI19" s="1" t="n">
        <f aca="false">'OD-APUMA(Val)'!AI19*AI$49</f>
        <v>0</v>
      </c>
      <c r="AJ19" s="1" t="n">
        <f aca="false">'OD-APUMA(Val)'!AJ19*AJ$49</f>
        <v>0</v>
      </c>
      <c r="AK19" s="1" t="n">
        <f aca="false">'OD-APUMA(Val)'!AK19*AK$49</f>
        <v>0</v>
      </c>
      <c r="AL19" s="1" t="n">
        <f aca="false">'OD-APUMA(Val)'!AL19*AL$49</f>
        <v>91</v>
      </c>
      <c r="AM19" s="1" t="n">
        <f aca="false">'OD-APUMA(Val)'!AM19*AM$49</f>
        <v>4108</v>
      </c>
      <c r="AN19" s="1" t="n">
        <f aca="false">'OD-APUMA(Val)'!AN19*AN$49</f>
        <v>91</v>
      </c>
      <c r="AO19" s="1" t="n">
        <f aca="false">'OD-APUMA(Val)'!AO19*AO$49</f>
        <v>0</v>
      </c>
      <c r="AP19" s="1" t="n">
        <f aca="false">'OD-APUMA(Val)'!AP19*AP$49</f>
        <v>260</v>
      </c>
      <c r="AQ19" s="1" t="n">
        <f aca="false">'OD-APUMA(Val)'!AQ19*AQ$49</f>
        <v>0</v>
      </c>
      <c r="AR19" s="0" t="n">
        <f aca="false">SUM('OD-APUMA(Val)'!C19:AQ19)</f>
        <v>50674</v>
      </c>
      <c r="AS19" s="0" t="n">
        <f aca="false">MAX('OD-APUMA(Val)'!C19:AQ19)</f>
        <v>34346</v>
      </c>
      <c r="AT19" s="2" t="n">
        <f aca="false">SUM(C19:AQ19)/AR19</f>
        <v>0.322216521292971</v>
      </c>
      <c r="AU19" s="3" t="n">
        <f aca="false">AT19^4</f>
        <v>0.0107793163685643</v>
      </c>
    </row>
    <row r="20" customFormat="false" ht="12.75" hidden="false" customHeight="false" outlineLevel="0" collapsed="false">
      <c r="A20" s="0" t="n">
        <v>30</v>
      </c>
      <c r="B20" s="0" t="n">
        <v>108225</v>
      </c>
      <c r="C20" s="1" t="n">
        <f aca="false">'OD-APUMA(Val)'!C20*C$49</f>
        <v>0</v>
      </c>
      <c r="D20" s="1" t="n">
        <f aca="false">'OD-APUMA(Val)'!D20*D$49</f>
        <v>0</v>
      </c>
      <c r="E20" s="1" t="n">
        <f aca="false">'OD-APUMA(Val)'!E20*E$49</f>
        <v>0</v>
      </c>
      <c r="F20" s="1" t="n">
        <f aca="false">'OD-APUMA(Val)'!F20*F$49</f>
        <v>0</v>
      </c>
      <c r="G20" s="1" t="n">
        <f aca="false">'OD-APUMA(Val)'!G20*G$49</f>
        <v>0</v>
      </c>
      <c r="H20" s="1" t="n">
        <f aca="false">'OD-APUMA(Val)'!H20*H$49</f>
        <v>0</v>
      </c>
      <c r="I20" s="1" t="n">
        <f aca="false">'OD-APUMA(Val)'!I20*I$49</f>
        <v>0</v>
      </c>
      <c r="J20" s="1" t="n">
        <f aca="false">'OD-APUMA(Val)'!J20*J$49</f>
        <v>0</v>
      </c>
      <c r="K20" s="1" t="n">
        <f aca="false">'OD-APUMA(Val)'!K20*K$49</f>
        <v>0</v>
      </c>
      <c r="L20" s="1" t="n">
        <f aca="false">'OD-APUMA(Val)'!L20*L$49</f>
        <v>0</v>
      </c>
      <c r="M20" s="1" t="n">
        <f aca="false">'OD-APUMA(Val)'!M20*M$49</f>
        <v>0</v>
      </c>
      <c r="N20" s="1" t="n">
        <f aca="false">'OD-APUMA(Val)'!N20*N$49</f>
        <v>0</v>
      </c>
      <c r="O20" s="1" t="n">
        <f aca="false">'OD-APUMA(Val)'!O20*O$49</f>
        <v>0</v>
      </c>
      <c r="P20" s="1" t="n">
        <f aca="false">'OD-APUMA(Val)'!P20*P$49</f>
        <v>182</v>
      </c>
      <c r="Q20" s="1" t="n">
        <f aca="false">'OD-APUMA(Val)'!Q20*Q$49</f>
        <v>0</v>
      </c>
      <c r="R20" s="1" t="n">
        <f aca="false">'OD-APUMA(Val)'!R20*R$49</f>
        <v>0</v>
      </c>
      <c r="S20" s="1" t="n">
        <f aca="false">'OD-APUMA(Val)'!S20*S$49</f>
        <v>1261</v>
      </c>
      <c r="T20" s="1" t="n">
        <v>0</v>
      </c>
      <c r="U20" s="1" t="n">
        <f aca="false">'OD-APUMA(Val)'!U20*U$49</f>
        <v>195</v>
      </c>
      <c r="V20" s="1" t="n">
        <f aca="false">'OD-APUMA(Val)'!V20*V$49</f>
        <v>0</v>
      </c>
      <c r="W20" s="1" t="n">
        <f aca="false">'OD-APUMA(Val)'!W20*W$49</f>
        <v>0</v>
      </c>
      <c r="X20" s="1" t="n">
        <f aca="false">'OD-APUMA(Val)'!X20*X$49</f>
        <v>0</v>
      </c>
      <c r="Y20" s="1" t="n">
        <f aca="false">'OD-APUMA(Val)'!Y20*Y$49</f>
        <v>0</v>
      </c>
      <c r="Z20" s="1" t="n">
        <f aca="false">'OD-APUMA(Val)'!Z20*Z$49</f>
        <v>0</v>
      </c>
      <c r="AA20" s="1" t="n">
        <f aca="false">'OD-APUMA(Val)'!AA20*AA$49</f>
        <v>52</v>
      </c>
      <c r="AB20" s="1" t="n">
        <f aca="false">'OD-APUMA(Val)'!AB20*AB$49</f>
        <v>0</v>
      </c>
      <c r="AC20" s="1" t="n">
        <f aca="false">'OD-APUMA(Val)'!AC20*AC$49</f>
        <v>572</v>
      </c>
      <c r="AD20" s="1" t="n">
        <f aca="false">'OD-APUMA(Val)'!AD20*AD$49</f>
        <v>0</v>
      </c>
      <c r="AE20" s="1" t="n">
        <f aca="false">'OD-APUMA(Val)'!AE20*AE$49</f>
        <v>0</v>
      </c>
      <c r="AF20" s="1" t="n">
        <f aca="false">'OD-APUMA(Val)'!AF20*AF$49</f>
        <v>0</v>
      </c>
      <c r="AG20" s="1" t="n">
        <f aca="false">'OD-APUMA(Val)'!AG20*AG$49</f>
        <v>0</v>
      </c>
      <c r="AH20" s="1" t="n">
        <f aca="false">'OD-APUMA(Val)'!AH20*AH$49</f>
        <v>0</v>
      </c>
      <c r="AI20" s="1" t="n">
        <f aca="false">'OD-APUMA(Val)'!AI20*AI$49</f>
        <v>0</v>
      </c>
      <c r="AJ20" s="1" t="n">
        <f aca="false">'OD-APUMA(Val)'!AJ20*AJ$49</f>
        <v>0</v>
      </c>
      <c r="AK20" s="1" t="n">
        <f aca="false">'OD-APUMA(Val)'!AK20*AK$49</f>
        <v>0</v>
      </c>
      <c r="AL20" s="1" t="n">
        <f aca="false">'OD-APUMA(Val)'!AL20*AL$49</f>
        <v>117</v>
      </c>
      <c r="AM20" s="1" t="n">
        <f aca="false">'OD-APUMA(Val)'!AM20*AM$49</f>
        <v>949</v>
      </c>
      <c r="AN20" s="1" t="n">
        <f aca="false">'OD-APUMA(Val)'!AN20*AN$49</f>
        <v>0</v>
      </c>
      <c r="AO20" s="1" t="n">
        <f aca="false">'OD-APUMA(Val)'!AO20*AO$49</f>
        <v>0</v>
      </c>
      <c r="AP20" s="1" t="n">
        <f aca="false">'OD-APUMA(Val)'!AP20*AP$49</f>
        <v>5148</v>
      </c>
      <c r="AQ20" s="1" t="n">
        <f aca="false">'OD-APUMA(Val)'!AQ20*AQ$49</f>
        <v>0</v>
      </c>
      <c r="AR20" s="0" t="n">
        <f aca="false">SUM('OD-APUMA(Val)'!C20:AQ20)</f>
        <v>68432</v>
      </c>
      <c r="AS20" s="0" t="n">
        <f aca="false">MAX('OD-APUMA(Val)'!C20:AQ20)</f>
        <v>59956</v>
      </c>
      <c r="AT20" s="2" t="n">
        <f aca="false">SUM(C20:AQ20)/AR20</f>
        <v>0.123860182370821</v>
      </c>
      <c r="AU20" s="3" t="n">
        <f aca="false">AT20^4</f>
        <v>0.000235356859564728</v>
      </c>
    </row>
    <row r="21" customFormat="false" ht="12.75" hidden="false" customHeight="false" outlineLevel="0" collapsed="false">
      <c r="A21" s="0" t="n">
        <v>31</v>
      </c>
      <c r="B21" s="0" t="n">
        <v>63609</v>
      </c>
      <c r="C21" s="1" t="n">
        <f aca="false">'OD-APUMA(Val)'!C21*C$49</f>
        <v>0</v>
      </c>
      <c r="D21" s="1" t="n">
        <f aca="false">'OD-APUMA(Val)'!D21*D$49</f>
        <v>0</v>
      </c>
      <c r="E21" s="1" t="n">
        <f aca="false">'OD-APUMA(Val)'!E21*E$49</f>
        <v>0</v>
      </c>
      <c r="F21" s="1" t="n">
        <f aca="false">'OD-APUMA(Val)'!F21*F$49</f>
        <v>0</v>
      </c>
      <c r="G21" s="1" t="n">
        <f aca="false">'OD-APUMA(Val)'!G21*G$49</f>
        <v>0</v>
      </c>
      <c r="H21" s="1" t="n">
        <f aca="false">'OD-APUMA(Val)'!H21*H$49</f>
        <v>0</v>
      </c>
      <c r="I21" s="1" t="n">
        <f aca="false">'OD-APUMA(Val)'!I21*I$49</f>
        <v>0</v>
      </c>
      <c r="J21" s="1" t="n">
        <f aca="false">'OD-APUMA(Val)'!J21*J$49</f>
        <v>0</v>
      </c>
      <c r="K21" s="1" t="n">
        <f aca="false">'OD-APUMA(Val)'!K21*K$49</f>
        <v>0</v>
      </c>
      <c r="L21" s="1" t="n">
        <f aca="false">'OD-APUMA(Val)'!L21*L$49</f>
        <v>0</v>
      </c>
      <c r="M21" s="1" t="n">
        <f aca="false">'OD-APUMA(Val)'!M21*M$49</f>
        <v>0</v>
      </c>
      <c r="N21" s="1" t="n">
        <f aca="false">'OD-APUMA(Val)'!N21*N$49</f>
        <v>0</v>
      </c>
      <c r="O21" s="1" t="n">
        <f aca="false">'OD-APUMA(Val)'!O21*O$49</f>
        <v>0</v>
      </c>
      <c r="P21" s="1" t="n">
        <f aca="false">'OD-APUMA(Val)'!P21*P$49</f>
        <v>0</v>
      </c>
      <c r="Q21" s="1" t="n">
        <f aca="false">'OD-APUMA(Val)'!Q21*Q$49</f>
        <v>0</v>
      </c>
      <c r="R21" s="1" t="n">
        <f aca="false">'OD-APUMA(Val)'!R21*R$49</f>
        <v>0</v>
      </c>
      <c r="S21" s="1" t="n">
        <f aca="false">'OD-APUMA(Val)'!S21*S$49</f>
        <v>0</v>
      </c>
      <c r="T21" s="1" t="n">
        <f aca="false">'OD-APUMA(Val)'!T21*T$49</f>
        <v>0</v>
      </c>
      <c r="U21" s="1" t="n">
        <v>0</v>
      </c>
      <c r="V21" s="1" t="n">
        <f aca="false">'OD-APUMA(Val)'!V21*V$49</f>
        <v>117</v>
      </c>
      <c r="W21" s="1" t="n">
        <f aca="false">'OD-APUMA(Val)'!W21*W$49</f>
        <v>1417</v>
      </c>
      <c r="X21" s="1" t="n">
        <f aca="false">'OD-APUMA(Val)'!X21*X$49</f>
        <v>0</v>
      </c>
      <c r="Y21" s="1" t="n">
        <f aca="false">'OD-APUMA(Val)'!Y21*Y$49</f>
        <v>0</v>
      </c>
      <c r="Z21" s="1" t="n">
        <f aca="false">'OD-APUMA(Val)'!Z21*Z$49</f>
        <v>507</v>
      </c>
      <c r="AA21" s="1" t="n">
        <f aca="false">'OD-APUMA(Val)'!AA21*AA$49</f>
        <v>169</v>
      </c>
      <c r="AB21" s="1" t="n">
        <f aca="false">'OD-APUMA(Val)'!AB21*AB$49</f>
        <v>0</v>
      </c>
      <c r="AC21" s="1" t="n">
        <f aca="false">'OD-APUMA(Val)'!AC21*AC$49</f>
        <v>2483</v>
      </c>
      <c r="AD21" s="1" t="n">
        <f aca="false">'OD-APUMA(Val)'!AD21*AD$49</f>
        <v>247</v>
      </c>
      <c r="AE21" s="1" t="n">
        <f aca="false">'OD-APUMA(Val)'!AE21*AE$49</f>
        <v>91</v>
      </c>
      <c r="AF21" s="1" t="n">
        <f aca="false">'OD-APUMA(Val)'!AF21*AF$49</f>
        <v>0</v>
      </c>
      <c r="AG21" s="1" t="n">
        <f aca="false">'OD-APUMA(Val)'!AG21*AG$49</f>
        <v>0</v>
      </c>
      <c r="AH21" s="1" t="n">
        <f aca="false">'OD-APUMA(Val)'!AH21*AH$49</f>
        <v>0</v>
      </c>
      <c r="AI21" s="1" t="n">
        <f aca="false">'OD-APUMA(Val)'!AI21*AI$49</f>
        <v>0</v>
      </c>
      <c r="AJ21" s="1" t="n">
        <f aca="false">'OD-APUMA(Val)'!AJ21*AJ$49</f>
        <v>0</v>
      </c>
      <c r="AK21" s="1" t="n">
        <f aca="false">'OD-APUMA(Val)'!AK21*AK$49</f>
        <v>0</v>
      </c>
      <c r="AL21" s="1" t="n">
        <f aca="false">'OD-APUMA(Val)'!AL21*AL$49</f>
        <v>0</v>
      </c>
      <c r="AM21" s="1" t="n">
        <f aca="false">'OD-APUMA(Val)'!AM21*AM$49</f>
        <v>104</v>
      </c>
      <c r="AN21" s="1" t="n">
        <f aca="false">'OD-APUMA(Val)'!AN21*AN$49</f>
        <v>0</v>
      </c>
      <c r="AO21" s="1" t="n">
        <f aca="false">'OD-APUMA(Val)'!AO21*AO$49</f>
        <v>0</v>
      </c>
      <c r="AP21" s="1" t="n">
        <f aca="false">'OD-APUMA(Val)'!AP21*AP$49</f>
        <v>0</v>
      </c>
      <c r="AQ21" s="1" t="n">
        <f aca="false">'OD-APUMA(Val)'!AQ21*AQ$49</f>
        <v>0</v>
      </c>
      <c r="AR21" s="0" t="n">
        <f aca="false">SUM('OD-APUMA(Val)'!C21:AQ21)</f>
        <v>35698</v>
      </c>
      <c r="AS21" s="0" t="n">
        <f aca="false">MAX('OD-APUMA(Val)'!C21:AQ21)</f>
        <v>30563</v>
      </c>
      <c r="AT21" s="2" t="n">
        <f aca="false">SUM(C21:AQ21)/AR21</f>
        <v>0.143845593590677</v>
      </c>
      <c r="AU21" s="3" t="n">
        <f aca="false">AT21^4</f>
        <v>0.000428140439853289</v>
      </c>
    </row>
    <row r="22" customFormat="false" ht="12.75" hidden="false" customHeight="false" outlineLevel="0" collapsed="false">
      <c r="A22" s="0" t="n">
        <v>32</v>
      </c>
      <c r="B22" s="0" t="n">
        <v>187317</v>
      </c>
      <c r="C22" s="1" t="n">
        <f aca="false">'OD-APUMA(Val)'!C22*C$49</f>
        <v>0</v>
      </c>
      <c r="D22" s="1" t="n">
        <f aca="false">'OD-APUMA(Val)'!D22*D$49</f>
        <v>0</v>
      </c>
      <c r="E22" s="1" t="n">
        <f aca="false">'OD-APUMA(Val)'!E22*E$49</f>
        <v>65</v>
      </c>
      <c r="F22" s="1" t="n">
        <f aca="false">'OD-APUMA(Val)'!F22*F$49</f>
        <v>0</v>
      </c>
      <c r="G22" s="1" t="n">
        <f aca="false">'OD-APUMA(Val)'!G22*G$49</f>
        <v>0</v>
      </c>
      <c r="H22" s="1" t="n">
        <f aca="false">'OD-APUMA(Val)'!H22*H$49</f>
        <v>0</v>
      </c>
      <c r="I22" s="1" t="n">
        <f aca="false">'OD-APUMA(Val)'!I22*I$49</f>
        <v>0</v>
      </c>
      <c r="J22" s="1" t="n">
        <f aca="false">'OD-APUMA(Val)'!J22*J$49</f>
        <v>0</v>
      </c>
      <c r="K22" s="1" t="n">
        <f aca="false">'OD-APUMA(Val)'!K22*K$49</f>
        <v>0</v>
      </c>
      <c r="L22" s="1" t="n">
        <f aca="false">'OD-APUMA(Val)'!L22*L$49</f>
        <v>0</v>
      </c>
      <c r="M22" s="1" t="n">
        <f aca="false">'OD-APUMA(Val)'!M22*M$49</f>
        <v>0</v>
      </c>
      <c r="N22" s="1" t="n">
        <f aca="false">'OD-APUMA(Val)'!N22*N$49</f>
        <v>0</v>
      </c>
      <c r="O22" s="1" t="n">
        <f aca="false">'OD-APUMA(Val)'!O22*O$49</f>
        <v>0</v>
      </c>
      <c r="P22" s="1" t="n">
        <f aca="false">'OD-APUMA(Val)'!P22*P$49</f>
        <v>0</v>
      </c>
      <c r="Q22" s="1" t="n">
        <f aca="false">'OD-APUMA(Val)'!Q22*Q$49</f>
        <v>377</v>
      </c>
      <c r="R22" s="1" t="n">
        <f aca="false">'OD-APUMA(Val)'!R22*R$49</f>
        <v>0</v>
      </c>
      <c r="S22" s="1" t="n">
        <f aca="false">'OD-APUMA(Val)'!S22*S$49</f>
        <v>0</v>
      </c>
      <c r="T22" s="1" t="n">
        <f aca="false">'OD-APUMA(Val)'!T22*T$49</f>
        <v>13</v>
      </c>
      <c r="U22" s="1" t="n">
        <f aca="false">'OD-APUMA(Val)'!U22*U$49</f>
        <v>0</v>
      </c>
      <c r="V22" s="1" t="n">
        <v>0</v>
      </c>
      <c r="W22" s="1" t="n">
        <f aca="false">'OD-APUMA(Val)'!W22*W$49</f>
        <v>0</v>
      </c>
      <c r="X22" s="1" t="n">
        <f aca="false">'OD-APUMA(Val)'!X22*X$49</f>
        <v>0</v>
      </c>
      <c r="Y22" s="1" t="n">
        <f aca="false">'OD-APUMA(Val)'!Y22*Y$49</f>
        <v>0</v>
      </c>
      <c r="Z22" s="1" t="n">
        <f aca="false">'OD-APUMA(Val)'!Z22*Z$49</f>
        <v>5109</v>
      </c>
      <c r="AA22" s="1" t="n">
        <f aca="false">'OD-APUMA(Val)'!AA22*AA$17</f>
        <v>2135484</v>
      </c>
      <c r="AB22" s="1" t="n">
        <f aca="false">'OD-APUMA(Val)'!AB22*AB$49</f>
        <v>0</v>
      </c>
      <c r="AC22" s="1" t="n">
        <f aca="false">'OD-APUMA(Val)'!AC22*AC$49</f>
        <v>143</v>
      </c>
      <c r="AD22" s="1" t="n">
        <f aca="false">'OD-APUMA(Val)'!AD22*AD$49</f>
        <v>0</v>
      </c>
      <c r="AE22" s="1" t="n">
        <f aca="false">'OD-APUMA(Val)'!AE22*AE$49</f>
        <v>1599</v>
      </c>
      <c r="AF22" s="1" t="n">
        <f aca="false">'OD-APUMA(Val)'!AF22*AF$49</f>
        <v>208</v>
      </c>
      <c r="AG22" s="1" t="n">
        <f aca="false">'OD-APUMA(Val)'!AG22*AG$49</f>
        <v>91</v>
      </c>
      <c r="AH22" s="1" t="n">
        <f aca="false">'OD-APUMA(Val)'!AH22*AH$49</f>
        <v>156</v>
      </c>
      <c r="AI22" s="1" t="n">
        <f aca="false">'OD-APUMA(Val)'!AI22*AI$49</f>
        <v>0</v>
      </c>
      <c r="AJ22" s="1" t="n">
        <f aca="false">'OD-APUMA(Val)'!AJ22*AJ$49</f>
        <v>481</v>
      </c>
      <c r="AK22" s="1" t="n">
        <f aca="false">'OD-APUMA(Val)'!AK22*AK$49</f>
        <v>65</v>
      </c>
      <c r="AL22" s="1" t="n">
        <f aca="false">'OD-APUMA(Val)'!AL22*AL$49</f>
        <v>0</v>
      </c>
      <c r="AM22" s="1" t="n">
        <f aca="false">'OD-APUMA(Val)'!AM22*AM$49</f>
        <v>104</v>
      </c>
      <c r="AN22" s="1" t="n">
        <f aca="false">'OD-APUMA(Val)'!AN22*AN$49</f>
        <v>0</v>
      </c>
      <c r="AO22" s="1" t="n">
        <f aca="false">'OD-APUMA(Val)'!AO22*AO$49</f>
        <v>0</v>
      </c>
      <c r="AP22" s="1" t="n">
        <f aca="false">'OD-APUMA(Val)'!AP22*AP$49</f>
        <v>0</v>
      </c>
      <c r="AQ22" s="1" t="n">
        <f aca="false">'OD-APUMA(Val)'!AQ22*AQ$49</f>
        <v>2015</v>
      </c>
      <c r="AR22" s="0" t="n">
        <f aca="false">SUM('OD-APUMA(Val)'!C22:AQ22)</f>
        <v>180141</v>
      </c>
      <c r="AS22" s="0" t="n">
        <f aca="false">MAX('OD-APUMA(Val)'!C22:AQ22)</f>
        <v>169559</v>
      </c>
      <c r="AT22" s="2" t="n">
        <f aca="false">SUM(C22:AQ22)/AR22</f>
        <v>11.9123908493902</v>
      </c>
      <c r="AU22" s="3" t="n">
        <f aca="false">AT22^4</f>
        <v>20137.0448470233</v>
      </c>
    </row>
    <row r="23" customFormat="false" ht="12.75" hidden="false" customHeight="false" outlineLevel="0" collapsed="false">
      <c r="A23" s="0" t="n">
        <v>75</v>
      </c>
      <c r="B23" s="0" t="n">
        <v>192426</v>
      </c>
      <c r="C23" s="1" t="n">
        <f aca="false">'OD-APUMA(Val)'!C23*C$49</f>
        <v>0</v>
      </c>
      <c r="D23" s="1" t="n">
        <f aca="false">'OD-APUMA(Val)'!D23*D$49</f>
        <v>104</v>
      </c>
      <c r="E23" s="1" t="n">
        <f aca="false">'OD-APUMA(Val)'!E23*E$49</f>
        <v>0</v>
      </c>
      <c r="F23" s="1" t="n">
        <f aca="false">'OD-APUMA(Val)'!F23*F$49</f>
        <v>0</v>
      </c>
      <c r="G23" s="1" t="n">
        <f aca="false">'OD-APUMA(Val)'!G23*G$49</f>
        <v>0</v>
      </c>
      <c r="H23" s="1" t="n">
        <f aca="false">'OD-APUMA(Val)'!H23*H$49</f>
        <v>0</v>
      </c>
      <c r="I23" s="1" t="n">
        <f aca="false">'OD-APUMA(Val)'!I23*I$49</f>
        <v>0</v>
      </c>
      <c r="J23" s="1" t="n">
        <f aca="false">'OD-APUMA(Val)'!J23*J$49</f>
        <v>0</v>
      </c>
      <c r="K23" s="1" t="n">
        <f aca="false">'OD-APUMA(Val)'!K23*K$49</f>
        <v>0</v>
      </c>
      <c r="L23" s="1" t="n">
        <f aca="false">'OD-APUMA(Val)'!L23*L$49</f>
        <v>0</v>
      </c>
      <c r="M23" s="1" t="n">
        <f aca="false">'OD-APUMA(Val)'!M23*M$49</f>
        <v>0</v>
      </c>
      <c r="N23" s="1" t="n">
        <f aca="false">'OD-APUMA(Val)'!N23*N$49</f>
        <v>0</v>
      </c>
      <c r="O23" s="1" t="n">
        <f aca="false">'OD-APUMA(Val)'!O23*O$49</f>
        <v>0</v>
      </c>
      <c r="P23" s="1" t="n">
        <f aca="false">'OD-APUMA(Val)'!P23*P$49</f>
        <v>91</v>
      </c>
      <c r="Q23" s="1" t="n">
        <f aca="false">'OD-APUMA(Val)'!Q23*Q$49</f>
        <v>0</v>
      </c>
      <c r="R23" s="1" t="n">
        <f aca="false">'OD-APUMA(Val)'!R23*R$49</f>
        <v>0</v>
      </c>
      <c r="S23" s="1" t="n">
        <f aca="false">'OD-APUMA(Val)'!S23*S$49</f>
        <v>0</v>
      </c>
      <c r="T23" s="1" t="n">
        <f aca="false">'OD-APUMA(Val)'!T23*T$49</f>
        <v>0</v>
      </c>
      <c r="U23" s="1" t="n">
        <f aca="false">'OD-APUMA(Val)'!U23*U$49</f>
        <v>2210</v>
      </c>
      <c r="V23" s="1" t="n">
        <f aca="false">'OD-APUMA(Val)'!V23*V$49</f>
        <v>0</v>
      </c>
      <c r="W23" s="1" t="n">
        <v>0</v>
      </c>
      <c r="X23" s="1" t="n">
        <f aca="false">'OD-APUMA(Val)'!X23*X$49</f>
        <v>0</v>
      </c>
      <c r="Y23" s="1" t="n">
        <f aca="false">'OD-APUMA(Val)'!Y23*Y$49</f>
        <v>0</v>
      </c>
      <c r="Z23" s="1" t="n">
        <f aca="false">'OD-APUMA(Val)'!Z23*Z$49</f>
        <v>65</v>
      </c>
      <c r="AA23" s="1" t="n">
        <f aca="false">'OD-APUMA(Val)'!AA23*AA$49</f>
        <v>0</v>
      </c>
      <c r="AB23" s="1" t="n">
        <f aca="false">'OD-APUMA(Val)'!AB23*AB$49</f>
        <v>91</v>
      </c>
      <c r="AC23" s="1" t="n">
        <f aca="false">'OD-APUMA(Val)'!AC23*AC$49</f>
        <v>5629</v>
      </c>
      <c r="AD23" s="1" t="n">
        <f aca="false">'OD-APUMA(Val)'!AD23*AD$49</f>
        <v>2626</v>
      </c>
      <c r="AE23" s="1" t="n">
        <f aca="false">'OD-APUMA(Val)'!AE23*AE$49</f>
        <v>494</v>
      </c>
      <c r="AF23" s="1" t="n">
        <f aca="false">'OD-APUMA(Val)'!AF23*AF$49</f>
        <v>65</v>
      </c>
      <c r="AG23" s="1" t="n">
        <f aca="false">'OD-APUMA(Val)'!AG23*AG$49</f>
        <v>273</v>
      </c>
      <c r="AH23" s="1" t="n">
        <f aca="false">'OD-APUMA(Val)'!AH23*AH$49</f>
        <v>130</v>
      </c>
      <c r="AI23" s="1" t="n">
        <f aca="false">'OD-APUMA(Val)'!AI23*AI$49</f>
        <v>0</v>
      </c>
      <c r="AJ23" s="1" t="n">
        <f aca="false">'OD-APUMA(Val)'!AJ23*AJ$49</f>
        <v>0</v>
      </c>
      <c r="AK23" s="1" t="n">
        <f aca="false">'OD-APUMA(Val)'!AK23*AK$49</f>
        <v>0</v>
      </c>
      <c r="AL23" s="1" t="n">
        <f aca="false">'OD-APUMA(Val)'!AL23*AL$49</f>
        <v>117</v>
      </c>
      <c r="AM23" s="1" t="n">
        <f aca="false">'OD-APUMA(Val)'!AM23*AM$49</f>
        <v>91</v>
      </c>
      <c r="AN23" s="1" t="n">
        <f aca="false">'OD-APUMA(Val)'!AN23*AN$49</f>
        <v>0</v>
      </c>
      <c r="AO23" s="1" t="n">
        <f aca="false">'OD-APUMA(Val)'!AO23*AO$49</f>
        <v>0</v>
      </c>
      <c r="AP23" s="1" t="n">
        <f aca="false">'OD-APUMA(Val)'!AP23*AP$49</f>
        <v>0</v>
      </c>
      <c r="AQ23" s="1" t="n">
        <f aca="false">'OD-APUMA(Val)'!AQ23*AQ$49</f>
        <v>0</v>
      </c>
      <c r="AR23" s="0" t="n">
        <f aca="false">SUM('OD-APUMA(Val)'!C23:AQ23)</f>
        <v>118170</v>
      </c>
      <c r="AS23" s="0" t="n">
        <f aca="false">MAX('OD-APUMA(Val)'!C23:AQ23)</f>
        <v>106184</v>
      </c>
      <c r="AT23" s="2" t="n">
        <f aca="false">SUM(C23:AQ23)/AR23</f>
        <v>0.101430143014301</v>
      </c>
      <c r="AU23" s="3" t="n">
        <f aca="false">AT23^4</f>
        <v>0.000105844464816751</v>
      </c>
    </row>
    <row r="24" customFormat="false" ht="12.75" hidden="false" customHeight="false" outlineLevel="0" collapsed="false">
      <c r="A24" s="0" t="n">
        <v>76</v>
      </c>
      <c r="B24" s="0" t="n">
        <v>116324</v>
      </c>
      <c r="C24" s="1" t="n">
        <f aca="false">'OD-APUMA(Val)'!C24*C$49</f>
        <v>0</v>
      </c>
      <c r="D24" s="1" t="n">
        <f aca="false">'OD-APUMA(Val)'!D24*D$49</f>
        <v>0</v>
      </c>
      <c r="E24" s="1" t="n">
        <f aca="false">'OD-APUMA(Val)'!E24*E$49</f>
        <v>0</v>
      </c>
      <c r="F24" s="1" t="n">
        <f aca="false">'OD-APUMA(Val)'!F24*F$49</f>
        <v>143</v>
      </c>
      <c r="G24" s="1" t="n">
        <f aca="false">'OD-APUMA(Val)'!G24*G$49</f>
        <v>0</v>
      </c>
      <c r="H24" s="1" t="n">
        <f aca="false">'OD-APUMA(Val)'!H24*H$49</f>
        <v>0</v>
      </c>
      <c r="I24" s="1" t="n">
        <f aca="false">'OD-APUMA(Val)'!I24*I$49</f>
        <v>0</v>
      </c>
      <c r="J24" s="1" t="n">
        <f aca="false">'OD-APUMA(Val)'!J24*J$49</f>
        <v>0</v>
      </c>
      <c r="K24" s="1" t="n">
        <f aca="false">'OD-APUMA(Val)'!K24*K$49</f>
        <v>0</v>
      </c>
      <c r="L24" s="1" t="n">
        <f aca="false">'OD-APUMA(Val)'!L24*L$49</f>
        <v>0</v>
      </c>
      <c r="M24" s="1" t="n">
        <f aca="false">'OD-APUMA(Val)'!M24*M$49</f>
        <v>0</v>
      </c>
      <c r="N24" s="1" t="n">
        <f aca="false">'OD-APUMA(Val)'!N24*N$49</f>
        <v>0</v>
      </c>
      <c r="O24" s="1" t="n">
        <f aca="false">'OD-APUMA(Val)'!O24*O$49</f>
        <v>0</v>
      </c>
      <c r="P24" s="1" t="n">
        <f aca="false">'OD-APUMA(Val)'!P24*P$49</f>
        <v>572</v>
      </c>
      <c r="Q24" s="1" t="n">
        <f aca="false">'OD-APUMA(Val)'!Q24*Q$49</f>
        <v>1534</v>
      </c>
      <c r="R24" s="1" t="n">
        <f aca="false">'OD-APUMA(Val)'!R24*R$49</f>
        <v>0</v>
      </c>
      <c r="S24" s="1" t="n">
        <f aca="false">'OD-APUMA(Val)'!S24*S$49</f>
        <v>104</v>
      </c>
      <c r="T24" s="1" t="n">
        <f aca="false">'OD-APUMA(Val)'!T24*T$49</f>
        <v>0</v>
      </c>
      <c r="U24" s="1" t="n">
        <f aca="false">'OD-APUMA(Val)'!U24*U$49</f>
        <v>0</v>
      </c>
      <c r="V24" s="1" t="n">
        <f aca="false">'OD-APUMA(Val)'!V24*V$49</f>
        <v>0</v>
      </c>
      <c r="W24" s="1" t="n">
        <f aca="false">'OD-APUMA(Val)'!W24*W$49</f>
        <v>0</v>
      </c>
      <c r="X24" s="1" t="n">
        <v>0</v>
      </c>
      <c r="Y24" s="1" t="n">
        <f aca="false">'OD-APUMA(Val)'!Y24*Y$49</f>
        <v>0</v>
      </c>
      <c r="Z24" s="1" t="n">
        <f aca="false">'OD-APUMA(Val)'!Z24*Z$49</f>
        <v>0</v>
      </c>
      <c r="AA24" s="1" t="n">
        <f aca="false">'OD-APUMA(Val)'!AA24*AA$49</f>
        <v>871</v>
      </c>
      <c r="AB24" s="1" t="n">
        <f aca="false">'OD-APUMA(Val)'!AB24*AB$49</f>
        <v>182</v>
      </c>
      <c r="AC24" s="1" t="n">
        <f aca="false">'OD-APUMA(Val)'!AC24*AC$49</f>
        <v>52</v>
      </c>
      <c r="AD24" s="1" t="n">
        <f aca="false">'OD-APUMA(Val)'!AD24*AD$49</f>
        <v>273</v>
      </c>
      <c r="AE24" s="1" t="n">
        <f aca="false">'OD-APUMA(Val)'!AE24*AE$49</f>
        <v>247</v>
      </c>
      <c r="AF24" s="1" t="n">
        <f aca="false">'OD-APUMA(Val)'!AF24*AF$49</f>
        <v>4420</v>
      </c>
      <c r="AG24" s="1" t="n">
        <f aca="false">'OD-APUMA(Val)'!AG24*AG$49</f>
        <v>0</v>
      </c>
      <c r="AH24" s="1" t="n">
        <f aca="false">'OD-APUMA(Val)'!AH24*AH$49</f>
        <v>0</v>
      </c>
      <c r="AI24" s="1" t="n">
        <f aca="false">'OD-APUMA(Val)'!AI24*AI$49</f>
        <v>0</v>
      </c>
      <c r="AJ24" s="1" t="n">
        <f aca="false">'OD-APUMA(Val)'!AJ24*AJ$49</f>
        <v>0</v>
      </c>
      <c r="AK24" s="1" t="n">
        <f aca="false">'OD-APUMA(Val)'!AK24*AK$49</f>
        <v>91</v>
      </c>
      <c r="AL24" s="1" t="n">
        <f aca="false">'OD-APUMA(Val)'!AL24*AL$49</f>
        <v>0</v>
      </c>
      <c r="AM24" s="1" t="n">
        <f aca="false">'OD-APUMA(Val)'!AM24*AM$49</f>
        <v>15444</v>
      </c>
      <c r="AN24" s="1" t="n">
        <f aca="false">'OD-APUMA(Val)'!AN24*AN$49</f>
        <v>0</v>
      </c>
      <c r="AO24" s="1" t="n">
        <f aca="false">'OD-APUMA(Val)'!AO24*AO$49</f>
        <v>0</v>
      </c>
      <c r="AP24" s="1" t="n">
        <f aca="false">'OD-APUMA(Val)'!AP24*AP$49</f>
        <v>104</v>
      </c>
      <c r="AQ24" s="1" t="n">
        <f aca="false">'OD-APUMA(Val)'!AQ24*AQ$49</f>
        <v>91</v>
      </c>
      <c r="AR24" s="0" t="n">
        <f aca="false">SUM('OD-APUMA(Val)'!C24:AQ24)</f>
        <v>112996</v>
      </c>
      <c r="AS24" s="0" t="n">
        <f aca="false">MAX('OD-APUMA(Val)'!C24:AQ24)</f>
        <v>88868</v>
      </c>
      <c r="AT24" s="2" t="n">
        <f aca="false">SUM(C24:AQ24)/AR24</f>
        <v>0.213529682466636</v>
      </c>
      <c r="AU24" s="3" t="n">
        <f aca="false">AT24^4</f>
        <v>0.00207889721259302</v>
      </c>
    </row>
    <row r="25" customFormat="false" ht="12.75" hidden="false" customHeight="false" outlineLevel="0" collapsed="false">
      <c r="A25" s="0" t="n">
        <v>77</v>
      </c>
      <c r="B25" s="0" t="n">
        <v>73463</v>
      </c>
      <c r="C25" s="1" t="n">
        <f aca="false">'OD-APUMA(Val)'!C25*C$49</f>
        <v>0</v>
      </c>
      <c r="D25" s="1" t="n">
        <f aca="false">'OD-APUMA(Val)'!D25*D$49</f>
        <v>0</v>
      </c>
      <c r="E25" s="1" t="n">
        <f aca="false">'OD-APUMA(Val)'!E25*E$49</f>
        <v>0</v>
      </c>
      <c r="F25" s="1" t="n">
        <f aca="false">'OD-APUMA(Val)'!F25*F$49</f>
        <v>377</v>
      </c>
      <c r="G25" s="1" t="n">
        <f aca="false">'OD-APUMA(Val)'!G25*G$49</f>
        <v>0</v>
      </c>
      <c r="H25" s="1" t="n">
        <f aca="false">'OD-APUMA(Val)'!H25*H$49</f>
        <v>0</v>
      </c>
      <c r="I25" s="1" t="n">
        <f aca="false">'OD-APUMA(Val)'!I25*I$49</f>
        <v>0</v>
      </c>
      <c r="J25" s="1" t="n">
        <f aca="false">'OD-APUMA(Val)'!J25*J$49</f>
        <v>0</v>
      </c>
      <c r="K25" s="1" t="n">
        <f aca="false">'OD-APUMA(Val)'!K25*K$49</f>
        <v>0</v>
      </c>
      <c r="L25" s="1" t="n">
        <f aca="false">'OD-APUMA(Val)'!L25*L$49</f>
        <v>0</v>
      </c>
      <c r="M25" s="1" t="n">
        <f aca="false">'OD-APUMA(Val)'!M25*M$49</f>
        <v>0</v>
      </c>
      <c r="N25" s="1" t="n">
        <f aca="false">'OD-APUMA(Val)'!N25*N$49</f>
        <v>0</v>
      </c>
      <c r="O25" s="1" t="n">
        <f aca="false">'OD-APUMA(Val)'!O25*O$49</f>
        <v>39</v>
      </c>
      <c r="P25" s="1" t="n">
        <f aca="false">'OD-APUMA(Val)'!P25*P$49</f>
        <v>0</v>
      </c>
      <c r="Q25" s="1" t="n">
        <f aca="false">'OD-APUMA(Val)'!Q25*Q$49</f>
        <v>0</v>
      </c>
      <c r="R25" s="1" t="n">
        <f aca="false">'OD-APUMA(Val)'!R25*R$49</f>
        <v>0</v>
      </c>
      <c r="S25" s="1" t="n">
        <f aca="false">'OD-APUMA(Val)'!S25*S$49</f>
        <v>0</v>
      </c>
      <c r="T25" s="1" t="n">
        <f aca="false">'OD-APUMA(Val)'!T25*T$49</f>
        <v>0</v>
      </c>
      <c r="U25" s="1" t="n">
        <f aca="false">'OD-APUMA(Val)'!U25*U$49</f>
        <v>0</v>
      </c>
      <c r="V25" s="1" t="n">
        <f aca="false">'OD-APUMA(Val)'!V25*V$49</f>
        <v>0</v>
      </c>
      <c r="W25" s="1" t="n">
        <f aca="false">'OD-APUMA(Val)'!W25*W$49</f>
        <v>0</v>
      </c>
      <c r="X25" s="1" t="n">
        <f aca="false">'OD-APUMA(Val)'!X25*X$49</f>
        <v>0</v>
      </c>
      <c r="Y25" s="1" t="n">
        <v>0</v>
      </c>
      <c r="Z25" s="1" t="n">
        <f aca="false">'OD-APUMA(Val)'!Z25*Z$49</f>
        <v>0</v>
      </c>
      <c r="AA25" s="1" t="n">
        <f aca="false">'OD-APUMA(Val)'!AA25*AA$49</f>
        <v>78</v>
      </c>
      <c r="AB25" s="1" t="n">
        <f aca="false">'OD-APUMA(Val)'!AB25*AB$49</f>
        <v>0</v>
      </c>
      <c r="AC25" s="1" t="n">
        <f aca="false">'OD-APUMA(Val)'!AC25*AC$49</f>
        <v>0</v>
      </c>
      <c r="AD25" s="1" t="n">
        <f aca="false">'OD-APUMA(Val)'!AD25*AD$49</f>
        <v>0</v>
      </c>
      <c r="AE25" s="1" t="n">
        <f aca="false">'OD-APUMA(Val)'!AE25*AE$49</f>
        <v>156</v>
      </c>
      <c r="AF25" s="1" t="n">
        <f aca="false">'OD-APUMA(Val)'!AF25*AF$49</f>
        <v>0</v>
      </c>
      <c r="AG25" s="1" t="n">
        <f aca="false">'OD-APUMA(Val)'!AG25*AG$49</f>
        <v>0</v>
      </c>
      <c r="AH25" s="1" t="n">
        <f aca="false">'OD-APUMA(Val)'!AH25*AH$49</f>
        <v>624</v>
      </c>
      <c r="AI25" s="1" t="n">
        <f aca="false">'OD-APUMA(Val)'!AI25*AI$49</f>
        <v>78</v>
      </c>
      <c r="AJ25" s="1" t="n">
        <f aca="false">'OD-APUMA(Val)'!AJ25*AJ$49</f>
        <v>0</v>
      </c>
      <c r="AK25" s="1" t="n">
        <f aca="false">'OD-APUMA(Val)'!AK25*AK$49</f>
        <v>195</v>
      </c>
      <c r="AL25" s="1" t="n">
        <f aca="false">'OD-APUMA(Val)'!AL25*AL$49</f>
        <v>0</v>
      </c>
      <c r="AM25" s="1" t="n">
        <f aca="false">'OD-APUMA(Val)'!AM25*AM$49</f>
        <v>0</v>
      </c>
      <c r="AN25" s="1" t="n">
        <f aca="false">'OD-APUMA(Val)'!AN25*AN$49</f>
        <v>0</v>
      </c>
      <c r="AO25" s="1" t="n">
        <f aca="false">'OD-APUMA(Val)'!AO25*AO$49</f>
        <v>0</v>
      </c>
      <c r="AP25" s="1" t="n">
        <f aca="false">'OD-APUMA(Val)'!AP25*AP$49</f>
        <v>0</v>
      </c>
      <c r="AQ25" s="1" t="n">
        <f aca="false">'OD-APUMA(Val)'!AQ25*AQ$49</f>
        <v>0</v>
      </c>
      <c r="AR25" s="0" t="n">
        <f aca="false">SUM('OD-APUMA(Val)'!C25:AQ25)</f>
        <v>34944</v>
      </c>
      <c r="AS25" s="0" t="n">
        <f aca="false">MAX('OD-APUMA(Val)'!C25:AQ25)</f>
        <v>33397</v>
      </c>
      <c r="AT25" s="2" t="n">
        <f aca="false">SUM(C25:AQ25)/AR25</f>
        <v>0.0442708333333333</v>
      </c>
      <c r="AU25" s="3" t="n">
        <f aca="false">AT25^4</f>
        <v>3.84123421009676E-006</v>
      </c>
    </row>
    <row r="26" customFormat="false" ht="12.75" hidden="false" customHeight="false" outlineLevel="0" collapsed="false">
      <c r="A26" s="0" t="n">
        <v>80</v>
      </c>
      <c r="B26" s="0" t="n">
        <v>118885</v>
      </c>
      <c r="C26" s="1" t="n">
        <f aca="false">'OD-APUMA(Val)'!C26*C$49</f>
        <v>0</v>
      </c>
      <c r="D26" s="1" t="n">
        <f aca="false">'OD-APUMA(Val)'!D26*D$49</f>
        <v>247</v>
      </c>
      <c r="E26" s="1" t="n">
        <f aca="false">'OD-APUMA(Val)'!E26*E$49</f>
        <v>0</v>
      </c>
      <c r="F26" s="1" t="n">
        <f aca="false">'OD-APUMA(Val)'!F26*F$49</f>
        <v>0</v>
      </c>
      <c r="G26" s="1" t="n">
        <f aca="false">'OD-APUMA(Val)'!G26*G$49</f>
        <v>0</v>
      </c>
      <c r="H26" s="1" t="n">
        <f aca="false">'OD-APUMA(Val)'!H26*H$49</f>
        <v>0</v>
      </c>
      <c r="I26" s="1" t="n">
        <f aca="false">'OD-APUMA(Val)'!I26*I$49</f>
        <v>0</v>
      </c>
      <c r="J26" s="1" t="n">
        <f aca="false">'OD-APUMA(Val)'!J26*J$49</f>
        <v>0</v>
      </c>
      <c r="K26" s="1" t="n">
        <f aca="false">'OD-APUMA(Val)'!K26*K$49</f>
        <v>0</v>
      </c>
      <c r="L26" s="1" t="n">
        <f aca="false">'OD-APUMA(Val)'!L26*L$49</f>
        <v>0</v>
      </c>
      <c r="M26" s="1" t="n">
        <f aca="false">'OD-APUMA(Val)'!M26*M$49</f>
        <v>0</v>
      </c>
      <c r="N26" s="1" t="n">
        <f aca="false">'OD-APUMA(Val)'!N26*N$49</f>
        <v>0</v>
      </c>
      <c r="O26" s="1" t="n">
        <f aca="false">'OD-APUMA(Val)'!O26*O$49</f>
        <v>0</v>
      </c>
      <c r="P26" s="1" t="n">
        <f aca="false">'OD-APUMA(Val)'!P26*P$49</f>
        <v>104</v>
      </c>
      <c r="Q26" s="1" t="n">
        <f aca="false">'OD-APUMA(Val)'!Q26*Q$49</f>
        <v>91</v>
      </c>
      <c r="R26" s="1" t="n">
        <f aca="false">'OD-APUMA(Val)'!R26*R$49</f>
        <v>0</v>
      </c>
      <c r="S26" s="1" t="n">
        <f aca="false">'OD-APUMA(Val)'!S26*S$49</f>
        <v>0</v>
      </c>
      <c r="T26" s="1" t="n">
        <f aca="false">'OD-APUMA(Val)'!T26*T$49</f>
        <v>0</v>
      </c>
      <c r="U26" s="1" t="n">
        <f aca="false">'OD-APUMA(Val)'!U26*U$49</f>
        <v>169</v>
      </c>
      <c r="V26" s="1" t="n">
        <f aca="false">'OD-APUMA(Val)'!V26*V$49</f>
        <v>5980</v>
      </c>
      <c r="W26" s="1" t="n">
        <f aca="false">'OD-APUMA(Val)'!W26*W$49</f>
        <v>0</v>
      </c>
      <c r="X26" s="1" t="n">
        <f aca="false">'OD-APUMA(Val)'!X26*X$49</f>
        <v>0</v>
      </c>
      <c r="Y26" s="1" t="n">
        <f aca="false">'OD-APUMA(Val)'!Y26*Y$49</f>
        <v>0</v>
      </c>
      <c r="Z26" s="1" t="n">
        <v>0</v>
      </c>
      <c r="AA26" s="1" t="n">
        <f aca="false">'OD-APUMA(Val)'!AA26*AA$49</f>
        <v>0</v>
      </c>
      <c r="AB26" s="1" t="n">
        <f aca="false">'OD-APUMA(Val)'!AB26*AB$49</f>
        <v>78</v>
      </c>
      <c r="AC26" s="1" t="n">
        <f aca="false">'OD-APUMA(Val)'!AC26*AC$49</f>
        <v>0</v>
      </c>
      <c r="AD26" s="1" t="n">
        <f aca="false">'OD-APUMA(Val)'!AD26*AD$49</f>
        <v>260</v>
      </c>
      <c r="AE26" s="1" t="n">
        <f aca="false">'OD-APUMA(Val)'!AE26*AE$49</f>
        <v>598</v>
      </c>
      <c r="AF26" s="1" t="n">
        <f aca="false">'OD-APUMA(Val)'!AF26*AF$49</f>
        <v>104</v>
      </c>
      <c r="AG26" s="1" t="n">
        <f aca="false">'OD-APUMA(Val)'!AG26*AG$49</f>
        <v>0</v>
      </c>
      <c r="AH26" s="1" t="n">
        <f aca="false">'OD-APUMA(Val)'!AH26*AH$49</f>
        <v>0</v>
      </c>
      <c r="AI26" s="1" t="n">
        <f aca="false">'OD-APUMA(Val)'!AI26*AI$49</f>
        <v>221</v>
      </c>
      <c r="AJ26" s="1" t="n">
        <f aca="false">'OD-APUMA(Val)'!AJ26*AJ$49</f>
        <v>0</v>
      </c>
      <c r="AK26" s="1" t="n">
        <f aca="false">'OD-APUMA(Val)'!AK26*AK$49</f>
        <v>169</v>
      </c>
      <c r="AL26" s="1" t="n">
        <f aca="false">'OD-APUMA(Val)'!AL26*AL$49</f>
        <v>0</v>
      </c>
      <c r="AM26" s="1" t="n">
        <f aca="false">'OD-APUMA(Val)'!AM26*AM$49</f>
        <v>247</v>
      </c>
      <c r="AN26" s="1" t="n">
        <f aca="false">'OD-APUMA(Val)'!AN26*AN$49</f>
        <v>0</v>
      </c>
      <c r="AO26" s="1" t="n">
        <f aca="false">'OD-APUMA(Val)'!AO26*AO$49</f>
        <v>0</v>
      </c>
      <c r="AP26" s="1" t="n">
        <f aca="false">'OD-APUMA(Val)'!AP26*AP$49</f>
        <v>91</v>
      </c>
      <c r="AQ26" s="1" t="n">
        <f aca="false">'OD-APUMA(Val)'!AQ26*AQ$49</f>
        <v>312</v>
      </c>
      <c r="AR26" s="0" t="n">
        <f aca="false">SUM('OD-APUMA(Val)'!C26:AQ26)</f>
        <v>91208</v>
      </c>
      <c r="AS26" s="0" t="n">
        <f aca="false">MAX('OD-APUMA(Val)'!C26:AQ26)</f>
        <v>82537</v>
      </c>
      <c r="AT26" s="2" t="n">
        <f aca="false">SUM(C26:AQ26)/AR26</f>
        <v>0.0950684150513113</v>
      </c>
      <c r="AU26" s="3" t="n">
        <f aca="false">AT26^4</f>
        <v>8.16855079957116E-005</v>
      </c>
    </row>
    <row r="27" customFormat="false" ht="12.75" hidden="false" customHeight="false" outlineLevel="0" collapsed="false">
      <c r="A27" s="0" t="n">
        <v>86</v>
      </c>
      <c r="B27" s="0" t="n">
        <v>634894</v>
      </c>
      <c r="C27" s="1" t="n">
        <f aca="false">'OD-APUMA(Val)'!C27*C$49</f>
        <v>91</v>
      </c>
      <c r="D27" s="1" t="n">
        <f aca="false">'OD-APUMA(Val)'!D27*D$49</f>
        <v>78</v>
      </c>
      <c r="E27" s="1" t="n">
        <f aca="false">'OD-APUMA(Val)'!E27*E$49</f>
        <v>130</v>
      </c>
      <c r="F27" s="1" t="n">
        <f aca="false">'OD-APUMA(Val)'!F27*F$49</f>
        <v>0</v>
      </c>
      <c r="G27" s="1" t="n">
        <f aca="false">'OD-APUMA(Val)'!G27*G$49</f>
        <v>0</v>
      </c>
      <c r="H27" s="1" t="n">
        <f aca="false">'OD-APUMA(Val)'!H27*H$49</f>
        <v>143</v>
      </c>
      <c r="I27" s="1" t="n">
        <f aca="false">'OD-APUMA(Val)'!I27*I$49</f>
        <v>0</v>
      </c>
      <c r="J27" s="1" t="n">
        <f aca="false">'OD-APUMA(Val)'!J27*J$49</f>
        <v>0</v>
      </c>
      <c r="K27" s="1" t="n">
        <f aca="false">'OD-APUMA(Val)'!K27*K$49</f>
        <v>169</v>
      </c>
      <c r="L27" s="1" t="n">
        <f aca="false">'OD-APUMA(Val)'!L27*L$49</f>
        <v>91</v>
      </c>
      <c r="M27" s="1" t="n">
        <f aca="false">'OD-APUMA(Val)'!M27*M$49</f>
        <v>286</v>
      </c>
      <c r="N27" s="1" t="n">
        <f aca="false">'OD-APUMA(Val)'!N27*N$49</f>
        <v>195</v>
      </c>
      <c r="O27" s="1" t="n">
        <f aca="false">'OD-APUMA(Val)'!O27*O$49</f>
        <v>2028</v>
      </c>
      <c r="P27" s="1" t="n">
        <f aca="false">'OD-APUMA(Val)'!P27*P$49</f>
        <v>61607</v>
      </c>
      <c r="Q27" s="1" t="n">
        <f aca="false">'OD-APUMA(Val)'!Q27*Q$49</f>
        <v>24635</v>
      </c>
      <c r="R27" s="1" t="n">
        <f aca="false">'OD-APUMA(Val)'!R27*R$49</f>
        <v>0</v>
      </c>
      <c r="S27" s="1" t="n">
        <f aca="false">'OD-APUMA(Val)'!S27*S$49</f>
        <v>0</v>
      </c>
      <c r="T27" s="1" t="n">
        <f aca="false">'OD-APUMA(Val)'!T27*T$49</f>
        <v>0</v>
      </c>
      <c r="U27" s="1" t="n">
        <f aca="false">'OD-APUMA(Val)'!U27*U$49</f>
        <v>0</v>
      </c>
      <c r="V27" s="1" t="n">
        <f aca="false">'OD-APUMA(Val)'!V27*V$49</f>
        <v>0</v>
      </c>
      <c r="W27" s="1" t="n">
        <f aca="false">'OD-APUMA(Val)'!W27*W$49</f>
        <v>0</v>
      </c>
      <c r="X27" s="1" t="n">
        <f aca="false">'OD-APUMA(Val)'!X27*X$49</f>
        <v>442</v>
      </c>
      <c r="Y27" s="1" t="n">
        <f aca="false">'OD-APUMA(Val)'!Y27*Y$49</f>
        <v>0</v>
      </c>
      <c r="Z27" s="1" t="n">
        <f aca="false">'OD-APUMA(Val)'!Z27*Z$49</f>
        <v>0</v>
      </c>
      <c r="AA27" s="1" t="n">
        <v>0</v>
      </c>
      <c r="AB27" s="1" t="n">
        <f aca="false">'OD-APUMA(Val)'!AB27*AB$49</f>
        <v>35737</v>
      </c>
      <c r="AC27" s="1" t="n">
        <f aca="false">'OD-APUMA(Val)'!AC27*AC$49</f>
        <v>65</v>
      </c>
      <c r="AD27" s="1" t="n">
        <f aca="false">'OD-APUMA(Val)'!AD27*AD$49</f>
        <v>0</v>
      </c>
      <c r="AE27" s="1" t="n">
        <f aca="false">'OD-APUMA(Val)'!AE27*AE$49</f>
        <v>1768</v>
      </c>
      <c r="AF27" s="1" t="n">
        <f aca="false">'OD-APUMA(Val)'!AF27*AF$49</f>
        <v>0</v>
      </c>
      <c r="AG27" s="1" t="n">
        <f aca="false">'OD-APUMA(Val)'!AG27*AG$49</f>
        <v>260</v>
      </c>
      <c r="AH27" s="1" t="n">
        <f aca="false">'OD-APUMA(Val)'!AH27*AH$49</f>
        <v>0</v>
      </c>
      <c r="AI27" s="1" t="n">
        <f aca="false">'OD-APUMA(Val)'!AI27*AI$49</f>
        <v>481</v>
      </c>
      <c r="AJ27" s="1" t="n">
        <f aca="false">'OD-APUMA(Val)'!AJ27*AJ$49</f>
        <v>0</v>
      </c>
      <c r="AK27" s="1" t="n">
        <f aca="false">'OD-APUMA(Val)'!AK27*AK$49</f>
        <v>0</v>
      </c>
      <c r="AL27" s="1" t="n">
        <f aca="false">'OD-APUMA(Val)'!AL27*AL$49</f>
        <v>793</v>
      </c>
      <c r="AM27" s="1" t="n">
        <f aca="false">'OD-APUMA(Val)'!AM27*AM$49</f>
        <v>52273</v>
      </c>
      <c r="AN27" s="1" t="n">
        <f aca="false">'OD-APUMA(Val)'!AN27*AN$49</f>
        <v>1404</v>
      </c>
      <c r="AO27" s="1" t="n">
        <f aca="false">'OD-APUMA(Val)'!AO27*AO$49</f>
        <v>1027</v>
      </c>
      <c r="AP27" s="1" t="n">
        <f aca="false">'OD-APUMA(Val)'!AP27*AP$49</f>
        <v>299</v>
      </c>
      <c r="AQ27" s="1" t="n">
        <f aca="false">'OD-APUMA(Val)'!AQ27*AQ$49</f>
        <v>0</v>
      </c>
      <c r="AR27" s="0" t="n">
        <f aca="false">SUM('OD-APUMA(Val)'!C27:AQ27)</f>
        <v>632060</v>
      </c>
      <c r="AS27" s="0" t="n">
        <f aca="false">MAX('OD-APUMA(Val)'!C27:AQ27)</f>
        <v>448058</v>
      </c>
      <c r="AT27" s="2" t="n">
        <f aca="false">SUM(C27:AQ27)/AR27</f>
        <v>0.291114767585356</v>
      </c>
      <c r="AU27" s="3" t="n">
        <f aca="false">AT27^4</f>
        <v>0.00718219094491901</v>
      </c>
    </row>
    <row r="28" customFormat="false" ht="12.75" hidden="false" customHeight="false" outlineLevel="0" collapsed="false">
      <c r="A28" s="0" t="n">
        <v>87</v>
      </c>
      <c r="B28" s="0" t="n">
        <v>401882</v>
      </c>
      <c r="C28" s="1" t="n">
        <f aca="false">'OD-APUMA(Val)'!C28*C$49</f>
        <v>273</v>
      </c>
      <c r="D28" s="1" t="n">
        <f aca="false">'OD-APUMA(Val)'!D28*D$49</f>
        <v>117</v>
      </c>
      <c r="E28" s="1" t="n">
        <f aca="false">'OD-APUMA(Val)'!E28*E$49</f>
        <v>0</v>
      </c>
      <c r="F28" s="1" t="n">
        <f aca="false">'OD-APUMA(Val)'!F28*F$49</f>
        <v>182</v>
      </c>
      <c r="G28" s="1" t="n">
        <f aca="false">'OD-APUMA(Val)'!G28*G$49</f>
        <v>0</v>
      </c>
      <c r="H28" s="1" t="n">
        <f aca="false">'OD-APUMA(Val)'!H28*H$49</f>
        <v>143</v>
      </c>
      <c r="I28" s="1" t="n">
        <f aca="false">'OD-APUMA(Val)'!I28*I$49</f>
        <v>0</v>
      </c>
      <c r="J28" s="1" t="n">
        <f aca="false">'OD-APUMA(Val)'!J28*J$49</f>
        <v>0</v>
      </c>
      <c r="K28" s="1" t="n">
        <f aca="false">'OD-APUMA(Val)'!K28*K$49</f>
        <v>533</v>
      </c>
      <c r="L28" s="1" t="n">
        <f aca="false">'OD-APUMA(Val)'!L28*L$49</f>
        <v>156</v>
      </c>
      <c r="M28" s="1" t="n">
        <f aca="false">'OD-APUMA(Val)'!M28*M$49</f>
        <v>338</v>
      </c>
      <c r="N28" s="1" t="n">
        <f aca="false">'OD-APUMA(Val)'!N28*N$49</f>
        <v>234</v>
      </c>
      <c r="O28" s="1" t="n">
        <f aca="false">'OD-APUMA(Val)'!O28*O$49</f>
        <v>3653</v>
      </c>
      <c r="P28" s="1" t="n">
        <f aca="false">'OD-APUMA(Val)'!P28*P$49</f>
        <v>45435</v>
      </c>
      <c r="Q28" s="1" t="n">
        <f aca="false">'OD-APUMA(Val)'!Q28*Q$49</f>
        <v>7215</v>
      </c>
      <c r="R28" s="1" t="n">
        <f aca="false">'OD-APUMA(Val)'!R28*R$49</f>
        <v>130</v>
      </c>
      <c r="S28" s="1" t="n">
        <f aca="false">'OD-APUMA(Val)'!S28*S$49</f>
        <v>0</v>
      </c>
      <c r="T28" s="1" t="n">
        <f aca="false">'OD-APUMA(Val)'!T28*T$49</f>
        <v>0</v>
      </c>
      <c r="U28" s="1" t="n">
        <f aca="false">'OD-APUMA(Val)'!U28*U$49</f>
        <v>117</v>
      </c>
      <c r="V28" s="1" t="n">
        <f aca="false">'OD-APUMA(Val)'!V28*V$49</f>
        <v>104</v>
      </c>
      <c r="W28" s="1" t="n">
        <f aca="false">'OD-APUMA(Val)'!W28*W$49</f>
        <v>117</v>
      </c>
      <c r="X28" s="1" t="n">
        <f aca="false">'OD-APUMA(Val)'!X28*X$49</f>
        <v>52</v>
      </c>
      <c r="Y28" s="1" t="n">
        <f aca="false">'OD-APUMA(Val)'!Y28*Y$49</f>
        <v>0</v>
      </c>
      <c r="Z28" s="1" t="n">
        <f aca="false">'OD-APUMA(Val)'!Z28*Z$49</f>
        <v>52</v>
      </c>
      <c r="AA28" s="1" t="n">
        <f aca="false">'OD-APUMA(Val)'!AA28*AA$49</f>
        <v>83265</v>
      </c>
      <c r="AB28" s="1" t="n">
        <v>0</v>
      </c>
      <c r="AC28" s="1" t="n">
        <f aca="false">'OD-APUMA(Val)'!AC28*AC$49</f>
        <v>104</v>
      </c>
      <c r="AD28" s="1" t="n">
        <f aca="false">'OD-APUMA(Val)'!AD28*AD$49</f>
        <v>0</v>
      </c>
      <c r="AE28" s="1" t="n">
        <f aca="false">'OD-APUMA(Val)'!AE28*AE$49</f>
        <v>806</v>
      </c>
      <c r="AF28" s="1" t="n">
        <f aca="false">'OD-APUMA(Val)'!AF28*AF$49</f>
        <v>0</v>
      </c>
      <c r="AG28" s="1" t="n">
        <f aca="false">'OD-APUMA(Val)'!AG28*AG$49</f>
        <v>208</v>
      </c>
      <c r="AH28" s="1" t="n">
        <f aca="false">'OD-APUMA(Val)'!AH28*AH$49</f>
        <v>0</v>
      </c>
      <c r="AI28" s="1" t="n">
        <f aca="false">'OD-APUMA(Val)'!AI28*AI$49</f>
        <v>559</v>
      </c>
      <c r="AJ28" s="1" t="n">
        <f aca="false">'OD-APUMA(Val)'!AJ28*AJ$49</f>
        <v>169</v>
      </c>
      <c r="AK28" s="1" t="n">
        <f aca="false">'OD-APUMA(Val)'!AK28*AK$49</f>
        <v>494</v>
      </c>
      <c r="AL28" s="1" t="n">
        <f aca="false">'OD-APUMA(Val)'!AL28*AL$49</f>
        <v>624</v>
      </c>
      <c r="AM28" s="1" t="n">
        <f aca="false">'OD-APUMA(Val)'!AM28*AM$49</f>
        <v>5668</v>
      </c>
      <c r="AN28" s="1" t="n">
        <f aca="false">'OD-APUMA(Val)'!AN28*AN$49</f>
        <v>6058</v>
      </c>
      <c r="AO28" s="1" t="n">
        <f aca="false">'OD-APUMA(Val)'!AO28*AO$49</f>
        <v>442</v>
      </c>
      <c r="AP28" s="1" t="n">
        <f aca="false">'OD-APUMA(Val)'!AP28*AP$49</f>
        <v>0</v>
      </c>
      <c r="AQ28" s="1" t="n">
        <f aca="false">'OD-APUMA(Val)'!AQ28*AQ$49</f>
        <v>0</v>
      </c>
      <c r="AR28" s="0" t="n">
        <f aca="false">SUM('OD-APUMA(Val)'!C28:AQ28)</f>
        <v>401219</v>
      </c>
      <c r="AS28" s="0" t="n">
        <f aca="false">MAX('OD-APUMA(Val)'!C28:AQ28)</f>
        <v>243971</v>
      </c>
      <c r="AT28" s="2" t="n">
        <f aca="false">SUM(C28:AQ28)/AR28</f>
        <v>0.391925606713541</v>
      </c>
      <c r="AU28" s="3" t="n">
        <f aca="false">AT28^4</f>
        <v>0.023594705296233</v>
      </c>
    </row>
    <row r="29" customFormat="false" ht="12.75" hidden="false" customHeight="false" outlineLevel="0" collapsed="false">
      <c r="A29" s="0" t="n">
        <v>88</v>
      </c>
      <c r="B29" s="0" t="n">
        <v>405808</v>
      </c>
      <c r="C29" s="1" t="n">
        <f aca="false">'OD-APUMA(Val)'!C29*C$49</f>
        <v>0</v>
      </c>
      <c r="D29" s="1" t="n">
        <f aca="false">'OD-APUMA(Val)'!D29*D$49</f>
        <v>117</v>
      </c>
      <c r="E29" s="1" t="n">
        <f aca="false">'OD-APUMA(Val)'!E29*E$49</f>
        <v>0</v>
      </c>
      <c r="F29" s="1" t="n">
        <f aca="false">'OD-APUMA(Val)'!F29*F$49</f>
        <v>351</v>
      </c>
      <c r="G29" s="1" t="n">
        <f aca="false">'OD-APUMA(Val)'!G29*G$49</f>
        <v>195</v>
      </c>
      <c r="H29" s="1" t="n">
        <f aca="false">'OD-APUMA(Val)'!H29*H$49</f>
        <v>182</v>
      </c>
      <c r="I29" s="1" t="n">
        <f aca="false">'OD-APUMA(Val)'!I29*I$49</f>
        <v>0</v>
      </c>
      <c r="J29" s="1" t="n">
        <f aca="false">'OD-APUMA(Val)'!J29*J$49</f>
        <v>91</v>
      </c>
      <c r="K29" s="1" t="n">
        <f aca="false">'OD-APUMA(Val)'!K29*K$49</f>
        <v>0</v>
      </c>
      <c r="L29" s="1" t="n">
        <f aca="false">'OD-APUMA(Val)'!L29*L$49</f>
        <v>0</v>
      </c>
      <c r="M29" s="1" t="n">
        <f aca="false">'OD-APUMA(Val)'!M29*M$49</f>
        <v>195</v>
      </c>
      <c r="N29" s="1" t="n">
        <f aca="false">'OD-APUMA(Val)'!N29*N$49</f>
        <v>0</v>
      </c>
      <c r="O29" s="1" t="n">
        <f aca="false">'OD-APUMA(Val)'!O29*O$49</f>
        <v>0</v>
      </c>
      <c r="P29" s="1" t="n">
        <f aca="false">'OD-APUMA(Val)'!P29*P$49</f>
        <v>364</v>
      </c>
      <c r="Q29" s="1" t="n">
        <f aca="false">'OD-APUMA(Val)'!Q29*Q$49</f>
        <v>377</v>
      </c>
      <c r="R29" s="1" t="n">
        <f aca="false">'OD-APUMA(Val)'!R29*R$49</f>
        <v>0</v>
      </c>
      <c r="S29" s="1" t="n">
        <f aca="false">'OD-APUMA(Val)'!S29*S$49</f>
        <v>4706</v>
      </c>
      <c r="T29" s="1" t="n">
        <f aca="false">'OD-APUMA(Val)'!T29*T$49</f>
        <v>1313</v>
      </c>
      <c r="U29" s="1" t="n">
        <f aca="false">'OD-APUMA(Val)'!U29*U$49</f>
        <v>2951</v>
      </c>
      <c r="V29" s="1" t="n">
        <f aca="false">'OD-APUMA(Val)'!V29*V$49</f>
        <v>91</v>
      </c>
      <c r="W29" s="1" t="n">
        <f aca="false">'OD-APUMA(Val)'!W29*W$49</f>
        <v>3107</v>
      </c>
      <c r="X29" s="1" t="n">
        <f aca="false">'OD-APUMA(Val)'!X29*X$49</f>
        <v>78</v>
      </c>
      <c r="Y29" s="1" t="n">
        <f aca="false">'OD-APUMA(Val)'!Y29*Y$49</f>
        <v>0</v>
      </c>
      <c r="Z29" s="1" t="n">
        <f aca="false">'OD-APUMA(Val)'!Z29*Z$49</f>
        <v>78</v>
      </c>
      <c r="AA29" s="1" t="n">
        <f aca="false">'OD-APUMA(Val)'!AA29*AA$49</f>
        <v>208</v>
      </c>
      <c r="AB29" s="1" t="n">
        <f aca="false">'OD-APUMA(Val)'!AB29*AB$49</f>
        <v>169</v>
      </c>
      <c r="AC29" s="1" t="n">
        <v>0</v>
      </c>
      <c r="AD29" s="1" t="n">
        <f aca="false">'OD-APUMA(Val)'!AD29*AD$49</f>
        <v>104</v>
      </c>
      <c r="AE29" s="1" t="n">
        <f aca="false">'OD-APUMA(Val)'!AE29*AE$49</f>
        <v>741</v>
      </c>
      <c r="AF29" s="1" t="n">
        <f aca="false">'OD-APUMA(Val)'!AF29*AF$49</f>
        <v>520</v>
      </c>
      <c r="AG29" s="1" t="n">
        <f aca="false">'OD-APUMA(Val)'!AG29*AG$49</f>
        <v>117</v>
      </c>
      <c r="AH29" s="1" t="n">
        <f aca="false">'OD-APUMA(Val)'!AH29*AH$49</f>
        <v>130</v>
      </c>
      <c r="AI29" s="1" t="n">
        <f aca="false">'OD-APUMA(Val)'!AI29*AI$49</f>
        <v>143</v>
      </c>
      <c r="AJ29" s="1" t="n">
        <f aca="false">'OD-APUMA(Val)'!AJ29*AJ$49</f>
        <v>0</v>
      </c>
      <c r="AK29" s="1" t="n">
        <f aca="false">'OD-APUMA(Val)'!AK29*AK$49</f>
        <v>104</v>
      </c>
      <c r="AL29" s="1" t="n">
        <f aca="false">'OD-APUMA(Val)'!AL29*AL$49</f>
        <v>143</v>
      </c>
      <c r="AM29" s="1" t="n">
        <f aca="false">'OD-APUMA(Val)'!AM29*AM$49</f>
        <v>91</v>
      </c>
      <c r="AN29" s="1" t="n">
        <f aca="false">'OD-APUMA(Val)'!AN29*AN$49</f>
        <v>0</v>
      </c>
      <c r="AO29" s="1" t="n">
        <f aca="false">'OD-APUMA(Val)'!AO29*AO$49</f>
        <v>0</v>
      </c>
      <c r="AP29" s="1" t="n">
        <f aca="false">'OD-APUMA(Val)'!AP29*AP$49</f>
        <v>195</v>
      </c>
      <c r="AQ29" s="1" t="n">
        <f aca="false">'OD-APUMA(Val)'!AQ29*AQ$49</f>
        <v>377</v>
      </c>
      <c r="AR29" s="0" t="n">
        <f aca="false">SUM('OD-APUMA(Val)'!C29:AQ29)</f>
        <v>268060</v>
      </c>
      <c r="AS29" s="0" t="n">
        <f aca="false">MAX('OD-APUMA(Val)'!C29:AQ29)</f>
        <v>250822</v>
      </c>
      <c r="AT29" s="2" t="n">
        <f aca="false">SUM(C29:AQ29)/AR29</f>
        <v>0.0643064985451018</v>
      </c>
      <c r="AU29" s="3" t="n">
        <f aca="false">AT29^4</f>
        <v>1.71009191010513E-005</v>
      </c>
    </row>
    <row r="30" customFormat="false" ht="12.75" hidden="false" customHeight="false" outlineLevel="0" collapsed="false">
      <c r="A30" s="0" t="n">
        <v>89</v>
      </c>
      <c r="B30" s="0" t="n">
        <v>320827</v>
      </c>
      <c r="C30" s="1" t="n">
        <f aca="false">'OD-APUMA(Val)'!C30*C$49</f>
        <v>104</v>
      </c>
      <c r="D30" s="1" t="n">
        <f aca="false">'OD-APUMA(Val)'!D30*D$49</f>
        <v>0</v>
      </c>
      <c r="E30" s="1" t="n">
        <f aca="false">'OD-APUMA(Val)'!E30*E$49</f>
        <v>0</v>
      </c>
      <c r="F30" s="1" t="n">
        <f aca="false">'OD-APUMA(Val)'!F30*F$49</f>
        <v>182</v>
      </c>
      <c r="G30" s="1" t="n">
        <f aca="false">'OD-APUMA(Val)'!G30*G$49</f>
        <v>0</v>
      </c>
      <c r="H30" s="1" t="n">
        <f aca="false">'OD-APUMA(Val)'!H30*H$49</f>
        <v>0</v>
      </c>
      <c r="I30" s="1" t="n">
        <f aca="false">'OD-APUMA(Val)'!I30*I$49</f>
        <v>0</v>
      </c>
      <c r="J30" s="1" t="n">
        <f aca="false">'OD-APUMA(Val)'!J30*J$49</f>
        <v>0</v>
      </c>
      <c r="K30" s="1" t="n">
        <f aca="false">'OD-APUMA(Val)'!K30*K$49</f>
        <v>0</v>
      </c>
      <c r="L30" s="1" t="n">
        <f aca="false">'OD-APUMA(Val)'!L30*L$49</f>
        <v>0</v>
      </c>
      <c r="M30" s="1" t="n">
        <f aca="false">'OD-APUMA(Val)'!M30*M$49</f>
        <v>0</v>
      </c>
      <c r="N30" s="1" t="n">
        <f aca="false">'OD-APUMA(Val)'!N30*N$49</f>
        <v>0</v>
      </c>
      <c r="O30" s="1" t="n">
        <f aca="false">'OD-APUMA(Val)'!O30*O$49</f>
        <v>91</v>
      </c>
      <c r="P30" s="1" t="n">
        <f aca="false">'OD-APUMA(Val)'!P30*P$49</f>
        <v>78</v>
      </c>
      <c r="Q30" s="1" t="n">
        <f aca="false">'OD-APUMA(Val)'!Q30*Q$49</f>
        <v>0</v>
      </c>
      <c r="R30" s="1" t="n">
        <f aca="false">'OD-APUMA(Val)'!R30*R$49</f>
        <v>299</v>
      </c>
      <c r="S30" s="1" t="n">
        <f aca="false">'OD-APUMA(Val)'!S30*S$49</f>
        <v>208</v>
      </c>
      <c r="T30" s="1" t="n">
        <f aca="false">'OD-APUMA(Val)'!T30*T$49</f>
        <v>0</v>
      </c>
      <c r="U30" s="1" t="n">
        <f aca="false">'OD-APUMA(Val)'!U30*U$49</f>
        <v>182</v>
      </c>
      <c r="V30" s="1" t="n">
        <f aca="false">'OD-APUMA(Val)'!V30*V$49</f>
        <v>351</v>
      </c>
      <c r="W30" s="1" t="n">
        <f aca="false">'OD-APUMA(Val)'!W30*W$49</f>
        <v>1469</v>
      </c>
      <c r="X30" s="1" t="n">
        <f aca="false">'OD-APUMA(Val)'!X30*X$49</f>
        <v>0</v>
      </c>
      <c r="Y30" s="1" t="n">
        <f aca="false">'OD-APUMA(Val)'!Y30*Y$49</f>
        <v>143</v>
      </c>
      <c r="Z30" s="1" t="n">
        <f aca="false">'OD-APUMA(Val)'!Z30*Z$49</f>
        <v>208</v>
      </c>
      <c r="AA30" s="1" t="n">
        <f aca="false">'OD-APUMA(Val)'!AA30*AA$49</f>
        <v>104</v>
      </c>
      <c r="AB30" s="1" t="n">
        <f aca="false">'OD-APUMA(Val)'!AB30*AB$49</f>
        <v>0</v>
      </c>
      <c r="AC30" s="1" t="n">
        <f aca="false">'OD-APUMA(Val)'!AC30*AC$49</f>
        <v>156</v>
      </c>
      <c r="AD30" s="1" t="n">
        <v>0</v>
      </c>
      <c r="AE30" s="1" t="n">
        <f aca="false">'OD-APUMA(Val)'!AE30*AE$49</f>
        <v>7618</v>
      </c>
      <c r="AF30" s="1" t="n">
        <f aca="false">'OD-APUMA(Val)'!AF30*AF$49</f>
        <v>208</v>
      </c>
      <c r="AG30" s="1" t="n">
        <f aca="false">'OD-APUMA(Val)'!AG30*AG$49</f>
        <v>169</v>
      </c>
      <c r="AH30" s="1" t="n">
        <f aca="false">'OD-APUMA(Val)'!AH30*AH$49</f>
        <v>91</v>
      </c>
      <c r="AI30" s="1" t="n">
        <f aca="false">'OD-APUMA(Val)'!AI30*AI$49</f>
        <v>0</v>
      </c>
      <c r="AJ30" s="1" t="n">
        <f aca="false">'OD-APUMA(Val)'!AJ30*AJ$49</f>
        <v>1664</v>
      </c>
      <c r="AK30" s="1" t="n">
        <f aca="false">'OD-APUMA(Val)'!AK30*AK$49</f>
        <v>0</v>
      </c>
      <c r="AL30" s="1" t="n">
        <f aca="false">'OD-APUMA(Val)'!AL30*AL$49</f>
        <v>91</v>
      </c>
      <c r="AM30" s="1" t="n">
        <f aca="false">'OD-APUMA(Val)'!AM30*AM$49</f>
        <v>0</v>
      </c>
      <c r="AN30" s="1" t="n">
        <f aca="false">'OD-APUMA(Val)'!AN30*AN$49</f>
        <v>0</v>
      </c>
      <c r="AO30" s="1" t="n">
        <f aca="false">'OD-APUMA(Val)'!AO30*AO$49</f>
        <v>0</v>
      </c>
      <c r="AP30" s="1" t="n">
        <f aca="false">'OD-APUMA(Val)'!AP30*AP$49</f>
        <v>0</v>
      </c>
      <c r="AQ30" s="1" t="n">
        <f aca="false">'OD-APUMA(Val)'!AQ30*AQ$49</f>
        <v>208</v>
      </c>
      <c r="AR30" s="0" t="n">
        <f aca="false">SUM('OD-APUMA(Val)'!C30:AQ30)</f>
        <v>221559</v>
      </c>
      <c r="AS30" s="0" t="n">
        <f aca="false">MAX('OD-APUMA(Val)'!C30:AQ30)</f>
        <v>207935</v>
      </c>
      <c r="AT30" s="2" t="n">
        <f aca="false">SUM(C30:AQ30)/AR30</f>
        <v>0.0614915214457549</v>
      </c>
      <c r="AU30" s="3" t="n">
        <f aca="false">AT30^4</f>
        <v>1.42975279627911E-005</v>
      </c>
    </row>
    <row r="31" customFormat="false" ht="12.75" hidden="false" customHeight="false" outlineLevel="0" collapsed="false">
      <c r="A31" s="0" t="n">
        <v>90</v>
      </c>
      <c r="B31" s="0" t="n">
        <v>4714869</v>
      </c>
      <c r="C31" s="1" t="n">
        <f aca="false">'OD-APUMA(Val)'!C31*C$49</f>
        <v>1573</v>
      </c>
      <c r="D31" s="1" t="n">
        <f aca="false">'OD-APUMA(Val)'!D31*D$49</f>
        <v>2535</v>
      </c>
      <c r="E31" s="1" t="n">
        <f aca="false">'OD-APUMA(Val)'!E31*E$49</f>
        <v>1079</v>
      </c>
      <c r="F31" s="1" t="n">
        <f aca="false">'OD-APUMA(Val)'!F31*F$49</f>
        <v>533</v>
      </c>
      <c r="G31" s="1" t="n">
        <f aca="false">'OD-APUMA(Val)'!G31*G$49</f>
        <v>312</v>
      </c>
      <c r="H31" s="1" t="n">
        <f aca="false">'OD-APUMA(Val)'!H31*H$49</f>
        <v>273</v>
      </c>
      <c r="I31" s="1" t="n">
        <f aca="false">'OD-APUMA(Val)'!I31*I$49</f>
        <v>273</v>
      </c>
      <c r="J31" s="1" t="n">
        <f aca="false">'OD-APUMA(Val)'!J31*J$49</f>
        <v>364</v>
      </c>
      <c r="K31" s="1" t="n">
        <f aca="false">'OD-APUMA(Val)'!K31*K$49</f>
        <v>156</v>
      </c>
      <c r="L31" s="1" t="n">
        <f aca="false">'OD-APUMA(Val)'!L31*L$49</f>
        <v>156</v>
      </c>
      <c r="M31" s="1" t="n">
        <f aca="false">'OD-APUMA(Val)'!M31*M$49</f>
        <v>520</v>
      </c>
      <c r="N31" s="1" t="n">
        <f aca="false">'OD-APUMA(Val)'!N31*N$49</f>
        <v>91</v>
      </c>
      <c r="O31" s="1" t="n">
        <f aca="false">'OD-APUMA(Val)'!O31*O$49</f>
        <v>65</v>
      </c>
      <c r="P31" s="1" t="n">
        <f aca="false">'OD-APUMA(Val)'!P31*P$49</f>
        <v>1755</v>
      </c>
      <c r="Q31" s="1" t="n">
        <f aca="false">'OD-APUMA(Val)'!Q31*Q$49</f>
        <v>2353</v>
      </c>
      <c r="R31" s="1" t="n">
        <f aca="false">'OD-APUMA(Val)'!R31*R$49</f>
        <v>858</v>
      </c>
      <c r="S31" s="1" t="n">
        <f aca="false">'OD-APUMA(Val)'!S31*S$49</f>
        <v>91</v>
      </c>
      <c r="T31" s="1" t="n">
        <f aca="false">'OD-APUMA(Val)'!T31*T$49</f>
        <v>0</v>
      </c>
      <c r="U31" s="1" t="n">
        <f aca="false">'OD-APUMA(Val)'!U31*U$49</f>
        <v>962</v>
      </c>
      <c r="V31" s="1" t="n">
        <f aca="false">'OD-APUMA(Val)'!V31*V$49</f>
        <v>1131</v>
      </c>
      <c r="W31" s="1" t="n">
        <f aca="false">'OD-APUMA(Val)'!W31*W$49</f>
        <v>0</v>
      </c>
      <c r="X31" s="1" t="n">
        <f aca="false">'OD-APUMA(Val)'!X31*X$49</f>
        <v>0</v>
      </c>
      <c r="Y31" s="1" t="n">
        <f aca="false">'OD-APUMA(Val)'!Y31*Y$49</f>
        <v>208</v>
      </c>
      <c r="Z31" s="1" t="n">
        <f aca="false">'OD-APUMA(Val)'!Z31*Z$49</f>
        <v>429</v>
      </c>
      <c r="AA31" s="1" t="n">
        <f aca="false">'OD-APUMA(Val)'!AA31*AA$49</f>
        <v>1443</v>
      </c>
      <c r="AB31" s="1" t="n">
        <f aca="false">'OD-APUMA(Val)'!AB31*AB$49</f>
        <v>1300</v>
      </c>
      <c r="AC31" s="1" t="n">
        <f aca="false">'OD-APUMA(Val)'!AC31*AC$49</f>
        <v>650</v>
      </c>
      <c r="AD31" s="1" t="n">
        <f aca="false">'OD-APUMA(Val)'!AD31*AD$49</f>
        <v>9503</v>
      </c>
      <c r="AE31" s="1" t="n">
        <v>0</v>
      </c>
      <c r="AF31" s="1" t="n">
        <f aca="false">'OD-APUMA(Val)'!AF31*AF$49</f>
        <v>793</v>
      </c>
      <c r="AG31" s="1" t="n">
        <f aca="false">'OD-APUMA(Val)'!AG31*AG$49</f>
        <v>136591</v>
      </c>
      <c r="AH31" s="1" t="n">
        <f aca="false">'OD-APUMA(Val)'!AH31*AH$49</f>
        <v>6617</v>
      </c>
      <c r="AI31" s="1" t="n">
        <f aca="false">'OD-APUMA(Val)'!AI31*AI$49</f>
        <v>468</v>
      </c>
      <c r="AJ31" s="1" t="n">
        <f aca="false">'OD-APUMA(Val)'!AJ31*AJ$49</f>
        <v>32331</v>
      </c>
      <c r="AK31" s="1" t="n">
        <f aca="false">'OD-APUMA(Val)'!AK31*AK$49</f>
        <v>3419</v>
      </c>
      <c r="AL31" s="1" t="n">
        <f aca="false">'OD-APUMA(Val)'!AL31*AL$49</f>
        <v>156</v>
      </c>
      <c r="AM31" s="1" t="n">
        <f aca="false">'OD-APUMA(Val)'!AM31*AM$49</f>
        <v>520</v>
      </c>
      <c r="AN31" s="1" t="n">
        <f aca="false">'OD-APUMA(Val)'!AN31*AN$49</f>
        <v>455</v>
      </c>
      <c r="AO31" s="1" t="n">
        <f aca="false">'OD-APUMA(Val)'!AO31*AO$49</f>
        <v>0</v>
      </c>
      <c r="AP31" s="1" t="n">
        <f aca="false">'OD-APUMA(Val)'!AP31*AP$49</f>
        <v>156</v>
      </c>
      <c r="AQ31" s="1" t="n">
        <f aca="false">'OD-APUMA(Val)'!AQ31*AQ$49</f>
        <v>21801</v>
      </c>
      <c r="AR31" s="0" t="n">
        <f aca="false">SUM('OD-APUMA(Val)'!C31:AQ31)</f>
        <v>4091568</v>
      </c>
      <c r="AS31" s="0" t="n">
        <f aca="false">MAX('OD-APUMA(Val)'!C31:AQ31)</f>
        <v>3859648</v>
      </c>
      <c r="AT31" s="2" t="n">
        <f aca="false">SUM(C31:AQ31)/AR31</f>
        <v>0.0566824259061563</v>
      </c>
      <c r="AU31" s="3" t="n">
        <f aca="false">AT31^4</f>
        <v>1.03227097453813E-005</v>
      </c>
    </row>
    <row r="32" customFormat="false" ht="12.75" hidden="false" customHeight="false" outlineLevel="0" collapsed="false">
      <c r="A32" s="0" t="n">
        <v>91</v>
      </c>
      <c r="B32" s="0" t="n">
        <v>195273</v>
      </c>
      <c r="C32" s="1" t="n">
        <f aca="false">'OD-APUMA(Val)'!C32*C$49</f>
        <v>91</v>
      </c>
      <c r="D32" s="1" t="n">
        <f aca="false">'OD-APUMA(Val)'!D32*D$49</f>
        <v>0</v>
      </c>
      <c r="E32" s="1" t="n">
        <f aca="false">'OD-APUMA(Val)'!E32*E$49</f>
        <v>130</v>
      </c>
      <c r="F32" s="1" t="n">
        <f aca="false">'OD-APUMA(Val)'!F32*F$49</f>
        <v>78</v>
      </c>
      <c r="G32" s="1" t="n">
        <f aca="false">'OD-APUMA(Val)'!G32*G$49</f>
        <v>0</v>
      </c>
      <c r="H32" s="1" t="n">
        <f aca="false">'OD-APUMA(Val)'!H32*H$49</f>
        <v>0</v>
      </c>
      <c r="I32" s="1" t="n">
        <f aca="false">'OD-APUMA(Val)'!I32*I$49</f>
        <v>0</v>
      </c>
      <c r="J32" s="1" t="n">
        <f aca="false">'OD-APUMA(Val)'!J32*J$49</f>
        <v>130</v>
      </c>
      <c r="K32" s="1" t="n">
        <f aca="false">'OD-APUMA(Val)'!K32*K$49</f>
        <v>0</v>
      </c>
      <c r="L32" s="1" t="n">
        <f aca="false">'OD-APUMA(Val)'!L32*L$49</f>
        <v>0</v>
      </c>
      <c r="M32" s="1" t="n">
        <f aca="false">'OD-APUMA(Val)'!M32*M$49</f>
        <v>0</v>
      </c>
      <c r="N32" s="1" t="n">
        <f aca="false">'OD-APUMA(Val)'!N32*N$49</f>
        <v>0</v>
      </c>
      <c r="O32" s="1" t="n">
        <f aca="false">'OD-APUMA(Val)'!O32*O$49</f>
        <v>0</v>
      </c>
      <c r="P32" s="1" t="n">
        <f aca="false">'OD-APUMA(Val)'!P32*P$49</f>
        <v>0</v>
      </c>
      <c r="Q32" s="1" t="n">
        <f aca="false">'OD-APUMA(Val)'!Q32*Q$49</f>
        <v>247</v>
      </c>
      <c r="R32" s="1" t="n">
        <f aca="false">'OD-APUMA(Val)'!R32*R$49</f>
        <v>0</v>
      </c>
      <c r="S32" s="1" t="n">
        <f aca="false">'OD-APUMA(Val)'!S32*S$49</f>
        <v>390</v>
      </c>
      <c r="T32" s="1" t="n">
        <f aca="false">'OD-APUMA(Val)'!T32*T$49</f>
        <v>0</v>
      </c>
      <c r="U32" s="1" t="n">
        <f aca="false">'OD-APUMA(Val)'!U32*U$49</f>
        <v>0</v>
      </c>
      <c r="V32" s="1" t="n">
        <f aca="false">'OD-APUMA(Val)'!V32*V$49</f>
        <v>65</v>
      </c>
      <c r="W32" s="1" t="n">
        <f aca="false">'OD-APUMA(Val)'!W32*W$49</f>
        <v>0</v>
      </c>
      <c r="X32" s="1" t="n">
        <f aca="false">'OD-APUMA(Val)'!X32*X$49</f>
        <v>6643</v>
      </c>
      <c r="Y32" s="1" t="n">
        <f aca="false">'OD-APUMA(Val)'!Y32*Y$49</f>
        <v>91</v>
      </c>
      <c r="Z32" s="1" t="n">
        <f aca="false">'OD-APUMA(Val)'!Z32*Z$49</f>
        <v>494</v>
      </c>
      <c r="AA32" s="1" t="n">
        <f aca="false">'OD-APUMA(Val)'!AA32*AA$49</f>
        <v>208</v>
      </c>
      <c r="AB32" s="1" t="n">
        <f aca="false">'OD-APUMA(Val)'!AB32*AB$49</f>
        <v>130</v>
      </c>
      <c r="AC32" s="1" t="n">
        <f aca="false">'OD-APUMA(Val)'!AC32*AC$49</f>
        <v>91</v>
      </c>
      <c r="AD32" s="1" t="n">
        <f aca="false">'OD-APUMA(Val)'!AD32*AD$49</f>
        <v>0</v>
      </c>
      <c r="AE32" s="1" t="n">
        <f aca="false">'OD-APUMA(Val)'!AE32*AE$49</f>
        <v>260</v>
      </c>
      <c r="AF32" s="1" t="n">
        <v>0</v>
      </c>
      <c r="AG32" s="1" t="n">
        <f aca="false">'OD-APUMA(Val)'!AG32*AG$49</f>
        <v>0</v>
      </c>
      <c r="AH32" s="1" t="n">
        <f aca="false">'OD-APUMA(Val)'!AH32*AH$49</f>
        <v>0</v>
      </c>
      <c r="AI32" s="1" t="n">
        <f aca="false">'OD-APUMA(Val)'!AI32*AI$49</f>
        <v>0</v>
      </c>
      <c r="AJ32" s="1" t="n">
        <f aca="false">'OD-APUMA(Val)'!AJ32*AJ$49</f>
        <v>143</v>
      </c>
      <c r="AK32" s="1" t="n">
        <f aca="false">'OD-APUMA(Val)'!AK32*AK$49</f>
        <v>0</v>
      </c>
      <c r="AL32" s="1" t="n">
        <f aca="false">'OD-APUMA(Val)'!AL32*AL$49</f>
        <v>0</v>
      </c>
      <c r="AM32" s="1" t="n">
        <f aca="false">'OD-APUMA(Val)'!AM32*AM$49</f>
        <v>2275</v>
      </c>
      <c r="AN32" s="1" t="n">
        <f aca="false">'OD-APUMA(Val)'!AN32*AN$49</f>
        <v>0</v>
      </c>
      <c r="AO32" s="1" t="n">
        <f aca="false">'OD-APUMA(Val)'!AO32*AO$49</f>
        <v>0</v>
      </c>
      <c r="AP32" s="1" t="n">
        <f aca="false">'OD-APUMA(Val)'!AP32*AP$49</f>
        <v>0</v>
      </c>
      <c r="AQ32" s="1" t="n">
        <f aca="false">'OD-APUMA(Val)'!AQ32*AQ$49</f>
        <v>143</v>
      </c>
      <c r="AR32" s="0" t="n">
        <f aca="false">SUM('OD-APUMA(Val)'!C32:AQ32)</f>
        <v>164359</v>
      </c>
      <c r="AS32" s="0" t="n">
        <f aca="false">MAX('OD-APUMA(Val)'!C32:AQ32)</f>
        <v>152750</v>
      </c>
      <c r="AT32" s="2" t="n">
        <f aca="false">SUM(C32:AQ32)/AR32</f>
        <v>0.0706319702602231</v>
      </c>
      <c r="AU32" s="3" t="n">
        <f aca="false">AT32^4</f>
        <v>2.48888759890772E-005</v>
      </c>
    </row>
    <row r="33" customFormat="false" ht="12.75" hidden="false" customHeight="false" outlineLevel="0" collapsed="false">
      <c r="A33" s="0" t="n">
        <v>92</v>
      </c>
      <c r="B33" s="0" t="n">
        <v>1138865</v>
      </c>
      <c r="C33" s="1" t="n">
        <f aca="false">'OD-APUMA(Val)'!C33*C$49</f>
        <v>390</v>
      </c>
      <c r="D33" s="1" t="n">
        <f aca="false">'OD-APUMA(Val)'!D33*D$49</f>
        <v>104</v>
      </c>
      <c r="E33" s="1" t="n">
        <f aca="false">'OD-APUMA(Val)'!E33*E$49</f>
        <v>364</v>
      </c>
      <c r="F33" s="1" t="n">
        <f aca="false">'OD-APUMA(Val)'!F33*F$49</f>
        <v>182</v>
      </c>
      <c r="G33" s="1" t="n">
        <f aca="false">'OD-APUMA(Val)'!G33*G$49</f>
        <v>65</v>
      </c>
      <c r="H33" s="1" t="n">
        <f aca="false">'OD-APUMA(Val)'!H33*H$49</f>
        <v>78</v>
      </c>
      <c r="I33" s="1" t="n">
        <f aca="false">'OD-APUMA(Val)'!I33*I$49</f>
        <v>78</v>
      </c>
      <c r="J33" s="1" t="n">
        <f aca="false">'OD-APUMA(Val)'!J33*J$49</f>
        <v>0</v>
      </c>
      <c r="K33" s="1" t="n">
        <f aca="false">'OD-APUMA(Val)'!K33*K$49</f>
        <v>286</v>
      </c>
      <c r="L33" s="1" t="n">
        <f aca="false">'OD-APUMA(Val)'!L33*L$49</f>
        <v>325</v>
      </c>
      <c r="M33" s="1" t="n">
        <f aca="false">'OD-APUMA(Val)'!M33*M$49</f>
        <v>598</v>
      </c>
      <c r="N33" s="1" t="n">
        <f aca="false">'OD-APUMA(Val)'!N33*N$49</f>
        <v>78</v>
      </c>
      <c r="O33" s="1" t="n">
        <f aca="false">'OD-APUMA(Val)'!O33*O$49</f>
        <v>0</v>
      </c>
      <c r="P33" s="1" t="n">
        <f aca="false">'OD-APUMA(Val)'!P33*P$49</f>
        <v>481</v>
      </c>
      <c r="Q33" s="1" t="n">
        <f aca="false">'OD-APUMA(Val)'!Q33*Q$49</f>
        <v>143</v>
      </c>
      <c r="R33" s="1" t="n">
        <f aca="false">'OD-APUMA(Val)'!R33*R$49</f>
        <v>0</v>
      </c>
      <c r="S33" s="1" t="n">
        <f aca="false">'OD-APUMA(Val)'!S33*S$49</f>
        <v>0</v>
      </c>
      <c r="T33" s="1" t="n">
        <f aca="false">'OD-APUMA(Val)'!T33*T$49</f>
        <v>0</v>
      </c>
      <c r="U33" s="1" t="n">
        <f aca="false">'OD-APUMA(Val)'!U33*U$49</f>
        <v>195</v>
      </c>
      <c r="V33" s="1" t="n">
        <f aca="false">'OD-APUMA(Val)'!V33*V$49</f>
        <v>611</v>
      </c>
      <c r="W33" s="1" t="n">
        <f aca="false">'OD-APUMA(Val)'!W33*W$49</f>
        <v>0</v>
      </c>
      <c r="X33" s="1" t="n">
        <f aca="false">'OD-APUMA(Val)'!X33*X$49</f>
        <v>0</v>
      </c>
      <c r="Y33" s="1" t="n">
        <f aca="false">'OD-APUMA(Val)'!Y33*Y$49</f>
        <v>351</v>
      </c>
      <c r="Z33" s="1" t="n">
        <f aca="false">'OD-APUMA(Val)'!Z33*Z$49</f>
        <v>429</v>
      </c>
      <c r="AA33" s="1" t="n">
        <f aca="false">'OD-APUMA(Val)'!AA33*AA$49</f>
        <v>403</v>
      </c>
      <c r="AB33" s="1" t="n">
        <f aca="false">'OD-APUMA(Val)'!AB33*AB$49</f>
        <v>403</v>
      </c>
      <c r="AC33" s="1" t="n">
        <f aca="false">'OD-APUMA(Val)'!AC33*AC$49</f>
        <v>208</v>
      </c>
      <c r="AD33" s="1" t="n">
        <f aca="false">'OD-APUMA(Val)'!AD33*AD$49</f>
        <v>221</v>
      </c>
      <c r="AE33" s="1" t="n">
        <f aca="false">'OD-APUMA(Val)'!AE33*AE$49</f>
        <v>198133</v>
      </c>
      <c r="AF33" s="1" t="n">
        <f aca="false">'OD-APUMA(Val)'!AF33*AF$49</f>
        <v>0</v>
      </c>
      <c r="AG33" s="1" t="n">
        <v>0</v>
      </c>
      <c r="AH33" s="1" t="n">
        <f aca="false">'OD-APUMA(Val)'!AH33*AH$49</f>
        <v>9178</v>
      </c>
      <c r="AI33" s="1" t="n">
        <f aca="false">'OD-APUMA(Val)'!AI33*AI$49</f>
        <v>143</v>
      </c>
      <c r="AJ33" s="1" t="n">
        <f aca="false">'OD-APUMA(Val)'!AJ33*AJ$49</f>
        <v>9529</v>
      </c>
      <c r="AK33" s="1" t="n">
        <f aca="false">'OD-APUMA(Val)'!AK33*AK$49</f>
        <v>7098</v>
      </c>
      <c r="AL33" s="1" t="n">
        <f aca="false">'OD-APUMA(Val)'!AL33*AL$49</f>
        <v>78</v>
      </c>
      <c r="AM33" s="1" t="n">
        <f aca="false">'OD-APUMA(Val)'!AM33*AM$49</f>
        <v>416</v>
      </c>
      <c r="AN33" s="1" t="n">
        <f aca="false">'OD-APUMA(Val)'!AN33*AN$49</f>
        <v>0</v>
      </c>
      <c r="AO33" s="1" t="n">
        <f aca="false">'OD-APUMA(Val)'!AO33*AO$49</f>
        <v>78</v>
      </c>
      <c r="AP33" s="1" t="n">
        <f aca="false">'OD-APUMA(Val)'!AP33*AP$49</f>
        <v>0</v>
      </c>
      <c r="AQ33" s="1" t="n">
        <f aca="false">'OD-APUMA(Val)'!AQ33*AQ$49</f>
        <v>468</v>
      </c>
      <c r="AR33" s="0" t="n">
        <f aca="false">SUM('OD-APUMA(Val)'!C33:AQ33)</f>
        <v>1278199</v>
      </c>
      <c r="AS33" s="0" t="n">
        <f aca="false">MAX('OD-APUMA(Val)'!C33:AQ33)</f>
        <v>1047085</v>
      </c>
      <c r="AT33" s="2" t="n">
        <f aca="false">SUM(C33:AQ33)/AR33</f>
        <v>0.180812220945252</v>
      </c>
      <c r="AU33" s="3" t="n">
        <f aca="false">AT33^4</f>
        <v>0.00106883612267642</v>
      </c>
    </row>
    <row r="34" customFormat="false" ht="12.75" hidden="false" customHeight="false" outlineLevel="0" collapsed="false">
      <c r="A34" s="0" t="n">
        <v>93</v>
      </c>
      <c r="B34" s="0" t="n">
        <v>687843</v>
      </c>
      <c r="C34" s="1" t="n">
        <f aca="false">'OD-APUMA(Val)'!C34*C$49</f>
        <v>364</v>
      </c>
      <c r="D34" s="1" t="n">
        <f aca="false">'OD-APUMA(Val)'!D34*D$49</f>
        <v>351</v>
      </c>
      <c r="E34" s="1" t="n">
        <f aca="false">'OD-APUMA(Val)'!E34*E$49</f>
        <v>260</v>
      </c>
      <c r="F34" s="1" t="n">
        <f aca="false">'OD-APUMA(Val)'!F34*F$49</f>
        <v>39</v>
      </c>
      <c r="G34" s="1" t="n">
        <f aca="false">'OD-APUMA(Val)'!G34*G$49</f>
        <v>0</v>
      </c>
      <c r="H34" s="1" t="n">
        <f aca="false">'OD-APUMA(Val)'!H34*H$49</f>
        <v>117</v>
      </c>
      <c r="I34" s="1" t="n">
        <f aca="false">'OD-APUMA(Val)'!I34*I$49</f>
        <v>104</v>
      </c>
      <c r="J34" s="1" t="n">
        <f aca="false">'OD-APUMA(Val)'!J34*J$49</f>
        <v>0</v>
      </c>
      <c r="K34" s="1" t="n">
        <f aca="false">'OD-APUMA(Val)'!K34*K$49</f>
        <v>104</v>
      </c>
      <c r="L34" s="1" t="n">
        <f aca="false">'OD-APUMA(Val)'!L34*L$49</f>
        <v>130</v>
      </c>
      <c r="M34" s="1" t="n">
        <f aca="false">'OD-APUMA(Val)'!M34*M$49</f>
        <v>91</v>
      </c>
      <c r="N34" s="1" t="n">
        <f aca="false">'OD-APUMA(Val)'!N34*N$49</f>
        <v>0</v>
      </c>
      <c r="O34" s="1" t="n">
        <f aca="false">'OD-APUMA(Val)'!O34*O$49</f>
        <v>0</v>
      </c>
      <c r="P34" s="1" t="n">
        <f aca="false">'OD-APUMA(Val)'!P34*P$49</f>
        <v>130</v>
      </c>
      <c r="Q34" s="1" t="n">
        <f aca="false">'OD-APUMA(Val)'!Q34*Q$49</f>
        <v>104</v>
      </c>
      <c r="R34" s="1" t="n">
        <f aca="false">'OD-APUMA(Val)'!R34*R$49</f>
        <v>0</v>
      </c>
      <c r="S34" s="1" t="n">
        <f aca="false">'OD-APUMA(Val)'!S34*S$49</f>
        <v>0</v>
      </c>
      <c r="T34" s="1" t="n">
        <f aca="false">'OD-APUMA(Val)'!T34*T$49</f>
        <v>0</v>
      </c>
      <c r="U34" s="1" t="n">
        <f aca="false">'OD-APUMA(Val)'!U34*U$49</f>
        <v>104</v>
      </c>
      <c r="V34" s="1" t="n">
        <f aca="false">'OD-APUMA(Val)'!V34*V$49</f>
        <v>104</v>
      </c>
      <c r="W34" s="1" t="n">
        <f aca="false">'OD-APUMA(Val)'!W34*W$49</f>
        <v>0</v>
      </c>
      <c r="X34" s="1" t="n">
        <f aca="false">'OD-APUMA(Val)'!X34*X$49</f>
        <v>104</v>
      </c>
      <c r="Y34" s="1" t="n">
        <f aca="false">'OD-APUMA(Val)'!Y34*Y$49</f>
        <v>143</v>
      </c>
      <c r="Z34" s="1" t="n">
        <f aca="false">'OD-APUMA(Val)'!Z34*Z$49</f>
        <v>208</v>
      </c>
      <c r="AA34" s="1" t="n">
        <f aca="false">'OD-APUMA(Val)'!AA34*AA$49</f>
        <v>247</v>
      </c>
      <c r="AB34" s="1" t="n">
        <f aca="false">'OD-APUMA(Val)'!AB34*AB$49</f>
        <v>0</v>
      </c>
      <c r="AC34" s="1" t="n">
        <f aca="false">'OD-APUMA(Val)'!AC34*AC$49</f>
        <v>91</v>
      </c>
      <c r="AD34" s="1" t="n">
        <f aca="false">'OD-APUMA(Val)'!AD34*AD$49</f>
        <v>0</v>
      </c>
      <c r="AE34" s="1" t="n">
        <f aca="false">'OD-APUMA(Val)'!AE34*AE$49</f>
        <v>37401</v>
      </c>
      <c r="AF34" s="1" t="n">
        <f aca="false">'OD-APUMA(Val)'!AF34*AF$49</f>
        <v>234</v>
      </c>
      <c r="AG34" s="1" t="n">
        <f aca="false">'OD-APUMA(Val)'!AG34*AG$49</f>
        <v>48828</v>
      </c>
      <c r="AH34" s="1" t="n">
        <v>0</v>
      </c>
      <c r="AI34" s="1" t="n">
        <f aca="false">'OD-APUMA(Val)'!AI34*AI$49</f>
        <v>104</v>
      </c>
      <c r="AJ34" s="1" t="n">
        <f aca="false">'OD-APUMA(Val)'!AJ34*AJ$49</f>
        <v>40846</v>
      </c>
      <c r="AK34" s="1" t="n">
        <f aca="false">'OD-APUMA(Val)'!AK34*AK$49</f>
        <v>7150</v>
      </c>
      <c r="AL34" s="1" t="n">
        <f aca="false">'OD-APUMA(Val)'!AL34*AL$49</f>
        <v>0</v>
      </c>
      <c r="AM34" s="1" t="n">
        <f aca="false">'OD-APUMA(Val)'!AM34*AM$49</f>
        <v>0</v>
      </c>
      <c r="AN34" s="1" t="n">
        <f aca="false">'OD-APUMA(Val)'!AN34*AN$49</f>
        <v>0</v>
      </c>
      <c r="AO34" s="1" t="n">
        <f aca="false">'OD-APUMA(Val)'!AO34*AO$49</f>
        <v>0</v>
      </c>
      <c r="AP34" s="1" t="n">
        <f aca="false">'OD-APUMA(Val)'!AP34*AP$49</f>
        <v>0</v>
      </c>
      <c r="AQ34" s="1" t="n">
        <f aca="false">'OD-APUMA(Val)'!AQ34*AQ$49</f>
        <v>117</v>
      </c>
      <c r="AR34" s="0" t="n">
        <f aca="false">SUM('OD-APUMA(Val)'!C34:AQ34)</f>
        <v>482651</v>
      </c>
      <c r="AS34" s="0" t="n">
        <f aca="false">MAX('OD-APUMA(Val)'!C34:AQ34)</f>
        <v>345176</v>
      </c>
      <c r="AT34" s="2" t="n">
        <f aca="false">SUM(C34:AQ34)/AR34</f>
        <v>0.284833140302206</v>
      </c>
      <c r="AU34" s="3" t="n">
        <f aca="false">AT34^4</f>
        <v>0.00658206356457392</v>
      </c>
    </row>
    <row r="35" customFormat="false" ht="12.75" hidden="false" customHeight="false" outlineLevel="0" collapsed="false">
      <c r="A35" s="0" t="n">
        <v>94</v>
      </c>
      <c r="B35" s="0" t="n">
        <v>559078</v>
      </c>
      <c r="C35" s="1" t="n">
        <f aca="false">'OD-APUMA(Val)'!C35*C$49</f>
        <v>390</v>
      </c>
      <c r="D35" s="1" t="n">
        <f aca="false">'OD-APUMA(Val)'!D35*D$49</f>
        <v>481</v>
      </c>
      <c r="E35" s="1" t="n">
        <f aca="false">'OD-APUMA(Val)'!E35*E$49</f>
        <v>117</v>
      </c>
      <c r="F35" s="1" t="n">
        <f aca="false">'OD-APUMA(Val)'!F35*F$49</f>
        <v>104</v>
      </c>
      <c r="G35" s="1" t="n">
        <f aca="false">'OD-APUMA(Val)'!G35*G$49</f>
        <v>286</v>
      </c>
      <c r="H35" s="1" t="n">
        <f aca="false">'OD-APUMA(Val)'!H35*H$49</f>
        <v>169</v>
      </c>
      <c r="I35" s="1" t="n">
        <f aca="false">'OD-APUMA(Val)'!I35*I$49</f>
        <v>403</v>
      </c>
      <c r="J35" s="1" t="n">
        <f aca="false">'OD-APUMA(Val)'!J35*J$49</f>
        <v>429</v>
      </c>
      <c r="K35" s="1" t="n">
        <f aca="false">'OD-APUMA(Val)'!K35*K$49</f>
        <v>234</v>
      </c>
      <c r="L35" s="1" t="n">
        <f aca="false">'OD-APUMA(Val)'!L35*L$49</f>
        <v>18044</v>
      </c>
      <c r="M35" s="1" t="n">
        <f aca="false">'OD-APUMA(Val)'!M35*M$49</f>
        <v>16146</v>
      </c>
      <c r="N35" s="1" t="n">
        <f aca="false">'OD-APUMA(Val)'!N35*N$49</f>
        <v>2574</v>
      </c>
      <c r="O35" s="1" t="n">
        <f aca="false">'OD-APUMA(Val)'!O35*O$49</f>
        <v>312</v>
      </c>
      <c r="P35" s="1" t="n">
        <f aca="false">'OD-APUMA(Val)'!P35*P$49</f>
        <v>1482</v>
      </c>
      <c r="Q35" s="1" t="n">
        <f aca="false">'OD-APUMA(Val)'!Q35*Q$49</f>
        <v>481</v>
      </c>
      <c r="R35" s="1" t="n">
        <f aca="false">'OD-APUMA(Val)'!R35*R$49</f>
        <v>741</v>
      </c>
      <c r="S35" s="1" t="n">
        <f aca="false">'OD-APUMA(Val)'!S35*S$49</f>
        <v>0</v>
      </c>
      <c r="T35" s="1" t="n">
        <f aca="false">'OD-APUMA(Val)'!T35*T$49</f>
        <v>0</v>
      </c>
      <c r="U35" s="1" t="n">
        <f aca="false">'OD-APUMA(Val)'!U35*U$49</f>
        <v>0</v>
      </c>
      <c r="V35" s="1" t="n">
        <f aca="false">'OD-APUMA(Val)'!V35*V$49</f>
        <v>0</v>
      </c>
      <c r="W35" s="1" t="n">
        <f aca="false">'OD-APUMA(Val)'!W35*W$49</f>
        <v>0</v>
      </c>
      <c r="X35" s="1" t="n">
        <f aca="false">'OD-APUMA(Val)'!X35*X$49</f>
        <v>0</v>
      </c>
      <c r="Y35" s="1" t="n">
        <f aca="false">'OD-APUMA(Val)'!Y35*Y$49</f>
        <v>0</v>
      </c>
      <c r="Z35" s="1" t="n">
        <f aca="false">'OD-APUMA(Val)'!Z35*Z$49</f>
        <v>52</v>
      </c>
      <c r="AA35" s="1" t="n">
        <f aca="false">'OD-APUMA(Val)'!AA35*AA$49</f>
        <v>1677</v>
      </c>
      <c r="AB35" s="1" t="n">
        <f aca="false">'OD-APUMA(Val)'!AB35*AB$49</f>
        <v>1495</v>
      </c>
      <c r="AC35" s="1" t="n">
        <f aca="false">'OD-APUMA(Val)'!AC35*AC$49</f>
        <v>117</v>
      </c>
      <c r="AD35" s="1" t="n">
        <f aca="false">'OD-APUMA(Val)'!AD35*AD$49</f>
        <v>0</v>
      </c>
      <c r="AE35" s="1" t="n">
        <f aca="false">'OD-APUMA(Val)'!AE35*AE$49</f>
        <v>351</v>
      </c>
      <c r="AF35" s="1" t="n">
        <f aca="false">'OD-APUMA(Val)'!AF35*AF$49</f>
        <v>221</v>
      </c>
      <c r="AG35" s="1" t="n">
        <f aca="false">'OD-APUMA(Val)'!AG35*AG$49</f>
        <v>169</v>
      </c>
      <c r="AH35" s="1" t="n">
        <f aca="false">'OD-APUMA(Val)'!AH35*AH$49</f>
        <v>0</v>
      </c>
      <c r="AI35" s="1" t="n">
        <v>0</v>
      </c>
      <c r="AJ35" s="1" t="n">
        <f aca="false">'OD-APUMA(Val)'!AJ35*AJ$49</f>
        <v>130</v>
      </c>
      <c r="AK35" s="1" t="n">
        <f aca="false">'OD-APUMA(Val)'!AK35*AK$49</f>
        <v>689</v>
      </c>
      <c r="AL35" s="1" t="n">
        <f aca="false">'OD-APUMA(Val)'!AL35*AL$49</f>
        <v>6344</v>
      </c>
      <c r="AM35" s="1" t="n">
        <f aca="false">'OD-APUMA(Val)'!AM35*AM$49</f>
        <v>1222</v>
      </c>
      <c r="AN35" s="1" t="n">
        <f aca="false">'OD-APUMA(Val)'!AN35*AN$49</f>
        <v>2327</v>
      </c>
      <c r="AO35" s="1" t="n">
        <f aca="false">'OD-APUMA(Val)'!AO35*AO$49</f>
        <v>0</v>
      </c>
      <c r="AP35" s="1" t="n">
        <f aca="false">'OD-APUMA(Val)'!AP35*AP$49</f>
        <v>182</v>
      </c>
      <c r="AQ35" s="1" t="n">
        <f aca="false">'OD-APUMA(Val)'!AQ35*AQ$49</f>
        <v>0</v>
      </c>
      <c r="AR35" s="0" t="n">
        <f aca="false">SUM('OD-APUMA(Val)'!C35:AQ35)</f>
        <v>482352</v>
      </c>
      <c r="AS35" s="0" t="n">
        <f aca="false">MAX('OD-APUMA(Val)'!C35:AQ35)</f>
        <v>424983</v>
      </c>
      <c r="AT35" s="2" t="n">
        <f aca="false">SUM(C35:AQ35)/AR35</f>
        <v>0.11893596377749</v>
      </c>
      <c r="AU35" s="3" t="n">
        <f aca="false">AT35^4</f>
        <v>0.000200102624423062</v>
      </c>
    </row>
    <row r="36" customFormat="false" ht="12.75" hidden="false" customHeight="false" outlineLevel="0" collapsed="false">
      <c r="A36" s="0" t="n">
        <v>95</v>
      </c>
      <c r="B36" s="0" t="n">
        <v>822029</v>
      </c>
      <c r="C36" s="1" t="n">
        <f aca="false">'OD-APUMA(Val)'!C36*C$49</f>
        <v>390</v>
      </c>
      <c r="D36" s="1" t="n">
        <f aca="false">'OD-APUMA(Val)'!D36*D$49</f>
        <v>676</v>
      </c>
      <c r="E36" s="1" t="n">
        <f aca="false">'OD-APUMA(Val)'!E36*E$49</f>
        <v>546</v>
      </c>
      <c r="F36" s="1" t="n">
        <f aca="false">'OD-APUMA(Val)'!F36*F$49</f>
        <v>208</v>
      </c>
      <c r="G36" s="1" t="n">
        <f aca="false">'OD-APUMA(Val)'!G36*G$49</f>
        <v>0</v>
      </c>
      <c r="H36" s="1" t="n">
        <f aca="false">'OD-APUMA(Val)'!H36*H$49</f>
        <v>0</v>
      </c>
      <c r="I36" s="1" t="n">
        <f aca="false">'OD-APUMA(Val)'!I36*I$49</f>
        <v>0</v>
      </c>
      <c r="J36" s="1" t="n">
        <f aca="false">'OD-APUMA(Val)'!J36*J$49</f>
        <v>0</v>
      </c>
      <c r="K36" s="1" t="n">
        <f aca="false">'OD-APUMA(Val)'!K36*K$49</f>
        <v>0</v>
      </c>
      <c r="L36" s="1" t="n">
        <f aca="false">'OD-APUMA(Val)'!L36*L$49</f>
        <v>104</v>
      </c>
      <c r="M36" s="1" t="n">
        <f aca="false">'OD-APUMA(Val)'!M36*M$49</f>
        <v>78</v>
      </c>
      <c r="N36" s="1" t="n">
        <f aca="false">'OD-APUMA(Val)'!N36*N$49</f>
        <v>260</v>
      </c>
      <c r="O36" s="1" t="n">
        <f aca="false">'OD-APUMA(Val)'!O36*O$49</f>
        <v>156</v>
      </c>
      <c r="P36" s="1" t="n">
        <f aca="false">'OD-APUMA(Val)'!P36*P$49</f>
        <v>273</v>
      </c>
      <c r="Q36" s="1" t="n">
        <f aca="false">'OD-APUMA(Val)'!Q36*Q$49</f>
        <v>0</v>
      </c>
      <c r="R36" s="1" t="n">
        <f aca="false">'OD-APUMA(Val)'!R36*R$49</f>
        <v>0</v>
      </c>
      <c r="S36" s="1" t="n">
        <f aca="false">'OD-APUMA(Val)'!S36*S$49</f>
        <v>0</v>
      </c>
      <c r="T36" s="1" t="n">
        <f aca="false">'OD-APUMA(Val)'!T36*T$49</f>
        <v>117</v>
      </c>
      <c r="U36" s="1" t="n">
        <f aca="false">'OD-APUMA(Val)'!U36*U$49</f>
        <v>0</v>
      </c>
      <c r="V36" s="1" t="n">
        <f aca="false">'OD-APUMA(Val)'!V36*V$49</f>
        <v>221</v>
      </c>
      <c r="W36" s="1" t="n">
        <f aca="false">'OD-APUMA(Val)'!W36*W$49</f>
        <v>0</v>
      </c>
      <c r="X36" s="1" t="n">
        <f aca="false">'OD-APUMA(Val)'!X36*X$49</f>
        <v>0</v>
      </c>
      <c r="Y36" s="1" t="n">
        <f aca="false">'OD-APUMA(Val)'!Y36*Y$49</f>
        <v>312</v>
      </c>
      <c r="Z36" s="1" t="n">
        <f aca="false">'OD-APUMA(Val)'!Z36*Z$49</f>
        <v>0</v>
      </c>
      <c r="AA36" s="1" t="n">
        <f aca="false">'OD-APUMA(Val)'!AA36*AA$49</f>
        <v>78</v>
      </c>
      <c r="AB36" s="1" t="n">
        <f aca="false">'OD-APUMA(Val)'!AB36*AB$49</f>
        <v>52</v>
      </c>
      <c r="AC36" s="1" t="n">
        <f aca="false">'OD-APUMA(Val)'!AC36*AC$49</f>
        <v>0</v>
      </c>
      <c r="AD36" s="1" t="n">
        <f aca="false">'OD-APUMA(Val)'!AD36*AD$49</f>
        <v>1638</v>
      </c>
      <c r="AE36" s="1" t="n">
        <f aca="false">'OD-APUMA(Val)'!AE36*AE$49</f>
        <v>119886</v>
      </c>
      <c r="AF36" s="1" t="n">
        <f aca="false">'OD-APUMA(Val)'!AF36*AF$49</f>
        <v>299</v>
      </c>
      <c r="AG36" s="1" t="n">
        <f aca="false">'OD-APUMA(Val)'!AG36*AG$49</f>
        <v>29679</v>
      </c>
      <c r="AH36" s="1" t="n">
        <f aca="false">'OD-APUMA(Val)'!AH36*AH$49</f>
        <v>37102</v>
      </c>
      <c r="AI36" s="1" t="n">
        <f aca="false">'OD-APUMA(Val)'!AI36*AI$49</f>
        <v>0</v>
      </c>
      <c r="AJ36" s="1" t="n">
        <v>0</v>
      </c>
      <c r="AK36" s="1" t="n">
        <f aca="false">'OD-APUMA(Val)'!AK36*AK$49</f>
        <v>767</v>
      </c>
      <c r="AL36" s="1" t="n">
        <f aca="false">'OD-APUMA(Val)'!AL36*AL$49</f>
        <v>130</v>
      </c>
      <c r="AM36" s="1" t="n">
        <f aca="false">'OD-APUMA(Val)'!AM36*AM$49</f>
        <v>221</v>
      </c>
      <c r="AN36" s="1" t="n">
        <f aca="false">'OD-APUMA(Val)'!AN36*AN$49</f>
        <v>0</v>
      </c>
      <c r="AO36" s="1" t="n">
        <f aca="false">'OD-APUMA(Val)'!AO36*AO$49</f>
        <v>117</v>
      </c>
      <c r="AP36" s="1" t="n">
        <f aca="false">'OD-APUMA(Val)'!AP36*AP$49</f>
        <v>65</v>
      </c>
      <c r="AQ36" s="1" t="n">
        <f aca="false">'OD-APUMA(Val)'!AQ36*AQ$49</f>
        <v>325</v>
      </c>
      <c r="AR36" s="0" t="n">
        <f aca="false">SUM('OD-APUMA(Val)'!C36:AQ36)</f>
        <v>607932</v>
      </c>
      <c r="AS36" s="0" t="n">
        <f aca="false">MAX('OD-APUMA(Val)'!C36:AQ36)</f>
        <v>414232</v>
      </c>
      <c r="AT36" s="2" t="n">
        <f aca="false">SUM(C36:AQ36)/AR36</f>
        <v>0.318621161577282</v>
      </c>
      <c r="AU36" s="3" t="n">
        <f aca="false">AT36^4</f>
        <v>0.0103061976328785</v>
      </c>
    </row>
    <row r="37" customFormat="false" ht="12.75" hidden="false" customHeight="false" outlineLevel="0" collapsed="false">
      <c r="A37" s="0" t="n">
        <v>96</v>
      </c>
      <c r="B37" s="0" t="n">
        <v>1264757</v>
      </c>
      <c r="C37" s="1" t="n">
        <f aca="false">'OD-APUMA(Val)'!C37*C$49</f>
        <v>572</v>
      </c>
      <c r="D37" s="1" t="n">
        <f aca="false">'OD-APUMA(Val)'!D37*D$49</f>
        <v>169</v>
      </c>
      <c r="E37" s="1" t="n">
        <f aca="false">'OD-APUMA(Val)'!E37*E$49</f>
        <v>130</v>
      </c>
      <c r="F37" s="1" t="n">
        <f aca="false">'OD-APUMA(Val)'!F37*F$49</f>
        <v>390</v>
      </c>
      <c r="G37" s="1" t="n">
        <f aca="false">'OD-APUMA(Val)'!G37*G$49</f>
        <v>78</v>
      </c>
      <c r="H37" s="1" t="n">
        <f aca="false">'OD-APUMA(Val)'!H37*H$49</f>
        <v>130</v>
      </c>
      <c r="I37" s="1" t="n">
        <f aca="false">'OD-APUMA(Val)'!I37*I$49</f>
        <v>208</v>
      </c>
      <c r="J37" s="1" t="n">
        <f aca="false">'OD-APUMA(Val)'!J37*J$49</f>
        <v>260</v>
      </c>
      <c r="K37" s="1" t="n">
        <f aca="false">'OD-APUMA(Val)'!K37*K$49</f>
        <v>78</v>
      </c>
      <c r="L37" s="1" t="n">
        <f aca="false">'OD-APUMA(Val)'!L37*L$49</f>
        <v>0</v>
      </c>
      <c r="M37" s="1" t="n">
        <f aca="false">'OD-APUMA(Val)'!M37*M$49</f>
        <v>169</v>
      </c>
      <c r="N37" s="1" t="n">
        <f aca="false">'OD-APUMA(Val)'!N37*N$49</f>
        <v>260</v>
      </c>
      <c r="O37" s="1" t="n">
        <f aca="false">'OD-APUMA(Val)'!O37*O$49</f>
        <v>143</v>
      </c>
      <c r="P37" s="1" t="n">
        <f aca="false">'OD-APUMA(Val)'!P37*P$49</f>
        <v>1209</v>
      </c>
      <c r="Q37" s="1" t="n">
        <f aca="false">'OD-APUMA(Val)'!Q37*Q$49</f>
        <v>949</v>
      </c>
      <c r="R37" s="1" t="n">
        <f aca="false">'OD-APUMA(Val)'!R37*R$49</f>
        <v>286</v>
      </c>
      <c r="S37" s="1" t="n">
        <f aca="false">'OD-APUMA(Val)'!S37*S$49</f>
        <v>0</v>
      </c>
      <c r="T37" s="1" t="n">
        <f aca="false">'OD-APUMA(Val)'!T37*T$49</f>
        <v>208</v>
      </c>
      <c r="U37" s="1" t="n">
        <f aca="false">'OD-APUMA(Val)'!U37*U$49</f>
        <v>65</v>
      </c>
      <c r="V37" s="1" t="n">
        <f aca="false">'OD-APUMA(Val)'!V37*V$49</f>
        <v>91</v>
      </c>
      <c r="W37" s="1" t="n">
        <f aca="false">'OD-APUMA(Val)'!W37*W$49</f>
        <v>39</v>
      </c>
      <c r="X37" s="1" t="n">
        <f aca="false">'OD-APUMA(Val)'!X37*X$49</f>
        <v>169</v>
      </c>
      <c r="Y37" s="1" t="n">
        <f aca="false">'OD-APUMA(Val)'!Y37*Y$49</f>
        <v>182</v>
      </c>
      <c r="Z37" s="1" t="n">
        <f aca="false">'OD-APUMA(Val)'!Z37*Z$49</f>
        <v>0</v>
      </c>
      <c r="AA37" s="1" t="n">
        <f aca="false">'OD-APUMA(Val)'!AA37*AA$49</f>
        <v>1287</v>
      </c>
      <c r="AB37" s="1" t="n">
        <f aca="false">'OD-APUMA(Val)'!AB37*AB$49</f>
        <v>182</v>
      </c>
      <c r="AC37" s="1" t="n">
        <f aca="false">'OD-APUMA(Val)'!AC37*AC$49</f>
        <v>143</v>
      </c>
      <c r="AD37" s="1" t="n">
        <f aca="false">'OD-APUMA(Val)'!AD37*AD$49</f>
        <v>390</v>
      </c>
      <c r="AE37" s="1" t="n">
        <f aca="false">'OD-APUMA(Val)'!AE37*AE$49</f>
        <v>7631</v>
      </c>
      <c r="AF37" s="1" t="n">
        <f aca="false">'OD-APUMA(Val)'!AF37*AF$49</f>
        <v>351</v>
      </c>
      <c r="AG37" s="1" t="n">
        <f aca="false">'OD-APUMA(Val)'!AG37*AG$49</f>
        <v>13065</v>
      </c>
      <c r="AH37" s="1" t="n">
        <f aca="false">'OD-APUMA(Val)'!AH37*AH$49</f>
        <v>5590</v>
      </c>
      <c r="AI37" s="1" t="n">
        <f aca="false">'OD-APUMA(Val)'!AI37*AI$49</f>
        <v>221</v>
      </c>
      <c r="AJ37" s="1" t="n">
        <f aca="false">'OD-APUMA(Val)'!AJ37*AJ$49</f>
        <v>1456</v>
      </c>
      <c r="AK37" s="1" t="n">
        <v>0</v>
      </c>
      <c r="AL37" s="1" t="n">
        <f aca="false">'OD-APUMA(Val)'!AL37*AL$49</f>
        <v>169</v>
      </c>
      <c r="AM37" s="1" t="n">
        <f aca="false">'OD-APUMA(Val)'!AM37*AM$49</f>
        <v>403</v>
      </c>
      <c r="AN37" s="1" t="n">
        <f aca="false">'OD-APUMA(Val)'!AN37*AN$49</f>
        <v>65</v>
      </c>
      <c r="AO37" s="1" t="n">
        <f aca="false">'OD-APUMA(Val)'!AO37*AO$49</f>
        <v>91</v>
      </c>
      <c r="AP37" s="1" t="n">
        <f aca="false">'OD-APUMA(Val)'!AP37*AP$49</f>
        <v>234</v>
      </c>
      <c r="AQ37" s="1" t="n">
        <f aca="false">'OD-APUMA(Val)'!AQ37*AQ$49</f>
        <v>429</v>
      </c>
      <c r="AR37" s="0" t="n">
        <f aca="false">SUM('OD-APUMA(Val)'!C37:AQ37)</f>
        <v>1221532</v>
      </c>
      <c r="AS37" s="0" t="n">
        <f aca="false">MAX('OD-APUMA(Val)'!C37:AQ37)</f>
        <v>1184040</v>
      </c>
      <c r="AT37" s="2" t="n">
        <f aca="false">SUM(C37:AQ37)/AR37</f>
        <v>0.0306926056787706</v>
      </c>
      <c r="AU37" s="3" t="n">
        <f aca="false">AT37^4</f>
        <v>8.87431906975235E-007</v>
      </c>
    </row>
    <row r="38" customFormat="false" ht="12.75" hidden="false" customHeight="false" outlineLevel="0" collapsed="false">
      <c r="A38" s="0" t="n">
        <v>97</v>
      </c>
      <c r="B38" s="0" t="n">
        <v>154115</v>
      </c>
      <c r="C38" s="1" t="n">
        <f aca="false">'OD-APUMA(Val)'!C38*C$49</f>
        <v>0</v>
      </c>
      <c r="D38" s="1" t="n">
        <f aca="false">'OD-APUMA(Val)'!D38*D$49</f>
        <v>0</v>
      </c>
      <c r="E38" s="1" t="n">
        <f aca="false">'OD-APUMA(Val)'!E38*E$49</f>
        <v>0</v>
      </c>
      <c r="F38" s="1" t="n">
        <f aca="false">'OD-APUMA(Val)'!F38*F$49</f>
        <v>0</v>
      </c>
      <c r="G38" s="1" t="n">
        <f aca="false">'OD-APUMA(Val)'!G38*G$49</f>
        <v>0</v>
      </c>
      <c r="H38" s="1" t="n">
        <f aca="false">'OD-APUMA(Val)'!H38*H$49</f>
        <v>0</v>
      </c>
      <c r="I38" s="1" t="n">
        <f aca="false">'OD-APUMA(Val)'!I38*I$49</f>
        <v>0</v>
      </c>
      <c r="J38" s="1" t="n">
        <f aca="false">'OD-APUMA(Val)'!J38*J$49</f>
        <v>0</v>
      </c>
      <c r="K38" s="1" t="n">
        <f aca="false">'OD-APUMA(Val)'!K38*K$49</f>
        <v>0</v>
      </c>
      <c r="L38" s="1" t="n">
        <f aca="false">'OD-APUMA(Val)'!L38*L$49</f>
        <v>130</v>
      </c>
      <c r="M38" s="1" t="n">
        <f aca="false">'OD-APUMA(Val)'!M38*M$49</f>
        <v>0</v>
      </c>
      <c r="N38" s="1" t="n">
        <f aca="false">'OD-APUMA(Val)'!N38*N$49</f>
        <v>0</v>
      </c>
      <c r="O38" s="1" t="n">
        <f aca="false">'OD-APUMA(Val)'!O38*O$49</f>
        <v>0</v>
      </c>
      <c r="P38" s="1" t="n">
        <f aca="false">'OD-APUMA(Val)'!P38*P$49</f>
        <v>585</v>
      </c>
      <c r="Q38" s="1" t="n">
        <f aca="false">'OD-APUMA(Val)'!Q38*Q$49</f>
        <v>728</v>
      </c>
      <c r="R38" s="1" t="n">
        <f aca="false">'OD-APUMA(Val)'!R38*R$49</f>
        <v>91</v>
      </c>
      <c r="S38" s="1" t="n">
        <f aca="false">'OD-APUMA(Val)'!S38*S$49</f>
        <v>0</v>
      </c>
      <c r="T38" s="1" t="n">
        <f aca="false">'OD-APUMA(Val)'!T38*T$49</f>
        <v>91</v>
      </c>
      <c r="U38" s="1" t="n">
        <f aca="false">'OD-APUMA(Val)'!U38*U$49</f>
        <v>0</v>
      </c>
      <c r="V38" s="1" t="n">
        <f aca="false">'OD-APUMA(Val)'!V38*V$49</f>
        <v>65</v>
      </c>
      <c r="W38" s="1" t="n">
        <f aca="false">'OD-APUMA(Val)'!W38*W$49</f>
        <v>0</v>
      </c>
      <c r="X38" s="1" t="n">
        <f aca="false">'OD-APUMA(Val)'!X38*X$49</f>
        <v>0</v>
      </c>
      <c r="Y38" s="1" t="n">
        <f aca="false">'OD-APUMA(Val)'!Y38*Y$49</f>
        <v>0</v>
      </c>
      <c r="Z38" s="1" t="n">
        <f aca="false">'OD-APUMA(Val)'!Z38*Z$49</f>
        <v>0</v>
      </c>
      <c r="AA38" s="1" t="n">
        <f aca="false">'OD-APUMA(Val)'!AA38*AA$49</f>
        <v>9776</v>
      </c>
      <c r="AB38" s="1" t="n">
        <f aca="false">'OD-APUMA(Val)'!AB38*AB$49</f>
        <v>2015</v>
      </c>
      <c r="AC38" s="1" t="n">
        <f aca="false">'OD-APUMA(Val)'!AC38*AC$49</f>
        <v>91</v>
      </c>
      <c r="AD38" s="1" t="n">
        <f aca="false">'OD-APUMA(Val)'!AD38*AD$49</f>
        <v>0</v>
      </c>
      <c r="AE38" s="1" t="n">
        <f aca="false">'OD-APUMA(Val)'!AE38*AE$49</f>
        <v>65</v>
      </c>
      <c r="AF38" s="1" t="n">
        <f aca="false">'OD-APUMA(Val)'!AF38*AF$49</f>
        <v>0</v>
      </c>
      <c r="AG38" s="1" t="n">
        <f aca="false">'OD-APUMA(Val)'!AG38*AG$49</f>
        <v>0</v>
      </c>
      <c r="AH38" s="1" t="n">
        <f aca="false">'OD-APUMA(Val)'!AH38*AH$49</f>
        <v>0</v>
      </c>
      <c r="AI38" s="1" t="n">
        <f aca="false">'OD-APUMA(Val)'!AI38*AI$49</f>
        <v>2171</v>
      </c>
      <c r="AJ38" s="1" t="n">
        <f aca="false">'OD-APUMA(Val)'!AJ38*AJ$49</f>
        <v>0</v>
      </c>
      <c r="AK38" s="1" t="n">
        <f aca="false">'OD-APUMA(Val)'!AK38*AK$49</f>
        <v>0</v>
      </c>
      <c r="AL38" s="1" t="n">
        <v>0</v>
      </c>
      <c r="AM38" s="1" t="n">
        <f aca="false">'OD-APUMA(Val)'!AM38*AM$49</f>
        <v>3159</v>
      </c>
      <c r="AN38" s="1" t="n">
        <f aca="false">'OD-APUMA(Val)'!AN38*AN$49</f>
        <v>234</v>
      </c>
      <c r="AO38" s="1" t="n">
        <f aca="false">'OD-APUMA(Val)'!AO38*AO$49</f>
        <v>0</v>
      </c>
      <c r="AP38" s="1" t="n">
        <f aca="false">'OD-APUMA(Val)'!AP38*AP$49</f>
        <v>4927</v>
      </c>
      <c r="AQ38" s="1" t="n">
        <f aca="false">'OD-APUMA(Val)'!AQ38*AQ$49</f>
        <v>0</v>
      </c>
      <c r="AR38" s="0" t="n">
        <f aca="false">SUM('OD-APUMA(Val)'!C38:AQ38)</f>
        <v>109590</v>
      </c>
      <c r="AS38" s="0" t="n">
        <f aca="false">MAX('OD-APUMA(Val)'!C38:AQ38)</f>
        <v>85462</v>
      </c>
      <c r="AT38" s="2" t="n">
        <f aca="false">SUM(C38:AQ38)/AR38</f>
        <v>0.220166073546856</v>
      </c>
      <c r="AU38" s="3" t="n">
        <f aca="false">AT38^4</f>
        <v>0.00234964141789403</v>
      </c>
    </row>
    <row r="39" customFormat="false" ht="12.75" hidden="false" customHeight="false" outlineLevel="0" collapsed="false">
      <c r="A39" s="0" t="n">
        <v>98</v>
      </c>
      <c r="B39" s="0" t="n">
        <v>686517</v>
      </c>
      <c r="C39" s="1" t="n">
        <f aca="false">'OD-APUMA(Val)'!C39*C$49</f>
        <v>91</v>
      </c>
      <c r="D39" s="1" t="n">
        <f aca="false">'OD-APUMA(Val)'!D39*D$49</f>
        <v>143</v>
      </c>
      <c r="E39" s="1" t="n">
        <f aca="false">'OD-APUMA(Val)'!E39*E$49</f>
        <v>234</v>
      </c>
      <c r="F39" s="1" t="n">
        <f aca="false">'OD-APUMA(Val)'!F39*F$49</f>
        <v>182</v>
      </c>
      <c r="G39" s="1" t="n">
        <f aca="false">'OD-APUMA(Val)'!G39*G$49</f>
        <v>0</v>
      </c>
      <c r="H39" s="1" t="n">
        <f aca="false">'OD-APUMA(Val)'!H39*H$49</f>
        <v>0</v>
      </c>
      <c r="I39" s="1" t="n">
        <f aca="false">'OD-APUMA(Val)'!I39*I$49</f>
        <v>0</v>
      </c>
      <c r="J39" s="1" t="n">
        <f aca="false">'OD-APUMA(Val)'!J39*J$49</f>
        <v>0</v>
      </c>
      <c r="K39" s="1" t="n">
        <f aca="false">'OD-APUMA(Val)'!K39*K$49</f>
        <v>0</v>
      </c>
      <c r="L39" s="1" t="n">
        <f aca="false">'OD-APUMA(Val)'!L39*L$49</f>
        <v>338</v>
      </c>
      <c r="M39" s="1" t="n">
        <f aca="false">'OD-APUMA(Val)'!M39*M$49</f>
        <v>156</v>
      </c>
      <c r="N39" s="1" t="n">
        <f aca="false">'OD-APUMA(Val)'!N39*N$49</f>
        <v>52</v>
      </c>
      <c r="O39" s="1" t="n">
        <f aca="false">'OD-APUMA(Val)'!O39*O$49</f>
        <v>468</v>
      </c>
      <c r="P39" s="1" t="n">
        <f aca="false">'OD-APUMA(Val)'!P39*P$49</f>
        <v>8112</v>
      </c>
      <c r="Q39" s="1" t="n">
        <f aca="false">'OD-APUMA(Val)'!Q39*Q$49</f>
        <v>32188</v>
      </c>
      <c r="R39" s="1" t="n">
        <f aca="false">'OD-APUMA(Val)'!R39*R$49</f>
        <v>0</v>
      </c>
      <c r="S39" s="1" t="n">
        <f aca="false">'OD-APUMA(Val)'!S39*S$49</f>
        <v>1183</v>
      </c>
      <c r="T39" s="1" t="n">
        <f aca="false">'OD-APUMA(Val)'!T39*T$49</f>
        <v>0</v>
      </c>
      <c r="U39" s="1" t="n">
        <f aca="false">'OD-APUMA(Val)'!U39*U$49</f>
        <v>0</v>
      </c>
      <c r="V39" s="1" t="n">
        <f aca="false">'OD-APUMA(Val)'!V39*V$49</f>
        <v>65</v>
      </c>
      <c r="W39" s="1" t="n">
        <f aca="false">'OD-APUMA(Val)'!W39*W$49</f>
        <v>0</v>
      </c>
      <c r="X39" s="1" t="n">
        <f aca="false">'OD-APUMA(Val)'!X39*X$49</f>
        <v>4875</v>
      </c>
      <c r="Y39" s="1" t="n">
        <f aca="false">'OD-APUMA(Val)'!Y39*Y$49</f>
        <v>0</v>
      </c>
      <c r="Z39" s="1" t="n">
        <f aca="false">'OD-APUMA(Val)'!Z39*Z$49</f>
        <v>130</v>
      </c>
      <c r="AA39" s="1" t="n">
        <f aca="false">'OD-APUMA(Val)'!AA39*AA$49</f>
        <v>23764</v>
      </c>
      <c r="AB39" s="1" t="n">
        <f aca="false">'OD-APUMA(Val)'!AB39*AB$49</f>
        <v>12389</v>
      </c>
      <c r="AC39" s="1" t="n">
        <f aca="false">'OD-APUMA(Val)'!AC39*AC$49</f>
        <v>0</v>
      </c>
      <c r="AD39" s="1" t="n">
        <f aca="false">'OD-APUMA(Val)'!AD39*AD$49</f>
        <v>195</v>
      </c>
      <c r="AE39" s="1" t="n">
        <f aca="false">'OD-APUMA(Val)'!AE39*AE$49</f>
        <v>975</v>
      </c>
      <c r="AF39" s="1" t="n">
        <f aca="false">'OD-APUMA(Val)'!AF39*AF$49</f>
        <v>715</v>
      </c>
      <c r="AG39" s="1" t="n">
        <f aca="false">'OD-APUMA(Val)'!AG39*AG$49</f>
        <v>156</v>
      </c>
      <c r="AH39" s="1" t="n">
        <f aca="false">'OD-APUMA(Val)'!AH39*AH$49</f>
        <v>0</v>
      </c>
      <c r="AI39" s="1" t="n">
        <f aca="false">'OD-APUMA(Val)'!AI39*AI$49</f>
        <v>741</v>
      </c>
      <c r="AJ39" s="1" t="n">
        <f aca="false">'OD-APUMA(Val)'!AJ39*AJ$49</f>
        <v>0</v>
      </c>
      <c r="AK39" s="1" t="n">
        <f aca="false">'OD-APUMA(Val)'!AK39*AK$49</f>
        <v>221</v>
      </c>
      <c r="AL39" s="1" t="n">
        <f aca="false">'OD-APUMA(Val)'!AL39*AL$49</f>
        <v>780</v>
      </c>
      <c r="AM39" s="1" t="n">
        <v>0</v>
      </c>
      <c r="AN39" s="1" t="n">
        <f aca="false">'OD-APUMA(Val)'!AN39*AN$49</f>
        <v>403</v>
      </c>
      <c r="AO39" s="1" t="n">
        <f aca="false">'OD-APUMA(Val)'!AO39*AO$49</f>
        <v>273</v>
      </c>
      <c r="AP39" s="1" t="n">
        <f aca="false">'OD-APUMA(Val)'!AP39*AP$49</f>
        <v>156</v>
      </c>
      <c r="AQ39" s="1" t="n">
        <f aca="false">'OD-APUMA(Val)'!AQ39*AQ$49</f>
        <v>130</v>
      </c>
      <c r="AR39" s="0" t="n">
        <f aca="false">SUM('OD-APUMA(Val)'!C39:AQ39)</f>
        <v>804063</v>
      </c>
      <c r="AS39" s="0" t="n">
        <f aca="false">MAX('OD-APUMA(Val)'!C39:AQ39)</f>
        <v>714948</v>
      </c>
      <c r="AT39" s="2" t="n">
        <f aca="false">SUM(C39:AQ39)/AR39</f>
        <v>0.110830867730514</v>
      </c>
      <c r="AU39" s="3" t="n">
        <f aca="false">AT39^4</f>
        <v>0.000150883911420075</v>
      </c>
    </row>
    <row r="40" customFormat="false" ht="12.75" hidden="false" customHeight="false" outlineLevel="0" collapsed="false">
      <c r="A40" s="0" t="n">
        <v>99</v>
      </c>
      <c r="B40" s="0" t="n">
        <v>183391</v>
      </c>
      <c r="C40" s="1" t="n">
        <f aca="false">'OD-APUMA(Val)'!C40*C$49</f>
        <v>130</v>
      </c>
      <c r="D40" s="1" t="n">
        <f aca="false">'OD-APUMA(Val)'!D40*D$49</f>
        <v>0</v>
      </c>
      <c r="E40" s="1" t="n">
        <f aca="false">'OD-APUMA(Val)'!E40*E$49</f>
        <v>0</v>
      </c>
      <c r="F40" s="1" t="n">
        <f aca="false">'OD-APUMA(Val)'!F40*F$49</f>
        <v>0</v>
      </c>
      <c r="G40" s="1" t="n">
        <f aca="false">'OD-APUMA(Val)'!G40*G$49</f>
        <v>0</v>
      </c>
      <c r="H40" s="1" t="n">
        <f aca="false">'OD-APUMA(Val)'!H40*H$49</f>
        <v>0</v>
      </c>
      <c r="I40" s="1" t="n">
        <f aca="false">'OD-APUMA(Val)'!I40*I$49</f>
        <v>0</v>
      </c>
      <c r="J40" s="1" t="n">
        <f aca="false">'OD-APUMA(Val)'!J40*J$49</f>
        <v>104</v>
      </c>
      <c r="K40" s="1" t="n">
        <f aca="false">'OD-APUMA(Val)'!K40*K$49</f>
        <v>4212</v>
      </c>
      <c r="L40" s="1" t="n">
        <f aca="false">'OD-APUMA(Val)'!L40*L$49</f>
        <v>2691</v>
      </c>
      <c r="M40" s="1" t="n">
        <f aca="false">'OD-APUMA(Val)'!M40*M$49</f>
        <v>260</v>
      </c>
      <c r="N40" s="1" t="n">
        <f aca="false">'OD-APUMA(Val)'!N40*N$49</f>
        <v>91</v>
      </c>
      <c r="O40" s="1" t="n">
        <f aca="false">'OD-APUMA(Val)'!O40*O$49</f>
        <v>1508</v>
      </c>
      <c r="P40" s="1" t="n">
        <f aca="false">'OD-APUMA(Val)'!P40*P$49</f>
        <v>8268</v>
      </c>
      <c r="Q40" s="1" t="n">
        <f aca="false">'OD-APUMA(Val)'!Q40*Q$49</f>
        <v>2535</v>
      </c>
      <c r="R40" s="1" t="n">
        <f aca="false">'OD-APUMA(Val)'!R40*R$49</f>
        <v>0</v>
      </c>
      <c r="S40" s="1" t="n">
        <f aca="false">'OD-APUMA(Val)'!S40*S$49</f>
        <v>65</v>
      </c>
      <c r="T40" s="1" t="n">
        <f aca="false">'OD-APUMA(Val)'!T40*T$49</f>
        <v>52</v>
      </c>
      <c r="U40" s="1" t="n">
        <f aca="false">'OD-APUMA(Val)'!U40*U$49</f>
        <v>0</v>
      </c>
      <c r="V40" s="1" t="n">
        <f aca="false">'OD-APUMA(Val)'!V40*V$49</f>
        <v>0</v>
      </c>
      <c r="W40" s="1" t="n">
        <f aca="false">'OD-APUMA(Val)'!W40*W$49</f>
        <v>0</v>
      </c>
      <c r="X40" s="1" t="n">
        <f aca="false">'OD-APUMA(Val)'!X40*X$49</f>
        <v>0</v>
      </c>
      <c r="Y40" s="1" t="n">
        <f aca="false">'OD-APUMA(Val)'!Y40*Y$49</f>
        <v>0</v>
      </c>
      <c r="Z40" s="1" t="n">
        <f aca="false">'OD-APUMA(Val)'!Z40*Z$49</f>
        <v>104</v>
      </c>
      <c r="AA40" s="1" t="n">
        <f aca="false">'OD-APUMA(Val)'!AA40*AA$49</f>
        <v>9542</v>
      </c>
      <c r="AB40" s="1" t="n">
        <f aca="false">'OD-APUMA(Val)'!AB40*AB$49</f>
        <v>23712</v>
      </c>
      <c r="AC40" s="1" t="n">
        <f aca="false">'OD-APUMA(Val)'!AC40*AC$49</f>
        <v>0</v>
      </c>
      <c r="AD40" s="1" t="n">
        <f aca="false">'OD-APUMA(Val)'!AD40*AD$49</f>
        <v>0</v>
      </c>
      <c r="AE40" s="1" t="n">
        <f aca="false">'OD-APUMA(Val)'!AE40*AE$49</f>
        <v>78</v>
      </c>
      <c r="AF40" s="1" t="n">
        <f aca="false">'OD-APUMA(Val)'!AF40*AF$49</f>
        <v>78</v>
      </c>
      <c r="AG40" s="1" t="n">
        <f aca="false">'OD-APUMA(Val)'!AG40*AG$49</f>
        <v>169</v>
      </c>
      <c r="AH40" s="1" t="n">
        <f aca="false">'OD-APUMA(Val)'!AH40*AH$49</f>
        <v>0</v>
      </c>
      <c r="AI40" s="1" t="n">
        <f aca="false">'OD-APUMA(Val)'!AI40*AI$49</f>
        <v>3783</v>
      </c>
      <c r="AJ40" s="1" t="n">
        <f aca="false">'OD-APUMA(Val)'!AJ40*AJ$49</f>
        <v>0</v>
      </c>
      <c r="AK40" s="1" t="n">
        <f aca="false">'OD-APUMA(Val)'!AK40*AK$49</f>
        <v>0</v>
      </c>
      <c r="AL40" s="1" t="n">
        <f aca="false">'OD-APUMA(Val)'!AL40*AL$49</f>
        <v>156</v>
      </c>
      <c r="AM40" s="1" t="n">
        <f aca="false">'OD-APUMA(Val)'!AM40*AM$49</f>
        <v>936</v>
      </c>
      <c r="AN40" s="1" t="n">
        <v>0</v>
      </c>
      <c r="AO40" s="1" t="n">
        <f aca="false">'OD-APUMA(Val)'!AO40*AO$49</f>
        <v>1118</v>
      </c>
      <c r="AP40" s="1" t="n">
        <f aca="false">'OD-APUMA(Val)'!AP40*AP$49</f>
        <v>91</v>
      </c>
      <c r="AQ40" s="1" t="n">
        <f aca="false">'OD-APUMA(Val)'!AQ40*AQ$49</f>
        <v>0</v>
      </c>
      <c r="AR40" s="0" t="n">
        <f aca="false">SUM('OD-APUMA(Val)'!C40:AQ40)</f>
        <v>158938</v>
      </c>
      <c r="AS40" s="0" t="n">
        <f aca="false">MAX('OD-APUMA(Val)'!C40:AQ40)</f>
        <v>99255</v>
      </c>
      <c r="AT40" s="2" t="n">
        <f aca="false">SUM(C40:AQ40)/AR40</f>
        <v>0.375511205627352</v>
      </c>
      <c r="AU40" s="3" t="n">
        <f aca="false">AT40^4</f>
        <v>0.0198834437606732</v>
      </c>
    </row>
    <row r="41" customFormat="false" ht="12.75" hidden="false" customHeight="false" outlineLevel="0" collapsed="false">
      <c r="A41" s="0" t="n">
        <v>100</v>
      </c>
      <c r="B41" s="0" t="n">
        <v>195936</v>
      </c>
      <c r="C41" s="1" t="n">
        <f aca="false">'OD-APUMA(Val)'!C41*C$49</f>
        <v>156</v>
      </c>
      <c r="D41" s="1" t="n">
        <f aca="false">'OD-APUMA(Val)'!D41*D$49</f>
        <v>91</v>
      </c>
      <c r="E41" s="1" t="n">
        <f aca="false">'OD-APUMA(Val)'!E41*E$49</f>
        <v>130</v>
      </c>
      <c r="F41" s="1" t="n">
        <f aca="false">'OD-APUMA(Val)'!F41*F$49</f>
        <v>598</v>
      </c>
      <c r="G41" s="1" t="n">
        <f aca="false">'OD-APUMA(Val)'!G41*G$49</f>
        <v>0</v>
      </c>
      <c r="H41" s="1" t="n">
        <f aca="false">'OD-APUMA(Val)'!H41*H$49</f>
        <v>0</v>
      </c>
      <c r="I41" s="1" t="n">
        <f aca="false">'OD-APUMA(Val)'!I41*I$49</f>
        <v>0</v>
      </c>
      <c r="J41" s="1" t="n">
        <f aca="false">'OD-APUMA(Val)'!J41*J$49</f>
        <v>0</v>
      </c>
      <c r="K41" s="1" t="n">
        <f aca="false">'OD-APUMA(Val)'!K41*K$49</f>
        <v>1625</v>
      </c>
      <c r="L41" s="1" t="n">
        <f aca="false">'OD-APUMA(Val)'!L41*L$49</f>
        <v>130</v>
      </c>
      <c r="M41" s="1" t="n">
        <f aca="false">'OD-APUMA(Val)'!M41*M$49</f>
        <v>0</v>
      </c>
      <c r="N41" s="1" t="n">
        <f aca="false">'OD-APUMA(Val)'!N41*N$49</f>
        <v>78</v>
      </c>
      <c r="O41" s="1" t="n">
        <f aca="false">'OD-APUMA(Val)'!O41*O$49</f>
        <v>17290</v>
      </c>
      <c r="P41" s="1" t="n">
        <f aca="false">'OD-APUMA(Val)'!P41*P$49</f>
        <v>8619</v>
      </c>
      <c r="Q41" s="1" t="n">
        <f aca="false">'OD-APUMA(Val)'!Q41*Q$49</f>
        <v>1313</v>
      </c>
      <c r="R41" s="1" t="n">
        <f aca="false">'OD-APUMA(Val)'!R41*R$49</f>
        <v>0</v>
      </c>
      <c r="S41" s="1" t="n">
        <f aca="false">'OD-APUMA(Val)'!S41*S$49</f>
        <v>0</v>
      </c>
      <c r="T41" s="1" t="n">
        <f aca="false">'OD-APUMA(Val)'!T41*T$49</f>
        <v>0</v>
      </c>
      <c r="U41" s="1" t="n">
        <f aca="false">'OD-APUMA(Val)'!U41*U$49</f>
        <v>0</v>
      </c>
      <c r="V41" s="1" t="n">
        <f aca="false">'OD-APUMA(Val)'!V41*V$49</f>
        <v>0</v>
      </c>
      <c r="W41" s="1" t="n">
        <f aca="false">'OD-APUMA(Val)'!W41*W$49</f>
        <v>0</v>
      </c>
      <c r="X41" s="1" t="n">
        <f aca="false">'OD-APUMA(Val)'!X41*X$49</f>
        <v>0</v>
      </c>
      <c r="Y41" s="1" t="n">
        <f aca="false">'OD-APUMA(Val)'!Y41*Y$49</f>
        <v>0</v>
      </c>
      <c r="Z41" s="1" t="n">
        <f aca="false">'OD-APUMA(Val)'!Z41*Z$49</f>
        <v>91</v>
      </c>
      <c r="AA41" s="1" t="n">
        <f aca="false">'OD-APUMA(Val)'!AA41*AA$49</f>
        <v>2171</v>
      </c>
      <c r="AB41" s="1" t="n">
        <f aca="false">'OD-APUMA(Val)'!AB41*AB$49</f>
        <v>1365</v>
      </c>
      <c r="AC41" s="1" t="n">
        <f aca="false">'OD-APUMA(Val)'!AC41*AC$49</f>
        <v>0</v>
      </c>
      <c r="AD41" s="1" t="n">
        <f aca="false">'OD-APUMA(Val)'!AD41*AD$49</f>
        <v>0</v>
      </c>
      <c r="AE41" s="1" t="n">
        <f aca="false">'OD-APUMA(Val)'!AE41*AE$49</f>
        <v>156</v>
      </c>
      <c r="AF41" s="1" t="n">
        <f aca="false">'OD-APUMA(Val)'!AF41*AF$49</f>
        <v>0</v>
      </c>
      <c r="AG41" s="1" t="n">
        <f aca="false">'OD-APUMA(Val)'!AG41*AG$49</f>
        <v>0</v>
      </c>
      <c r="AH41" s="1" t="n">
        <f aca="false">'OD-APUMA(Val)'!AH41*AH$49</f>
        <v>130</v>
      </c>
      <c r="AI41" s="1" t="n">
        <f aca="false">'OD-APUMA(Val)'!AI41*AI$49</f>
        <v>117</v>
      </c>
      <c r="AJ41" s="1" t="n">
        <f aca="false">'OD-APUMA(Val)'!AJ41*AJ$49</f>
        <v>0</v>
      </c>
      <c r="AK41" s="1" t="n">
        <f aca="false">'OD-APUMA(Val)'!AK41*AK$49</f>
        <v>273</v>
      </c>
      <c r="AL41" s="1" t="n">
        <f aca="false">'OD-APUMA(Val)'!AL41*AL$49</f>
        <v>130</v>
      </c>
      <c r="AM41" s="1" t="n">
        <f aca="false">'OD-APUMA(Val)'!AM41*AM$49</f>
        <v>351</v>
      </c>
      <c r="AN41" s="1" t="n">
        <f aca="false">'OD-APUMA(Val)'!AN41*AN$49</f>
        <v>1768</v>
      </c>
      <c r="AO41" s="1" t="n">
        <v>0</v>
      </c>
      <c r="AP41" s="1" t="n">
        <f aca="false">'OD-APUMA(Val)'!AP41*AP$49</f>
        <v>0</v>
      </c>
      <c r="AQ41" s="1" t="n">
        <f aca="false">'OD-APUMA(Val)'!AQ41*AQ$49</f>
        <v>0</v>
      </c>
      <c r="AR41" s="0" t="n">
        <f aca="false">SUM('OD-APUMA(Val)'!C41:AQ41)</f>
        <v>182702</v>
      </c>
      <c r="AS41" s="0" t="n">
        <f aca="false">MAX('OD-APUMA(Val)'!C41:AQ41)</f>
        <v>146120</v>
      </c>
      <c r="AT41" s="2" t="n">
        <f aca="false">SUM(C41:AQ41)/AR41</f>
        <v>0.200227693183435</v>
      </c>
      <c r="AU41" s="3" t="n">
        <f aca="false">AT41^4</f>
        <v>0.00160729863392086</v>
      </c>
    </row>
    <row r="42" customFormat="false" ht="12.75" hidden="false" customHeight="false" outlineLevel="0" collapsed="false">
      <c r="A42" s="0" t="n">
        <v>101</v>
      </c>
      <c r="B42" s="0" t="n">
        <v>219609</v>
      </c>
      <c r="C42" s="1" t="n">
        <f aca="false">'OD-APUMA(Val)'!C42*C$49</f>
        <v>208</v>
      </c>
      <c r="D42" s="1" t="n">
        <f aca="false">'OD-APUMA(Val)'!D42*D$49</f>
        <v>0</v>
      </c>
      <c r="E42" s="1" t="n">
        <f aca="false">'OD-APUMA(Val)'!E42*E$49</f>
        <v>0</v>
      </c>
      <c r="F42" s="1" t="n">
        <f aca="false">'OD-APUMA(Val)'!F42*F$49</f>
        <v>0</v>
      </c>
      <c r="G42" s="1" t="n">
        <f aca="false">'OD-APUMA(Val)'!G42*G$49</f>
        <v>0</v>
      </c>
      <c r="H42" s="1" t="n">
        <f aca="false">'OD-APUMA(Val)'!H42*H$49</f>
        <v>0</v>
      </c>
      <c r="I42" s="1" t="n">
        <f aca="false">'OD-APUMA(Val)'!I42*I$49</f>
        <v>0</v>
      </c>
      <c r="J42" s="1" t="n">
        <f aca="false">'OD-APUMA(Val)'!J42*J$49</f>
        <v>0</v>
      </c>
      <c r="K42" s="1" t="n">
        <f aca="false">'OD-APUMA(Val)'!K42*K$49</f>
        <v>0</v>
      </c>
      <c r="L42" s="1" t="n">
        <f aca="false">'OD-APUMA(Val)'!L42*L$49</f>
        <v>0</v>
      </c>
      <c r="M42" s="1" t="n">
        <f aca="false">'OD-APUMA(Val)'!M42*M$49</f>
        <v>0</v>
      </c>
      <c r="N42" s="1" t="n">
        <f aca="false">'OD-APUMA(Val)'!N42*N$49</f>
        <v>156</v>
      </c>
      <c r="O42" s="1" t="n">
        <f aca="false">'OD-APUMA(Val)'!O42*O$49</f>
        <v>0</v>
      </c>
      <c r="P42" s="1" t="n">
        <f aca="false">'OD-APUMA(Val)'!P42*P$49</f>
        <v>169</v>
      </c>
      <c r="Q42" s="1" t="n">
        <f aca="false">'OD-APUMA(Val)'!Q42*Q$49</f>
        <v>208</v>
      </c>
      <c r="R42" s="1" t="n">
        <f aca="false">'OD-APUMA(Val)'!R42*R$49</f>
        <v>494</v>
      </c>
      <c r="S42" s="1" t="n">
        <f aca="false">'OD-APUMA(Val)'!S42*S$49</f>
        <v>117</v>
      </c>
      <c r="T42" s="1" t="n">
        <f aca="false">'OD-APUMA(Val)'!T42*T$49</f>
        <v>3653</v>
      </c>
      <c r="U42" s="1" t="n">
        <f aca="false">'OD-APUMA(Val)'!U42*U$49</f>
        <v>0</v>
      </c>
      <c r="V42" s="1" t="n">
        <f aca="false">'OD-APUMA(Val)'!V42*V$49</f>
        <v>0</v>
      </c>
      <c r="W42" s="1" t="n">
        <f aca="false">'OD-APUMA(Val)'!W42*W$49</f>
        <v>0</v>
      </c>
      <c r="X42" s="1" t="n">
        <f aca="false">'OD-APUMA(Val)'!X42*X$49</f>
        <v>234</v>
      </c>
      <c r="Y42" s="1" t="n">
        <f aca="false">'OD-APUMA(Val)'!Y42*Y$49</f>
        <v>0</v>
      </c>
      <c r="Z42" s="1" t="n">
        <f aca="false">'OD-APUMA(Val)'!Z42*Z$49</f>
        <v>0</v>
      </c>
      <c r="AA42" s="1" t="n">
        <f aca="false">'OD-APUMA(Val)'!AA42*AA$49</f>
        <v>5499</v>
      </c>
      <c r="AB42" s="1" t="n">
        <f aca="false">'OD-APUMA(Val)'!AB42*AB$49</f>
        <v>676</v>
      </c>
      <c r="AC42" s="1" t="n">
        <f aca="false">'OD-APUMA(Val)'!AC42*AC$49</f>
        <v>182</v>
      </c>
      <c r="AD42" s="1" t="n">
        <f aca="false">'OD-APUMA(Val)'!AD42*AD$49</f>
        <v>0</v>
      </c>
      <c r="AE42" s="1" t="n">
        <f aca="false">'OD-APUMA(Val)'!AE42*AE$49</f>
        <v>78</v>
      </c>
      <c r="AF42" s="1" t="n">
        <f aca="false">'OD-APUMA(Val)'!AF42*AF$49</f>
        <v>0</v>
      </c>
      <c r="AG42" s="1" t="n">
        <f aca="false">'OD-APUMA(Val)'!AG42*AG$49</f>
        <v>0</v>
      </c>
      <c r="AH42" s="1" t="n">
        <f aca="false">'OD-APUMA(Val)'!AH42*AH$49</f>
        <v>78</v>
      </c>
      <c r="AI42" s="1" t="n">
        <f aca="false">'OD-APUMA(Val)'!AI42*AI$49</f>
        <v>234</v>
      </c>
      <c r="AJ42" s="1" t="n">
        <f aca="false">'OD-APUMA(Val)'!AJ42*AJ$49</f>
        <v>91</v>
      </c>
      <c r="AK42" s="1" t="n">
        <f aca="false">'OD-APUMA(Val)'!AK42*AK$49</f>
        <v>0</v>
      </c>
      <c r="AL42" s="1" t="n">
        <f aca="false">'OD-APUMA(Val)'!AL42*AL$49</f>
        <v>8528</v>
      </c>
      <c r="AM42" s="1" t="n">
        <f aca="false">'OD-APUMA(Val)'!AM42*AM$49</f>
        <v>3458</v>
      </c>
      <c r="AN42" s="1" t="n">
        <f aca="false">'OD-APUMA(Val)'!AN42*AN$49</f>
        <v>208</v>
      </c>
      <c r="AO42" s="1" t="n">
        <f aca="false">'OD-APUMA(Val)'!AO42*AO$49</f>
        <v>0</v>
      </c>
      <c r="AP42" s="1" t="n">
        <v>0</v>
      </c>
      <c r="AQ42" s="1" t="n">
        <f aca="false">'OD-APUMA(Val)'!AQ42*AQ$49</f>
        <v>0</v>
      </c>
      <c r="AR42" s="0" t="n">
        <f aca="false">SUM('OD-APUMA(Val)'!C42:AQ42)</f>
        <v>143481</v>
      </c>
      <c r="AS42" s="0" t="n">
        <f aca="false">MAX('OD-APUMA(Val)'!C42:AQ42)</f>
        <v>119210</v>
      </c>
      <c r="AT42" s="2" t="n">
        <f aca="false">SUM(C42:AQ42)/AR42</f>
        <v>0.16915828576606</v>
      </c>
      <c r="AU42" s="3" t="n">
        <f aca="false">AT42^4</f>
        <v>0.000818791077791754</v>
      </c>
    </row>
    <row r="43" customFormat="false" ht="12.75" hidden="false" customHeight="false" outlineLevel="0" collapsed="false">
      <c r="A43" s="0" t="n">
        <v>103</v>
      </c>
      <c r="B43" s="0" t="n">
        <v>331552</v>
      </c>
      <c r="C43" s="1" t="n">
        <f aca="false">'OD-APUMA(Val)'!C43*C$49</f>
        <v>65</v>
      </c>
      <c r="D43" s="1" t="n">
        <f aca="false">'OD-APUMA(Val)'!D43*D$49</f>
        <v>117</v>
      </c>
      <c r="E43" s="1" t="n">
        <f aca="false">'OD-APUMA(Val)'!E43*E$49</f>
        <v>52</v>
      </c>
      <c r="F43" s="1" t="n">
        <f aca="false">'OD-APUMA(Val)'!F43*F$49</f>
        <v>117</v>
      </c>
      <c r="G43" s="1" t="n">
        <f aca="false">'OD-APUMA(Val)'!G43*G$49</f>
        <v>0</v>
      </c>
      <c r="H43" s="1" t="n">
        <f aca="false">'OD-APUMA(Val)'!H43*H$49</f>
        <v>104</v>
      </c>
      <c r="I43" s="1" t="n">
        <f aca="false">'OD-APUMA(Val)'!I43*I$49</f>
        <v>0</v>
      </c>
      <c r="J43" s="1" t="n">
        <f aca="false">'OD-APUMA(Val)'!J43*J$49</f>
        <v>0</v>
      </c>
      <c r="K43" s="1" t="n">
        <f aca="false">'OD-APUMA(Val)'!K43*K$49</f>
        <v>0</v>
      </c>
      <c r="L43" s="1" t="n">
        <f aca="false">'OD-APUMA(Val)'!L43*L$49</f>
        <v>0</v>
      </c>
      <c r="M43" s="1" t="n">
        <f aca="false">'OD-APUMA(Val)'!M43*M$49</f>
        <v>0</v>
      </c>
      <c r="N43" s="1" t="n">
        <f aca="false">'OD-APUMA(Val)'!N43*N$49</f>
        <v>0</v>
      </c>
      <c r="O43" s="1" t="n">
        <f aca="false">'OD-APUMA(Val)'!O43*O$49</f>
        <v>91</v>
      </c>
      <c r="P43" s="1" t="n">
        <f aca="false">'OD-APUMA(Val)'!P43*P$49</f>
        <v>117</v>
      </c>
      <c r="Q43" s="1" t="n">
        <f aca="false">'OD-APUMA(Val)'!Q43*Q$49</f>
        <v>1794</v>
      </c>
      <c r="R43" s="1" t="n">
        <f aca="false">'OD-APUMA(Val)'!R43*R$49</f>
        <v>0</v>
      </c>
      <c r="S43" s="1" t="n">
        <f aca="false">'OD-APUMA(Val)'!S43*S$49</f>
        <v>0</v>
      </c>
      <c r="T43" s="1" t="n">
        <f aca="false">'OD-APUMA(Val)'!T43*T$49</f>
        <v>0</v>
      </c>
      <c r="U43" s="1" t="n">
        <f aca="false">'OD-APUMA(Val)'!U43*U$49</f>
        <v>0</v>
      </c>
      <c r="V43" s="1" t="n">
        <f aca="false">'OD-APUMA(Val)'!V43*V$49</f>
        <v>4381</v>
      </c>
      <c r="W43" s="1" t="n">
        <f aca="false">'OD-APUMA(Val)'!W43*W$49</f>
        <v>0</v>
      </c>
      <c r="X43" s="1" t="n">
        <f aca="false">'OD-APUMA(Val)'!X43*X$49</f>
        <v>0</v>
      </c>
      <c r="Y43" s="1" t="n">
        <f aca="false">'OD-APUMA(Val)'!Y43*Y$49</f>
        <v>0</v>
      </c>
      <c r="Z43" s="1" t="n">
        <f aca="false">'OD-APUMA(Val)'!Z43*Z$49</f>
        <v>429</v>
      </c>
      <c r="AA43" s="1" t="n">
        <f aca="false">'OD-APUMA(Val)'!AA43*AA$49</f>
        <v>117</v>
      </c>
      <c r="AB43" s="1" t="n">
        <f aca="false">'OD-APUMA(Val)'!AB43*AB$49</f>
        <v>221</v>
      </c>
      <c r="AC43" s="1" t="n">
        <f aca="false">'OD-APUMA(Val)'!AC43*AC$49</f>
        <v>0</v>
      </c>
      <c r="AD43" s="1" t="n">
        <f aca="false">'OD-APUMA(Val)'!AD43*AD$49</f>
        <v>481</v>
      </c>
      <c r="AE43" s="1" t="n">
        <f aca="false">'OD-APUMA(Val)'!AE43*AE$49</f>
        <v>76375</v>
      </c>
      <c r="AF43" s="1" t="n">
        <f aca="false">'OD-APUMA(Val)'!AF43*AF$49</f>
        <v>169</v>
      </c>
      <c r="AG43" s="1" t="n">
        <f aca="false">'OD-APUMA(Val)'!AG43*AG$49</f>
        <v>299</v>
      </c>
      <c r="AH43" s="1" t="n">
        <f aca="false">'OD-APUMA(Val)'!AH43*AH$49</f>
        <v>143</v>
      </c>
      <c r="AI43" s="1" t="n">
        <f aca="false">'OD-APUMA(Val)'!AI43*AI$49</f>
        <v>104</v>
      </c>
      <c r="AJ43" s="1" t="n">
        <f aca="false">'OD-APUMA(Val)'!AJ43*AJ$49</f>
        <v>533</v>
      </c>
      <c r="AK43" s="1" t="n">
        <f aca="false">'OD-APUMA(Val)'!AK43*AK$49</f>
        <v>533</v>
      </c>
      <c r="AL43" s="1" t="n">
        <f aca="false">'OD-APUMA(Val)'!AL43*AL$49</f>
        <v>91</v>
      </c>
      <c r="AM43" s="1" t="n">
        <f aca="false">'OD-APUMA(Val)'!AM43*AM$49</f>
        <v>65</v>
      </c>
      <c r="AN43" s="1" t="n">
        <f aca="false">'OD-APUMA(Val)'!AN43*AN$49</f>
        <v>0</v>
      </c>
      <c r="AO43" s="1" t="n">
        <f aca="false">'OD-APUMA(Val)'!AO43*AO$49</f>
        <v>0</v>
      </c>
      <c r="AP43" s="1" t="n">
        <f aca="false">'OD-APUMA(Val)'!AP43*AP$49</f>
        <v>0</v>
      </c>
      <c r="AQ43" s="1" t="n">
        <v>0</v>
      </c>
      <c r="AR43" s="0" t="n">
        <f aca="false">SUM('OD-APUMA(Val)'!C43:AQ43)</f>
        <v>335556</v>
      </c>
      <c r="AS43" s="0" t="n">
        <f aca="false">MAX('OD-APUMA(Val)'!C43:AQ43)</f>
        <v>249158</v>
      </c>
      <c r="AT43" s="2" t="n">
        <f aca="false">SUM(C43:AQ43)/AR43</f>
        <v>0.257477142414381</v>
      </c>
      <c r="AU43" s="3" t="n">
        <f aca="false">AT43^4</f>
        <v>0.004394957928098</v>
      </c>
    </row>
    <row r="44" customFormat="false" ht="12.75" hidden="false" customHeight="false" outlineLevel="0" collapsed="false">
      <c r="A44" s="0" t="s">
        <v>7</v>
      </c>
      <c r="B44" s="0" t="n">
        <v>15631931</v>
      </c>
      <c r="C44" s="1" t="n">
        <f aca="false">SUM(C3:C43)</f>
        <v>6734</v>
      </c>
      <c r="D44" s="1" t="n">
        <f aca="false">SUM(D3:D43)</f>
        <v>6422</v>
      </c>
      <c r="E44" s="1" t="n">
        <f aca="false">SUM(E3:E43)</f>
        <v>8437</v>
      </c>
      <c r="F44" s="1" t="n">
        <f aca="false">SUM(F3:F43)</f>
        <v>6513</v>
      </c>
      <c r="G44" s="1" t="n">
        <f aca="false">SUM(G3:G43)</f>
        <v>10946</v>
      </c>
      <c r="H44" s="1" t="n">
        <f aca="false">SUM(H3:H43)</f>
        <v>3887</v>
      </c>
      <c r="I44" s="1" t="n">
        <f aca="false">SUM(I3:I43)</f>
        <v>4875</v>
      </c>
      <c r="J44" s="1" t="n">
        <f aca="false">SUM(J3:J43)</f>
        <v>4745</v>
      </c>
      <c r="K44" s="1" t="n">
        <f aca="false">SUM(K3:K43)</f>
        <v>8203</v>
      </c>
      <c r="L44" s="1" t="n">
        <f aca="false">SUM(L3:L43)</f>
        <v>25779</v>
      </c>
      <c r="M44" s="1" t="n">
        <f aca="false">SUM(M3:M43)</f>
        <v>26338</v>
      </c>
      <c r="N44" s="1" t="n">
        <f aca="false">SUM(N3:N43)</f>
        <v>4576</v>
      </c>
      <c r="O44" s="1" t="n">
        <f aca="false">SUM(O3:O43)</f>
        <v>31954</v>
      </c>
      <c r="P44" s="1" t="n">
        <f aca="false">SUM(P3:P43)</f>
        <v>255632</v>
      </c>
      <c r="Q44" s="1" t="n">
        <f aca="false">SUM(Q3:Q43)</f>
        <v>111423</v>
      </c>
      <c r="R44" s="1" t="n">
        <f aca="false">SUM(R3:R43)</f>
        <v>4524</v>
      </c>
      <c r="S44" s="1" t="n">
        <f aca="false">SUM(S3:S43)</f>
        <v>8645</v>
      </c>
      <c r="T44" s="1" t="n">
        <f aca="false">SUM(T3:T43)</f>
        <v>6682</v>
      </c>
      <c r="U44" s="1" t="n">
        <f aca="false">SUM(U3:U43)</f>
        <v>7306</v>
      </c>
      <c r="V44" s="1" t="n">
        <f aca="false">SUM(V3:V43)</f>
        <v>13559</v>
      </c>
      <c r="W44" s="1" t="n">
        <f aca="false">SUM(W3:W43)</f>
        <v>6331</v>
      </c>
      <c r="X44" s="1" t="n">
        <f aca="false">SUM(X3:X43)</f>
        <v>13572</v>
      </c>
      <c r="Y44" s="1" t="n">
        <f aca="false">SUM(Y3:Y43)</f>
        <v>1443</v>
      </c>
      <c r="Z44" s="1" t="n">
        <f aca="false">SUM(Z3:Z43)</f>
        <v>8385</v>
      </c>
      <c r="AA44" s="1" t="n">
        <f aca="false">SUM(AA3:AA43)</f>
        <v>2317731</v>
      </c>
      <c r="AB44" s="1" t="n">
        <f aca="false">SUM(AB3:AB43)</f>
        <v>97955</v>
      </c>
      <c r="AC44" s="1" t="n">
        <f aca="false">SUM(AC3:AC43)</f>
        <v>18941</v>
      </c>
      <c r="AD44" s="1" t="n">
        <f aca="false">SUM(AD3:AD43)</f>
        <v>16198</v>
      </c>
      <c r="AE44" s="1" t="n">
        <f aca="false">SUM(AE3:AE43)</f>
        <v>458328</v>
      </c>
      <c r="AF44" s="1" t="n">
        <f aca="false">SUM(AF3:AF43)</f>
        <v>10127</v>
      </c>
      <c r="AG44" s="1" t="n">
        <f aca="false">SUM(AG3:AG43)</f>
        <v>230425</v>
      </c>
      <c r="AH44" s="1" t="n">
        <f aca="false">SUM(AH3:AH43)</f>
        <v>60385</v>
      </c>
      <c r="AI44" s="1" t="n">
        <f aca="false">SUM(AI3:AI43)</f>
        <v>74555</v>
      </c>
      <c r="AJ44" s="1" t="n">
        <f aca="false">SUM(AJ3:AJ43)</f>
        <v>87646</v>
      </c>
      <c r="AK44" s="1" t="n">
        <f aca="false">SUM(AK3:AK43)</f>
        <v>22412</v>
      </c>
      <c r="AL44" s="1" t="n">
        <f aca="false">SUM(AL3:AL43)</f>
        <v>22607</v>
      </c>
      <c r="AM44" s="1" t="n">
        <f aca="false">SUM(AM3:AM43)</f>
        <v>149006</v>
      </c>
      <c r="AN44" s="1" t="n">
        <f aca="false">SUM(AN3:AN43)</f>
        <v>25012</v>
      </c>
      <c r="AO44" s="1" t="n">
        <f aca="false">SUM(AO3:AO43)</f>
        <v>11063</v>
      </c>
      <c r="AP44" s="1" t="n">
        <f aca="false">SUM(AP3:AP43)</f>
        <v>14547</v>
      </c>
      <c r="AQ44" s="1" t="n">
        <f aca="false">SUM(AQ3:AQ43)</f>
        <v>26650</v>
      </c>
      <c r="AR44" s="0" t="n">
        <f aca="false">SUM('OD-APUMA(Val)'!C44:AQ44)</f>
        <v>13839891</v>
      </c>
      <c r="AS44" s="0" t="n">
        <f aca="false">MAX('OD-APUMA(Val)'!C44:AQ44)</f>
        <v>4317976</v>
      </c>
      <c r="AT44" s="2" t="n">
        <f aca="false">SUM(C44:AQ44)/AR44</f>
        <v>0.305674300469563</v>
      </c>
      <c r="AU44" s="3"/>
    </row>
    <row r="45" customFormat="false" ht="12.75" hidden="false" customHeight="false" outlineLevel="0" collapsed="false">
      <c r="A45" s="0" t="n">
        <v>0</v>
      </c>
      <c r="B45" s="0" t="s">
        <v>8</v>
      </c>
      <c r="C45" s="1" t="n">
        <f aca="false">MAX(C3:C43)</f>
        <v>1573</v>
      </c>
      <c r="D45" s="1" t="n">
        <f aca="false">MAX(D3:D43)</f>
        <v>2535</v>
      </c>
      <c r="E45" s="1" t="n">
        <f aca="false">MAX(E3:E43)</f>
        <v>2275</v>
      </c>
      <c r="F45" s="1" t="n">
        <f aca="false">MAX(F3:F43)</f>
        <v>1456</v>
      </c>
      <c r="G45" s="1" t="n">
        <f aca="false">MAX(G3:G43)</f>
        <v>5811</v>
      </c>
      <c r="H45" s="1" t="n">
        <f aca="false">MAX(H3:H43)</f>
        <v>1105</v>
      </c>
      <c r="I45" s="1" t="n">
        <f aca="false">MAX(I3:I43)</f>
        <v>1872</v>
      </c>
      <c r="J45" s="1" t="n">
        <f aca="false">MAX(J3:J43)</f>
        <v>1651</v>
      </c>
      <c r="K45" s="1" t="n">
        <f aca="false">MAX(K3:K43)</f>
        <v>4212</v>
      </c>
      <c r="L45" s="1" t="n">
        <f aca="false">MAX(L3:L43)</f>
        <v>18044</v>
      </c>
      <c r="M45" s="1" t="n">
        <f aca="false">MAX(M3:M43)</f>
        <v>16146</v>
      </c>
      <c r="N45" s="1" t="n">
        <f aca="false">MAX(N3:N43)</f>
        <v>2574</v>
      </c>
      <c r="O45" s="1" t="n">
        <f aca="false">MAX(O3:O43)</f>
        <v>17290</v>
      </c>
      <c r="P45" s="1" t="n">
        <f aca="false">MAX(P3:P43)</f>
        <v>80925</v>
      </c>
      <c r="Q45" s="1" t="n">
        <f aca="false">MAX(Q3:Q43)</f>
        <v>32188</v>
      </c>
      <c r="R45" s="1" t="n">
        <f aca="false">MAX(R3:R43)</f>
        <v>858</v>
      </c>
      <c r="S45" s="1" t="n">
        <f aca="false">MAX(S3:S43)</f>
        <v>4706</v>
      </c>
      <c r="T45" s="1" t="n">
        <f aca="false">MAX(T3:T43)</f>
        <v>3653</v>
      </c>
      <c r="U45" s="1" t="n">
        <f aca="false">MAX(U3:U43)</f>
        <v>2951</v>
      </c>
      <c r="V45" s="1" t="n">
        <f aca="false">MAX(V3:V43)</f>
        <v>5980</v>
      </c>
      <c r="W45" s="1" t="n">
        <f aca="false">MAX(W3:W43)</f>
        <v>3107</v>
      </c>
      <c r="X45" s="1" t="n">
        <f aca="false">MAX(X3:X43)</f>
        <v>6643</v>
      </c>
      <c r="Y45" s="1" t="n">
        <f aca="false">MAX(Y3:Y43)</f>
        <v>351</v>
      </c>
      <c r="Z45" s="1" t="n">
        <f aca="false">MAX(Z3:Z43)</f>
        <v>5109</v>
      </c>
      <c r="AA45" s="1" t="n">
        <f aca="false">MAX(AA3:AA43)</f>
        <v>2135484</v>
      </c>
      <c r="AB45" s="1" t="n">
        <f aca="false">MAX(AB3:AB43)</f>
        <v>35737</v>
      </c>
      <c r="AC45" s="1" t="n">
        <f aca="false">MAX(AC3:AC43)</f>
        <v>7631</v>
      </c>
      <c r="AD45" s="1" t="n">
        <f aca="false">MAX(AD3:AD43)</f>
        <v>9503</v>
      </c>
      <c r="AE45" s="1" t="n">
        <f aca="false">MAX(AE3:AE43)</f>
        <v>198133</v>
      </c>
      <c r="AF45" s="1" t="n">
        <f aca="false">MAX(AF3:AF43)</f>
        <v>4420</v>
      </c>
      <c r="AG45" s="1" t="n">
        <f aca="false">MAX(AG3:AG43)</f>
        <v>136591</v>
      </c>
      <c r="AH45" s="1" t="n">
        <f aca="false">MAX(AH3:AH43)</f>
        <v>37102</v>
      </c>
      <c r="AI45" s="1" t="n">
        <f aca="false">MAX(AI3:AI43)</f>
        <v>25571</v>
      </c>
      <c r="AJ45" s="1" t="n">
        <f aca="false">MAX(AJ3:AJ43)</f>
        <v>40846</v>
      </c>
      <c r="AK45" s="1" t="n">
        <f aca="false">MAX(AK3:AK43)</f>
        <v>7150</v>
      </c>
      <c r="AL45" s="1" t="n">
        <f aca="false">MAX(AL3:AL43)</f>
        <v>8528</v>
      </c>
      <c r="AM45" s="1" t="n">
        <f aca="false">MAX(AM3:AM43)</f>
        <v>52273</v>
      </c>
      <c r="AN45" s="1" t="n">
        <f aca="false">MAX(AN3:AN43)</f>
        <v>6682</v>
      </c>
      <c r="AO45" s="1" t="n">
        <f aca="false">MAX(AO3:AO43)</f>
        <v>3029</v>
      </c>
      <c r="AP45" s="1" t="n">
        <f aca="false">MAX(AP3:AP43)</f>
        <v>5148</v>
      </c>
      <c r="AQ45" s="1" t="n">
        <f aca="false">MAX(AQ3:AQ43)</f>
        <v>21801</v>
      </c>
      <c r="AR45" s="0" t="n">
        <f aca="false">SUM('OD-APUMA(Val)'!C45:AQ45)</f>
        <v>11744720</v>
      </c>
      <c r="AS45" s="0" t="n">
        <f aca="false">MAX('OD-APUMA(Val)'!C45:AQ45)</f>
        <v>3859648</v>
      </c>
      <c r="AT45" s="2" t="n">
        <f aca="false">SUM(C45:AQ45)/AR45</f>
        <v>0.251912689276543</v>
      </c>
      <c r="AU45" s="3"/>
    </row>
    <row r="46" customFormat="false" ht="12.75" hidden="false" customHeight="false" outlineLevel="0" collapsed="false">
      <c r="A46" s="0" t="n">
        <v>0</v>
      </c>
      <c r="B46" s="0" t="s">
        <v>9</v>
      </c>
      <c r="C46" s="1" t="n">
        <f aca="false">SUM(C3:C43)-MAX(C3:C43)</f>
        <v>5161</v>
      </c>
      <c r="D46" s="1" t="n">
        <f aca="false">SUM(D3:D43)-MAX(D3:D43)</f>
        <v>3887</v>
      </c>
      <c r="E46" s="1" t="n">
        <f aca="false">SUM(E3:E43)-MAX(E3:E43)</f>
        <v>6162</v>
      </c>
      <c r="F46" s="1" t="n">
        <f aca="false">SUM(F3:F43)-MAX(F3:F43)</f>
        <v>5057</v>
      </c>
      <c r="G46" s="1" t="n">
        <f aca="false">SUM(G3:G43)-MAX(G3:G43)</f>
        <v>5135</v>
      </c>
      <c r="H46" s="1" t="n">
        <f aca="false">SUM(H3:H43)-MAX(H3:H43)</f>
        <v>2782</v>
      </c>
      <c r="I46" s="1" t="n">
        <f aca="false">SUM(I3:I43)-MAX(I3:I43)</f>
        <v>3003</v>
      </c>
      <c r="J46" s="1" t="n">
        <f aca="false">SUM(J3:J43)-MAX(J3:J43)</f>
        <v>3094</v>
      </c>
      <c r="K46" s="1" t="n">
        <f aca="false">SUM(K3:K43)-MAX(K3:K43)</f>
        <v>3991</v>
      </c>
      <c r="L46" s="1" t="n">
        <f aca="false">SUM(L3:L43)-MAX(L3:L43)</f>
        <v>7735</v>
      </c>
      <c r="M46" s="1" t="n">
        <f aca="false">SUM(M3:M43)-MAX(M3:M43)</f>
        <v>10192</v>
      </c>
      <c r="N46" s="1" t="n">
        <f aca="false">SUM(N3:N43)-MAX(N3:N43)</f>
        <v>2002</v>
      </c>
      <c r="O46" s="1" t="n">
        <f aca="false">SUM(O3:O43)-MAX(O3:O43)</f>
        <v>14664</v>
      </c>
      <c r="P46" s="1" t="n">
        <f aca="false">SUM(P3:P43)-MAX(P3:P43)</f>
        <v>174707</v>
      </c>
      <c r="Q46" s="1" t="n">
        <f aca="false">SUM(Q3:Q43)-MAX(Q3:Q43)</f>
        <v>79235</v>
      </c>
      <c r="R46" s="1" t="n">
        <f aca="false">SUM(R3:R43)-MAX(R3:R43)</f>
        <v>3666</v>
      </c>
      <c r="S46" s="1" t="n">
        <f aca="false">SUM(S3:S43)-MAX(S3:S43)</f>
        <v>3939</v>
      </c>
      <c r="T46" s="1" t="n">
        <f aca="false">SUM(T3:T43)-MAX(T3:T43)</f>
        <v>3029</v>
      </c>
      <c r="U46" s="1" t="n">
        <f aca="false">SUM(U3:U43)-MAX(U3:U43)</f>
        <v>4355</v>
      </c>
      <c r="V46" s="1" t="n">
        <f aca="false">SUM(V3:V43)-MAX(V3:V43)</f>
        <v>7579</v>
      </c>
      <c r="W46" s="1" t="n">
        <f aca="false">SUM(W3:W43)-MAX(W3:W43)</f>
        <v>3224</v>
      </c>
      <c r="X46" s="1" t="n">
        <f aca="false">SUM(X3:X43)-MAX(X3:X43)</f>
        <v>6929</v>
      </c>
      <c r="Y46" s="1" t="n">
        <f aca="false">SUM(Y3:Y43)-MAX(Y3:Y43)</f>
        <v>1092</v>
      </c>
      <c r="Z46" s="1" t="n">
        <f aca="false">SUM(Z3:Z43)-MAX(Z3:Z43)</f>
        <v>3276</v>
      </c>
      <c r="AA46" s="1" t="n">
        <f aca="false">SUM(AA3:AA43)-MAX(AA3:AA43)</f>
        <v>182247</v>
      </c>
      <c r="AB46" s="1" t="n">
        <f aca="false">SUM(AB3:AB43)-MAX(AB3:AB43)</f>
        <v>62218</v>
      </c>
      <c r="AC46" s="1" t="n">
        <f aca="false">SUM(AC3:AC43)-MAX(AC3:AC43)</f>
        <v>11310</v>
      </c>
      <c r="AD46" s="1" t="n">
        <f aca="false">SUM(AD3:AD43)-MAX(AD3:AD43)</f>
        <v>6695</v>
      </c>
      <c r="AE46" s="1" t="n">
        <f aca="false">SUM(AE3:AE43)-MAX(AE3:AE43)</f>
        <v>260195</v>
      </c>
      <c r="AF46" s="1" t="n">
        <f aca="false">SUM(AF3:AF43)-MAX(AF3:AF43)</f>
        <v>5707</v>
      </c>
      <c r="AG46" s="1" t="n">
        <f aca="false">SUM(AG3:AG43)-MAX(AG3:AG43)</f>
        <v>93834</v>
      </c>
      <c r="AH46" s="1" t="n">
        <f aca="false">SUM(AH3:AH43)-MAX(AH3:AH43)</f>
        <v>23283</v>
      </c>
      <c r="AI46" s="1" t="n">
        <f aca="false">SUM(AI3:AI43)-MAX(AI3:AI43)</f>
        <v>48984</v>
      </c>
      <c r="AJ46" s="1" t="n">
        <f aca="false">SUM(AJ3:AJ43)-MAX(AJ3:AJ43)</f>
        <v>46800</v>
      </c>
      <c r="AK46" s="1" t="n">
        <f aca="false">SUM(AK3:AK43)-MAX(AK3:AK43)</f>
        <v>15262</v>
      </c>
      <c r="AL46" s="1" t="n">
        <f aca="false">SUM(AL3:AL43)-MAX(AL3:AL43)</f>
        <v>14079</v>
      </c>
      <c r="AM46" s="1" t="n">
        <f aca="false">SUM(AM3:AM43)-MAX(AM3:AM43)</f>
        <v>96733</v>
      </c>
      <c r="AN46" s="1" t="n">
        <f aca="false">SUM(AN3:AN43)-MAX(AN3:AN43)</f>
        <v>18330</v>
      </c>
      <c r="AO46" s="1" t="n">
        <f aca="false">SUM(AO3:AO43)-MAX(AO3:AO43)</f>
        <v>8034</v>
      </c>
      <c r="AP46" s="1" t="n">
        <f aca="false">SUM(AP3:AP43)-MAX(AP3:AP43)</f>
        <v>9399</v>
      </c>
      <c r="AQ46" s="1" t="n">
        <f aca="false">SUM(AQ3:AQ43)-MAX(AQ3:AQ43)</f>
        <v>4849</v>
      </c>
      <c r="AR46" s="0" t="n">
        <f aca="false">SUM('OD-APUMA(Val)'!C46:AQ46)</f>
        <v>2095171</v>
      </c>
      <c r="AS46" s="0" t="n">
        <f aca="false">MAX('OD-APUMA(Val)'!C46:AQ46)</f>
        <v>458328</v>
      </c>
      <c r="AT46" s="2" t="n">
        <f aca="false">SUM(C46:AQ46)/AR46</f>
        <v>0.607041143658441</v>
      </c>
      <c r="AU46" s="3"/>
    </row>
    <row r="47" customFormat="false" ht="12.75" hidden="false" customHeight="false" outlineLevel="0" collapsed="false">
      <c r="A47" s="0" t="n">
        <v>0</v>
      </c>
      <c r="B47" s="0" t="s">
        <v>10</v>
      </c>
      <c r="C47" s="1" t="n">
        <f aca="false">SUM(C3:C43)</f>
        <v>6734</v>
      </c>
      <c r="D47" s="1" t="n">
        <f aca="false">SUM(D3:D43)</f>
        <v>6422</v>
      </c>
      <c r="E47" s="1" t="n">
        <f aca="false">SUM(E3:E43)</f>
        <v>8437</v>
      </c>
      <c r="F47" s="1" t="n">
        <f aca="false">SUM(F3:F43)</f>
        <v>6513</v>
      </c>
      <c r="G47" s="1" t="n">
        <f aca="false">SUM(G3:G43)</f>
        <v>10946</v>
      </c>
      <c r="H47" s="1" t="n">
        <f aca="false">SUM(H3:H43)</f>
        <v>3887</v>
      </c>
      <c r="I47" s="1" t="n">
        <f aca="false">SUM(I3:I43)</f>
        <v>4875</v>
      </c>
      <c r="J47" s="1" t="n">
        <f aca="false">SUM(J3:J43)</f>
        <v>4745</v>
      </c>
      <c r="K47" s="1" t="n">
        <f aca="false">SUM(K3:K43)</f>
        <v>8203</v>
      </c>
      <c r="L47" s="1" t="n">
        <f aca="false">SUM(L3:L43)</f>
        <v>25779</v>
      </c>
      <c r="M47" s="1" t="n">
        <f aca="false">SUM(M3:M43)</f>
        <v>26338</v>
      </c>
      <c r="N47" s="1" t="n">
        <f aca="false">SUM(N3:N43)</f>
        <v>4576</v>
      </c>
      <c r="O47" s="1" t="n">
        <f aca="false">SUM(O3:O43)</f>
        <v>31954</v>
      </c>
      <c r="P47" s="1" t="n">
        <f aca="false">SUM(P3:P43)</f>
        <v>255632</v>
      </c>
      <c r="Q47" s="1" t="n">
        <f aca="false">SUM(Q3:Q43)</f>
        <v>111423</v>
      </c>
      <c r="R47" s="1" t="n">
        <f aca="false">SUM(R3:R43)</f>
        <v>4524</v>
      </c>
      <c r="S47" s="1" t="n">
        <f aca="false">SUM(S3:S43)</f>
        <v>8645</v>
      </c>
      <c r="T47" s="1" t="n">
        <f aca="false">SUM(T3:T43)</f>
        <v>6682</v>
      </c>
      <c r="U47" s="1" t="n">
        <f aca="false">SUM(U3:U43)</f>
        <v>7306</v>
      </c>
      <c r="V47" s="1" t="n">
        <f aca="false">SUM(V3:V43)</f>
        <v>13559</v>
      </c>
      <c r="W47" s="1" t="n">
        <f aca="false">SUM(W3:W43)</f>
        <v>6331</v>
      </c>
      <c r="X47" s="1" t="n">
        <f aca="false">SUM(X3:X43)</f>
        <v>13572</v>
      </c>
      <c r="Y47" s="1" t="n">
        <f aca="false">SUM(Y3:Y43)</f>
        <v>1443</v>
      </c>
      <c r="Z47" s="1" t="n">
        <f aca="false">SUM(Z3:Z43)</f>
        <v>8385</v>
      </c>
      <c r="AA47" s="1" t="n">
        <f aca="false">SUM(AA3:AA43)</f>
        <v>2317731</v>
      </c>
      <c r="AB47" s="1" t="n">
        <f aca="false">SUM(AB3:AB43)</f>
        <v>97955</v>
      </c>
      <c r="AC47" s="1" t="n">
        <f aca="false">SUM(AC3:AC43)</f>
        <v>18941</v>
      </c>
      <c r="AD47" s="1" t="n">
        <f aca="false">SUM(AD3:AD43)</f>
        <v>16198</v>
      </c>
      <c r="AE47" s="1" t="n">
        <f aca="false">SUM(AE3:AE43)</f>
        <v>458328</v>
      </c>
      <c r="AF47" s="1" t="n">
        <f aca="false">SUM(AF3:AF43)</f>
        <v>10127</v>
      </c>
      <c r="AG47" s="1" t="n">
        <f aca="false">SUM(AG3:AG43)</f>
        <v>230425</v>
      </c>
      <c r="AH47" s="1" t="n">
        <f aca="false">SUM(AH3:AH43)</f>
        <v>60385</v>
      </c>
      <c r="AI47" s="1" t="n">
        <f aca="false">SUM(AI3:AI43)</f>
        <v>74555</v>
      </c>
      <c r="AJ47" s="1" t="n">
        <f aca="false">SUM(AJ3:AJ43)</f>
        <v>87646</v>
      </c>
      <c r="AK47" s="1" t="n">
        <f aca="false">SUM(AK3:AK43)</f>
        <v>22412</v>
      </c>
      <c r="AL47" s="1" t="n">
        <f aca="false">SUM(AL3:AL43)</f>
        <v>22607</v>
      </c>
      <c r="AM47" s="1" t="n">
        <f aca="false">SUM(AM3:AM43)</f>
        <v>149006</v>
      </c>
      <c r="AN47" s="1" t="n">
        <f aca="false">SUM(AN3:AN43)</f>
        <v>25012</v>
      </c>
      <c r="AO47" s="1" t="n">
        <f aca="false">SUM(AO3:AO43)</f>
        <v>11063</v>
      </c>
      <c r="AP47" s="1" t="n">
        <f aca="false">SUM(AP3:AP43)</f>
        <v>14547</v>
      </c>
      <c r="AQ47" s="1" t="n">
        <f aca="false">SUM(AQ3:AQ43)</f>
        <v>26650</v>
      </c>
      <c r="AR47" s="0" t="n">
        <f aca="false">SUM('OD-APUMA(Val)'!C47:AQ47)</f>
        <v>13839891</v>
      </c>
      <c r="AS47" s="0" t="n">
        <f aca="false">MAX('OD-APUMA(Val)'!C47:AQ47)</f>
        <v>4317976</v>
      </c>
      <c r="AT47" s="2" t="n">
        <f aca="false">SUM(C47:AQ47)/AR47</f>
        <v>0.305674300469563</v>
      </c>
      <c r="AU47" s="3"/>
    </row>
    <row r="49" customFormat="false" ht="12.75" hidden="false" customHeight="false" outlineLevel="0" collapsed="false">
      <c r="B49" s="0" t="s">
        <v>11</v>
      </c>
      <c r="C49" s="0" t="n">
        <v>1</v>
      </c>
      <c r="D49" s="0" t="n">
        <v>1</v>
      </c>
      <c r="E49" s="0" t="n">
        <v>1</v>
      </c>
      <c r="F49" s="0" t="n">
        <v>1</v>
      </c>
      <c r="G49" s="0" t="n">
        <v>1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1</v>
      </c>
      <c r="R49" s="0" t="n">
        <v>1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1</v>
      </c>
      <c r="X49" s="0" t="n">
        <v>1</v>
      </c>
      <c r="Y49" s="0" t="n">
        <v>1</v>
      </c>
      <c r="Z49" s="0" t="n">
        <v>1</v>
      </c>
      <c r="AA49" s="0" t="n">
        <v>1</v>
      </c>
      <c r="AB49" s="0" t="n">
        <v>1</v>
      </c>
      <c r="AC49" s="0" t="n">
        <v>1</v>
      </c>
      <c r="AD49" s="0" t="n">
        <v>1</v>
      </c>
      <c r="AE49" s="0" t="n">
        <v>1</v>
      </c>
      <c r="AF49" s="0" t="n">
        <v>1</v>
      </c>
      <c r="AG49" s="0" t="n">
        <v>1</v>
      </c>
      <c r="AH49" s="0" t="n">
        <v>1</v>
      </c>
      <c r="AI49" s="0" t="n">
        <v>1</v>
      </c>
      <c r="AJ49" s="0" t="n">
        <v>1</v>
      </c>
      <c r="AK49" s="0" t="n">
        <v>1</v>
      </c>
      <c r="AL49" s="0" t="n">
        <v>1</v>
      </c>
      <c r="AM49" s="0" t="n">
        <v>1</v>
      </c>
      <c r="AN49" s="0" t="n">
        <v>1</v>
      </c>
      <c r="AO49" s="0" t="n">
        <v>1</v>
      </c>
      <c r="AP49" s="0" t="n">
        <v>1</v>
      </c>
      <c r="AQ49" s="0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5" min="3" style="0" width="9.28"/>
    <col collapsed="false" customWidth="true" hidden="false" outlineLevel="0" max="16" min="16" style="0" width="9.56"/>
    <col collapsed="false" customWidth="true" hidden="false" outlineLevel="0" max="26" min="17" style="0" width="9.28"/>
    <col collapsed="false" customWidth="true" hidden="false" outlineLevel="0" max="27" min="27" style="0" width="9.56"/>
    <col collapsed="false" customWidth="true" hidden="false" outlineLevel="0" max="30" min="28" style="0" width="9.28"/>
    <col collapsed="false" customWidth="true" hidden="false" outlineLevel="0" max="31" min="31" style="0" width="9.56"/>
    <col collapsed="false" customWidth="true" hidden="false" outlineLevel="0" max="32" min="32" style="0" width="9.28"/>
    <col collapsed="false" customWidth="true" hidden="false" outlineLevel="0" max="33" min="33" style="0" width="9.56"/>
    <col collapsed="false" customWidth="true" hidden="false" outlineLevel="0" max="38" min="34" style="0" width="9.28"/>
    <col collapsed="false" customWidth="true" hidden="false" outlineLevel="0" max="39" min="39" style="0" width="9.56"/>
    <col collapsed="false" customWidth="true" hidden="false" outlineLevel="0" max="44" min="40" style="0" width="9.28"/>
    <col collapsed="false" customWidth="true" hidden="false" outlineLevel="0" max="47" min="47" style="0" width="10.13"/>
  </cols>
  <sheetData>
    <row r="1" customFormat="false" ht="12.75" hidden="false" customHeight="false" outlineLevel="0" collapsed="false">
      <c r="A1" s="0" t="s">
        <v>0</v>
      </c>
      <c r="B1" s="0" t="s">
        <v>1</v>
      </c>
    </row>
    <row r="2" customFormat="false" ht="12.75" hidden="false" customHeight="false" outlineLevel="0" collapsed="false">
      <c r="A2" s="0" t="s">
        <v>2</v>
      </c>
      <c r="B2" s="0" t="n">
        <v>0</v>
      </c>
      <c r="C2" s="0" t="n">
        <v>1</v>
      </c>
      <c r="D2" s="0" t="n">
        <v>2</v>
      </c>
      <c r="E2" s="0" t="n">
        <v>3</v>
      </c>
      <c r="F2" s="0" t="n">
        <v>4</v>
      </c>
      <c r="G2" s="0" t="n">
        <v>5</v>
      </c>
      <c r="H2" s="0" t="n">
        <v>6</v>
      </c>
      <c r="I2" s="0" t="n">
        <v>7</v>
      </c>
      <c r="J2" s="0" t="n">
        <v>8</v>
      </c>
      <c r="K2" s="0" t="n">
        <v>9</v>
      </c>
      <c r="L2" s="0" t="n">
        <v>10</v>
      </c>
      <c r="M2" s="0" t="n">
        <v>11</v>
      </c>
      <c r="N2" s="0" t="n">
        <v>12</v>
      </c>
      <c r="O2" s="0" t="n">
        <v>15</v>
      </c>
      <c r="P2" s="0" t="n">
        <v>19</v>
      </c>
      <c r="Q2" s="0" t="n">
        <v>22</v>
      </c>
      <c r="R2" s="0" t="n">
        <v>26</v>
      </c>
      <c r="S2" s="0" t="n">
        <v>27</v>
      </c>
      <c r="T2" s="0" t="n">
        <v>30</v>
      </c>
      <c r="U2" s="0" t="n">
        <v>31</v>
      </c>
      <c r="V2" s="0" t="n">
        <v>32</v>
      </c>
      <c r="W2" s="0" t="n">
        <v>75</v>
      </c>
      <c r="X2" s="0" t="n">
        <v>76</v>
      </c>
      <c r="Y2" s="0" t="n">
        <v>77</v>
      </c>
      <c r="Z2" s="0" t="n">
        <v>80</v>
      </c>
      <c r="AA2" s="0" t="n">
        <v>86</v>
      </c>
      <c r="AB2" s="0" t="n">
        <v>87</v>
      </c>
      <c r="AC2" s="0" t="n">
        <v>88</v>
      </c>
      <c r="AD2" s="0" t="n">
        <v>89</v>
      </c>
      <c r="AE2" s="0" t="n">
        <v>90</v>
      </c>
      <c r="AF2" s="0" t="n">
        <v>91</v>
      </c>
      <c r="AG2" s="0" t="n">
        <v>92</v>
      </c>
      <c r="AH2" s="0" t="n">
        <v>93</v>
      </c>
      <c r="AI2" s="0" t="n">
        <v>94</v>
      </c>
      <c r="AJ2" s="0" t="n">
        <v>95</v>
      </c>
      <c r="AK2" s="0" t="n">
        <v>96</v>
      </c>
      <c r="AL2" s="0" t="n">
        <v>97</v>
      </c>
      <c r="AM2" s="0" t="n">
        <v>98</v>
      </c>
      <c r="AN2" s="0" t="n">
        <v>99</v>
      </c>
      <c r="AO2" s="0" t="n">
        <v>100</v>
      </c>
      <c r="AP2" s="0" t="n">
        <v>101</v>
      </c>
      <c r="AQ2" s="0" t="n">
        <v>103</v>
      </c>
      <c r="AR2" s="0" t="s">
        <v>3</v>
      </c>
      <c r="AS2" s="0" t="s">
        <v>4</v>
      </c>
      <c r="AT2" s="0" t="s">
        <v>5</v>
      </c>
      <c r="AU2" s="0" t="s">
        <v>6</v>
      </c>
    </row>
    <row r="3" customFormat="false" ht="12.75" hidden="false" customHeight="false" outlineLevel="0" collapsed="false">
      <c r="A3" s="0" t="n">
        <v>1</v>
      </c>
      <c r="B3" s="0" t="n">
        <v>70434</v>
      </c>
      <c r="C3" s="1" t="n">
        <v>0</v>
      </c>
      <c r="D3" s="1" t="n">
        <f aca="false">'OD-APUMA(Val)'!D3*D$49</f>
        <v>13.8592379275062</v>
      </c>
      <c r="E3" s="1" t="n">
        <f aca="false">'OD-APUMA(Val)'!E3*E$49</f>
        <v>67.7297218988813</v>
      </c>
      <c r="F3" s="1" t="n">
        <f aca="false">'OD-APUMA(Val)'!F3*F$49</f>
        <v>18.7732384982323</v>
      </c>
      <c r="G3" s="1" t="n">
        <f aca="false">'OD-APUMA(Val)'!G3*G$49</f>
        <v>18.5475280062361</v>
      </c>
      <c r="H3" s="1" t="n">
        <f aca="false">'OD-APUMA(Val)'!H3*H$49</f>
        <v>2.11380612767071</v>
      </c>
      <c r="I3" s="1" t="n">
        <f aca="false">'OD-APUMA(Val)'!I3*I$49</f>
        <v>403</v>
      </c>
      <c r="J3" s="1" t="n">
        <f aca="false">'OD-APUMA(Val)'!J3*J$49</f>
        <v>0</v>
      </c>
      <c r="K3" s="1" t="n">
        <f aca="false">'OD-APUMA(Val)'!K3*K$49</f>
        <v>0</v>
      </c>
      <c r="L3" s="1" t="n">
        <f aca="false">'OD-APUMA(Val)'!L3*L$49</f>
        <v>0</v>
      </c>
      <c r="M3" s="1" t="n">
        <f aca="false">'OD-APUMA(Val)'!M3*M$49</f>
        <v>0</v>
      </c>
      <c r="N3" s="1" t="n">
        <f aca="false">'OD-APUMA(Val)'!N3*N$49</f>
        <v>0</v>
      </c>
      <c r="O3" s="1" t="n">
        <f aca="false">'OD-APUMA(Val)'!O3*O$49</f>
        <v>0</v>
      </c>
      <c r="P3" s="1" t="n">
        <f aca="false">'OD-APUMA(Val)'!P3*P$49</f>
        <v>26</v>
      </c>
      <c r="Q3" s="1" t="n">
        <f aca="false">'OD-APUMA(Val)'!Q3*Q$49</f>
        <v>0</v>
      </c>
      <c r="R3" s="1" t="n">
        <f aca="false">'OD-APUMA(Val)'!R3*R$49</f>
        <v>64.6312304987144</v>
      </c>
      <c r="S3" s="1" t="n">
        <f aca="false">'OD-APUMA(Val)'!S3*S$49</f>
        <v>0</v>
      </c>
      <c r="T3" s="1" t="n">
        <f aca="false">'OD-APUMA(Val)'!T3*T$49</f>
        <v>0</v>
      </c>
      <c r="U3" s="1" t="n">
        <f aca="false">'OD-APUMA(Val)'!U3*U$49</f>
        <v>0</v>
      </c>
      <c r="V3" s="1" t="n">
        <f aca="false">'OD-APUMA(Val)'!V3*V$49</f>
        <v>0</v>
      </c>
      <c r="W3" s="1" t="n">
        <f aca="false">'OD-APUMA(Val)'!W3*W$49</f>
        <v>0.756997315135193</v>
      </c>
      <c r="X3" s="1" t="n">
        <f aca="false">'OD-APUMA(Val)'!X3*X$49</f>
        <v>0</v>
      </c>
      <c r="Y3" s="1" t="n">
        <f aca="false">'OD-APUMA(Val)'!Y3*Y$49</f>
        <v>0</v>
      </c>
      <c r="Z3" s="1" t="n">
        <f aca="false">'OD-APUMA(Val)'!Z3*Z$49</f>
        <v>0</v>
      </c>
      <c r="AA3" s="1" t="n">
        <f aca="false">'OD-APUMA(Val)'!AA3*AA$49</f>
        <v>0</v>
      </c>
      <c r="AB3" s="1" t="n">
        <f aca="false">'OD-APUMA(Val)'!AB3*AB$49</f>
        <v>0</v>
      </c>
      <c r="AC3" s="1" t="n">
        <f aca="false">'OD-APUMA(Val)'!AC3*AC$49</f>
        <v>2.57947149839232</v>
      </c>
      <c r="AD3" s="1" t="n">
        <f aca="false">'OD-APUMA(Val)'!AD3*AD$49</f>
        <v>0</v>
      </c>
      <c r="AE3" s="1" t="n">
        <f aca="false">'OD-APUMA(Val)'!AE3*AE$49</f>
        <v>0</v>
      </c>
      <c r="AF3" s="1" t="n">
        <f aca="false">'OD-APUMA(Val)'!AF3*AF$49</f>
        <v>0</v>
      </c>
      <c r="AG3" s="1" t="n">
        <f aca="false">'OD-APUMA(Val)'!AG3*AG$49</f>
        <v>0</v>
      </c>
      <c r="AH3" s="1" t="n">
        <f aca="false">'OD-APUMA(Val)'!AH3*AH$49</f>
        <v>11.5229925678958</v>
      </c>
      <c r="AI3" s="1" t="n">
        <f aca="false">'OD-APUMA(Val)'!AI3*AI$49</f>
        <v>117</v>
      </c>
      <c r="AJ3" s="1" t="n">
        <f aca="false">'OD-APUMA(Val)'!AJ3*AJ$49</f>
        <v>0</v>
      </c>
      <c r="AK3" s="1" t="n">
        <f aca="false">'OD-APUMA(Val)'!AK3*AK$49</f>
        <v>0</v>
      </c>
      <c r="AL3" s="1" t="n">
        <f aca="false">'OD-APUMA(Val)'!AL3*AL$49</f>
        <v>0</v>
      </c>
      <c r="AM3" s="1" t="n">
        <f aca="false">'OD-APUMA(Val)'!AM3*AM$49</f>
        <v>52</v>
      </c>
      <c r="AN3" s="1" t="n">
        <f aca="false">'OD-APUMA(Val)'!AN3*AN$49</f>
        <v>273</v>
      </c>
      <c r="AO3" s="1" t="n">
        <f aca="false">'OD-APUMA(Val)'!AO3*AO$49</f>
        <v>65</v>
      </c>
      <c r="AP3" s="1" t="n">
        <f aca="false">'OD-APUMA(Val)'!AP3*AP$49</f>
        <v>0</v>
      </c>
      <c r="AQ3" s="1" t="n">
        <f aca="false">'OD-APUMA(Val)'!AQ3*AQ$49</f>
        <v>0</v>
      </c>
      <c r="AR3" s="0" t="n">
        <f aca="false">SUM('OD-APUMA(Val)'!C3:AQ3)</f>
        <v>35412</v>
      </c>
      <c r="AS3" s="0" t="n">
        <f aca="false">MAX('OD-APUMA(Val)'!C3:AQ3)</f>
        <v>32903</v>
      </c>
      <c r="AT3" s="2" t="n">
        <f aca="false">SUM(C3:AQ3)/AR3</f>
        <v>0.03209404225513</v>
      </c>
      <c r="AU3" s="3" t="n">
        <f aca="false">AT3^4</f>
        <v>1.06095675020349E-006</v>
      </c>
    </row>
    <row r="4" customFormat="false" ht="12.75" hidden="false" customHeight="false" outlineLevel="0" collapsed="false">
      <c r="A4" s="0" t="n">
        <v>2</v>
      </c>
      <c r="B4" s="0" t="n">
        <v>70551</v>
      </c>
      <c r="C4" s="1" t="n">
        <f aca="false">'OD-APUMA(Val)'!C4*C$49</f>
        <v>31.4144720151382</v>
      </c>
      <c r="D4" s="1" t="n">
        <v>0</v>
      </c>
      <c r="E4" s="1" t="n">
        <f aca="false">'OD-APUMA(Val)'!E4*E$49</f>
        <v>0</v>
      </c>
      <c r="F4" s="1" t="n">
        <f aca="false">'OD-APUMA(Val)'!F4*F$49</f>
        <v>49.2797510578598</v>
      </c>
      <c r="G4" s="1" t="n">
        <f aca="false">'OD-APUMA(Val)'!G4*G$49</f>
        <v>0</v>
      </c>
      <c r="H4" s="1" t="n">
        <f aca="false">'OD-APUMA(Val)'!H4*H$49</f>
        <v>0</v>
      </c>
      <c r="I4" s="1" t="n">
        <f aca="false">'OD-APUMA(Val)'!I4*I$49</f>
        <v>0</v>
      </c>
      <c r="J4" s="1" t="n">
        <f aca="false">'OD-APUMA(Val)'!J4*J$49</f>
        <v>0</v>
      </c>
      <c r="K4" s="1" t="n">
        <f aca="false">'OD-APUMA(Val)'!K4*K$49</f>
        <v>0</v>
      </c>
      <c r="L4" s="1" t="n">
        <f aca="false">'OD-APUMA(Val)'!L4*L$49</f>
        <v>0</v>
      </c>
      <c r="M4" s="1" t="n">
        <f aca="false">'OD-APUMA(Val)'!M4*M$49</f>
        <v>0</v>
      </c>
      <c r="N4" s="1" t="n">
        <f aca="false">'OD-APUMA(Val)'!N4*N$49</f>
        <v>0</v>
      </c>
      <c r="O4" s="1" t="n">
        <f aca="false">'OD-APUMA(Val)'!O4*O$49</f>
        <v>78</v>
      </c>
      <c r="P4" s="1" t="n">
        <f aca="false">'OD-APUMA(Val)'!P4*P$49</f>
        <v>0</v>
      </c>
      <c r="Q4" s="1" t="n">
        <f aca="false">'OD-APUMA(Val)'!Q4*Q$49</f>
        <v>0</v>
      </c>
      <c r="R4" s="1" t="n">
        <f aca="false">'OD-APUMA(Val)'!R4*R$49</f>
        <v>0</v>
      </c>
      <c r="S4" s="1" t="n">
        <f aca="false">'OD-APUMA(Val)'!S4*S$49</f>
        <v>0</v>
      </c>
      <c r="T4" s="1" t="n">
        <f aca="false">'OD-APUMA(Val)'!T4*T$49</f>
        <v>0</v>
      </c>
      <c r="U4" s="1" t="n">
        <f aca="false">'OD-APUMA(Val)'!U4*U$49</f>
        <v>0</v>
      </c>
      <c r="V4" s="1" t="n">
        <f aca="false">'OD-APUMA(Val)'!V4*V$49</f>
        <v>0</v>
      </c>
      <c r="W4" s="1" t="n">
        <f aca="false">'OD-APUMA(Val)'!W4*W$49</f>
        <v>0</v>
      </c>
      <c r="X4" s="1" t="n">
        <f aca="false">'OD-APUMA(Val)'!X4*X$49</f>
        <v>0</v>
      </c>
      <c r="Y4" s="1" t="n">
        <f aca="false">'OD-APUMA(Val)'!Y4*Y$49</f>
        <v>0</v>
      </c>
      <c r="Z4" s="1" t="n">
        <f aca="false">'OD-APUMA(Val)'!Z4*Z$49</f>
        <v>0</v>
      </c>
      <c r="AA4" s="1" t="n">
        <f aca="false">'OD-APUMA(Val)'!AA4*AA$49</f>
        <v>0</v>
      </c>
      <c r="AB4" s="1" t="n">
        <f aca="false">'OD-APUMA(Val)'!AB4*AB$49</f>
        <v>0</v>
      </c>
      <c r="AC4" s="1" t="n">
        <f aca="false">'OD-APUMA(Val)'!AC4*AC$49</f>
        <v>0</v>
      </c>
      <c r="AD4" s="1" t="n">
        <f aca="false">'OD-APUMA(Val)'!AD4*AD$49</f>
        <v>0</v>
      </c>
      <c r="AE4" s="1" t="n">
        <f aca="false">'OD-APUMA(Val)'!AE4*AE$49</f>
        <v>9.32025298051155</v>
      </c>
      <c r="AF4" s="1" t="n">
        <f aca="false">'OD-APUMA(Val)'!AF4*AF$49</f>
        <v>0</v>
      </c>
      <c r="AG4" s="1" t="n">
        <f aca="false">'OD-APUMA(Val)'!AG4*AG$49</f>
        <v>0</v>
      </c>
      <c r="AH4" s="1" t="n">
        <f aca="false">'OD-APUMA(Val)'!AH4*AH$49</f>
        <v>0</v>
      </c>
      <c r="AI4" s="1" t="n">
        <f aca="false">'OD-APUMA(Val)'!AI4*AI$49</f>
        <v>0</v>
      </c>
      <c r="AJ4" s="1" t="n">
        <f aca="false">'OD-APUMA(Val)'!AJ4*AJ$49</f>
        <v>0</v>
      </c>
      <c r="AK4" s="1" t="n">
        <f aca="false">'OD-APUMA(Val)'!AK4*AK$49</f>
        <v>0</v>
      </c>
      <c r="AL4" s="1" t="n">
        <f aca="false">'OD-APUMA(Val)'!AL4*AL$49</f>
        <v>0</v>
      </c>
      <c r="AM4" s="1" t="n">
        <f aca="false">'OD-APUMA(Val)'!AM4*AM$49</f>
        <v>0</v>
      </c>
      <c r="AN4" s="1" t="n">
        <f aca="false">'OD-APUMA(Val)'!AN4*AN$49</f>
        <v>0</v>
      </c>
      <c r="AO4" s="1" t="n">
        <f aca="false">'OD-APUMA(Val)'!AO4*AO$49</f>
        <v>0</v>
      </c>
      <c r="AP4" s="1" t="n">
        <f aca="false">'OD-APUMA(Val)'!AP4*AP$49</f>
        <v>0</v>
      </c>
      <c r="AQ4" s="1" t="n">
        <f aca="false">'OD-APUMA(Val)'!AQ4*AQ$49</f>
        <v>0</v>
      </c>
      <c r="AR4" s="0" t="n">
        <f aca="false">SUM('OD-APUMA(Val)'!C4:AQ4)</f>
        <v>50492</v>
      </c>
      <c r="AS4" s="0" t="n">
        <f aca="false">MAX('OD-APUMA(Val)'!C4:AQ4)</f>
        <v>49764</v>
      </c>
      <c r="AT4" s="2" t="n">
        <f aca="false">SUM(C4:AQ4)/AR4</f>
        <v>0.00332754646386575</v>
      </c>
      <c r="AU4" s="3" t="n">
        <f aca="false">AT4^4</f>
        <v>1.22601706069399E-010</v>
      </c>
    </row>
    <row r="5" customFormat="false" ht="12.75" hidden="false" customHeight="false" outlineLevel="0" collapsed="false">
      <c r="A5" s="0" t="n">
        <v>3</v>
      </c>
      <c r="B5" s="0" t="n">
        <v>93327</v>
      </c>
      <c r="C5" s="1" t="n">
        <f aca="false">'OD-APUMA(Val)'!C5*C$49</f>
        <v>74.7963619408053</v>
      </c>
      <c r="D5" s="1" t="n">
        <f aca="false">'OD-APUMA(Val)'!D5*D$49</f>
        <v>7.33724360867973</v>
      </c>
      <c r="E5" s="1" t="n">
        <v>0</v>
      </c>
      <c r="F5" s="1" t="n">
        <f aca="false">'OD-APUMA(Val)'!F5*F$49</f>
        <v>9.38661924911616</v>
      </c>
      <c r="G5" s="1" t="n">
        <f aca="false">'OD-APUMA(Val)'!G5*G$49</f>
        <v>352.403032118485</v>
      </c>
      <c r="H5" s="1" t="n">
        <f aca="false">'OD-APUMA(Val)'!H5*H$49</f>
        <v>1.64407143263278</v>
      </c>
      <c r="I5" s="1" t="n">
        <f aca="false">'OD-APUMA(Val)'!I5*I$49</f>
        <v>0</v>
      </c>
      <c r="J5" s="1" t="n">
        <f aca="false">'OD-APUMA(Val)'!J5*J$49</f>
        <v>0</v>
      </c>
      <c r="K5" s="1" t="n">
        <f aca="false">'OD-APUMA(Val)'!K5*K$49</f>
        <v>0</v>
      </c>
      <c r="L5" s="1" t="n">
        <f aca="false">'OD-APUMA(Val)'!L5*L$49</f>
        <v>91</v>
      </c>
      <c r="M5" s="1" t="n">
        <f aca="false">'OD-APUMA(Val)'!M5*M$49</f>
        <v>0</v>
      </c>
      <c r="N5" s="1" t="n">
        <f aca="false">'OD-APUMA(Val)'!N5*N$49</f>
        <v>0</v>
      </c>
      <c r="O5" s="1" t="n">
        <f aca="false">'OD-APUMA(Val)'!O5*O$49</f>
        <v>0</v>
      </c>
      <c r="P5" s="1" t="n">
        <f aca="false">'OD-APUMA(Val)'!P5*P$49</f>
        <v>91</v>
      </c>
      <c r="Q5" s="1" t="n">
        <f aca="false">'OD-APUMA(Val)'!Q5*Q$49</f>
        <v>0</v>
      </c>
      <c r="R5" s="1" t="n">
        <f aca="false">'OD-APUMA(Val)'!R5*R$49</f>
        <v>0</v>
      </c>
      <c r="S5" s="1" t="n">
        <f aca="false">'OD-APUMA(Val)'!S5*S$49</f>
        <v>0</v>
      </c>
      <c r="T5" s="1" t="n">
        <f aca="false">'OD-APUMA(Val)'!T5*T$49</f>
        <v>0</v>
      </c>
      <c r="U5" s="1" t="n">
        <f aca="false">'OD-APUMA(Val)'!U5*U$49</f>
        <v>0</v>
      </c>
      <c r="V5" s="1" t="n">
        <f aca="false">'OD-APUMA(Val)'!V5*V$49</f>
        <v>0</v>
      </c>
      <c r="W5" s="1" t="n">
        <f aca="false">'OD-APUMA(Val)'!W5*W$49</f>
        <v>0</v>
      </c>
      <c r="X5" s="1" t="n">
        <f aca="false">'OD-APUMA(Val)'!X5*X$49</f>
        <v>0</v>
      </c>
      <c r="Y5" s="1" t="n">
        <f aca="false">'OD-APUMA(Val)'!Y5*Y$49</f>
        <v>0</v>
      </c>
      <c r="Z5" s="1" t="n">
        <f aca="false">'OD-APUMA(Val)'!Z5*Z$49</f>
        <v>0</v>
      </c>
      <c r="AA5" s="1" t="n">
        <f aca="false">'OD-APUMA(Val)'!AA5*AA$49</f>
        <v>299</v>
      </c>
      <c r="AB5" s="1" t="n">
        <f aca="false">'OD-APUMA(Val)'!AB5*AB$49</f>
        <v>221</v>
      </c>
      <c r="AC5" s="1" t="n">
        <f aca="false">'OD-APUMA(Val)'!AC5*AC$49</f>
        <v>0</v>
      </c>
      <c r="AD5" s="1" t="n">
        <f aca="false">'OD-APUMA(Val)'!AD5*AD$49</f>
        <v>3.38634638322054</v>
      </c>
      <c r="AE5" s="1" t="n">
        <f aca="false">'OD-APUMA(Val)'!AE5*AE$49</f>
        <v>0</v>
      </c>
      <c r="AF5" s="1" t="n">
        <f aca="false">'OD-APUMA(Val)'!AF5*AF$49</f>
        <v>0</v>
      </c>
      <c r="AG5" s="1" t="n">
        <f aca="false">'OD-APUMA(Val)'!AG5*AG$49</f>
        <v>0</v>
      </c>
      <c r="AH5" s="1" t="n">
        <f aca="false">'OD-APUMA(Val)'!AH5*AH$49</f>
        <v>0</v>
      </c>
      <c r="AI5" s="1" t="n">
        <f aca="false">'OD-APUMA(Val)'!AI5*AI$49</f>
        <v>169</v>
      </c>
      <c r="AJ5" s="1" t="n">
        <f aca="false">'OD-APUMA(Val)'!AJ5*AJ$49</f>
        <v>21.9473517463141</v>
      </c>
      <c r="AK5" s="1" t="n">
        <f aca="false">'OD-APUMA(Val)'!AK5*AK$49</f>
        <v>0</v>
      </c>
      <c r="AL5" s="1" t="n">
        <f aca="false">'OD-APUMA(Val)'!AL5*AL$49</f>
        <v>0</v>
      </c>
      <c r="AM5" s="1" t="n">
        <f aca="false">'OD-APUMA(Val)'!AM5*AM$49</f>
        <v>286</v>
      </c>
      <c r="AN5" s="1" t="n">
        <f aca="false">'OD-APUMA(Val)'!AN5*AN$49</f>
        <v>0</v>
      </c>
      <c r="AO5" s="1" t="n">
        <f aca="false">'OD-APUMA(Val)'!AO5*AO$49</f>
        <v>52</v>
      </c>
      <c r="AP5" s="1" t="n">
        <f aca="false">'OD-APUMA(Val)'!AP5*AP$49</f>
        <v>0</v>
      </c>
      <c r="AQ5" s="1" t="n">
        <f aca="false">'OD-APUMA(Val)'!AQ5*AQ$49</f>
        <v>0</v>
      </c>
      <c r="AR5" s="0" t="n">
        <f aca="false">SUM('OD-APUMA(Val)'!C5:AQ5)</f>
        <v>59163</v>
      </c>
      <c r="AS5" s="0" t="n">
        <f aca="false">MAX('OD-APUMA(Val)'!C5:AQ5)</f>
        <v>55562</v>
      </c>
      <c r="AT5" s="2" t="n">
        <f aca="false">SUM(C5:AQ5)/AR5</f>
        <v>0.0283944530615292</v>
      </c>
      <c r="AU5" s="3" t="n">
        <f aca="false">AT5^4</f>
        <v>6.50030943045065E-007</v>
      </c>
    </row>
    <row r="6" customFormat="false" ht="12.75" hidden="false" customHeight="false" outlineLevel="0" collapsed="false">
      <c r="A6" s="0" t="n">
        <v>4</v>
      </c>
      <c r="B6" s="0" t="n">
        <v>79183</v>
      </c>
      <c r="C6" s="1" t="n">
        <f aca="false">'OD-APUMA(Val)'!C6*C$49</f>
        <v>0</v>
      </c>
      <c r="D6" s="1" t="n">
        <f aca="false">'OD-APUMA(Val)'!D6*D$49</f>
        <v>0</v>
      </c>
      <c r="E6" s="1" t="n">
        <f aca="false">'OD-APUMA(Val)'!E6*E$49</f>
        <v>0</v>
      </c>
      <c r="F6" s="1" t="n">
        <v>0</v>
      </c>
      <c r="G6" s="1" t="n">
        <f aca="false">'OD-APUMA(Val)'!G6*G$49</f>
        <v>11.1285168037416</v>
      </c>
      <c r="H6" s="1" t="n">
        <f aca="false">'OD-APUMA(Val)'!H6*H$49</f>
        <v>0</v>
      </c>
      <c r="I6" s="1" t="n">
        <f aca="false">'OD-APUMA(Val)'!I6*I$49</f>
        <v>182</v>
      </c>
      <c r="J6" s="1" t="n">
        <f aca="false">'OD-APUMA(Val)'!J6*J$49</f>
        <v>96.0555977498968</v>
      </c>
      <c r="K6" s="1" t="n">
        <f aca="false">'OD-APUMA(Val)'!K6*K$49</f>
        <v>65</v>
      </c>
      <c r="L6" s="1" t="n">
        <f aca="false">'OD-APUMA(Val)'!L6*L$49</f>
        <v>0</v>
      </c>
      <c r="M6" s="1" t="n">
        <f aca="false">'OD-APUMA(Val)'!M6*M$49</f>
        <v>0</v>
      </c>
      <c r="N6" s="1" t="n">
        <f aca="false">'OD-APUMA(Val)'!N6*N$49</f>
        <v>0</v>
      </c>
      <c r="O6" s="1" t="n">
        <f aca="false">'OD-APUMA(Val)'!O6*O$49</f>
        <v>312</v>
      </c>
      <c r="P6" s="1" t="n">
        <f aca="false">'OD-APUMA(Val)'!P6*P$49</f>
        <v>429</v>
      </c>
      <c r="Q6" s="1" t="n">
        <f aca="false">'OD-APUMA(Val)'!Q6*Q$49</f>
        <v>117</v>
      </c>
      <c r="R6" s="1" t="n">
        <f aca="false">'OD-APUMA(Val)'!R6*R$49</f>
        <v>0</v>
      </c>
      <c r="S6" s="1" t="n">
        <f aca="false">'OD-APUMA(Val)'!S6*S$49</f>
        <v>0</v>
      </c>
      <c r="T6" s="1" t="n">
        <f aca="false">'OD-APUMA(Val)'!T6*T$49</f>
        <v>0</v>
      </c>
      <c r="U6" s="1" t="n">
        <f aca="false">'OD-APUMA(Val)'!U6*U$49</f>
        <v>0</v>
      </c>
      <c r="V6" s="1" t="n">
        <f aca="false">'OD-APUMA(Val)'!V6*V$49</f>
        <v>0</v>
      </c>
      <c r="W6" s="1" t="n">
        <f aca="false">'OD-APUMA(Val)'!W6*W$49</f>
        <v>0</v>
      </c>
      <c r="X6" s="1" t="n">
        <f aca="false">'OD-APUMA(Val)'!X6*X$49</f>
        <v>0</v>
      </c>
      <c r="Y6" s="1" t="n">
        <f aca="false">'OD-APUMA(Val)'!Y6*Y$49</f>
        <v>0</v>
      </c>
      <c r="Z6" s="1" t="n">
        <f aca="false">'OD-APUMA(Val)'!Z6*Z$49</f>
        <v>0</v>
      </c>
      <c r="AA6" s="1" t="n">
        <f aca="false">'OD-APUMA(Val)'!AA6*AA$49</f>
        <v>195</v>
      </c>
      <c r="AB6" s="1" t="n">
        <f aca="false">'OD-APUMA(Val)'!AB6*AB$49</f>
        <v>0</v>
      </c>
      <c r="AC6" s="1" t="n">
        <f aca="false">'OD-APUMA(Val)'!AC6*AC$49</f>
        <v>0</v>
      </c>
      <c r="AD6" s="1" t="n">
        <f aca="false">'OD-APUMA(Val)'!AD6*AD$49</f>
        <v>0</v>
      </c>
      <c r="AE6" s="1" t="n">
        <f aca="false">'OD-APUMA(Val)'!AE6*AE$49</f>
        <v>10.4852846030755</v>
      </c>
      <c r="AF6" s="1" t="n">
        <f aca="false">'OD-APUMA(Val)'!AF6*AF$49</f>
        <v>0</v>
      </c>
      <c r="AG6" s="1" t="n">
        <f aca="false">'OD-APUMA(Val)'!AG6*AG$49</f>
        <v>0</v>
      </c>
      <c r="AH6" s="1" t="n">
        <f aca="false">'OD-APUMA(Val)'!AH6*AH$49</f>
        <v>0</v>
      </c>
      <c r="AI6" s="1" t="n">
        <f aca="false">'OD-APUMA(Val)'!AI6*AI$49</f>
        <v>0</v>
      </c>
      <c r="AJ6" s="1" t="n">
        <f aca="false">'OD-APUMA(Val)'!AJ6*AJ$49</f>
        <v>0</v>
      </c>
      <c r="AK6" s="1" t="n">
        <f aca="false">'OD-APUMA(Val)'!AK6*AK$49</f>
        <v>0</v>
      </c>
      <c r="AL6" s="1" t="n">
        <f aca="false">'OD-APUMA(Val)'!AL6*AL$49</f>
        <v>0</v>
      </c>
      <c r="AM6" s="1" t="n">
        <f aca="false">'OD-APUMA(Val)'!AM6*AM$49</f>
        <v>182</v>
      </c>
      <c r="AN6" s="1" t="n">
        <f aca="false">'OD-APUMA(Val)'!AN6*AN$49</f>
        <v>0</v>
      </c>
      <c r="AO6" s="1" t="n">
        <f aca="false">'OD-APUMA(Val)'!AO6*AO$49</f>
        <v>1469</v>
      </c>
      <c r="AP6" s="1" t="n">
        <f aca="false">'OD-APUMA(Val)'!AP6*AP$49</f>
        <v>0</v>
      </c>
      <c r="AQ6" s="1" t="n">
        <f aca="false">'OD-APUMA(Val)'!AQ6*AQ$49</f>
        <v>0</v>
      </c>
      <c r="AR6" s="0" t="n">
        <f aca="false">SUM('OD-APUMA(Val)'!C6:AQ6)</f>
        <v>51012</v>
      </c>
      <c r="AS6" s="0" t="n">
        <f aca="false">MAX('OD-APUMA(Val)'!C6:AQ6)</f>
        <v>47697</v>
      </c>
      <c r="AT6" s="2" t="n">
        <f aca="false">SUM(C6:AQ6)/AR6</f>
        <v>0.0601558339048991</v>
      </c>
      <c r="AU6" s="3" t="n">
        <f aca="false">AT6^4</f>
        <v>1.3095165941503E-005</v>
      </c>
    </row>
    <row r="7" customFormat="false" ht="12.75" hidden="false" customHeight="false" outlineLevel="0" collapsed="false">
      <c r="A7" s="0" t="n">
        <v>5</v>
      </c>
      <c r="B7" s="0" t="n">
        <v>66183</v>
      </c>
      <c r="C7" s="1" t="n">
        <f aca="false">'OD-APUMA(Val)'!C7*C$49</f>
        <v>0</v>
      </c>
      <c r="D7" s="1" t="n">
        <f aca="false">'OD-APUMA(Val)'!D7*D$49</f>
        <v>33.4252208839854</v>
      </c>
      <c r="E7" s="1" t="n">
        <f aca="false">'OD-APUMA(Val)'!E7*E$49</f>
        <v>197.54502220507</v>
      </c>
      <c r="F7" s="1" t="n">
        <f aca="false">'OD-APUMA(Val)'!F7*F$49</f>
        <v>11.7332740613952</v>
      </c>
      <c r="G7" s="1" t="n">
        <v>0</v>
      </c>
      <c r="H7" s="1" t="n">
        <f aca="false">'OD-APUMA(Val)'!H7*H$49</f>
        <v>19.9637245391123</v>
      </c>
      <c r="I7" s="1" t="n">
        <f aca="false">'OD-APUMA(Val)'!I7*I$49</f>
        <v>572</v>
      </c>
      <c r="J7" s="1" t="n">
        <f aca="false">'OD-APUMA(Val)'!J7*J$49</f>
        <v>0</v>
      </c>
      <c r="K7" s="1" t="n">
        <f aca="false">'OD-APUMA(Val)'!K7*K$49</f>
        <v>0</v>
      </c>
      <c r="L7" s="1" t="n">
        <f aca="false">'OD-APUMA(Val)'!L7*L$49</f>
        <v>0</v>
      </c>
      <c r="M7" s="1" t="n">
        <f aca="false">'OD-APUMA(Val)'!M7*M$49</f>
        <v>143</v>
      </c>
      <c r="N7" s="1" t="n">
        <f aca="false">'OD-APUMA(Val)'!N7*N$49</f>
        <v>0</v>
      </c>
      <c r="O7" s="1" t="n">
        <f aca="false">'OD-APUMA(Val)'!O7*O$49</f>
        <v>0</v>
      </c>
      <c r="P7" s="1" t="n">
        <f aca="false">'OD-APUMA(Val)'!P7*P$49</f>
        <v>169</v>
      </c>
      <c r="Q7" s="1" t="n">
        <f aca="false">'OD-APUMA(Val)'!Q7*Q$49</f>
        <v>0</v>
      </c>
      <c r="R7" s="1" t="n">
        <f aca="false">'OD-APUMA(Val)'!R7*R$49</f>
        <v>0</v>
      </c>
      <c r="S7" s="1" t="n">
        <f aca="false">'OD-APUMA(Val)'!S7*S$49</f>
        <v>0</v>
      </c>
      <c r="T7" s="1" t="n">
        <f aca="false">'OD-APUMA(Val)'!T7*T$49</f>
        <v>0</v>
      </c>
      <c r="U7" s="1" t="n">
        <f aca="false">'OD-APUMA(Val)'!U7*U$49</f>
        <v>0</v>
      </c>
      <c r="V7" s="1" t="n">
        <f aca="false">'OD-APUMA(Val)'!V7*V$49</f>
        <v>0</v>
      </c>
      <c r="W7" s="1" t="n">
        <f aca="false">'OD-APUMA(Val)'!W7*W$49</f>
        <v>0</v>
      </c>
      <c r="X7" s="1" t="n">
        <f aca="false">'OD-APUMA(Val)'!X7*X$49</f>
        <v>0</v>
      </c>
      <c r="Y7" s="1" t="n">
        <f aca="false">'OD-APUMA(Val)'!Y7*Y$49</f>
        <v>0</v>
      </c>
      <c r="Z7" s="1" t="n">
        <f aca="false">'OD-APUMA(Val)'!Z7*Z$49</f>
        <v>0</v>
      </c>
      <c r="AA7" s="1" t="n">
        <f aca="false">'OD-APUMA(Val)'!AA7*AA$49</f>
        <v>0</v>
      </c>
      <c r="AB7" s="1" t="n">
        <f aca="false">'OD-APUMA(Val)'!AB7*AB$49</f>
        <v>182</v>
      </c>
      <c r="AC7" s="1" t="n">
        <f aca="false">'OD-APUMA(Val)'!AC7*AC$49</f>
        <v>0</v>
      </c>
      <c r="AD7" s="1" t="n">
        <f aca="false">'OD-APUMA(Val)'!AD7*AD$49</f>
        <v>0</v>
      </c>
      <c r="AE7" s="1" t="n">
        <f aca="false">'OD-APUMA(Val)'!AE7*AE$49</f>
        <v>0</v>
      </c>
      <c r="AF7" s="1" t="n">
        <f aca="false">'OD-APUMA(Val)'!AF7*AF$49</f>
        <v>0</v>
      </c>
      <c r="AG7" s="1" t="n">
        <f aca="false">'OD-APUMA(Val)'!AG7*AG$49</f>
        <v>0</v>
      </c>
      <c r="AH7" s="1" t="n">
        <f aca="false">'OD-APUMA(Val)'!AH7*AH$49</f>
        <v>0</v>
      </c>
      <c r="AI7" s="1" t="n">
        <f aca="false">'OD-APUMA(Val)'!AI7*AI$49</f>
        <v>0</v>
      </c>
      <c r="AJ7" s="1" t="n">
        <f aca="false">'OD-APUMA(Val)'!AJ7*AJ$49</f>
        <v>21.9473517463141</v>
      </c>
      <c r="AK7" s="1" t="n">
        <f aca="false">'OD-APUMA(Val)'!AK7*AK$49</f>
        <v>0</v>
      </c>
      <c r="AL7" s="1" t="n">
        <f aca="false">'OD-APUMA(Val)'!AL7*AL$49</f>
        <v>0</v>
      </c>
      <c r="AM7" s="1" t="n">
        <f aca="false">'OD-APUMA(Val)'!AM7*AM$49</f>
        <v>143</v>
      </c>
      <c r="AN7" s="1" t="n">
        <f aca="false">'OD-APUMA(Val)'!AN7*AN$49</f>
        <v>286</v>
      </c>
      <c r="AO7" s="1" t="n">
        <f aca="false">'OD-APUMA(Val)'!AO7*AO$49</f>
        <v>0</v>
      </c>
      <c r="AP7" s="1" t="n">
        <f aca="false">'OD-APUMA(Val)'!AP7*AP$49</f>
        <v>0</v>
      </c>
      <c r="AQ7" s="1" t="n">
        <f aca="false">'OD-APUMA(Val)'!AQ7*AQ$49</f>
        <v>0</v>
      </c>
      <c r="AR7" s="0" t="n">
        <f aca="false">SUM('OD-APUMA(Val)'!C7:AQ7)</f>
        <v>34164</v>
      </c>
      <c r="AS7" s="0" t="n">
        <f aca="false">MAX('OD-APUMA(Val)'!C7:AQ7)</f>
        <v>28613</v>
      </c>
      <c r="AT7" s="2" t="n">
        <f aca="false">SUM(C7:AQ7)/AR7</f>
        <v>0.0520903463714986</v>
      </c>
      <c r="AU7" s="3" t="n">
        <f aca="false">AT7^4</f>
        <v>7.36256227173282E-006</v>
      </c>
    </row>
    <row r="8" customFormat="false" ht="12.75" hidden="false" customHeight="false" outlineLevel="0" collapsed="false">
      <c r="A8" s="0" t="n">
        <v>6</v>
      </c>
      <c r="B8" s="0" t="n">
        <v>111722</v>
      </c>
      <c r="C8" s="1" t="n">
        <f aca="false">'OD-APUMA(Val)'!C8*C$49</f>
        <v>34.4063264927704</v>
      </c>
      <c r="D8" s="1" t="n">
        <f aca="false">'OD-APUMA(Val)'!D8*D$49</f>
        <v>0</v>
      </c>
      <c r="E8" s="1" t="n">
        <f aca="false">'OD-APUMA(Val)'!E8*E$49</f>
        <v>5.64414349157344</v>
      </c>
      <c r="F8" s="1" t="n">
        <f aca="false">'OD-APUMA(Val)'!F8*F$49</f>
        <v>0</v>
      </c>
      <c r="G8" s="1" t="n">
        <f aca="false">'OD-APUMA(Val)'!G8*G$49</f>
        <v>396.917099333451</v>
      </c>
      <c r="H8" s="1" t="n">
        <v>0</v>
      </c>
      <c r="I8" s="1" t="n">
        <f aca="false">'OD-APUMA(Val)'!I8*I$49</f>
        <v>260</v>
      </c>
      <c r="J8" s="1" t="n">
        <f aca="false">'OD-APUMA(Val)'!J8*J$49</f>
        <v>1355.45121269299</v>
      </c>
      <c r="K8" s="1" t="n">
        <f aca="false">'OD-APUMA(Val)'!K8*K$49</f>
        <v>117</v>
      </c>
      <c r="L8" s="1" t="n">
        <f aca="false">'OD-APUMA(Val)'!L8*L$49</f>
        <v>0</v>
      </c>
      <c r="M8" s="1" t="n">
        <f aca="false">'OD-APUMA(Val)'!M8*M$49</f>
        <v>117</v>
      </c>
      <c r="N8" s="1" t="n">
        <f aca="false">'OD-APUMA(Val)'!N8*N$49</f>
        <v>0</v>
      </c>
      <c r="O8" s="1" t="n">
        <f aca="false">'OD-APUMA(Val)'!O8*O$49</f>
        <v>0</v>
      </c>
      <c r="P8" s="1" t="n">
        <f aca="false">'OD-APUMA(Val)'!P8*P$49</f>
        <v>0</v>
      </c>
      <c r="Q8" s="1" t="n">
        <f aca="false">'OD-APUMA(Val)'!Q8*Q$49</f>
        <v>0</v>
      </c>
      <c r="R8" s="1" t="n">
        <f aca="false">'OD-APUMA(Val)'!R8*R$49</f>
        <v>161.578076246786</v>
      </c>
      <c r="S8" s="1" t="n">
        <f aca="false">'OD-APUMA(Val)'!S8*S$49</f>
        <v>0</v>
      </c>
      <c r="T8" s="1" t="n">
        <f aca="false">'OD-APUMA(Val)'!T8*T$49</f>
        <v>0</v>
      </c>
      <c r="U8" s="1" t="n">
        <f aca="false">'OD-APUMA(Val)'!U8*U$49</f>
        <v>0</v>
      </c>
      <c r="V8" s="1" t="n">
        <f aca="false">'OD-APUMA(Val)'!V8*V$49</f>
        <v>0</v>
      </c>
      <c r="W8" s="1" t="n">
        <f aca="false">'OD-APUMA(Val)'!W8*W$49</f>
        <v>0</v>
      </c>
      <c r="X8" s="1" t="n">
        <f aca="false">'OD-APUMA(Val)'!X8*X$49</f>
        <v>0</v>
      </c>
      <c r="Y8" s="1" t="n">
        <f aca="false">'OD-APUMA(Val)'!Y8*Y$49</f>
        <v>0</v>
      </c>
      <c r="Z8" s="1" t="n">
        <f aca="false">'OD-APUMA(Val)'!Z8*Z$49</f>
        <v>0</v>
      </c>
      <c r="AA8" s="1" t="n">
        <f aca="false">'OD-APUMA(Val)'!AA8*AA$49</f>
        <v>0</v>
      </c>
      <c r="AB8" s="1" t="n">
        <f aca="false">'OD-APUMA(Val)'!AB8*AB$49</f>
        <v>0</v>
      </c>
      <c r="AC8" s="1" t="n">
        <f aca="false">'OD-APUMA(Val)'!AC8*AC$49</f>
        <v>2.21097557005056</v>
      </c>
      <c r="AD8" s="1" t="n">
        <f aca="false">'OD-APUMA(Val)'!AD8*AD$49</f>
        <v>0</v>
      </c>
      <c r="AE8" s="1" t="n">
        <f aca="false">'OD-APUMA(Val)'!AE8*AE$49</f>
        <v>0</v>
      </c>
      <c r="AF8" s="1" t="n">
        <f aca="false">'OD-APUMA(Val)'!AF8*AF$49</f>
        <v>2.46045965874678</v>
      </c>
      <c r="AG8" s="1" t="n">
        <f aca="false">'OD-APUMA(Val)'!AG8*AG$49</f>
        <v>0</v>
      </c>
      <c r="AH8" s="1" t="n">
        <f aca="false">'OD-APUMA(Val)'!AH8*AH$49</f>
        <v>0</v>
      </c>
      <c r="AI8" s="1" t="n">
        <f aca="false">'OD-APUMA(Val)'!AI8*AI$49</f>
        <v>130</v>
      </c>
      <c r="AJ8" s="1" t="n">
        <f aca="false">'OD-APUMA(Val)'!AJ8*AJ$49</f>
        <v>0</v>
      </c>
      <c r="AK8" s="1" t="n">
        <f aca="false">'OD-APUMA(Val)'!AK8*AK$49</f>
        <v>0</v>
      </c>
      <c r="AL8" s="1" t="n">
        <f aca="false">'OD-APUMA(Val)'!AL8*AL$49</f>
        <v>0</v>
      </c>
      <c r="AM8" s="1" t="n">
        <f aca="false">'OD-APUMA(Val)'!AM8*AM$49</f>
        <v>156</v>
      </c>
      <c r="AN8" s="1" t="n">
        <f aca="false">'OD-APUMA(Val)'!AN8*AN$49</f>
        <v>117</v>
      </c>
      <c r="AO8" s="1" t="n">
        <f aca="false">'OD-APUMA(Val)'!AO8*AO$49</f>
        <v>0</v>
      </c>
      <c r="AP8" s="1" t="n">
        <f aca="false">'OD-APUMA(Val)'!AP8*AP$49</f>
        <v>0</v>
      </c>
      <c r="AQ8" s="1" t="n">
        <f aca="false">'OD-APUMA(Val)'!AQ8*AQ$49</f>
        <v>0</v>
      </c>
      <c r="AR8" s="0" t="n">
        <f aca="false">SUM('OD-APUMA(Val)'!C8:AQ8)</f>
        <v>67522</v>
      </c>
      <c r="AS8" s="0" t="n">
        <f aca="false">MAX('OD-APUMA(Val)'!C8:AQ8)</f>
        <v>62647</v>
      </c>
      <c r="AT8" s="2" t="n">
        <f aca="false">SUM(C8:AQ8)/AR8</f>
        <v>0.0422924127467546</v>
      </c>
      <c r="AU8" s="3" t="n">
        <f aca="false">AT8^4</f>
        <v>3.19926229730012E-006</v>
      </c>
    </row>
    <row r="9" customFormat="false" ht="12.75" hidden="false" customHeight="false" outlineLevel="0" collapsed="false">
      <c r="A9" s="0" t="n">
        <v>7</v>
      </c>
      <c r="B9" s="0" t="n">
        <v>61087</v>
      </c>
      <c r="C9" s="1" t="n">
        <f aca="false">'OD-APUMA(Val)'!C9*C$49</f>
        <v>11.9674179105289</v>
      </c>
      <c r="D9" s="1" t="n">
        <f aca="false">'OD-APUMA(Val)'!D9*D$49</f>
        <v>0</v>
      </c>
      <c r="E9" s="1" t="n">
        <f aca="false">'OD-APUMA(Val)'!E9*E$49</f>
        <v>54.183777519105</v>
      </c>
      <c r="F9" s="1" t="n">
        <f aca="false">'OD-APUMA(Val)'!F9*F$49</f>
        <v>68.0529895560921</v>
      </c>
      <c r="G9" s="1" t="n">
        <f aca="false">'OD-APUMA(Val)'!G9*G$49</f>
        <v>22.2570336074833</v>
      </c>
      <c r="H9" s="1" t="n">
        <f aca="false">'OD-APUMA(Val)'!H9*H$49</f>
        <v>3.75787756030349</v>
      </c>
      <c r="I9" s="1" t="n">
        <v>0</v>
      </c>
      <c r="J9" s="1" t="n">
        <f aca="false">'OD-APUMA(Val)'!J9*J$49</f>
        <v>533.642209721649</v>
      </c>
      <c r="K9" s="1" t="n">
        <f aca="false">'OD-APUMA(Val)'!K9*K$49</f>
        <v>78</v>
      </c>
      <c r="L9" s="1" t="n">
        <f aca="false">'OD-APUMA(Val)'!L9*L$49</f>
        <v>0</v>
      </c>
      <c r="M9" s="1" t="n">
        <f aca="false">'OD-APUMA(Val)'!M9*M$49</f>
        <v>3822</v>
      </c>
      <c r="N9" s="1" t="n">
        <f aca="false">'OD-APUMA(Val)'!N9*N$49</f>
        <v>0</v>
      </c>
      <c r="O9" s="1" t="n">
        <f aca="false">'OD-APUMA(Val)'!O9*O$49</f>
        <v>0</v>
      </c>
      <c r="P9" s="1" t="n">
        <f aca="false">'OD-APUMA(Val)'!P9*P$49</f>
        <v>117</v>
      </c>
      <c r="Q9" s="1" t="n">
        <f aca="false">'OD-APUMA(Val)'!Q9*Q$49</f>
        <v>117</v>
      </c>
      <c r="R9" s="1" t="n">
        <f aca="false">'OD-APUMA(Val)'!R9*R$49</f>
        <v>56.5523266863751</v>
      </c>
      <c r="S9" s="1" t="n">
        <f aca="false">'OD-APUMA(Val)'!S9*S$49</f>
        <v>0</v>
      </c>
      <c r="T9" s="1" t="n">
        <f aca="false">'OD-APUMA(Val)'!T9*T$49</f>
        <v>0</v>
      </c>
      <c r="U9" s="1" t="n">
        <f aca="false">'OD-APUMA(Val)'!U9*U$49</f>
        <v>0</v>
      </c>
      <c r="V9" s="1" t="n">
        <f aca="false">'OD-APUMA(Val)'!V9*V$49</f>
        <v>0</v>
      </c>
      <c r="W9" s="1" t="n">
        <f aca="false">'OD-APUMA(Val)'!W9*W$49</f>
        <v>0</v>
      </c>
      <c r="X9" s="1" t="n">
        <f aca="false">'OD-APUMA(Val)'!X9*X$49</f>
        <v>0</v>
      </c>
      <c r="Y9" s="1" t="n">
        <f aca="false">'OD-APUMA(Val)'!Y9*Y$49</f>
        <v>0</v>
      </c>
      <c r="Z9" s="1" t="n">
        <f aca="false">'OD-APUMA(Val)'!Z9*Z$49</f>
        <v>0</v>
      </c>
      <c r="AA9" s="1" t="n">
        <f aca="false">'OD-APUMA(Val)'!AA9*AA$49</f>
        <v>221</v>
      </c>
      <c r="AB9" s="1" t="n">
        <f aca="false">'OD-APUMA(Val)'!AB9*AB$49</f>
        <v>91</v>
      </c>
      <c r="AC9" s="1" t="n">
        <f aca="false">'OD-APUMA(Val)'!AC9*AC$49</f>
        <v>0.736991856683521</v>
      </c>
      <c r="AD9" s="1" t="n">
        <f aca="false">'OD-APUMA(Val)'!AD9*AD$49</f>
        <v>0</v>
      </c>
      <c r="AE9" s="1" t="n">
        <f aca="false">'OD-APUMA(Val)'!AE9*AE$49</f>
        <v>9.32025298051155</v>
      </c>
      <c r="AF9" s="1" t="n">
        <f aca="false">'OD-APUMA(Val)'!AF9*AF$49</f>
        <v>0</v>
      </c>
      <c r="AG9" s="1" t="n">
        <f aca="false">'OD-APUMA(Val)'!AG9*AG$49</f>
        <v>0</v>
      </c>
      <c r="AH9" s="1" t="n">
        <f aca="false">'OD-APUMA(Val)'!AH9*AH$49</f>
        <v>0</v>
      </c>
      <c r="AI9" s="1" t="n">
        <f aca="false">'OD-APUMA(Val)'!AI9*AI$49</f>
        <v>1235</v>
      </c>
      <c r="AJ9" s="1" t="n">
        <f aca="false">'OD-APUMA(Val)'!AJ9*AJ$49</f>
        <v>0</v>
      </c>
      <c r="AK9" s="1" t="n">
        <f aca="false">'OD-APUMA(Val)'!AK9*AK$49</f>
        <v>0</v>
      </c>
      <c r="AL9" s="1" t="n">
        <f aca="false">'OD-APUMA(Val)'!AL9*AL$49</f>
        <v>143</v>
      </c>
      <c r="AM9" s="1" t="n">
        <f aca="false">'OD-APUMA(Val)'!AM9*AM$49</f>
        <v>104</v>
      </c>
      <c r="AN9" s="1" t="n">
        <f aca="false">'OD-APUMA(Val)'!AN9*AN$49</f>
        <v>0</v>
      </c>
      <c r="AO9" s="1" t="n">
        <f aca="false">'OD-APUMA(Val)'!AO9*AO$49</f>
        <v>156</v>
      </c>
      <c r="AP9" s="1" t="n">
        <f aca="false">'OD-APUMA(Val)'!AP9*AP$49</f>
        <v>143</v>
      </c>
      <c r="AQ9" s="1" t="n">
        <f aca="false">'OD-APUMA(Val)'!AQ9*AQ$49</f>
        <v>0</v>
      </c>
      <c r="AR9" s="0" t="n">
        <f aca="false">SUM('OD-APUMA(Val)'!C9:AQ9)</f>
        <v>41067</v>
      </c>
      <c r="AS9" s="0" t="n">
        <f aca="false">MAX('OD-APUMA(Val)'!C9:AQ9)</f>
        <v>32396</v>
      </c>
      <c r="AT9" s="2" t="n">
        <f aca="false">SUM(C9:AQ9)/AR9</f>
        <v>0.170148072111397</v>
      </c>
      <c r="AU9" s="3" t="n">
        <f aca="false">AT9^4</f>
        <v>0.000838123717197013</v>
      </c>
    </row>
    <row r="10" customFormat="false" ht="12.75" hidden="false" customHeight="false" outlineLevel="0" collapsed="false">
      <c r="A10" s="0" t="n">
        <v>8</v>
      </c>
      <c r="B10" s="0" t="n">
        <v>74074</v>
      </c>
      <c r="C10" s="1" t="n">
        <f aca="false">'OD-APUMA(Val)'!C10*C$49</f>
        <v>0</v>
      </c>
      <c r="D10" s="1" t="n">
        <f aca="false">'OD-APUMA(Val)'!D10*D$49</f>
        <v>0</v>
      </c>
      <c r="E10" s="1" t="n">
        <f aca="false">'OD-APUMA(Val)'!E10*E$49</f>
        <v>0</v>
      </c>
      <c r="F10" s="1" t="n">
        <f aca="false">'OD-APUMA(Val)'!F10*F$49</f>
        <v>0</v>
      </c>
      <c r="G10" s="1" t="n">
        <f aca="false">'OD-APUMA(Val)'!G10*G$49</f>
        <v>114.994673638664</v>
      </c>
      <c r="H10" s="1" t="n">
        <f aca="false">'OD-APUMA(Val)'!H10*H$49</f>
        <v>11.9782347234674</v>
      </c>
      <c r="I10" s="1" t="n">
        <f aca="false">'OD-APUMA(Val)'!I10*I$49</f>
        <v>312</v>
      </c>
      <c r="J10" s="1" t="n">
        <v>0</v>
      </c>
      <c r="K10" s="1" t="n">
        <f aca="false">'OD-APUMA(Val)'!K10*K$49</f>
        <v>0</v>
      </c>
      <c r="L10" s="1" t="n">
        <f aca="false">'OD-APUMA(Val)'!L10*L$49</f>
        <v>1521</v>
      </c>
      <c r="M10" s="1" t="n">
        <f aca="false">'OD-APUMA(Val)'!M10*M$49</f>
        <v>1196</v>
      </c>
      <c r="N10" s="1" t="n">
        <f aca="false">'OD-APUMA(Val)'!N10*N$49</f>
        <v>0</v>
      </c>
      <c r="O10" s="1" t="n">
        <f aca="false">'OD-APUMA(Val)'!O10*O$49</f>
        <v>0</v>
      </c>
      <c r="P10" s="1" t="n">
        <f aca="false">'OD-APUMA(Val)'!P10*P$49</f>
        <v>0</v>
      </c>
      <c r="Q10" s="1" t="n">
        <f aca="false">'OD-APUMA(Val)'!Q10*Q$49</f>
        <v>0</v>
      </c>
      <c r="R10" s="1" t="n">
        <f aca="false">'OD-APUMA(Val)'!R10*R$49</f>
        <v>0</v>
      </c>
      <c r="S10" s="1" t="n">
        <f aca="false">'OD-APUMA(Val)'!S10*S$49</f>
        <v>0</v>
      </c>
      <c r="T10" s="1" t="n">
        <f aca="false">'OD-APUMA(Val)'!T10*T$49</f>
        <v>0</v>
      </c>
      <c r="U10" s="1" t="n">
        <f aca="false">'OD-APUMA(Val)'!U10*U$49</f>
        <v>0</v>
      </c>
      <c r="V10" s="1" t="n">
        <f aca="false">'OD-APUMA(Val)'!V10*V$49</f>
        <v>0</v>
      </c>
      <c r="W10" s="1" t="n">
        <f aca="false">'OD-APUMA(Val)'!W10*W$49</f>
        <v>0</v>
      </c>
      <c r="X10" s="1" t="n">
        <f aca="false">'OD-APUMA(Val)'!X10*X$49</f>
        <v>0</v>
      </c>
      <c r="Y10" s="1" t="n">
        <f aca="false">'OD-APUMA(Val)'!Y10*Y$49</f>
        <v>0</v>
      </c>
      <c r="Z10" s="1" t="n">
        <f aca="false">'OD-APUMA(Val)'!Z10*Z$49</f>
        <v>0</v>
      </c>
      <c r="AA10" s="1" t="n">
        <f aca="false">'OD-APUMA(Val)'!AA10*AA$49</f>
        <v>91</v>
      </c>
      <c r="AB10" s="1" t="n">
        <f aca="false">'OD-APUMA(Val)'!AB10*AB$49</f>
        <v>0</v>
      </c>
      <c r="AC10" s="1" t="n">
        <f aca="false">'OD-APUMA(Val)'!AC10*AC$49</f>
        <v>0</v>
      </c>
      <c r="AD10" s="1" t="n">
        <f aca="false">'OD-APUMA(Val)'!AD10*AD$49</f>
        <v>0</v>
      </c>
      <c r="AE10" s="1" t="n">
        <f aca="false">'OD-APUMA(Val)'!AE10*AE$49</f>
        <v>0</v>
      </c>
      <c r="AF10" s="1" t="n">
        <f aca="false">'OD-APUMA(Val)'!AF10*AF$49</f>
        <v>0</v>
      </c>
      <c r="AG10" s="1" t="n">
        <f aca="false">'OD-APUMA(Val)'!AG10*AG$49</f>
        <v>0</v>
      </c>
      <c r="AH10" s="1" t="n">
        <f aca="false">'OD-APUMA(Val)'!AH10*AH$49</f>
        <v>0</v>
      </c>
      <c r="AI10" s="1" t="n">
        <f aca="false">'OD-APUMA(Val)'!AI10*AI$49</f>
        <v>3640</v>
      </c>
      <c r="AJ10" s="1" t="n">
        <f aca="false">'OD-APUMA(Val)'!AJ10*AJ$49</f>
        <v>0</v>
      </c>
      <c r="AK10" s="1" t="n">
        <f aca="false">'OD-APUMA(Val)'!AK10*AK$49</f>
        <v>0</v>
      </c>
      <c r="AL10" s="1" t="n">
        <f aca="false">'OD-APUMA(Val)'!AL10*AL$49</f>
        <v>78</v>
      </c>
      <c r="AM10" s="1" t="n">
        <f aca="false">'OD-APUMA(Val)'!AM10*AM$49</f>
        <v>0</v>
      </c>
      <c r="AN10" s="1" t="n">
        <f aca="false">'OD-APUMA(Val)'!AN10*AN$49</f>
        <v>364</v>
      </c>
      <c r="AO10" s="1" t="n">
        <f aca="false">'OD-APUMA(Val)'!AO10*AO$49</f>
        <v>0</v>
      </c>
      <c r="AP10" s="1" t="n">
        <f aca="false">'OD-APUMA(Val)'!AP10*AP$49</f>
        <v>78</v>
      </c>
      <c r="AQ10" s="1" t="n">
        <f aca="false">'OD-APUMA(Val)'!AQ10*AQ$49</f>
        <v>0</v>
      </c>
      <c r="AR10" s="0" t="n">
        <f aca="false">SUM('OD-APUMA(Val)'!C10:AQ10)</f>
        <v>46839</v>
      </c>
      <c r="AS10" s="0" t="n">
        <f aca="false">MAX('OD-APUMA(Val)'!C10:AQ10)</f>
        <v>38493</v>
      </c>
      <c r="AT10" s="2" t="n">
        <f aca="false">SUM(C10:AQ10)/AR10</f>
        <v>0.158136871162111</v>
      </c>
      <c r="AU10" s="3" t="n">
        <f aca="false">AT10^4</f>
        <v>0.000625363553900314</v>
      </c>
    </row>
    <row r="11" customFormat="false" ht="12.75" hidden="false" customHeight="false" outlineLevel="0" collapsed="false">
      <c r="A11" s="0" t="n">
        <v>9</v>
      </c>
      <c r="B11" s="0" t="n">
        <v>57291</v>
      </c>
      <c r="C11" s="1" t="n">
        <f aca="false">'OD-APUMA(Val)'!C11*C$49</f>
        <v>16.4551996269772</v>
      </c>
      <c r="D11" s="1" t="n">
        <f aca="false">'OD-APUMA(Val)'!D11*D$49</f>
        <v>0</v>
      </c>
      <c r="E11" s="1" t="n">
        <f aca="false">'OD-APUMA(Val)'!E11*E$49</f>
        <v>0</v>
      </c>
      <c r="F11" s="1" t="n">
        <f aca="false">'OD-APUMA(Val)'!F11*F$49</f>
        <v>37.5464769964646</v>
      </c>
      <c r="G11" s="1" t="n">
        <f aca="false">'OD-APUMA(Val)'!G11*G$49</f>
        <v>0</v>
      </c>
      <c r="H11" s="1" t="n">
        <f aca="false">'OD-APUMA(Val)'!H11*H$49</f>
        <v>0</v>
      </c>
      <c r="I11" s="1" t="n">
        <f aca="false">'OD-APUMA(Val)'!I11*I$49</f>
        <v>0</v>
      </c>
      <c r="J11" s="1" t="n">
        <f aca="false">'OD-APUMA(Val)'!J11*J$49</f>
        <v>0</v>
      </c>
      <c r="K11" s="1" t="n">
        <v>0</v>
      </c>
      <c r="L11" s="1" t="n">
        <f aca="false">'OD-APUMA(Val)'!L11*L$49</f>
        <v>104</v>
      </c>
      <c r="M11" s="1" t="n">
        <f aca="false">'OD-APUMA(Val)'!M11*M$49</f>
        <v>0</v>
      </c>
      <c r="N11" s="1" t="n">
        <f aca="false">'OD-APUMA(Val)'!N11*N$49</f>
        <v>0</v>
      </c>
      <c r="O11" s="1" t="n">
        <f aca="false">'OD-APUMA(Val)'!O11*O$49</f>
        <v>429</v>
      </c>
      <c r="P11" s="1" t="n">
        <f aca="false">'OD-APUMA(Val)'!P11*P$49</f>
        <v>897</v>
      </c>
      <c r="Q11" s="1" t="n">
        <f aca="false">'OD-APUMA(Val)'!Q11*Q$49</f>
        <v>195</v>
      </c>
      <c r="R11" s="1" t="n">
        <f aca="false">'OD-APUMA(Val)'!R11*R$49</f>
        <v>0</v>
      </c>
      <c r="S11" s="1" t="n">
        <f aca="false">'OD-APUMA(Val)'!S11*S$49</f>
        <v>0</v>
      </c>
      <c r="T11" s="1" t="n">
        <f aca="false">'OD-APUMA(Val)'!T11*T$49</f>
        <v>0</v>
      </c>
      <c r="U11" s="1" t="n">
        <f aca="false">'OD-APUMA(Val)'!U11*U$49</f>
        <v>0</v>
      </c>
      <c r="V11" s="1" t="n">
        <f aca="false">'OD-APUMA(Val)'!V11*V$49</f>
        <v>0</v>
      </c>
      <c r="W11" s="1" t="n">
        <f aca="false">'OD-APUMA(Val)'!W11*W$49</f>
        <v>0</v>
      </c>
      <c r="X11" s="1" t="n">
        <f aca="false">'OD-APUMA(Val)'!X11*X$49</f>
        <v>0</v>
      </c>
      <c r="Y11" s="1" t="n">
        <f aca="false">'OD-APUMA(Val)'!Y11*Y$49</f>
        <v>0</v>
      </c>
      <c r="Z11" s="1" t="n">
        <f aca="false">'OD-APUMA(Val)'!Z11*Z$49</f>
        <v>0</v>
      </c>
      <c r="AA11" s="1" t="n">
        <f aca="false">'OD-APUMA(Val)'!AA11*AA$49</f>
        <v>897</v>
      </c>
      <c r="AB11" s="1" t="n">
        <f aca="false">'OD-APUMA(Val)'!AB11*AB$49</f>
        <v>1911</v>
      </c>
      <c r="AC11" s="1" t="n">
        <f aca="false">'OD-APUMA(Val)'!AC11*AC$49</f>
        <v>0</v>
      </c>
      <c r="AD11" s="1" t="n">
        <f aca="false">'OD-APUMA(Val)'!AD11*AD$49</f>
        <v>0</v>
      </c>
      <c r="AE11" s="1" t="n">
        <f aca="false">'OD-APUMA(Val)'!AE11*AE$49</f>
        <v>9.32025298051155</v>
      </c>
      <c r="AF11" s="1" t="n">
        <f aca="false">'OD-APUMA(Val)'!AF11*AF$49</f>
        <v>0</v>
      </c>
      <c r="AG11" s="1" t="n">
        <f aca="false">'OD-APUMA(Val)'!AG11*AG$49</f>
        <v>0</v>
      </c>
      <c r="AH11" s="1" t="n">
        <f aca="false">'OD-APUMA(Val)'!AH11*AH$49</f>
        <v>0</v>
      </c>
      <c r="AI11" s="1" t="n">
        <f aca="false">'OD-APUMA(Val)'!AI11*AI$49</f>
        <v>286</v>
      </c>
      <c r="AJ11" s="1" t="n">
        <f aca="false">'OD-APUMA(Val)'!AJ11*AJ$49</f>
        <v>0</v>
      </c>
      <c r="AK11" s="1" t="n">
        <f aca="false">'OD-APUMA(Val)'!AK11*AK$49</f>
        <v>0</v>
      </c>
      <c r="AL11" s="1" t="n">
        <f aca="false">'OD-APUMA(Val)'!AL11*AL$49</f>
        <v>0</v>
      </c>
      <c r="AM11" s="1" t="n">
        <f aca="false">'OD-APUMA(Val)'!AM11*AM$49</f>
        <v>390</v>
      </c>
      <c r="AN11" s="1" t="n">
        <f aca="false">'OD-APUMA(Val)'!AN11*AN$49</f>
        <v>6682</v>
      </c>
      <c r="AO11" s="1" t="n">
        <f aca="false">'OD-APUMA(Val)'!AO11*AO$49</f>
        <v>1781</v>
      </c>
      <c r="AP11" s="1" t="n">
        <f aca="false">'OD-APUMA(Val)'!AP11*AP$49</f>
        <v>0</v>
      </c>
      <c r="AQ11" s="1" t="n">
        <f aca="false">'OD-APUMA(Val)'!AQ11*AQ$49</f>
        <v>0</v>
      </c>
      <c r="AR11" s="0" t="n">
        <f aca="false">SUM('OD-APUMA(Val)'!C11:AQ11)</f>
        <v>51909</v>
      </c>
      <c r="AS11" s="0" t="n">
        <f aca="false">MAX('OD-APUMA(Val)'!C11:AQ11)</f>
        <v>37791</v>
      </c>
      <c r="AT11" s="2" t="n">
        <f aca="false">SUM(C11:AQ11)/AR11</f>
        <v>0.262677414891521</v>
      </c>
      <c r="AU11" s="3" t="n">
        <f aca="false">AT11^4</f>
        <v>0.00476092055291616</v>
      </c>
    </row>
    <row r="12" customFormat="false" ht="12.75" hidden="false" customHeight="false" outlineLevel="0" collapsed="false">
      <c r="A12" s="0" t="n">
        <v>10</v>
      </c>
      <c r="B12" s="0" t="n">
        <v>75231</v>
      </c>
      <c r="C12" s="1" t="n">
        <f aca="false">'OD-APUMA(Val)'!C12*C$49</f>
        <v>7.47963619408053</v>
      </c>
      <c r="D12" s="1" t="n">
        <f aca="false">'OD-APUMA(Val)'!D12*D$49</f>
        <v>0</v>
      </c>
      <c r="E12" s="1" t="n">
        <f aca="false">'OD-APUMA(Val)'!E12*E$49</f>
        <v>19.1900878713497</v>
      </c>
      <c r="F12" s="1" t="n">
        <f aca="false">'OD-APUMA(Val)'!F12*F$49</f>
        <v>0</v>
      </c>
      <c r="G12" s="1" t="n">
        <f aca="false">'OD-APUMA(Val)'!G12*G$49</f>
        <v>51.9330784174609</v>
      </c>
      <c r="H12" s="1" t="n">
        <f aca="false">'OD-APUMA(Val)'!H12*H$49</f>
        <v>3.99274490782246</v>
      </c>
      <c r="I12" s="1" t="n">
        <f aca="false">'OD-APUMA(Val)'!I12*I$49</f>
        <v>0</v>
      </c>
      <c r="J12" s="1" t="n">
        <f aca="false">'OD-APUMA(Val)'!J12*J$49</f>
        <v>416.240923582886</v>
      </c>
      <c r="K12" s="1" t="n">
        <f aca="false">'OD-APUMA(Val)'!K12*K$49</f>
        <v>169</v>
      </c>
      <c r="L12" s="1" t="n">
        <v>0</v>
      </c>
      <c r="M12" s="1" t="n">
        <f aca="false">'OD-APUMA(Val)'!M12*M$49</f>
        <v>208</v>
      </c>
      <c r="N12" s="1" t="n">
        <f aca="false">'OD-APUMA(Val)'!N12*N$49</f>
        <v>195</v>
      </c>
      <c r="O12" s="1" t="n">
        <f aca="false">'OD-APUMA(Val)'!O12*O$49</f>
        <v>0</v>
      </c>
      <c r="P12" s="1" t="n">
        <f aca="false">'OD-APUMA(Val)'!P12*P$49</f>
        <v>0</v>
      </c>
      <c r="Q12" s="1" t="n">
        <f aca="false">'OD-APUMA(Val)'!Q12*Q$49</f>
        <v>78</v>
      </c>
      <c r="R12" s="1" t="n">
        <f aca="false">'OD-APUMA(Val)'!R12*R$49</f>
        <v>72.7101343110537</v>
      </c>
      <c r="S12" s="1" t="n">
        <f aca="false">'OD-APUMA(Val)'!S12*S$49</f>
        <v>0</v>
      </c>
      <c r="T12" s="1" t="n">
        <f aca="false">'OD-APUMA(Val)'!T12*T$49</f>
        <v>0</v>
      </c>
      <c r="U12" s="1" t="n">
        <f aca="false">'OD-APUMA(Val)'!U12*U$49</f>
        <v>0</v>
      </c>
      <c r="V12" s="1" t="n">
        <f aca="false">'OD-APUMA(Val)'!V12*V$49</f>
        <v>0</v>
      </c>
      <c r="W12" s="1" t="n">
        <f aca="false">'OD-APUMA(Val)'!W12*W$49</f>
        <v>0</v>
      </c>
      <c r="X12" s="1" t="n">
        <f aca="false">'OD-APUMA(Val)'!X12*X$49</f>
        <v>0</v>
      </c>
      <c r="Y12" s="1" t="n">
        <f aca="false">'OD-APUMA(Val)'!Y12*Y$49</f>
        <v>0</v>
      </c>
      <c r="Z12" s="1" t="n">
        <f aca="false">'OD-APUMA(Val)'!Z12*Z$49</f>
        <v>0</v>
      </c>
      <c r="AA12" s="1" t="n">
        <f aca="false">'OD-APUMA(Val)'!AA12*AA$49</f>
        <v>312</v>
      </c>
      <c r="AB12" s="1" t="n">
        <f aca="false">'OD-APUMA(Val)'!AB12*AB$49</f>
        <v>299</v>
      </c>
      <c r="AC12" s="1" t="n">
        <f aca="false">'OD-APUMA(Val)'!AC12*AC$49</f>
        <v>0</v>
      </c>
      <c r="AD12" s="1" t="n">
        <f aca="false">'OD-APUMA(Val)'!AD12*AD$49</f>
        <v>0</v>
      </c>
      <c r="AE12" s="1" t="n">
        <f aca="false">'OD-APUMA(Val)'!AE12*AE$49</f>
        <v>6.99018973538366</v>
      </c>
      <c r="AF12" s="1" t="n">
        <f aca="false">'OD-APUMA(Val)'!AF12*AF$49</f>
        <v>0</v>
      </c>
      <c r="AG12" s="1" t="n">
        <f aca="false">'OD-APUMA(Val)'!AG12*AG$49</f>
        <v>0</v>
      </c>
      <c r="AH12" s="1" t="n">
        <f aca="false">'OD-APUMA(Val)'!AH12*AH$49</f>
        <v>0</v>
      </c>
      <c r="AI12" s="1" t="n">
        <f aca="false">'OD-APUMA(Val)'!AI12*AI$49</f>
        <v>17108</v>
      </c>
      <c r="AJ12" s="1" t="n">
        <f aca="false">'OD-APUMA(Val)'!AJ12*AJ$49</f>
        <v>0</v>
      </c>
      <c r="AK12" s="1" t="n">
        <f aca="false">'OD-APUMA(Val)'!AK12*AK$49</f>
        <v>0</v>
      </c>
      <c r="AL12" s="1" t="n">
        <f aca="false">'OD-APUMA(Val)'!AL12*AL$49</f>
        <v>351</v>
      </c>
      <c r="AM12" s="1" t="n">
        <f aca="false">'OD-APUMA(Val)'!AM12*AM$49</f>
        <v>65</v>
      </c>
      <c r="AN12" s="1" t="n">
        <f aca="false">'OD-APUMA(Val)'!AN12*AN$49</f>
        <v>2184</v>
      </c>
      <c r="AO12" s="1" t="n">
        <f aca="false">'OD-APUMA(Val)'!AO12*AO$49</f>
        <v>0</v>
      </c>
      <c r="AP12" s="1" t="n">
        <f aca="false">'OD-APUMA(Val)'!AP12*AP$49</f>
        <v>117</v>
      </c>
      <c r="AQ12" s="1" t="n">
        <f aca="false">'OD-APUMA(Val)'!AQ12*AQ$49</f>
        <v>0</v>
      </c>
      <c r="AR12" s="0" t="n">
        <f aca="false">SUM('OD-APUMA(Val)'!C12:AQ12)</f>
        <v>66885</v>
      </c>
      <c r="AS12" s="0" t="n">
        <f aca="false">MAX('OD-APUMA(Val)'!C12:AQ12)</f>
        <v>44408</v>
      </c>
      <c r="AT12" s="2" t="n">
        <f aca="false">SUM(C12:AQ12)/AR12</f>
        <v>0.323907255663004</v>
      </c>
      <c r="AU12" s="3" t="n">
        <f aca="false">AT12^4</f>
        <v>0.0110073482280216</v>
      </c>
    </row>
    <row r="13" customFormat="false" ht="12.75" hidden="false" customHeight="false" outlineLevel="0" collapsed="false">
      <c r="A13" s="0" t="n">
        <v>11</v>
      </c>
      <c r="B13" s="0" t="n">
        <v>90948</v>
      </c>
      <c r="C13" s="1" t="n">
        <f aca="false">'OD-APUMA(Val)'!C13*C$49</f>
        <v>0</v>
      </c>
      <c r="D13" s="1" t="n">
        <f aca="false">'OD-APUMA(Val)'!D13*D$49</f>
        <v>0</v>
      </c>
      <c r="E13" s="1" t="n">
        <f aca="false">'OD-APUMA(Val)'!E13*E$49</f>
        <v>37.2513470443847</v>
      </c>
      <c r="F13" s="1" t="n">
        <f aca="false">'OD-APUMA(Val)'!F13*F$49</f>
        <v>262.825338975252</v>
      </c>
      <c r="G13" s="1" t="n">
        <f aca="false">'OD-APUMA(Val)'!G13*G$49</f>
        <v>118.704179239911</v>
      </c>
      <c r="H13" s="1" t="n">
        <f aca="false">'OD-APUMA(Val)'!H13*H$49</f>
        <v>0</v>
      </c>
      <c r="I13" s="1" t="n">
        <f aca="false">'OD-APUMA(Val)'!I13*I$49</f>
        <v>1872</v>
      </c>
      <c r="J13" s="1" t="n">
        <f aca="false">'OD-APUMA(Val)'!J13*J$49</f>
        <v>202.784039694227</v>
      </c>
      <c r="K13" s="1" t="n">
        <f aca="false">'OD-APUMA(Val)'!K13*K$49</f>
        <v>0</v>
      </c>
      <c r="L13" s="1" t="n">
        <f aca="false">'OD-APUMA(Val)'!L13*L$49</f>
        <v>1131</v>
      </c>
      <c r="M13" s="1" t="n">
        <v>0</v>
      </c>
      <c r="N13" s="1" t="n">
        <f aca="false">'OD-APUMA(Val)'!N13*N$49</f>
        <v>104</v>
      </c>
      <c r="O13" s="1" t="n">
        <f aca="false">'OD-APUMA(Val)'!O13*O$49</f>
        <v>0</v>
      </c>
      <c r="P13" s="1" t="n">
        <f aca="false">'OD-APUMA(Val)'!P13*P$49</f>
        <v>91</v>
      </c>
      <c r="Q13" s="1" t="n">
        <f aca="false">'OD-APUMA(Val)'!Q13*Q$49</f>
        <v>26</v>
      </c>
      <c r="R13" s="1" t="n">
        <f aca="false">'OD-APUMA(Val)'!R13*R$49</f>
        <v>193.893691496143</v>
      </c>
      <c r="S13" s="1" t="n">
        <f aca="false">'OD-APUMA(Val)'!S13*S$49</f>
        <v>0</v>
      </c>
      <c r="T13" s="1" t="n">
        <f aca="false">'OD-APUMA(Val)'!T13*T$49</f>
        <v>0</v>
      </c>
      <c r="U13" s="1" t="n">
        <f aca="false">'OD-APUMA(Val)'!U13*U$49</f>
        <v>0</v>
      </c>
      <c r="V13" s="1" t="n">
        <f aca="false">'OD-APUMA(Val)'!V13*V$49</f>
        <v>0</v>
      </c>
      <c r="W13" s="1" t="n">
        <f aca="false">'OD-APUMA(Val)'!W13*W$49</f>
        <v>0</v>
      </c>
      <c r="X13" s="1" t="n">
        <f aca="false">'OD-APUMA(Val)'!X13*X$49</f>
        <v>0</v>
      </c>
      <c r="Y13" s="1" t="n">
        <f aca="false">'OD-APUMA(Val)'!Y13*Y$49</f>
        <v>0</v>
      </c>
      <c r="Z13" s="1" t="n">
        <f aca="false">'OD-APUMA(Val)'!Z13*Z$49</f>
        <v>0</v>
      </c>
      <c r="AA13" s="1" t="n">
        <f aca="false">'OD-APUMA(Val)'!AA13*AA$49</f>
        <v>104</v>
      </c>
      <c r="AB13" s="1" t="n">
        <f aca="false">'OD-APUMA(Val)'!AB13*AB$49</f>
        <v>624</v>
      </c>
      <c r="AC13" s="1" t="n">
        <f aca="false">'OD-APUMA(Val)'!AC13*AC$49</f>
        <v>3.31646335507585</v>
      </c>
      <c r="AD13" s="1" t="n">
        <f aca="false">'OD-APUMA(Val)'!AD13*AD$49</f>
        <v>0</v>
      </c>
      <c r="AE13" s="1" t="n">
        <f aca="false">'OD-APUMA(Val)'!AE13*AE$49</f>
        <v>19.805537583587</v>
      </c>
      <c r="AF13" s="1" t="n">
        <f aca="false">'OD-APUMA(Val)'!AF13*AF$49</f>
        <v>0</v>
      </c>
      <c r="AG13" s="1" t="n">
        <f aca="false">'OD-APUMA(Val)'!AG13*AG$49</f>
        <v>25.0398921070173</v>
      </c>
      <c r="AH13" s="1" t="n">
        <f aca="false">'OD-APUMA(Val)'!AH13*AH$49</f>
        <v>49.932967794215</v>
      </c>
      <c r="AI13" s="1" t="n">
        <f aca="false">'OD-APUMA(Val)'!AI13*AI$49</f>
        <v>25571</v>
      </c>
      <c r="AJ13" s="1" t="n">
        <f aca="false">'OD-APUMA(Val)'!AJ13*AJ$49</f>
        <v>0</v>
      </c>
      <c r="AK13" s="1" t="n">
        <f aca="false">'OD-APUMA(Val)'!AK13*AK$49</f>
        <v>0</v>
      </c>
      <c r="AL13" s="1" t="n">
        <f aca="false">'OD-APUMA(Val)'!AL13*AL$49</f>
        <v>208</v>
      </c>
      <c r="AM13" s="1" t="n">
        <f aca="false">'OD-APUMA(Val)'!AM13*AM$49</f>
        <v>442</v>
      </c>
      <c r="AN13" s="1" t="n">
        <f aca="false">'OD-APUMA(Val)'!AN13*AN$49</f>
        <v>377</v>
      </c>
      <c r="AO13" s="1" t="n">
        <f aca="false">'OD-APUMA(Val)'!AO13*AO$49</f>
        <v>26</v>
      </c>
      <c r="AP13" s="1" t="n">
        <f aca="false">'OD-APUMA(Val)'!AP13*AP$49</f>
        <v>195</v>
      </c>
      <c r="AQ13" s="1" t="n">
        <f aca="false">'OD-APUMA(Val)'!AQ13*AQ$49</f>
        <v>16.8664395483447</v>
      </c>
      <c r="AR13" s="0" t="n">
        <f aca="false">SUM('OD-APUMA(Val)'!C13:AQ13)</f>
        <v>80626</v>
      </c>
      <c r="AS13" s="0" t="n">
        <f aca="false">MAX('OD-APUMA(Val)'!C13:AQ13)</f>
        <v>46007</v>
      </c>
      <c r="AT13" s="2" t="n">
        <f aca="false">SUM(C13:AQ13)/AR13</f>
        <v>0.393191028909262</v>
      </c>
      <c r="AU13" s="3" t="n">
        <f aca="false">AT13^4</f>
        <v>0.0239009080690566</v>
      </c>
    </row>
    <row r="14" customFormat="false" ht="12.75" hidden="false" customHeight="false" outlineLevel="0" collapsed="false">
      <c r="A14" s="0" t="n">
        <v>12</v>
      </c>
      <c r="B14" s="0" t="n">
        <v>66781</v>
      </c>
      <c r="C14" s="1" t="n">
        <f aca="false">'OD-APUMA(Val)'!C14*C$49</f>
        <v>0</v>
      </c>
      <c r="D14" s="1" t="n">
        <f aca="false">'OD-APUMA(Val)'!D14*D$49</f>
        <v>8.96774218838633</v>
      </c>
      <c r="E14" s="1" t="n">
        <f aca="false">'OD-APUMA(Val)'!E14*E$49</f>
        <v>25.9630600612378</v>
      </c>
      <c r="F14" s="1" t="n">
        <f aca="false">'OD-APUMA(Val)'!F14*F$49</f>
        <v>0</v>
      </c>
      <c r="G14" s="1" t="n">
        <f aca="false">'OD-APUMA(Val)'!G14*G$49</f>
        <v>1658.1490037575</v>
      </c>
      <c r="H14" s="1" t="n">
        <f aca="false">'OD-APUMA(Val)'!H14*H$49</f>
        <v>2.58354082270865</v>
      </c>
      <c r="I14" s="1" t="n">
        <f aca="false">'OD-APUMA(Val)'!I14*I$49</f>
        <v>130</v>
      </c>
      <c r="J14" s="1" t="n">
        <f aca="false">'OD-APUMA(Val)'!J14*J$49</f>
        <v>0</v>
      </c>
      <c r="K14" s="1" t="n">
        <f aca="false">'OD-APUMA(Val)'!K14*K$49</f>
        <v>0</v>
      </c>
      <c r="L14" s="1" t="n">
        <f aca="false">'OD-APUMA(Val)'!L14*L$49</f>
        <v>494</v>
      </c>
      <c r="M14" s="1" t="n">
        <f aca="false">'OD-APUMA(Val)'!M14*M$49</f>
        <v>1651</v>
      </c>
      <c r="N14" s="1" t="n">
        <v>0</v>
      </c>
      <c r="O14" s="1" t="n">
        <f aca="false">'OD-APUMA(Val)'!O14*O$49</f>
        <v>0</v>
      </c>
      <c r="P14" s="1" t="n">
        <f aca="false">'OD-APUMA(Val)'!P14*P$49</f>
        <v>156</v>
      </c>
      <c r="Q14" s="1" t="n">
        <f aca="false">'OD-APUMA(Val)'!Q14*Q$49</f>
        <v>182</v>
      </c>
      <c r="R14" s="1" t="n">
        <f aca="false">'OD-APUMA(Val)'!R14*R$49</f>
        <v>193.893691496143</v>
      </c>
      <c r="S14" s="1" t="n">
        <f aca="false">'OD-APUMA(Val)'!S14*S$49</f>
        <v>0</v>
      </c>
      <c r="T14" s="1" t="n">
        <f aca="false">'OD-APUMA(Val)'!T14*T$49</f>
        <v>0</v>
      </c>
      <c r="U14" s="1" t="n">
        <f aca="false">'OD-APUMA(Val)'!U14*U$49</f>
        <v>0</v>
      </c>
      <c r="V14" s="1" t="n">
        <f aca="false">'OD-APUMA(Val)'!V14*V$49</f>
        <v>0</v>
      </c>
      <c r="W14" s="1" t="n">
        <f aca="false">'OD-APUMA(Val)'!W14*W$49</f>
        <v>0</v>
      </c>
      <c r="X14" s="1" t="n">
        <f aca="false">'OD-APUMA(Val)'!X14*X$49</f>
        <v>0</v>
      </c>
      <c r="Y14" s="1" t="n">
        <f aca="false">'OD-APUMA(Val)'!Y14*Y$49</f>
        <v>0</v>
      </c>
      <c r="Z14" s="1" t="n">
        <f aca="false">'OD-APUMA(Val)'!Z14*Z$49</f>
        <v>0</v>
      </c>
      <c r="AA14" s="1" t="n">
        <f aca="false">'OD-APUMA(Val)'!AA14*AA$49</f>
        <v>26</v>
      </c>
      <c r="AB14" s="1" t="n">
        <f aca="false">'OD-APUMA(Val)'!AB14*AB$49</f>
        <v>91</v>
      </c>
      <c r="AC14" s="1" t="n">
        <f aca="false">'OD-APUMA(Val)'!AC14*AC$49</f>
        <v>0</v>
      </c>
      <c r="AD14" s="1" t="n">
        <f aca="false">'OD-APUMA(Val)'!AD14*AD$49</f>
        <v>0</v>
      </c>
      <c r="AE14" s="1" t="n">
        <f aca="false">'OD-APUMA(Val)'!AE14*AE$49</f>
        <v>6.99018973538366</v>
      </c>
      <c r="AF14" s="1" t="n">
        <f aca="false">'OD-APUMA(Val)'!AF14*AF$49</f>
        <v>0</v>
      </c>
      <c r="AG14" s="1" t="n">
        <f aca="false">'OD-APUMA(Val)'!AG14*AG$49</f>
        <v>23.2513283850875</v>
      </c>
      <c r="AH14" s="1" t="n">
        <f aca="false">'OD-APUMA(Val)'!AH14*AH$49</f>
        <v>0</v>
      </c>
      <c r="AI14" s="1" t="n">
        <f aca="false">'OD-APUMA(Val)'!AI14*AI$49</f>
        <v>15028</v>
      </c>
      <c r="AJ14" s="1" t="n">
        <f aca="false">'OD-APUMA(Val)'!AJ14*AJ$49</f>
        <v>0</v>
      </c>
      <c r="AK14" s="1" t="n">
        <f aca="false">'OD-APUMA(Val)'!AK14*AK$49</f>
        <v>0</v>
      </c>
      <c r="AL14" s="1" t="n">
        <f aca="false">'OD-APUMA(Val)'!AL14*AL$49</f>
        <v>182</v>
      </c>
      <c r="AM14" s="1" t="n">
        <f aca="false">'OD-APUMA(Val)'!AM14*AM$49</f>
        <v>91</v>
      </c>
      <c r="AN14" s="1" t="n">
        <f aca="false">'OD-APUMA(Val)'!AN14*AN$49</f>
        <v>117</v>
      </c>
      <c r="AO14" s="1" t="n">
        <f aca="false">'OD-APUMA(Val)'!AO14*AO$49</f>
        <v>91</v>
      </c>
      <c r="AP14" s="1" t="n">
        <f aca="false">'OD-APUMA(Val)'!AP14*AP$49</f>
        <v>0</v>
      </c>
      <c r="AQ14" s="1" t="n">
        <f aca="false">'OD-APUMA(Val)'!AQ14*AQ$49</f>
        <v>8.43321977417236</v>
      </c>
      <c r="AR14" s="0" t="n">
        <f aca="false">SUM('OD-APUMA(Val)'!C14:AQ14)</f>
        <v>56082</v>
      </c>
      <c r="AS14" s="0" t="n">
        <f aca="false">MAX('OD-APUMA(Val)'!C14:AQ14)</f>
        <v>30693</v>
      </c>
      <c r="AT14" s="2" t="n">
        <f aca="false">SUM(C14:AQ14)/AR14</f>
        <v>0.35960257794338</v>
      </c>
      <c r="AU14" s="3" t="n">
        <f aca="false">AT14^4</f>
        <v>0.0167221142332214</v>
      </c>
    </row>
    <row r="15" customFormat="false" ht="12.75" hidden="false" customHeight="false" outlineLevel="0" collapsed="false">
      <c r="A15" s="0" t="n">
        <v>15</v>
      </c>
      <c r="B15" s="0" t="n">
        <v>103519</v>
      </c>
      <c r="C15" s="1" t="n">
        <f aca="false">'OD-APUMA(Val)'!C15*C$49</f>
        <v>0</v>
      </c>
      <c r="D15" s="1" t="n">
        <f aca="false">'OD-APUMA(Val)'!D15*D$49</f>
        <v>0</v>
      </c>
      <c r="E15" s="1" t="n">
        <f aca="false">'OD-APUMA(Val)'!E15*E$49</f>
        <v>9.03062958651751</v>
      </c>
      <c r="F15" s="1" t="n">
        <f aca="false">'OD-APUMA(Val)'!F15*F$49</f>
        <v>23.4665481227904</v>
      </c>
      <c r="G15" s="1" t="n">
        <f aca="false">'OD-APUMA(Val)'!G15*G$49</f>
        <v>0</v>
      </c>
      <c r="H15" s="1" t="n">
        <f aca="false">'OD-APUMA(Val)'!H15*H$49</f>
        <v>0</v>
      </c>
      <c r="I15" s="1" t="n">
        <f aca="false">'OD-APUMA(Val)'!I15*I$49</f>
        <v>0</v>
      </c>
      <c r="J15" s="1" t="n">
        <f aca="false">'OD-APUMA(Val)'!J15*J$49</f>
        <v>160.092662916495</v>
      </c>
      <c r="K15" s="1" t="n">
        <f aca="false">'OD-APUMA(Val)'!K15*K$49</f>
        <v>104</v>
      </c>
      <c r="L15" s="1" t="n">
        <f aca="false">'OD-APUMA(Val)'!L15*L$49</f>
        <v>65</v>
      </c>
      <c r="M15" s="1" t="n">
        <f aca="false">'OD-APUMA(Val)'!M15*M$49</f>
        <v>0</v>
      </c>
      <c r="N15" s="1" t="n">
        <f aca="false">'OD-APUMA(Val)'!N15*N$49</f>
        <v>0</v>
      </c>
      <c r="O15" s="1" t="n">
        <v>0</v>
      </c>
      <c r="P15" s="1" t="n">
        <f aca="false">'OD-APUMA(Val)'!P15*P$49</f>
        <v>33098</v>
      </c>
      <c r="Q15" s="1" t="n">
        <f aca="false">'OD-APUMA(Val)'!Q15*Q$49</f>
        <v>3744</v>
      </c>
      <c r="R15" s="1" t="n">
        <f aca="false">'OD-APUMA(Val)'!R15*R$49</f>
        <v>0</v>
      </c>
      <c r="S15" s="1" t="n">
        <f aca="false">'OD-APUMA(Val)'!S15*S$49</f>
        <v>0</v>
      </c>
      <c r="T15" s="1" t="n">
        <f aca="false">'OD-APUMA(Val)'!T15*T$49</f>
        <v>0</v>
      </c>
      <c r="U15" s="1" t="n">
        <f aca="false">'OD-APUMA(Val)'!U15*U$49</f>
        <v>0</v>
      </c>
      <c r="V15" s="1" t="n">
        <f aca="false">'OD-APUMA(Val)'!V15*V$49</f>
        <v>0</v>
      </c>
      <c r="W15" s="1" t="n">
        <f aca="false">'OD-APUMA(Val)'!W15*W$49</f>
        <v>0</v>
      </c>
      <c r="X15" s="1" t="n">
        <f aca="false">'OD-APUMA(Val)'!X15*X$49</f>
        <v>0</v>
      </c>
      <c r="Y15" s="1" t="n">
        <f aca="false">'OD-APUMA(Val)'!Y15*Y$49</f>
        <v>0</v>
      </c>
      <c r="Z15" s="1" t="n">
        <f aca="false">'OD-APUMA(Val)'!Z15*Z$49</f>
        <v>0</v>
      </c>
      <c r="AA15" s="1" t="n">
        <f aca="false">'OD-APUMA(Val)'!AA15*AA$49</f>
        <v>5122</v>
      </c>
      <c r="AB15" s="1" t="n">
        <f aca="false">'OD-APUMA(Val)'!AB15*AB$49</f>
        <v>4394</v>
      </c>
      <c r="AC15" s="1" t="n">
        <f aca="false">'OD-APUMA(Val)'!AC15*AC$49</f>
        <v>2.57947149839232</v>
      </c>
      <c r="AD15" s="1" t="n">
        <f aca="false">'OD-APUMA(Val)'!AD15*AD$49</f>
        <v>0</v>
      </c>
      <c r="AE15" s="1" t="n">
        <f aca="false">'OD-APUMA(Val)'!AE15*AE$49</f>
        <v>22.1356008287149</v>
      </c>
      <c r="AF15" s="1" t="n">
        <f aca="false">'OD-APUMA(Val)'!AF15*AF$49</f>
        <v>0</v>
      </c>
      <c r="AG15" s="1" t="n">
        <f aca="false">'OD-APUMA(Val)'!AG15*AG$49</f>
        <v>0</v>
      </c>
      <c r="AH15" s="1" t="n">
        <f aca="false">'OD-APUMA(Val)'!AH15*AH$49</f>
        <v>0</v>
      </c>
      <c r="AI15" s="1" t="n">
        <f aca="false">'OD-APUMA(Val)'!AI15*AI$49</f>
        <v>325</v>
      </c>
      <c r="AJ15" s="1" t="n">
        <f aca="false">'OD-APUMA(Val)'!AJ15*AJ$49</f>
        <v>0</v>
      </c>
      <c r="AK15" s="1" t="n">
        <f aca="false">'OD-APUMA(Val)'!AK15*AK$49</f>
        <v>0</v>
      </c>
      <c r="AL15" s="1" t="n">
        <f aca="false">'OD-APUMA(Val)'!AL15*AL$49</f>
        <v>0</v>
      </c>
      <c r="AM15" s="1" t="n">
        <f aca="false">'OD-APUMA(Val)'!AM15*AM$49</f>
        <v>351</v>
      </c>
      <c r="AN15" s="1" t="n">
        <f aca="false">'OD-APUMA(Val)'!AN15*AN$49</f>
        <v>1027</v>
      </c>
      <c r="AO15" s="1" t="n">
        <f aca="false">'OD-APUMA(Val)'!AO15*AO$49</f>
        <v>3029</v>
      </c>
      <c r="AP15" s="1" t="n">
        <f aca="false">'OD-APUMA(Val)'!AP15*AP$49</f>
        <v>104</v>
      </c>
      <c r="AQ15" s="1" t="n">
        <f aca="false">'OD-APUMA(Val)'!AQ15*AQ$49</f>
        <v>0</v>
      </c>
      <c r="AR15" s="0" t="n">
        <f aca="false">SUM('OD-APUMA(Val)'!C15:AQ15)</f>
        <v>124878</v>
      </c>
      <c r="AS15" s="0" t="n">
        <f aca="false">MAX('OD-APUMA(Val)'!C15:AQ15)</f>
        <v>72592</v>
      </c>
      <c r="AT15" s="2" t="n">
        <f aca="false">SUM(C15:AQ15)/AR15</f>
        <v>0.413045571781682</v>
      </c>
      <c r="AU15" s="3" t="n">
        <f aca="false">AT15^4</f>
        <v>0.0291066271026651</v>
      </c>
    </row>
    <row r="16" customFormat="false" ht="12.75" hidden="false" customHeight="false" outlineLevel="0" collapsed="false">
      <c r="A16" s="0" t="n">
        <v>19</v>
      </c>
      <c r="B16" s="0" t="n">
        <v>347230</v>
      </c>
      <c r="C16" s="1" t="n">
        <f aca="false">'OD-APUMA(Val)'!C16*C$49</f>
        <v>16.4551996269772</v>
      </c>
      <c r="D16" s="1" t="n">
        <f aca="false">'OD-APUMA(Val)'!D16*D$49</f>
        <v>4.89149573911982</v>
      </c>
      <c r="E16" s="1" t="n">
        <f aca="false">'OD-APUMA(Val)'!E16*E$49</f>
        <v>13.5459443797763</v>
      </c>
      <c r="F16" s="1" t="n">
        <f aca="false">'OD-APUMA(Val)'!F16*F$49</f>
        <v>32.8531673719065</v>
      </c>
      <c r="G16" s="1" t="n">
        <f aca="false">'OD-APUMA(Val)'!G16*G$49</f>
        <v>0</v>
      </c>
      <c r="H16" s="1" t="n">
        <f aca="false">'OD-APUMA(Val)'!H16*H$49</f>
        <v>0</v>
      </c>
      <c r="I16" s="1" t="n">
        <f aca="false">'OD-APUMA(Val)'!I16*I$49</f>
        <v>78</v>
      </c>
      <c r="J16" s="1" t="n">
        <f aca="false">'OD-APUMA(Val)'!J16*J$49</f>
        <v>0</v>
      </c>
      <c r="K16" s="1" t="n">
        <f aca="false">'OD-APUMA(Val)'!K16*K$49</f>
        <v>130</v>
      </c>
      <c r="L16" s="1" t="n">
        <f aca="false">'OD-APUMA(Val)'!L16*L$49</f>
        <v>0</v>
      </c>
      <c r="M16" s="1" t="n">
        <f aca="false">'OD-APUMA(Val)'!M16*M$49</f>
        <v>117</v>
      </c>
      <c r="N16" s="1" t="n">
        <f aca="false">'OD-APUMA(Val)'!N16*N$49</f>
        <v>0</v>
      </c>
      <c r="O16" s="1" t="n">
        <f aca="false">'OD-APUMA(Val)'!O16*O$49</f>
        <v>4095</v>
      </c>
      <c r="P16" s="1" t="n">
        <v>0</v>
      </c>
      <c r="Q16" s="1" t="n">
        <f aca="false">'OD-APUMA(Val)'!Q16*Q$49</f>
        <v>29393</v>
      </c>
      <c r="R16" s="1" t="n">
        <f aca="false">'OD-APUMA(Val)'!R16*R$49</f>
        <v>0</v>
      </c>
      <c r="S16" s="1" t="n">
        <f aca="false">'OD-APUMA(Val)'!S16*S$49</f>
        <v>0</v>
      </c>
      <c r="T16" s="1" t="n">
        <f aca="false">'OD-APUMA(Val)'!T16*T$49</f>
        <v>0</v>
      </c>
      <c r="U16" s="1" t="n">
        <f aca="false">'OD-APUMA(Val)'!U16*U$49</f>
        <v>0</v>
      </c>
      <c r="V16" s="1" t="n">
        <f aca="false">'OD-APUMA(Val)'!V16*V$49</f>
        <v>3.09803006697908</v>
      </c>
      <c r="W16" s="1" t="n">
        <f aca="false">'OD-APUMA(Val)'!W16*W$49</f>
        <v>0</v>
      </c>
      <c r="X16" s="1" t="n">
        <f aca="false">'OD-APUMA(Val)'!X16*X$49</f>
        <v>170.820493128712</v>
      </c>
      <c r="Y16" s="1" t="n">
        <f aca="false">'OD-APUMA(Val)'!Y16*Y$49</f>
        <v>0</v>
      </c>
      <c r="Z16" s="1" t="n">
        <f aca="false">'OD-APUMA(Val)'!Z16*Z$49</f>
        <v>0</v>
      </c>
      <c r="AA16" s="1" t="n">
        <f aca="false">'OD-APUMA(Val)'!AA16*AA$49</f>
        <v>19760</v>
      </c>
      <c r="AB16" s="1" t="n">
        <f aca="false">'OD-APUMA(Val)'!AB16*AB$49</f>
        <v>6149</v>
      </c>
      <c r="AC16" s="1" t="n">
        <f aca="false">'OD-APUMA(Val)'!AC16*AC$49</f>
        <v>0</v>
      </c>
      <c r="AD16" s="1" t="n">
        <f aca="false">'OD-APUMA(Val)'!AD16*AD$49</f>
        <v>0</v>
      </c>
      <c r="AE16" s="1" t="n">
        <f aca="false">'OD-APUMA(Val)'!AE16*AE$49</f>
        <v>68.7368657312727</v>
      </c>
      <c r="AF16" s="1" t="n">
        <f aca="false">'OD-APUMA(Val)'!AF16*AF$49</f>
        <v>5.19430372402098</v>
      </c>
      <c r="AG16" s="1" t="n">
        <f aca="false">'OD-APUMA(Val)'!AG16*AG$49</f>
        <v>0</v>
      </c>
      <c r="AH16" s="1" t="n">
        <f aca="false">'OD-APUMA(Val)'!AH16*AH$49</f>
        <v>0</v>
      </c>
      <c r="AI16" s="1" t="n">
        <f aca="false">'OD-APUMA(Val)'!AI16*AI$49</f>
        <v>104</v>
      </c>
      <c r="AJ16" s="1" t="n">
        <f aca="false">'OD-APUMA(Val)'!AJ16*AJ$49</f>
        <v>32.9210276194712</v>
      </c>
      <c r="AK16" s="1" t="n">
        <f aca="false">'OD-APUMA(Val)'!AK16*AK$49</f>
        <v>0</v>
      </c>
      <c r="AL16" s="1" t="n">
        <f aca="false">'OD-APUMA(Val)'!AL16*AL$49</f>
        <v>117</v>
      </c>
      <c r="AM16" s="1" t="n">
        <f aca="false">'OD-APUMA(Val)'!AM16*AM$49</f>
        <v>8359</v>
      </c>
      <c r="AN16" s="1" t="n">
        <f aca="false">'OD-APUMA(Val)'!AN16*AN$49</f>
        <v>442</v>
      </c>
      <c r="AO16" s="1" t="n">
        <f aca="false">'OD-APUMA(Val)'!AO16*AO$49</f>
        <v>637</v>
      </c>
      <c r="AP16" s="1" t="n">
        <f aca="false">'OD-APUMA(Val)'!AP16*AP$49</f>
        <v>234</v>
      </c>
      <c r="AQ16" s="1" t="n">
        <f aca="false">'OD-APUMA(Val)'!AQ16*AQ$49</f>
        <v>0</v>
      </c>
      <c r="AR16" s="0" t="n">
        <f aca="false">SUM('OD-APUMA(Val)'!C16:AQ16)</f>
        <v>385580</v>
      </c>
      <c r="AS16" s="0" t="n">
        <f aca="false">MAX('OD-APUMA(Val)'!C16:AQ16)</f>
        <v>313768</v>
      </c>
      <c r="AT16" s="2" t="n">
        <f aca="false">SUM(C16:AQ16)/AR16</f>
        <v>0.181450066205167</v>
      </c>
      <c r="AU16" s="3" t="n">
        <f aca="false">AT16^4</f>
        <v>0.0010839981074908</v>
      </c>
    </row>
    <row r="17" customFormat="false" ht="12.75" hidden="false" customHeight="false" outlineLevel="0" collapsed="false">
      <c r="A17" s="0" t="n">
        <v>22</v>
      </c>
      <c r="B17" s="0" t="n">
        <v>313391</v>
      </c>
      <c r="C17" s="1" t="n">
        <f aca="false">'OD-APUMA(Val)'!C17*C$49</f>
        <v>19.4470541046094</v>
      </c>
      <c r="D17" s="1" t="n">
        <f aca="false">'OD-APUMA(Val)'!D17*D$49</f>
        <v>0</v>
      </c>
      <c r="E17" s="1" t="n">
        <f aca="false">'OD-APUMA(Val)'!E17*E$49</f>
        <v>19.1900878713497</v>
      </c>
      <c r="F17" s="1" t="n">
        <f aca="false">'OD-APUMA(Val)'!F17*F$49</f>
        <v>0</v>
      </c>
      <c r="G17" s="1" t="n">
        <f aca="false">'OD-APUMA(Val)'!G17*G$49</f>
        <v>51.9330784174609</v>
      </c>
      <c r="H17" s="1" t="n">
        <f aca="false">'OD-APUMA(Val)'!H17*H$49</f>
        <v>0</v>
      </c>
      <c r="I17" s="1" t="n">
        <f aca="false">'OD-APUMA(Val)'!I17*I$49</f>
        <v>0</v>
      </c>
      <c r="J17" s="1" t="n">
        <f aca="false">'OD-APUMA(Val)'!J17*J$49</f>
        <v>0</v>
      </c>
      <c r="K17" s="1" t="n">
        <f aca="false">'OD-APUMA(Val)'!K17*K$49</f>
        <v>0</v>
      </c>
      <c r="L17" s="1" t="n">
        <f aca="false">'OD-APUMA(Val)'!L17*L$49</f>
        <v>78</v>
      </c>
      <c r="M17" s="1" t="n">
        <f aca="false">'OD-APUMA(Val)'!M17*M$49</f>
        <v>78</v>
      </c>
      <c r="N17" s="1" t="n">
        <f aca="false">'OD-APUMA(Val)'!N17*N$49</f>
        <v>0</v>
      </c>
      <c r="O17" s="1" t="n">
        <f aca="false">'OD-APUMA(Val)'!O17*O$49</f>
        <v>1196</v>
      </c>
      <c r="P17" s="1" t="n">
        <f aca="false">'OD-APUMA(Val)'!P17*P$49</f>
        <v>80925</v>
      </c>
      <c r="Q17" s="1" t="n">
        <v>0</v>
      </c>
      <c r="R17" s="1" t="n">
        <f aca="false">'OD-APUMA(Val)'!R17*R$49</f>
        <v>0</v>
      </c>
      <c r="S17" s="1" t="n">
        <f aca="false">'OD-APUMA(Val)'!S17*S$49</f>
        <v>0</v>
      </c>
      <c r="T17" s="1" t="n">
        <f aca="false">'OD-APUMA(Val)'!T17*T$49</f>
        <v>0</v>
      </c>
      <c r="U17" s="1" t="n">
        <f aca="false">'OD-APUMA(Val)'!U17*U$49</f>
        <v>0</v>
      </c>
      <c r="V17" s="1" t="n">
        <f aca="false">'OD-APUMA(Val)'!V17*V$49</f>
        <v>0</v>
      </c>
      <c r="W17" s="1" t="n">
        <f aca="false">'OD-APUMA(Val)'!W17*W$49</f>
        <v>0</v>
      </c>
      <c r="X17" s="1" t="n">
        <f aca="false">'OD-APUMA(Val)'!X17*X$49</f>
        <v>185.674449052948</v>
      </c>
      <c r="Y17" s="1" t="n">
        <f aca="false">'OD-APUMA(Val)'!Y17*Y$49</f>
        <v>0</v>
      </c>
      <c r="Z17" s="1" t="n">
        <f aca="false">'OD-APUMA(Val)'!Z17*Z$49</f>
        <v>0</v>
      </c>
      <c r="AA17" s="1" t="n">
        <f aca="false">'OD-APUMA(Val)'!AA17*AA$49</f>
        <v>13689</v>
      </c>
      <c r="AB17" s="1" t="n">
        <f aca="false">'OD-APUMA(Val)'!AB17*AB$49</f>
        <v>3458</v>
      </c>
      <c r="AC17" s="1" t="n">
        <f aca="false">'OD-APUMA(Val)'!AC17*AC$49</f>
        <v>2.94796742673408</v>
      </c>
      <c r="AD17" s="1" t="n">
        <f aca="false">'OD-APUMA(Val)'!AD17*AD$49</f>
        <v>0</v>
      </c>
      <c r="AE17" s="1" t="n">
        <f aca="false">'OD-APUMA(Val)'!AE17*AE$49</f>
        <v>43.1061700348659</v>
      </c>
      <c r="AF17" s="1" t="n">
        <f aca="false">'OD-APUMA(Val)'!AF17*AF$49</f>
        <v>0</v>
      </c>
      <c r="AG17" s="1" t="n">
        <f aca="false">'OD-APUMA(Val)'!AG17*AG$49</f>
        <v>0</v>
      </c>
      <c r="AH17" s="1" t="n">
        <f aca="false">'OD-APUMA(Val)'!AH17*AH$49</f>
        <v>42.2509727489512</v>
      </c>
      <c r="AI17" s="1" t="n">
        <f aca="false">'OD-APUMA(Val)'!AI17*AI$49</f>
        <v>0</v>
      </c>
      <c r="AJ17" s="1" t="n">
        <f aca="false">'OD-APUMA(Val)'!AJ17*AJ$49</f>
        <v>0</v>
      </c>
      <c r="AK17" s="1" t="n">
        <f aca="false">'OD-APUMA(Val)'!AK17*AK$49</f>
        <v>0</v>
      </c>
      <c r="AL17" s="1" t="n">
        <f aca="false">'OD-APUMA(Val)'!AL17*AL$49</f>
        <v>0</v>
      </c>
      <c r="AM17" s="1" t="n">
        <f aca="false">'OD-APUMA(Val)'!AM17*AM$49</f>
        <v>45721</v>
      </c>
      <c r="AN17" s="1" t="n">
        <f aca="false">'OD-APUMA(Val)'!AN17*AN$49</f>
        <v>65</v>
      </c>
      <c r="AO17" s="1" t="n">
        <f aca="false">'OD-APUMA(Val)'!AO17*AO$49</f>
        <v>312</v>
      </c>
      <c r="AP17" s="1" t="n">
        <f aca="false">'OD-APUMA(Val)'!AP17*AP$49</f>
        <v>0</v>
      </c>
      <c r="AQ17" s="1" t="n">
        <f aca="false">'OD-APUMA(Val)'!AQ17*AQ$49</f>
        <v>0</v>
      </c>
      <c r="AR17" s="0" t="n">
        <f aca="false">SUM('OD-APUMA(Val)'!C17:AQ17)</f>
        <v>350818</v>
      </c>
      <c r="AS17" s="0" t="n">
        <f aca="false">MAX('OD-APUMA(Val)'!C17:AQ17)</f>
        <v>203580</v>
      </c>
      <c r="AT17" s="2" t="n">
        <f aca="false">SUM(C17:AQ17)/AR17</f>
        <v>0.415846820230595</v>
      </c>
      <c r="AU17" s="3" t="n">
        <f aca="false">AT17^4</f>
        <v>0.0299042930530973</v>
      </c>
    </row>
    <row r="18" customFormat="false" ht="12.75" hidden="false" customHeight="false" outlineLevel="0" collapsed="false">
      <c r="A18" s="0" t="n">
        <v>26</v>
      </c>
      <c r="B18" s="0" t="n">
        <v>95186</v>
      </c>
      <c r="C18" s="1" t="n">
        <f aca="false">'OD-APUMA(Val)'!C18*C$49</f>
        <v>0</v>
      </c>
      <c r="D18" s="1" t="n">
        <f aca="false">'OD-APUMA(Val)'!D18*D$49</f>
        <v>0</v>
      </c>
      <c r="E18" s="1" t="n">
        <f aca="false">'OD-APUMA(Val)'!E18*E$49</f>
        <v>2.25765739662938</v>
      </c>
      <c r="F18" s="1" t="n">
        <f aca="false">'OD-APUMA(Val)'!F18*F$49</f>
        <v>0</v>
      </c>
      <c r="G18" s="1" t="n">
        <f aca="false">'OD-APUMA(Val)'!G18*G$49</f>
        <v>59.3520896199554</v>
      </c>
      <c r="H18" s="1" t="n">
        <f aca="false">'OD-APUMA(Val)'!H18*H$49</f>
        <v>0</v>
      </c>
      <c r="I18" s="1" t="n">
        <f aca="false">'OD-APUMA(Val)'!I18*I$49</f>
        <v>0</v>
      </c>
      <c r="J18" s="1" t="n">
        <f aca="false">'OD-APUMA(Val)'!J18*J$49</f>
        <v>0</v>
      </c>
      <c r="K18" s="1" t="n">
        <f aca="false">'OD-APUMA(Val)'!K18*K$49</f>
        <v>0</v>
      </c>
      <c r="L18" s="1" t="n">
        <f aca="false">'OD-APUMA(Val)'!L18*L$49</f>
        <v>0</v>
      </c>
      <c r="M18" s="1" t="n">
        <f aca="false">'OD-APUMA(Val)'!M18*M$49</f>
        <v>169</v>
      </c>
      <c r="N18" s="1" t="n">
        <f aca="false">'OD-APUMA(Val)'!N18*N$49</f>
        <v>208</v>
      </c>
      <c r="O18" s="1" t="n">
        <f aca="false">'OD-APUMA(Val)'!O18*O$49</f>
        <v>0</v>
      </c>
      <c r="P18" s="1" t="n">
        <f aca="false">'OD-APUMA(Val)'!P18*P$49</f>
        <v>0</v>
      </c>
      <c r="Q18" s="1" t="n">
        <f aca="false">'OD-APUMA(Val)'!Q18*Q$49</f>
        <v>299</v>
      </c>
      <c r="R18" s="1" t="n">
        <v>0</v>
      </c>
      <c r="S18" s="1" t="n">
        <f aca="false">'OD-APUMA(Val)'!S18*S$49</f>
        <v>98.3849678796451</v>
      </c>
      <c r="T18" s="1" t="n">
        <f aca="false">'OD-APUMA(Val)'!T18*T$49</f>
        <v>7.21306767489624</v>
      </c>
      <c r="U18" s="1" t="n">
        <f aca="false">'OD-APUMA(Val)'!U18*U$49</f>
        <v>0</v>
      </c>
      <c r="V18" s="1" t="n">
        <f aca="false">'OD-APUMA(Val)'!V18*V$49</f>
        <v>0</v>
      </c>
      <c r="W18" s="1" t="n">
        <f aca="false">'OD-APUMA(Val)'!W18*W$49</f>
        <v>0</v>
      </c>
      <c r="X18" s="1" t="n">
        <f aca="false">'OD-APUMA(Val)'!X18*X$49</f>
        <v>0</v>
      </c>
      <c r="Y18" s="1" t="n">
        <f aca="false">'OD-APUMA(Val)'!Y18*Y$49</f>
        <v>0</v>
      </c>
      <c r="Z18" s="1" t="n">
        <f aca="false">'OD-APUMA(Val)'!Z18*Z$49</f>
        <v>0</v>
      </c>
      <c r="AA18" s="1" t="n">
        <f aca="false">'OD-APUMA(Val)'!AA18*AA$49</f>
        <v>481</v>
      </c>
      <c r="AB18" s="1" t="n">
        <f aca="false">'OD-APUMA(Val)'!AB18*AB$49</f>
        <v>247</v>
      </c>
      <c r="AC18" s="1" t="n">
        <f aca="false">'OD-APUMA(Val)'!AC18*AC$49</f>
        <v>0.736991856683521</v>
      </c>
      <c r="AD18" s="1" t="n">
        <f aca="false">'OD-APUMA(Val)'!AD18*AD$49</f>
        <v>0</v>
      </c>
      <c r="AE18" s="1" t="n">
        <f aca="false">'OD-APUMA(Val)'!AE18*AE$49</f>
        <v>38.4460435446101</v>
      </c>
      <c r="AF18" s="1" t="n">
        <f aca="false">'OD-APUMA(Val)'!AF18*AF$49</f>
        <v>1.09353762610968</v>
      </c>
      <c r="AG18" s="1" t="n">
        <f aca="false">'OD-APUMA(Val)'!AG18*AG$49</f>
        <v>0</v>
      </c>
      <c r="AH18" s="1" t="n">
        <f aca="false">'OD-APUMA(Val)'!AH18*AH$49</f>
        <v>19.2049876131596</v>
      </c>
      <c r="AI18" s="1" t="n">
        <f aca="false">'OD-APUMA(Val)'!AI18*AI$49</f>
        <v>1274</v>
      </c>
      <c r="AJ18" s="1" t="n">
        <f aca="false">'OD-APUMA(Val)'!AJ18*AJ$49</f>
        <v>0</v>
      </c>
      <c r="AK18" s="1" t="n">
        <f aca="false">'OD-APUMA(Val)'!AK18*AK$49</f>
        <v>0</v>
      </c>
      <c r="AL18" s="1" t="n">
        <f aca="false">'OD-APUMA(Val)'!AL18*AL$49</f>
        <v>2990</v>
      </c>
      <c r="AM18" s="1" t="n">
        <f aca="false">'OD-APUMA(Val)'!AM18*AM$49</f>
        <v>559</v>
      </c>
      <c r="AN18" s="1" t="n">
        <f aca="false">'OD-APUMA(Val)'!AN18*AN$49</f>
        <v>65</v>
      </c>
      <c r="AO18" s="1" t="n">
        <f aca="false">'OD-APUMA(Val)'!AO18*AO$49</f>
        <v>299</v>
      </c>
      <c r="AP18" s="1" t="n">
        <f aca="false">'OD-APUMA(Val)'!AP18*AP$49</f>
        <v>1768</v>
      </c>
      <c r="AQ18" s="1" t="n">
        <f aca="false">'OD-APUMA(Val)'!AQ18*AQ$49</f>
        <v>0</v>
      </c>
      <c r="AR18" s="0" t="n">
        <f aca="false">SUM('OD-APUMA(Val)'!C18:AQ18)</f>
        <v>59358</v>
      </c>
      <c r="AS18" s="0" t="n">
        <f aca="false">MAX('OD-APUMA(Val)'!C18:AQ18)</f>
        <v>49543</v>
      </c>
      <c r="AT18" s="2" t="n">
        <f aca="false">SUM(C18:AQ18)/AR18</f>
        <v>0.144642497105895</v>
      </c>
      <c r="AU18" s="3" t="n">
        <f aca="false">AT18^4</f>
        <v>0.000437707152492375</v>
      </c>
    </row>
    <row r="19" customFormat="false" ht="12.75" hidden="false" customHeight="false" outlineLevel="0" collapsed="false">
      <c r="A19" s="0" t="n">
        <v>27</v>
      </c>
      <c r="B19" s="0" t="n">
        <v>78299</v>
      </c>
      <c r="C19" s="1" t="n">
        <f aca="false">'OD-APUMA(Val)'!C19*C$49</f>
        <v>0</v>
      </c>
      <c r="D19" s="1" t="n">
        <f aca="false">'OD-APUMA(Val)'!D19*D$49</f>
        <v>0</v>
      </c>
      <c r="E19" s="1" t="n">
        <f aca="false">'OD-APUMA(Val)'!E19*E$49</f>
        <v>0</v>
      </c>
      <c r="F19" s="1" t="n">
        <f aca="false">'OD-APUMA(Val)'!F19*F$49</f>
        <v>0</v>
      </c>
      <c r="G19" s="1" t="n">
        <f aca="false">'OD-APUMA(Val)'!G19*G$49</f>
        <v>0</v>
      </c>
      <c r="H19" s="1" t="n">
        <f aca="false">'OD-APUMA(Val)'!H19*H$49</f>
        <v>0</v>
      </c>
      <c r="I19" s="1" t="n">
        <f aca="false">'OD-APUMA(Val)'!I19*I$49</f>
        <v>0</v>
      </c>
      <c r="J19" s="1" t="n">
        <f aca="false">'OD-APUMA(Val)'!J19*J$49</f>
        <v>0</v>
      </c>
      <c r="K19" s="1" t="n">
        <f aca="false">'OD-APUMA(Val)'!K19*K$49</f>
        <v>143</v>
      </c>
      <c r="L19" s="1" t="n">
        <f aca="false">'OD-APUMA(Val)'!L19*L$49</f>
        <v>0</v>
      </c>
      <c r="M19" s="1" t="n">
        <f aca="false">'OD-APUMA(Val)'!M19*M$49</f>
        <v>0</v>
      </c>
      <c r="N19" s="1" t="n">
        <f aca="false">'OD-APUMA(Val)'!N19*N$49</f>
        <v>0</v>
      </c>
      <c r="O19" s="1" t="n">
        <f aca="false">'OD-APUMA(Val)'!O19*O$49</f>
        <v>0</v>
      </c>
      <c r="P19" s="1" t="n">
        <f aca="false">'OD-APUMA(Val)'!P19*P$49</f>
        <v>0</v>
      </c>
      <c r="Q19" s="1" t="n">
        <f aca="false">'OD-APUMA(Val)'!Q19*Q$49</f>
        <v>0</v>
      </c>
      <c r="R19" s="1" t="n">
        <f aca="false">'OD-APUMA(Val)'!R19*R$49</f>
        <v>266.603825807197</v>
      </c>
      <c r="S19" s="1" t="n">
        <v>0</v>
      </c>
      <c r="T19" s="1" t="n">
        <f aca="false">'OD-APUMA(Val)'!T19*T$49</f>
        <v>61.311075236618</v>
      </c>
      <c r="U19" s="1" t="n">
        <f aca="false">'OD-APUMA(Val)'!U19*U$49</f>
        <v>20.2305725101902</v>
      </c>
      <c r="V19" s="1" t="n">
        <f aca="false">'OD-APUMA(Val)'!V19*V$49</f>
        <v>2.32352255023431</v>
      </c>
      <c r="W19" s="1" t="n">
        <f aca="false">'OD-APUMA(Val)'!W19*W$49</f>
        <v>1.89249328783798</v>
      </c>
      <c r="X19" s="1" t="n">
        <f aca="false">'OD-APUMA(Val)'!X19*X$49</f>
        <v>200.528404977183</v>
      </c>
      <c r="Y19" s="1" t="n">
        <f aca="false">'OD-APUMA(Val)'!Y19*Y$49</f>
        <v>0.0176973276015805</v>
      </c>
      <c r="Z19" s="1" t="n">
        <f aca="false">'OD-APUMA(Val)'!Z19*Z$49</f>
        <v>0</v>
      </c>
      <c r="AA19" s="1" t="n">
        <f aca="false">'OD-APUMA(Val)'!AA19*AA$49</f>
        <v>91</v>
      </c>
      <c r="AB19" s="1" t="n">
        <f aca="false">'OD-APUMA(Val)'!AB19*AB$49</f>
        <v>91</v>
      </c>
      <c r="AC19" s="1" t="n">
        <f aca="false">'OD-APUMA(Val)'!AC19*AC$49</f>
        <v>216.307109936613</v>
      </c>
      <c r="AD19" s="1" t="n">
        <f aca="false">'OD-APUMA(Val)'!AD19*AD$49</f>
        <v>4.13886780171399</v>
      </c>
      <c r="AE19" s="1" t="n">
        <f aca="false">'OD-APUMA(Val)'!AE19*AE$49</f>
        <v>8.1552213579476</v>
      </c>
      <c r="AF19" s="1" t="n">
        <f aca="false">'OD-APUMA(Val)'!AF19*AF$49</f>
        <v>27.8852094657969</v>
      </c>
      <c r="AG19" s="1" t="n">
        <f aca="false">'OD-APUMA(Val)'!AG19*AG$49</f>
        <v>0</v>
      </c>
      <c r="AH19" s="1" t="n">
        <f aca="false">'OD-APUMA(Val)'!AH19*AH$49</f>
        <v>0</v>
      </c>
      <c r="AI19" s="1" t="n">
        <f aca="false">'OD-APUMA(Val)'!AI19*AI$49</f>
        <v>0</v>
      </c>
      <c r="AJ19" s="1" t="n">
        <f aca="false">'OD-APUMA(Val)'!AJ19*AJ$49</f>
        <v>0</v>
      </c>
      <c r="AK19" s="1" t="n">
        <f aca="false">'OD-APUMA(Val)'!AK19*AK$49</f>
        <v>0</v>
      </c>
      <c r="AL19" s="1" t="n">
        <f aca="false">'OD-APUMA(Val)'!AL19*AL$49</f>
        <v>91</v>
      </c>
      <c r="AM19" s="1" t="n">
        <f aca="false">'OD-APUMA(Val)'!AM19*AM$49</f>
        <v>4108</v>
      </c>
      <c r="AN19" s="1" t="n">
        <f aca="false">'OD-APUMA(Val)'!AN19*AN$49</f>
        <v>91</v>
      </c>
      <c r="AO19" s="1" t="n">
        <f aca="false">'OD-APUMA(Val)'!AO19*AO$49</f>
        <v>0</v>
      </c>
      <c r="AP19" s="1" t="n">
        <f aca="false">'OD-APUMA(Val)'!AP19*AP$49</f>
        <v>260</v>
      </c>
      <c r="AQ19" s="1" t="n">
        <f aca="false">'OD-APUMA(Val)'!AQ19*AQ$49</f>
        <v>0</v>
      </c>
      <c r="AR19" s="0" t="n">
        <f aca="false">SUM('OD-APUMA(Val)'!C19:AQ19)</f>
        <v>50674</v>
      </c>
      <c r="AS19" s="0" t="n">
        <f aca="false">MAX('OD-APUMA(Val)'!C19:AQ19)</f>
        <v>34346</v>
      </c>
      <c r="AT19" s="2" t="n">
        <f aca="false">SUM(C19:AQ19)/AR19</f>
        <v>0.112175750883272</v>
      </c>
      <c r="AU19" s="3" t="n">
        <f aca="false">AT19^4</f>
        <v>0.000158341932563232</v>
      </c>
    </row>
    <row r="20" customFormat="false" ht="12.75" hidden="false" customHeight="false" outlineLevel="0" collapsed="false">
      <c r="A20" s="0" t="n">
        <v>30</v>
      </c>
      <c r="B20" s="0" t="n">
        <v>108225</v>
      </c>
      <c r="C20" s="1" t="n">
        <f aca="false">'OD-APUMA(Val)'!C20*C$49</f>
        <v>0</v>
      </c>
      <c r="D20" s="1" t="n">
        <f aca="false">'OD-APUMA(Val)'!D20*D$49</f>
        <v>0</v>
      </c>
      <c r="E20" s="1" t="n">
        <f aca="false">'OD-APUMA(Val)'!E20*E$49</f>
        <v>0</v>
      </c>
      <c r="F20" s="1" t="n">
        <f aca="false">'OD-APUMA(Val)'!F20*F$49</f>
        <v>0</v>
      </c>
      <c r="G20" s="1" t="n">
        <f aca="false">'OD-APUMA(Val)'!G20*G$49</f>
        <v>0</v>
      </c>
      <c r="H20" s="1" t="n">
        <f aca="false">'OD-APUMA(Val)'!H20*H$49</f>
        <v>0</v>
      </c>
      <c r="I20" s="1" t="n">
        <f aca="false">'OD-APUMA(Val)'!I20*I$49</f>
        <v>0</v>
      </c>
      <c r="J20" s="1" t="n">
        <f aca="false">'OD-APUMA(Val)'!J20*J$49</f>
        <v>0</v>
      </c>
      <c r="K20" s="1" t="n">
        <f aca="false">'OD-APUMA(Val)'!K20*K$49</f>
        <v>0</v>
      </c>
      <c r="L20" s="1" t="n">
        <f aca="false">'OD-APUMA(Val)'!L20*L$49</f>
        <v>0</v>
      </c>
      <c r="M20" s="1" t="n">
        <f aca="false">'OD-APUMA(Val)'!M20*M$49</f>
        <v>0</v>
      </c>
      <c r="N20" s="1" t="n">
        <f aca="false">'OD-APUMA(Val)'!N20*N$49</f>
        <v>0</v>
      </c>
      <c r="O20" s="1" t="n">
        <f aca="false">'OD-APUMA(Val)'!O20*O$49</f>
        <v>0</v>
      </c>
      <c r="P20" s="1" t="n">
        <f aca="false">'OD-APUMA(Val)'!P20*P$49</f>
        <v>182</v>
      </c>
      <c r="Q20" s="1" t="n">
        <f aca="false">'OD-APUMA(Val)'!Q20*Q$49</f>
        <v>0</v>
      </c>
      <c r="R20" s="1" t="n">
        <f aca="false">'OD-APUMA(Val)'!R20*R$49</f>
        <v>0</v>
      </c>
      <c r="S20" s="1" t="n">
        <f aca="false">'OD-APUMA(Val)'!S20*S$49</f>
        <v>238.583547108139</v>
      </c>
      <c r="T20" s="1" t="n">
        <v>0</v>
      </c>
      <c r="U20" s="1" t="n">
        <f aca="false">'OD-APUMA(Val)'!U20*U$49</f>
        <v>25.2882156377378</v>
      </c>
      <c r="V20" s="1" t="n">
        <f aca="false">'OD-APUMA(Val)'!V20*V$49</f>
        <v>0</v>
      </c>
      <c r="W20" s="1" t="n">
        <f aca="false">'OD-APUMA(Val)'!W20*W$49</f>
        <v>0</v>
      </c>
      <c r="X20" s="1" t="n">
        <f aca="false">'OD-APUMA(Val)'!X20*X$49</f>
        <v>0</v>
      </c>
      <c r="Y20" s="1" t="n">
        <f aca="false">'OD-APUMA(Val)'!Y20*Y$49</f>
        <v>0</v>
      </c>
      <c r="Z20" s="1" t="n">
        <f aca="false">'OD-APUMA(Val)'!Z20*Z$49</f>
        <v>0</v>
      </c>
      <c r="AA20" s="1" t="n">
        <f aca="false">'OD-APUMA(Val)'!AA20*AA$49</f>
        <v>52</v>
      </c>
      <c r="AB20" s="1" t="n">
        <f aca="false">'OD-APUMA(Val)'!AB20*AB$49</f>
        <v>0</v>
      </c>
      <c r="AC20" s="1" t="n">
        <f aca="false">'OD-APUMA(Val)'!AC20*AC$49</f>
        <v>16.2138208470375</v>
      </c>
      <c r="AD20" s="1" t="n">
        <f aca="false">'OD-APUMA(Val)'!AD20*AD$49</f>
        <v>0</v>
      </c>
      <c r="AE20" s="1" t="n">
        <f aca="false">'OD-APUMA(Val)'!AE20*AE$49</f>
        <v>0</v>
      </c>
      <c r="AF20" s="1" t="n">
        <f aca="false">'OD-APUMA(Val)'!AF20*AF$49</f>
        <v>0</v>
      </c>
      <c r="AG20" s="1" t="n">
        <f aca="false">'OD-APUMA(Val)'!AG20*AG$49</f>
        <v>0</v>
      </c>
      <c r="AH20" s="1" t="n">
        <f aca="false">'OD-APUMA(Val)'!AH20*AH$49</f>
        <v>0</v>
      </c>
      <c r="AI20" s="1" t="n">
        <f aca="false">'OD-APUMA(Val)'!AI20*AI$49</f>
        <v>0</v>
      </c>
      <c r="AJ20" s="1" t="n">
        <f aca="false">'OD-APUMA(Val)'!AJ20*AJ$49</f>
        <v>0</v>
      </c>
      <c r="AK20" s="1" t="n">
        <f aca="false">'OD-APUMA(Val)'!AK20*AK$49</f>
        <v>0</v>
      </c>
      <c r="AL20" s="1" t="n">
        <f aca="false">'OD-APUMA(Val)'!AL20*AL$49</f>
        <v>117</v>
      </c>
      <c r="AM20" s="1" t="n">
        <f aca="false">'OD-APUMA(Val)'!AM20*AM$49</f>
        <v>949</v>
      </c>
      <c r="AN20" s="1" t="n">
        <f aca="false">'OD-APUMA(Val)'!AN20*AN$49</f>
        <v>0</v>
      </c>
      <c r="AO20" s="1" t="n">
        <f aca="false">'OD-APUMA(Val)'!AO20*AO$49</f>
        <v>0</v>
      </c>
      <c r="AP20" s="1" t="n">
        <f aca="false">'OD-APUMA(Val)'!AP20*AP$49</f>
        <v>5148</v>
      </c>
      <c r="AQ20" s="1" t="n">
        <f aca="false">'OD-APUMA(Val)'!AQ20*AQ$49</f>
        <v>0</v>
      </c>
      <c r="AR20" s="0" t="n">
        <f aca="false">SUM('OD-APUMA(Val)'!C20:AQ20)</f>
        <v>68432</v>
      </c>
      <c r="AS20" s="0" t="n">
        <f aca="false">MAX('OD-APUMA(Val)'!C20:AQ20)</f>
        <v>59956</v>
      </c>
      <c r="AT20" s="2" t="n">
        <f aca="false">SUM(C20:AQ20)/AR20</f>
        <v>0.0983178276770066</v>
      </c>
      <c r="AU20" s="3" t="n">
        <f aca="false">AT20^4</f>
        <v>9.34391969189893E-005</v>
      </c>
    </row>
    <row r="21" customFormat="false" ht="12.75" hidden="false" customHeight="false" outlineLevel="0" collapsed="false">
      <c r="A21" s="0" t="n">
        <v>31</v>
      </c>
      <c r="B21" s="0" t="n">
        <v>63609</v>
      </c>
      <c r="C21" s="1" t="n">
        <f aca="false">'OD-APUMA(Val)'!C21*C$49</f>
        <v>0</v>
      </c>
      <c r="D21" s="1" t="n">
        <f aca="false">'OD-APUMA(Val)'!D21*D$49</f>
        <v>0</v>
      </c>
      <c r="E21" s="1" t="n">
        <f aca="false">'OD-APUMA(Val)'!E21*E$49</f>
        <v>0</v>
      </c>
      <c r="F21" s="1" t="n">
        <f aca="false">'OD-APUMA(Val)'!F21*F$49</f>
        <v>0</v>
      </c>
      <c r="G21" s="1" t="n">
        <f aca="false">'OD-APUMA(Val)'!G21*G$49</f>
        <v>0</v>
      </c>
      <c r="H21" s="1" t="n">
        <f aca="false">'OD-APUMA(Val)'!H21*H$49</f>
        <v>0</v>
      </c>
      <c r="I21" s="1" t="n">
        <f aca="false">'OD-APUMA(Val)'!I21*I$49</f>
        <v>0</v>
      </c>
      <c r="J21" s="1" t="n">
        <f aca="false">'OD-APUMA(Val)'!J21*J$49</f>
        <v>0</v>
      </c>
      <c r="K21" s="1" t="n">
        <f aca="false">'OD-APUMA(Val)'!K21*K$49</f>
        <v>0</v>
      </c>
      <c r="L21" s="1" t="n">
        <f aca="false">'OD-APUMA(Val)'!L21*L$49</f>
        <v>0</v>
      </c>
      <c r="M21" s="1" t="n">
        <f aca="false">'OD-APUMA(Val)'!M21*M$49</f>
        <v>0</v>
      </c>
      <c r="N21" s="1" t="n">
        <f aca="false">'OD-APUMA(Val)'!N21*N$49</f>
        <v>0</v>
      </c>
      <c r="O21" s="1" t="n">
        <f aca="false">'OD-APUMA(Val)'!O21*O$49</f>
        <v>0</v>
      </c>
      <c r="P21" s="1" t="n">
        <f aca="false">'OD-APUMA(Val)'!P21*P$49</f>
        <v>0</v>
      </c>
      <c r="Q21" s="1" t="n">
        <f aca="false">'OD-APUMA(Val)'!Q21*Q$49</f>
        <v>0</v>
      </c>
      <c r="R21" s="1" t="n">
        <f aca="false">'OD-APUMA(Val)'!R21*R$49</f>
        <v>0</v>
      </c>
      <c r="S21" s="1" t="n">
        <f aca="false">'OD-APUMA(Val)'!S21*S$49</f>
        <v>0</v>
      </c>
      <c r="T21" s="1" t="n">
        <f aca="false">'OD-APUMA(Val)'!T21*T$49</f>
        <v>0</v>
      </c>
      <c r="U21" s="1" t="n">
        <v>0</v>
      </c>
      <c r="V21" s="1" t="n">
        <f aca="false">'OD-APUMA(Val)'!V21*V$49</f>
        <v>3.48528382535147</v>
      </c>
      <c r="W21" s="1" t="n">
        <f aca="false">'OD-APUMA(Val)'!W21*W$49</f>
        <v>20.628176837434</v>
      </c>
      <c r="X21" s="1" t="n">
        <f aca="false">'OD-APUMA(Val)'!X21*X$49</f>
        <v>0</v>
      </c>
      <c r="Y21" s="1" t="n">
        <f aca="false">'OD-APUMA(Val)'!Y21*Y$49</f>
        <v>0</v>
      </c>
      <c r="Z21" s="1" t="n">
        <f aca="false">'OD-APUMA(Val)'!Z21*Z$49</f>
        <v>22.5874570454344</v>
      </c>
      <c r="AA21" s="1" t="n">
        <f aca="false">'OD-APUMA(Val)'!AA21*AA$49</f>
        <v>169</v>
      </c>
      <c r="AB21" s="1" t="n">
        <f aca="false">'OD-APUMA(Val)'!AB21*AB$49</f>
        <v>0</v>
      </c>
      <c r="AC21" s="1" t="n">
        <f aca="false">'OD-APUMA(Val)'!AC21*AC$49</f>
        <v>70.3827223132763</v>
      </c>
      <c r="AD21" s="1" t="n">
        <f aca="false">'OD-APUMA(Val)'!AD21*AD$49</f>
        <v>7.1489534756878</v>
      </c>
      <c r="AE21" s="1" t="n">
        <f aca="false">'OD-APUMA(Val)'!AE21*AE$49</f>
        <v>8.1552213579476</v>
      </c>
      <c r="AF21" s="1" t="n">
        <f aca="false">'OD-APUMA(Val)'!AF21*AF$49</f>
        <v>0</v>
      </c>
      <c r="AG21" s="1" t="n">
        <f aca="false">'OD-APUMA(Val)'!AG21*AG$49</f>
        <v>0</v>
      </c>
      <c r="AH21" s="1" t="n">
        <f aca="false">'OD-APUMA(Val)'!AH21*AH$49</f>
        <v>0</v>
      </c>
      <c r="AI21" s="1" t="n">
        <f aca="false">'OD-APUMA(Val)'!AI21*AI$49</f>
        <v>0</v>
      </c>
      <c r="AJ21" s="1" t="n">
        <f aca="false">'OD-APUMA(Val)'!AJ21*AJ$49</f>
        <v>0</v>
      </c>
      <c r="AK21" s="1" t="n">
        <f aca="false">'OD-APUMA(Val)'!AK21*AK$49</f>
        <v>0</v>
      </c>
      <c r="AL21" s="1" t="n">
        <f aca="false">'OD-APUMA(Val)'!AL21*AL$49</f>
        <v>0</v>
      </c>
      <c r="AM21" s="1" t="n">
        <f aca="false">'OD-APUMA(Val)'!AM21*AM$49</f>
        <v>104</v>
      </c>
      <c r="AN21" s="1" t="n">
        <f aca="false">'OD-APUMA(Val)'!AN21*AN$49</f>
        <v>0</v>
      </c>
      <c r="AO21" s="1" t="n">
        <f aca="false">'OD-APUMA(Val)'!AO21*AO$49</f>
        <v>0</v>
      </c>
      <c r="AP21" s="1" t="n">
        <f aca="false">'OD-APUMA(Val)'!AP21*AP$49</f>
        <v>0</v>
      </c>
      <c r="AQ21" s="1" t="n">
        <f aca="false">'OD-APUMA(Val)'!AQ21*AQ$49</f>
        <v>0</v>
      </c>
      <c r="AR21" s="0" t="n">
        <f aca="false">SUM('OD-APUMA(Val)'!C21:AQ21)</f>
        <v>35698</v>
      </c>
      <c r="AS21" s="0" t="n">
        <f aca="false">MAX('OD-APUMA(Val)'!C21:AQ21)</f>
        <v>30563</v>
      </c>
      <c r="AT21" s="2" t="n">
        <f aca="false">SUM(C21:AQ21)/AR21</f>
        <v>0.0113560371688927</v>
      </c>
      <c r="AU21" s="3" t="n">
        <f aca="false">AT21^4</f>
        <v>1.663057332053E-008</v>
      </c>
    </row>
    <row r="22" customFormat="false" ht="12.75" hidden="false" customHeight="false" outlineLevel="0" collapsed="false">
      <c r="A22" s="0" t="n">
        <v>32</v>
      </c>
      <c r="B22" s="0" t="n">
        <v>187317</v>
      </c>
      <c r="C22" s="1" t="n">
        <f aca="false">'OD-APUMA(Val)'!C22*C$49</f>
        <v>0</v>
      </c>
      <c r="D22" s="1" t="n">
        <f aca="false">'OD-APUMA(Val)'!D22*D$49</f>
        <v>0</v>
      </c>
      <c r="E22" s="1" t="n">
        <f aca="false">'OD-APUMA(Val)'!E22*E$49</f>
        <v>5.64414349157344</v>
      </c>
      <c r="F22" s="1" t="n">
        <f aca="false">'OD-APUMA(Val)'!F22*F$49</f>
        <v>0</v>
      </c>
      <c r="G22" s="1" t="n">
        <f aca="false">'OD-APUMA(Val)'!G22*G$49</f>
        <v>0</v>
      </c>
      <c r="H22" s="1" t="n">
        <f aca="false">'OD-APUMA(Val)'!H22*H$49</f>
        <v>0</v>
      </c>
      <c r="I22" s="1" t="n">
        <f aca="false">'OD-APUMA(Val)'!I22*I$49</f>
        <v>0</v>
      </c>
      <c r="J22" s="1" t="n">
        <f aca="false">'OD-APUMA(Val)'!J22*J$49</f>
        <v>0</v>
      </c>
      <c r="K22" s="1" t="n">
        <f aca="false">'OD-APUMA(Val)'!K22*K$49</f>
        <v>0</v>
      </c>
      <c r="L22" s="1" t="n">
        <f aca="false">'OD-APUMA(Val)'!L22*L$49</f>
        <v>0</v>
      </c>
      <c r="M22" s="1" t="n">
        <f aca="false">'OD-APUMA(Val)'!M22*M$49</f>
        <v>0</v>
      </c>
      <c r="N22" s="1" t="n">
        <f aca="false">'OD-APUMA(Val)'!N22*N$49</f>
        <v>0</v>
      </c>
      <c r="O22" s="1" t="n">
        <f aca="false">'OD-APUMA(Val)'!O22*O$49</f>
        <v>0</v>
      </c>
      <c r="P22" s="1" t="n">
        <f aca="false">'OD-APUMA(Val)'!P22*P$49</f>
        <v>0</v>
      </c>
      <c r="Q22" s="1" t="n">
        <f aca="false">'OD-APUMA(Val)'!Q22*Q$49</f>
        <v>377</v>
      </c>
      <c r="R22" s="1" t="n">
        <f aca="false">'OD-APUMA(Val)'!R22*R$49</f>
        <v>0</v>
      </c>
      <c r="S22" s="1" t="n">
        <f aca="false">'OD-APUMA(Val)'!S22*S$49</f>
        <v>0</v>
      </c>
      <c r="T22" s="1" t="n">
        <f aca="false">'OD-APUMA(Val)'!T22*T$49</f>
        <v>0.721306767489624</v>
      </c>
      <c r="U22" s="1" t="n">
        <f aca="false">'OD-APUMA(Val)'!U22*U$49</f>
        <v>0</v>
      </c>
      <c r="V22" s="1" t="n">
        <v>0</v>
      </c>
      <c r="W22" s="1" t="n">
        <f aca="false">'OD-APUMA(Val)'!W22*W$49</f>
        <v>0</v>
      </c>
      <c r="X22" s="1" t="n">
        <f aca="false">'OD-APUMA(Val)'!X22*X$49</f>
        <v>0</v>
      </c>
      <c r="Y22" s="1" t="n">
        <f aca="false">'OD-APUMA(Val)'!Y22*Y$49</f>
        <v>0</v>
      </c>
      <c r="Z22" s="1" t="n">
        <f aca="false">'OD-APUMA(Val)'!Z22*Z$49</f>
        <v>227.612067150146</v>
      </c>
      <c r="AA22" s="1" t="n">
        <f aca="false">'OD-APUMA(Val)'!AA22*AA$49</f>
        <v>156</v>
      </c>
      <c r="AB22" s="1" t="n">
        <f aca="false">'OD-APUMA(Val)'!AB22*AB$49</f>
        <v>0</v>
      </c>
      <c r="AC22" s="1" t="n">
        <f aca="false">'OD-APUMA(Val)'!AC22*AC$49</f>
        <v>4.05345521175937</v>
      </c>
      <c r="AD22" s="1" t="n">
        <f aca="false">'OD-APUMA(Val)'!AD22*AD$49</f>
        <v>0</v>
      </c>
      <c r="AE22" s="1" t="n">
        <f aca="false">'OD-APUMA(Val)'!AE22*AE$49</f>
        <v>143.298889575365</v>
      </c>
      <c r="AF22" s="1" t="n">
        <f aca="false">'OD-APUMA(Val)'!AF22*AF$49</f>
        <v>4.37415050443872</v>
      </c>
      <c r="AG22" s="1" t="n">
        <f aca="false">'OD-APUMA(Val)'!AG22*AG$49</f>
        <v>12.5199460535086</v>
      </c>
      <c r="AH22" s="1" t="n">
        <f aca="false">'OD-APUMA(Val)'!AH22*AH$49</f>
        <v>46.0919702715831</v>
      </c>
      <c r="AI22" s="1" t="n">
        <f aca="false">'OD-APUMA(Val)'!AI22*AI$49</f>
        <v>0</v>
      </c>
      <c r="AJ22" s="1" t="n">
        <f aca="false">'OD-APUMA(Val)'!AJ22*AJ$49</f>
        <v>135.342002435604</v>
      </c>
      <c r="AK22" s="1" t="n">
        <f aca="false">'OD-APUMA(Val)'!AK22*AK$49</f>
        <v>0</v>
      </c>
      <c r="AL22" s="1" t="n">
        <f aca="false">'OD-APUMA(Val)'!AL22*AL$49</f>
        <v>0</v>
      </c>
      <c r="AM22" s="1" t="n">
        <f aca="false">'OD-APUMA(Val)'!AM22*AM$49</f>
        <v>104</v>
      </c>
      <c r="AN22" s="1" t="n">
        <f aca="false">'OD-APUMA(Val)'!AN22*AN$49</f>
        <v>0</v>
      </c>
      <c r="AO22" s="1" t="n">
        <f aca="false">'OD-APUMA(Val)'!AO22*AO$49</f>
        <v>0</v>
      </c>
      <c r="AP22" s="1" t="n">
        <f aca="false">'OD-APUMA(Val)'!AP22*AP$49</f>
        <v>0</v>
      </c>
      <c r="AQ22" s="1" t="n">
        <f aca="false">'OD-APUMA(Val)'!AQ22*AQ$49</f>
        <v>217.858177499453</v>
      </c>
      <c r="AR22" s="0" t="n">
        <f aca="false">SUM('OD-APUMA(Val)'!C22:AQ22)</f>
        <v>180141</v>
      </c>
      <c r="AS22" s="0" t="n">
        <f aca="false">MAX('OD-APUMA(Val)'!C22:AQ22)</f>
        <v>169559</v>
      </c>
      <c r="AT22" s="2" t="n">
        <f aca="false">SUM(C22:AQ22)/AR22</f>
        <v>0.00796329602345341</v>
      </c>
      <c r="AU22" s="3" t="n">
        <f aca="false">AT22^4</f>
        <v>4.02134599339306E-009</v>
      </c>
    </row>
    <row r="23" customFormat="false" ht="12.75" hidden="false" customHeight="false" outlineLevel="0" collapsed="false">
      <c r="A23" s="0" t="n">
        <v>75</v>
      </c>
      <c r="B23" s="0" t="n">
        <v>192426</v>
      </c>
      <c r="C23" s="1" t="n">
        <f aca="false">'OD-APUMA(Val)'!C23*C$49</f>
        <v>0</v>
      </c>
      <c r="D23" s="1" t="n">
        <f aca="false">'OD-APUMA(Val)'!D23*D$49</f>
        <v>6.52199431882642</v>
      </c>
      <c r="E23" s="1" t="n">
        <f aca="false">'OD-APUMA(Val)'!E23*E$49</f>
        <v>0</v>
      </c>
      <c r="F23" s="1" t="n">
        <f aca="false">'OD-APUMA(Val)'!F23*F$49</f>
        <v>0</v>
      </c>
      <c r="G23" s="1" t="n">
        <f aca="false">'OD-APUMA(Val)'!G23*G$49</f>
        <v>0</v>
      </c>
      <c r="H23" s="1" t="n">
        <f aca="false">'OD-APUMA(Val)'!H23*H$49</f>
        <v>0</v>
      </c>
      <c r="I23" s="1" t="n">
        <f aca="false">'OD-APUMA(Val)'!I23*I$49</f>
        <v>0</v>
      </c>
      <c r="J23" s="1" t="n">
        <f aca="false">'OD-APUMA(Val)'!J23*J$49</f>
        <v>0</v>
      </c>
      <c r="K23" s="1" t="n">
        <f aca="false">'OD-APUMA(Val)'!K23*K$49</f>
        <v>0</v>
      </c>
      <c r="L23" s="1" t="n">
        <f aca="false">'OD-APUMA(Val)'!L23*L$49</f>
        <v>0</v>
      </c>
      <c r="M23" s="1" t="n">
        <f aca="false">'OD-APUMA(Val)'!M23*M$49</f>
        <v>0</v>
      </c>
      <c r="N23" s="1" t="n">
        <f aca="false">'OD-APUMA(Val)'!N23*N$49</f>
        <v>0</v>
      </c>
      <c r="O23" s="1" t="n">
        <f aca="false">'OD-APUMA(Val)'!O23*O$49</f>
        <v>0</v>
      </c>
      <c r="P23" s="1" t="n">
        <f aca="false">'OD-APUMA(Val)'!P23*P$49</f>
        <v>91</v>
      </c>
      <c r="Q23" s="1" t="n">
        <f aca="false">'OD-APUMA(Val)'!Q23*Q$49</f>
        <v>0</v>
      </c>
      <c r="R23" s="1" t="n">
        <f aca="false">'OD-APUMA(Val)'!R23*R$49</f>
        <v>0</v>
      </c>
      <c r="S23" s="1" t="n">
        <f aca="false">'OD-APUMA(Val)'!S23*S$49</f>
        <v>0</v>
      </c>
      <c r="T23" s="1" t="n">
        <f aca="false">'OD-APUMA(Val)'!T23*T$49</f>
        <v>0</v>
      </c>
      <c r="U23" s="1" t="n">
        <f aca="false">'OD-APUMA(Val)'!U23*U$49</f>
        <v>286.599777227695</v>
      </c>
      <c r="V23" s="1" t="n">
        <f aca="false">'OD-APUMA(Val)'!V23*V$49</f>
        <v>0</v>
      </c>
      <c r="W23" s="1" t="n">
        <v>0</v>
      </c>
      <c r="X23" s="1" t="n">
        <f aca="false">'OD-APUMA(Val)'!X23*X$49</f>
        <v>0</v>
      </c>
      <c r="Y23" s="1" t="n">
        <f aca="false">'OD-APUMA(Val)'!Y23*Y$49</f>
        <v>0</v>
      </c>
      <c r="Z23" s="1" t="n">
        <f aca="false">'OD-APUMA(Val)'!Z23*Z$49</f>
        <v>2.89582782633774</v>
      </c>
      <c r="AA23" s="1" t="n">
        <f aca="false">'OD-APUMA(Val)'!AA23*AA$49</f>
        <v>0</v>
      </c>
      <c r="AB23" s="1" t="n">
        <f aca="false">'OD-APUMA(Val)'!AB23*AB$49</f>
        <v>91</v>
      </c>
      <c r="AC23" s="1" t="n">
        <f aca="false">'OD-APUMA(Val)'!AC23*AC$49</f>
        <v>159.558736971982</v>
      </c>
      <c r="AD23" s="1" t="n">
        <f aca="false">'OD-APUMA(Val)'!AD23*AD$49</f>
        <v>76.0046632678387</v>
      </c>
      <c r="AE23" s="1" t="n">
        <f aca="false">'OD-APUMA(Val)'!AE23*AE$49</f>
        <v>44.2712016574299</v>
      </c>
      <c r="AF23" s="1" t="n">
        <f aca="false">'OD-APUMA(Val)'!AF23*AF$49</f>
        <v>1.3669220326371</v>
      </c>
      <c r="AG23" s="1" t="n">
        <f aca="false">'OD-APUMA(Val)'!AG23*AG$49</f>
        <v>37.5598381605259</v>
      </c>
      <c r="AH23" s="1" t="n">
        <f aca="false">'OD-APUMA(Val)'!AH23*AH$49</f>
        <v>38.4099752263193</v>
      </c>
      <c r="AI23" s="1" t="n">
        <f aca="false">'OD-APUMA(Val)'!AI23*AI$49</f>
        <v>0</v>
      </c>
      <c r="AJ23" s="1" t="n">
        <f aca="false">'OD-APUMA(Val)'!AJ23*AJ$49</f>
        <v>0</v>
      </c>
      <c r="AK23" s="1" t="n">
        <f aca="false">'OD-APUMA(Val)'!AK23*AK$49</f>
        <v>0</v>
      </c>
      <c r="AL23" s="1" t="n">
        <f aca="false">'OD-APUMA(Val)'!AL23*AL$49</f>
        <v>117</v>
      </c>
      <c r="AM23" s="1" t="n">
        <f aca="false">'OD-APUMA(Val)'!AM23*AM$49</f>
        <v>91</v>
      </c>
      <c r="AN23" s="1" t="n">
        <f aca="false">'OD-APUMA(Val)'!AN23*AN$49</f>
        <v>0</v>
      </c>
      <c r="AO23" s="1" t="n">
        <f aca="false">'OD-APUMA(Val)'!AO23*AO$49</f>
        <v>0</v>
      </c>
      <c r="AP23" s="1" t="n">
        <f aca="false">'OD-APUMA(Val)'!AP23*AP$49</f>
        <v>0</v>
      </c>
      <c r="AQ23" s="1" t="n">
        <f aca="false">'OD-APUMA(Val)'!AQ23*AQ$49</f>
        <v>0</v>
      </c>
      <c r="AR23" s="0" t="n">
        <f aca="false">SUM('OD-APUMA(Val)'!C23:AQ23)</f>
        <v>118170</v>
      </c>
      <c r="AS23" s="0" t="n">
        <f aca="false">MAX('OD-APUMA(Val)'!C23:AQ23)</f>
        <v>106184</v>
      </c>
      <c r="AT23" s="2" t="n">
        <f aca="false">SUM(C23:AQ23)/AR23</f>
        <v>0.0088278660970601</v>
      </c>
      <c r="AU23" s="3" t="n">
        <f aca="false">AT23^4</f>
        <v>6.07327502382133E-009</v>
      </c>
    </row>
    <row r="24" customFormat="false" ht="12.75" hidden="false" customHeight="false" outlineLevel="0" collapsed="false">
      <c r="A24" s="0" t="n">
        <v>76</v>
      </c>
      <c r="B24" s="0" t="n">
        <v>116324</v>
      </c>
      <c r="C24" s="1" t="n">
        <f aca="false">'OD-APUMA(Val)'!C24*C$49</f>
        <v>0</v>
      </c>
      <c r="D24" s="1" t="n">
        <f aca="false">'OD-APUMA(Val)'!D24*D$49</f>
        <v>0</v>
      </c>
      <c r="E24" s="1" t="n">
        <f aca="false">'OD-APUMA(Val)'!E24*E$49</f>
        <v>0</v>
      </c>
      <c r="F24" s="1" t="n">
        <f aca="false">'OD-APUMA(Val)'!F24*F$49</f>
        <v>25.8132029350694</v>
      </c>
      <c r="G24" s="1" t="n">
        <f aca="false">'OD-APUMA(Val)'!G24*G$49</f>
        <v>0</v>
      </c>
      <c r="H24" s="1" t="n">
        <f aca="false">'OD-APUMA(Val)'!H24*H$49</f>
        <v>0</v>
      </c>
      <c r="I24" s="1" t="n">
        <f aca="false">'OD-APUMA(Val)'!I24*I$49</f>
        <v>0</v>
      </c>
      <c r="J24" s="1" t="n">
        <f aca="false">'OD-APUMA(Val)'!J24*J$49</f>
        <v>0</v>
      </c>
      <c r="K24" s="1" t="n">
        <f aca="false">'OD-APUMA(Val)'!K24*K$49</f>
        <v>0</v>
      </c>
      <c r="L24" s="1" t="n">
        <f aca="false">'OD-APUMA(Val)'!L24*L$49</f>
        <v>0</v>
      </c>
      <c r="M24" s="1" t="n">
        <f aca="false">'OD-APUMA(Val)'!M24*M$49</f>
        <v>0</v>
      </c>
      <c r="N24" s="1" t="n">
        <f aca="false">'OD-APUMA(Val)'!N24*N$49</f>
        <v>0</v>
      </c>
      <c r="O24" s="1" t="n">
        <f aca="false">'OD-APUMA(Val)'!O24*O$49</f>
        <v>0</v>
      </c>
      <c r="P24" s="1" t="n">
        <f aca="false">'OD-APUMA(Val)'!P24*P$49</f>
        <v>572</v>
      </c>
      <c r="Q24" s="1" t="n">
        <f aca="false">'OD-APUMA(Val)'!Q24*Q$49</f>
        <v>1534</v>
      </c>
      <c r="R24" s="1" t="n">
        <f aca="false">'OD-APUMA(Val)'!R24*R$49</f>
        <v>0</v>
      </c>
      <c r="S24" s="1" t="n">
        <f aca="false">'OD-APUMA(Val)'!S24*S$49</f>
        <v>19.676993575929</v>
      </c>
      <c r="T24" s="1" t="n">
        <f aca="false">'OD-APUMA(Val)'!T24*T$49</f>
        <v>0</v>
      </c>
      <c r="U24" s="1" t="n">
        <f aca="false">'OD-APUMA(Val)'!U24*U$49</f>
        <v>0</v>
      </c>
      <c r="V24" s="1" t="n">
        <f aca="false">'OD-APUMA(Val)'!V24*V$49</f>
        <v>0</v>
      </c>
      <c r="W24" s="1" t="n">
        <f aca="false">'OD-APUMA(Val)'!W24*W$49</f>
        <v>0</v>
      </c>
      <c r="X24" s="1" t="n">
        <v>0</v>
      </c>
      <c r="Y24" s="1" t="n">
        <f aca="false">'OD-APUMA(Val)'!Y24*Y$49</f>
        <v>0</v>
      </c>
      <c r="Z24" s="1" t="n">
        <f aca="false">'OD-APUMA(Val)'!Z24*Z$49</f>
        <v>0</v>
      </c>
      <c r="AA24" s="1" t="n">
        <f aca="false">'OD-APUMA(Val)'!AA24*AA$49</f>
        <v>871</v>
      </c>
      <c r="AB24" s="1" t="n">
        <f aca="false">'OD-APUMA(Val)'!AB24*AB$49</f>
        <v>182</v>
      </c>
      <c r="AC24" s="1" t="n">
        <f aca="false">'OD-APUMA(Val)'!AC24*AC$49</f>
        <v>1.47398371336704</v>
      </c>
      <c r="AD24" s="1" t="n">
        <f aca="false">'OD-APUMA(Val)'!AD24*AD$49</f>
        <v>7.90147489418125</v>
      </c>
      <c r="AE24" s="1" t="n">
        <f aca="false">'OD-APUMA(Val)'!AE24*AE$49</f>
        <v>22.1356008287149</v>
      </c>
      <c r="AF24" s="1" t="n">
        <f aca="false">'OD-APUMA(Val)'!AF24*AF$49</f>
        <v>92.9506982193229</v>
      </c>
      <c r="AG24" s="1" t="n">
        <f aca="false">'OD-APUMA(Val)'!AG24*AG$49</f>
        <v>0</v>
      </c>
      <c r="AH24" s="1" t="n">
        <f aca="false">'OD-APUMA(Val)'!AH24*AH$49</f>
        <v>0</v>
      </c>
      <c r="AI24" s="1" t="n">
        <f aca="false">'OD-APUMA(Val)'!AI24*AI$49</f>
        <v>0</v>
      </c>
      <c r="AJ24" s="1" t="n">
        <f aca="false">'OD-APUMA(Val)'!AJ24*AJ$49</f>
        <v>0</v>
      </c>
      <c r="AK24" s="1" t="n">
        <f aca="false">'OD-APUMA(Val)'!AK24*AK$49</f>
        <v>0</v>
      </c>
      <c r="AL24" s="1" t="n">
        <f aca="false">'OD-APUMA(Val)'!AL24*AL$49</f>
        <v>0</v>
      </c>
      <c r="AM24" s="1" t="n">
        <f aca="false">'OD-APUMA(Val)'!AM24*AM$49</f>
        <v>15444</v>
      </c>
      <c r="AN24" s="1" t="n">
        <f aca="false">'OD-APUMA(Val)'!AN24*AN$49</f>
        <v>0</v>
      </c>
      <c r="AO24" s="1" t="n">
        <f aca="false">'OD-APUMA(Val)'!AO24*AO$49</f>
        <v>0</v>
      </c>
      <c r="AP24" s="1" t="n">
        <f aca="false">'OD-APUMA(Val)'!AP24*AP$49</f>
        <v>104</v>
      </c>
      <c r="AQ24" s="1" t="n">
        <f aca="false">'OD-APUMA(Val)'!AQ24*AQ$49</f>
        <v>9.83875640320109</v>
      </c>
      <c r="AR24" s="0" t="n">
        <f aca="false">SUM('OD-APUMA(Val)'!C24:AQ24)</f>
        <v>112996</v>
      </c>
      <c r="AS24" s="0" t="n">
        <f aca="false">MAX('OD-APUMA(Val)'!C24:AQ24)</f>
        <v>88868</v>
      </c>
      <c r="AT24" s="2" t="n">
        <f aca="false">SUM(C24:AQ24)/AR24</f>
        <v>0.167145657461944</v>
      </c>
      <c r="AU24" s="3" t="n">
        <f aca="false">AT24^4</f>
        <v>0.00078051345019771</v>
      </c>
    </row>
    <row r="25" customFormat="false" ht="12.75" hidden="false" customHeight="false" outlineLevel="0" collapsed="false">
      <c r="A25" s="0" t="n">
        <v>77</v>
      </c>
      <c r="B25" s="0" t="n">
        <v>73463</v>
      </c>
      <c r="C25" s="1" t="n">
        <f aca="false">'OD-APUMA(Val)'!C25*C$49</f>
        <v>0</v>
      </c>
      <c r="D25" s="1" t="n">
        <f aca="false">'OD-APUMA(Val)'!D25*D$49</f>
        <v>0</v>
      </c>
      <c r="E25" s="1" t="n">
        <f aca="false">'OD-APUMA(Val)'!E25*E$49</f>
        <v>0</v>
      </c>
      <c r="F25" s="1" t="n">
        <f aca="false">'OD-APUMA(Val)'!F25*F$49</f>
        <v>68.0529895560921</v>
      </c>
      <c r="G25" s="1" t="n">
        <f aca="false">'OD-APUMA(Val)'!G25*G$49</f>
        <v>0</v>
      </c>
      <c r="H25" s="1" t="n">
        <f aca="false">'OD-APUMA(Val)'!H25*H$49</f>
        <v>0</v>
      </c>
      <c r="I25" s="1" t="n">
        <f aca="false">'OD-APUMA(Val)'!I25*I$49</f>
        <v>0</v>
      </c>
      <c r="J25" s="1" t="n">
        <f aca="false">'OD-APUMA(Val)'!J25*J$49</f>
        <v>0</v>
      </c>
      <c r="K25" s="1" t="n">
        <f aca="false">'OD-APUMA(Val)'!K25*K$49</f>
        <v>0</v>
      </c>
      <c r="L25" s="1" t="n">
        <f aca="false">'OD-APUMA(Val)'!L25*L$49</f>
        <v>0</v>
      </c>
      <c r="M25" s="1" t="n">
        <f aca="false">'OD-APUMA(Val)'!M25*M$49</f>
        <v>0</v>
      </c>
      <c r="N25" s="1" t="n">
        <f aca="false">'OD-APUMA(Val)'!N25*N$49</f>
        <v>0</v>
      </c>
      <c r="O25" s="1" t="n">
        <f aca="false">'OD-APUMA(Val)'!O25*O$49</f>
        <v>39</v>
      </c>
      <c r="P25" s="1" t="n">
        <f aca="false">'OD-APUMA(Val)'!P25*P$49</f>
        <v>0</v>
      </c>
      <c r="Q25" s="1" t="n">
        <f aca="false">'OD-APUMA(Val)'!Q25*Q$49</f>
        <v>0</v>
      </c>
      <c r="R25" s="1" t="n">
        <f aca="false">'OD-APUMA(Val)'!R25*R$49</f>
        <v>0</v>
      </c>
      <c r="S25" s="1" t="n">
        <f aca="false">'OD-APUMA(Val)'!S25*S$49</f>
        <v>0</v>
      </c>
      <c r="T25" s="1" t="n">
        <f aca="false">'OD-APUMA(Val)'!T25*T$49</f>
        <v>0</v>
      </c>
      <c r="U25" s="1" t="n">
        <f aca="false">'OD-APUMA(Val)'!U25*U$49</f>
        <v>0</v>
      </c>
      <c r="V25" s="1" t="n">
        <f aca="false">'OD-APUMA(Val)'!V25*V$49</f>
        <v>0</v>
      </c>
      <c r="W25" s="1" t="n">
        <f aca="false">'OD-APUMA(Val)'!W25*W$49</f>
        <v>0</v>
      </c>
      <c r="X25" s="1" t="n">
        <f aca="false">'OD-APUMA(Val)'!X25*X$49</f>
        <v>0</v>
      </c>
      <c r="Y25" s="1" t="n">
        <v>0</v>
      </c>
      <c r="Z25" s="1" t="n">
        <f aca="false">'OD-APUMA(Val)'!Z25*Z$49</f>
        <v>0</v>
      </c>
      <c r="AA25" s="1" t="n">
        <f aca="false">'OD-APUMA(Val)'!AA25*AA$49</f>
        <v>78</v>
      </c>
      <c r="AB25" s="1" t="n">
        <f aca="false">'OD-APUMA(Val)'!AB25*AB$49</f>
        <v>0</v>
      </c>
      <c r="AC25" s="1" t="n">
        <f aca="false">'OD-APUMA(Val)'!AC25*AC$49</f>
        <v>0</v>
      </c>
      <c r="AD25" s="1" t="n">
        <f aca="false">'OD-APUMA(Val)'!AD25*AD$49</f>
        <v>0</v>
      </c>
      <c r="AE25" s="1" t="n">
        <f aca="false">'OD-APUMA(Val)'!AE25*AE$49</f>
        <v>13.9803794707673</v>
      </c>
      <c r="AF25" s="1" t="n">
        <f aca="false">'OD-APUMA(Val)'!AF25*AF$49</f>
        <v>0</v>
      </c>
      <c r="AG25" s="1" t="n">
        <f aca="false">'OD-APUMA(Val)'!AG25*AG$49</f>
        <v>0</v>
      </c>
      <c r="AH25" s="1" t="n">
        <f aca="false">'OD-APUMA(Val)'!AH25*AH$49</f>
        <v>184.367881086333</v>
      </c>
      <c r="AI25" s="1" t="n">
        <f aca="false">'OD-APUMA(Val)'!AI25*AI$49</f>
        <v>78</v>
      </c>
      <c r="AJ25" s="1" t="n">
        <f aca="false">'OD-APUMA(Val)'!AJ25*AJ$49</f>
        <v>0</v>
      </c>
      <c r="AK25" s="1" t="n">
        <f aca="false">'OD-APUMA(Val)'!AK25*AK$49</f>
        <v>0</v>
      </c>
      <c r="AL25" s="1" t="n">
        <f aca="false">'OD-APUMA(Val)'!AL25*AL$49</f>
        <v>0</v>
      </c>
      <c r="AM25" s="1" t="n">
        <f aca="false">'OD-APUMA(Val)'!AM25*AM$49</f>
        <v>0</v>
      </c>
      <c r="AN25" s="1" t="n">
        <f aca="false">'OD-APUMA(Val)'!AN25*AN$49</f>
        <v>0</v>
      </c>
      <c r="AO25" s="1" t="n">
        <f aca="false">'OD-APUMA(Val)'!AO25*AO$49</f>
        <v>0</v>
      </c>
      <c r="AP25" s="1" t="n">
        <f aca="false">'OD-APUMA(Val)'!AP25*AP$49</f>
        <v>0</v>
      </c>
      <c r="AQ25" s="1" t="n">
        <f aca="false">'OD-APUMA(Val)'!AQ25*AQ$49</f>
        <v>0</v>
      </c>
      <c r="AR25" s="0" t="n">
        <f aca="false">SUM('OD-APUMA(Val)'!C25:AQ25)</f>
        <v>34944</v>
      </c>
      <c r="AS25" s="0" t="n">
        <f aca="false">MAX('OD-APUMA(Val)'!C25:AQ25)</f>
        <v>33397</v>
      </c>
      <c r="AT25" s="2" t="n">
        <f aca="false">SUM(C25:AQ25)/AR25</f>
        <v>0.0132040192912429</v>
      </c>
      <c r="AU25" s="3" t="n">
        <f aca="false">AT25^4</f>
        <v>3.03965714571658E-008</v>
      </c>
    </row>
    <row r="26" customFormat="false" ht="12.75" hidden="false" customHeight="false" outlineLevel="0" collapsed="false">
      <c r="A26" s="0" t="n">
        <v>80</v>
      </c>
      <c r="B26" s="0" t="n">
        <v>118885</v>
      </c>
      <c r="C26" s="1" t="n">
        <f aca="false">'OD-APUMA(Val)'!C26*C$49</f>
        <v>0</v>
      </c>
      <c r="D26" s="1" t="n">
        <f aca="false">'OD-APUMA(Val)'!D26*D$49</f>
        <v>15.4897365072128</v>
      </c>
      <c r="E26" s="1" t="n">
        <f aca="false">'OD-APUMA(Val)'!E26*E$49</f>
        <v>0</v>
      </c>
      <c r="F26" s="1" t="n">
        <f aca="false">'OD-APUMA(Val)'!F26*F$49</f>
        <v>0</v>
      </c>
      <c r="G26" s="1" t="n">
        <f aca="false">'OD-APUMA(Val)'!G26*G$49</f>
        <v>0</v>
      </c>
      <c r="H26" s="1" t="n">
        <f aca="false">'OD-APUMA(Val)'!H26*H$49</f>
        <v>0</v>
      </c>
      <c r="I26" s="1" t="n">
        <f aca="false">'OD-APUMA(Val)'!I26*I$49</f>
        <v>0</v>
      </c>
      <c r="J26" s="1" t="n">
        <f aca="false">'OD-APUMA(Val)'!J26*J$49</f>
        <v>0</v>
      </c>
      <c r="K26" s="1" t="n">
        <f aca="false">'OD-APUMA(Val)'!K26*K$49</f>
        <v>0</v>
      </c>
      <c r="L26" s="1" t="n">
        <f aca="false">'OD-APUMA(Val)'!L26*L$49</f>
        <v>0</v>
      </c>
      <c r="M26" s="1" t="n">
        <f aca="false">'OD-APUMA(Val)'!M26*M$49</f>
        <v>0</v>
      </c>
      <c r="N26" s="1" t="n">
        <f aca="false">'OD-APUMA(Val)'!N26*N$49</f>
        <v>0</v>
      </c>
      <c r="O26" s="1" t="n">
        <f aca="false">'OD-APUMA(Val)'!O26*O$49</f>
        <v>0</v>
      </c>
      <c r="P26" s="1" t="n">
        <f aca="false">'OD-APUMA(Val)'!P26*P$49</f>
        <v>104</v>
      </c>
      <c r="Q26" s="1" t="n">
        <f aca="false">'OD-APUMA(Val)'!Q26*Q$49</f>
        <v>91</v>
      </c>
      <c r="R26" s="1" t="n">
        <f aca="false">'OD-APUMA(Val)'!R26*R$49</f>
        <v>0</v>
      </c>
      <c r="S26" s="1" t="n">
        <f aca="false">'OD-APUMA(Val)'!S26*S$49</f>
        <v>0</v>
      </c>
      <c r="T26" s="1" t="n">
        <f aca="false">'OD-APUMA(Val)'!T26*T$49</f>
        <v>0</v>
      </c>
      <c r="U26" s="1" t="n">
        <f aca="false">'OD-APUMA(Val)'!U26*U$49</f>
        <v>21.9164535527061</v>
      </c>
      <c r="V26" s="1" t="n">
        <f aca="false">'OD-APUMA(Val)'!V26*V$49</f>
        <v>178.136728851297</v>
      </c>
      <c r="W26" s="1" t="n">
        <f aca="false">'OD-APUMA(Val)'!W26*W$49</f>
        <v>0</v>
      </c>
      <c r="X26" s="1" t="n">
        <f aca="false">'OD-APUMA(Val)'!X26*X$49</f>
        <v>0</v>
      </c>
      <c r="Y26" s="1" t="n">
        <f aca="false">'OD-APUMA(Val)'!Y26*Y$49</f>
        <v>0</v>
      </c>
      <c r="Z26" s="1" t="n">
        <v>0</v>
      </c>
      <c r="AA26" s="1" t="n">
        <f aca="false">'OD-APUMA(Val)'!AA26*AA$49</f>
        <v>0</v>
      </c>
      <c r="AB26" s="1" t="n">
        <f aca="false">'OD-APUMA(Val)'!AB26*AB$49</f>
        <v>78</v>
      </c>
      <c r="AC26" s="1" t="n">
        <f aca="false">'OD-APUMA(Val)'!AC26*AC$49</f>
        <v>0</v>
      </c>
      <c r="AD26" s="1" t="n">
        <f aca="false">'OD-APUMA(Val)'!AD26*AD$49</f>
        <v>7.52521418493452</v>
      </c>
      <c r="AE26" s="1" t="n">
        <f aca="false">'OD-APUMA(Val)'!AE26*AE$49</f>
        <v>53.5914546379414</v>
      </c>
      <c r="AF26" s="1" t="n">
        <f aca="false">'OD-APUMA(Val)'!AF26*AF$49</f>
        <v>2.18707525221936</v>
      </c>
      <c r="AG26" s="1" t="n">
        <f aca="false">'OD-APUMA(Val)'!AG26*AG$49</f>
        <v>0</v>
      </c>
      <c r="AH26" s="1" t="n">
        <f aca="false">'OD-APUMA(Val)'!AH26*AH$49</f>
        <v>0</v>
      </c>
      <c r="AI26" s="1" t="n">
        <f aca="false">'OD-APUMA(Val)'!AI26*AI$49</f>
        <v>221</v>
      </c>
      <c r="AJ26" s="1" t="n">
        <f aca="false">'OD-APUMA(Val)'!AJ26*AJ$49</f>
        <v>0</v>
      </c>
      <c r="AK26" s="1" t="n">
        <f aca="false">'OD-APUMA(Val)'!AK26*AK$49</f>
        <v>0</v>
      </c>
      <c r="AL26" s="1" t="n">
        <f aca="false">'OD-APUMA(Val)'!AL26*AL$49</f>
        <v>0</v>
      </c>
      <c r="AM26" s="1" t="n">
        <f aca="false">'OD-APUMA(Val)'!AM26*AM$49</f>
        <v>247</v>
      </c>
      <c r="AN26" s="1" t="n">
        <f aca="false">'OD-APUMA(Val)'!AN26*AN$49</f>
        <v>0</v>
      </c>
      <c r="AO26" s="1" t="n">
        <f aca="false">'OD-APUMA(Val)'!AO26*AO$49</f>
        <v>0</v>
      </c>
      <c r="AP26" s="1" t="n">
        <f aca="false">'OD-APUMA(Val)'!AP26*AP$49</f>
        <v>91</v>
      </c>
      <c r="AQ26" s="1" t="n">
        <f aca="false">'OD-APUMA(Val)'!AQ26*AQ$49</f>
        <v>33.7328790966894</v>
      </c>
      <c r="AR26" s="0" t="n">
        <f aca="false">SUM('OD-APUMA(Val)'!C26:AQ26)</f>
        <v>91208</v>
      </c>
      <c r="AS26" s="0" t="n">
        <f aca="false">MAX('OD-APUMA(Val)'!C26:AQ26)</f>
        <v>82537</v>
      </c>
      <c r="AT26" s="2" t="n">
        <f aca="false">SUM(C26:AQ26)/AR26</f>
        <v>0.012549113477798</v>
      </c>
      <c r="AU26" s="3" t="n">
        <f aca="false">AT26^4</f>
        <v>2.48000288498742E-008</v>
      </c>
    </row>
    <row r="27" customFormat="false" ht="12.75" hidden="false" customHeight="false" outlineLevel="0" collapsed="false">
      <c r="A27" s="0" t="n">
        <v>86</v>
      </c>
      <c r="B27" s="0" t="n">
        <v>634894</v>
      </c>
      <c r="C27" s="1" t="n">
        <f aca="false">'OD-APUMA(Val)'!C27*C$49</f>
        <v>10.4714906717127</v>
      </c>
      <c r="D27" s="1" t="n">
        <f aca="false">'OD-APUMA(Val)'!D27*D$49</f>
        <v>4.89149573911982</v>
      </c>
      <c r="E27" s="1" t="n">
        <f aca="false">'OD-APUMA(Val)'!E27*E$49</f>
        <v>11.2882869831469</v>
      </c>
      <c r="F27" s="1" t="n">
        <f aca="false">'OD-APUMA(Val)'!F27*F$49</f>
        <v>0</v>
      </c>
      <c r="G27" s="1" t="n">
        <f aca="false">'OD-APUMA(Val)'!G27*G$49</f>
        <v>0</v>
      </c>
      <c r="H27" s="1" t="n">
        <f aca="false">'OD-APUMA(Val)'!H27*H$49</f>
        <v>2.58354082270865</v>
      </c>
      <c r="I27" s="1" t="n">
        <f aca="false">'OD-APUMA(Val)'!I27*I$49</f>
        <v>0</v>
      </c>
      <c r="J27" s="1" t="n">
        <f aca="false">'OD-APUMA(Val)'!J27*J$49</f>
        <v>0</v>
      </c>
      <c r="K27" s="1" t="n">
        <f aca="false">'OD-APUMA(Val)'!K27*K$49</f>
        <v>169</v>
      </c>
      <c r="L27" s="1" t="n">
        <f aca="false">'OD-APUMA(Val)'!L27*L$49</f>
        <v>91</v>
      </c>
      <c r="M27" s="1" t="n">
        <f aca="false">'OD-APUMA(Val)'!M27*M$49</f>
        <v>286</v>
      </c>
      <c r="N27" s="1" t="n">
        <f aca="false">'OD-APUMA(Val)'!N27*N$49</f>
        <v>195</v>
      </c>
      <c r="O27" s="1" t="n">
        <f aca="false">'OD-APUMA(Val)'!O27*O$49</f>
        <v>2028</v>
      </c>
      <c r="P27" s="1" t="n">
        <f aca="false">'OD-APUMA(Val)'!P27*P$49</f>
        <v>61607</v>
      </c>
      <c r="Q27" s="1" t="n">
        <f aca="false">'OD-APUMA(Val)'!Q27*Q$49</f>
        <v>24635</v>
      </c>
      <c r="R27" s="1" t="n">
        <f aca="false">'OD-APUMA(Val)'!R27*R$49</f>
        <v>0</v>
      </c>
      <c r="S27" s="1" t="n">
        <f aca="false">'OD-APUMA(Val)'!S27*S$49</f>
        <v>0</v>
      </c>
      <c r="T27" s="1" t="n">
        <f aca="false">'OD-APUMA(Val)'!T27*T$49</f>
        <v>0</v>
      </c>
      <c r="U27" s="1" t="n">
        <f aca="false">'OD-APUMA(Val)'!U27*U$49</f>
        <v>0</v>
      </c>
      <c r="V27" s="1" t="n">
        <f aca="false">'OD-APUMA(Val)'!V27*V$49</f>
        <v>0</v>
      </c>
      <c r="W27" s="1" t="n">
        <f aca="false">'OD-APUMA(Val)'!W27*W$49</f>
        <v>0</v>
      </c>
      <c r="X27" s="1" t="n">
        <f aca="false">'OD-APUMA(Val)'!X27*X$49</f>
        <v>252.517250712009</v>
      </c>
      <c r="Y27" s="1" t="n">
        <f aca="false">'OD-APUMA(Val)'!Y27*Y$49</f>
        <v>0</v>
      </c>
      <c r="Z27" s="1" t="n">
        <f aca="false">'OD-APUMA(Val)'!Z27*Z$49</f>
        <v>0</v>
      </c>
      <c r="AA27" s="1" t="n">
        <v>0</v>
      </c>
      <c r="AB27" s="1" t="n">
        <f aca="false">'OD-APUMA(Val)'!AB27*AB$49</f>
        <v>35737</v>
      </c>
      <c r="AC27" s="1" t="n">
        <f aca="false">'OD-APUMA(Val)'!AC27*AC$49</f>
        <v>1.8424796417088</v>
      </c>
      <c r="AD27" s="1" t="n">
        <f aca="false">'OD-APUMA(Val)'!AD27*AD$49</f>
        <v>0</v>
      </c>
      <c r="AE27" s="1" t="n">
        <f aca="false">'OD-APUMA(Val)'!AE27*AE$49</f>
        <v>158.444300668696</v>
      </c>
      <c r="AF27" s="1" t="n">
        <f aca="false">'OD-APUMA(Val)'!AF27*AF$49</f>
        <v>0</v>
      </c>
      <c r="AG27" s="1" t="n">
        <f aca="false">'OD-APUMA(Val)'!AG27*AG$49</f>
        <v>35.7712744385961</v>
      </c>
      <c r="AH27" s="1" t="n">
        <f aca="false">'OD-APUMA(Val)'!AH27*AH$49</f>
        <v>0</v>
      </c>
      <c r="AI27" s="1" t="n">
        <f aca="false">'OD-APUMA(Val)'!AI27*AI$49</f>
        <v>481</v>
      </c>
      <c r="AJ27" s="1" t="n">
        <f aca="false">'OD-APUMA(Val)'!AJ27*AJ$49</f>
        <v>0</v>
      </c>
      <c r="AK27" s="1" t="n">
        <f aca="false">'OD-APUMA(Val)'!AK27*AK$49</f>
        <v>0</v>
      </c>
      <c r="AL27" s="1" t="n">
        <f aca="false">'OD-APUMA(Val)'!AL27*AL$49</f>
        <v>793</v>
      </c>
      <c r="AM27" s="1" t="n">
        <f aca="false">'OD-APUMA(Val)'!AM27*AM$49</f>
        <v>52273</v>
      </c>
      <c r="AN27" s="1" t="n">
        <f aca="false">'OD-APUMA(Val)'!AN27*AN$49</f>
        <v>1404</v>
      </c>
      <c r="AO27" s="1" t="n">
        <f aca="false">'OD-APUMA(Val)'!AO27*AO$49</f>
        <v>1027</v>
      </c>
      <c r="AP27" s="1" t="n">
        <f aca="false">'OD-APUMA(Val)'!AP27*AP$49</f>
        <v>299</v>
      </c>
      <c r="AQ27" s="1" t="n">
        <f aca="false">'OD-APUMA(Val)'!AQ27*AQ$49</f>
        <v>0</v>
      </c>
      <c r="AR27" s="0" t="n">
        <f aca="false">SUM('OD-APUMA(Val)'!C27:AQ27)</f>
        <v>632060</v>
      </c>
      <c r="AS27" s="0" t="n">
        <f aca="false">MAX('OD-APUMA(Val)'!C27:AQ27)</f>
        <v>448058</v>
      </c>
      <c r="AT27" s="2" t="n">
        <f aca="false">SUM(C27:AQ27)/AR27</f>
        <v>0.287160728601205</v>
      </c>
      <c r="AU27" s="3" t="n">
        <f aca="false">AT27^4</f>
        <v>0.00679986336730259</v>
      </c>
    </row>
    <row r="28" customFormat="false" ht="12.75" hidden="false" customHeight="false" outlineLevel="0" collapsed="false">
      <c r="A28" s="0" t="n">
        <v>87</v>
      </c>
      <c r="B28" s="0" t="n">
        <v>401882</v>
      </c>
      <c r="C28" s="1" t="n">
        <f aca="false">'OD-APUMA(Val)'!C28*C$49</f>
        <v>31.4144720151382</v>
      </c>
      <c r="D28" s="1" t="n">
        <f aca="false">'OD-APUMA(Val)'!D28*D$49</f>
        <v>7.33724360867973</v>
      </c>
      <c r="E28" s="1" t="n">
        <f aca="false">'OD-APUMA(Val)'!E28*E$49</f>
        <v>0</v>
      </c>
      <c r="F28" s="1" t="n">
        <f aca="false">'OD-APUMA(Val)'!F28*F$49</f>
        <v>32.8531673719065</v>
      </c>
      <c r="G28" s="1" t="n">
        <f aca="false">'OD-APUMA(Val)'!G28*G$49</f>
        <v>0</v>
      </c>
      <c r="H28" s="1" t="n">
        <f aca="false">'OD-APUMA(Val)'!H28*H$49</f>
        <v>2.58354082270865</v>
      </c>
      <c r="I28" s="1" t="n">
        <f aca="false">'OD-APUMA(Val)'!I28*I$49</f>
        <v>0</v>
      </c>
      <c r="J28" s="1" t="n">
        <f aca="false">'OD-APUMA(Val)'!J28*J$49</f>
        <v>0</v>
      </c>
      <c r="K28" s="1" t="n">
        <f aca="false">'OD-APUMA(Val)'!K28*K$49</f>
        <v>533</v>
      </c>
      <c r="L28" s="1" t="n">
        <f aca="false">'OD-APUMA(Val)'!L28*L$49</f>
        <v>156</v>
      </c>
      <c r="M28" s="1" t="n">
        <f aca="false">'OD-APUMA(Val)'!M28*M$49</f>
        <v>338</v>
      </c>
      <c r="N28" s="1" t="n">
        <f aca="false">'OD-APUMA(Val)'!N28*N$49</f>
        <v>234</v>
      </c>
      <c r="O28" s="1" t="n">
        <f aca="false">'OD-APUMA(Val)'!O28*O$49</f>
        <v>3653</v>
      </c>
      <c r="P28" s="1" t="n">
        <f aca="false">'OD-APUMA(Val)'!P28*P$49</f>
        <v>45435</v>
      </c>
      <c r="Q28" s="1" t="n">
        <f aca="false">'OD-APUMA(Val)'!Q28*Q$49</f>
        <v>7215</v>
      </c>
      <c r="R28" s="1" t="n">
        <f aca="false">'OD-APUMA(Val)'!R28*R$49</f>
        <v>80.789038123393</v>
      </c>
      <c r="S28" s="1" t="n">
        <f aca="false">'OD-APUMA(Val)'!S28*S$49</f>
        <v>0</v>
      </c>
      <c r="T28" s="1" t="n">
        <f aca="false">'OD-APUMA(Val)'!T28*T$49</f>
        <v>0</v>
      </c>
      <c r="U28" s="1" t="n">
        <f aca="false">'OD-APUMA(Val)'!U28*U$49</f>
        <v>15.1729293826427</v>
      </c>
      <c r="V28" s="1" t="n">
        <f aca="false">'OD-APUMA(Val)'!V28*V$49</f>
        <v>3.09803006697908</v>
      </c>
      <c r="W28" s="1" t="n">
        <f aca="false">'OD-APUMA(Val)'!W28*W$49</f>
        <v>1.70324395905418</v>
      </c>
      <c r="X28" s="1" t="n">
        <f aca="false">'OD-APUMA(Val)'!X28*X$49</f>
        <v>29.7079118484716</v>
      </c>
      <c r="Y28" s="1" t="n">
        <f aca="false">'OD-APUMA(Val)'!Y28*Y$49</f>
        <v>0</v>
      </c>
      <c r="Z28" s="1" t="n">
        <f aca="false">'OD-APUMA(Val)'!Z28*Z$49</f>
        <v>2.31666226107019</v>
      </c>
      <c r="AA28" s="1" t="n">
        <f aca="false">'OD-APUMA(Val)'!AA28*AA$49</f>
        <v>83265</v>
      </c>
      <c r="AB28" s="1" t="n">
        <v>0</v>
      </c>
      <c r="AC28" s="1" t="n">
        <f aca="false">'OD-APUMA(Val)'!AC28*AC$49</f>
        <v>2.94796742673408</v>
      </c>
      <c r="AD28" s="1" t="n">
        <f aca="false">'OD-APUMA(Val)'!AD28*AD$49</f>
        <v>0</v>
      </c>
      <c r="AE28" s="1" t="n">
        <f aca="false">'OD-APUMA(Val)'!AE28*AE$49</f>
        <v>72.2319605989645</v>
      </c>
      <c r="AF28" s="1" t="n">
        <f aca="false">'OD-APUMA(Val)'!AF28*AF$49</f>
        <v>0</v>
      </c>
      <c r="AG28" s="1" t="n">
        <f aca="false">'OD-APUMA(Val)'!AG28*AG$49</f>
        <v>28.6170195508769</v>
      </c>
      <c r="AH28" s="1" t="n">
        <f aca="false">'OD-APUMA(Val)'!AH28*AH$49</f>
        <v>0</v>
      </c>
      <c r="AI28" s="1" t="n">
        <f aca="false">'OD-APUMA(Val)'!AI28*AI$49</f>
        <v>559</v>
      </c>
      <c r="AJ28" s="1" t="n">
        <f aca="false">'OD-APUMA(Val)'!AJ28*AJ$49</f>
        <v>47.5525954503472</v>
      </c>
      <c r="AK28" s="1" t="n">
        <f aca="false">'OD-APUMA(Val)'!AK28*AK$49</f>
        <v>0</v>
      </c>
      <c r="AL28" s="1" t="n">
        <f aca="false">'OD-APUMA(Val)'!AL28*AL$49</f>
        <v>624</v>
      </c>
      <c r="AM28" s="1" t="n">
        <f aca="false">'OD-APUMA(Val)'!AM28*AM$49</f>
        <v>5668</v>
      </c>
      <c r="AN28" s="1" t="n">
        <f aca="false">'OD-APUMA(Val)'!AN28*AN$49</f>
        <v>6058</v>
      </c>
      <c r="AO28" s="1" t="n">
        <f aca="false">'OD-APUMA(Val)'!AO28*AO$49</f>
        <v>442</v>
      </c>
      <c r="AP28" s="1" t="n">
        <f aca="false">'OD-APUMA(Val)'!AP28*AP$49</f>
        <v>0</v>
      </c>
      <c r="AQ28" s="1" t="n">
        <f aca="false">'OD-APUMA(Val)'!AQ28*AQ$49</f>
        <v>0</v>
      </c>
      <c r="AR28" s="0" t="n">
        <f aca="false">SUM('OD-APUMA(Val)'!C28:AQ28)</f>
        <v>401219</v>
      </c>
      <c r="AS28" s="0" t="n">
        <f aca="false">MAX('OD-APUMA(Val)'!C28:AQ28)</f>
        <v>243971</v>
      </c>
      <c r="AT28" s="2" t="n">
        <f aca="false">SUM(C28:AQ28)/AR28</f>
        <v>0.385172002777752</v>
      </c>
      <c r="AU28" s="3" t="n">
        <f aca="false">AT28^4</f>
        <v>0.0220099394162855</v>
      </c>
    </row>
    <row r="29" customFormat="false" ht="12.75" hidden="false" customHeight="false" outlineLevel="0" collapsed="false">
      <c r="A29" s="0" t="n">
        <v>88</v>
      </c>
      <c r="B29" s="0" t="n">
        <v>405808</v>
      </c>
      <c r="C29" s="1" t="n">
        <f aca="false">'OD-APUMA(Val)'!C29*C$49</f>
        <v>0</v>
      </c>
      <c r="D29" s="1" t="n">
        <f aca="false">'OD-APUMA(Val)'!D29*D$49</f>
        <v>7.33724360867973</v>
      </c>
      <c r="E29" s="1" t="n">
        <f aca="false">'OD-APUMA(Val)'!E29*E$49</f>
        <v>0</v>
      </c>
      <c r="F29" s="1" t="n">
        <f aca="false">'OD-APUMA(Val)'!F29*F$49</f>
        <v>63.3596799315341</v>
      </c>
      <c r="G29" s="1" t="n">
        <f aca="false">'OD-APUMA(Val)'!G29*G$49</f>
        <v>55.6425840187082</v>
      </c>
      <c r="H29" s="1" t="n">
        <f aca="false">'OD-APUMA(Val)'!H29*H$49</f>
        <v>3.28814286526556</v>
      </c>
      <c r="I29" s="1" t="n">
        <f aca="false">'OD-APUMA(Val)'!I29*I$49</f>
        <v>0</v>
      </c>
      <c r="J29" s="1" t="n">
        <f aca="false">'OD-APUMA(Val)'!J29*J$49</f>
        <v>74.7099093610308</v>
      </c>
      <c r="K29" s="1" t="n">
        <f aca="false">'OD-APUMA(Val)'!K29*K$49</f>
        <v>0</v>
      </c>
      <c r="L29" s="1" t="n">
        <f aca="false">'OD-APUMA(Val)'!L29*L$49</f>
        <v>0</v>
      </c>
      <c r="M29" s="1" t="n">
        <f aca="false">'OD-APUMA(Val)'!M29*M$49</f>
        <v>195</v>
      </c>
      <c r="N29" s="1" t="n">
        <f aca="false">'OD-APUMA(Val)'!N29*N$49</f>
        <v>0</v>
      </c>
      <c r="O29" s="1" t="n">
        <f aca="false">'OD-APUMA(Val)'!O29*O$49</f>
        <v>0</v>
      </c>
      <c r="P29" s="1" t="n">
        <f aca="false">'OD-APUMA(Val)'!P29*P$49</f>
        <v>364</v>
      </c>
      <c r="Q29" s="1" t="n">
        <f aca="false">'OD-APUMA(Val)'!Q29*Q$49</f>
        <v>377</v>
      </c>
      <c r="R29" s="1" t="n">
        <f aca="false">'OD-APUMA(Val)'!R29*R$49</f>
        <v>0</v>
      </c>
      <c r="S29" s="1" t="n">
        <f aca="false">'OD-APUMA(Val)'!S29*S$49</f>
        <v>890.383959310788</v>
      </c>
      <c r="T29" s="1" t="n">
        <f aca="false">'OD-APUMA(Val)'!T29*T$49</f>
        <v>72.851983516452</v>
      </c>
      <c r="U29" s="1" t="n">
        <f aca="false">'OD-APUMA(Val)'!U29*U$49</f>
        <v>382.694996651099</v>
      </c>
      <c r="V29" s="1" t="n">
        <f aca="false">'OD-APUMA(Val)'!V29*V$49</f>
        <v>2.7107763086067</v>
      </c>
      <c r="W29" s="1" t="n">
        <f aca="false">'OD-APUMA(Val)'!W29*W$49</f>
        <v>45.2305895793278</v>
      </c>
      <c r="X29" s="1" t="n">
        <f aca="false">'OD-APUMA(Val)'!X29*X$49</f>
        <v>44.5618677727074</v>
      </c>
      <c r="Y29" s="1" t="n">
        <f aca="false">'OD-APUMA(Val)'!Y29*Y$49</f>
        <v>0</v>
      </c>
      <c r="Z29" s="1" t="n">
        <f aca="false">'OD-APUMA(Val)'!Z29*Z$49</f>
        <v>3.47499339160529</v>
      </c>
      <c r="AA29" s="1" t="n">
        <f aca="false">'OD-APUMA(Val)'!AA29*AA$49</f>
        <v>208</v>
      </c>
      <c r="AB29" s="1" t="n">
        <f aca="false">'OD-APUMA(Val)'!AB29*AB$49</f>
        <v>169</v>
      </c>
      <c r="AC29" s="1" t="n">
        <v>0</v>
      </c>
      <c r="AD29" s="1" t="n">
        <f aca="false">'OD-APUMA(Val)'!AD29*AD$49</f>
        <v>3.01008567397381</v>
      </c>
      <c r="AE29" s="1" t="n">
        <f aca="false">'OD-APUMA(Val)'!AE29*AE$49</f>
        <v>66.4068024861448</v>
      </c>
      <c r="AF29" s="1" t="n">
        <f aca="false">'OD-APUMA(Val)'!AF29*AF$49</f>
        <v>10.9353762610968</v>
      </c>
      <c r="AG29" s="1" t="n">
        <f aca="false">'OD-APUMA(Val)'!AG29*AG$49</f>
        <v>16.0970734973682</v>
      </c>
      <c r="AH29" s="1" t="n">
        <f aca="false">'OD-APUMA(Val)'!AH29*AH$49</f>
        <v>38.4099752263193</v>
      </c>
      <c r="AI29" s="1" t="n">
        <f aca="false">'OD-APUMA(Val)'!AI29*AI$49</f>
        <v>143</v>
      </c>
      <c r="AJ29" s="1" t="n">
        <f aca="false">'OD-APUMA(Val)'!AJ29*AJ$49</f>
        <v>0</v>
      </c>
      <c r="AK29" s="1" t="n">
        <f aca="false">'OD-APUMA(Val)'!AK29*AK$49</f>
        <v>0</v>
      </c>
      <c r="AL29" s="1" t="n">
        <f aca="false">'OD-APUMA(Val)'!AL29*AL$49</f>
        <v>143</v>
      </c>
      <c r="AM29" s="1" t="n">
        <f aca="false">'OD-APUMA(Val)'!AM29*AM$49</f>
        <v>91</v>
      </c>
      <c r="AN29" s="1" t="n">
        <f aca="false">'OD-APUMA(Val)'!AN29*AN$49</f>
        <v>0</v>
      </c>
      <c r="AO29" s="1" t="n">
        <f aca="false">'OD-APUMA(Val)'!AO29*AO$49</f>
        <v>0</v>
      </c>
      <c r="AP29" s="1" t="n">
        <f aca="false">'OD-APUMA(Val)'!AP29*AP$49</f>
        <v>195</v>
      </c>
      <c r="AQ29" s="1" t="n">
        <f aca="false">'OD-APUMA(Val)'!AQ29*AQ$49</f>
        <v>40.7605622418331</v>
      </c>
      <c r="AR29" s="0" t="n">
        <f aca="false">SUM('OD-APUMA(Val)'!C29:AQ29)</f>
        <v>268060</v>
      </c>
      <c r="AS29" s="0" t="n">
        <f aca="false">MAX('OD-APUMA(Val)'!C29:AQ29)</f>
        <v>250822</v>
      </c>
      <c r="AT29" s="2" t="n">
        <f aca="false">SUM(C29:AQ29)/AR29</f>
        <v>0.0138284958654874</v>
      </c>
      <c r="AU29" s="3" t="n">
        <f aca="false">AT29^4</f>
        <v>3.65678794628241E-008</v>
      </c>
    </row>
    <row r="30" customFormat="false" ht="12.75" hidden="false" customHeight="false" outlineLevel="0" collapsed="false">
      <c r="A30" s="0" t="n">
        <v>89</v>
      </c>
      <c r="B30" s="0" t="n">
        <v>320827</v>
      </c>
      <c r="C30" s="1" t="n">
        <f aca="false">'OD-APUMA(Val)'!C30*C$49</f>
        <v>11.9674179105289</v>
      </c>
      <c r="D30" s="1" t="n">
        <f aca="false">'OD-APUMA(Val)'!D30*D$49</f>
        <v>0</v>
      </c>
      <c r="E30" s="1" t="n">
        <f aca="false">'OD-APUMA(Val)'!E30*E$49</f>
        <v>0</v>
      </c>
      <c r="F30" s="1" t="n">
        <f aca="false">'OD-APUMA(Val)'!F30*F$49</f>
        <v>32.8531673719065</v>
      </c>
      <c r="G30" s="1" t="n">
        <f aca="false">'OD-APUMA(Val)'!G30*G$49</f>
        <v>0</v>
      </c>
      <c r="H30" s="1" t="n">
        <f aca="false">'OD-APUMA(Val)'!H30*H$49</f>
        <v>0</v>
      </c>
      <c r="I30" s="1" t="n">
        <f aca="false">'OD-APUMA(Val)'!I30*I$49</f>
        <v>0</v>
      </c>
      <c r="J30" s="1" t="n">
        <f aca="false">'OD-APUMA(Val)'!J30*J$49</f>
        <v>0</v>
      </c>
      <c r="K30" s="1" t="n">
        <f aca="false">'OD-APUMA(Val)'!K30*K$49</f>
        <v>0</v>
      </c>
      <c r="L30" s="1" t="n">
        <f aca="false">'OD-APUMA(Val)'!L30*L$49</f>
        <v>0</v>
      </c>
      <c r="M30" s="1" t="n">
        <f aca="false">'OD-APUMA(Val)'!M30*M$49</f>
        <v>0</v>
      </c>
      <c r="N30" s="1" t="n">
        <f aca="false">'OD-APUMA(Val)'!N30*N$49</f>
        <v>0</v>
      </c>
      <c r="O30" s="1" t="n">
        <f aca="false">'OD-APUMA(Val)'!O30*O$49</f>
        <v>91</v>
      </c>
      <c r="P30" s="1" t="n">
        <f aca="false">'OD-APUMA(Val)'!P30*P$49</f>
        <v>78</v>
      </c>
      <c r="Q30" s="1" t="n">
        <f aca="false">'OD-APUMA(Val)'!Q30*Q$49</f>
        <v>0</v>
      </c>
      <c r="R30" s="1" t="n">
        <f aca="false">'OD-APUMA(Val)'!R30*R$49</f>
        <v>185.814787683804</v>
      </c>
      <c r="S30" s="1" t="n">
        <f aca="false">'OD-APUMA(Val)'!S30*S$49</f>
        <v>39.3539871518581</v>
      </c>
      <c r="T30" s="1" t="n">
        <f aca="false">'OD-APUMA(Val)'!T30*T$49</f>
        <v>0</v>
      </c>
      <c r="U30" s="1" t="n">
        <f aca="false">'OD-APUMA(Val)'!U30*U$49</f>
        <v>23.6023345952219</v>
      </c>
      <c r="V30" s="1" t="n">
        <f aca="false">'OD-APUMA(Val)'!V30*V$49</f>
        <v>10.4558514760544</v>
      </c>
      <c r="W30" s="1" t="n">
        <f aca="false">'OD-APUMA(Val)'!W30*W$49</f>
        <v>21.3851741525692</v>
      </c>
      <c r="X30" s="1" t="n">
        <f aca="false">'OD-APUMA(Val)'!X30*X$49</f>
        <v>0</v>
      </c>
      <c r="Y30" s="1" t="n">
        <f aca="false">'OD-APUMA(Val)'!Y30*Y$49</f>
        <v>0.194670603617386</v>
      </c>
      <c r="Z30" s="1" t="n">
        <f aca="false">'OD-APUMA(Val)'!Z30*Z$49</f>
        <v>9.26664904428077</v>
      </c>
      <c r="AA30" s="1" t="n">
        <f aca="false">'OD-APUMA(Val)'!AA30*AA$49</f>
        <v>104</v>
      </c>
      <c r="AB30" s="1" t="n">
        <f aca="false">'OD-APUMA(Val)'!AB30*AB$49</f>
        <v>0</v>
      </c>
      <c r="AC30" s="1" t="n">
        <f aca="false">'OD-APUMA(Val)'!AC30*AC$49</f>
        <v>4.42195114010113</v>
      </c>
      <c r="AD30" s="1" t="n">
        <v>0</v>
      </c>
      <c r="AE30" s="1" t="n">
        <f aca="false">'OD-APUMA(Val)'!AE30*AE$49</f>
        <v>682.708530822471</v>
      </c>
      <c r="AF30" s="1" t="n">
        <f aca="false">'OD-APUMA(Val)'!AF30*AF$49</f>
        <v>4.37415050443872</v>
      </c>
      <c r="AG30" s="1" t="n">
        <f aca="false">'OD-APUMA(Val)'!AG30*AG$49</f>
        <v>23.2513283850875</v>
      </c>
      <c r="AH30" s="1" t="n">
        <f aca="false">'OD-APUMA(Val)'!AH30*AH$49</f>
        <v>26.8869826584235</v>
      </c>
      <c r="AI30" s="1" t="n">
        <f aca="false">'OD-APUMA(Val)'!AI30*AI$49</f>
        <v>0</v>
      </c>
      <c r="AJ30" s="1" t="n">
        <f aca="false">'OD-APUMA(Val)'!AJ30*AJ$49</f>
        <v>468.210170588034</v>
      </c>
      <c r="AK30" s="1" t="n">
        <f aca="false">'OD-APUMA(Val)'!AK30*AK$49</f>
        <v>0</v>
      </c>
      <c r="AL30" s="1" t="n">
        <f aca="false">'OD-APUMA(Val)'!AL30*AL$49</f>
        <v>91</v>
      </c>
      <c r="AM30" s="1" t="n">
        <f aca="false">'OD-APUMA(Val)'!AM30*AM$49</f>
        <v>0</v>
      </c>
      <c r="AN30" s="1" t="n">
        <f aca="false">'OD-APUMA(Val)'!AN30*AN$49</f>
        <v>0</v>
      </c>
      <c r="AO30" s="1" t="n">
        <f aca="false">'OD-APUMA(Val)'!AO30*AO$49</f>
        <v>0</v>
      </c>
      <c r="AP30" s="1" t="n">
        <f aca="false">'OD-APUMA(Val)'!AP30*AP$49</f>
        <v>0</v>
      </c>
      <c r="AQ30" s="1" t="n">
        <f aca="false">'OD-APUMA(Val)'!AQ30*AQ$49</f>
        <v>22.4885860644596</v>
      </c>
      <c r="AR30" s="0" t="n">
        <f aca="false">SUM('OD-APUMA(Val)'!C30:AQ30)</f>
        <v>221559</v>
      </c>
      <c r="AS30" s="0" t="n">
        <f aca="false">MAX('OD-APUMA(Val)'!C30:AQ30)</f>
        <v>207935</v>
      </c>
      <c r="AT30" s="2" t="n">
        <f aca="false">SUM(C30:AQ30)/AR30</f>
        <v>0.00871657545011874</v>
      </c>
      <c r="AU30" s="3" t="n">
        <f aca="false">AT30^4</f>
        <v>5.77276096601647E-009</v>
      </c>
    </row>
    <row r="31" customFormat="false" ht="12.75" hidden="false" customHeight="false" outlineLevel="0" collapsed="false">
      <c r="A31" s="0" t="n">
        <v>90</v>
      </c>
      <c r="B31" s="0" t="n">
        <v>4714869</v>
      </c>
      <c r="C31" s="1" t="n">
        <f aca="false">'OD-APUMA(Val)'!C31*C$49</f>
        <v>181.007195896749</v>
      </c>
      <c r="D31" s="1" t="n">
        <f aca="false">'OD-APUMA(Val)'!D31*D$49</f>
        <v>158.973611521394</v>
      </c>
      <c r="E31" s="1" t="n">
        <f aca="false">'OD-APUMA(Val)'!E31*E$49</f>
        <v>93.6927819601191</v>
      </c>
      <c r="F31" s="1" t="n">
        <f aca="false">'OD-APUMA(Val)'!F31*F$49</f>
        <v>96.2128473034406</v>
      </c>
      <c r="G31" s="1" t="n">
        <f aca="false">'OD-APUMA(Val)'!G31*G$49</f>
        <v>89.0281344299331</v>
      </c>
      <c r="H31" s="1" t="n">
        <f aca="false">'OD-APUMA(Val)'!H31*H$49</f>
        <v>4.93221429789833</v>
      </c>
      <c r="I31" s="1" t="n">
        <f aca="false">'OD-APUMA(Val)'!I31*I$49</f>
        <v>273</v>
      </c>
      <c r="J31" s="1" t="n">
        <f aca="false">'OD-APUMA(Val)'!J31*J$49</f>
        <v>298.839637444123</v>
      </c>
      <c r="K31" s="1" t="n">
        <f aca="false">'OD-APUMA(Val)'!K31*K$49</f>
        <v>156</v>
      </c>
      <c r="L31" s="1" t="n">
        <f aca="false">'OD-APUMA(Val)'!L31*L$49</f>
        <v>156</v>
      </c>
      <c r="M31" s="1" t="n">
        <f aca="false">'OD-APUMA(Val)'!M31*M$49</f>
        <v>520</v>
      </c>
      <c r="N31" s="1" t="n">
        <f aca="false">'OD-APUMA(Val)'!N31*N$49</f>
        <v>91</v>
      </c>
      <c r="O31" s="1" t="n">
        <f aca="false">'OD-APUMA(Val)'!O31*O$49</f>
        <v>65</v>
      </c>
      <c r="P31" s="1" t="n">
        <f aca="false">'OD-APUMA(Val)'!P31*P$49</f>
        <v>1755</v>
      </c>
      <c r="Q31" s="1" t="n">
        <f aca="false">'OD-APUMA(Val)'!Q31*Q$49</f>
        <v>2353</v>
      </c>
      <c r="R31" s="1" t="n">
        <f aca="false">'OD-APUMA(Val)'!R31*R$49</f>
        <v>533.207651614394</v>
      </c>
      <c r="S31" s="1" t="n">
        <f aca="false">'OD-APUMA(Val)'!S31*S$49</f>
        <v>17.2173693789379</v>
      </c>
      <c r="T31" s="1" t="n">
        <f aca="false">'OD-APUMA(Val)'!T31*T$49</f>
        <v>0</v>
      </c>
      <c r="U31" s="1" t="n">
        <f aca="false">'OD-APUMA(Val)'!U31*U$49</f>
        <v>124.755197146173</v>
      </c>
      <c r="V31" s="1" t="n">
        <f aca="false">'OD-APUMA(Val)'!V31*V$49</f>
        <v>33.6910769783975</v>
      </c>
      <c r="W31" s="1" t="n">
        <f aca="false">'OD-APUMA(Val)'!W31*W$49</f>
        <v>0</v>
      </c>
      <c r="X31" s="1" t="n">
        <f aca="false">'OD-APUMA(Val)'!X31*X$49</f>
        <v>0</v>
      </c>
      <c r="Y31" s="1" t="n">
        <f aca="false">'OD-APUMA(Val)'!Y31*Y$49</f>
        <v>0.283157241625288</v>
      </c>
      <c r="Z31" s="1" t="n">
        <f aca="false">'OD-APUMA(Val)'!Z31*Z$49</f>
        <v>19.1124636538291</v>
      </c>
      <c r="AA31" s="1" t="n">
        <f aca="false">'OD-APUMA(Val)'!AA31*AA$49</f>
        <v>1443</v>
      </c>
      <c r="AB31" s="1" t="n">
        <f aca="false">'OD-APUMA(Val)'!AB31*AB$49</f>
        <v>1300</v>
      </c>
      <c r="AC31" s="1" t="n">
        <f aca="false">'OD-APUMA(Val)'!AC31*AC$49</f>
        <v>18.424796417088</v>
      </c>
      <c r="AD31" s="1" t="n">
        <f aca="false">'OD-APUMA(Val)'!AD31*AD$49</f>
        <v>275.046578459357</v>
      </c>
      <c r="AE31" s="1" t="n">
        <v>0</v>
      </c>
      <c r="AF31" s="1" t="n">
        <f aca="false">'OD-APUMA(Val)'!AF31*AF$49</f>
        <v>16.6764487981726</v>
      </c>
      <c r="AG31" s="1" t="n">
        <f aca="false">'OD-APUMA(Val)'!AG31*AG$49</f>
        <v>18792.4390263165</v>
      </c>
      <c r="AH31" s="1" t="n">
        <f aca="false">'OD-APUMA(Val)'!AH31*AH$49</f>
        <v>1955.06773901965</v>
      </c>
      <c r="AI31" s="1" t="n">
        <f aca="false">'OD-APUMA(Val)'!AI31*AI$49</f>
        <v>468</v>
      </c>
      <c r="AJ31" s="1" t="n">
        <f aca="false">'OD-APUMA(Val)'!AJ31*AJ$49</f>
        <v>9097.1772988472</v>
      </c>
      <c r="AK31" s="1" t="n">
        <f aca="false">'OD-APUMA(Val)'!AK31*AK$49</f>
        <v>0</v>
      </c>
      <c r="AL31" s="1" t="n">
        <f aca="false">'OD-APUMA(Val)'!AL31*AL$49</f>
        <v>156</v>
      </c>
      <c r="AM31" s="1" t="n">
        <f aca="false">'OD-APUMA(Val)'!AM31*AM$49</f>
        <v>520</v>
      </c>
      <c r="AN31" s="1" t="n">
        <f aca="false">'OD-APUMA(Val)'!AN31*AN$49</f>
        <v>455</v>
      </c>
      <c r="AO31" s="1" t="n">
        <f aca="false">'OD-APUMA(Val)'!AO31*AO$49</f>
        <v>0</v>
      </c>
      <c r="AP31" s="1" t="n">
        <f aca="false">'OD-APUMA(Val)'!AP31*AP$49</f>
        <v>156</v>
      </c>
      <c r="AQ31" s="1" t="n">
        <f aca="false">'OD-APUMA(Val)'!AQ31*AQ$49</f>
        <v>2357.08492688117</v>
      </c>
      <c r="AR31" s="0" t="n">
        <f aca="false">SUM('OD-APUMA(Val)'!C31:AQ31)</f>
        <v>4091568</v>
      </c>
      <c r="AS31" s="0" t="n">
        <f aca="false">MAX('OD-APUMA(Val)'!C31:AQ31)</f>
        <v>3859648</v>
      </c>
      <c r="AT31" s="2" t="n">
        <f aca="false">SUM(C31:AQ31)/AR31</f>
        <v>0.0107611238903047</v>
      </c>
      <c r="AU31" s="3" t="n">
        <f aca="false">AT31^4</f>
        <v>1.34100539609785E-008</v>
      </c>
    </row>
    <row r="32" customFormat="false" ht="12.75" hidden="false" customHeight="false" outlineLevel="0" collapsed="false">
      <c r="A32" s="0" t="n">
        <v>91</v>
      </c>
      <c r="B32" s="0" t="n">
        <v>195273</v>
      </c>
      <c r="C32" s="1" t="n">
        <f aca="false">'OD-APUMA(Val)'!C32*C$49</f>
        <v>10.4714906717127</v>
      </c>
      <c r="D32" s="1" t="n">
        <f aca="false">'OD-APUMA(Val)'!D32*D$49</f>
        <v>0</v>
      </c>
      <c r="E32" s="1" t="n">
        <f aca="false">'OD-APUMA(Val)'!E32*E$49</f>
        <v>11.2882869831469</v>
      </c>
      <c r="F32" s="1" t="n">
        <f aca="false">'OD-APUMA(Val)'!F32*F$49</f>
        <v>14.0799288736742</v>
      </c>
      <c r="G32" s="1" t="n">
        <f aca="false">'OD-APUMA(Val)'!G32*G$49</f>
        <v>0</v>
      </c>
      <c r="H32" s="1" t="n">
        <f aca="false">'OD-APUMA(Val)'!H32*H$49</f>
        <v>0</v>
      </c>
      <c r="I32" s="1" t="n">
        <f aca="false">'OD-APUMA(Val)'!I32*I$49</f>
        <v>0</v>
      </c>
      <c r="J32" s="1" t="n">
        <f aca="false">'OD-APUMA(Val)'!J32*J$49</f>
        <v>106.72844194433</v>
      </c>
      <c r="K32" s="1" t="n">
        <f aca="false">'OD-APUMA(Val)'!K32*K$49</f>
        <v>0</v>
      </c>
      <c r="L32" s="1" t="n">
        <f aca="false">'OD-APUMA(Val)'!L32*L$49</f>
        <v>0</v>
      </c>
      <c r="M32" s="1" t="n">
        <f aca="false">'OD-APUMA(Val)'!M32*M$49</f>
        <v>0</v>
      </c>
      <c r="N32" s="1" t="n">
        <f aca="false">'OD-APUMA(Val)'!N32*N$49</f>
        <v>0</v>
      </c>
      <c r="O32" s="1" t="n">
        <f aca="false">'OD-APUMA(Val)'!O32*O$49</f>
        <v>0</v>
      </c>
      <c r="P32" s="1" t="n">
        <f aca="false">'OD-APUMA(Val)'!P32*P$49</f>
        <v>0</v>
      </c>
      <c r="Q32" s="1" t="n">
        <f aca="false">'OD-APUMA(Val)'!Q32*Q$49</f>
        <v>247</v>
      </c>
      <c r="R32" s="1" t="n">
        <f aca="false">'OD-APUMA(Val)'!R32*R$49</f>
        <v>0</v>
      </c>
      <c r="S32" s="1" t="n">
        <f aca="false">'OD-APUMA(Val)'!S32*S$49</f>
        <v>73.7887259097338</v>
      </c>
      <c r="T32" s="1" t="n">
        <f aca="false">'OD-APUMA(Val)'!T32*T$49</f>
        <v>0</v>
      </c>
      <c r="U32" s="1" t="n">
        <f aca="false">'OD-APUMA(Val)'!U32*U$49</f>
        <v>0</v>
      </c>
      <c r="V32" s="1" t="n">
        <f aca="false">'OD-APUMA(Val)'!V32*V$49</f>
        <v>1.93626879186193</v>
      </c>
      <c r="W32" s="1" t="n">
        <f aca="false">'OD-APUMA(Val)'!W32*W$49</f>
        <v>0</v>
      </c>
      <c r="X32" s="1" t="n">
        <f aca="false">'OD-APUMA(Val)'!X32*X$49</f>
        <v>3795.18573864225</v>
      </c>
      <c r="Y32" s="1" t="n">
        <f aca="false">'OD-APUMA(Val)'!Y32*Y$49</f>
        <v>0.123881293211064</v>
      </c>
      <c r="Z32" s="1" t="n">
        <f aca="false">'OD-APUMA(Val)'!Z32*Z$49</f>
        <v>22.0082914801668</v>
      </c>
      <c r="AA32" s="1" t="n">
        <f aca="false">'OD-APUMA(Val)'!AA32*AA$49</f>
        <v>208</v>
      </c>
      <c r="AB32" s="1" t="n">
        <f aca="false">'OD-APUMA(Val)'!AB32*AB$49</f>
        <v>130</v>
      </c>
      <c r="AC32" s="1" t="n">
        <f aca="false">'OD-APUMA(Val)'!AC32*AC$49</f>
        <v>2.57947149839232</v>
      </c>
      <c r="AD32" s="1" t="n">
        <f aca="false">'OD-APUMA(Val)'!AD32*AD$49</f>
        <v>0</v>
      </c>
      <c r="AE32" s="1" t="n">
        <f aca="false">'OD-APUMA(Val)'!AE32*AE$49</f>
        <v>23.3006324512789</v>
      </c>
      <c r="AF32" s="1" t="n">
        <v>0</v>
      </c>
      <c r="AG32" s="1" t="n">
        <f aca="false">'OD-APUMA(Val)'!AG32*AG$49</f>
        <v>0</v>
      </c>
      <c r="AH32" s="1" t="n">
        <f aca="false">'OD-APUMA(Val)'!AH32*AH$49</f>
        <v>0</v>
      </c>
      <c r="AI32" s="1" t="n">
        <f aca="false">'OD-APUMA(Val)'!AI32*AI$49</f>
        <v>0</v>
      </c>
      <c r="AJ32" s="1" t="n">
        <f aca="false">'OD-APUMA(Val)'!AJ32*AJ$49</f>
        <v>40.2368115349092</v>
      </c>
      <c r="AK32" s="1" t="n">
        <f aca="false">'OD-APUMA(Val)'!AK32*AK$49</f>
        <v>0</v>
      </c>
      <c r="AL32" s="1" t="n">
        <f aca="false">'OD-APUMA(Val)'!AL32*AL$49</f>
        <v>0</v>
      </c>
      <c r="AM32" s="1" t="n">
        <f aca="false">'OD-APUMA(Val)'!AM32*AM$49</f>
        <v>2275</v>
      </c>
      <c r="AN32" s="1" t="n">
        <f aca="false">'OD-APUMA(Val)'!AN32*AN$49</f>
        <v>0</v>
      </c>
      <c r="AO32" s="1" t="n">
        <f aca="false">'OD-APUMA(Val)'!AO32*AO$49</f>
        <v>0</v>
      </c>
      <c r="AP32" s="1" t="n">
        <f aca="false">'OD-APUMA(Val)'!AP32*AP$49</f>
        <v>0</v>
      </c>
      <c r="AQ32" s="1" t="n">
        <f aca="false">'OD-APUMA(Val)'!AQ32*AQ$49</f>
        <v>15.460902919316</v>
      </c>
      <c r="AR32" s="0" t="n">
        <f aca="false">SUM('OD-APUMA(Val)'!C32:AQ32)</f>
        <v>164359</v>
      </c>
      <c r="AS32" s="0" t="n">
        <f aca="false">MAX('OD-APUMA(Val)'!C32:AQ32)</f>
        <v>152750</v>
      </c>
      <c r="AT32" s="2" t="n">
        <f aca="false">SUM(C32:AQ32)/AR32</f>
        <v>0.0424509085172944</v>
      </c>
      <c r="AU32" s="3" t="n">
        <f aca="false">AT32^4</f>
        <v>3.24749100707464E-006</v>
      </c>
    </row>
    <row r="33" customFormat="false" ht="12.75" hidden="false" customHeight="false" outlineLevel="0" collapsed="false">
      <c r="A33" s="0" t="n">
        <v>92</v>
      </c>
      <c r="B33" s="0" t="n">
        <v>1138865</v>
      </c>
      <c r="C33" s="1" t="n">
        <f aca="false">'OD-APUMA(Val)'!C33*C$49</f>
        <v>44.8778171644832</v>
      </c>
      <c r="D33" s="1" t="n">
        <f aca="false">'OD-APUMA(Val)'!D33*D$49</f>
        <v>6.52199431882642</v>
      </c>
      <c r="E33" s="1" t="n">
        <f aca="false">'OD-APUMA(Val)'!E33*E$49</f>
        <v>31.6072035528113</v>
      </c>
      <c r="F33" s="1" t="n">
        <f aca="false">'OD-APUMA(Val)'!F33*F$49</f>
        <v>32.8531673719065</v>
      </c>
      <c r="G33" s="1" t="n">
        <f aca="false">'OD-APUMA(Val)'!G33*G$49</f>
        <v>18.5475280062361</v>
      </c>
      <c r="H33" s="1" t="n">
        <f aca="false">'OD-APUMA(Val)'!H33*H$49</f>
        <v>1.40920408511381</v>
      </c>
      <c r="I33" s="1" t="n">
        <f aca="false">'OD-APUMA(Val)'!I33*I$49</f>
        <v>78</v>
      </c>
      <c r="J33" s="1" t="n">
        <f aca="false">'OD-APUMA(Val)'!J33*J$49</f>
        <v>0</v>
      </c>
      <c r="K33" s="1" t="n">
        <f aca="false">'OD-APUMA(Val)'!K33*K$49</f>
        <v>286</v>
      </c>
      <c r="L33" s="1" t="n">
        <f aca="false">'OD-APUMA(Val)'!L33*L$49</f>
        <v>325</v>
      </c>
      <c r="M33" s="1" t="n">
        <f aca="false">'OD-APUMA(Val)'!M33*M$49</f>
        <v>598</v>
      </c>
      <c r="N33" s="1" t="n">
        <f aca="false">'OD-APUMA(Val)'!N33*N$49</f>
        <v>78</v>
      </c>
      <c r="O33" s="1" t="n">
        <f aca="false">'OD-APUMA(Val)'!O33*O$49</f>
        <v>0</v>
      </c>
      <c r="P33" s="1" t="n">
        <f aca="false">'OD-APUMA(Val)'!P33*P$49</f>
        <v>481</v>
      </c>
      <c r="Q33" s="1" t="n">
        <f aca="false">'OD-APUMA(Val)'!Q33*Q$49</f>
        <v>143</v>
      </c>
      <c r="R33" s="1" t="n">
        <f aca="false">'OD-APUMA(Val)'!R33*R$49</f>
        <v>0</v>
      </c>
      <c r="S33" s="1" t="n">
        <f aca="false">'OD-APUMA(Val)'!S33*S$49</f>
        <v>0</v>
      </c>
      <c r="T33" s="1" t="n">
        <f aca="false">'OD-APUMA(Val)'!T33*T$49</f>
        <v>0</v>
      </c>
      <c r="U33" s="1" t="n">
        <f aca="false">'OD-APUMA(Val)'!U33*U$49</f>
        <v>25.2882156377378</v>
      </c>
      <c r="V33" s="1" t="n">
        <f aca="false">'OD-APUMA(Val)'!V33*V$49</f>
        <v>18.2009266435021</v>
      </c>
      <c r="W33" s="1" t="n">
        <f aca="false">'OD-APUMA(Val)'!W33*W$49</f>
        <v>0</v>
      </c>
      <c r="X33" s="1" t="n">
        <f aca="false">'OD-APUMA(Val)'!X33*X$49</f>
        <v>0</v>
      </c>
      <c r="Y33" s="1" t="n">
        <f aca="false">'OD-APUMA(Val)'!Y33*Y$49</f>
        <v>0.477827845242674</v>
      </c>
      <c r="Z33" s="1" t="n">
        <f aca="false">'OD-APUMA(Val)'!Z33*Z$49</f>
        <v>19.1124636538291</v>
      </c>
      <c r="AA33" s="1" t="n">
        <f aca="false">'OD-APUMA(Val)'!AA33*AA$49</f>
        <v>403</v>
      </c>
      <c r="AB33" s="1" t="n">
        <f aca="false">'OD-APUMA(Val)'!AB33*AB$49</f>
        <v>403</v>
      </c>
      <c r="AC33" s="1" t="n">
        <f aca="false">'OD-APUMA(Val)'!AC33*AC$49</f>
        <v>5.89593485346817</v>
      </c>
      <c r="AD33" s="1" t="n">
        <f aca="false">'OD-APUMA(Val)'!AD33*AD$49</f>
        <v>6.39643205719435</v>
      </c>
      <c r="AE33" s="1" t="n">
        <f aca="false">'OD-APUMA(Val)'!AE33*AE$49</f>
        <v>17756.2469594971</v>
      </c>
      <c r="AF33" s="1" t="n">
        <f aca="false">'OD-APUMA(Val)'!AF33*AF$49</f>
        <v>0</v>
      </c>
      <c r="AG33" s="1" t="n">
        <v>0</v>
      </c>
      <c r="AH33" s="1" t="n">
        <f aca="false">'OD-APUMA(Val)'!AH33*AH$49</f>
        <v>2711.74425097814</v>
      </c>
      <c r="AI33" s="1" t="n">
        <f aca="false">'OD-APUMA(Val)'!AI33*AI$49</f>
        <v>143</v>
      </c>
      <c r="AJ33" s="1" t="n">
        <f aca="false">'OD-APUMA(Val)'!AJ33*AJ$49</f>
        <v>2681.23480500804</v>
      </c>
      <c r="AK33" s="1" t="n">
        <f aca="false">'OD-APUMA(Val)'!AK33*AK$49</f>
        <v>0</v>
      </c>
      <c r="AL33" s="1" t="n">
        <f aca="false">'OD-APUMA(Val)'!AL33*AL$49</f>
        <v>78</v>
      </c>
      <c r="AM33" s="1" t="n">
        <f aca="false">'OD-APUMA(Val)'!AM33*AM$49</f>
        <v>416</v>
      </c>
      <c r="AN33" s="1" t="n">
        <f aca="false">'OD-APUMA(Val)'!AN33*AN$49</f>
        <v>0</v>
      </c>
      <c r="AO33" s="1" t="n">
        <f aca="false">'OD-APUMA(Val)'!AO33*AO$49</f>
        <v>78</v>
      </c>
      <c r="AP33" s="1" t="n">
        <f aca="false">'OD-APUMA(Val)'!AP33*AP$49</f>
        <v>0</v>
      </c>
      <c r="AQ33" s="1" t="n">
        <f aca="false">'OD-APUMA(Val)'!AQ33*AQ$49</f>
        <v>50.5993186450342</v>
      </c>
      <c r="AR33" s="0" t="n">
        <f aca="false">SUM('OD-APUMA(Val)'!C33:AQ33)</f>
        <v>1278199</v>
      </c>
      <c r="AS33" s="0" t="n">
        <f aca="false">MAX('OD-APUMA(Val)'!C33:AQ33)</f>
        <v>1047085</v>
      </c>
      <c r="AT33" s="2" t="n">
        <f aca="false">SUM(C33:AQ33)/AR33</f>
        <v>0.0210616766632728</v>
      </c>
      <c r="AU33" s="3" t="n">
        <f aca="false">AT33^4</f>
        <v>1.96775835449275E-007</v>
      </c>
    </row>
    <row r="34" customFormat="false" ht="12.75" hidden="false" customHeight="false" outlineLevel="0" collapsed="false">
      <c r="A34" s="0" t="n">
        <v>93</v>
      </c>
      <c r="B34" s="0" t="n">
        <v>687843</v>
      </c>
      <c r="C34" s="1" t="n">
        <f aca="false">'OD-APUMA(Val)'!C34*C$49</f>
        <v>41.885962686851</v>
      </c>
      <c r="D34" s="1" t="n">
        <f aca="false">'OD-APUMA(Val)'!D34*D$49</f>
        <v>22.0117308260392</v>
      </c>
      <c r="E34" s="1" t="n">
        <f aca="false">'OD-APUMA(Val)'!E34*E$49</f>
        <v>22.5765739662938</v>
      </c>
      <c r="F34" s="1" t="n">
        <f aca="false">'OD-APUMA(Val)'!F34*F$49</f>
        <v>7.03996443683712</v>
      </c>
      <c r="G34" s="1" t="n">
        <f aca="false">'OD-APUMA(Val)'!G34*G$49</f>
        <v>0</v>
      </c>
      <c r="H34" s="1" t="n">
        <f aca="false">'OD-APUMA(Val)'!H34*H$49</f>
        <v>2.11380612767071</v>
      </c>
      <c r="I34" s="1" t="n">
        <f aca="false">'OD-APUMA(Val)'!I34*I$49</f>
        <v>104</v>
      </c>
      <c r="J34" s="1" t="n">
        <f aca="false">'OD-APUMA(Val)'!J34*J$49</f>
        <v>0</v>
      </c>
      <c r="K34" s="1" t="n">
        <f aca="false">'OD-APUMA(Val)'!K34*K$49</f>
        <v>104</v>
      </c>
      <c r="L34" s="1" t="n">
        <f aca="false">'OD-APUMA(Val)'!L34*L$49</f>
        <v>130</v>
      </c>
      <c r="M34" s="1" t="n">
        <f aca="false">'OD-APUMA(Val)'!M34*M$49</f>
        <v>91</v>
      </c>
      <c r="N34" s="1" t="n">
        <f aca="false">'OD-APUMA(Val)'!N34*N$49</f>
        <v>0</v>
      </c>
      <c r="O34" s="1" t="n">
        <f aca="false">'OD-APUMA(Val)'!O34*O$49</f>
        <v>0</v>
      </c>
      <c r="P34" s="1" t="n">
        <f aca="false">'OD-APUMA(Val)'!P34*P$49</f>
        <v>130</v>
      </c>
      <c r="Q34" s="1" t="n">
        <f aca="false">'OD-APUMA(Val)'!Q34*Q$49</f>
        <v>104</v>
      </c>
      <c r="R34" s="1" t="n">
        <f aca="false">'OD-APUMA(Val)'!R34*R$49</f>
        <v>0</v>
      </c>
      <c r="S34" s="1" t="n">
        <f aca="false">'OD-APUMA(Val)'!S34*S$49</f>
        <v>0</v>
      </c>
      <c r="T34" s="1" t="n">
        <f aca="false">'OD-APUMA(Val)'!T34*T$49</f>
        <v>0</v>
      </c>
      <c r="U34" s="1" t="n">
        <f aca="false">'OD-APUMA(Val)'!U34*U$49</f>
        <v>13.4870483401268</v>
      </c>
      <c r="V34" s="1" t="n">
        <f aca="false">'OD-APUMA(Val)'!V34*V$49</f>
        <v>3.09803006697908</v>
      </c>
      <c r="W34" s="1" t="n">
        <f aca="false">'OD-APUMA(Val)'!W34*W$49</f>
        <v>0</v>
      </c>
      <c r="X34" s="1" t="n">
        <f aca="false">'OD-APUMA(Val)'!X34*X$49</f>
        <v>59.4158236969432</v>
      </c>
      <c r="Y34" s="1" t="n">
        <f aca="false">'OD-APUMA(Val)'!Y34*Y$49</f>
        <v>0.194670603617386</v>
      </c>
      <c r="Z34" s="1" t="n">
        <f aca="false">'OD-APUMA(Val)'!Z34*Z$49</f>
        <v>9.26664904428077</v>
      </c>
      <c r="AA34" s="1" t="n">
        <f aca="false">'OD-APUMA(Val)'!AA34*AA$49</f>
        <v>247</v>
      </c>
      <c r="AB34" s="1" t="n">
        <f aca="false">'OD-APUMA(Val)'!AB34*AB$49</f>
        <v>0</v>
      </c>
      <c r="AC34" s="1" t="n">
        <f aca="false">'OD-APUMA(Val)'!AC34*AC$49</f>
        <v>2.57947149839232</v>
      </c>
      <c r="AD34" s="1" t="n">
        <f aca="false">'OD-APUMA(Val)'!AD34*AD$49</f>
        <v>0</v>
      </c>
      <c r="AE34" s="1" t="n">
        <f aca="false">'OD-APUMA(Val)'!AE34*AE$49</f>
        <v>3351.79597811647</v>
      </c>
      <c r="AF34" s="1" t="n">
        <f aca="false">'OD-APUMA(Val)'!AF34*AF$49</f>
        <v>4.92091931749356</v>
      </c>
      <c r="AG34" s="1" t="n">
        <f aca="false">'OD-APUMA(Val)'!AG34*AG$49</f>
        <v>6717.84533956834</v>
      </c>
      <c r="AH34" s="1" t="n">
        <v>0</v>
      </c>
      <c r="AI34" s="1" t="n">
        <f aca="false">'OD-APUMA(Val)'!AI34*AI$49</f>
        <v>104</v>
      </c>
      <c r="AJ34" s="1" t="n">
        <f aca="false">'OD-APUMA(Val)'!AJ34*AJ$49</f>
        <v>11493.0965311532</v>
      </c>
      <c r="AK34" s="1" t="n">
        <f aca="false">'OD-APUMA(Val)'!AK34*AK$49</f>
        <v>0</v>
      </c>
      <c r="AL34" s="1" t="n">
        <f aca="false">'OD-APUMA(Val)'!AL34*AL$49</f>
        <v>0</v>
      </c>
      <c r="AM34" s="1" t="n">
        <f aca="false">'OD-APUMA(Val)'!AM34*AM$49</f>
        <v>0</v>
      </c>
      <c r="AN34" s="1" t="n">
        <f aca="false">'OD-APUMA(Val)'!AN34*AN$49</f>
        <v>0</v>
      </c>
      <c r="AO34" s="1" t="n">
        <f aca="false">'OD-APUMA(Val)'!AO34*AO$49</f>
        <v>0</v>
      </c>
      <c r="AP34" s="1" t="n">
        <f aca="false">'OD-APUMA(Val)'!AP34*AP$49</f>
        <v>0</v>
      </c>
      <c r="AQ34" s="1" t="n">
        <f aca="false">'OD-APUMA(Val)'!AQ34*AQ$49</f>
        <v>12.6498296612585</v>
      </c>
      <c r="AR34" s="0" t="n">
        <f aca="false">SUM('OD-APUMA(Val)'!C34:AQ34)</f>
        <v>482651</v>
      </c>
      <c r="AS34" s="0" t="n">
        <f aca="false">MAX('OD-APUMA(Val)'!C34:AQ34)</f>
        <v>345176</v>
      </c>
      <c r="AT34" s="2" t="n">
        <f aca="false">SUM(C34:AQ34)/AR34</f>
        <v>0.0471934758844605</v>
      </c>
      <c r="AU34" s="3" t="n">
        <f aca="false">AT34^4</f>
        <v>4.96052748586899E-006</v>
      </c>
    </row>
    <row r="35" customFormat="false" ht="12.75" hidden="false" customHeight="false" outlineLevel="0" collapsed="false">
      <c r="A35" s="0" t="n">
        <v>94</v>
      </c>
      <c r="B35" s="0" t="n">
        <v>559078</v>
      </c>
      <c r="C35" s="1" t="n">
        <f aca="false">'OD-APUMA(Val)'!C35*C$49</f>
        <v>44.8778171644832</v>
      </c>
      <c r="D35" s="1" t="n">
        <f aca="false">'OD-APUMA(Val)'!D35*D$49</f>
        <v>30.1642237245722</v>
      </c>
      <c r="E35" s="1" t="n">
        <f aca="false">'OD-APUMA(Val)'!E35*E$49</f>
        <v>10.1594582848322</v>
      </c>
      <c r="F35" s="1" t="n">
        <f aca="false">'OD-APUMA(Val)'!F35*F$49</f>
        <v>18.7732384982323</v>
      </c>
      <c r="G35" s="1" t="n">
        <f aca="false">'OD-APUMA(Val)'!G35*G$49</f>
        <v>81.6091232274386</v>
      </c>
      <c r="H35" s="1" t="n">
        <f aca="false">'OD-APUMA(Val)'!H35*H$49</f>
        <v>3.05327551774659</v>
      </c>
      <c r="I35" s="1" t="n">
        <f aca="false">'OD-APUMA(Val)'!I35*I$49</f>
        <v>403</v>
      </c>
      <c r="J35" s="1" t="n">
        <f aca="false">'OD-APUMA(Val)'!J35*J$49</f>
        <v>352.203858416288</v>
      </c>
      <c r="K35" s="1" t="n">
        <f aca="false">'OD-APUMA(Val)'!K35*K$49</f>
        <v>234</v>
      </c>
      <c r="L35" s="1" t="n">
        <f aca="false">'OD-APUMA(Val)'!L35*L$49</f>
        <v>18044</v>
      </c>
      <c r="M35" s="1" t="n">
        <f aca="false">'OD-APUMA(Val)'!M35*M$49</f>
        <v>16146</v>
      </c>
      <c r="N35" s="1" t="n">
        <f aca="false">'OD-APUMA(Val)'!N35*N$49</f>
        <v>2574</v>
      </c>
      <c r="O35" s="1" t="n">
        <f aca="false">'OD-APUMA(Val)'!O35*O$49</f>
        <v>312</v>
      </c>
      <c r="P35" s="1" t="n">
        <f aca="false">'OD-APUMA(Val)'!P35*P$49</f>
        <v>1482</v>
      </c>
      <c r="Q35" s="1" t="n">
        <f aca="false">'OD-APUMA(Val)'!Q35*Q$49</f>
        <v>481</v>
      </c>
      <c r="R35" s="1" t="n">
        <f aca="false">'OD-APUMA(Val)'!R35*R$49</f>
        <v>460.49751730334</v>
      </c>
      <c r="S35" s="1" t="n">
        <f aca="false">'OD-APUMA(Val)'!S35*S$49</f>
        <v>0</v>
      </c>
      <c r="T35" s="1" t="n">
        <f aca="false">'OD-APUMA(Val)'!T35*T$49</f>
        <v>0</v>
      </c>
      <c r="U35" s="1" t="n">
        <f aca="false">'OD-APUMA(Val)'!U35*U$49</f>
        <v>0</v>
      </c>
      <c r="V35" s="1" t="n">
        <f aca="false">'OD-APUMA(Val)'!V35*V$49</f>
        <v>0</v>
      </c>
      <c r="W35" s="1" t="n">
        <f aca="false">'OD-APUMA(Val)'!W35*W$49</f>
        <v>0</v>
      </c>
      <c r="X35" s="1" t="n">
        <f aca="false">'OD-APUMA(Val)'!X35*X$49</f>
        <v>0</v>
      </c>
      <c r="Y35" s="1" t="n">
        <f aca="false">'OD-APUMA(Val)'!Y35*Y$49</f>
        <v>0</v>
      </c>
      <c r="Z35" s="1" t="n">
        <f aca="false">'OD-APUMA(Val)'!Z35*Z$49</f>
        <v>2.31666226107019</v>
      </c>
      <c r="AA35" s="1" t="n">
        <f aca="false">'OD-APUMA(Val)'!AA35*AA$49</f>
        <v>1677</v>
      </c>
      <c r="AB35" s="1" t="n">
        <f aca="false">'OD-APUMA(Val)'!AB35*AB$49</f>
        <v>1495</v>
      </c>
      <c r="AC35" s="1" t="n">
        <f aca="false">'OD-APUMA(Val)'!AC35*AC$49</f>
        <v>3.31646335507585</v>
      </c>
      <c r="AD35" s="1" t="n">
        <f aca="false">'OD-APUMA(Val)'!AD35*AD$49</f>
        <v>0</v>
      </c>
      <c r="AE35" s="1" t="n">
        <f aca="false">'OD-APUMA(Val)'!AE35*AE$49</f>
        <v>31.4558538092265</v>
      </c>
      <c r="AF35" s="1" t="n">
        <f aca="false">'OD-APUMA(Val)'!AF35*AF$49</f>
        <v>4.64753491096614</v>
      </c>
      <c r="AG35" s="1" t="n">
        <f aca="false">'OD-APUMA(Val)'!AG35*AG$49</f>
        <v>23.2513283850875</v>
      </c>
      <c r="AH35" s="1" t="n">
        <f aca="false">'OD-APUMA(Val)'!AH35*AH$49</f>
        <v>0</v>
      </c>
      <c r="AI35" s="1" t="n">
        <v>0</v>
      </c>
      <c r="AJ35" s="1" t="n">
        <f aca="false">'OD-APUMA(Val)'!AJ35*AJ$49</f>
        <v>36.5789195771902</v>
      </c>
      <c r="AK35" s="1" t="n">
        <f aca="false">'OD-APUMA(Val)'!AK35*AK$49</f>
        <v>0</v>
      </c>
      <c r="AL35" s="1" t="n">
        <f aca="false">'OD-APUMA(Val)'!AL35*AL$49</f>
        <v>6344</v>
      </c>
      <c r="AM35" s="1" t="n">
        <f aca="false">'OD-APUMA(Val)'!AM35*AM$49</f>
        <v>1222</v>
      </c>
      <c r="AN35" s="1" t="n">
        <f aca="false">'OD-APUMA(Val)'!AN35*AN$49</f>
        <v>2327</v>
      </c>
      <c r="AO35" s="1" t="n">
        <f aca="false">'OD-APUMA(Val)'!AO35*AO$49</f>
        <v>0</v>
      </c>
      <c r="AP35" s="1" t="n">
        <f aca="false">'OD-APUMA(Val)'!AP35*AP$49</f>
        <v>182</v>
      </c>
      <c r="AQ35" s="1" t="n">
        <f aca="false">'OD-APUMA(Val)'!AQ35*AQ$49</f>
        <v>0</v>
      </c>
      <c r="AR35" s="0" t="n">
        <f aca="false">SUM('OD-APUMA(Val)'!C35:AQ35)</f>
        <v>482352</v>
      </c>
      <c r="AS35" s="0" t="n">
        <f aca="false">MAX('OD-APUMA(Val)'!C35:AQ35)</f>
        <v>424983</v>
      </c>
      <c r="AT35" s="2" t="n">
        <f aca="false">SUM(C35:AQ35)/AR35</f>
        <v>0.112005144115574</v>
      </c>
      <c r="AU35" s="3" t="n">
        <f aca="false">AT35^4</f>
        <v>0.000157380846439714</v>
      </c>
    </row>
    <row r="36" customFormat="false" ht="12.75" hidden="false" customHeight="false" outlineLevel="0" collapsed="false">
      <c r="A36" s="0" t="n">
        <v>95</v>
      </c>
      <c r="B36" s="0" t="n">
        <v>822029</v>
      </c>
      <c r="C36" s="1" t="n">
        <f aca="false">'OD-APUMA(Val)'!C36*C$49</f>
        <v>44.8778171644832</v>
      </c>
      <c r="D36" s="1" t="n">
        <f aca="false">'OD-APUMA(Val)'!D36*D$49</f>
        <v>42.3929630723718</v>
      </c>
      <c r="E36" s="1" t="n">
        <f aca="false">'OD-APUMA(Val)'!E36*E$49</f>
        <v>47.4108053292169</v>
      </c>
      <c r="F36" s="1" t="n">
        <f aca="false">'OD-APUMA(Val)'!F36*F$49</f>
        <v>37.5464769964646</v>
      </c>
      <c r="G36" s="1" t="n">
        <f aca="false">'OD-APUMA(Val)'!G36*G$49</f>
        <v>0</v>
      </c>
      <c r="H36" s="1" t="n">
        <f aca="false">'OD-APUMA(Val)'!H36*H$49</f>
        <v>0</v>
      </c>
      <c r="I36" s="1" t="n">
        <f aca="false">'OD-APUMA(Val)'!I36*I$49</f>
        <v>0</v>
      </c>
      <c r="J36" s="1" t="n">
        <f aca="false">'OD-APUMA(Val)'!J36*J$49</f>
        <v>0</v>
      </c>
      <c r="K36" s="1" t="n">
        <f aca="false">'OD-APUMA(Val)'!K36*K$49</f>
        <v>0</v>
      </c>
      <c r="L36" s="1" t="n">
        <f aca="false">'OD-APUMA(Val)'!L36*L$49</f>
        <v>104</v>
      </c>
      <c r="M36" s="1" t="n">
        <f aca="false">'OD-APUMA(Val)'!M36*M$49</f>
        <v>78</v>
      </c>
      <c r="N36" s="1" t="n">
        <f aca="false">'OD-APUMA(Val)'!N36*N$49</f>
        <v>260</v>
      </c>
      <c r="O36" s="1" t="n">
        <f aca="false">'OD-APUMA(Val)'!O36*O$49</f>
        <v>156</v>
      </c>
      <c r="P36" s="1" t="n">
        <f aca="false">'OD-APUMA(Val)'!P36*P$49</f>
        <v>273</v>
      </c>
      <c r="Q36" s="1" t="n">
        <f aca="false">'OD-APUMA(Val)'!Q36*Q$49</f>
        <v>0</v>
      </c>
      <c r="R36" s="1" t="n">
        <f aca="false">'OD-APUMA(Val)'!R36*R$49</f>
        <v>0</v>
      </c>
      <c r="S36" s="1" t="n">
        <f aca="false">'OD-APUMA(Val)'!S36*S$49</f>
        <v>0</v>
      </c>
      <c r="T36" s="1" t="n">
        <f aca="false">'OD-APUMA(Val)'!T36*T$49</f>
        <v>6.49176090740661</v>
      </c>
      <c r="U36" s="1" t="n">
        <f aca="false">'OD-APUMA(Val)'!U36*U$49</f>
        <v>0</v>
      </c>
      <c r="V36" s="1" t="n">
        <f aca="false">'OD-APUMA(Val)'!V36*V$49</f>
        <v>6.58331389233055</v>
      </c>
      <c r="W36" s="1" t="n">
        <f aca="false">'OD-APUMA(Val)'!W36*W$49</f>
        <v>0</v>
      </c>
      <c r="X36" s="1" t="n">
        <f aca="false">'OD-APUMA(Val)'!X36*X$49</f>
        <v>0</v>
      </c>
      <c r="Y36" s="1" t="n">
        <f aca="false">'OD-APUMA(Val)'!Y36*Y$49</f>
        <v>0.424735862437933</v>
      </c>
      <c r="Z36" s="1" t="n">
        <f aca="false">'OD-APUMA(Val)'!Z36*Z$49</f>
        <v>0</v>
      </c>
      <c r="AA36" s="1" t="n">
        <f aca="false">'OD-APUMA(Val)'!AA36*AA$49</f>
        <v>78</v>
      </c>
      <c r="AB36" s="1" t="n">
        <f aca="false">'OD-APUMA(Val)'!AB36*AB$49</f>
        <v>52</v>
      </c>
      <c r="AC36" s="1" t="n">
        <f aca="false">'OD-APUMA(Val)'!AC36*AC$49</f>
        <v>0</v>
      </c>
      <c r="AD36" s="1" t="n">
        <f aca="false">'OD-APUMA(Val)'!AD36*AD$49</f>
        <v>47.4088493650875</v>
      </c>
      <c r="AE36" s="1" t="n">
        <f aca="false">'OD-APUMA(Val)'!AE36*AE$49</f>
        <v>10743.9216232847</v>
      </c>
      <c r="AF36" s="1" t="n">
        <f aca="false">'OD-APUMA(Val)'!AF36*AF$49</f>
        <v>6.28784135013066</v>
      </c>
      <c r="AG36" s="1" t="n">
        <f aca="false">'OD-APUMA(Val)'!AG36*AG$49</f>
        <v>4083.29097716574</v>
      </c>
      <c r="AH36" s="1" t="n">
        <f aca="false">'OD-APUMA(Val)'!AH36*AH$49</f>
        <v>10962.2069295915</v>
      </c>
      <c r="AI36" s="1" t="n">
        <f aca="false">'OD-APUMA(Val)'!AI36*AI$49</f>
        <v>0</v>
      </c>
      <c r="AJ36" s="1" t="n">
        <v>0</v>
      </c>
      <c r="AK36" s="1" t="n">
        <f aca="false">'OD-APUMA(Val)'!AK36*AK$49</f>
        <v>0</v>
      </c>
      <c r="AL36" s="1" t="n">
        <f aca="false">'OD-APUMA(Val)'!AL36*AL$49</f>
        <v>130</v>
      </c>
      <c r="AM36" s="1" t="n">
        <f aca="false">'OD-APUMA(Val)'!AM36*AM$49</f>
        <v>221</v>
      </c>
      <c r="AN36" s="1" t="n">
        <f aca="false">'OD-APUMA(Val)'!AN36*AN$49</f>
        <v>0</v>
      </c>
      <c r="AO36" s="1" t="n">
        <f aca="false">'OD-APUMA(Val)'!AO36*AO$49</f>
        <v>117</v>
      </c>
      <c r="AP36" s="1" t="n">
        <f aca="false">'OD-APUMA(Val)'!AP36*AP$49</f>
        <v>65</v>
      </c>
      <c r="AQ36" s="1" t="n">
        <f aca="false">'OD-APUMA(Val)'!AQ36*AQ$49</f>
        <v>35.1384157257182</v>
      </c>
      <c r="AR36" s="0" t="n">
        <f aca="false">SUM('OD-APUMA(Val)'!C36:AQ36)</f>
        <v>607932</v>
      </c>
      <c r="AS36" s="0" t="n">
        <f aca="false">MAX('OD-APUMA(Val)'!C36:AQ36)</f>
        <v>414232</v>
      </c>
      <c r="AT36" s="2" t="n">
        <f aca="false">SUM(C36:AQ36)/AR36</f>
        <v>0.0453964958411592</v>
      </c>
      <c r="AU36" s="3" t="n">
        <f aca="false">AT36^4</f>
        <v>4.24706906746989E-006</v>
      </c>
    </row>
    <row r="37" customFormat="false" ht="12.75" hidden="false" customHeight="false" outlineLevel="0" collapsed="false">
      <c r="A37" s="0" t="n">
        <v>96</v>
      </c>
      <c r="B37" s="0" t="n">
        <v>1264757</v>
      </c>
      <c r="C37" s="1" t="n">
        <f aca="false">'OD-APUMA(Val)'!C37*C$49</f>
        <v>65.8207985079087</v>
      </c>
      <c r="D37" s="1" t="n">
        <f aca="false">'OD-APUMA(Val)'!D37*D$49</f>
        <v>10.5982407680929</v>
      </c>
      <c r="E37" s="1" t="n">
        <f aca="false">'OD-APUMA(Val)'!E37*E$49</f>
        <v>11.2882869831469</v>
      </c>
      <c r="F37" s="1" t="n">
        <f aca="false">'OD-APUMA(Val)'!F37*F$49</f>
        <v>70.3996443683712</v>
      </c>
      <c r="G37" s="1" t="n">
        <f aca="false">'OD-APUMA(Val)'!G37*G$49</f>
        <v>22.2570336074833</v>
      </c>
      <c r="H37" s="1" t="n">
        <f aca="false">'OD-APUMA(Val)'!H37*H$49</f>
        <v>2.34867347518968</v>
      </c>
      <c r="I37" s="1" t="n">
        <f aca="false">'OD-APUMA(Val)'!I37*I$49</f>
        <v>208</v>
      </c>
      <c r="J37" s="1" t="n">
        <f aca="false">'OD-APUMA(Val)'!J37*J$49</f>
        <v>213.45688388866</v>
      </c>
      <c r="K37" s="1" t="n">
        <f aca="false">'OD-APUMA(Val)'!K37*K$49</f>
        <v>78</v>
      </c>
      <c r="L37" s="1" t="n">
        <f aca="false">'OD-APUMA(Val)'!L37*L$49</f>
        <v>0</v>
      </c>
      <c r="M37" s="1" t="n">
        <f aca="false">'OD-APUMA(Val)'!M37*M$49</f>
        <v>169</v>
      </c>
      <c r="N37" s="1" t="n">
        <f aca="false">'OD-APUMA(Val)'!N37*N$49</f>
        <v>260</v>
      </c>
      <c r="O37" s="1" t="n">
        <f aca="false">'OD-APUMA(Val)'!O37*O$49</f>
        <v>143</v>
      </c>
      <c r="P37" s="1" t="n">
        <f aca="false">'OD-APUMA(Val)'!P37*P$49</f>
        <v>1209</v>
      </c>
      <c r="Q37" s="1" t="n">
        <f aca="false">'OD-APUMA(Val)'!Q37*Q$49</f>
        <v>949</v>
      </c>
      <c r="R37" s="1" t="n">
        <f aca="false">'OD-APUMA(Val)'!R37*R$49</f>
        <v>177.735883871465</v>
      </c>
      <c r="S37" s="1" t="n">
        <f aca="false">'OD-APUMA(Val)'!S37*S$49</f>
        <v>0</v>
      </c>
      <c r="T37" s="1" t="n">
        <f aca="false">'OD-APUMA(Val)'!T37*T$49</f>
        <v>11.540908279834</v>
      </c>
      <c r="U37" s="1" t="n">
        <f aca="false">'OD-APUMA(Val)'!U37*U$49</f>
        <v>8.42940521257926</v>
      </c>
      <c r="V37" s="1" t="n">
        <f aca="false">'OD-APUMA(Val)'!V37*V$49</f>
        <v>2.7107763086067</v>
      </c>
      <c r="W37" s="1" t="n">
        <f aca="false">'OD-APUMA(Val)'!W37*W$49</f>
        <v>0.567747986351395</v>
      </c>
      <c r="X37" s="1" t="n">
        <f aca="false">'OD-APUMA(Val)'!X37*X$49</f>
        <v>96.5507135075327</v>
      </c>
      <c r="Y37" s="1" t="n">
        <f aca="false">'OD-APUMA(Val)'!Y37*Y$49</f>
        <v>0.247762586422127</v>
      </c>
      <c r="Z37" s="1" t="n">
        <f aca="false">'OD-APUMA(Val)'!Z37*Z$49</f>
        <v>0</v>
      </c>
      <c r="AA37" s="1" t="n">
        <f aca="false">'OD-APUMA(Val)'!AA37*AA$49</f>
        <v>1287</v>
      </c>
      <c r="AB37" s="1" t="n">
        <f aca="false">'OD-APUMA(Val)'!AB37*AB$49</f>
        <v>182</v>
      </c>
      <c r="AC37" s="1" t="n">
        <f aca="false">'OD-APUMA(Val)'!AC37*AC$49</f>
        <v>4.05345521175937</v>
      </c>
      <c r="AD37" s="1" t="n">
        <f aca="false">'OD-APUMA(Val)'!AD37*AD$49</f>
        <v>11.2878212774018</v>
      </c>
      <c r="AE37" s="1" t="n">
        <f aca="false">'OD-APUMA(Val)'!AE37*AE$49</f>
        <v>683.873562445035</v>
      </c>
      <c r="AF37" s="1" t="n">
        <f aca="false">'OD-APUMA(Val)'!AF37*AF$49</f>
        <v>7.38137897624034</v>
      </c>
      <c r="AG37" s="1" t="n">
        <f aca="false">'OD-APUMA(Val)'!AG37*AG$49</f>
        <v>1797.50654053945</v>
      </c>
      <c r="AH37" s="1" t="n">
        <f aca="false">'OD-APUMA(Val)'!AH37*AH$49</f>
        <v>1651.62893473173</v>
      </c>
      <c r="AI37" s="1" t="n">
        <f aca="false">'OD-APUMA(Val)'!AI37*AI$49</f>
        <v>221</v>
      </c>
      <c r="AJ37" s="1" t="n">
        <f aca="false">'OD-APUMA(Val)'!AJ37*AJ$49</f>
        <v>409.68389926453</v>
      </c>
      <c r="AK37" s="1" t="n">
        <v>0</v>
      </c>
      <c r="AL37" s="1" t="n">
        <f aca="false">'OD-APUMA(Val)'!AL37*AL$49</f>
        <v>169</v>
      </c>
      <c r="AM37" s="1" t="n">
        <f aca="false">'OD-APUMA(Val)'!AM37*AM$49</f>
        <v>403</v>
      </c>
      <c r="AN37" s="1" t="n">
        <f aca="false">'OD-APUMA(Val)'!AN37*AN$49</f>
        <v>65</v>
      </c>
      <c r="AO37" s="1" t="n">
        <f aca="false">'OD-APUMA(Val)'!AO37*AO$49</f>
        <v>91</v>
      </c>
      <c r="AP37" s="1" t="n">
        <f aca="false">'OD-APUMA(Val)'!AP37*AP$49</f>
        <v>234</v>
      </c>
      <c r="AQ37" s="1" t="n">
        <f aca="false">'OD-APUMA(Val)'!AQ37*AQ$49</f>
        <v>46.382708757948</v>
      </c>
      <c r="AR37" s="0" t="n">
        <f aca="false">SUM('OD-APUMA(Val)'!C37:AQ37)</f>
        <v>1221532</v>
      </c>
      <c r="AS37" s="0" t="n">
        <f aca="false">MAX('OD-APUMA(Val)'!C37:AQ37)</f>
        <v>1184040</v>
      </c>
      <c r="AT37" s="2" t="n">
        <f aca="false">SUM(C37:AQ37)/AR37</f>
        <v>0.00898359687716387</v>
      </c>
      <c r="AU37" s="3" t="n">
        <f aca="false">AT37^4</f>
        <v>6.51329909934278E-009</v>
      </c>
    </row>
    <row r="38" customFormat="false" ht="12.75" hidden="false" customHeight="false" outlineLevel="0" collapsed="false">
      <c r="A38" s="0" t="n">
        <v>97</v>
      </c>
      <c r="B38" s="0" t="n">
        <v>154115</v>
      </c>
      <c r="C38" s="1" t="n">
        <f aca="false">'OD-APUMA(Val)'!C38*C$49</f>
        <v>0</v>
      </c>
      <c r="D38" s="1" t="n">
        <f aca="false">'OD-APUMA(Val)'!D38*D$49</f>
        <v>0</v>
      </c>
      <c r="E38" s="1" t="n">
        <f aca="false">'OD-APUMA(Val)'!E38*E$49</f>
        <v>0</v>
      </c>
      <c r="F38" s="1" t="n">
        <f aca="false">'OD-APUMA(Val)'!F38*F$49</f>
        <v>0</v>
      </c>
      <c r="G38" s="1" t="n">
        <f aca="false">'OD-APUMA(Val)'!G38*G$49</f>
        <v>0</v>
      </c>
      <c r="H38" s="1" t="n">
        <f aca="false">'OD-APUMA(Val)'!H38*H$49</f>
        <v>0</v>
      </c>
      <c r="I38" s="1" t="n">
        <f aca="false">'OD-APUMA(Val)'!I38*I$49</f>
        <v>0</v>
      </c>
      <c r="J38" s="1" t="n">
        <f aca="false">'OD-APUMA(Val)'!J38*J$49</f>
        <v>0</v>
      </c>
      <c r="K38" s="1" t="n">
        <f aca="false">'OD-APUMA(Val)'!K38*K$49</f>
        <v>0</v>
      </c>
      <c r="L38" s="1" t="n">
        <f aca="false">'OD-APUMA(Val)'!L38*L$49</f>
        <v>130</v>
      </c>
      <c r="M38" s="1" t="n">
        <f aca="false">'OD-APUMA(Val)'!M38*M$49</f>
        <v>0</v>
      </c>
      <c r="N38" s="1" t="n">
        <f aca="false">'OD-APUMA(Val)'!N38*N$49</f>
        <v>0</v>
      </c>
      <c r="O38" s="1" t="n">
        <f aca="false">'OD-APUMA(Val)'!O38*O$49</f>
        <v>0</v>
      </c>
      <c r="P38" s="1" t="n">
        <f aca="false">'OD-APUMA(Val)'!P38*P$49</f>
        <v>585</v>
      </c>
      <c r="Q38" s="1" t="n">
        <f aca="false">'OD-APUMA(Val)'!Q38*Q$49</f>
        <v>728</v>
      </c>
      <c r="R38" s="1" t="n">
        <f aca="false">'OD-APUMA(Val)'!R38*R$49</f>
        <v>56.5523266863751</v>
      </c>
      <c r="S38" s="1" t="n">
        <f aca="false">'OD-APUMA(Val)'!S38*S$49</f>
        <v>0</v>
      </c>
      <c r="T38" s="1" t="n">
        <f aca="false">'OD-APUMA(Val)'!T38*T$49</f>
        <v>5.04914737242737</v>
      </c>
      <c r="U38" s="1" t="n">
        <f aca="false">'OD-APUMA(Val)'!U38*U$49</f>
        <v>0</v>
      </c>
      <c r="V38" s="1" t="n">
        <f aca="false">'OD-APUMA(Val)'!V38*V$49</f>
        <v>1.93626879186193</v>
      </c>
      <c r="W38" s="1" t="n">
        <f aca="false">'OD-APUMA(Val)'!W38*W$49</f>
        <v>0</v>
      </c>
      <c r="X38" s="1" t="n">
        <f aca="false">'OD-APUMA(Val)'!X38*X$49</f>
        <v>0</v>
      </c>
      <c r="Y38" s="1" t="n">
        <f aca="false">'OD-APUMA(Val)'!Y38*Y$49</f>
        <v>0</v>
      </c>
      <c r="Z38" s="1" t="n">
        <f aca="false">'OD-APUMA(Val)'!Z38*Z$49</f>
        <v>0</v>
      </c>
      <c r="AA38" s="1" t="n">
        <f aca="false">'OD-APUMA(Val)'!AA38*AA$49</f>
        <v>9776</v>
      </c>
      <c r="AB38" s="1" t="n">
        <f aca="false">'OD-APUMA(Val)'!AB38*AB$49</f>
        <v>2015</v>
      </c>
      <c r="AC38" s="1" t="n">
        <f aca="false">'OD-APUMA(Val)'!AC38*AC$49</f>
        <v>2.57947149839232</v>
      </c>
      <c r="AD38" s="1" t="n">
        <f aca="false">'OD-APUMA(Val)'!AD38*AD$49</f>
        <v>0</v>
      </c>
      <c r="AE38" s="1" t="n">
        <f aca="false">'OD-APUMA(Val)'!AE38*AE$49</f>
        <v>5.82515811281972</v>
      </c>
      <c r="AF38" s="1" t="n">
        <f aca="false">'OD-APUMA(Val)'!AF38*AF$49</f>
        <v>0</v>
      </c>
      <c r="AG38" s="1" t="n">
        <f aca="false">'OD-APUMA(Val)'!AG38*AG$49</f>
        <v>0</v>
      </c>
      <c r="AH38" s="1" t="n">
        <f aca="false">'OD-APUMA(Val)'!AH38*AH$49</f>
        <v>0</v>
      </c>
      <c r="AI38" s="1" t="n">
        <f aca="false">'OD-APUMA(Val)'!AI38*AI$49</f>
        <v>2171</v>
      </c>
      <c r="AJ38" s="1" t="n">
        <f aca="false">'OD-APUMA(Val)'!AJ38*AJ$49</f>
        <v>0</v>
      </c>
      <c r="AK38" s="1" t="n">
        <f aca="false">'OD-APUMA(Val)'!AK38*AK$49</f>
        <v>0</v>
      </c>
      <c r="AL38" s="1" t="n">
        <v>0</v>
      </c>
      <c r="AM38" s="1" t="n">
        <f aca="false">'OD-APUMA(Val)'!AM38*AM$49</f>
        <v>3159</v>
      </c>
      <c r="AN38" s="1" t="n">
        <f aca="false">'OD-APUMA(Val)'!AN38*AN$49</f>
        <v>234</v>
      </c>
      <c r="AO38" s="1" t="n">
        <f aca="false">'OD-APUMA(Val)'!AO38*AO$49</f>
        <v>0</v>
      </c>
      <c r="AP38" s="1" t="n">
        <f aca="false">'OD-APUMA(Val)'!AP38*AP$49</f>
        <v>4927</v>
      </c>
      <c r="AQ38" s="1" t="n">
        <f aca="false">'OD-APUMA(Val)'!AQ38*AQ$49</f>
        <v>0</v>
      </c>
      <c r="AR38" s="0" t="n">
        <f aca="false">SUM('OD-APUMA(Val)'!C38:AQ38)</f>
        <v>109590</v>
      </c>
      <c r="AS38" s="0" t="n">
        <f aca="false">MAX('OD-APUMA(Val)'!C38:AQ38)</f>
        <v>85462</v>
      </c>
      <c r="AT38" s="2" t="n">
        <f aca="false">SUM(C38:AQ38)/AR38</f>
        <v>0.217145199128222</v>
      </c>
      <c r="AU38" s="3" t="n">
        <f aca="false">AT38^4</f>
        <v>0.00222331464081967</v>
      </c>
    </row>
    <row r="39" customFormat="false" ht="12.75" hidden="false" customHeight="false" outlineLevel="0" collapsed="false">
      <c r="A39" s="0" t="n">
        <v>98</v>
      </c>
      <c r="B39" s="0" t="n">
        <v>686517</v>
      </c>
      <c r="C39" s="1" t="n">
        <f aca="false">'OD-APUMA(Val)'!C39*C$49</f>
        <v>10.4714906717127</v>
      </c>
      <c r="D39" s="1" t="n">
        <f aca="false">'OD-APUMA(Val)'!D39*D$49</f>
        <v>8.96774218838633</v>
      </c>
      <c r="E39" s="1" t="n">
        <f aca="false">'OD-APUMA(Val)'!E39*E$49</f>
        <v>20.3189165696644</v>
      </c>
      <c r="F39" s="1" t="n">
        <f aca="false">'OD-APUMA(Val)'!F39*F$49</f>
        <v>32.8531673719065</v>
      </c>
      <c r="G39" s="1" t="n">
        <f aca="false">'OD-APUMA(Val)'!G39*G$49</f>
        <v>0</v>
      </c>
      <c r="H39" s="1" t="n">
        <f aca="false">'OD-APUMA(Val)'!H39*H$49</f>
        <v>0</v>
      </c>
      <c r="I39" s="1" t="n">
        <f aca="false">'OD-APUMA(Val)'!I39*I$49</f>
        <v>0</v>
      </c>
      <c r="J39" s="1" t="n">
        <f aca="false">'OD-APUMA(Val)'!J39*J$49</f>
        <v>0</v>
      </c>
      <c r="K39" s="1" t="n">
        <f aca="false">'OD-APUMA(Val)'!K39*K$49</f>
        <v>0</v>
      </c>
      <c r="L39" s="1" t="n">
        <f aca="false">'OD-APUMA(Val)'!L39*L$49</f>
        <v>338</v>
      </c>
      <c r="M39" s="1" t="n">
        <f aca="false">'OD-APUMA(Val)'!M39*M$49</f>
        <v>156</v>
      </c>
      <c r="N39" s="1" t="n">
        <f aca="false">'OD-APUMA(Val)'!N39*N$49</f>
        <v>52</v>
      </c>
      <c r="O39" s="1" t="n">
        <f aca="false">'OD-APUMA(Val)'!O39*O$49</f>
        <v>468</v>
      </c>
      <c r="P39" s="1" t="n">
        <f aca="false">'OD-APUMA(Val)'!P39*P$49</f>
        <v>8112</v>
      </c>
      <c r="Q39" s="1" t="n">
        <f aca="false">'OD-APUMA(Val)'!Q39*Q$49</f>
        <v>32188</v>
      </c>
      <c r="R39" s="1" t="n">
        <f aca="false">'OD-APUMA(Val)'!R39*R$49</f>
        <v>0</v>
      </c>
      <c r="S39" s="1" t="n">
        <f aca="false">'OD-APUMA(Val)'!S39*S$49</f>
        <v>223.825801926193</v>
      </c>
      <c r="T39" s="1" t="n">
        <f aca="false">'OD-APUMA(Val)'!T39*T$49</f>
        <v>0</v>
      </c>
      <c r="U39" s="1" t="n">
        <f aca="false">'OD-APUMA(Val)'!U39*U$49</f>
        <v>0</v>
      </c>
      <c r="V39" s="1" t="n">
        <f aca="false">'OD-APUMA(Val)'!V39*V$49</f>
        <v>1.93626879186193</v>
      </c>
      <c r="W39" s="1" t="n">
        <f aca="false">'OD-APUMA(Val)'!W39*W$49</f>
        <v>0</v>
      </c>
      <c r="X39" s="1" t="n">
        <f aca="false">'OD-APUMA(Val)'!X39*X$49</f>
        <v>2785.11673579421</v>
      </c>
      <c r="Y39" s="1" t="n">
        <f aca="false">'OD-APUMA(Val)'!Y39*Y$49</f>
        <v>0</v>
      </c>
      <c r="Z39" s="1" t="n">
        <f aca="false">'OD-APUMA(Val)'!Z39*Z$49</f>
        <v>5.79165565267548</v>
      </c>
      <c r="AA39" s="1" t="n">
        <f aca="false">'OD-APUMA(Val)'!AA39*AA$49</f>
        <v>23764</v>
      </c>
      <c r="AB39" s="1" t="n">
        <f aca="false">'OD-APUMA(Val)'!AB39*AB$49</f>
        <v>12389</v>
      </c>
      <c r="AC39" s="1" t="n">
        <f aca="false">'OD-APUMA(Val)'!AC39*AC$49</f>
        <v>0</v>
      </c>
      <c r="AD39" s="1" t="n">
        <f aca="false">'OD-APUMA(Val)'!AD39*AD$49</f>
        <v>5.64391063870089</v>
      </c>
      <c r="AE39" s="1" t="n">
        <f aca="false">'OD-APUMA(Val)'!AE39*AE$49</f>
        <v>87.3773716922958</v>
      </c>
      <c r="AF39" s="1" t="n">
        <f aca="false">'OD-APUMA(Val)'!AF39*AF$49</f>
        <v>15.0361423590081</v>
      </c>
      <c r="AG39" s="1" t="n">
        <f aca="false">'OD-APUMA(Val)'!AG39*AG$49</f>
        <v>21.4627646631576</v>
      </c>
      <c r="AH39" s="1" t="n">
        <f aca="false">'OD-APUMA(Val)'!AH39*AH$49</f>
        <v>0</v>
      </c>
      <c r="AI39" s="1" t="n">
        <f aca="false">'OD-APUMA(Val)'!AI39*AI$49</f>
        <v>741</v>
      </c>
      <c r="AJ39" s="1" t="n">
        <f aca="false">'OD-APUMA(Val)'!AJ39*AJ$49</f>
        <v>0</v>
      </c>
      <c r="AK39" s="1" t="n">
        <f aca="false">'OD-APUMA(Val)'!AK39*AK$49</f>
        <v>0</v>
      </c>
      <c r="AL39" s="1" t="n">
        <f aca="false">'OD-APUMA(Val)'!AL39*AL$49</f>
        <v>780</v>
      </c>
      <c r="AM39" s="1" t="n">
        <v>0</v>
      </c>
      <c r="AN39" s="1" t="n">
        <f aca="false">'OD-APUMA(Val)'!AN39*AN$49</f>
        <v>403</v>
      </c>
      <c r="AO39" s="1" t="n">
        <f aca="false">'OD-APUMA(Val)'!AO39*AO$49</f>
        <v>273</v>
      </c>
      <c r="AP39" s="1" t="n">
        <f aca="false">'OD-APUMA(Val)'!AP39*AP$49</f>
        <v>156</v>
      </c>
      <c r="AQ39" s="1" t="n">
        <f aca="false">'OD-APUMA(Val)'!AQ39*AQ$49</f>
        <v>14.0553662902873</v>
      </c>
      <c r="AR39" s="0" t="n">
        <f aca="false">SUM('OD-APUMA(Val)'!C39:AQ39)</f>
        <v>804063</v>
      </c>
      <c r="AS39" s="0" t="n">
        <f aca="false">MAX('OD-APUMA(Val)'!C39:AQ39)</f>
        <v>714948</v>
      </c>
      <c r="AT39" s="2" t="n">
        <f aca="false">SUM(C39:AQ39)/AR39</f>
        <v>0.103291480063888</v>
      </c>
      <c r="AU39" s="3" t="n">
        <f aca="false">AT39^4</f>
        <v>0.000113830331837003</v>
      </c>
    </row>
    <row r="40" customFormat="false" ht="12.75" hidden="false" customHeight="false" outlineLevel="0" collapsed="false">
      <c r="A40" s="0" t="n">
        <v>99</v>
      </c>
      <c r="B40" s="0" t="n">
        <v>183391</v>
      </c>
      <c r="C40" s="1" t="n">
        <f aca="false">'OD-APUMA(Val)'!C40*C$49</f>
        <v>14.9592723881611</v>
      </c>
      <c r="D40" s="1" t="n">
        <f aca="false">'OD-APUMA(Val)'!D40*D$49</f>
        <v>0</v>
      </c>
      <c r="E40" s="1" t="n">
        <f aca="false">'OD-APUMA(Val)'!E40*E$49</f>
        <v>0</v>
      </c>
      <c r="F40" s="1" t="n">
        <f aca="false">'OD-APUMA(Val)'!F40*F$49</f>
        <v>0</v>
      </c>
      <c r="G40" s="1" t="n">
        <f aca="false">'OD-APUMA(Val)'!G40*G$49</f>
        <v>0</v>
      </c>
      <c r="H40" s="1" t="n">
        <f aca="false">'OD-APUMA(Val)'!H40*H$49</f>
        <v>0</v>
      </c>
      <c r="I40" s="1" t="n">
        <f aca="false">'OD-APUMA(Val)'!I40*I$49</f>
        <v>0</v>
      </c>
      <c r="J40" s="1" t="n">
        <f aca="false">'OD-APUMA(Val)'!J40*J$49</f>
        <v>85.3827535554638</v>
      </c>
      <c r="K40" s="1" t="n">
        <f aca="false">'OD-APUMA(Val)'!K40*K$49</f>
        <v>4212</v>
      </c>
      <c r="L40" s="1" t="n">
        <f aca="false">'OD-APUMA(Val)'!L40*L$49</f>
        <v>2691</v>
      </c>
      <c r="M40" s="1" t="n">
        <f aca="false">'OD-APUMA(Val)'!M40*M$49</f>
        <v>260</v>
      </c>
      <c r="N40" s="1" t="n">
        <f aca="false">'OD-APUMA(Val)'!N40*N$49</f>
        <v>91</v>
      </c>
      <c r="O40" s="1" t="n">
        <f aca="false">'OD-APUMA(Val)'!O40*O$49</f>
        <v>1508</v>
      </c>
      <c r="P40" s="1" t="n">
        <f aca="false">'OD-APUMA(Val)'!P40*P$49</f>
        <v>8268</v>
      </c>
      <c r="Q40" s="1" t="n">
        <f aca="false">'OD-APUMA(Val)'!Q40*Q$49</f>
        <v>2535</v>
      </c>
      <c r="R40" s="1" t="n">
        <f aca="false">'OD-APUMA(Val)'!R40*R$49</f>
        <v>0</v>
      </c>
      <c r="S40" s="1" t="n">
        <f aca="false">'OD-APUMA(Val)'!S40*S$49</f>
        <v>12.2981209849556</v>
      </c>
      <c r="T40" s="1" t="n">
        <f aca="false">'OD-APUMA(Val)'!T40*T$49</f>
        <v>2.88522706995849</v>
      </c>
      <c r="U40" s="1" t="n">
        <f aca="false">'OD-APUMA(Val)'!U40*U$49</f>
        <v>0</v>
      </c>
      <c r="V40" s="1" t="n">
        <f aca="false">'OD-APUMA(Val)'!V40*V$49</f>
        <v>0</v>
      </c>
      <c r="W40" s="1" t="n">
        <f aca="false">'OD-APUMA(Val)'!W40*W$49</f>
        <v>0</v>
      </c>
      <c r="X40" s="1" t="n">
        <f aca="false">'OD-APUMA(Val)'!X40*X$49</f>
        <v>0</v>
      </c>
      <c r="Y40" s="1" t="n">
        <f aca="false">'OD-APUMA(Val)'!Y40*Y$49</f>
        <v>0</v>
      </c>
      <c r="Z40" s="1" t="n">
        <f aca="false">'OD-APUMA(Val)'!Z40*Z$49</f>
        <v>4.63332452214038</v>
      </c>
      <c r="AA40" s="1" t="n">
        <f aca="false">'OD-APUMA(Val)'!AA40*AA$49</f>
        <v>9542</v>
      </c>
      <c r="AB40" s="1" t="n">
        <f aca="false">'OD-APUMA(Val)'!AB40*AB$49</f>
        <v>23712</v>
      </c>
      <c r="AC40" s="1" t="n">
        <f aca="false">'OD-APUMA(Val)'!AC40*AC$49</f>
        <v>0</v>
      </c>
      <c r="AD40" s="1" t="n">
        <f aca="false">'OD-APUMA(Val)'!AD40*AD$49</f>
        <v>0</v>
      </c>
      <c r="AE40" s="1" t="n">
        <f aca="false">'OD-APUMA(Val)'!AE40*AE$49</f>
        <v>6.99018973538366</v>
      </c>
      <c r="AF40" s="1" t="n">
        <f aca="false">'OD-APUMA(Val)'!AF40*AF$49</f>
        <v>1.64030643916452</v>
      </c>
      <c r="AG40" s="1" t="n">
        <f aca="false">'OD-APUMA(Val)'!AG40*AG$49</f>
        <v>23.2513283850875</v>
      </c>
      <c r="AH40" s="1" t="n">
        <f aca="false">'OD-APUMA(Val)'!AH40*AH$49</f>
        <v>0</v>
      </c>
      <c r="AI40" s="1" t="n">
        <f aca="false">'OD-APUMA(Val)'!AI40*AI$49</f>
        <v>3783</v>
      </c>
      <c r="AJ40" s="1" t="n">
        <f aca="false">'OD-APUMA(Val)'!AJ40*AJ$49</f>
        <v>0</v>
      </c>
      <c r="AK40" s="1" t="n">
        <f aca="false">'OD-APUMA(Val)'!AK40*AK$49</f>
        <v>0</v>
      </c>
      <c r="AL40" s="1" t="n">
        <f aca="false">'OD-APUMA(Val)'!AL40*AL$49</f>
        <v>156</v>
      </c>
      <c r="AM40" s="1" t="n">
        <f aca="false">'OD-APUMA(Val)'!AM40*AM$49</f>
        <v>936</v>
      </c>
      <c r="AN40" s="1" t="n">
        <v>0</v>
      </c>
      <c r="AO40" s="1" t="n">
        <f aca="false">'OD-APUMA(Val)'!AO40*AO$49</f>
        <v>1118</v>
      </c>
      <c r="AP40" s="1" t="n">
        <f aca="false">'OD-APUMA(Val)'!AP40*AP$49</f>
        <v>91</v>
      </c>
      <c r="AQ40" s="1" t="n">
        <f aca="false">'OD-APUMA(Val)'!AQ40*AQ$49</f>
        <v>0</v>
      </c>
      <c r="AR40" s="0" t="n">
        <f aca="false">SUM('OD-APUMA(Val)'!C40:AQ40)</f>
        <v>158938</v>
      </c>
      <c r="AS40" s="0" t="n">
        <f aca="false">MAX('OD-APUMA(Val)'!C40:AQ40)</f>
        <v>99255</v>
      </c>
      <c r="AT40" s="2" t="n">
        <f aca="false">SUM(C40:AQ40)/AR40</f>
        <v>0.371560234324581</v>
      </c>
      <c r="AU40" s="3" t="n">
        <f aca="false">AT40^4</f>
        <v>0.0190597373837307</v>
      </c>
    </row>
    <row r="41" customFormat="false" ht="12.75" hidden="false" customHeight="false" outlineLevel="0" collapsed="false">
      <c r="A41" s="0" t="n">
        <v>100</v>
      </c>
      <c r="B41" s="0" t="n">
        <v>195936</v>
      </c>
      <c r="C41" s="1" t="n">
        <f aca="false">'OD-APUMA(Val)'!C41*C$49</f>
        <v>17.9511268657933</v>
      </c>
      <c r="D41" s="1" t="n">
        <f aca="false">'OD-APUMA(Val)'!D41*D$49</f>
        <v>5.70674502897312</v>
      </c>
      <c r="E41" s="1" t="n">
        <f aca="false">'OD-APUMA(Val)'!E41*E$49</f>
        <v>11.2882869831469</v>
      </c>
      <c r="F41" s="1" t="n">
        <f aca="false">'OD-APUMA(Val)'!F41*F$49</f>
        <v>107.946121364836</v>
      </c>
      <c r="G41" s="1" t="n">
        <f aca="false">'OD-APUMA(Val)'!G41*G$49</f>
        <v>0</v>
      </c>
      <c r="H41" s="1" t="n">
        <f aca="false">'OD-APUMA(Val)'!H41*H$49</f>
        <v>0</v>
      </c>
      <c r="I41" s="1" t="n">
        <f aca="false">'OD-APUMA(Val)'!I41*I$49</f>
        <v>0</v>
      </c>
      <c r="J41" s="1" t="n">
        <f aca="false">'OD-APUMA(Val)'!J41*J$49</f>
        <v>0</v>
      </c>
      <c r="K41" s="1" t="n">
        <f aca="false">'OD-APUMA(Val)'!K41*K$49</f>
        <v>1625</v>
      </c>
      <c r="L41" s="1" t="n">
        <f aca="false">'OD-APUMA(Val)'!L41*L$49</f>
        <v>130</v>
      </c>
      <c r="M41" s="1" t="n">
        <f aca="false">'OD-APUMA(Val)'!M41*M$49</f>
        <v>0</v>
      </c>
      <c r="N41" s="1" t="n">
        <f aca="false">'OD-APUMA(Val)'!N41*N$49</f>
        <v>78</v>
      </c>
      <c r="O41" s="1" t="n">
        <f aca="false">'OD-APUMA(Val)'!O41*O$49</f>
        <v>17290</v>
      </c>
      <c r="P41" s="1" t="n">
        <f aca="false">'OD-APUMA(Val)'!P41*P$49</f>
        <v>8619</v>
      </c>
      <c r="Q41" s="1" t="n">
        <f aca="false">'OD-APUMA(Val)'!Q41*Q$49</f>
        <v>1313</v>
      </c>
      <c r="R41" s="1" t="n">
        <f aca="false">'OD-APUMA(Val)'!R41*R$49</f>
        <v>0</v>
      </c>
      <c r="S41" s="1" t="n">
        <f aca="false">'OD-APUMA(Val)'!S41*S$49</f>
        <v>0</v>
      </c>
      <c r="T41" s="1" t="n">
        <f aca="false">'OD-APUMA(Val)'!T41*T$49</f>
        <v>0</v>
      </c>
      <c r="U41" s="1" t="n">
        <f aca="false">'OD-APUMA(Val)'!U41*U$49</f>
        <v>0</v>
      </c>
      <c r="V41" s="1" t="n">
        <f aca="false">'OD-APUMA(Val)'!V41*V$49</f>
        <v>0</v>
      </c>
      <c r="W41" s="1" t="n">
        <f aca="false">'OD-APUMA(Val)'!W41*W$49</f>
        <v>0</v>
      </c>
      <c r="X41" s="1" t="n">
        <f aca="false">'OD-APUMA(Val)'!X41*X$49</f>
        <v>0</v>
      </c>
      <c r="Y41" s="1" t="n">
        <f aca="false">'OD-APUMA(Val)'!Y41*Y$49</f>
        <v>0</v>
      </c>
      <c r="Z41" s="1" t="n">
        <f aca="false">'OD-APUMA(Val)'!Z41*Z$49</f>
        <v>4.05415895687283</v>
      </c>
      <c r="AA41" s="1" t="n">
        <f aca="false">'OD-APUMA(Val)'!AA41*AA$49</f>
        <v>2171</v>
      </c>
      <c r="AB41" s="1" t="n">
        <f aca="false">'OD-APUMA(Val)'!AB41*AB$49</f>
        <v>1365</v>
      </c>
      <c r="AC41" s="1" t="n">
        <f aca="false">'OD-APUMA(Val)'!AC41*AC$49</f>
        <v>0</v>
      </c>
      <c r="AD41" s="1" t="n">
        <f aca="false">'OD-APUMA(Val)'!AD41*AD$49</f>
        <v>0</v>
      </c>
      <c r="AE41" s="1" t="n">
        <f aca="false">'OD-APUMA(Val)'!AE41*AE$49</f>
        <v>13.9803794707673</v>
      </c>
      <c r="AF41" s="1" t="n">
        <f aca="false">'OD-APUMA(Val)'!AF41*AF$49</f>
        <v>0</v>
      </c>
      <c r="AG41" s="1" t="n">
        <f aca="false">'OD-APUMA(Val)'!AG41*AG$49</f>
        <v>0</v>
      </c>
      <c r="AH41" s="1" t="n">
        <f aca="false">'OD-APUMA(Val)'!AH41*AH$49</f>
        <v>38.4099752263193</v>
      </c>
      <c r="AI41" s="1" t="n">
        <f aca="false">'OD-APUMA(Val)'!AI41*AI$49</f>
        <v>117</v>
      </c>
      <c r="AJ41" s="1" t="n">
        <f aca="false">'OD-APUMA(Val)'!AJ41*AJ$49</f>
        <v>0</v>
      </c>
      <c r="AK41" s="1" t="n">
        <f aca="false">'OD-APUMA(Val)'!AK41*AK$49</f>
        <v>0</v>
      </c>
      <c r="AL41" s="1" t="n">
        <f aca="false">'OD-APUMA(Val)'!AL41*AL$49</f>
        <v>130</v>
      </c>
      <c r="AM41" s="1" t="n">
        <f aca="false">'OD-APUMA(Val)'!AM41*AM$49</f>
        <v>351</v>
      </c>
      <c r="AN41" s="1" t="n">
        <f aca="false">'OD-APUMA(Val)'!AN41*AN$49</f>
        <v>1768</v>
      </c>
      <c r="AO41" s="1" t="n">
        <v>0</v>
      </c>
      <c r="AP41" s="1" t="n">
        <f aca="false">'OD-APUMA(Val)'!AP41*AP$49</f>
        <v>0</v>
      </c>
      <c r="AQ41" s="1" t="n">
        <f aca="false">'OD-APUMA(Val)'!AQ41*AQ$49</f>
        <v>0</v>
      </c>
      <c r="AR41" s="0" t="n">
        <f aca="false">SUM('OD-APUMA(Val)'!C41:AQ41)</f>
        <v>182702</v>
      </c>
      <c r="AS41" s="0" t="n">
        <f aca="false">MAX('OD-APUMA(Val)'!C41:AQ41)</f>
        <v>146120</v>
      </c>
      <c r="AT41" s="2" t="n">
        <f aca="false">SUM(C41:AQ41)/AR41</f>
        <v>0.192424476983814</v>
      </c>
      <c r="AU41" s="3" t="n">
        <f aca="false">AT41^4</f>
        <v>0.00137101201006123</v>
      </c>
    </row>
    <row r="42" customFormat="false" ht="12.75" hidden="false" customHeight="false" outlineLevel="0" collapsed="false">
      <c r="A42" s="0" t="n">
        <v>101</v>
      </c>
      <c r="B42" s="0" t="n">
        <v>219609</v>
      </c>
      <c r="C42" s="1" t="n">
        <f aca="false">'OD-APUMA(Val)'!C42*C$49</f>
        <v>23.9348358210577</v>
      </c>
      <c r="D42" s="1" t="n">
        <f aca="false">'OD-APUMA(Val)'!D42*D$49</f>
        <v>0</v>
      </c>
      <c r="E42" s="1" t="n">
        <f aca="false">'OD-APUMA(Val)'!E42*E$49</f>
        <v>0</v>
      </c>
      <c r="F42" s="1" t="n">
        <f aca="false">'OD-APUMA(Val)'!F42*F$49</f>
        <v>0</v>
      </c>
      <c r="G42" s="1" t="n">
        <f aca="false">'OD-APUMA(Val)'!G42*G$49</f>
        <v>0</v>
      </c>
      <c r="H42" s="1" t="n">
        <f aca="false">'OD-APUMA(Val)'!H42*H$49</f>
        <v>0</v>
      </c>
      <c r="I42" s="1" t="n">
        <f aca="false">'OD-APUMA(Val)'!I42*I$49</f>
        <v>0</v>
      </c>
      <c r="J42" s="1" t="n">
        <f aca="false">'OD-APUMA(Val)'!J42*J$49</f>
        <v>0</v>
      </c>
      <c r="K42" s="1" t="n">
        <f aca="false">'OD-APUMA(Val)'!K42*K$49</f>
        <v>0</v>
      </c>
      <c r="L42" s="1" t="n">
        <f aca="false">'OD-APUMA(Val)'!L42*L$49</f>
        <v>0</v>
      </c>
      <c r="M42" s="1" t="n">
        <f aca="false">'OD-APUMA(Val)'!M42*M$49</f>
        <v>0</v>
      </c>
      <c r="N42" s="1" t="n">
        <f aca="false">'OD-APUMA(Val)'!N42*N$49</f>
        <v>156</v>
      </c>
      <c r="O42" s="1" t="n">
        <f aca="false">'OD-APUMA(Val)'!O42*O$49</f>
        <v>0</v>
      </c>
      <c r="P42" s="1" t="n">
        <f aca="false">'OD-APUMA(Val)'!P42*P$49</f>
        <v>169</v>
      </c>
      <c r="Q42" s="1" t="n">
        <f aca="false">'OD-APUMA(Val)'!Q42*Q$49</f>
        <v>208</v>
      </c>
      <c r="R42" s="1" t="n">
        <f aca="false">'OD-APUMA(Val)'!R42*R$49</f>
        <v>306.998344868893</v>
      </c>
      <c r="S42" s="1" t="n">
        <f aca="false">'OD-APUMA(Val)'!S42*S$49</f>
        <v>22.1366177729202</v>
      </c>
      <c r="T42" s="1" t="n">
        <f aca="false">'OD-APUMA(Val)'!T42*T$49</f>
        <v>202.687201664584</v>
      </c>
      <c r="U42" s="1" t="n">
        <f aca="false">'OD-APUMA(Val)'!U42*U$49</f>
        <v>0</v>
      </c>
      <c r="V42" s="1" t="n">
        <f aca="false">'OD-APUMA(Val)'!V42*V$49</f>
        <v>0</v>
      </c>
      <c r="W42" s="1" t="n">
        <f aca="false">'OD-APUMA(Val)'!W42*W$49</f>
        <v>0</v>
      </c>
      <c r="X42" s="1" t="n">
        <f aca="false">'OD-APUMA(Val)'!X42*X$49</f>
        <v>133.685603318122</v>
      </c>
      <c r="Y42" s="1" t="n">
        <f aca="false">'OD-APUMA(Val)'!Y42*Y$49</f>
        <v>0</v>
      </c>
      <c r="Z42" s="1" t="n">
        <f aca="false">'OD-APUMA(Val)'!Z42*Z$49</f>
        <v>0</v>
      </c>
      <c r="AA42" s="1" t="n">
        <f aca="false">'OD-APUMA(Val)'!AA42*AA$49</f>
        <v>5499</v>
      </c>
      <c r="AB42" s="1" t="n">
        <f aca="false">'OD-APUMA(Val)'!AB42*AB$49</f>
        <v>676</v>
      </c>
      <c r="AC42" s="1" t="n">
        <f aca="false">'OD-APUMA(Val)'!AC42*AC$49</f>
        <v>5.15894299678465</v>
      </c>
      <c r="AD42" s="1" t="n">
        <f aca="false">'OD-APUMA(Val)'!AD42*AD$49</f>
        <v>0</v>
      </c>
      <c r="AE42" s="1" t="n">
        <f aca="false">'OD-APUMA(Val)'!AE42*AE$49</f>
        <v>6.99018973538366</v>
      </c>
      <c r="AF42" s="1" t="n">
        <f aca="false">'OD-APUMA(Val)'!AF42*AF$49</f>
        <v>0</v>
      </c>
      <c r="AG42" s="1" t="n">
        <f aca="false">'OD-APUMA(Val)'!AG42*AG$49</f>
        <v>0</v>
      </c>
      <c r="AH42" s="1" t="n">
        <f aca="false">'OD-APUMA(Val)'!AH42*AH$49</f>
        <v>23.0459851357916</v>
      </c>
      <c r="AI42" s="1" t="n">
        <f aca="false">'OD-APUMA(Val)'!AI42*AI$49</f>
        <v>234</v>
      </c>
      <c r="AJ42" s="1" t="n">
        <f aca="false">'OD-APUMA(Val)'!AJ42*AJ$49</f>
        <v>25.6052437040331</v>
      </c>
      <c r="AK42" s="1" t="n">
        <f aca="false">'OD-APUMA(Val)'!AK42*AK$49</f>
        <v>0</v>
      </c>
      <c r="AL42" s="1" t="n">
        <f aca="false">'OD-APUMA(Val)'!AL42*AL$49</f>
        <v>8528</v>
      </c>
      <c r="AM42" s="1" t="n">
        <f aca="false">'OD-APUMA(Val)'!AM42*AM$49</f>
        <v>3458</v>
      </c>
      <c r="AN42" s="1" t="n">
        <f aca="false">'OD-APUMA(Val)'!AN42*AN$49</f>
        <v>208</v>
      </c>
      <c r="AO42" s="1" t="n">
        <f aca="false">'OD-APUMA(Val)'!AO42*AO$49</f>
        <v>0</v>
      </c>
      <c r="AP42" s="1" t="n">
        <v>0</v>
      </c>
      <c r="AQ42" s="1" t="n">
        <f aca="false">'OD-APUMA(Val)'!AQ42*AQ$49</f>
        <v>0</v>
      </c>
      <c r="AR42" s="0" t="n">
        <f aca="false">SUM('OD-APUMA(Val)'!C42:AQ42)</f>
        <v>143481</v>
      </c>
      <c r="AS42" s="0" t="n">
        <f aca="false">MAX('OD-APUMA(Val)'!C42:AQ42)</f>
        <v>119210</v>
      </c>
      <c r="AT42" s="2" t="n">
        <f aca="false">SUM(C42:AQ42)/AR42</f>
        <v>0.138598441361696</v>
      </c>
      <c r="AU42" s="3" t="n">
        <f aca="false">AT42^4</f>
        <v>0.000369005963980829</v>
      </c>
    </row>
    <row r="43" customFormat="false" ht="12.75" hidden="false" customHeight="false" outlineLevel="0" collapsed="false">
      <c r="A43" s="0" t="n">
        <v>103</v>
      </c>
      <c r="B43" s="0" t="n">
        <v>331552</v>
      </c>
      <c r="C43" s="1" t="n">
        <f aca="false">'OD-APUMA(Val)'!C43*C$49</f>
        <v>7.47963619408053</v>
      </c>
      <c r="D43" s="1" t="n">
        <f aca="false">'OD-APUMA(Val)'!D43*D$49</f>
        <v>7.33724360867973</v>
      </c>
      <c r="E43" s="1" t="n">
        <f aca="false">'OD-APUMA(Val)'!E43*E$49</f>
        <v>4.51531479325875</v>
      </c>
      <c r="F43" s="1" t="n">
        <f aca="false">'OD-APUMA(Val)'!F43*F$49</f>
        <v>21.1198933105114</v>
      </c>
      <c r="G43" s="1" t="n">
        <f aca="false">'OD-APUMA(Val)'!G43*G$49</f>
        <v>0</v>
      </c>
      <c r="H43" s="1" t="n">
        <f aca="false">'OD-APUMA(Val)'!H43*H$49</f>
        <v>1.87893878015175</v>
      </c>
      <c r="I43" s="1" t="n">
        <f aca="false">'OD-APUMA(Val)'!I43*I$49</f>
        <v>0</v>
      </c>
      <c r="J43" s="1" t="n">
        <f aca="false">'OD-APUMA(Val)'!J43*J$49</f>
        <v>0</v>
      </c>
      <c r="K43" s="1" t="n">
        <f aca="false">'OD-APUMA(Val)'!K43*K$49</f>
        <v>0</v>
      </c>
      <c r="L43" s="1" t="n">
        <f aca="false">'OD-APUMA(Val)'!L43*L$49</f>
        <v>0</v>
      </c>
      <c r="M43" s="1" t="n">
        <f aca="false">'OD-APUMA(Val)'!M43*M$49</f>
        <v>0</v>
      </c>
      <c r="N43" s="1" t="n">
        <f aca="false">'OD-APUMA(Val)'!N43*N$49</f>
        <v>0</v>
      </c>
      <c r="O43" s="1" t="n">
        <f aca="false">'OD-APUMA(Val)'!O43*O$49</f>
        <v>91</v>
      </c>
      <c r="P43" s="1" t="n">
        <f aca="false">'OD-APUMA(Val)'!P43*P$49</f>
        <v>117</v>
      </c>
      <c r="Q43" s="1" t="n">
        <f aca="false">'OD-APUMA(Val)'!Q43*Q$49</f>
        <v>1794</v>
      </c>
      <c r="R43" s="1" t="n">
        <f aca="false">'OD-APUMA(Val)'!R43*R$49</f>
        <v>0</v>
      </c>
      <c r="S43" s="1" t="n">
        <f aca="false">'OD-APUMA(Val)'!S43*S$49</f>
        <v>0</v>
      </c>
      <c r="T43" s="1" t="n">
        <f aca="false">'OD-APUMA(Val)'!T43*T$49</f>
        <v>0</v>
      </c>
      <c r="U43" s="1" t="n">
        <f aca="false">'OD-APUMA(Val)'!U43*U$49</f>
        <v>0</v>
      </c>
      <c r="V43" s="1" t="n">
        <f aca="false">'OD-APUMA(Val)'!V43*V$49</f>
        <v>130.504516571494</v>
      </c>
      <c r="W43" s="1" t="n">
        <f aca="false">'OD-APUMA(Val)'!W43*W$49</f>
        <v>0</v>
      </c>
      <c r="X43" s="1" t="n">
        <f aca="false">'OD-APUMA(Val)'!X43*X$49</f>
        <v>0</v>
      </c>
      <c r="Y43" s="1" t="n">
        <f aca="false">'OD-APUMA(Val)'!Y43*Y$49</f>
        <v>0</v>
      </c>
      <c r="Z43" s="1" t="n">
        <f aca="false">'OD-APUMA(Val)'!Z43*Z$49</f>
        <v>19.1124636538291</v>
      </c>
      <c r="AA43" s="1" t="n">
        <f aca="false">'OD-APUMA(Val)'!AA43*AA$49</f>
        <v>117</v>
      </c>
      <c r="AB43" s="1" t="n">
        <f aca="false">'OD-APUMA(Val)'!AB43*AB$49</f>
        <v>221</v>
      </c>
      <c r="AC43" s="1" t="n">
        <f aca="false">'OD-APUMA(Val)'!AC43*AC$49</f>
        <v>0</v>
      </c>
      <c r="AD43" s="1" t="n">
        <f aca="false">'OD-APUMA(Val)'!AD43*AD$49</f>
        <v>13.9216462421289</v>
      </c>
      <c r="AE43" s="1" t="n">
        <f aca="false">'OD-APUMA(Val)'!AE43*AE$49</f>
        <v>6844.56078256317</v>
      </c>
      <c r="AF43" s="1" t="n">
        <f aca="false">'OD-APUMA(Val)'!AF43*AF$49</f>
        <v>3.55399728485646</v>
      </c>
      <c r="AG43" s="1" t="n">
        <f aca="false">'OD-APUMA(Val)'!AG43*AG$49</f>
        <v>41.1369656043855</v>
      </c>
      <c r="AH43" s="1" t="n">
        <f aca="false">'OD-APUMA(Val)'!AH43*AH$49</f>
        <v>42.2509727489512</v>
      </c>
      <c r="AI43" s="1" t="n">
        <f aca="false">'OD-APUMA(Val)'!AI43*AI$49</f>
        <v>104</v>
      </c>
      <c r="AJ43" s="1" t="n">
        <f aca="false">'OD-APUMA(Val)'!AJ43*AJ$49</f>
        <v>149.97357026648</v>
      </c>
      <c r="AK43" s="1" t="n">
        <f aca="false">'OD-APUMA(Val)'!AK43*AK$49</f>
        <v>0</v>
      </c>
      <c r="AL43" s="1" t="n">
        <f aca="false">'OD-APUMA(Val)'!AL43*AL$49</f>
        <v>91</v>
      </c>
      <c r="AM43" s="1" t="n">
        <f aca="false">'OD-APUMA(Val)'!AM43*AM$49</f>
        <v>65</v>
      </c>
      <c r="AN43" s="1" t="n">
        <f aca="false">'OD-APUMA(Val)'!AN43*AN$49</f>
        <v>0</v>
      </c>
      <c r="AO43" s="1" t="n">
        <f aca="false">'OD-APUMA(Val)'!AO43*AO$49</f>
        <v>0</v>
      </c>
      <c r="AP43" s="1" t="n">
        <f aca="false">'OD-APUMA(Val)'!AP43*AP$49</f>
        <v>0</v>
      </c>
      <c r="AQ43" s="1" t="n">
        <v>0</v>
      </c>
      <c r="AR43" s="0" t="n">
        <f aca="false">SUM('OD-APUMA(Val)'!C43:AQ43)</f>
        <v>335556</v>
      </c>
      <c r="AS43" s="0" t="n">
        <f aca="false">MAX('OD-APUMA(Val)'!C43:AQ43)</f>
        <v>249158</v>
      </c>
      <c r="AT43" s="2" t="n">
        <f aca="false">SUM(C43:AQ43)/AR43</f>
        <v>0.0294655614610437</v>
      </c>
      <c r="AU43" s="3" t="n">
        <f aca="false">AT43^4</f>
        <v>7.53804774102294E-007</v>
      </c>
    </row>
    <row r="44" customFormat="false" ht="12.75" hidden="false" customHeight="false" outlineLevel="0" collapsed="false">
      <c r="A44" s="0" t="s">
        <v>7</v>
      </c>
      <c r="B44" s="0" t="n">
        <v>15631931</v>
      </c>
      <c r="C44" s="1" t="n">
        <f aca="false">SUM(C3:C43)</f>
        <v>774.890309706743</v>
      </c>
      <c r="D44" s="1" t="n">
        <f aca="false">SUM(D3:D43)</f>
        <v>402.733149187532</v>
      </c>
      <c r="E44" s="1" t="n">
        <f aca="false">SUM(E3:E43)</f>
        <v>732.609825206233</v>
      </c>
      <c r="F44" s="1" t="n">
        <f aca="false">SUM(F3:F43)</f>
        <v>1175.6740609518</v>
      </c>
      <c r="G44" s="1" t="n">
        <f aca="false">SUM(G3:G43)</f>
        <v>3123.40371625015</v>
      </c>
      <c r="H44" s="1" t="n">
        <f aca="false">SUM(H3:H43)</f>
        <v>70.2253369081715</v>
      </c>
      <c r="I44" s="1" t="n">
        <f aca="false">SUM(I3:I43)</f>
        <v>4875</v>
      </c>
      <c r="J44" s="1" t="n">
        <f aca="false">SUM(J3:J43)</f>
        <v>3895.58813096804</v>
      </c>
      <c r="K44" s="1" t="n">
        <f aca="false">SUM(K3:K43)</f>
        <v>8203</v>
      </c>
      <c r="L44" s="1" t="n">
        <f aca="false">SUM(L3:L43)</f>
        <v>25779</v>
      </c>
      <c r="M44" s="1" t="n">
        <f aca="false">SUM(M3:M43)</f>
        <v>26338</v>
      </c>
      <c r="N44" s="1" t="n">
        <f aca="false">SUM(N3:N43)</f>
        <v>4576</v>
      </c>
      <c r="O44" s="1" t="n">
        <f aca="false">SUM(O3:O43)</f>
        <v>31954</v>
      </c>
      <c r="P44" s="1" t="n">
        <f aca="false">SUM(P3:P43)</f>
        <v>255632</v>
      </c>
      <c r="Q44" s="1" t="n">
        <f aca="false">SUM(Q3:Q43)</f>
        <v>111423</v>
      </c>
      <c r="R44" s="1" t="n">
        <f aca="false">SUM(R3:R43)</f>
        <v>2811.45852669408</v>
      </c>
      <c r="S44" s="1" t="n">
        <f aca="false">SUM(S3:S43)</f>
        <v>1635.6500909991</v>
      </c>
      <c r="T44" s="1" t="n">
        <f aca="false">SUM(T3:T43)</f>
        <v>370.751678489667</v>
      </c>
      <c r="U44" s="1" t="n">
        <f aca="false">SUM(U3:U43)</f>
        <v>947.465145893909</v>
      </c>
      <c r="V44" s="1" t="n">
        <f aca="false">SUM(V3:V43)</f>
        <v>403.905669982398</v>
      </c>
      <c r="W44" s="1" t="n">
        <f aca="false">SUM(W3:W43)</f>
        <v>92.1644231177097</v>
      </c>
      <c r="X44" s="1" t="n">
        <f aca="false">SUM(X3:X43)</f>
        <v>7753.76499245109</v>
      </c>
      <c r="Y44" s="1" t="n">
        <f aca="false">SUM(Y3:Y43)</f>
        <v>1.96440336377544</v>
      </c>
      <c r="Z44" s="1" t="n">
        <f aca="false">SUM(Z3:Z43)</f>
        <v>373.561789597568</v>
      </c>
      <c r="AA44" s="1" t="n">
        <f aca="false">SUM(AA3:AA43)</f>
        <v>182403</v>
      </c>
      <c r="AB44" s="1" t="n">
        <f aca="false">SUM(AB3:AB43)</f>
        <v>97955</v>
      </c>
      <c r="AC44" s="1" t="n">
        <f aca="false">SUM(AC3:AC43)</f>
        <v>536.898567593945</v>
      </c>
      <c r="AD44" s="1" t="n">
        <f aca="false">SUM(AD3:AD43)</f>
        <v>468.820843721421</v>
      </c>
      <c r="AE44" s="1" t="n">
        <f aca="false">SUM(AE3:AE43)</f>
        <v>41074.3548851144</v>
      </c>
      <c r="AF44" s="1" t="n">
        <f aca="false">SUM(AF3:AF43)</f>
        <v>212.96645268486</v>
      </c>
      <c r="AG44" s="1" t="n">
        <f aca="false">SUM(AG3:AG43)</f>
        <v>31702.2919712058</v>
      </c>
      <c r="AH44" s="1" t="n">
        <f aca="false">SUM(AH3:AH43)</f>
        <v>17841.4334926253</v>
      </c>
      <c r="AI44" s="1" t="n">
        <f aca="false">SUM(AI3:AI43)</f>
        <v>74555</v>
      </c>
      <c r="AJ44" s="1" t="n">
        <f aca="false">SUM(AJ3:AJ43)</f>
        <v>24661.5075789416</v>
      </c>
      <c r="AK44" s="1" t="n">
        <f aca="false">SUM(AK3:AK43)</f>
        <v>0</v>
      </c>
      <c r="AL44" s="1" t="n">
        <f aca="false">SUM(AL3:AL43)</f>
        <v>22607</v>
      </c>
      <c r="AM44" s="1" t="n">
        <f aca="false">SUM(AM3:AM43)</f>
        <v>149006</v>
      </c>
      <c r="AN44" s="1" t="n">
        <f aca="false">SUM(AN3:AN43)</f>
        <v>25012</v>
      </c>
      <c r="AO44" s="1" t="n">
        <f aca="false">SUM(AO3:AO43)</f>
        <v>11063</v>
      </c>
      <c r="AP44" s="1" t="n">
        <f aca="false">SUM(AP3:AP43)</f>
        <v>14547</v>
      </c>
      <c r="AQ44" s="1" t="n">
        <f aca="false">SUM(AQ3:AQ43)</f>
        <v>2881.35008950889</v>
      </c>
      <c r="AR44" s="0" t="n">
        <f aca="false">SUM('OD-APUMA(Val)'!C44:AQ44)</f>
        <v>13839891</v>
      </c>
      <c r="AS44" s="0" t="n">
        <f aca="false">MAX('OD-APUMA(Val)'!C44:AQ44)</f>
        <v>4317976</v>
      </c>
      <c r="AT44" s="2" t="n">
        <f aca="false">SUM(C44:AQ44)/AR44</f>
        <v>0.0859741912079484</v>
      </c>
      <c r="AU44" s="3"/>
    </row>
    <row r="45" customFormat="false" ht="12.75" hidden="false" customHeight="false" outlineLevel="0" collapsed="false">
      <c r="A45" s="0" t="n">
        <v>0</v>
      </c>
      <c r="B45" s="0" t="s">
        <v>8</v>
      </c>
      <c r="C45" s="1" t="n">
        <f aca="false">MAX(C3:C43)</f>
        <v>181.007195896749</v>
      </c>
      <c r="D45" s="1" t="n">
        <f aca="false">MAX(D3:D43)</f>
        <v>158.973611521394</v>
      </c>
      <c r="E45" s="1" t="n">
        <f aca="false">MAX(E3:E43)</f>
        <v>197.54502220507</v>
      </c>
      <c r="F45" s="1" t="n">
        <f aca="false">MAX(F3:F43)</f>
        <v>262.825338975252</v>
      </c>
      <c r="G45" s="1" t="n">
        <f aca="false">MAX(G3:G43)</f>
        <v>1658.1490037575</v>
      </c>
      <c r="H45" s="1" t="n">
        <f aca="false">MAX(H3:H43)</f>
        <v>19.9637245391123</v>
      </c>
      <c r="I45" s="1" t="n">
        <f aca="false">MAX(I3:I43)</f>
        <v>1872</v>
      </c>
      <c r="J45" s="1" t="n">
        <f aca="false">MAX(J3:J43)</f>
        <v>1355.45121269299</v>
      </c>
      <c r="K45" s="1" t="n">
        <f aca="false">MAX(K3:K43)</f>
        <v>4212</v>
      </c>
      <c r="L45" s="1" t="n">
        <f aca="false">MAX(L3:L43)</f>
        <v>18044</v>
      </c>
      <c r="M45" s="1" t="n">
        <f aca="false">MAX(M3:M43)</f>
        <v>16146</v>
      </c>
      <c r="N45" s="1" t="n">
        <f aca="false">MAX(N3:N43)</f>
        <v>2574</v>
      </c>
      <c r="O45" s="1" t="n">
        <f aca="false">MAX(O3:O43)</f>
        <v>17290</v>
      </c>
      <c r="P45" s="1" t="n">
        <f aca="false">MAX(P3:P43)</f>
        <v>80925</v>
      </c>
      <c r="Q45" s="1" t="n">
        <f aca="false">MAX(Q3:Q43)</f>
        <v>32188</v>
      </c>
      <c r="R45" s="1" t="n">
        <f aca="false">MAX(R3:R43)</f>
        <v>533.207651614394</v>
      </c>
      <c r="S45" s="1" t="n">
        <f aca="false">MAX(S3:S43)</f>
        <v>890.383959310788</v>
      </c>
      <c r="T45" s="1" t="n">
        <f aca="false">MAX(T3:T43)</f>
        <v>202.687201664584</v>
      </c>
      <c r="U45" s="1" t="n">
        <f aca="false">MAX(U3:U43)</f>
        <v>382.694996651099</v>
      </c>
      <c r="V45" s="1" t="n">
        <f aca="false">MAX(V3:V43)</f>
        <v>178.136728851297</v>
      </c>
      <c r="W45" s="1" t="n">
        <f aca="false">MAX(W3:W43)</f>
        <v>45.2305895793278</v>
      </c>
      <c r="X45" s="1" t="n">
        <f aca="false">MAX(X3:X43)</f>
        <v>3795.18573864225</v>
      </c>
      <c r="Y45" s="1" t="n">
        <f aca="false">MAX(Y3:Y43)</f>
        <v>0.477827845242674</v>
      </c>
      <c r="Z45" s="1" t="n">
        <f aca="false">MAX(Z3:Z43)</f>
        <v>227.612067150146</v>
      </c>
      <c r="AA45" s="1" t="n">
        <f aca="false">MAX(AA3:AA43)</f>
        <v>83265</v>
      </c>
      <c r="AB45" s="1" t="n">
        <f aca="false">MAX(AB3:AB43)</f>
        <v>35737</v>
      </c>
      <c r="AC45" s="1" t="n">
        <f aca="false">MAX(AC3:AC43)</f>
        <v>216.307109936613</v>
      </c>
      <c r="AD45" s="1" t="n">
        <f aca="false">MAX(AD3:AD43)</f>
        <v>275.046578459357</v>
      </c>
      <c r="AE45" s="1" t="n">
        <f aca="false">MAX(AE3:AE43)</f>
        <v>17756.2469594971</v>
      </c>
      <c r="AF45" s="1" t="n">
        <f aca="false">MAX(AF3:AF43)</f>
        <v>92.9506982193229</v>
      </c>
      <c r="AG45" s="1" t="n">
        <f aca="false">MAX(AG3:AG43)</f>
        <v>18792.4390263165</v>
      </c>
      <c r="AH45" s="1" t="n">
        <f aca="false">MAX(AH3:AH43)</f>
        <v>10962.2069295915</v>
      </c>
      <c r="AI45" s="1" t="n">
        <f aca="false">MAX(AI3:AI43)</f>
        <v>25571</v>
      </c>
      <c r="AJ45" s="1" t="n">
        <f aca="false">MAX(AJ3:AJ43)</f>
        <v>11493.0965311532</v>
      </c>
      <c r="AK45" s="1" t="n">
        <f aca="false">MAX(AK3:AK43)</f>
        <v>0</v>
      </c>
      <c r="AL45" s="1" t="n">
        <f aca="false">MAX(AL3:AL43)</f>
        <v>8528</v>
      </c>
      <c r="AM45" s="1" t="n">
        <f aca="false">MAX(AM3:AM43)</f>
        <v>52273</v>
      </c>
      <c r="AN45" s="1" t="n">
        <f aca="false">MAX(AN3:AN43)</f>
        <v>6682</v>
      </c>
      <c r="AO45" s="1" t="n">
        <f aca="false">MAX(AO3:AO43)</f>
        <v>3029</v>
      </c>
      <c r="AP45" s="1" t="n">
        <f aca="false">MAX(AP3:AP43)</f>
        <v>5148</v>
      </c>
      <c r="AQ45" s="1" t="n">
        <f aca="false">MAX(AQ3:AQ43)</f>
        <v>2357.08492688117</v>
      </c>
      <c r="AR45" s="0" t="n">
        <f aca="false">SUM('OD-APUMA(Val)'!C45:AQ45)</f>
        <v>11744720</v>
      </c>
      <c r="AS45" s="0" t="n">
        <f aca="false">MAX('OD-APUMA(Val)'!C45:AQ45)</f>
        <v>3859648</v>
      </c>
      <c r="AT45" s="2" t="n">
        <f aca="false">SUM(C45:AQ45)/AR45</f>
        <v>0.0396364417909454</v>
      </c>
      <c r="AU45" s="3"/>
    </row>
    <row r="46" customFormat="false" ht="12.75" hidden="false" customHeight="false" outlineLevel="0" collapsed="false">
      <c r="A46" s="0" t="n">
        <v>0</v>
      </c>
      <c r="B46" s="0" t="s">
        <v>9</v>
      </c>
      <c r="C46" s="1" t="n">
        <f aca="false">SUM(C3:C43)-MAX(C3:C43)</f>
        <v>593.883113809994</v>
      </c>
      <c r="D46" s="1" t="n">
        <f aca="false">SUM(D3:D43)-MAX(D3:D43)</f>
        <v>243.759537666138</v>
      </c>
      <c r="E46" s="1" t="n">
        <f aca="false">SUM(E3:E43)-MAX(E3:E43)</f>
        <v>535.064803001162</v>
      </c>
      <c r="F46" s="1" t="n">
        <f aca="false">SUM(F3:F43)-MAX(F3:F43)</f>
        <v>912.848721976546</v>
      </c>
      <c r="G46" s="1" t="n">
        <f aca="false">SUM(G3:G43)-MAX(G3:G43)</f>
        <v>1465.25471249265</v>
      </c>
      <c r="H46" s="1" t="n">
        <f aca="false">SUM(H3:H43)-MAX(H3:H43)</f>
        <v>50.2616123690592</v>
      </c>
      <c r="I46" s="1" t="n">
        <f aca="false">SUM(I3:I43)-MAX(I3:I43)</f>
        <v>3003</v>
      </c>
      <c r="J46" s="1" t="n">
        <f aca="false">SUM(J3:J43)-MAX(J3:J43)</f>
        <v>2540.13691827505</v>
      </c>
      <c r="K46" s="1" t="n">
        <f aca="false">SUM(K3:K43)-MAX(K3:K43)</f>
        <v>3991</v>
      </c>
      <c r="L46" s="1" t="n">
        <f aca="false">SUM(L3:L43)-MAX(L3:L43)</f>
        <v>7735</v>
      </c>
      <c r="M46" s="1" t="n">
        <f aca="false">SUM(M3:M43)-MAX(M3:M43)</f>
        <v>10192</v>
      </c>
      <c r="N46" s="1" t="n">
        <f aca="false">SUM(N3:N43)-MAX(N3:N43)</f>
        <v>2002</v>
      </c>
      <c r="O46" s="1" t="n">
        <f aca="false">SUM(O3:O43)-MAX(O3:O43)</f>
        <v>14664</v>
      </c>
      <c r="P46" s="1" t="n">
        <f aca="false">SUM(P3:P43)-MAX(P3:P43)</f>
        <v>174707</v>
      </c>
      <c r="Q46" s="1" t="n">
        <f aca="false">SUM(Q3:Q43)-MAX(Q3:Q43)</f>
        <v>79235</v>
      </c>
      <c r="R46" s="1" t="n">
        <f aca="false">SUM(R3:R43)-MAX(R3:R43)</f>
        <v>2278.25087507968</v>
      </c>
      <c r="S46" s="1" t="n">
        <f aca="false">SUM(S3:S43)-MAX(S3:S43)</f>
        <v>745.266131688312</v>
      </c>
      <c r="T46" s="1" t="n">
        <f aca="false">SUM(T3:T43)-MAX(T3:T43)</f>
        <v>168.064476825082</v>
      </c>
      <c r="U46" s="1" t="n">
        <f aca="false">SUM(U3:U43)-MAX(U3:U43)</f>
        <v>564.770149242811</v>
      </c>
      <c r="V46" s="1" t="n">
        <f aca="false">SUM(V3:V43)-MAX(V3:V43)</f>
        <v>225.768941131101</v>
      </c>
      <c r="W46" s="1" t="n">
        <f aca="false">SUM(W3:W43)-MAX(W3:W43)</f>
        <v>46.9338335383819</v>
      </c>
      <c r="X46" s="1" t="n">
        <f aca="false">SUM(X3:X43)-MAX(X3:X43)</f>
        <v>3958.57925380884</v>
      </c>
      <c r="Y46" s="1" t="n">
        <f aca="false">SUM(Y3:Y43)-MAX(Y3:Y43)</f>
        <v>1.48657551853276</v>
      </c>
      <c r="Z46" s="1" t="n">
        <f aca="false">SUM(Z3:Z43)-MAX(Z3:Z43)</f>
        <v>145.949722447422</v>
      </c>
      <c r="AA46" s="1" t="n">
        <f aca="false">SUM(AA3:AA43)-MAX(AA3:AA43)</f>
        <v>99138</v>
      </c>
      <c r="AB46" s="1" t="n">
        <f aca="false">SUM(AB3:AB43)-MAX(AB3:AB43)</f>
        <v>62218</v>
      </c>
      <c r="AC46" s="1" t="n">
        <f aca="false">SUM(AC3:AC43)-MAX(AC3:AC43)</f>
        <v>320.591457657332</v>
      </c>
      <c r="AD46" s="1" t="n">
        <f aca="false">SUM(AD3:AD43)-MAX(AD3:AD43)</f>
        <v>193.774265262064</v>
      </c>
      <c r="AE46" s="1" t="n">
        <f aca="false">SUM(AE3:AE43)-MAX(AE3:AE43)</f>
        <v>23318.1079256173</v>
      </c>
      <c r="AF46" s="1" t="n">
        <f aca="false">SUM(AF3:AF43)-MAX(AF3:AF43)</f>
        <v>120.015754465537</v>
      </c>
      <c r="AG46" s="1" t="n">
        <f aca="false">SUM(AG3:AG43)-MAX(AG3:AG43)</f>
        <v>12909.8529448893</v>
      </c>
      <c r="AH46" s="1" t="n">
        <f aca="false">SUM(AH3:AH43)-MAX(AH3:AH43)</f>
        <v>6879.22656303378</v>
      </c>
      <c r="AI46" s="1" t="n">
        <f aca="false">SUM(AI3:AI43)-MAX(AI3:AI43)</f>
        <v>48984</v>
      </c>
      <c r="AJ46" s="1" t="n">
        <f aca="false">SUM(AJ3:AJ43)-MAX(AJ3:AJ43)</f>
        <v>13168.4110477885</v>
      </c>
      <c r="AK46" s="1" t="n">
        <f aca="false">SUM(AK3:AK43)-MAX(AK3:AK43)</f>
        <v>0</v>
      </c>
      <c r="AL46" s="1" t="n">
        <f aca="false">SUM(AL3:AL43)-MAX(AL3:AL43)</f>
        <v>14079</v>
      </c>
      <c r="AM46" s="1" t="n">
        <f aca="false">SUM(AM3:AM43)-MAX(AM3:AM43)</f>
        <v>96733</v>
      </c>
      <c r="AN46" s="1" t="n">
        <f aca="false">SUM(AN3:AN43)-MAX(AN3:AN43)</f>
        <v>18330</v>
      </c>
      <c r="AO46" s="1" t="n">
        <f aca="false">SUM(AO3:AO43)-MAX(AO3:AO43)</f>
        <v>8034</v>
      </c>
      <c r="AP46" s="1" t="n">
        <f aca="false">SUM(AP3:AP43)-MAX(AP3:AP43)</f>
        <v>9399</v>
      </c>
      <c r="AQ46" s="1" t="n">
        <f aca="false">SUM(AQ3:AQ43)-MAX(AQ3:AQ43)</f>
        <v>524.265162627715</v>
      </c>
      <c r="AR46" s="0" t="n">
        <f aca="false">SUM('OD-APUMA(Val)'!C46:AQ46)</f>
        <v>2095171</v>
      </c>
      <c r="AS46" s="0" t="n">
        <f aca="false">MAX('OD-APUMA(Val)'!C46:AQ46)</f>
        <v>458328</v>
      </c>
      <c r="AT46" s="2" t="n">
        <f aca="false">SUM(C46:AQ46)/AR46</f>
        <v>0.345725730501335</v>
      </c>
      <c r="AU46" s="3"/>
    </row>
    <row r="47" customFormat="false" ht="12.75" hidden="false" customHeight="false" outlineLevel="0" collapsed="false">
      <c r="A47" s="0" t="n">
        <v>0</v>
      </c>
      <c r="B47" s="0" t="s">
        <v>10</v>
      </c>
      <c r="C47" s="1" t="n">
        <f aca="false">SUM(C3:C43)</f>
        <v>774.890309706743</v>
      </c>
      <c r="D47" s="1" t="n">
        <f aca="false">SUM(D3:D43)</f>
        <v>402.733149187532</v>
      </c>
      <c r="E47" s="1" t="n">
        <f aca="false">SUM(E3:E43)</f>
        <v>732.609825206233</v>
      </c>
      <c r="F47" s="1" t="n">
        <f aca="false">SUM(F3:F43)</f>
        <v>1175.6740609518</v>
      </c>
      <c r="G47" s="1" t="n">
        <f aca="false">SUM(G3:G43)</f>
        <v>3123.40371625015</v>
      </c>
      <c r="H47" s="1" t="n">
        <f aca="false">SUM(H3:H43)</f>
        <v>70.2253369081715</v>
      </c>
      <c r="I47" s="1" t="n">
        <f aca="false">SUM(I3:I43)</f>
        <v>4875</v>
      </c>
      <c r="J47" s="1" t="n">
        <f aca="false">SUM(J3:J43)</f>
        <v>3895.58813096804</v>
      </c>
      <c r="K47" s="1" t="n">
        <f aca="false">SUM(K3:K43)</f>
        <v>8203</v>
      </c>
      <c r="L47" s="1" t="n">
        <f aca="false">SUM(L3:L43)</f>
        <v>25779</v>
      </c>
      <c r="M47" s="1" t="n">
        <f aca="false">SUM(M3:M43)</f>
        <v>26338</v>
      </c>
      <c r="N47" s="1" t="n">
        <f aca="false">SUM(N3:N43)</f>
        <v>4576</v>
      </c>
      <c r="O47" s="1" t="n">
        <f aca="false">SUM(O3:O43)</f>
        <v>31954</v>
      </c>
      <c r="P47" s="1" t="n">
        <f aca="false">SUM(P3:P43)</f>
        <v>255632</v>
      </c>
      <c r="Q47" s="1" t="n">
        <f aca="false">SUM(Q3:Q43)</f>
        <v>111423</v>
      </c>
      <c r="R47" s="1" t="n">
        <f aca="false">SUM(R3:R43)</f>
        <v>2811.45852669408</v>
      </c>
      <c r="S47" s="1" t="n">
        <f aca="false">SUM(S3:S43)</f>
        <v>1635.6500909991</v>
      </c>
      <c r="T47" s="1" t="n">
        <f aca="false">SUM(T3:T43)</f>
        <v>370.751678489667</v>
      </c>
      <c r="U47" s="1" t="n">
        <f aca="false">SUM(U3:U43)</f>
        <v>947.465145893909</v>
      </c>
      <c r="V47" s="1" t="n">
        <f aca="false">SUM(V3:V43)</f>
        <v>403.905669982398</v>
      </c>
      <c r="W47" s="1" t="n">
        <f aca="false">SUM(W3:W43)</f>
        <v>92.1644231177097</v>
      </c>
      <c r="X47" s="1" t="n">
        <f aca="false">SUM(X3:X43)</f>
        <v>7753.76499245109</v>
      </c>
      <c r="Y47" s="1" t="n">
        <f aca="false">SUM(Y3:Y43)</f>
        <v>1.96440336377544</v>
      </c>
      <c r="Z47" s="1" t="n">
        <f aca="false">SUM(Z3:Z43)</f>
        <v>373.561789597568</v>
      </c>
      <c r="AA47" s="1" t="n">
        <f aca="false">SUM(AA3:AA43)</f>
        <v>182403</v>
      </c>
      <c r="AB47" s="1" t="n">
        <f aca="false">SUM(AB3:AB43)</f>
        <v>97955</v>
      </c>
      <c r="AC47" s="1" t="n">
        <f aca="false">SUM(AC3:AC43)</f>
        <v>536.898567593945</v>
      </c>
      <c r="AD47" s="1" t="n">
        <f aca="false">SUM(AD3:AD43)</f>
        <v>468.820843721421</v>
      </c>
      <c r="AE47" s="1" t="n">
        <f aca="false">SUM(AE3:AE43)</f>
        <v>41074.3548851144</v>
      </c>
      <c r="AF47" s="1" t="n">
        <f aca="false">SUM(AF3:AF43)</f>
        <v>212.96645268486</v>
      </c>
      <c r="AG47" s="1" t="n">
        <f aca="false">SUM(AG3:AG43)</f>
        <v>31702.2919712058</v>
      </c>
      <c r="AH47" s="1" t="n">
        <f aca="false">SUM(AH3:AH43)</f>
        <v>17841.4334926253</v>
      </c>
      <c r="AI47" s="1" t="n">
        <f aca="false">SUM(AI3:AI43)</f>
        <v>74555</v>
      </c>
      <c r="AJ47" s="1" t="n">
        <f aca="false">SUM(AJ3:AJ43)</f>
        <v>24661.5075789416</v>
      </c>
      <c r="AK47" s="1" t="n">
        <f aca="false">SUM(AK3:AK43)</f>
        <v>0</v>
      </c>
      <c r="AL47" s="1" t="n">
        <f aca="false">SUM(AL3:AL43)</f>
        <v>22607</v>
      </c>
      <c r="AM47" s="1" t="n">
        <f aca="false">SUM(AM3:AM43)</f>
        <v>149006</v>
      </c>
      <c r="AN47" s="1" t="n">
        <f aca="false">SUM(AN3:AN43)</f>
        <v>25012</v>
      </c>
      <c r="AO47" s="1" t="n">
        <f aca="false">SUM(AO3:AO43)</f>
        <v>11063</v>
      </c>
      <c r="AP47" s="1" t="n">
        <f aca="false">SUM(AP3:AP43)</f>
        <v>14547</v>
      </c>
      <c r="AQ47" s="1" t="n">
        <f aca="false">SUM(AQ3:AQ43)</f>
        <v>2881.35008950889</v>
      </c>
      <c r="AR47" s="0" t="n">
        <f aca="false">SUM('OD-APUMA(Val)'!C47:AQ47)</f>
        <v>13839891</v>
      </c>
      <c r="AS47" s="0" t="n">
        <f aca="false">MAX('OD-APUMA(Val)'!C47:AQ47)</f>
        <v>4317976</v>
      </c>
      <c r="AT47" s="2" t="n">
        <f aca="false">SUM(C47:AQ47)/AR47</f>
        <v>0.0859741912079484</v>
      </c>
      <c r="AU47" s="3"/>
    </row>
    <row r="49" customFormat="false" ht="12.75" hidden="false" customHeight="false" outlineLevel="0" collapsed="false">
      <c r="B49" s="0" t="s">
        <v>11</v>
      </c>
      <c r="C49" s="0" t="n">
        <v>0.115071326062777</v>
      </c>
      <c r="D49" s="0" t="n">
        <v>0.0627114838348695</v>
      </c>
      <c r="E49" s="0" t="n">
        <v>0.0868329767934376</v>
      </c>
      <c r="F49" s="0" t="n">
        <v>0.180511908636849</v>
      </c>
      <c r="G49" s="0" t="n">
        <v>0.285346584711324</v>
      </c>
      <c r="H49" s="0" t="n">
        <v>0.0180667190399206</v>
      </c>
      <c r="I49" s="0" t="n">
        <v>1</v>
      </c>
      <c r="J49" s="0" t="n">
        <v>0.820988014956383</v>
      </c>
      <c r="K49" s="0" t="n">
        <v>1</v>
      </c>
      <c r="L49" s="0" t="n">
        <v>1</v>
      </c>
      <c r="M49" s="0" t="n">
        <v>1</v>
      </c>
      <c r="N49" s="0" t="n">
        <v>1</v>
      </c>
      <c r="O49" s="0" t="n">
        <v>1</v>
      </c>
      <c r="P49" s="0" t="n">
        <v>1</v>
      </c>
      <c r="Q49" s="0" t="n">
        <v>1</v>
      </c>
      <c r="R49" s="0" t="n">
        <v>0.621454139410716</v>
      </c>
      <c r="S49" s="0" t="n">
        <v>0.18920186130701</v>
      </c>
      <c r="T49" s="0" t="n">
        <v>0.0554851359607403</v>
      </c>
      <c r="U49" s="0" t="n">
        <v>0.129683157116604</v>
      </c>
      <c r="V49" s="0" t="n">
        <v>0.0297887506440296</v>
      </c>
      <c r="W49" s="0" t="n">
        <v>0.0145576406756768</v>
      </c>
      <c r="X49" s="0" t="n">
        <v>0.571305997085993</v>
      </c>
      <c r="Y49" s="0" t="n">
        <v>0.00136133289242927</v>
      </c>
      <c r="Z49" s="0" t="n">
        <v>0.0445511973282729</v>
      </c>
      <c r="AA49" s="0" t="n">
        <v>1</v>
      </c>
      <c r="AB49" s="0" t="n">
        <v>1</v>
      </c>
      <c r="AC49" s="0" t="n">
        <v>0.0283458406416739</v>
      </c>
      <c r="AD49" s="0" t="n">
        <v>0.0289431314805174</v>
      </c>
      <c r="AE49" s="0" t="n">
        <v>0.0896178171203033</v>
      </c>
      <c r="AF49" s="0" t="n">
        <v>0.0210295697328785</v>
      </c>
      <c r="AG49" s="0" t="n">
        <v>0.137581824763831</v>
      </c>
      <c r="AH49" s="0" t="n">
        <v>0.295461347894764</v>
      </c>
      <c r="AI49" s="0" t="n">
        <v>1</v>
      </c>
      <c r="AJ49" s="0" t="n">
        <v>0.281376304439924</v>
      </c>
      <c r="AK49" s="0" t="n">
        <v>0</v>
      </c>
      <c r="AL49" s="0" t="n">
        <v>1</v>
      </c>
      <c r="AM49" s="0" t="n">
        <v>1</v>
      </c>
      <c r="AN49" s="0" t="n">
        <v>1</v>
      </c>
      <c r="AO49" s="0" t="n">
        <v>1</v>
      </c>
      <c r="AP49" s="0" t="n">
        <v>1</v>
      </c>
      <c r="AQ49" s="0" t="n">
        <v>0.108118202232979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5" min="3" style="0" width="9.28"/>
    <col collapsed="false" customWidth="true" hidden="false" outlineLevel="0" max="16" min="16" style="0" width="9.56"/>
    <col collapsed="false" customWidth="true" hidden="false" outlineLevel="0" max="26" min="17" style="0" width="9.28"/>
    <col collapsed="false" customWidth="true" hidden="false" outlineLevel="0" max="27" min="27" style="0" width="9.56"/>
    <col collapsed="false" customWidth="true" hidden="false" outlineLevel="0" max="30" min="28" style="0" width="9.28"/>
    <col collapsed="false" customWidth="true" hidden="false" outlineLevel="0" max="31" min="31" style="0" width="9.56"/>
    <col collapsed="false" customWidth="true" hidden="false" outlineLevel="0" max="32" min="32" style="0" width="9.28"/>
    <col collapsed="false" customWidth="true" hidden="false" outlineLevel="0" max="33" min="33" style="0" width="9.56"/>
    <col collapsed="false" customWidth="true" hidden="false" outlineLevel="0" max="38" min="34" style="0" width="9.28"/>
    <col collapsed="false" customWidth="true" hidden="false" outlineLevel="0" max="39" min="39" style="0" width="9.56"/>
    <col collapsed="false" customWidth="true" hidden="false" outlineLevel="0" max="44" min="40" style="0" width="9.28"/>
    <col collapsed="false" customWidth="true" hidden="false" outlineLevel="0" max="47" min="47" style="0" width="10.13"/>
  </cols>
  <sheetData>
    <row r="1" customFormat="false" ht="12.75" hidden="false" customHeight="false" outlineLevel="0" collapsed="false">
      <c r="A1" s="0" t="s">
        <v>0</v>
      </c>
      <c r="B1" s="0" t="s">
        <v>1</v>
      </c>
    </row>
    <row r="2" customFormat="false" ht="12.75" hidden="false" customHeight="false" outlineLevel="0" collapsed="false">
      <c r="A2" s="0" t="s">
        <v>2</v>
      </c>
      <c r="B2" s="0" t="n">
        <v>0</v>
      </c>
      <c r="C2" s="0" t="n">
        <v>1</v>
      </c>
      <c r="D2" s="0" t="n">
        <v>2</v>
      </c>
      <c r="E2" s="0" t="n">
        <v>3</v>
      </c>
      <c r="F2" s="0" t="n">
        <v>4</v>
      </c>
      <c r="G2" s="0" t="n">
        <v>5</v>
      </c>
      <c r="H2" s="0" t="n">
        <v>6</v>
      </c>
      <c r="I2" s="0" t="n">
        <v>7</v>
      </c>
      <c r="J2" s="0" t="n">
        <v>8</v>
      </c>
      <c r="K2" s="0" t="n">
        <v>9</v>
      </c>
      <c r="L2" s="0" t="n">
        <v>10</v>
      </c>
      <c r="M2" s="0" t="n">
        <v>11</v>
      </c>
      <c r="N2" s="0" t="n">
        <v>12</v>
      </c>
      <c r="O2" s="0" t="n">
        <v>15</v>
      </c>
      <c r="P2" s="0" t="n">
        <v>19</v>
      </c>
      <c r="Q2" s="0" t="n">
        <v>22</v>
      </c>
      <c r="R2" s="0" t="n">
        <v>26</v>
      </c>
      <c r="S2" s="0" t="n">
        <v>27</v>
      </c>
      <c r="T2" s="0" t="n">
        <v>30</v>
      </c>
      <c r="U2" s="0" t="n">
        <v>31</v>
      </c>
      <c r="V2" s="0" t="n">
        <v>32</v>
      </c>
      <c r="W2" s="0" t="n">
        <v>75</v>
      </c>
      <c r="X2" s="0" t="n">
        <v>76</v>
      </c>
      <c r="Y2" s="0" t="n">
        <v>77</v>
      </c>
      <c r="Z2" s="0" t="n">
        <v>80</v>
      </c>
      <c r="AA2" s="0" t="n">
        <v>86</v>
      </c>
      <c r="AB2" s="0" t="n">
        <v>87</v>
      </c>
      <c r="AC2" s="0" t="n">
        <v>88</v>
      </c>
      <c r="AD2" s="0" t="n">
        <v>89</v>
      </c>
      <c r="AE2" s="0" t="n">
        <v>90</v>
      </c>
      <c r="AF2" s="0" t="n">
        <v>91</v>
      </c>
      <c r="AG2" s="0" t="n">
        <v>92</v>
      </c>
      <c r="AH2" s="0" t="n">
        <v>93</v>
      </c>
      <c r="AI2" s="0" t="n">
        <v>94</v>
      </c>
      <c r="AJ2" s="0" t="n">
        <v>95</v>
      </c>
      <c r="AK2" s="0" t="n">
        <v>96</v>
      </c>
      <c r="AL2" s="0" t="n">
        <v>97</v>
      </c>
      <c r="AM2" s="0" t="n">
        <v>98</v>
      </c>
      <c r="AN2" s="0" t="n">
        <v>99</v>
      </c>
      <c r="AO2" s="0" t="n">
        <v>100</v>
      </c>
      <c r="AP2" s="0" t="n">
        <v>101</v>
      </c>
      <c r="AQ2" s="0" t="n">
        <v>103</v>
      </c>
      <c r="AR2" s="0" t="s">
        <v>3</v>
      </c>
      <c r="AS2" s="0" t="s">
        <v>4</v>
      </c>
      <c r="AT2" s="0" t="s">
        <v>5</v>
      </c>
      <c r="AU2" s="0" t="s">
        <v>6</v>
      </c>
    </row>
    <row r="3" customFormat="false" ht="12.75" hidden="false" customHeight="false" outlineLevel="0" collapsed="false">
      <c r="A3" s="0" t="n">
        <v>1</v>
      </c>
      <c r="B3" s="0" t="n">
        <v>70434</v>
      </c>
      <c r="C3" s="1" t="n">
        <v>0</v>
      </c>
      <c r="D3" s="1" t="n">
        <f aca="false">'OD-APUMA(Val)'!D3*D$49</f>
        <v>13.8582959211817</v>
      </c>
      <c r="E3" s="1" t="n">
        <f aca="false">'OD-APUMA(Val)'!E3*E$49</f>
        <v>61.1432939020407</v>
      </c>
      <c r="F3" s="1" t="n">
        <f aca="false">'OD-APUMA(Val)'!F3*F$49</f>
        <v>7.07461135299822</v>
      </c>
      <c r="G3" s="1" t="n">
        <f aca="false">'OD-APUMA(Val)'!G3*G$49</f>
        <v>13.2225171172724</v>
      </c>
      <c r="H3" s="1" t="n">
        <f aca="false">'OD-APUMA(Val)'!H3*H$49</f>
        <v>1.87562057433474</v>
      </c>
      <c r="I3" s="1" t="n">
        <f aca="false">'OD-APUMA(Val)'!I3*I$49</f>
        <v>97.9802944584308</v>
      </c>
      <c r="J3" s="1" t="n">
        <f aca="false">'OD-APUMA(Val)'!J3*J$49</f>
        <v>0</v>
      </c>
      <c r="K3" s="1" t="n">
        <f aca="false">'OD-APUMA(Val)'!K3*K$49</f>
        <v>0</v>
      </c>
      <c r="L3" s="1" t="n">
        <f aca="false">'OD-APUMA(Val)'!L3*L$49</f>
        <v>0</v>
      </c>
      <c r="M3" s="1" t="n">
        <f aca="false">'OD-APUMA(Val)'!M3*M$49</f>
        <v>0</v>
      </c>
      <c r="N3" s="1" t="n">
        <f aca="false">'OD-APUMA(Val)'!N3*N$49</f>
        <v>0</v>
      </c>
      <c r="O3" s="1" t="n">
        <f aca="false">'OD-APUMA(Val)'!O3*O$49</f>
        <v>0</v>
      </c>
      <c r="P3" s="1" t="n">
        <f aca="false">'OD-APUMA(Val)'!P3*P$49</f>
        <v>15.3704771331377</v>
      </c>
      <c r="Q3" s="1" t="n">
        <f aca="false">'OD-APUMA(Val)'!Q3*Q$49</f>
        <v>0</v>
      </c>
      <c r="R3" s="1" t="n">
        <f aca="false">'OD-APUMA(Val)'!R3*R$49</f>
        <v>5.41551963765739</v>
      </c>
      <c r="S3" s="1" t="n">
        <f aca="false">'OD-APUMA(Val)'!S3*S$49</f>
        <v>0</v>
      </c>
      <c r="T3" s="1" t="n">
        <f aca="false">'OD-APUMA(Val)'!T3*T$49</f>
        <v>0</v>
      </c>
      <c r="U3" s="1" t="n">
        <f aca="false">'OD-APUMA(Val)'!U3*U$49</f>
        <v>0</v>
      </c>
      <c r="V3" s="1" t="n">
        <f aca="false">'OD-APUMA(Val)'!V3*V$49</f>
        <v>0</v>
      </c>
      <c r="W3" s="1" t="n">
        <f aca="false">'OD-APUMA(Val)'!W3*W$49</f>
        <v>0.751619722731435</v>
      </c>
      <c r="X3" s="1" t="n">
        <f aca="false">'OD-APUMA(Val)'!X3*X$49</f>
        <v>0</v>
      </c>
      <c r="Y3" s="1" t="n">
        <f aca="false">'OD-APUMA(Val)'!Y3*Y$49</f>
        <v>0</v>
      </c>
      <c r="Z3" s="1" t="n">
        <f aca="false">'OD-APUMA(Val)'!Z3*Z$49</f>
        <v>0</v>
      </c>
      <c r="AA3" s="1" t="n">
        <f aca="false">'OD-APUMA(Val)'!AA3*AA$49</f>
        <v>0</v>
      </c>
      <c r="AB3" s="1" t="n">
        <f aca="false">'OD-APUMA(Val)'!AB3*AB$49</f>
        <v>0</v>
      </c>
      <c r="AC3" s="1" t="n">
        <f aca="false">'OD-APUMA(Val)'!AC3*AC$49</f>
        <v>2.52095601017139</v>
      </c>
      <c r="AD3" s="1" t="n">
        <f aca="false">'OD-APUMA(Val)'!AD3*AD$49</f>
        <v>0</v>
      </c>
      <c r="AE3" s="1" t="n">
        <f aca="false">'OD-APUMA(Val)'!AE3*AE$49</f>
        <v>0</v>
      </c>
      <c r="AF3" s="1" t="n">
        <f aca="false">'OD-APUMA(Val)'!AF3*AF$49</f>
        <v>0</v>
      </c>
      <c r="AG3" s="1" t="n">
        <f aca="false">'OD-APUMA(Val)'!AG3*AG$49</f>
        <v>0</v>
      </c>
      <c r="AH3" s="1" t="n">
        <f aca="false">'OD-APUMA(Val)'!AH3*AH$49</f>
        <v>6.80392190441348</v>
      </c>
      <c r="AI3" s="1" t="n">
        <f aca="false">'OD-APUMA(Val)'!AI3*AI$49</f>
        <v>16.3067498413407</v>
      </c>
      <c r="AJ3" s="1" t="n">
        <f aca="false">'OD-APUMA(Val)'!AJ3*AJ$49</f>
        <v>0</v>
      </c>
      <c r="AK3" s="1" t="n">
        <f aca="false">'OD-APUMA(Val)'!AK3*AK$49</f>
        <v>0</v>
      </c>
      <c r="AL3" s="1" t="n">
        <f aca="false">'OD-APUMA(Val)'!AL3*AL$49</f>
        <v>0</v>
      </c>
      <c r="AM3" s="1" t="n">
        <f aca="false">'OD-APUMA(Val)'!AM3*AM$49</f>
        <v>8.02427997788734</v>
      </c>
      <c r="AN3" s="1" t="n">
        <f aca="false">'OD-APUMA(Val)'!AN3*AN$49</f>
        <v>273</v>
      </c>
      <c r="AO3" s="1" t="n">
        <f aca="false">'OD-APUMA(Val)'!AO3*AO$49</f>
        <v>31.0152371352006</v>
      </c>
      <c r="AP3" s="1" t="n">
        <f aca="false">'OD-APUMA(Val)'!AP3*AP$49</f>
        <v>0</v>
      </c>
      <c r="AQ3" s="1" t="n">
        <f aca="false">'OD-APUMA(Val)'!AQ3*AQ$49</f>
        <v>0</v>
      </c>
      <c r="AR3" s="0" t="n">
        <f aca="false">SUM('OD-APUMA(Val)'!C3:AQ3)</f>
        <v>35412</v>
      </c>
      <c r="AS3" s="0" t="n">
        <f aca="false">MAX('OD-APUMA(Val)'!C3:AQ3)</f>
        <v>32903</v>
      </c>
      <c r="AT3" s="2" t="n">
        <f aca="false">SUM(C3:AQ3)/AR3</f>
        <v>0.0156546762309047</v>
      </c>
      <c r="AU3" s="3" t="n">
        <f aca="false">AT3^4</f>
        <v>6.00587598138244E-008</v>
      </c>
    </row>
    <row r="4" customFormat="false" ht="12.75" hidden="false" customHeight="false" outlineLevel="0" collapsed="false">
      <c r="A4" s="0" t="n">
        <v>2</v>
      </c>
      <c r="B4" s="0" t="n">
        <v>70551</v>
      </c>
      <c r="C4" s="1" t="n">
        <f aca="false">'OD-APUMA(Val)'!C4*C$49</f>
        <v>29.9676167576145</v>
      </c>
      <c r="D4" s="1" t="n">
        <v>0</v>
      </c>
      <c r="E4" s="1" t="n">
        <f aca="false">'OD-APUMA(Val)'!E4*E$49</f>
        <v>0</v>
      </c>
      <c r="F4" s="1" t="n">
        <f aca="false">'OD-APUMA(Val)'!F4*F$49</f>
        <v>18.5708548016203</v>
      </c>
      <c r="G4" s="1" t="n">
        <f aca="false">'OD-APUMA(Val)'!G4*G$49</f>
        <v>0</v>
      </c>
      <c r="H4" s="1" t="n">
        <f aca="false">'OD-APUMA(Val)'!H4*H$49</f>
        <v>0</v>
      </c>
      <c r="I4" s="1" t="n">
        <f aca="false">'OD-APUMA(Val)'!I4*I$49</f>
        <v>0</v>
      </c>
      <c r="J4" s="1" t="n">
        <f aca="false">'OD-APUMA(Val)'!J4*J$49</f>
        <v>0</v>
      </c>
      <c r="K4" s="1" t="n">
        <f aca="false">'OD-APUMA(Val)'!K4*K$49</f>
        <v>0</v>
      </c>
      <c r="L4" s="1" t="n">
        <f aca="false">'OD-APUMA(Val)'!L4*L$49</f>
        <v>0</v>
      </c>
      <c r="M4" s="1" t="n">
        <f aca="false">'OD-APUMA(Val)'!M4*M$49</f>
        <v>0</v>
      </c>
      <c r="N4" s="1" t="n">
        <f aca="false">'OD-APUMA(Val)'!N4*N$49</f>
        <v>0</v>
      </c>
      <c r="O4" s="1" t="n">
        <f aca="false">'OD-APUMA(Val)'!O4*O$49</f>
        <v>78</v>
      </c>
      <c r="P4" s="1" t="n">
        <f aca="false">'OD-APUMA(Val)'!P4*P$49</f>
        <v>0</v>
      </c>
      <c r="Q4" s="1" t="n">
        <f aca="false">'OD-APUMA(Val)'!Q4*Q$49</f>
        <v>0</v>
      </c>
      <c r="R4" s="1" t="n">
        <f aca="false">'OD-APUMA(Val)'!R4*R$49</f>
        <v>0</v>
      </c>
      <c r="S4" s="1" t="n">
        <f aca="false">'OD-APUMA(Val)'!S4*S$49</f>
        <v>0</v>
      </c>
      <c r="T4" s="1" t="n">
        <f aca="false">'OD-APUMA(Val)'!T4*T$49</f>
        <v>0</v>
      </c>
      <c r="U4" s="1" t="n">
        <f aca="false">'OD-APUMA(Val)'!U4*U$49</f>
        <v>0</v>
      </c>
      <c r="V4" s="1" t="n">
        <f aca="false">'OD-APUMA(Val)'!V4*V$49</f>
        <v>0</v>
      </c>
      <c r="W4" s="1" t="n">
        <f aca="false">'OD-APUMA(Val)'!W4*W$49</f>
        <v>0</v>
      </c>
      <c r="X4" s="1" t="n">
        <f aca="false">'OD-APUMA(Val)'!X4*X$49</f>
        <v>0</v>
      </c>
      <c r="Y4" s="1" t="n">
        <f aca="false">'OD-APUMA(Val)'!Y4*Y$49</f>
        <v>0</v>
      </c>
      <c r="Z4" s="1" t="n">
        <f aca="false">'OD-APUMA(Val)'!Z4*Z$49</f>
        <v>0</v>
      </c>
      <c r="AA4" s="1" t="n">
        <f aca="false">'OD-APUMA(Val)'!AA4*AA$49</f>
        <v>0</v>
      </c>
      <c r="AB4" s="1" t="n">
        <f aca="false">'OD-APUMA(Val)'!AB4*AB$49</f>
        <v>0</v>
      </c>
      <c r="AC4" s="1" t="n">
        <f aca="false">'OD-APUMA(Val)'!AC4*AC$49</f>
        <v>0</v>
      </c>
      <c r="AD4" s="1" t="n">
        <f aca="false">'OD-APUMA(Val)'!AD4*AD$49</f>
        <v>0</v>
      </c>
      <c r="AE4" s="1" t="n">
        <f aca="false">'OD-APUMA(Val)'!AE4*AE$49</f>
        <v>9.28055778111678</v>
      </c>
      <c r="AF4" s="1" t="n">
        <f aca="false">'OD-APUMA(Val)'!AF4*AF$49</f>
        <v>0</v>
      </c>
      <c r="AG4" s="1" t="n">
        <f aca="false">'OD-APUMA(Val)'!AG4*AG$49</f>
        <v>0</v>
      </c>
      <c r="AH4" s="1" t="n">
        <f aca="false">'OD-APUMA(Val)'!AH4*AH$49</f>
        <v>0</v>
      </c>
      <c r="AI4" s="1" t="n">
        <f aca="false">'OD-APUMA(Val)'!AI4*AI$49</f>
        <v>0</v>
      </c>
      <c r="AJ4" s="1" t="n">
        <f aca="false">'OD-APUMA(Val)'!AJ4*AJ$49</f>
        <v>0</v>
      </c>
      <c r="AK4" s="1" t="n">
        <f aca="false">'OD-APUMA(Val)'!AK4*AK$49</f>
        <v>0</v>
      </c>
      <c r="AL4" s="1" t="n">
        <f aca="false">'OD-APUMA(Val)'!AL4*AL$49</f>
        <v>0</v>
      </c>
      <c r="AM4" s="1" t="n">
        <f aca="false">'OD-APUMA(Val)'!AM4*AM$49</f>
        <v>0</v>
      </c>
      <c r="AN4" s="1" t="n">
        <f aca="false">'OD-APUMA(Val)'!AN4*AN$49</f>
        <v>0</v>
      </c>
      <c r="AO4" s="1" t="n">
        <f aca="false">'OD-APUMA(Val)'!AO4*AO$49</f>
        <v>0</v>
      </c>
      <c r="AP4" s="1" t="n">
        <f aca="false">'OD-APUMA(Val)'!AP4*AP$49</f>
        <v>0</v>
      </c>
      <c r="AQ4" s="1" t="n">
        <f aca="false">'OD-APUMA(Val)'!AQ4*AQ$49</f>
        <v>0</v>
      </c>
      <c r="AR4" s="0" t="n">
        <f aca="false">SUM('OD-APUMA(Val)'!C4:AQ4)</f>
        <v>50492</v>
      </c>
      <c r="AS4" s="0" t="n">
        <f aca="false">MAX('OD-APUMA(Val)'!C4:AQ4)</f>
        <v>49764</v>
      </c>
      <c r="AT4" s="2" t="n">
        <f aca="false">SUM(C4:AQ4)/AR4</f>
        <v>0.00268991185416208</v>
      </c>
      <c r="AU4" s="3" t="n">
        <f aca="false">AT4^4</f>
        <v>5.23542804739538E-011</v>
      </c>
    </row>
    <row r="5" customFormat="false" ht="12.75" hidden="false" customHeight="false" outlineLevel="0" collapsed="false">
      <c r="A5" s="0" t="n">
        <v>3</v>
      </c>
      <c r="B5" s="0" t="n">
        <v>93327</v>
      </c>
      <c r="C5" s="1" t="n">
        <f aca="false">'OD-APUMA(Val)'!C5*C$49</f>
        <v>71.3514684705107</v>
      </c>
      <c r="D5" s="1" t="n">
        <f aca="false">'OD-APUMA(Val)'!D5*D$49</f>
        <v>7.33674489944914</v>
      </c>
      <c r="E5" s="1" t="n">
        <v>0</v>
      </c>
      <c r="F5" s="1" t="n">
        <f aca="false">'OD-APUMA(Val)'!F5*F$49</f>
        <v>3.53730567649911</v>
      </c>
      <c r="G5" s="1" t="n">
        <f aca="false">'OD-APUMA(Val)'!G5*G$49</f>
        <v>251.227825228176</v>
      </c>
      <c r="H5" s="1" t="n">
        <f aca="false">'OD-APUMA(Val)'!H5*H$49</f>
        <v>1.45881600226035</v>
      </c>
      <c r="I5" s="1" t="n">
        <f aca="false">'OD-APUMA(Val)'!I5*I$49</f>
        <v>0</v>
      </c>
      <c r="J5" s="1" t="n">
        <f aca="false">'OD-APUMA(Val)'!J5*J$49</f>
        <v>0</v>
      </c>
      <c r="K5" s="1" t="n">
        <f aca="false">'OD-APUMA(Val)'!K5*K$49</f>
        <v>0</v>
      </c>
      <c r="L5" s="1" t="n">
        <f aca="false">'OD-APUMA(Val)'!L5*L$49</f>
        <v>37.6746919749545</v>
      </c>
      <c r="M5" s="1" t="n">
        <f aca="false">'OD-APUMA(Val)'!M5*M$49</f>
        <v>0</v>
      </c>
      <c r="N5" s="1" t="n">
        <f aca="false">'OD-APUMA(Val)'!N5*N$49</f>
        <v>0</v>
      </c>
      <c r="O5" s="1" t="n">
        <f aca="false">'OD-APUMA(Val)'!O5*O$49</f>
        <v>0</v>
      </c>
      <c r="P5" s="1" t="n">
        <f aca="false">'OD-APUMA(Val)'!P5*P$49</f>
        <v>53.7966699659821</v>
      </c>
      <c r="Q5" s="1" t="n">
        <f aca="false">'OD-APUMA(Val)'!Q5*Q$49</f>
        <v>0</v>
      </c>
      <c r="R5" s="1" t="n">
        <f aca="false">'OD-APUMA(Val)'!R5*R$49</f>
        <v>0</v>
      </c>
      <c r="S5" s="1" t="n">
        <f aca="false">'OD-APUMA(Val)'!S5*S$49</f>
        <v>0</v>
      </c>
      <c r="T5" s="1" t="n">
        <f aca="false">'OD-APUMA(Val)'!T5*T$49</f>
        <v>0</v>
      </c>
      <c r="U5" s="1" t="n">
        <f aca="false">'OD-APUMA(Val)'!U5*U$49</f>
        <v>0</v>
      </c>
      <c r="V5" s="1" t="n">
        <f aca="false">'OD-APUMA(Val)'!V5*V$49</f>
        <v>0</v>
      </c>
      <c r="W5" s="1" t="n">
        <f aca="false">'OD-APUMA(Val)'!W5*W$49</f>
        <v>0</v>
      </c>
      <c r="X5" s="1" t="n">
        <f aca="false">'OD-APUMA(Val)'!X5*X$49</f>
        <v>0</v>
      </c>
      <c r="Y5" s="1" t="n">
        <f aca="false">'OD-APUMA(Val)'!Y5*Y$49</f>
        <v>0</v>
      </c>
      <c r="Z5" s="1" t="n">
        <f aca="false">'OD-APUMA(Val)'!Z5*Z$49</f>
        <v>0</v>
      </c>
      <c r="AA5" s="1" t="n">
        <f aca="false">'OD-APUMA(Val)'!AA5*AA$49</f>
        <v>299</v>
      </c>
      <c r="AB5" s="1" t="n">
        <f aca="false">'OD-APUMA(Val)'!AB5*AB$49</f>
        <v>221</v>
      </c>
      <c r="AC5" s="1" t="n">
        <f aca="false">'OD-APUMA(Val)'!AC5*AC$49</f>
        <v>0</v>
      </c>
      <c r="AD5" s="1" t="n">
        <f aca="false">'OD-APUMA(Val)'!AD5*AD$49</f>
        <v>3.37320300497091</v>
      </c>
      <c r="AE5" s="1" t="n">
        <f aca="false">'OD-APUMA(Val)'!AE5*AE$49</f>
        <v>0</v>
      </c>
      <c r="AF5" s="1" t="n">
        <f aca="false">'OD-APUMA(Val)'!AF5*AF$49</f>
        <v>0</v>
      </c>
      <c r="AG5" s="1" t="n">
        <f aca="false">'OD-APUMA(Val)'!AG5*AG$49</f>
        <v>0</v>
      </c>
      <c r="AH5" s="1" t="n">
        <f aca="false">'OD-APUMA(Val)'!AH5*AH$49</f>
        <v>0</v>
      </c>
      <c r="AI5" s="1" t="n">
        <f aca="false">'OD-APUMA(Val)'!AI5*AI$49</f>
        <v>23.55419421527</v>
      </c>
      <c r="AJ5" s="1" t="n">
        <f aca="false">'OD-APUMA(Val)'!AJ5*AJ$49</f>
        <v>15.3074120960794</v>
      </c>
      <c r="AK5" s="1" t="n">
        <f aca="false">'OD-APUMA(Val)'!AK5*AK$49</f>
        <v>0</v>
      </c>
      <c r="AL5" s="1" t="n">
        <f aca="false">'OD-APUMA(Val)'!AL5*AL$49</f>
        <v>0</v>
      </c>
      <c r="AM5" s="1" t="n">
        <f aca="false">'OD-APUMA(Val)'!AM5*AM$49</f>
        <v>44.1335398783804</v>
      </c>
      <c r="AN5" s="1" t="n">
        <f aca="false">'OD-APUMA(Val)'!AN5*AN$49</f>
        <v>0</v>
      </c>
      <c r="AO5" s="1" t="n">
        <f aca="false">'OD-APUMA(Val)'!AO5*AO$49</f>
        <v>24.8121897081605</v>
      </c>
      <c r="AP5" s="1" t="n">
        <f aca="false">'OD-APUMA(Val)'!AP5*AP$49</f>
        <v>0</v>
      </c>
      <c r="AQ5" s="1" t="n">
        <f aca="false">'OD-APUMA(Val)'!AQ5*AQ$49</f>
        <v>0</v>
      </c>
      <c r="AR5" s="0" t="n">
        <f aca="false">SUM('OD-APUMA(Val)'!C5:AQ5)</f>
        <v>59163</v>
      </c>
      <c r="AS5" s="0" t="n">
        <f aca="false">MAX('OD-APUMA(Val)'!C5:AQ5)</f>
        <v>55562</v>
      </c>
      <c r="AT5" s="2" t="n">
        <f aca="false">SUM(C5:AQ5)/AR5</f>
        <v>0.017875429932909</v>
      </c>
      <c r="AU5" s="3" t="n">
        <f aca="false">AT5^4</f>
        <v>1.02100056948678E-007</v>
      </c>
    </row>
    <row r="6" customFormat="false" ht="12.75" hidden="false" customHeight="false" outlineLevel="0" collapsed="false">
      <c r="A6" s="0" t="n">
        <v>4</v>
      </c>
      <c r="B6" s="0" t="n">
        <v>79183</v>
      </c>
      <c r="C6" s="1" t="n">
        <f aca="false">'OD-APUMA(Val)'!C6*C$49</f>
        <v>0</v>
      </c>
      <c r="D6" s="1" t="n">
        <f aca="false">'OD-APUMA(Val)'!D6*D$49</f>
        <v>0</v>
      </c>
      <c r="E6" s="1" t="n">
        <f aca="false">'OD-APUMA(Val)'!E6*E$49</f>
        <v>0</v>
      </c>
      <c r="F6" s="1" t="n">
        <v>0</v>
      </c>
      <c r="G6" s="1" t="n">
        <f aca="false">'OD-APUMA(Val)'!G6*G$49</f>
        <v>7.93351027036347</v>
      </c>
      <c r="H6" s="1" t="n">
        <f aca="false">'OD-APUMA(Val)'!H6*H$49</f>
        <v>0</v>
      </c>
      <c r="I6" s="1" t="n">
        <f aca="false">'OD-APUMA(Val)'!I6*I$49</f>
        <v>44.2491652392913</v>
      </c>
      <c r="J6" s="1" t="n">
        <f aca="false">'OD-APUMA(Val)'!J6*J$49</f>
        <v>13.0826029137966</v>
      </c>
      <c r="K6" s="1" t="n">
        <f aca="false">'OD-APUMA(Val)'!K6*K$49</f>
        <v>25.1587201305465</v>
      </c>
      <c r="L6" s="1" t="n">
        <f aca="false">'OD-APUMA(Val)'!L6*L$49</f>
        <v>0</v>
      </c>
      <c r="M6" s="1" t="n">
        <f aca="false">'OD-APUMA(Val)'!M6*M$49</f>
        <v>0</v>
      </c>
      <c r="N6" s="1" t="n">
        <f aca="false">'OD-APUMA(Val)'!N6*N$49</f>
        <v>0</v>
      </c>
      <c r="O6" s="1" t="n">
        <f aca="false">'OD-APUMA(Val)'!O6*O$49</f>
        <v>312</v>
      </c>
      <c r="P6" s="1" t="n">
        <f aca="false">'OD-APUMA(Val)'!P6*P$49</f>
        <v>253.612872696773</v>
      </c>
      <c r="Q6" s="1" t="n">
        <f aca="false">'OD-APUMA(Val)'!Q6*Q$49</f>
        <v>117</v>
      </c>
      <c r="R6" s="1" t="n">
        <f aca="false">'OD-APUMA(Val)'!R6*R$49</f>
        <v>0</v>
      </c>
      <c r="S6" s="1" t="n">
        <f aca="false">'OD-APUMA(Val)'!S6*S$49</f>
        <v>0</v>
      </c>
      <c r="T6" s="1" t="n">
        <f aca="false">'OD-APUMA(Val)'!T6*T$49</f>
        <v>0</v>
      </c>
      <c r="U6" s="1" t="n">
        <f aca="false">'OD-APUMA(Val)'!U6*U$49</f>
        <v>0</v>
      </c>
      <c r="V6" s="1" t="n">
        <f aca="false">'OD-APUMA(Val)'!V6*V$49</f>
        <v>0</v>
      </c>
      <c r="W6" s="1" t="n">
        <f aca="false">'OD-APUMA(Val)'!W6*W$49</f>
        <v>0</v>
      </c>
      <c r="X6" s="1" t="n">
        <f aca="false">'OD-APUMA(Val)'!X6*X$49</f>
        <v>0</v>
      </c>
      <c r="Y6" s="1" t="n">
        <f aca="false">'OD-APUMA(Val)'!Y6*Y$49</f>
        <v>0</v>
      </c>
      <c r="Z6" s="1" t="n">
        <f aca="false">'OD-APUMA(Val)'!Z6*Z$49</f>
        <v>0</v>
      </c>
      <c r="AA6" s="1" t="n">
        <f aca="false">'OD-APUMA(Val)'!AA6*AA$49</f>
        <v>195</v>
      </c>
      <c r="AB6" s="1" t="n">
        <f aca="false">'OD-APUMA(Val)'!AB6*AB$49</f>
        <v>0</v>
      </c>
      <c r="AC6" s="1" t="n">
        <f aca="false">'OD-APUMA(Val)'!AC6*AC$49</f>
        <v>0</v>
      </c>
      <c r="AD6" s="1" t="n">
        <f aca="false">'OD-APUMA(Val)'!AD6*AD$49</f>
        <v>0</v>
      </c>
      <c r="AE6" s="1" t="n">
        <f aca="false">'OD-APUMA(Val)'!AE6*AE$49</f>
        <v>10.4406275037564</v>
      </c>
      <c r="AF6" s="1" t="n">
        <f aca="false">'OD-APUMA(Val)'!AF6*AF$49</f>
        <v>0</v>
      </c>
      <c r="AG6" s="1" t="n">
        <f aca="false">'OD-APUMA(Val)'!AG6*AG$49</f>
        <v>0</v>
      </c>
      <c r="AH6" s="1" t="n">
        <f aca="false">'OD-APUMA(Val)'!AH6*AH$49</f>
        <v>0</v>
      </c>
      <c r="AI6" s="1" t="n">
        <f aca="false">'OD-APUMA(Val)'!AI6*AI$49</f>
        <v>0</v>
      </c>
      <c r="AJ6" s="1" t="n">
        <f aca="false">'OD-APUMA(Val)'!AJ6*AJ$49</f>
        <v>0</v>
      </c>
      <c r="AK6" s="1" t="n">
        <f aca="false">'OD-APUMA(Val)'!AK6*AK$49</f>
        <v>0</v>
      </c>
      <c r="AL6" s="1" t="n">
        <f aca="false">'OD-APUMA(Val)'!AL6*AL$49</f>
        <v>0</v>
      </c>
      <c r="AM6" s="1" t="n">
        <f aca="false">'OD-APUMA(Val)'!AM6*AM$49</f>
        <v>28.0849799226057</v>
      </c>
      <c r="AN6" s="1" t="n">
        <f aca="false">'OD-APUMA(Val)'!AN6*AN$49</f>
        <v>0</v>
      </c>
      <c r="AO6" s="1" t="n">
        <f aca="false">'OD-APUMA(Val)'!AO6*AO$49</f>
        <v>700.944359255533</v>
      </c>
      <c r="AP6" s="1" t="n">
        <f aca="false">'OD-APUMA(Val)'!AP6*AP$49</f>
        <v>0</v>
      </c>
      <c r="AQ6" s="1" t="n">
        <f aca="false">'OD-APUMA(Val)'!AQ6*AQ$49</f>
        <v>0</v>
      </c>
      <c r="AR6" s="0" t="n">
        <f aca="false">SUM('OD-APUMA(Val)'!C6:AQ6)</f>
        <v>51012</v>
      </c>
      <c r="AS6" s="0" t="n">
        <f aca="false">MAX('OD-APUMA(Val)'!C6:AQ6)</f>
        <v>47697</v>
      </c>
      <c r="AT6" s="2" t="n">
        <f aca="false">SUM(C6:AQ6)/AR6</f>
        <v>0.0334726503162524</v>
      </c>
      <c r="AU6" s="3" t="n">
        <f aca="false">AT6^4</f>
        <v>1.25533720998575E-006</v>
      </c>
    </row>
    <row r="7" customFormat="false" ht="12.75" hidden="false" customHeight="false" outlineLevel="0" collapsed="false">
      <c r="A7" s="0" t="n">
        <v>5</v>
      </c>
      <c r="B7" s="0" t="n">
        <v>66183</v>
      </c>
      <c r="C7" s="1" t="n">
        <f aca="false">'OD-APUMA(Val)'!C7*C$49</f>
        <v>0</v>
      </c>
      <c r="D7" s="1" t="n">
        <f aca="false">'OD-APUMA(Val)'!D7*D$49</f>
        <v>33.4229489863794</v>
      </c>
      <c r="E7" s="1" t="n">
        <f aca="false">'OD-APUMA(Val)'!E7*E$49</f>
        <v>178.334607214285</v>
      </c>
      <c r="F7" s="1" t="n">
        <f aca="false">'OD-APUMA(Val)'!F7*F$49</f>
        <v>4.42163209562389</v>
      </c>
      <c r="G7" s="1" t="n">
        <v>0</v>
      </c>
      <c r="H7" s="1" t="n">
        <f aca="false">'OD-APUMA(Val)'!H7*H$49</f>
        <v>17.7141943131614</v>
      </c>
      <c r="I7" s="1" t="n">
        <f aca="false">'OD-APUMA(Val)'!I7*I$49</f>
        <v>139.068805037773</v>
      </c>
      <c r="J7" s="1" t="n">
        <f aca="false">'OD-APUMA(Val)'!J7*J$49</f>
        <v>0</v>
      </c>
      <c r="K7" s="1" t="n">
        <f aca="false">'OD-APUMA(Val)'!K7*K$49</f>
        <v>0</v>
      </c>
      <c r="L7" s="1" t="n">
        <f aca="false">'OD-APUMA(Val)'!L7*L$49</f>
        <v>0</v>
      </c>
      <c r="M7" s="1" t="n">
        <f aca="false">'OD-APUMA(Val)'!M7*M$49</f>
        <v>88.2376339245958</v>
      </c>
      <c r="N7" s="1" t="n">
        <f aca="false">'OD-APUMA(Val)'!N7*N$49</f>
        <v>0</v>
      </c>
      <c r="O7" s="1" t="n">
        <f aca="false">'OD-APUMA(Val)'!O7*O$49</f>
        <v>0</v>
      </c>
      <c r="P7" s="1" t="n">
        <f aca="false">'OD-APUMA(Val)'!P7*P$49</f>
        <v>99.9081013653953</v>
      </c>
      <c r="Q7" s="1" t="n">
        <f aca="false">'OD-APUMA(Val)'!Q7*Q$49</f>
        <v>0</v>
      </c>
      <c r="R7" s="1" t="n">
        <f aca="false">'OD-APUMA(Val)'!R7*R$49</f>
        <v>0</v>
      </c>
      <c r="S7" s="1" t="n">
        <f aca="false">'OD-APUMA(Val)'!S7*S$49</f>
        <v>0</v>
      </c>
      <c r="T7" s="1" t="n">
        <f aca="false">'OD-APUMA(Val)'!T7*T$49</f>
        <v>0</v>
      </c>
      <c r="U7" s="1" t="n">
        <f aca="false">'OD-APUMA(Val)'!U7*U$49</f>
        <v>0</v>
      </c>
      <c r="V7" s="1" t="n">
        <f aca="false">'OD-APUMA(Val)'!V7*V$49</f>
        <v>0</v>
      </c>
      <c r="W7" s="1" t="n">
        <f aca="false">'OD-APUMA(Val)'!W7*W$49</f>
        <v>0</v>
      </c>
      <c r="X7" s="1" t="n">
        <f aca="false">'OD-APUMA(Val)'!X7*X$49</f>
        <v>0</v>
      </c>
      <c r="Y7" s="1" t="n">
        <f aca="false">'OD-APUMA(Val)'!Y7*Y$49</f>
        <v>0</v>
      </c>
      <c r="Z7" s="1" t="n">
        <f aca="false">'OD-APUMA(Val)'!Z7*Z$49</f>
        <v>0</v>
      </c>
      <c r="AA7" s="1" t="n">
        <f aca="false">'OD-APUMA(Val)'!AA7*AA$49</f>
        <v>0</v>
      </c>
      <c r="AB7" s="1" t="n">
        <f aca="false">'OD-APUMA(Val)'!AB7*AB$49</f>
        <v>182</v>
      </c>
      <c r="AC7" s="1" t="n">
        <f aca="false">'OD-APUMA(Val)'!AC7*AC$49</f>
        <v>0</v>
      </c>
      <c r="AD7" s="1" t="n">
        <f aca="false">'OD-APUMA(Val)'!AD7*AD$49</f>
        <v>0</v>
      </c>
      <c r="AE7" s="1" t="n">
        <f aca="false">'OD-APUMA(Val)'!AE7*AE$49</f>
        <v>0</v>
      </c>
      <c r="AF7" s="1" t="n">
        <f aca="false">'OD-APUMA(Val)'!AF7*AF$49</f>
        <v>0</v>
      </c>
      <c r="AG7" s="1" t="n">
        <f aca="false">'OD-APUMA(Val)'!AG7*AG$49</f>
        <v>0</v>
      </c>
      <c r="AH7" s="1" t="n">
        <f aca="false">'OD-APUMA(Val)'!AH7*AH$49</f>
        <v>0</v>
      </c>
      <c r="AI7" s="1" t="n">
        <f aca="false">'OD-APUMA(Val)'!AI7*AI$49</f>
        <v>0</v>
      </c>
      <c r="AJ7" s="1" t="n">
        <f aca="false">'OD-APUMA(Val)'!AJ7*AJ$49</f>
        <v>15.3074120960794</v>
      </c>
      <c r="AK7" s="1" t="n">
        <f aca="false">'OD-APUMA(Val)'!AK7*AK$49</f>
        <v>0</v>
      </c>
      <c r="AL7" s="1" t="n">
        <f aca="false">'OD-APUMA(Val)'!AL7*AL$49</f>
        <v>0</v>
      </c>
      <c r="AM7" s="1" t="n">
        <f aca="false">'OD-APUMA(Val)'!AM7*AM$49</f>
        <v>22.0667699391902</v>
      </c>
      <c r="AN7" s="1" t="n">
        <f aca="false">'OD-APUMA(Val)'!AN7*AN$49</f>
        <v>286</v>
      </c>
      <c r="AO7" s="1" t="n">
        <f aca="false">'OD-APUMA(Val)'!AO7*AO$49</f>
        <v>0</v>
      </c>
      <c r="AP7" s="1" t="n">
        <f aca="false">'OD-APUMA(Val)'!AP7*AP$49</f>
        <v>0</v>
      </c>
      <c r="AQ7" s="1" t="n">
        <f aca="false">'OD-APUMA(Val)'!AQ7*AQ$49</f>
        <v>0</v>
      </c>
      <c r="AR7" s="0" t="n">
        <f aca="false">SUM('OD-APUMA(Val)'!C7:AQ7)</f>
        <v>34164</v>
      </c>
      <c r="AS7" s="0" t="n">
        <f aca="false">MAX('OD-APUMA(Val)'!C7:AQ7)</f>
        <v>28613</v>
      </c>
      <c r="AT7" s="2" t="n">
        <f aca="false">SUM(C7:AQ7)/AR7</f>
        <v>0.0312165468028476</v>
      </c>
      <c r="AU7" s="3" t="n">
        <f aca="false">AT7^4</f>
        <v>9.49597226819881E-007</v>
      </c>
    </row>
    <row r="8" customFormat="false" ht="12.75" hidden="false" customHeight="false" outlineLevel="0" collapsed="false">
      <c r="A8" s="0" t="n">
        <v>6</v>
      </c>
      <c r="B8" s="0" t="n">
        <v>111722</v>
      </c>
      <c r="C8" s="1" t="n">
        <f aca="false">'OD-APUMA(Val)'!C8*C$49</f>
        <v>32.8216754964349</v>
      </c>
      <c r="D8" s="1" t="n">
        <f aca="false">'OD-APUMA(Val)'!D8*D$49</f>
        <v>0</v>
      </c>
      <c r="E8" s="1" t="n">
        <f aca="false">'OD-APUMA(Val)'!E8*E$49</f>
        <v>5.09527449183673</v>
      </c>
      <c r="F8" s="1" t="n">
        <f aca="false">'OD-APUMA(Val)'!F8*F$49</f>
        <v>0</v>
      </c>
      <c r="G8" s="1" t="n">
        <f aca="false">'OD-APUMA(Val)'!G8*G$49</f>
        <v>282.96186630963</v>
      </c>
      <c r="H8" s="1" t="n">
        <v>0</v>
      </c>
      <c r="I8" s="1" t="n">
        <f aca="false">'OD-APUMA(Val)'!I8*I$49</f>
        <v>63.2130931989876</v>
      </c>
      <c r="J8" s="1" t="n">
        <f aca="false">'OD-APUMA(Val)'!J8*J$49</f>
        <v>184.61006333913</v>
      </c>
      <c r="K8" s="1" t="n">
        <f aca="false">'OD-APUMA(Val)'!K8*K$49</f>
        <v>45.2856962349838</v>
      </c>
      <c r="L8" s="1" t="n">
        <f aca="false">'OD-APUMA(Val)'!L8*L$49</f>
        <v>0</v>
      </c>
      <c r="M8" s="1" t="n">
        <f aca="false">'OD-APUMA(Val)'!M8*M$49</f>
        <v>72.1944277564875</v>
      </c>
      <c r="N8" s="1" t="n">
        <f aca="false">'OD-APUMA(Val)'!N8*N$49</f>
        <v>0</v>
      </c>
      <c r="O8" s="1" t="n">
        <f aca="false">'OD-APUMA(Val)'!O8*O$49</f>
        <v>0</v>
      </c>
      <c r="P8" s="1" t="n">
        <f aca="false">'OD-APUMA(Val)'!P8*P$49</f>
        <v>0</v>
      </c>
      <c r="Q8" s="1" t="n">
        <f aca="false">'OD-APUMA(Val)'!Q8*Q$49</f>
        <v>0</v>
      </c>
      <c r="R8" s="1" t="n">
        <f aca="false">'OD-APUMA(Val)'!R8*R$49</f>
        <v>13.5387990941435</v>
      </c>
      <c r="S8" s="1" t="n">
        <f aca="false">'OD-APUMA(Val)'!S8*S$49</f>
        <v>0</v>
      </c>
      <c r="T8" s="1" t="n">
        <f aca="false">'OD-APUMA(Val)'!T8*T$49</f>
        <v>0</v>
      </c>
      <c r="U8" s="1" t="n">
        <f aca="false">'OD-APUMA(Val)'!U8*U$49</f>
        <v>0</v>
      </c>
      <c r="V8" s="1" t="n">
        <f aca="false">'OD-APUMA(Val)'!V8*V$49</f>
        <v>0</v>
      </c>
      <c r="W8" s="1" t="n">
        <f aca="false">'OD-APUMA(Val)'!W8*W$49</f>
        <v>0</v>
      </c>
      <c r="X8" s="1" t="n">
        <f aca="false">'OD-APUMA(Val)'!X8*X$49</f>
        <v>0</v>
      </c>
      <c r="Y8" s="1" t="n">
        <f aca="false">'OD-APUMA(Val)'!Y8*Y$49</f>
        <v>0</v>
      </c>
      <c r="Z8" s="1" t="n">
        <f aca="false">'OD-APUMA(Val)'!Z8*Z$49</f>
        <v>0</v>
      </c>
      <c r="AA8" s="1" t="n">
        <f aca="false">'OD-APUMA(Val)'!AA8*AA$49</f>
        <v>0</v>
      </c>
      <c r="AB8" s="1" t="n">
        <f aca="false">'OD-APUMA(Val)'!AB8*AB$49</f>
        <v>0</v>
      </c>
      <c r="AC8" s="1" t="n">
        <f aca="false">'OD-APUMA(Val)'!AC8*AC$49</f>
        <v>2.16081943728976</v>
      </c>
      <c r="AD8" s="1" t="n">
        <f aca="false">'OD-APUMA(Val)'!AD8*AD$49</f>
        <v>0</v>
      </c>
      <c r="AE8" s="1" t="n">
        <f aca="false">'OD-APUMA(Val)'!AE8*AE$49</f>
        <v>0</v>
      </c>
      <c r="AF8" s="1" t="n">
        <f aca="false">'OD-APUMA(Val)'!AF8*AF$49</f>
        <v>2.30521905122338</v>
      </c>
      <c r="AG8" s="1" t="n">
        <f aca="false">'OD-APUMA(Val)'!AG8*AG$49</f>
        <v>0</v>
      </c>
      <c r="AH8" s="1" t="n">
        <f aca="false">'OD-APUMA(Val)'!AH8*AH$49</f>
        <v>0</v>
      </c>
      <c r="AI8" s="1" t="n">
        <f aca="false">'OD-APUMA(Val)'!AI8*AI$49</f>
        <v>18.118610934823</v>
      </c>
      <c r="AJ8" s="1" t="n">
        <f aca="false">'OD-APUMA(Val)'!AJ8*AJ$49</f>
        <v>0</v>
      </c>
      <c r="AK8" s="1" t="n">
        <f aca="false">'OD-APUMA(Val)'!AK8*AK$49</f>
        <v>0</v>
      </c>
      <c r="AL8" s="1" t="n">
        <f aca="false">'OD-APUMA(Val)'!AL8*AL$49</f>
        <v>0</v>
      </c>
      <c r="AM8" s="1" t="n">
        <f aca="false">'OD-APUMA(Val)'!AM8*AM$49</f>
        <v>24.072839933662</v>
      </c>
      <c r="AN8" s="1" t="n">
        <f aca="false">'OD-APUMA(Val)'!AN8*AN$49</f>
        <v>117</v>
      </c>
      <c r="AO8" s="1" t="n">
        <f aca="false">'OD-APUMA(Val)'!AO8*AO$49</f>
        <v>0</v>
      </c>
      <c r="AP8" s="1" t="n">
        <f aca="false">'OD-APUMA(Val)'!AP8*AP$49</f>
        <v>0</v>
      </c>
      <c r="AQ8" s="1" t="n">
        <f aca="false">'OD-APUMA(Val)'!AQ8*AQ$49</f>
        <v>0</v>
      </c>
      <c r="AR8" s="0" t="n">
        <f aca="false">SUM('OD-APUMA(Val)'!C8:AQ8)</f>
        <v>67522</v>
      </c>
      <c r="AS8" s="0" t="n">
        <f aca="false">MAX('OD-APUMA(Val)'!C8:AQ8)</f>
        <v>62647</v>
      </c>
      <c r="AT8" s="2" t="n">
        <f aca="false">SUM(C8:AQ8)/AR8</f>
        <v>0.0127866234009454</v>
      </c>
      <c r="AU8" s="3" t="n">
        <f aca="false">AT8^4</f>
        <v>2.6731510330333E-008</v>
      </c>
    </row>
    <row r="9" customFormat="false" ht="12.75" hidden="false" customHeight="false" outlineLevel="0" collapsed="false">
      <c r="A9" s="0" t="n">
        <v>7</v>
      </c>
      <c r="B9" s="0" t="n">
        <v>61087</v>
      </c>
      <c r="C9" s="1" t="n">
        <f aca="false">'OD-APUMA(Val)'!C9*C$49</f>
        <v>11.4162349552817</v>
      </c>
      <c r="D9" s="1" t="n">
        <f aca="false">'OD-APUMA(Val)'!D9*D$49</f>
        <v>0</v>
      </c>
      <c r="E9" s="1" t="n">
        <f aca="false">'OD-APUMA(Val)'!E9*E$49</f>
        <v>48.9146351216326</v>
      </c>
      <c r="F9" s="1" t="n">
        <f aca="false">'OD-APUMA(Val)'!F9*F$49</f>
        <v>25.6454661546186</v>
      </c>
      <c r="G9" s="1" t="n">
        <f aca="false">'OD-APUMA(Val)'!G9*G$49</f>
        <v>15.8670205407269</v>
      </c>
      <c r="H9" s="1" t="n">
        <f aca="false">'OD-APUMA(Val)'!H9*H$49</f>
        <v>3.33443657659509</v>
      </c>
      <c r="I9" s="1" t="n">
        <v>0</v>
      </c>
      <c r="J9" s="1" t="n">
        <f aca="false">'OD-APUMA(Val)'!J9*J$49</f>
        <v>72.68112729887</v>
      </c>
      <c r="K9" s="1" t="n">
        <f aca="false">'OD-APUMA(Val)'!K9*K$49</f>
        <v>30.1904641566558</v>
      </c>
      <c r="L9" s="1" t="n">
        <f aca="false">'OD-APUMA(Val)'!L9*L$49</f>
        <v>0</v>
      </c>
      <c r="M9" s="1" t="n">
        <f aca="false">'OD-APUMA(Val)'!M9*M$49</f>
        <v>2358.35130671193</v>
      </c>
      <c r="N9" s="1" t="n">
        <f aca="false">'OD-APUMA(Val)'!N9*N$49</f>
        <v>0</v>
      </c>
      <c r="O9" s="1" t="n">
        <f aca="false">'OD-APUMA(Val)'!O9*O$49</f>
        <v>0</v>
      </c>
      <c r="P9" s="1" t="n">
        <f aca="false">'OD-APUMA(Val)'!P9*P$49</f>
        <v>69.1671470991198</v>
      </c>
      <c r="Q9" s="1" t="n">
        <f aca="false">'OD-APUMA(Val)'!Q9*Q$49</f>
        <v>117</v>
      </c>
      <c r="R9" s="1" t="n">
        <f aca="false">'OD-APUMA(Val)'!R9*R$49</f>
        <v>4.73857968295022</v>
      </c>
      <c r="S9" s="1" t="n">
        <f aca="false">'OD-APUMA(Val)'!S9*S$49</f>
        <v>0</v>
      </c>
      <c r="T9" s="1" t="n">
        <f aca="false">'OD-APUMA(Val)'!T9*T$49</f>
        <v>0</v>
      </c>
      <c r="U9" s="1" t="n">
        <f aca="false">'OD-APUMA(Val)'!U9*U$49</f>
        <v>0</v>
      </c>
      <c r="V9" s="1" t="n">
        <f aca="false">'OD-APUMA(Val)'!V9*V$49</f>
        <v>0</v>
      </c>
      <c r="W9" s="1" t="n">
        <f aca="false">'OD-APUMA(Val)'!W9*W$49</f>
        <v>0</v>
      </c>
      <c r="X9" s="1" t="n">
        <f aca="false">'OD-APUMA(Val)'!X9*X$49</f>
        <v>0</v>
      </c>
      <c r="Y9" s="1" t="n">
        <f aca="false">'OD-APUMA(Val)'!Y9*Y$49</f>
        <v>0</v>
      </c>
      <c r="Z9" s="1" t="n">
        <f aca="false">'OD-APUMA(Val)'!Z9*Z$49</f>
        <v>0</v>
      </c>
      <c r="AA9" s="1" t="n">
        <f aca="false">'OD-APUMA(Val)'!AA9*AA$49</f>
        <v>221</v>
      </c>
      <c r="AB9" s="1" t="n">
        <f aca="false">'OD-APUMA(Val)'!AB9*AB$49</f>
        <v>91</v>
      </c>
      <c r="AC9" s="1" t="n">
        <f aca="false">'OD-APUMA(Val)'!AC9*AC$49</f>
        <v>0.720273145763253</v>
      </c>
      <c r="AD9" s="1" t="n">
        <f aca="false">'OD-APUMA(Val)'!AD9*AD$49</f>
        <v>0</v>
      </c>
      <c r="AE9" s="1" t="n">
        <f aca="false">'OD-APUMA(Val)'!AE9*AE$49</f>
        <v>9.28055778111678</v>
      </c>
      <c r="AF9" s="1" t="n">
        <f aca="false">'OD-APUMA(Val)'!AF9*AF$49</f>
        <v>0</v>
      </c>
      <c r="AG9" s="1" t="n">
        <f aca="false">'OD-APUMA(Val)'!AG9*AG$49</f>
        <v>0</v>
      </c>
      <c r="AH9" s="1" t="n">
        <f aca="false">'OD-APUMA(Val)'!AH9*AH$49</f>
        <v>0</v>
      </c>
      <c r="AI9" s="1" t="n">
        <f aca="false">'OD-APUMA(Val)'!AI9*AI$49</f>
        <v>172.126803880819</v>
      </c>
      <c r="AJ9" s="1" t="n">
        <f aca="false">'OD-APUMA(Val)'!AJ9*AJ$49</f>
        <v>0</v>
      </c>
      <c r="AK9" s="1" t="n">
        <f aca="false">'OD-APUMA(Val)'!AK9*AK$49</f>
        <v>0</v>
      </c>
      <c r="AL9" s="1" t="n">
        <f aca="false">'OD-APUMA(Val)'!AL9*AL$49</f>
        <v>40.7461587087692</v>
      </c>
      <c r="AM9" s="1" t="n">
        <f aca="false">'OD-APUMA(Val)'!AM9*AM$49</f>
        <v>16.0485599557747</v>
      </c>
      <c r="AN9" s="1" t="n">
        <f aca="false">'OD-APUMA(Val)'!AN9*AN$49</f>
        <v>0</v>
      </c>
      <c r="AO9" s="1" t="n">
        <f aca="false">'OD-APUMA(Val)'!AO9*AO$49</f>
        <v>74.4365691244814</v>
      </c>
      <c r="AP9" s="1" t="n">
        <f aca="false">'OD-APUMA(Val)'!AP9*AP$49</f>
        <v>12.5976913980343</v>
      </c>
      <c r="AQ9" s="1" t="n">
        <f aca="false">'OD-APUMA(Val)'!AQ9*AQ$49</f>
        <v>0</v>
      </c>
      <c r="AR9" s="0" t="n">
        <f aca="false">SUM('OD-APUMA(Val)'!C9:AQ9)</f>
        <v>41067</v>
      </c>
      <c r="AS9" s="0" t="n">
        <f aca="false">MAX('OD-APUMA(Val)'!C9:AQ9)</f>
        <v>32396</v>
      </c>
      <c r="AT9" s="2" t="n">
        <f aca="false">SUM(C9:AQ9)/AR9</f>
        <v>0.0826761884796341</v>
      </c>
      <c r="AU9" s="3" t="n">
        <f aca="false">AT9^4</f>
        <v>4.67220388985819E-005</v>
      </c>
    </row>
    <row r="10" customFormat="false" ht="12.75" hidden="false" customHeight="false" outlineLevel="0" collapsed="false">
      <c r="A10" s="0" t="n">
        <v>8</v>
      </c>
      <c r="B10" s="0" t="n">
        <v>74074</v>
      </c>
      <c r="C10" s="1" t="n">
        <f aca="false">'OD-APUMA(Val)'!C10*C$49</f>
        <v>0</v>
      </c>
      <c r="D10" s="1" t="n">
        <f aca="false">'OD-APUMA(Val)'!D10*D$49</f>
        <v>0</v>
      </c>
      <c r="E10" s="1" t="n">
        <f aca="false">'OD-APUMA(Val)'!E10*E$49</f>
        <v>0</v>
      </c>
      <c r="F10" s="1" t="n">
        <f aca="false">'OD-APUMA(Val)'!F10*F$49</f>
        <v>0</v>
      </c>
      <c r="G10" s="1" t="n">
        <f aca="false">'OD-APUMA(Val)'!G10*G$49</f>
        <v>81.9796061270891</v>
      </c>
      <c r="H10" s="1" t="n">
        <f aca="false">'OD-APUMA(Val)'!H10*H$49</f>
        <v>10.6285165878969</v>
      </c>
      <c r="I10" s="1" t="n">
        <f aca="false">'OD-APUMA(Val)'!I10*I$49</f>
        <v>75.8557118387851</v>
      </c>
      <c r="J10" s="1" t="n">
        <v>0</v>
      </c>
      <c r="K10" s="1" t="n">
        <f aca="false">'OD-APUMA(Val)'!K10*K$49</f>
        <v>0</v>
      </c>
      <c r="L10" s="1" t="n">
        <f aca="false">'OD-APUMA(Val)'!L10*L$49</f>
        <v>629.705565867096</v>
      </c>
      <c r="M10" s="1" t="n">
        <f aca="false">'OD-APUMA(Val)'!M10*M$49</f>
        <v>737.987483732984</v>
      </c>
      <c r="N10" s="1" t="n">
        <f aca="false">'OD-APUMA(Val)'!N10*N$49</f>
        <v>0</v>
      </c>
      <c r="O10" s="1" t="n">
        <f aca="false">'OD-APUMA(Val)'!O10*O$49</f>
        <v>0</v>
      </c>
      <c r="P10" s="1" t="n">
        <f aca="false">'OD-APUMA(Val)'!P10*P$49</f>
        <v>0</v>
      </c>
      <c r="Q10" s="1" t="n">
        <f aca="false">'OD-APUMA(Val)'!Q10*Q$49</f>
        <v>0</v>
      </c>
      <c r="R10" s="1" t="n">
        <f aca="false">'OD-APUMA(Val)'!R10*R$49</f>
        <v>0</v>
      </c>
      <c r="S10" s="1" t="n">
        <f aca="false">'OD-APUMA(Val)'!S10*S$49</f>
        <v>0</v>
      </c>
      <c r="T10" s="1" t="n">
        <f aca="false">'OD-APUMA(Val)'!T10*T$49</f>
        <v>0</v>
      </c>
      <c r="U10" s="1" t="n">
        <f aca="false">'OD-APUMA(Val)'!U10*U$49</f>
        <v>0</v>
      </c>
      <c r="V10" s="1" t="n">
        <f aca="false">'OD-APUMA(Val)'!V10*V$49</f>
        <v>0</v>
      </c>
      <c r="W10" s="1" t="n">
        <f aca="false">'OD-APUMA(Val)'!W10*W$49</f>
        <v>0</v>
      </c>
      <c r="X10" s="1" t="n">
        <f aca="false">'OD-APUMA(Val)'!X10*X$49</f>
        <v>0</v>
      </c>
      <c r="Y10" s="1" t="n">
        <f aca="false">'OD-APUMA(Val)'!Y10*Y$49</f>
        <v>0</v>
      </c>
      <c r="Z10" s="1" t="n">
        <f aca="false">'OD-APUMA(Val)'!Z10*Z$49</f>
        <v>0</v>
      </c>
      <c r="AA10" s="1" t="n">
        <f aca="false">'OD-APUMA(Val)'!AA10*AA$49</f>
        <v>91</v>
      </c>
      <c r="AB10" s="1" t="n">
        <f aca="false">'OD-APUMA(Val)'!AB10*AB$49</f>
        <v>0</v>
      </c>
      <c r="AC10" s="1" t="n">
        <f aca="false">'OD-APUMA(Val)'!AC10*AC$49</f>
        <v>0</v>
      </c>
      <c r="AD10" s="1" t="n">
        <f aca="false">'OD-APUMA(Val)'!AD10*AD$49</f>
        <v>0</v>
      </c>
      <c r="AE10" s="1" t="n">
        <f aca="false">'OD-APUMA(Val)'!AE10*AE$49</f>
        <v>0</v>
      </c>
      <c r="AF10" s="1" t="n">
        <f aca="false">'OD-APUMA(Val)'!AF10*AF$49</f>
        <v>0</v>
      </c>
      <c r="AG10" s="1" t="n">
        <f aca="false">'OD-APUMA(Val)'!AG10*AG$49</f>
        <v>0</v>
      </c>
      <c r="AH10" s="1" t="n">
        <f aca="false">'OD-APUMA(Val)'!AH10*AH$49</f>
        <v>0</v>
      </c>
      <c r="AI10" s="1" t="n">
        <f aca="false">'OD-APUMA(Val)'!AI10*AI$49</f>
        <v>507.321106175045</v>
      </c>
      <c r="AJ10" s="1" t="n">
        <f aca="false">'OD-APUMA(Val)'!AJ10*AJ$49</f>
        <v>0</v>
      </c>
      <c r="AK10" s="1" t="n">
        <f aca="false">'OD-APUMA(Val)'!AK10*AK$49</f>
        <v>0</v>
      </c>
      <c r="AL10" s="1" t="n">
        <f aca="false">'OD-APUMA(Val)'!AL10*AL$49</f>
        <v>22.2251774775105</v>
      </c>
      <c r="AM10" s="1" t="n">
        <f aca="false">'OD-APUMA(Val)'!AM10*AM$49</f>
        <v>0</v>
      </c>
      <c r="AN10" s="1" t="n">
        <f aca="false">'OD-APUMA(Val)'!AN10*AN$49</f>
        <v>364</v>
      </c>
      <c r="AO10" s="1" t="n">
        <f aca="false">'OD-APUMA(Val)'!AO10*AO$49</f>
        <v>0</v>
      </c>
      <c r="AP10" s="1" t="n">
        <f aca="false">'OD-APUMA(Val)'!AP10*AP$49</f>
        <v>6.87146803529144</v>
      </c>
      <c r="AQ10" s="1" t="n">
        <f aca="false">'OD-APUMA(Val)'!AQ10*AQ$49</f>
        <v>0</v>
      </c>
      <c r="AR10" s="0" t="n">
        <f aca="false">SUM('OD-APUMA(Val)'!C10:AQ10)</f>
        <v>46839</v>
      </c>
      <c r="AS10" s="0" t="n">
        <f aca="false">MAX('OD-APUMA(Val)'!C10:AQ10)</f>
        <v>38493</v>
      </c>
      <c r="AT10" s="2" t="n">
        <f aca="false">SUM(C10:AQ10)/AR10</f>
        <v>0.0539630358428168</v>
      </c>
      <c r="AU10" s="3" t="n">
        <f aca="false">AT10^4</f>
        <v>8.47979779854647E-006</v>
      </c>
    </row>
    <row r="11" customFormat="false" ht="12.75" hidden="false" customHeight="false" outlineLevel="0" collapsed="false">
      <c r="A11" s="0" t="n">
        <v>9</v>
      </c>
      <c r="B11" s="0" t="n">
        <v>57291</v>
      </c>
      <c r="C11" s="1" t="n">
        <f aca="false">'OD-APUMA(Val)'!C11*C$49</f>
        <v>15.6973230635124</v>
      </c>
      <c r="D11" s="1" t="n">
        <f aca="false">'OD-APUMA(Val)'!D11*D$49</f>
        <v>0</v>
      </c>
      <c r="E11" s="1" t="n">
        <f aca="false">'OD-APUMA(Val)'!E11*E$49</f>
        <v>0</v>
      </c>
      <c r="F11" s="1" t="n">
        <f aca="false">'OD-APUMA(Val)'!F11*F$49</f>
        <v>14.1492227059964</v>
      </c>
      <c r="G11" s="1" t="n">
        <f aca="false">'OD-APUMA(Val)'!G11*G$49</f>
        <v>0</v>
      </c>
      <c r="H11" s="1" t="n">
        <f aca="false">'OD-APUMA(Val)'!H11*H$49</f>
        <v>0</v>
      </c>
      <c r="I11" s="1" t="n">
        <f aca="false">'OD-APUMA(Val)'!I11*I$49</f>
        <v>0</v>
      </c>
      <c r="J11" s="1" t="n">
        <f aca="false">'OD-APUMA(Val)'!J11*J$49</f>
        <v>0</v>
      </c>
      <c r="K11" s="1" t="n">
        <v>0</v>
      </c>
      <c r="L11" s="1" t="n">
        <f aca="false">'OD-APUMA(Val)'!L11*L$49</f>
        <v>43.0567908285194</v>
      </c>
      <c r="M11" s="1" t="n">
        <f aca="false">'OD-APUMA(Val)'!M11*M$49</f>
        <v>0</v>
      </c>
      <c r="N11" s="1" t="n">
        <f aca="false">'OD-APUMA(Val)'!N11*N$49</f>
        <v>0</v>
      </c>
      <c r="O11" s="1" t="n">
        <f aca="false">'OD-APUMA(Val)'!O11*O$49</f>
        <v>429</v>
      </c>
      <c r="P11" s="1" t="n">
        <f aca="false">'OD-APUMA(Val)'!P11*P$49</f>
        <v>530.281461093252</v>
      </c>
      <c r="Q11" s="1" t="n">
        <f aca="false">'OD-APUMA(Val)'!Q11*Q$49</f>
        <v>195</v>
      </c>
      <c r="R11" s="1" t="n">
        <f aca="false">'OD-APUMA(Val)'!R11*R$49</f>
        <v>0</v>
      </c>
      <c r="S11" s="1" t="n">
        <f aca="false">'OD-APUMA(Val)'!S11*S$49</f>
        <v>0</v>
      </c>
      <c r="T11" s="1" t="n">
        <f aca="false">'OD-APUMA(Val)'!T11*T$49</f>
        <v>0</v>
      </c>
      <c r="U11" s="1" t="n">
        <f aca="false">'OD-APUMA(Val)'!U11*U$49</f>
        <v>0</v>
      </c>
      <c r="V11" s="1" t="n">
        <f aca="false">'OD-APUMA(Val)'!V11*V$49</f>
        <v>0</v>
      </c>
      <c r="W11" s="1" t="n">
        <f aca="false">'OD-APUMA(Val)'!W11*W$49</f>
        <v>0</v>
      </c>
      <c r="X11" s="1" t="n">
        <f aca="false">'OD-APUMA(Val)'!X11*X$49</f>
        <v>0</v>
      </c>
      <c r="Y11" s="1" t="n">
        <f aca="false">'OD-APUMA(Val)'!Y11*Y$49</f>
        <v>0</v>
      </c>
      <c r="Z11" s="1" t="n">
        <f aca="false">'OD-APUMA(Val)'!Z11*Z$49</f>
        <v>0</v>
      </c>
      <c r="AA11" s="1" t="n">
        <f aca="false">'OD-APUMA(Val)'!AA11*AA$49</f>
        <v>897</v>
      </c>
      <c r="AB11" s="1" t="n">
        <f aca="false">'OD-APUMA(Val)'!AB11*AB$49</f>
        <v>1911</v>
      </c>
      <c r="AC11" s="1" t="n">
        <f aca="false">'OD-APUMA(Val)'!AC11*AC$49</f>
        <v>0</v>
      </c>
      <c r="AD11" s="1" t="n">
        <f aca="false">'OD-APUMA(Val)'!AD11*AD$49</f>
        <v>0</v>
      </c>
      <c r="AE11" s="1" t="n">
        <f aca="false">'OD-APUMA(Val)'!AE11*AE$49</f>
        <v>9.28055778111678</v>
      </c>
      <c r="AF11" s="1" t="n">
        <f aca="false">'OD-APUMA(Val)'!AF11*AF$49</f>
        <v>0</v>
      </c>
      <c r="AG11" s="1" t="n">
        <f aca="false">'OD-APUMA(Val)'!AG11*AG$49</f>
        <v>0</v>
      </c>
      <c r="AH11" s="1" t="n">
        <f aca="false">'OD-APUMA(Val)'!AH11*AH$49</f>
        <v>0</v>
      </c>
      <c r="AI11" s="1" t="n">
        <f aca="false">'OD-APUMA(Val)'!AI11*AI$49</f>
        <v>39.8609440566107</v>
      </c>
      <c r="AJ11" s="1" t="n">
        <f aca="false">'OD-APUMA(Val)'!AJ11*AJ$49</f>
        <v>0</v>
      </c>
      <c r="AK11" s="1" t="n">
        <f aca="false">'OD-APUMA(Val)'!AK11*AK$49</f>
        <v>0</v>
      </c>
      <c r="AL11" s="1" t="n">
        <f aca="false">'OD-APUMA(Val)'!AL11*AL$49</f>
        <v>0</v>
      </c>
      <c r="AM11" s="1" t="n">
        <f aca="false">'OD-APUMA(Val)'!AM11*AM$49</f>
        <v>60.1820998341551</v>
      </c>
      <c r="AN11" s="1" t="n">
        <f aca="false">'OD-APUMA(Val)'!AN11*AN$49</f>
        <v>6682</v>
      </c>
      <c r="AO11" s="1" t="n">
        <f aca="false">'OD-APUMA(Val)'!AO11*AO$49</f>
        <v>849.817497504496</v>
      </c>
      <c r="AP11" s="1" t="n">
        <f aca="false">'OD-APUMA(Val)'!AP11*AP$49</f>
        <v>0</v>
      </c>
      <c r="AQ11" s="1" t="n">
        <f aca="false">'OD-APUMA(Val)'!AQ11*AQ$49</f>
        <v>0</v>
      </c>
      <c r="AR11" s="0" t="n">
        <f aca="false">SUM('OD-APUMA(Val)'!C11:AQ11)</f>
        <v>51909</v>
      </c>
      <c r="AS11" s="0" t="n">
        <f aca="false">MAX('OD-APUMA(Val)'!C11:AQ11)</f>
        <v>37791</v>
      </c>
      <c r="AT11" s="2" t="n">
        <f aca="false">SUM(C11:AQ11)/AR11</f>
        <v>0.224938370935053</v>
      </c>
      <c r="AU11" s="3" t="n">
        <f aca="false">AT11^4</f>
        <v>0.00256008380420322</v>
      </c>
    </row>
    <row r="12" customFormat="false" ht="12.75" hidden="false" customHeight="false" outlineLevel="0" collapsed="false">
      <c r="A12" s="0" t="n">
        <v>10</v>
      </c>
      <c r="B12" s="0" t="n">
        <v>75231</v>
      </c>
      <c r="C12" s="1" t="n">
        <f aca="false">'OD-APUMA(Val)'!C12*C$49</f>
        <v>7.13514684705107</v>
      </c>
      <c r="D12" s="1" t="n">
        <f aca="false">'OD-APUMA(Val)'!D12*D$49</f>
        <v>0</v>
      </c>
      <c r="E12" s="1" t="n">
        <f aca="false">'OD-APUMA(Val)'!E12*E$49</f>
        <v>17.3239332722449</v>
      </c>
      <c r="F12" s="1" t="n">
        <f aca="false">'OD-APUMA(Val)'!F12*F$49</f>
        <v>0</v>
      </c>
      <c r="G12" s="1" t="n">
        <f aca="false">'OD-APUMA(Val)'!G12*G$49</f>
        <v>37.0230479283628</v>
      </c>
      <c r="H12" s="1" t="n">
        <f aca="false">'OD-APUMA(Val)'!H12*H$49</f>
        <v>3.54283886263229</v>
      </c>
      <c r="I12" s="1" t="n">
        <f aca="false">'OD-APUMA(Val)'!I12*I$49</f>
        <v>0</v>
      </c>
      <c r="J12" s="1" t="n">
        <f aca="false">'OD-APUMA(Val)'!J12*J$49</f>
        <v>56.6912792931186</v>
      </c>
      <c r="K12" s="1" t="n">
        <f aca="false">'OD-APUMA(Val)'!K12*K$49</f>
        <v>65.412672339421</v>
      </c>
      <c r="L12" s="1" t="n">
        <v>0</v>
      </c>
      <c r="M12" s="1" t="n">
        <f aca="false">'OD-APUMA(Val)'!M12*M$49</f>
        <v>128.345649344867</v>
      </c>
      <c r="N12" s="1" t="n">
        <f aca="false">'OD-APUMA(Val)'!N12*N$49</f>
        <v>195</v>
      </c>
      <c r="O12" s="1" t="n">
        <f aca="false">'OD-APUMA(Val)'!O12*O$49</f>
        <v>0</v>
      </c>
      <c r="P12" s="1" t="n">
        <f aca="false">'OD-APUMA(Val)'!P12*P$49</f>
        <v>0</v>
      </c>
      <c r="Q12" s="1" t="n">
        <f aca="false">'OD-APUMA(Val)'!Q12*Q$49</f>
        <v>78</v>
      </c>
      <c r="R12" s="1" t="n">
        <f aca="false">'OD-APUMA(Val)'!R12*R$49</f>
        <v>6.09245959236457</v>
      </c>
      <c r="S12" s="1" t="n">
        <f aca="false">'OD-APUMA(Val)'!S12*S$49</f>
        <v>0</v>
      </c>
      <c r="T12" s="1" t="n">
        <f aca="false">'OD-APUMA(Val)'!T12*T$49</f>
        <v>0</v>
      </c>
      <c r="U12" s="1" t="n">
        <f aca="false">'OD-APUMA(Val)'!U12*U$49</f>
        <v>0</v>
      </c>
      <c r="V12" s="1" t="n">
        <f aca="false">'OD-APUMA(Val)'!V12*V$49</f>
        <v>0</v>
      </c>
      <c r="W12" s="1" t="n">
        <f aca="false">'OD-APUMA(Val)'!W12*W$49</f>
        <v>0</v>
      </c>
      <c r="X12" s="1" t="n">
        <f aca="false">'OD-APUMA(Val)'!X12*X$49</f>
        <v>0</v>
      </c>
      <c r="Y12" s="1" t="n">
        <f aca="false">'OD-APUMA(Val)'!Y12*Y$49</f>
        <v>0</v>
      </c>
      <c r="Z12" s="1" t="n">
        <f aca="false">'OD-APUMA(Val)'!Z12*Z$49</f>
        <v>0</v>
      </c>
      <c r="AA12" s="1" t="n">
        <f aca="false">'OD-APUMA(Val)'!AA12*AA$49</f>
        <v>312</v>
      </c>
      <c r="AB12" s="1" t="n">
        <f aca="false">'OD-APUMA(Val)'!AB12*AB$49</f>
        <v>299</v>
      </c>
      <c r="AC12" s="1" t="n">
        <f aca="false">'OD-APUMA(Val)'!AC12*AC$49</f>
        <v>0</v>
      </c>
      <c r="AD12" s="1" t="n">
        <f aca="false">'OD-APUMA(Val)'!AD12*AD$49</f>
        <v>0</v>
      </c>
      <c r="AE12" s="1" t="n">
        <f aca="false">'OD-APUMA(Val)'!AE12*AE$49</f>
        <v>6.96041833583758</v>
      </c>
      <c r="AF12" s="1" t="n">
        <f aca="false">'OD-APUMA(Val)'!AF12*AF$49</f>
        <v>0</v>
      </c>
      <c r="AG12" s="1" t="n">
        <f aca="false">'OD-APUMA(Val)'!AG12*AG$49</f>
        <v>0</v>
      </c>
      <c r="AH12" s="1" t="n">
        <f aca="false">'OD-APUMA(Val)'!AH12*AH$49</f>
        <v>0</v>
      </c>
      <c r="AI12" s="1" t="n">
        <f aca="false">'OD-APUMA(Val)'!AI12*AI$49</f>
        <v>2384.40919902271</v>
      </c>
      <c r="AJ12" s="1" t="n">
        <f aca="false">'OD-APUMA(Val)'!AJ12*AJ$49</f>
        <v>0</v>
      </c>
      <c r="AK12" s="1" t="n">
        <f aca="false">'OD-APUMA(Val)'!AK12*AK$49</f>
        <v>0</v>
      </c>
      <c r="AL12" s="1" t="n">
        <f aca="false">'OD-APUMA(Val)'!AL12*AL$49</f>
        <v>100.013298648797</v>
      </c>
      <c r="AM12" s="1" t="n">
        <f aca="false">'OD-APUMA(Val)'!AM12*AM$49</f>
        <v>10.0303499723592</v>
      </c>
      <c r="AN12" s="1" t="n">
        <f aca="false">'OD-APUMA(Val)'!AN12*AN$49</f>
        <v>2184</v>
      </c>
      <c r="AO12" s="1" t="n">
        <f aca="false">'OD-APUMA(Val)'!AO12*AO$49</f>
        <v>0</v>
      </c>
      <c r="AP12" s="1" t="n">
        <f aca="false">'OD-APUMA(Val)'!AP12*AP$49</f>
        <v>10.3072020529372</v>
      </c>
      <c r="AQ12" s="1" t="n">
        <f aca="false">'OD-APUMA(Val)'!AQ12*AQ$49</f>
        <v>0</v>
      </c>
      <c r="AR12" s="0" t="n">
        <f aca="false">SUM('OD-APUMA(Val)'!C12:AQ12)</f>
        <v>66885</v>
      </c>
      <c r="AS12" s="0" t="n">
        <f aca="false">MAX('OD-APUMA(Val)'!C12:AQ12)</f>
        <v>44408</v>
      </c>
      <c r="AT12" s="2" t="n">
        <f aca="false">SUM(C12:AQ12)/AR12</f>
        <v>0.0882303580102072</v>
      </c>
      <c r="AU12" s="3" t="n">
        <f aca="false">AT12^4</f>
        <v>6.05999360448229E-005</v>
      </c>
    </row>
    <row r="13" customFormat="false" ht="12.75" hidden="false" customHeight="false" outlineLevel="0" collapsed="false">
      <c r="A13" s="0" t="n">
        <v>11</v>
      </c>
      <c r="B13" s="0" t="n">
        <v>90948</v>
      </c>
      <c r="C13" s="1" t="n">
        <f aca="false">'OD-APUMA(Val)'!C13*C$49</f>
        <v>0</v>
      </c>
      <c r="D13" s="1" t="n">
        <f aca="false">'OD-APUMA(Val)'!D13*D$49</f>
        <v>0</v>
      </c>
      <c r="E13" s="1" t="n">
        <f aca="false">'OD-APUMA(Val)'!E13*E$49</f>
        <v>33.6288116461224</v>
      </c>
      <c r="F13" s="1" t="n">
        <f aca="false">'OD-APUMA(Val)'!F13*F$49</f>
        <v>99.0445589419751</v>
      </c>
      <c r="G13" s="1" t="n">
        <f aca="false">'OD-APUMA(Val)'!G13*G$49</f>
        <v>84.6241095505436</v>
      </c>
      <c r="H13" s="1" t="n">
        <f aca="false">'OD-APUMA(Val)'!H13*H$49</f>
        <v>0</v>
      </c>
      <c r="I13" s="1" t="n">
        <f aca="false">'OD-APUMA(Val)'!I13*I$49</f>
        <v>455.134271032711</v>
      </c>
      <c r="J13" s="1" t="n">
        <f aca="false">'OD-APUMA(Val)'!J13*J$49</f>
        <v>27.6188283735706</v>
      </c>
      <c r="K13" s="1" t="n">
        <f aca="false">'OD-APUMA(Val)'!K13*K$49</f>
        <v>0</v>
      </c>
      <c r="L13" s="1" t="n">
        <f aca="false">'OD-APUMA(Val)'!L13*L$49</f>
        <v>468.242600260149</v>
      </c>
      <c r="M13" s="1" t="n">
        <v>0</v>
      </c>
      <c r="N13" s="1" t="n">
        <f aca="false">'OD-APUMA(Val)'!N13*N$49</f>
        <v>104</v>
      </c>
      <c r="O13" s="1" t="n">
        <f aca="false">'OD-APUMA(Val)'!O13*O$49</f>
        <v>0</v>
      </c>
      <c r="P13" s="1" t="n">
        <f aca="false">'OD-APUMA(Val)'!P13*P$49</f>
        <v>53.7966699659821</v>
      </c>
      <c r="Q13" s="1" t="n">
        <f aca="false">'OD-APUMA(Val)'!Q13*Q$49</f>
        <v>26</v>
      </c>
      <c r="R13" s="1" t="n">
        <f aca="false">'OD-APUMA(Val)'!R13*R$49</f>
        <v>16.2465589129722</v>
      </c>
      <c r="S13" s="1" t="n">
        <f aca="false">'OD-APUMA(Val)'!S13*S$49</f>
        <v>0</v>
      </c>
      <c r="T13" s="1" t="n">
        <f aca="false">'OD-APUMA(Val)'!T13*T$49</f>
        <v>0</v>
      </c>
      <c r="U13" s="1" t="n">
        <f aca="false">'OD-APUMA(Val)'!U13*U$49</f>
        <v>0</v>
      </c>
      <c r="V13" s="1" t="n">
        <f aca="false">'OD-APUMA(Val)'!V13*V$49</f>
        <v>0</v>
      </c>
      <c r="W13" s="1" t="n">
        <f aca="false">'OD-APUMA(Val)'!W13*W$49</f>
        <v>0</v>
      </c>
      <c r="X13" s="1" t="n">
        <f aca="false">'OD-APUMA(Val)'!X13*X$49</f>
        <v>0</v>
      </c>
      <c r="Y13" s="1" t="n">
        <f aca="false">'OD-APUMA(Val)'!Y13*Y$49</f>
        <v>0</v>
      </c>
      <c r="Z13" s="1" t="n">
        <f aca="false">'OD-APUMA(Val)'!Z13*Z$49</f>
        <v>0</v>
      </c>
      <c r="AA13" s="1" t="n">
        <f aca="false">'OD-APUMA(Val)'!AA13*AA$49</f>
        <v>104</v>
      </c>
      <c r="AB13" s="1" t="n">
        <f aca="false">'OD-APUMA(Val)'!AB13*AB$49</f>
        <v>624</v>
      </c>
      <c r="AC13" s="1" t="n">
        <f aca="false">'OD-APUMA(Val)'!AC13*AC$49</f>
        <v>3.24122915593464</v>
      </c>
      <c r="AD13" s="1" t="n">
        <f aca="false">'OD-APUMA(Val)'!AD13*AD$49</f>
        <v>0</v>
      </c>
      <c r="AE13" s="1" t="n">
        <f aca="false">'OD-APUMA(Val)'!AE13*AE$49</f>
        <v>19.7211852848732</v>
      </c>
      <c r="AF13" s="1" t="n">
        <f aca="false">'OD-APUMA(Val)'!AF13*AF$49</f>
        <v>0</v>
      </c>
      <c r="AG13" s="1" t="n">
        <f aca="false">'OD-APUMA(Val)'!AG13*AG$49</f>
        <v>24.2925298916048</v>
      </c>
      <c r="AH13" s="1" t="n">
        <f aca="false">'OD-APUMA(Val)'!AH13*AH$49</f>
        <v>29.4836615857917</v>
      </c>
      <c r="AI13" s="1" t="n">
        <f aca="false">'OD-APUMA(Val)'!AI13*AI$49</f>
        <v>3563.93077087969</v>
      </c>
      <c r="AJ13" s="1" t="n">
        <f aca="false">'OD-APUMA(Val)'!AJ13*AJ$49</f>
        <v>0</v>
      </c>
      <c r="AK13" s="1" t="n">
        <f aca="false">'OD-APUMA(Val)'!AK13*AK$49</f>
        <v>0</v>
      </c>
      <c r="AL13" s="1" t="n">
        <f aca="false">'OD-APUMA(Val)'!AL13*AL$49</f>
        <v>59.2671399400279</v>
      </c>
      <c r="AM13" s="1" t="n">
        <f aca="false">'OD-APUMA(Val)'!AM13*AM$49</f>
        <v>68.2063798120424</v>
      </c>
      <c r="AN13" s="1" t="n">
        <f aca="false">'OD-APUMA(Val)'!AN13*AN$49</f>
        <v>377</v>
      </c>
      <c r="AO13" s="1" t="n">
        <f aca="false">'OD-APUMA(Val)'!AO13*AO$49</f>
        <v>12.4060948540802</v>
      </c>
      <c r="AP13" s="1" t="n">
        <f aca="false">'OD-APUMA(Val)'!AP13*AP$49</f>
        <v>17.1786700882286</v>
      </c>
      <c r="AQ13" s="1" t="n">
        <f aca="false">'OD-APUMA(Val)'!AQ13*AQ$49</f>
        <v>11.7780145272299</v>
      </c>
      <c r="AR13" s="0" t="n">
        <f aca="false">SUM('OD-APUMA(Val)'!C13:AQ13)</f>
        <v>80626</v>
      </c>
      <c r="AS13" s="0" t="n">
        <f aca="false">MAX('OD-APUMA(Val)'!C13:AQ13)</f>
        <v>46007</v>
      </c>
      <c r="AT13" s="2" t="n">
        <f aca="false">SUM(C13:AQ13)/AR13</f>
        <v>0.0779257570101894</v>
      </c>
      <c r="AU13" s="3" t="n">
        <f aca="false">AT13^4</f>
        <v>3.68743284459827E-005</v>
      </c>
    </row>
    <row r="14" customFormat="false" ht="12.75" hidden="false" customHeight="false" outlineLevel="0" collapsed="false">
      <c r="A14" s="0" t="n">
        <v>12</v>
      </c>
      <c r="B14" s="0" t="n">
        <v>66781</v>
      </c>
      <c r="C14" s="1" t="n">
        <f aca="false">'OD-APUMA(Val)'!C14*C$49</f>
        <v>0</v>
      </c>
      <c r="D14" s="1" t="n">
        <f aca="false">'OD-APUMA(Val)'!D14*D$49</f>
        <v>8.96713265488228</v>
      </c>
      <c r="E14" s="1" t="n">
        <f aca="false">'OD-APUMA(Val)'!E14*E$49</f>
        <v>23.438262662449</v>
      </c>
      <c r="F14" s="1" t="n">
        <f aca="false">'OD-APUMA(Val)'!F14*F$49</f>
        <v>0</v>
      </c>
      <c r="G14" s="1" t="n">
        <f aca="false">'OD-APUMA(Val)'!G14*G$49</f>
        <v>1182.09303028416</v>
      </c>
      <c r="H14" s="1" t="n">
        <f aca="false">'OD-APUMA(Val)'!H14*H$49</f>
        <v>2.29242514640913</v>
      </c>
      <c r="I14" s="1" t="n">
        <f aca="false">'OD-APUMA(Val)'!I14*I$49</f>
        <v>31.6065465994938</v>
      </c>
      <c r="J14" s="1" t="n">
        <f aca="false">'OD-APUMA(Val)'!J14*J$49</f>
        <v>0</v>
      </c>
      <c r="K14" s="1" t="n">
        <f aca="false">'OD-APUMA(Val)'!K14*K$49</f>
        <v>0</v>
      </c>
      <c r="L14" s="1" t="n">
        <f aca="false">'OD-APUMA(Val)'!L14*L$49</f>
        <v>204.519756435467</v>
      </c>
      <c r="M14" s="1" t="n">
        <f aca="false">'OD-APUMA(Val)'!M14*M$49</f>
        <v>1018.74359167488</v>
      </c>
      <c r="N14" s="1" t="n">
        <v>0</v>
      </c>
      <c r="O14" s="1" t="n">
        <f aca="false">'OD-APUMA(Val)'!O14*O$49</f>
        <v>0</v>
      </c>
      <c r="P14" s="1" t="n">
        <f aca="false">'OD-APUMA(Val)'!P14*P$49</f>
        <v>92.2228627988264</v>
      </c>
      <c r="Q14" s="1" t="n">
        <f aca="false">'OD-APUMA(Val)'!Q14*Q$49</f>
        <v>182</v>
      </c>
      <c r="R14" s="1" t="n">
        <f aca="false">'OD-APUMA(Val)'!R14*R$49</f>
        <v>16.2465589129722</v>
      </c>
      <c r="S14" s="1" t="n">
        <f aca="false">'OD-APUMA(Val)'!S14*S$49</f>
        <v>0</v>
      </c>
      <c r="T14" s="1" t="n">
        <f aca="false">'OD-APUMA(Val)'!T14*T$49</f>
        <v>0</v>
      </c>
      <c r="U14" s="1" t="n">
        <f aca="false">'OD-APUMA(Val)'!U14*U$49</f>
        <v>0</v>
      </c>
      <c r="V14" s="1" t="n">
        <f aca="false">'OD-APUMA(Val)'!V14*V$49</f>
        <v>0</v>
      </c>
      <c r="W14" s="1" t="n">
        <f aca="false">'OD-APUMA(Val)'!W14*W$49</f>
        <v>0</v>
      </c>
      <c r="X14" s="1" t="n">
        <f aca="false">'OD-APUMA(Val)'!X14*X$49</f>
        <v>0</v>
      </c>
      <c r="Y14" s="1" t="n">
        <f aca="false">'OD-APUMA(Val)'!Y14*Y$49</f>
        <v>0</v>
      </c>
      <c r="Z14" s="1" t="n">
        <f aca="false">'OD-APUMA(Val)'!Z14*Z$49</f>
        <v>0</v>
      </c>
      <c r="AA14" s="1" t="n">
        <f aca="false">'OD-APUMA(Val)'!AA14*AA$49</f>
        <v>26</v>
      </c>
      <c r="AB14" s="1" t="n">
        <f aca="false">'OD-APUMA(Val)'!AB14*AB$49</f>
        <v>91</v>
      </c>
      <c r="AC14" s="1" t="n">
        <f aca="false">'OD-APUMA(Val)'!AC14*AC$49</f>
        <v>0</v>
      </c>
      <c r="AD14" s="1" t="n">
        <f aca="false">'OD-APUMA(Val)'!AD14*AD$49</f>
        <v>0</v>
      </c>
      <c r="AE14" s="1" t="n">
        <f aca="false">'OD-APUMA(Val)'!AE14*AE$49</f>
        <v>6.96041833583758</v>
      </c>
      <c r="AF14" s="1" t="n">
        <f aca="false">'OD-APUMA(Val)'!AF14*AF$49</f>
        <v>0</v>
      </c>
      <c r="AG14" s="1" t="n">
        <f aca="false">'OD-APUMA(Val)'!AG14*AG$49</f>
        <v>22.5573491850616</v>
      </c>
      <c r="AH14" s="1" t="n">
        <f aca="false">'OD-APUMA(Val)'!AH14*AH$49</f>
        <v>0</v>
      </c>
      <c r="AI14" s="1" t="n">
        <f aca="false">'OD-APUMA(Val)'!AI14*AI$49</f>
        <v>2094.51142406554</v>
      </c>
      <c r="AJ14" s="1" t="n">
        <f aca="false">'OD-APUMA(Val)'!AJ14*AJ$49</f>
        <v>0</v>
      </c>
      <c r="AK14" s="1" t="n">
        <f aca="false">'OD-APUMA(Val)'!AK14*AK$49</f>
        <v>0</v>
      </c>
      <c r="AL14" s="1" t="n">
        <f aca="false">'OD-APUMA(Val)'!AL14*AL$49</f>
        <v>51.8587474475244</v>
      </c>
      <c r="AM14" s="1" t="n">
        <f aca="false">'OD-APUMA(Val)'!AM14*AM$49</f>
        <v>14.0424899613029</v>
      </c>
      <c r="AN14" s="1" t="n">
        <f aca="false">'OD-APUMA(Val)'!AN14*AN$49</f>
        <v>117</v>
      </c>
      <c r="AO14" s="1" t="n">
        <f aca="false">'OD-APUMA(Val)'!AO14*AO$49</f>
        <v>43.4213319892808</v>
      </c>
      <c r="AP14" s="1" t="n">
        <f aca="false">'OD-APUMA(Val)'!AP14*AP$49</f>
        <v>0</v>
      </c>
      <c r="AQ14" s="1" t="n">
        <f aca="false">'OD-APUMA(Val)'!AQ14*AQ$49</f>
        <v>5.88900726361495</v>
      </c>
      <c r="AR14" s="0" t="n">
        <f aca="false">SUM('OD-APUMA(Val)'!C14:AQ14)</f>
        <v>56082</v>
      </c>
      <c r="AS14" s="0" t="n">
        <f aca="false">MAX('OD-APUMA(Val)'!C14:AQ14)</f>
        <v>30693</v>
      </c>
      <c r="AT14" s="2" t="n">
        <f aca="false">SUM(C14:AQ14)/AR14</f>
        <v>0.0933520725975839</v>
      </c>
      <c r="AU14" s="3" t="n">
        <f aca="false">AT14^4</f>
        <v>7.59444180100745E-005</v>
      </c>
    </row>
    <row r="15" customFormat="false" ht="12.75" hidden="false" customHeight="false" outlineLevel="0" collapsed="false">
      <c r="A15" s="0" t="n">
        <v>15</v>
      </c>
      <c r="B15" s="0" t="n">
        <v>103519</v>
      </c>
      <c r="C15" s="1" t="n">
        <f aca="false">'OD-APUMA(Val)'!C15*C$49</f>
        <v>0</v>
      </c>
      <c r="D15" s="1" t="n">
        <f aca="false">'OD-APUMA(Val)'!D15*D$49</f>
        <v>0</v>
      </c>
      <c r="E15" s="1" t="n">
        <f aca="false">'OD-APUMA(Val)'!E15*E$49</f>
        <v>8.15243918693876</v>
      </c>
      <c r="F15" s="1" t="n">
        <f aca="false">'OD-APUMA(Val)'!F15*F$49</f>
        <v>8.84326419124778</v>
      </c>
      <c r="G15" s="1" t="n">
        <f aca="false">'OD-APUMA(Val)'!G15*G$49</f>
        <v>0</v>
      </c>
      <c r="H15" s="1" t="n">
        <f aca="false">'OD-APUMA(Val)'!H15*H$49</f>
        <v>0</v>
      </c>
      <c r="I15" s="1" t="n">
        <f aca="false">'OD-APUMA(Val)'!I15*I$49</f>
        <v>0</v>
      </c>
      <c r="J15" s="1" t="n">
        <f aca="false">'OD-APUMA(Val)'!J15*J$49</f>
        <v>21.804338189661</v>
      </c>
      <c r="K15" s="1" t="n">
        <f aca="false">'OD-APUMA(Val)'!K15*K$49</f>
        <v>40.2539522088745</v>
      </c>
      <c r="L15" s="1" t="n">
        <f aca="false">'OD-APUMA(Val)'!L15*L$49</f>
        <v>26.9104942678246</v>
      </c>
      <c r="M15" s="1" t="n">
        <f aca="false">'OD-APUMA(Val)'!M15*M$49</f>
        <v>0</v>
      </c>
      <c r="N15" s="1" t="n">
        <f aca="false">'OD-APUMA(Val)'!N15*N$49</f>
        <v>0</v>
      </c>
      <c r="O15" s="1" t="n">
        <v>0</v>
      </c>
      <c r="P15" s="1" t="n">
        <f aca="false">'OD-APUMA(Val)'!P15*P$49</f>
        <v>19566.6173904843</v>
      </c>
      <c r="Q15" s="1" t="n">
        <f aca="false">'OD-APUMA(Val)'!Q15*Q$49</f>
        <v>3744</v>
      </c>
      <c r="R15" s="1" t="n">
        <f aca="false">'OD-APUMA(Val)'!R15*R$49</f>
        <v>0</v>
      </c>
      <c r="S15" s="1" t="n">
        <f aca="false">'OD-APUMA(Val)'!S15*S$49</f>
        <v>0</v>
      </c>
      <c r="T15" s="1" t="n">
        <f aca="false">'OD-APUMA(Val)'!T15*T$49</f>
        <v>0</v>
      </c>
      <c r="U15" s="1" t="n">
        <f aca="false">'OD-APUMA(Val)'!U15*U$49</f>
        <v>0</v>
      </c>
      <c r="V15" s="1" t="n">
        <f aca="false">'OD-APUMA(Val)'!V15*V$49</f>
        <v>0</v>
      </c>
      <c r="W15" s="1" t="n">
        <f aca="false">'OD-APUMA(Val)'!W15*W$49</f>
        <v>0</v>
      </c>
      <c r="X15" s="1" t="n">
        <f aca="false">'OD-APUMA(Val)'!X15*X$49</f>
        <v>0</v>
      </c>
      <c r="Y15" s="1" t="n">
        <f aca="false">'OD-APUMA(Val)'!Y15*Y$49</f>
        <v>0</v>
      </c>
      <c r="Z15" s="1" t="n">
        <f aca="false">'OD-APUMA(Val)'!Z15*Z$49</f>
        <v>0</v>
      </c>
      <c r="AA15" s="1" t="n">
        <f aca="false">'OD-APUMA(Val)'!AA15*AA$49</f>
        <v>5122</v>
      </c>
      <c r="AB15" s="1" t="n">
        <f aca="false">'OD-APUMA(Val)'!AB15*AB$49</f>
        <v>4394</v>
      </c>
      <c r="AC15" s="1" t="n">
        <f aca="false">'OD-APUMA(Val)'!AC15*AC$49</f>
        <v>2.52095601017139</v>
      </c>
      <c r="AD15" s="1" t="n">
        <f aca="false">'OD-APUMA(Val)'!AD15*AD$49</f>
        <v>0</v>
      </c>
      <c r="AE15" s="1" t="n">
        <f aca="false">'OD-APUMA(Val)'!AE15*AE$49</f>
        <v>22.0413247301523</v>
      </c>
      <c r="AF15" s="1" t="n">
        <f aca="false">'OD-APUMA(Val)'!AF15*AF$49</f>
        <v>0</v>
      </c>
      <c r="AG15" s="1" t="n">
        <f aca="false">'OD-APUMA(Val)'!AG15*AG$49</f>
        <v>0</v>
      </c>
      <c r="AH15" s="1" t="n">
        <f aca="false">'OD-APUMA(Val)'!AH15*AH$49</f>
        <v>0</v>
      </c>
      <c r="AI15" s="1" t="n">
        <f aca="false">'OD-APUMA(Val)'!AI15*AI$49</f>
        <v>45.2965273370576</v>
      </c>
      <c r="AJ15" s="1" t="n">
        <f aca="false">'OD-APUMA(Val)'!AJ15*AJ$49</f>
        <v>0</v>
      </c>
      <c r="AK15" s="1" t="n">
        <f aca="false">'OD-APUMA(Val)'!AK15*AK$49</f>
        <v>0</v>
      </c>
      <c r="AL15" s="1" t="n">
        <f aca="false">'OD-APUMA(Val)'!AL15*AL$49</f>
        <v>0</v>
      </c>
      <c r="AM15" s="1" t="n">
        <f aca="false">'OD-APUMA(Val)'!AM15*AM$49</f>
        <v>54.1638898507396</v>
      </c>
      <c r="AN15" s="1" t="n">
        <f aca="false">'OD-APUMA(Val)'!AN15*AN$49</f>
        <v>1027</v>
      </c>
      <c r="AO15" s="1" t="n">
        <f aca="false">'OD-APUMA(Val)'!AO15*AO$49</f>
        <v>1445.31005050035</v>
      </c>
      <c r="AP15" s="1" t="n">
        <f aca="false">'OD-APUMA(Val)'!AP15*AP$49</f>
        <v>9.16195738038859</v>
      </c>
      <c r="AQ15" s="1" t="n">
        <f aca="false">'OD-APUMA(Val)'!AQ15*AQ$49</f>
        <v>0</v>
      </c>
      <c r="AR15" s="0" t="n">
        <f aca="false">SUM('OD-APUMA(Val)'!C15:AQ15)</f>
        <v>124878</v>
      </c>
      <c r="AS15" s="0" t="n">
        <f aca="false">MAX('OD-APUMA(Val)'!C15:AQ15)</f>
        <v>72592</v>
      </c>
      <c r="AT15" s="2" t="n">
        <f aca="false">SUM(C15:AQ15)/AR15</f>
        <v>0.284582365063003</v>
      </c>
      <c r="AU15" s="3" t="n">
        <f aca="false">AT15^4</f>
        <v>0.00655891401161599</v>
      </c>
    </row>
    <row r="16" customFormat="false" ht="12.75" hidden="false" customHeight="false" outlineLevel="0" collapsed="false">
      <c r="A16" s="0" t="n">
        <v>19</v>
      </c>
      <c r="B16" s="0" t="n">
        <v>347230</v>
      </c>
      <c r="C16" s="1" t="n">
        <f aca="false">'OD-APUMA(Val)'!C16*C$49</f>
        <v>15.6973230635124</v>
      </c>
      <c r="D16" s="1" t="n">
        <f aca="false">'OD-APUMA(Val)'!D16*D$49</f>
        <v>4.89116326629943</v>
      </c>
      <c r="E16" s="1" t="n">
        <f aca="false">'OD-APUMA(Val)'!E16*E$49</f>
        <v>12.2286587804081</v>
      </c>
      <c r="F16" s="1" t="n">
        <f aca="false">'OD-APUMA(Val)'!F16*F$49</f>
        <v>12.3805698677469</v>
      </c>
      <c r="G16" s="1" t="n">
        <f aca="false">'OD-APUMA(Val)'!G16*G$49</f>
        <v>0</v>
      </c>
      <c r="H16" s="1" t="n">
        <f aca="false">'OD-APUMA(Val)'!H16*H$49</f>
        <v>0</v>
      </c>
      <c r="I16" s="1" t="n">
        <f aca="false">'OD-APUMA(Val)'!I16*I$49</f>
        <v>18.9639279596963</v>
      </c>
      <c r="J16" s="1" t="n">
        <f aca="false">'OD-APUMA(Val)'!J16*J$49</f>
        <v>0</v>
      </c>
      <c r="K16" s="1" t="n">
        <f aca="false">'OD-APUMA(Val)'!K16*K$49</f>
        <v>50.3174402610931</v>
      </c>
      <c r="L16" s="1" t="n">
        <f aca="false">'OD-APUMA(Val)'!L16*L$49</f>
        <v>0</v>
      </c>
      <c r="M16" s="1" t="n">
        <f aca="false">'OD-APUMA(Val)'!M16*M$49</f>
        <v>72.1944277564875</v>
      </c>
      <c r="N16" s="1" t="n">
        <f aca="false">'OD-APUMA(Val)'!N16*N$49</f>
        <v>0</v>
      </c>
      <c r="O16" s="1" t="n">
        <f aca="false">'OD-APUMA(Val)'!O16*O$49</f>
        <v>4095</v>
      </c>
      <c r="P16" s="1" t="n">
        <v>0</v>
      </c>
      <c r="Q16" s="1" t="n">
        <f aca="false">'OD-APUMA(Val)'!Q16*Q$49</f>
        <v>29393</v>
      </c>
      <c r="R16" s="1" t="n">
        <f aca="false">'OD-APUMA(Val)'!R16*R$49</f>
        <v>0</v>
      </c>
      <c r="S16" s="1" t="n">
        <f aca="false">'OD-APUMA(Val)'!S16*S$49</f>
        <v>0</v>
      </c>
      <c r="T16" s="1" t="n">
        <f aca="false">'OD-APUMA(Val)'!T16*T$49</f>
        <v>0</v>
      </c>
      <c r="U16" s="1" t="n">
        <f aca="false">'OD-APUMA(Val)'!U16*U$49</f>
        <v>0</v>
      </c>
      <c r="V16" s="1" t="n">
        <f aca="false">'OD-APUMA(Val)'!V16*V$49</f>
        <v>3.0807709690201</v>
      </c>
      <c r="W16" s="1" t="n">
        <f aca="false">'OD-APUMA(Val)'!W16*W$49</f>
        <v>0</v>
      </c>
      <c r="X16" s="1" t="n">
        <f aca="false">'OD-APUMA(Val)'!X16*X$49</f>
        <v>33.5549866483564</v>
      </c>
      <c r="Y16" s="1" t="n">
        <f aca="false">'OD-APUMA(Val)'!Y16*Y$49</f>
        <v>0</v>
      </c>
      <c r="Z16" s="1" t="n">
        <f aca="false">'OD-APUMA(Val)'!Z16*Z$49</f>
        <v>0</v>
      </c>
      <c r="AA16" s="1" t="n">
        <f aca="false">'OD-APUMA(Val)'!AA16*AA$49</f>
        <v>19760</v>
      </c>
      <c r="AB16" s="1" t="n">
        <f aca="false">'OD-APUMA(Val)'!AB16*AB$49</f>
        <v>6149</v>
      </c>
      <c r="AC16" s="1" t="n">
        <f aca="false">'OD-APUMA(Val)'!AC16*AC$49</f>
        <v>0</v>
      </c>
      <c r="AD16" s="1" t="n">
        <f aca="false">'OD-APUMA(Val)'!AD16*AD$49</f>
        <v>0</v>
      </c>
      <c r="AE16" s="1" t="n">
        <f aca="false">'OD-APUMA(Val)'!AE16*AE$49</f>
        <v>68.4441136357362</v>
      </c>
      <c r="AF16" s="1" t="n">
        <f aca="false">'OD-APUMA(Val)'!AF16*AF$49</f>
        <v>4.8665735525827</v>
      </c>
      <c r="AG16" s="1" t="n">
        <f aca="false">'OD-APUMA(Val)'!AG16*AG$49</f>
        <v>0</v>
      </c>
      <c r="AH16" s="1" t="n">
        <f aca="false">'OD-APUMA(Val)'!AH16*AH$49</f>
        <v>0</v>
      </c>
      <c r="AI16" s="1" t="n">
        <f aca="false">'OD-APUMA(Val)'!AI16*AI$49</f>
        <v>14.4948887478584</v>
      </c>
      <c r="AJ16" s="1" t="n">
        <f aca="false">'OD-APUMA(Val)'!AJ16*AJ$49</f>
        <v>22.9611181441192</v>
      </c>
      <c r="AK16" s="1" t="n">
        <f aca="false">'OD-APUMA(Val)'!AK16*AK$49</f>
        <v>0</v>
      </c>
      <c r="AL16" s="1" t="n">
        <f aca="false">'OD-APUMA(Val)'!AL16*AL$49</f>
        <v>33.3377662162657</v>
      </c>
      <c r="AM16" s="1" t="n">
        <f aca="false">'OD-APUMA(Val)'!AM16*AM$49</f>
        <v>1289.90300644539</v>
      </c>
      <c r="AN16" s="1" t="n">
        <f aca="false">'OD-APUMA(Val)'!AN16*AN$49</f>
        <v>442</v>
      </c>
      <c r="AO16" s="1" t="n">
        <f aca="false">'OD-APUMA(Val)'!AO16*AO$49</f>
        <v>303.949323924966</v>
      </c>
      <c r="AP16" s="1" t="n">
        <f aca="false">'OD-APUMA(Val)'!AP16*AP$49</f>
        <v>20.6144041058743</v>
      </c>
      <c r="AQ16" s="1" t="n">
        <f aca="false">'OD-APUMA(Val)'!AQ16*AQ$49</f>
        <v>0</v>
      </c>
      <c r="AR16" s="0" t="n">
        <f aca="false">SUM('OD-APUMA(Val)'!C16:AQ16)</f>
        <v>385580</v>
      </c>
      <c r="AS16" s="0" t="n">
        <f aca="false">MAX('OD-APUMA(Val)'!C16:AQ16)</f>
        <v>313768</v>
      </c>
      <c r="AT16" s="2" t="n">
        <f aca="false">SUM(C16:AQ16)/AR16</f>
        <v>0.160332176107022</v>
      </c>
      <c r="AU16" s="3" t="n">
        <f aca="false">AT16^4</f>
        <v>0.000660819345179692</v>
      </c>
    </row>
    <row r="17" customFormat="false" ht="12.75" hidden="false" customHeight="false" outlineLevel="0" collapsed="false">
      <c r="A17" s="0" t="n">
        <v>22</v>
      </c>
      <c r="B17" s="0" t="n">
        <v>313391</v>
      </c>
      <c r="C17" s="1" t="n">
        <f aca="false">'OD-APUMA(Val)'!C17*C$49</f>
        <v>18.5513818023328</v>
      </c>
      <c r="D17" s="1" t="n">
        <f aca="false">'OD-APUMA(Val)'!D17*D$49</f>
        <v>0</v>
      </c>
      <c r="E17" s="1" t="n">
        <f aca="false">'OD-APUMA(Val)'!E17*E$49</f>
        <v>17.3239332722449</v>
      </c>
      <c r="F17" s="1" t="n">
        <f aca="false">'OD-APUMA(Val)'!F17*F$49</f>
        <v>0</v>
      </c>
      <c r="G17" s="1" t="n">
        <f aca="false">'OD-APUMA(Val)'!G17*G$49</f>
        <v>37.0230479283628</v>
      </c>
      <c r="H17" s="1" t="n">
        <f aca="false">'OD-APUMA(Val)'!H17*H$49</f>
        <v>0</v>
      </c>
      <c r="I17" s="1" t="n">
        <f aca="false">'OD-APUMA(Val)'!I17*I$49</f>
        <v>0</v>
      </c>
      <c r="J17" s="1" t="n">
        <f aca="false">'OD-APUMA(Val)'!J17*J$49</f>
        <v>0</v>
      </c>
      <c r="K17" s="1" t="n">
        <f aca="false">'OD-APUMA(Val)'!K17*K$49</f>
        <v>0</v>
      </c>
      <c r="L17" s="1" t="n">
        <f aca="false">'OD-APUMA(Val)'!L17*L$49</f>
        <v>32.2925931213896</v>
      </c>
      <c r="M17" s="1" t="n">
        <f aca="false">'OD-APUMA(Val)'!M17*M$49</f>
        <v>48.129618504325</v>
      </c>
      <c r="N17" s="1" t="n">
        <f aca="false">'OD-APUMA(Val)'!N17*N$49</f>
        <v>0</v>
      </c>
      <c r="O17" s="1" t="n">
        <f aca="false">'OD-APUMA(Val)'!O17*O$49</f>
        <v>1196</v>
      </c>
      <c r="P17" s="1" t="n">
        <f aca="false">'OD-APUMA(Val)'!P17*P$49</f>
        <v>47840.6100768912</v>
      </c>
      <c r="Q17" s="1" t="n">
        <v>0</v>
      </c>
      <c r="R17" s="1" t="n">
        <f aca="false">'OD-APUMA(Val)'!R17*R$49</f>
        <v>0</v>
      </c>
      <c r="S17" s="1" t="n">
        <f aca="false">'OD-APUMA(Val)'!S17*S$49</f>
        <v>0</v>
      </c>
      <c r="T17" s="1" t="n">
        <f aca="false">'OD-APUMA(Val)'!T17*T$49</f>
        <v>0</v>
      </c>
      <c r="U17" s="1" t="n">
        <f aca="false">'OD-APUMA(Val)'!U17*U$49</f>
        <v>0</v>
      </c>
      <c r="V17" s="1" t="n">
        <f aca="false">'OD-APUMA(Val)'!V17*V$49</f>
        <v>0</v>
      </c>
      <c r="W17" s="1" t="n">
        <f aca="false">'OD-APUMA(Val)'!W17*W$49</f>
        <v>0</v>
      </c>
      <c r="X17" s="1" t="n">
        <f aca="false">'OD-APUMA(Val)'!X17*X$49</f>
        <v>36.4728115743005</v>
      </c>
      <c r="Y17" s="1" t="n">
        <f aca="false">'OD-APUMA(Val)'!Y17*Y$49</f>
        <v>0</v>
      </c>
      <c r="Z17" s="1" t="n">
        <f aca="false">'OD-APUMA(Val)'!Z17*Z$49</f>
        <v>0</v>
      </c>
      <c r="AA17" s="1" t="n">
        <f aca="false">'OD-APUMA(Val)'!AA17*AA$49</f>
        <v>13689</v>
      </c>
      <c r="AB17" s="1" t="n">
        <f aca="false">'OD-APUMA(Val)'!AB17*AB$49</f>
        <v>3458</v>
      </c>
      <c r="AC17" s="1" t="n">
        <f aca="false">'OD-APUMA(Val)'!AC17*AC$49</f>
        <v>2.88109258305301</v>
      </c>
      <c r="AD17" s="1" t="n">
        <f aca="false">'OD-APUMA(Val)'!AD17*AD$49</f>
        <v>0</v>
      </c>
      <c r="AE17" s="1" t="n">
        <f aca="false">'OD-APUMA(Val)'!AE17*AE$49</f>
        <v>42.9225797376651</v>
      </c>
      <c r="AF17" s="1" t="n">
        <f aca="false">'OD-APUMA(Val)'!AF17*AF$49</f>
        <v>0</v>
      </c>
      <c r="AG17" s="1" t="n">
        <f aca="false">'OD-APUMA(Val)'!AG17*AG$49</f>
        <v>0</v>
      </c>
      <c r="AH17" s="1" t="n">
        <f aca="false">'OD-APUMA(Val)'!AH17*AH$49</f>
        <v>24.9477136495161</v>
      </c>
      <c r="AI17" s="1" t="n">
        <f aca="false">'OD-APUMA(Val)'!AI17*AI$49</f>
        <v>0</v>
      </c>
      <c r="AJ17" s="1" t="n">
        <f aca="false">'OD-APUMA(Val)'!AJ17*AJ$49</f>
        <v>0</v>
      </c>
      <c r="AK17" s="1" t="n">
        <f aca="false">'OD-APUMA(Val)'!AK17*AK$49</f>
        <v>0</v>
      </c>
      <c r="AL17" s="1" t="n">
        <f aca="false">'OD-APUMA(Val)'!AL17*AL$49</f>
        <v>0</v>
      </c>
      <c r="AM17" s="1" t="n">
        <f aca="false">'OD-APUMA(Val)'!AM17*AM$49</f>
        <v>7055.34817055745</v>
      </c>
      <c r="AN17" s="1" t="n">
        <f aca="false">'OD-APUMA(Val)'!AN17*AN$49</f>
        <v>65</v>
      </c>
      <c r="AO17" s="1" t="n">
        <f aca="false">'OD-APUMA(Val)'!AO17*AO$49</f>
        <v>148.873138248963</v>
      </c>
      <c r="AP17" s="1" t="n">
        <f aca="false">'OD-APUMA(Val)'!AP17*AP$49</f>
        <v>0</v>
      </c>
      <c r="AQ17" s="1" t="n">
        <f aca="false">'OD-APUMA(Val)'!AQ17*AQ$49</f>
        <v>0</v>
      </c>
      <c r="AR17" s="0" t="n">
        <f aca="false">SUM('OD-APUMA(Val)'!C17:AQ17)</f>
        <v>350818</v>
      </c>
      <c r="AS17" s="0" t="n">
        <f aca="false">MAX('OD-APUMA(Val)'!C17:AQ17)</f>
        <v>203580</v>
      </c>
      <c r="AT17" s="2" t="n">
        <f aca="false">SUM(C17:AQ17)/AR17</f>
        <v>0.210118569052531</v>
      </c>
      <c r="AU17" s="3" t="n">
        <f aca="false">AT17^4</f>
        <v>0.00194920599329327</v>
      </c>
    </row>
    <row r="18" customFormat="false" ht="12.75" hidden="false" customHeight="false" outlineLevel="0" collapsed="false">
      <c r="A18" s="0" t="n">
        <v>26</v>
      </c>
      <c r="B18" s="0" t="n">
        <v>95186</v>
      </c>
      <c r="C18" s="1" t="n">
        <f aca="false">'OD-APUMA(Val)'!C18*C$49</f>
        <v>0</v>
      </c>
      <c r="D18" s="1" t="n">
        <f aca="false">'OD-APUMA(Val)'!D18*D$49</f>
        <v>0</v>
      </c>
      <c r="E18" s="1" t="n">
        <f aca="false">'OD-APUMA(Val)'!E18*E$49</f>
        <v>2.03810979673469</v>
      </c>
      <c r="F18" s="1" t="n">
        <f aca="false">'OD-APUMA(Val)'!F18*F$49</f>
        <v>0</v>
      </c>
      <c r="G18" s="1" t="n">
        <f aca="false">'OD-APUMA(Val)'!G18*G$49</f>
        <v>42.3120547752718</v>
      </c>
      <c r="H18" s="1" t="n">
        <f aca="false">'OD-APUMA(Val)'!H18*H$49</f>
        <v>0</v>
      </c>
      <c r="I18" s="1" t="n">
        <f aca="false">'OD-APUMA(Val)'!I18*I$49</f>
        <v>0</v>
      </c>
      <c r="J18" s="1" t="n">
        <f aca="false">'OD-APUMA(Val)'!J18*J$49</f>
        <v>0</v>
      </c>
      <c r="K18" s="1" t="n">
        <f aca="false">'OD-APUMA(Val)'!K18*K$49</f>
        <v>0</v>
      </c>
      <c r="L18" s="1" t="n">
        <f aca="false">'OD-APUMA(Val)'!L18*L$49</f>
        <v>0</v>
      </c>
      <c r="M18" s="1" t="n">
        <f aca="false">'OD-APUMA(Val)'!M18*M$49</f>
        <v>104.280840092704</v>
      </c>
      <c r="N18" s="1" t="n">
        <f aca="false">'OD-APUMA(Val)'!N18*N$49</f>
        <v>208</v>
      </c>
      <c r="O18" s="1" t="n">
        <f aca="false">'OD-APUMA(Val)'!O18*O$49</f>
        <v>0</v>
      </c>
      <c r="P18" s="1" t="n">
        <f aca="false">'OD-APUMA(Val)'!P18*P$49</f>
        <v>0</v>
      </c>
      <c r="Q18" s="1" t="n">
        <f aca="false">'OD-APUMA(Val)'!Q18*Q$49</f>
        <v>299</v>
      </c>
      <c r="R18" s="1" t="n">
        <v>0</v>
      </c>
      <c r="S18" s="1" t="n">
        <f aca="false">'OD-APUMA(Val)'!S18*S$49</f>
        <v>76.5716250595603</v>
      </c>
      <c r="T18" s="1" t="n">
        <f aca="false">'OD-APUMA(Val)'!T18*T$49</f>
        <v>6.77929406306123</v>
      </c>
      <c r="U18" s="1" t="n">
        <f aca="false">'OD-APUMA(Val)'!U18*U$49</f>
        <v>0</v>
      </c>
      <c r="V18" s="1" t="n">
        <f aca="false">'OD-APUMA(Val)'!V18*V$49</f>
        <v>0</v>
      </c>
      <c r="W18" s="1" t="n">
        <f aca="false">'OD-APUMA(Val)'!W18*W$49</f>
        <v>0</v>
      </c>
      <c r="X18" s="1" t="n">
        <f aca="false">'OD-APUMA(Val)'!X18*X$49</f>
        <v>0</v>
      </c>
      <c r="Y18" s="1" t="n">
        <f aca="false">'OD-APUMA(Val)'!Y18*Y$49</f>
        <v>0</v>
      </c>
      <c r="Z18" s="1" t="n">
        <f aca="false">'OD-APUMA(Val)'!Z18*Z$49</f>
        <v>0</v>
      </c>
      <c r="AA18" s="1" t="n">
        <f aca="false">'OD-APUMA(Val)'!AA18*AA$49</f>
        <v>481</v>
      </c>
      <c r="AB18" s="1" t="n">
        <f aca="false">'OD-APUMA(Val)'!AB18*AB$49</f>
        <v>247</v>
      </c>
      <c r="AC18" s="1" t="n">
        <f aca="false">'OD-APUMA(Val)'!AC18*AC$49</f>
        <v>0.720273145763253</v>
      </c>
      <c r="AD18" s="1" t="n">
        <f aca="false">'OD-APUMA(Val)'!AD18*AD$49</f>
        <v>0</v>
      </c>
      <c r="AE18" s="1" t="n">
        <f aca="false">'OD-APUMA(Val)'!AE18*AE$49</f>
        <v>38.2823008471067</v>
      </c>
      <c r="AF18" s="1" t="n">
        <f aca="false">'OD-APUMA(Val)'!AF18*AF$49</f>
        <v>1.02454180054373</v>
      </c>
      <c r="AG18" s="1" t="n">
        <f aca="false">'OD-APUMA(Val)'!AG18*AG$49</f>
        <v>0</v>
      </c>
      <c r="AH18" s="1" t="n">
        <f aca="false">'OD-APUMA(Val)'!AH18*AH$49</f>
        <v>11.3398698406891</v>
      </c>
      <c r="AI18" s="1" t="n">
        <f aca="false">'OD-APUMA(Val)'!AI18*AI$49</f>
        <v>177.562387161266</v>
      </c>
      <c r="AJ18" s="1" t="n">
        <f aca="false">'OD-APUMA(Val)'!AJ18*AJ$49</f>
        <v>0</v>
      </c>
      <c r="AK18" s="1" t="n">
        <f aca="false">'OD-APUMA(Val)'!AK18*AK$49</f>
        <v>0</v>
      </c>
      <c r="AL18" s="1" t="n">
        <f aca="false">'OD-APUMA(Val)'!AL18*AL$49</f>
        <v>851.965136637901</v>
      </c>
      <c r="AM18" s="1" t="n">
        <f aca="false">'OD-APUMA(Val)'!AM18*AM$49</f>
        <v>86.261009762289</v>
      </c>
      <c r="AN18" s="1" t="n">
        <f aca="false">'OD-APUMA(Val)'!AN18*AN$49</f>
        <v>65</v>
      </c>
      <c r="AO18" s="1" t="n">
        <f aca="false">'OD-APUMA(Val)'!AO18*AO$49</f>
        <v>142.670090821923</v>
      </c>
      <c r="AP18" s="1" t="n">
        <f aca="false">'OD-APUMA(Val)'!AP18*AP$49</f>
        <v>155.753275466606</v>
      </c>
      <c r="AQ18" s="1" t="n">
        <f aca="false">'OD-APUMA(Val)'!AQ18*AQ$49</f>
        <v>0</v>
      </c>
      <c r="AR18" s="0" t="n">
        <f aca="false">SUM('OD-APUMA(Val)'!C18:AQ18)</f>
        <v>59358</v>
      </c>
      <c r="AS18" s="0" t="n">
        <f aca="false">MAX('OD-APUMA(Val)'!C18:AQ18)</f>
        <v>49543</v>
      </c>
      <c r="AT18" s="2" t="n">
        <f aca="false">SUM(C18:AQ18)/AR18</f>
        <v>0.0504996935420907</v>
      </c>
      <c r="AU18" s="3" t="n">
        <f aca="false">AT18^4</f>
        <v>6.50361719199185E-006</v>
      </c>
    </row>
    <row r="19" customFormat="false" ht="12.75" hidden="false" customHeight="false" outlineLevel="0" collapsed="false">
      <c r="A19" s="0" t="n">
        <v>27</v>
      </c>
      <c r="B19" s="0" t="n">
        <v>78299</v>
      </c>
      <c r="C19" s="1" t="n">
        <f aca="false">'OD-APUMA(Val)'!C19*C$49</f>
        <v>0</v>
      </c>
      <c r="D19" s="1" t="n">
        <f aca="false">'OD-APUMA(Val)'!D19*D$49</f>
        <v>0</v>
      </c>
      <c r="E19" s="1" t="n">
        <f aca="false">'OD-APUMA(Val)'!E19*E$49</f>
        <v>0</v>
      </c>
      <c r="F19" s="1" t="n">
        <f aca="false">'OD-APUMA(Val)'!F19*F$49</f>
        <v>0</v>
      </c>
      <c r="G19" s="1" t="n">
        <f aca="false">'OD-APUMA(Val)'!G19*G$49</f>
        <v>0</v>
      </c>
      <c r="H19" s="1" t="n">
        <f aca="false">'OD-APUMA(Val)'!H19*H$49</f>
        <v>0</v>
      </c>
      <c r="I19" s="1" t="n">
        <f aca="false">'OD-APUMA(Val)'!I19*I$49</f>
        <v>0</v>
      </c>
      <c r="J19" s="1" t="n">
        <f aca="false">'OD-APUMA(Val)'!J19*J$49</f>
        <v>0</v>
      </c>
      <c r="K19" s="1" t="n">
        <f aca="false">'OD-APUMA(Val)'!K19*K$49</f>
        <v>55.3491842872024</v>
      </c>
      <c r="L19" s="1" t="n">
        <f aca="false">'OD-APUMA(Val)'!L19*L$49</f>
        <v>0</v>
      </c>
      <c r="M19" s="1" t="n">
        <f aca="false">'OD-APUMA(Val)'!M19*M$49</f>
        <v>0</v>
      </c>
      <c r="N19" s="1" t="n">
        <f aca="false">'OD-APUMA(Val)'!N19*N$49</f>
        <v>0</v>
      </c>
      <c r="O19" s="1" t="n">
        <f aca="false">'OD-APUMA(Val)'!O19*O$49</f>
        <v>0</v>
      </c>
      <c r="P19" s="1" t="n">
        <f aca="false">'OD-APUMA(Val)'!P19*P$49</f>
        <v>0</v>
      </c>
      <c r="Q19" s="1" t="n">
        <f aca="false">'OD-APUMA(Val)'!Q19*Q$49</f>
        <v>0</v>
      </c>
      <c r="R19" s="1" t="n">
        <f aca="false">'OD-APUMA(Val)'!R19*R$49</f>
        <v>22.3390185053367</v>
      </c>
      <c r="S19" s="1" t="n">
        <v>0</v>
      </c>
      <c r="T19" s="1" t="n">
        <f aca="false">'OD-APUMA(Val)'!T19*T$49</f>
        <v>57.6239995360204</v>
      </c>
      <c r="U19" s="1" t="n">
        <f aca="false">'OD-APUMA(Val)'!U19*U$49</f>
        <v>20.1537285321394</v>
      </c>
      <c r="V19" s="1" t="n">
        <f aca="false">'OD-APUMA(Val)'!V19*V$49</f>
        <v>2.31057822676507</v>
      </c>
      <c r="W19" s="1" t="n">
        <f aca="false">'OD-APUMA(Val)'!W19*W$49</f>
        <v>1.87904930682859</v>
      </c>
      <c r="X19" s="1" t="n">
        <f aca="false">'OD-APUMA(Val)'!X19*X$49</f>
        <v>39.3906365002445</v>
      </c>
      <c r="Y19" s="1" t="n">
        <f aca="false">'OD-APUMA(Val)'!Y19*Y$49</f>
        <v>0.0133707396094064</v>
      </c>
      <c r="Z19" s="1" t="n">
        <f aca="false">'OD-APUMA(Val)'!Z19*Z$49</f>
        <v>0</v>
      </c>
      <c r="AA19" s="1" t="n">
        <f aca="false">'OD-APUMA(Val)'!AA19*AA$49</f>
        <v>91</v>
      </c>
      <c r="AB19" s="1" t="n">
        <f aca="false">'OD-APUMA(Val)'!AB19*AB$49</f>
        <v>91</v>
      </c>
      <c r="AC19" s="1" t="n">
        <f aca="false">'OD-APUMA(Val)'!AC19*AC$49</f>
        <v>211.400168281515</v>
      </c>
      <c r="AD19" s="1" t="n">
        <f aca="false">'OD-APUMA(Val)'!AD19*AD$49</f>
        <v>4.12280367274222</v>
      </c>
      <c r="AE19" s="1" t="n">
        <f aca="false">'OD-APUMA(Val)'!AE19*AE$49</f>
        <v>8.12048805847718</v>
      </c>
      <c r="AF19" s="1" t="n">
        <f aca="false">'OD-APUMA(Val)'!AF19*AF$49</f>
        <v>26.125815913865</v>
      </c>
      <c r="AG19" s="1" t="n">
        <f aca="false">'OD-APUMA(Val)'!AG19*AG$49</f>
        <v>0</v>
      </c>
      <c r="AH19" s="1" t="n">
        <f aca="false">'OD-APUMA(Val)'!AH19*AH$49</f>
        <v>0</v>
      </c>
      <c r="AI19" s="1" t="n">
        <f aca="false">'OD-APUMA(Val)'!AI19*AI$49</f>
        <v>0</v>
      </c>
      <c r="AJ19" s="1" t="n">
        <f aca="false">'OD-APUMA(Val)'!AJ19*AJ$49</f>
        <v>0</v>
      </c>
      <c r="AK19" s="1" t="n">
        <f aca="false">'OD-APUMA(Val)'!AK19*AK$49</f>
        <v>0</v>
      </c>
      <c r="AL19" s="1" t="n">
        <f aca="false">'OD-APUMA(Val)'!AL19*AL$49</f>
        <v>25.9293737237622</v>
      </c>
      <c r="AM19" s="1" t="n">
        <f aca="false">'OD-APUMA(Val)'!AM19*AM$49</f>
        <v>633.9181182531</v>
      </c>
      <c r="AN19" s="1" t="n">
        <f aca="false">'OD-APUMA(Val)'!AN19*AN$49</f>
        <v>91</v>
      </c>
      <c r="AO19" s="1" t="n">
        <f aca="false">'OD-APUMA(Val)'!AO19*AO$49</f>
        <v>0</v>
      </c>
      <c r="AP19" s="1" t="n">
        <f aca="false">'OD-APUMA(Val)'!AP19*AP$49</f>
        <v>22.9048934509715</v>
      </c>
      <c r="AQ19" s="1" t="n">
        <f aca="false">'OD-APUMA(Val)'!AQ19*AQ$49</f>
        <v>0</v>
      </c>
      <c r="AR19" s="0" t="n">
        <f aca="false">SUM('OD-APUMA(Val)'!C19:AQ19)</f>
        <v>50674</v>
      </c>
      <c r="AS19" s="0" t="n">
        <f aca="false">MAX('OD-APUMA(Val)'!C19:AQ19)</f>
        <v>34346</v>
      </c>
      <c r="AT19" s="2" t="n">
        <f aca="false">SUM(C19:AQ19)/AR19</f>
        <v>0.0277179860873146</v>
      </c>
      <c r="AU19" s="3" t="n">
        <f aca="false">AT19^4</f>
        <v>5.90264534430496E-007</v>
      </c>
    </row>
    <row r="20" customFormat="false" ht="12.75" hidden="false" customHeight="false" outlineLevel="0" collapsed="false">
      <c r="A20" s="0" t="n">
        <v>30</v>
      </c>
      <c r="B20" s="0" t="n">
        <v>108225</v>
      </c>
      <c r="C20" s="1" t="n">
        <f aca="false">'OD-APUMA(Val)'!C20*C$49</f>
        <v>0</v>
      </c>
      <c r="D20" s="1" t="n">
        <f aca="false">'OD-APUMA(Val)'!D20*D$49</f>
        <v>0</v>
      </c>
      <c r="E20" s="1" t="n">
        <f aca="false">'OD-APUMA(Val)'!E20*E$49</f>
        <v>0</v>
      </c>
      <c r="F20" s="1" t="n">
        <f aca="false">'OD-APUMA(Val)'!F20*F$49</f>
        <v>0</v>
      </c>
      <c r="G20" s="1" t="n">
        <f aca="false">'OD-APUMA(Val)'!G20*G$49</f>
        <v>0</v>
      </c>
      <c r="H20" s="1" t="n">
        <f aca="false">'OD-APUMA(Val)'!H20*H$49</f>
        <v>0</v>
      </c>
      <c r="I20" s="1" t="n">
        <f aca="false">'OD-APUMA(Val)'!I20*I$49</f>
        <v>0</v>
      </c>
      <c r="J20" s="1" t="n">
        <f aca="false">'OD-APUMA(Val)'!J20*J$49</f>
        <v>0</v>
      </c>
      <c r="K20" s="1" t="n">
        <f aca="false">'OD-APUMA(Val)'!K20*K$49</f>
        <v>0</v>
      </c>
      <c r="L20" s="1" t="n">
        <f aca="false">'OD-APUMA(Val)'!L20*L$49</f>
        <v>0</v>
      </c>
      <c r="M20" s="1" t="n">
        <f aca="false">'OD-APUMA(Val)'!M20*M$49</f>
        <v>0</v>
      </c>
      <c r="N20" s="1" t="n">
        <f aca="false">'OD-APUMA(Val)'!N20*N$49</f>
        <v>0</v>
      </c>
      <c r="O20" s="1" t="n">
        <f aca="false">'OD-APUMA(Val)'!O20*O$49</f>
        <v>0</v>
      </c>
      <c r="P20" s="1" t="n">
        <f aca="false">'OD-APUMA(Val)'!P20*P$49</f>
        <v>107.593339931964</v>
      </c>
      <c r="Q20" s="1" t="n">
        <f aca="false">'OD-APUMA(Val)'!Q20*Q$49</f>
        <v>0</v>
      </c>
      <c r="R20" s="1" t="n">
        <f aca="false">'OD-APUMA(Val)'!R20*R$49</f>
        <v>0</v>
      </c>
      <c r="S20" s="1" t="n">
        <f aca="false">'OD-APUMA(Val)'!S20*S$49</f>
        <v>185.686190769434</v>
      </c>
      <c r="T20" s="1" t="n">
        <v>0</v>
      </c>
      <c r="U20" s="1" t="n">
        <f aca="false">'OD-APUMA(Val)'!U20*U$49</f>
        <v>25.1921606651742</v>
      </c>
      <c r="V20" s="1" t="n">
        <f aca="false">'OD-APUMA(Val)'!V20*V$49</f>
        <v>0</v>
      </c>
      <c r="W20" s="1" t="n">
        <f aca="false">'OD-APUMA(Val)'!W20*W$49</f>
        <v>0</v>
      </c>
      <c r="X20" s="1" t="n">
        <f aca="false">'OD-APUMA(Val)'!X20*X$49</f>
        <v>0</v>
      </c>
      <c r="Y20" s="1" t="n">
        <f aca="false">'OD-APUMA(Val)'!Y20*Y$49</f>
        <v>0</v>
      </c>
      <c r="Z20" s="1" t="n">
        <f aca="false">'OD-APUMA(Val)'!Z20*Z$49</f>
        <v>0</v>
      </c>
      <c r="AA20" s="1" t="n">
        <f aca="false">'OD-APUMA(Val)'!AA20*AA$49</f>
        <v>52</v>
      </c>
      <c r="AB20" s="1" t="n">
        <f aca="false">'OD-APUMA(Val)'!AB20*AB$49</f>
        <v>0</v>
      </c>
      <c r="AC20" s="1" t="n">
        <f aca="false">'OD-APUMA(Val)'!AC20*AC$49</f>
        <v>15.8460092067916</v>
      </c>
      <c r="AD20" s="1" t="n">
        <f aca="false">'OD-APUMA(Val)'!AD20*AD$49</f>
        <v>0</v>
      </c>
      <c r="AE20" s="1" t="n">
        <f aca="false">'OD-APUMA(Val)'!AE20*AE$49</f>
        <v>0</v>
      </c>
      <c r="AF20" s="1" t="n">
        <f aca="false">'OD-APUMA(Val)'!AF20*AF$49</f>
        <v>0</v>
      </c>
      <c r="AG20" s="1" t="n">
        <f aca="false">'OD-APUMA(Val)'!AG20*AG$49</f>
        <v>0</v>
      </c>
      <c r="AH20" s="1" t="n">
        <f aca="false">'OD-APUMA(Val)'!AH20*AH$49</f>
        <v>0</v>
      </c>
      <c r="AI20" s="1" t="n">
        <f aca="false">'OD-APUMA(Val)'!AI20*AI$49</f>
        <v>0</v>
      </c>
      <c r="AJ20" s="1" t="n">
        <f aca="false">'OD-APUMA(Val)'!AJ20*AJ$49</f>
        <v>0</v>
      </c>
      <c r="AK20" s="1" t="n">
        <f aca="false">'OD-APUMA(Val)'!AK20*AK$49</f>
        <v>0</v>
      </c>
      <c r="AL20" s="1" t="n">
        <f aca="false">'OD-APUMA(Val)'!AL20*AL$49</f>
        <v>33.3377662162657</v>
      </c>
      <c r="AM20" s="1" t="n">
        <f aca="false">'OD-APUMA(Val)'!AM20*AM$49</f>
        <v>146.443109596444</v>
      </c>
      <c r="AN20" s="1" t="n">
        <f aca="false">'OD-APUMA(Val)'!AN20*AN$49</f>
        <v>0</v>
      </c>
      <c r="AO20" s="1" t="n">
        <f aca="false">'OD-APUMA(Val)'!AO20*AO$49</f>
        <v>0</v>
      </c>
      <c r="AP20" s="1" t="n">
        <f aca="false">'OD-APUMA(Val)'!AP20*AP$49</f>
        <v>453.516890329235</v>
      </c>
      <c r="AQ20" s="1" t="n">
        <f aca="false">'OD-APUMA(Val)'!AQ20*AQ$49</f>
        <v>0</v>
      </c>
      <c r="AR20" s="0" t="n">
        <f aca="false">SUM('OD-APUMA(Val)'!C20:AQ20)</f>
        <v>68432</v>
      </c>
      <c r="AS20" s="0" t="n">
        <f aca="false">MAX('OD-APUMA(Val)'!C20:AQ20)</f>
        <v>59956</v>
      </c>
      <c r="AT20" s="2" t="n">
        <f aca="false">SUM(C20:AQ20)/AR20</f>
        <v>0.0148996882557182</v>
      </c>
      <c r="AU20" s="3" t="n">
        <f aca="false">AT20^4</f>
        <v>4.92843152927129E-008</v>
      </c>
    </row>
    <row r="21" customFormat="false" ht="12.75" hidden="false" customHeight="false" outlineLevel="0" collapsed="false">
      <c r="A21" s="0" t="n">
        <v>31</v>
      </c>
      <c r="B21" s="0" t="n">
        <v>63609</v>
      </c>
      <c r="C21" s="1" t="n">
        <f aca="false">'OD-APUMA(Val)'!C21*C$49</f>
        <v>0</v>
      </c>
      <c r="D21" s="1" t="n">
        <f aca="false">'OD-APUMA(Val)'!D21*D$49</f>
        <v>0</v>
      </c>
      <c r="E21" s="1" t="n">
        <f aca="false">'OD-APUMA(Val)'!E21*E$49</f>
        <v>0</v>
      </c>
      <c r="F21" s="1" t="n">
        <f aca="false">'OD-APUMA(Val)'!F21*F$49</f>
        <v>0</v>
      </c>
      <c r="G21" s="1" t="n">
        <f aca="false">'OD-APUMA(Val)'!G21*G$49</f>
        <v>0</v>
      </c>
      <c r="H21" s="1" t="n">
        <f aca="false">'OD-APUMA(Val)'!H21*H$49</f>
        <v>0</v>
      </c>
      <c r="I21" s="1" t="n">
        <f aca="false">'OD-APUMA(Val)'!I21*I$49</f>
        <v>0</v>
      </c>
      <c r="J21" s="1" t="n">
        <f aca="false">'OD-APUMA(Val)'!J21*J$49</f>
        <v>0</v>
      </c>
      <c r="K21" s="1" t="n">
        <f aca="false">'OD-APUMA(Val)'!K21*K$49</f>
        <v>0</v>
      </c>
      <c r="L21" s="1" t="n">
        <f aca="false">'OD-APUMA(Val)'!L21*L$49</f>
        <v>0</v>
      </c>
      <c r="M21" s="1" t="n">
        <f aca="false">'OD-APUMA(Val)'!M21*M$49</f>
        <v>0</v>
      </c>
      <c r="N21" s="1" t="n">
        <f aca="false">'OD-APUMA(Val)'!N21*N$49</f>
        <v>0</v>
      </c>
      <c r="O21" s="1" t="n">
        <f aca="false">'OD-APUMA(Val)'!O21*O$49</f>
        <v>0</v>
      </c>
      <c r="P21" s="1" t="n">
        <f aca="false">'OD-APUMA(Val)'!P21*P$49</f>
        <v>0</v>
      </c>
      <c r="Q21" s="1" t="n">
        <f aca="false">'OD-APUMA(Val)'!Q21*Q$49</f>
        <v>0</v>
      </c>
      <c r="R21" s="1" t="n">
        <f aca="false">'OD-APUMA(Val)'!R21*R$49</f>
        <v>0</v>
      </c>
      <c r="S21" s="1" t="n">
        <f aca="false">'OD-APUMA(Val)'!S21*S$49</f>
        <v>0</v>
      </c>
      <c r="T21" s="1" t="n">
        <f aca="false">'OD-APUMA(Val)'!T21*T$49</f>
        <v>0</v>
      </c>
      <c r="U21" s="1" t="n">
        <v>0</v>
      </c>
      <c r="V21" s="1" t="n">
        <f aca="false">'OD-APUMA(Val)'!V21*V$49</f>
        <v>3.46586734014761</v>
      </c>
      <c r="W21" s="1" t="n">
        <f aca="false">'OD-APUMA(Val)'!W21*W$49</f>
        <v>20.4816374444316</v>
      </c>
      <c r="X21" s="1" t="n">
        <f aca="false">'OD-APUMA(Val)'!X21*X$49</f>
        <v>0</v>
      </c>
      <c r="Y21" s="1" t="n">
        <f aca="false">'OD-APUMA(Val)'!Y21*Y$49</f>
        <v>0</v>
      </c>
      <c r="Z21" s="1" t="n">
        <f aca="false">'OD-APUMA(Val)'!Z21*Z$49</f>
        <v>22.5187797410771</v>
      </c>
      <c r="AA21" s="1" t="n">
        <f aca="false">'OD-APUMA(Val)'!AA21*AA$49</f>
        <v>169</v>
      </c>
      <c r="AB21" s="1" t="n">
        <f aca="false">'OD-APUMA(Val)'!AB21*AB$49</f>
        <v>0</v>
      </c>
      <c r="AC21" s="1" t="n">
        <f aca="false">'OD-APUMA(Val)'!AC21*AC$49</f>
        <v>68.7860854203907</v>
      </c>
      <c r="AD21" s="1" t="n">
        <f aca="false">'OD-APUMA(Val)'!AD21*AD$49</f>
        <v>7.12120634382747</v>
      </c>
      <c r="AE21" s="1" t="n">
        <f aca="false">'OD-APUMA(Val)'!AE21*AE$49</f>
        <v>8.12048805847718</v>
      </c>
      <c r="AF21" s="1" t="n">
        <f aca="false">'OD-APUMA(Val)'!AF21*AF$49</f>
        <v>0</v>
      </c>
      <c r="AG21" s="1" t="n">
        <f aca="false">'OD-APUMA(Val)'!AG21*AG$49</f>
        <v>0</v>
      </c>
      <c r="AH21" s="1" t="n">
        <f aca="false">'OD-APUMA(Val)'!AH21*AH$49</f>
        <v>0</v>
      </c>
      <c r="AI21" s="1" t="n">
        <f aca="false">'OD-APUMA(Val)'!AI21*AI$49</f>
        <v>0</v>
      </c>
      <c r="AJ21" s="1" t="n">
        <f aca="false">'OD-APUMA(Val)'!AJ21*AJ$49</f>
        <v>0</v>
      </c>
      <c r="AK21" s="1" t="n">
        <f aca="false">'OD-APUMA(Val)'!AK21*AK$49</f>
        <v>0</v>
      </c>
      <c r="AL21" s="1" t="n">
        <f aca="false">'OD-APUMA(Val)'!AL21*AL$49</f>
        <v>0</v>
      </c>
      <c r="AM21" s="1" t="n">
        <f aca="false">'OD-APUMA(Val)'!AM21*AM$49</f>
        <v>16.0485599557747</v>
      </c>
      <c r="AN21" s="1" t="n">
        <f aca="false">'OD-APUMA(Val)'!AN21*AN$49</f>
        <v>0</v>
      </c>
      <c r="AO21" s="1" t="n">
        <f aca="false">'OD-APUMA(Val)'!AO21*AO$49</f>
        <v>0</v>
      </c>
      <c r="AP21" s="1" t="n">
        <f aca="false">'OD-APUMA(Val)'!AP21*AP$49</f>
        <v>0</v>
      </c>
      <c r="AQ21" s="1" t="n">
        <f aca="false">'OD-APUMA(Val)'!AQ21*AQ$49</f>
        <v>0</v>
      </c>
      <c r="AR21" s="0" t="n">
        <f aca="false">SUM('OD-APUMA(Val)'!C21:AQ21)</f>
        <v>35698</v>
      </c>
      <c r="AS21" s="0" t="n">
        <f aca="false">MAX('OD-APUMA(Val)'!C21:AQ21)</f>
        <v>30563</v>
      </c>
      <c r="AT21" s="2" t="n">
        <f aca="false">SUM(C21:AQ21)/AR21</f>
        <v>0.00883922416673557</v>
      </c>
      <c r="AU21" s="3" t="n">
        <f aca="false">AT21^4</f>
        <v>6.10459127704425E-009</v>
      </c>
    </row>
    <row r="22" customFormat="false" ht="12.75" hidden="false" customHeight="false" outlineLevel="0" collapsed="false">
      <c r="A22" s="0" t="n">
        <v>32</v>
      </c>
      <c r="B22" s="0" t="n">
        <v>187317</v>
      </c>
      <c r="C22" s="1" t="n">
        <f aca="false">'OD-APUMA(Val)'!C22*C$49</f>
        <v>0</v>
      </c>
      <c r="D22" s="1" t="n">
        <f aca="false">'OD-APUMA(Val)'!D22*D$49</f>
        <v>0</v>
      </c>
      <c r="E22" s="1" t="n">
        <f aca="false">'OD-APUMA(Val)'!E22*E$49</f>
        <v>5.09527449183673</v>
      </c>
      <c r="F22" s="1" t="n">
        <f aca="false">'OD-APUMA(Val)'!F22*F$49</f>
        <v>0</v>
      </c>
      <c r="G22" s="1" t="n">
        <f aca="false">'OD-APUMA(Val)'!G22*G$49</f>
        <v>0</v>
      </c>
      <c r="H22" s="1" t="n">
        <f aca="false">'OD-APUMA(Val)'!H22*H$49</f>
        <v>0</v>
      </c>
      <c r="I22" s="1" t="n">
        <f aca="false">'OD-APUMA(Val)'!I22*I$49</f>
        <v>0</v>
      </c>
      <c r="J22" s="1" t="n">
        <f aca="false">'OD-APUMA(Val)'!J22*J$49</f>
        <v>0</v>
      </c>
      <c r="K22" s="1" t="n">
        <f aca="false">'OD-APUMA(Val)'!K22*K$49</f>
        <v>0</v>
      </c>
      <c r="L22" s="1" t="n">
        <f aca="false">'OD-APUMA(Val)'!L22*L$49</f>
        <v>0</v>
      </c>
      <c r="M22" s="1" t="n">
        <f aca="false">'OD-APUMA(Val)'!M22*M$49</f>
        <v>0</v>
      </c>
      <c r="N22" s="1" t="n">
        <f aca="false">'OD-APUMA(Val)'!N22*N$49</f>
        <v>0</v>
      </c>
      <c r="O22" s="1" t="n">
        <f aca="false">'OD-APUMA(Val)'!O22*O$49</f>
        <v>0</v>
      </c>
      <c r="P22" s="1" t="n">
        <f aca="false">'OD-APUMA(Val)'!P22*P$49</f>
        <v>0</v>
      </c>
      <c r="Q22" s="1" t="n">
        <f aca="false">'OD-APUMA(Val)'!Q22*Q$49</f>
        <v>377</v>
      </c>
      <c r="R22" s="1" t="n">
        <f aca="false">'OD-APUMA(Val)'!R22*R$49</f>
        <v>0</v>
      </c>
      <c r="S22" s="1" t="n">
        <f aca="false">'OD-APUMA(Val)'!S22*S$49</f>
        <v>0</v>
      </c>
      <c r="T22" s="1" t="n">
        <f aca="false">'OD-APUMA(Val)'!T22*T$49</f>
        <v>0.677929406306123</v>
      </c>
      <c r="U22" s="1" t="n">
        <f aca="false">'OD-APUMA(Val)'!U22*U$49</f>
        <v>0</v>
      </c>
      <c r="V22" s="1" t="n">
        <v>0</v>
      </c>
      <c r="W22" s="1" t="n">
        <f aca="false">'OD-APUMA(Val)'!W22*W$49</f>
        <v>0</v>
      </c>
      <c r="X22" s="1" t="n">
        <f aca="false">'OD-APUMA(Val)'!X22*X$49</f>
        <v>0</v>
      </c>
      <c r="Y22" s="1" t="n">
        <f aca="false">'OD-APUMA(Val)'!Y22*Y$49</f>
        <v>0</v>
      </c>
      <c r="Z22" s="1" t="n">
        <f aca="false">'OD-APUMA(Val)'!Z22*Z$49</f>
        <v>226.920011237008</v>
      </c>
      <c r="AA22" s="1" t="n">
        <f aca="false">'OD-APUMA(Val)'!AA22*AA$49</f>
        <v>156</v>
      </c>
      <c r="AB22" s="1" t="n">
        <f aca="false">'OD-APUMA(Val)'!AB22*AB$49</f>
        <v>0</v>
      </c>
      <c r="AC22" s="1" t="n">
        <f aca="false">'OD-APUMA(Val)'!AC22*AC$49</f>
        <v>3.96150230169789</v>
      </c>
      <c r="AD22" s="1" t="n">
        <f aca="false">'OD-APUMA(Val)'!AD22*AD$49</f>
        <v>0</v>
      </c>
      <c r="AE22" s="1" t="n">
        <f aca="false">'OD-APUMA(Val)'!AE22*AE$49</f>
        <v>142.68857588467</v>
      </c>
      <c r="AF22" s="1" t="n">
        <f aca="false">'OD-APUMA(Val)'!AF22*AF$49</f>
        <v>4.0981672021749</v>
      </c>
      <c r="AG22" s="1" t="n">
        <f aca="false">'OD-APUMA(Val)'!AG22*AG$49</f>
        <v>12.1462649458024</v>
      </c>
      <c r="AH22" s="1" t="n">
        <f aca="false">'OD-APUMA(Val)'!AH22*AH$49</f>
        <v>27.2156876176539</v>
      </c>
      <c r="AI22" s="1" t="n">
        <f aca="false">'OD-APUMA(Val)'!AI22*AI$49</f>
        <v>0</v>
      </c>
      <c r="AJ22" s="1" t="n">
        <f aca="false">'OD-APUMA(Val)'!AJ22*AJ$49</f>
        <v>94.3957079258232</v>
      </c>
      <c r="AK22" s="1" t="n">
        <f aca="false">'OD-APUMA(Val)'!AK22*AK$49</f>
        <v>0</v>
      </c>
      <c r="AL22" s="1" t="n">
        <f aca="false">'OD-APUMA(Val)'!AL22*AL$49</f>
        <v>0</v>
      </c>
      <c r="AM22" s="1" t="n">
        <f aca="false">'OD-APUMA(Val)'!AM22*AM$49</f>
        <v>16.0485599557747</v>
      </c>
      <c r="AN22" s="1" t="n">
        <f aca="false">'OD-APUMA(Val)'!AN22*AN$49</f>
        <v>0</v>
      </c>
      <c r="AO22" s="1" t="n">
        <f aca="false">'OD-APUMA(Val)'!AO22*AO$49</f>
        <v>0</v>
      </c>
      <c r="AP22" s="1" t="n">
        <f aca="false">'OD-APUMA(Val)'!AP22*AP$49</f>
        <v>0</v>
      </c>
      <c r="AQ22" s="1" t="n">
        <f aca="false">'OD-APUMA(Val)'!AQ22*AQ$49</f>
        <v>152.132687643386</v>
      </c>
      <c r="AR22" s="0" t="n">
        <f aca="false">SUM('OD-APUMA(Val)'!C22:AQ22)</f>
        <v>180141</v>
      </c>
      <c r="AS22" s="0" t="n">
        <f aca="false">MAX('OD-APUMA(Val)'!C22:AQ22)</f>
        <v>169559</v>
      </c>
      <c r="AT22" s="2" t="n">
        <f aca="false">SUM(C22:AQ22)/AR22</f>
        <v>0.00676348176490713</v>
      </c>
      <c r="AU22" s="3" t="n">
        <f aca="false">AT22^4</f>
        <v>2.09257625920017E-009</v>
      </c>
    </row>
    <row r="23" customFormat="false" ht="12.75" hidden="false" customHeight="false" outlineLevel="0" collapsed="false">
      <c r="A23" s="0" t="n">
        <v>75</v>
      </c>
      <c r="B23" s="0" t="n">
        <v>192426</v>
      </c>
      <c r="C23" s="1" t="n">
        <f aca="false">'OD-APUMA(Val)'!C23*C$49</f>
        <v>0</v>
      </c>
      <c r="D23" s="1" t="n">
        <f aca="false">'OD-APUMA(Val)'!D23*D$49</f>
        <v>6.52155102173257</v>
      </c>
      <c r="E23" s="1" t="n">
        <f aca="false">'OD-APUMA(Val)'!E23*E$49</f>
        <v>0</v>
      </c>
      <c r="F23" s="1" t="n">
        <f aca="false">'OD-APUMA(Val)'!F23*F$49</f>
        <v>0</v>
      </c>
      <c r="G23" s="1" t="n">
        <f aca="false">'OD-APUMA(Val)'!G23*G$49</f>
        <v>0</v>
      </c>
      <c r="H23" s="1" t="n">
        <f aca="false">'OD-APUMA(Val)'!H23*H$49</f>
        <v>0</v>
      </c>
      <c r="I23" s="1" t="n">
        <f aca="false">'OD-APUMA(Val)'!I23*I$49</f>
        <v>0</v>
      </c>
      <c r="J23" s="1" t="n">
        <f aca="false">'OD-APUMA(Val)'!J23*J$49</f>
        <v>0</v>
      </c>
      <c r="K23" s="1" t="n">
        <f aca="false">'OD-APUMA(Val)'!K23*K$49</f>
        <v>0</v>
      </c>
      <c r="L23" s="1" t="n">
        <f aca="false">'OD-APUMA(Val)'!L23*L$49</f>
        <v>0</v>
      </c>
      <c r="M23" s="1" t="n">
        <f aca="false">'OD-APUMA(Val)'!M23*M$49</f>
        <v>0</v>
      </c>
      <c r="N23" s="1" t="n">
        <f aca="false">'OD-APUMA(Val)'!N23*N$49</f>
        <v>0</v>
      </c>
      <c r="O23" s="1" t="n">
        <f aca="false">'OD-APUMA(Val)'!O23*O$49</f>
        <v>0</v>
      </c>
      <c r="P23" s="1" t="n">
        <f aca="false">'OD-APUMA(Val)'!P23*P$49</f>
        <v>53.7966699659821</v>
      </c>
      <c r="Q23" s="1" t="n">
        <f aca="false">'OD-APUMA(Val)'!Q23*Q$49</f>
        <v>0</v>
      </c>
      <c r="R23" s="1" t="n">
        <f aca="false">'OD-APUMA(Val)'!R23*R$49</f>
        <v>0</v>
      </c>
      <c r="S23" s="1" t="n">
        <f aca="false">'OD-APUMA(Val)'!S23*S$49</f>
        <v>0</v>
      </c>
      <c r="T23" s="1" t="n">
        <f aca="false">'OD-APUMA(Val)'!T23*T$49</f>
        <v>0</v>
      </c>
      <c r="U23" s="1" t="n">
        <f aca="false">'OD-APUMA(Val)'!U23*U$49</f>
        <v>285.511154205308</v>
      </c>
      <c r="V23" s="1" t="n">
        <f aca="false">'OD-APUMA(Val)'!V23*V$49</f>
        <v>0</v>
      </c>
      <c r="W23" s="1" t="n">
        <v>0</v>
      </c>
      <c r="X23" s="1" t="n">
        <f aca="false">'OD-APUMA(Val)'!X23*X$49</f>
        <v>0</v>
      </c>
      <c r="Y23" s="1" t="n">
        <f aca="false">'OD-APUMA(Val)'!Y23*Y$49</f>
        <v>0</v>
      </c>
      <c r="Z23" s="1" t="n">
        <f aca="false">'OD-APUMA(Val)'!Z23*Z$49</f>
        <v>2.88702304372784</v>
      </c>
      <c r="AA23" s="1" t="n">
        <f aca="false">'OD-APUMA(Val)'!AA23*AA$49</f>
        <v>0</v>
      </c>
      <c r="AB23" s="1" t="n">
        <f aca="false">'OD-APUMA(Val)'!AB23*AB$49</f>
        <v>91</v>
      </c>
      <c r="AC23" s="1" t="n">
        <f aca="false">'OD-APUMA(Val)'!AC23*AC$49</f>
        <v>155.939136057744</v>
      </c>
      <c r="AD23" s="1" t="n">
        <f aca="false">'OD-APUMA(Val)'!AD23*AD$49</f>
        <v>75.7096674449026</v>
      </c>
      <c r="AE23" s="1" t="n">
        <f aca="false">'OD-APUMA(Val)'!AE23*AE$49</f>
        <v>44.0826494603047</v>
      </c>
      <c r="AF23" s="1" t="n">
        <f aca="false">'OD-APUMA(Val)'!AF23*AF$49</f>
        <v>1.28067725067966</v>
      </c>
      <c r="AG23" s="1" t="n">
        <f aca="false">'OD-APUMA(Val)'!AG23*AG$49</f>
        <v>36.4387948374073</v>
      </c>
      <c r="AH23" s="1" t="n">
        <f aca="false">'OD-APUMA(Val)'!AH23*AH$49</f>
        <v>22.6797396813783</v>
      </c>
      <c r="AI23" s="1" t="n">
        <f aca="false">'OD-APUMA(Val)'!AI23*AI$49</f>
        <v>0</v>
      </c>
      <c r="AJ23" s="1" t="n">
        <f aca="false">'OD-APUMA(Val)'!AJ23*AJ$49</f>
        <v>0</v>
      </c>
      <c r="AK23" s="1" t="n">
        <f aca="false">'OD-APUMA(Val)'!AK23*AK$49</f>
        <v>0</v>
      </c>
      <c r="AL23" s="1" t="n">
        <f aca="false">'OD-APUMA(Val)'!AL23*AL$49</f>
        <v>33.3377662162657</v>
      </c>
      <c r="AM23" s="1" t="n">
        <f aca="false">'OD-APUMA(Val)'!AM23*AM$49</f>
        <v>14.0424899613029</v>
      </c>
      <c r="AN23" s="1" t="n">
        <f aca="false">'OD-APUMA(Val)'!AN23*AN$49</f>
        <v>0</v>
      </c>
      <c r="AO23" s="1" t="n">
        <f aca="false">'OD-APUMA(Val)'!AO23*AO$49</f>
        <v>0</v>
      </c>
      <c r="AP23" s="1" t="n">
        <f aca="false">'OD-APUMA(Val)'!AP23*AP$49</f>
        <v>0</v>
      </c>
      <c r="AQ23" s="1" t="n">
        <f aca="false">'OD-APUMA(Val)'!AQ23*AQ$49</f>
        <v>0</v>
      </c>
      <c r="AR23" s="0" t="n">
        <f aca="false">SUM('OD-APUMA(Val)'!C23:AQ23)</f>
        <v>118170</v>
      </c>
      <c r="AS23" s="0" t="n">
        <f aca="false">MAX('OD-APUMA(Val)'!C23:AQ23)</f>
        <v>106184</v>
      </c>
      <c r="AT23" s="2" t="n">
        <f aca="false">SUM(C23:AQ23)/AR23</f>
        <v>0.00696646627017632</v>
      </c>
      <c r="AU23" s="3" t="n">
        <f aca="false">AT23^4</f>
        <v>2.35532127433761E-009</v>
      </c>
    </row>
    <row r="24" customFormat="false" ht="12.75" hidden="false" customHeight="false" outlineLevel="0" collapsed="false">
      <c r="A24" s="0" t="n">
        <v>76</v>
      </c>
      <c r="B24" s="0" t="n">
        <v>116324</v>
      </c>
      <c r="C24" s="1" t="n">
        <f aca="false">'OD-APUMA(Val)'!C24*C$49</f>
        <v>0</v>
      </c>
      <c r="D24" s="1" t="n">
        <f aca="false">'OD-APUMA(Val)'!D24*D$49</f>
        <v>0</v>
      </c>
      <c r="E24" s="1" t="n">
        <f aca="false">'OD-APUMA(Val)'!E24*E$49</f>
        <v>0</v>
      </c>
      <c r="F24" s="1" t="n">
        <f aca="false">'OD-APUMA(Val)'!F24*F$49</f>
        <v>9.72759061037255</v>
      </c>
      <c r="G24" s="1" t="n">
        <f aca="false">'OD-APUMA(Val)'!G24*G$49</f>
        <v>0</v>
      </c>
      <c r="H24" s="1" t="n">
        <f aca="false">'OD-APUMA(Val)'!H24*H$49</f>
        <v>0</v>
      </c>
      <c r="I24" s="1" t="n">
        <f aca="false">'OD-APUMA(Val)'!I24*I$49</f>
        <v>0</v>
      </c>
      <c r="J24" s="1" t="n">
        <f aca="false">'OD-APUMA(Val)'!J24*J$49</f>
        <v>0</v>
      </c>
      <c r="K24" s="1" t="n">
        <f aca="false">'OD-APUMA(Val)'!K24*K$49</f>
        <v>0</v>
      </c>
      <c r="L24" s="1" t="n">
        <f aca="false">'OD-APUMA(Val)'!L24*L$49</f>
        <v>0</v>
      </c>
      <c r="M24" s="1" t="n">
        <f aca="false">'OD-APUMA(Val)'!M24*M$49</f>
        <v>0</v>
      </c>
      <c r="N24" s="1" t="n">
        <f aca="false">'OD-APUMA(Val)'!N24*N$49</f>
        <v>0</v>
      </c>
      <c r="O24" s="1" t="n">
        <f aca="false">'OD-APUMA(Val)'!O24*O$49</f>
        <v>0</v>
      </c>
      <c r="P24" s="1" t="n">
        <f aca="false">'OD-APUMA(Val)'!P24*P$49</f>
        <v>338.15049692903</v>
      </c>
      <c r="Q24" s="1" t="n">
        <f aca="false">'OD-APUMA(Val)'!Q24*Q$49</f>
        <v>1534</v>
      </c>
      <c r="R24" s="1" t="n">
        <f aca="false">'OD-APUMA(Val)'!R24*R$49</f>
        <v>0</v>
      </c>
      <c r="S24" s="1" t="n">
        <f aca="false">'OD-APUMA(Val)'!S24*S$49</f>
        <v>15.3143250119121</v>
      </c>
      <c r="T24" s="1" t="n">
        <f aca="false">'OD-APUMA(Val)'!T24*T$49</f>
        <v>0</v>
      </c>
      <c r="U24" s="1" t="n">
        <f aca="false">'OD-APUMA(Val)'!U24*U$49</f>
        <v>0</v>
      </c>
      <c r="V24" s="1" t="n">
        <f aca="false">'OD-APUMA(Val)'!V24*V$49</f>
        <v>0</v>
      </c>
      <c r="W24" s="1" t="n">
        <f aca="false">'OD-APUMA(Val)'!W24*W$49</f>
        <v>0</v>
      </c>
      <c r="X24" s="1" t="n">
        <v>0</v>
      </c>
      <c r="Y24" s="1" t="n">
        <f aca="false">'OD-APUMA(Val)'!Y24*Y$49</f>
        <v>0</v>
      </c>
      <c r="Z24" s="1" t="n">
        <f aca="false">'OD-APUMA(Val)'!Z24*Z$49</f>
        <v>0</v>
      </c>
      <c r="AA24" s="1" t="n">
        <f aca="false">'OD-APUMA(Val)'!AA24*AA$49</f>
        <v>871</v>
      </c>
      <c r="AB24" s="1" t="n">
        <f aca="false">'OD-APUMA(Val)'!AB24*AB$49</f>
        <v>182</v>
      </c>
      <c r="AC24" s="1" t="n">
        <f aca="false">'OD-APUMA(Val)'!AC24*AC$49</f>
        <v>1.44054629152651</v>
      </c>
      <c r="AD24" s="1" t="n">
        <f aca="false">'OD-APUMA(Val)'!AD24*AD$49</f>
        <v>7.87080701159878</v>
      </c>
      <c r="AE24" s="1" t="n">
        <f aca="false">'OD-APUMA(Val)'!AE24*AE$49</f>
        <v>22.0413247301523</v>
      </c>
      <c r="AF24" s="1" t="n">
        <f aca="false">'OD-APUMA(Val)'!AF24*AF$49</f>
        <v>87.0860530462167</v>
      </c>
      <c r="AG24" s="1" t="n">
        <f aca="false">'OD-APUMA(Val)'!AG24*AG$49</f>
        <v>0</v>
      </c>
      <c r="AH24" s="1" t="n">
        <f aca="false">'OD-APUMA(Val)'!AH24*AH$49</f>
        <v>0</v>
      </c>
      <c r="AI24" s="1" t="n">
        <f aca="false">'OD-APUMA(Val)'!AI24*AI$49</f>
        <v>0</v>
      </c>
      <c r="AJ24" s="1" t="n">
        <f aca="false">'OD-APUMA(Val)'!AJ24*AJ$49</f>
        <v>0</v>
      </c>
      <c r="AK24" s="1" t="n">
        <f aca="false">'OD-APUMA(Val)'!AK24*AK$49</f>
        <v>0</v>
      </c>
      <c r="AL24" s="1" t="n">
        <f aca="false">'OD-APUMA(Val)'!AL24*AL$49</f>
        <v>0</v>
      </c>
      <c r="AM24" s="1" t="n">
        <f aca="false">'OD-APUMA(Val)'!AM24*AM$49</f>
        <v>2383.21115343254</v>
      </c>
      <c r="AN24" s="1" t="n">
        <f aca="false">'OD-APUMA(Val)'!AN24*AN$49</f>
        <v>0</v>
      </c>
      <c r="AO24" s="1" t="n">
        <f aca="false">'OD-APUMA(Val)'!AO24*AO$49</f>
        <v>0</v>
      </c>
      <c r="AP24" s="1" t="n">
        <f aca="false">'OD-APUMA(Val)'!AP24*AP$49</f>
        <v>9.16195738038859</v>
      </c>
      <c r="AQ24" s="1" t="n">
        <f aca="false">'OD-APUMA(Val)'!AQ24*AQ$49</f>
        <v>6.87050847421744</v>
      </c>
      <c r="AR24" s="0" t="n">
        <f aca="false">SUM('OD-APUMA(Val)'!C24:AQ24)</f>
        <v>112996</v>
      </c>
      <c r="AS24" s="0" t="n">
        <f aca="false">MAX('OD-APUMA(Val)'!C24:AQ24)</f>
        <v>88868</v>
      </c>
      <c r="AT24" s="2" t="n">
        <f aca="false">SUM(C24:AQ24)/AR24</f>
        <v>0.0483899851580406</v>
      </c>
      <c r="AU24" s="3" t="n">
        <f aca="false">AT24^4</f>
        <v>5.4830468358371E-006</v>
      </c>
    </row>
    <row r="25" customFormat="false" ht="12.75" hidden="false" customHeight="false" outlineLevel="0" collapsed="false">
      <c r="A25" s="0" t="n">
        <v>77</v>
      </c>
      <c r="B25" s="0" t="n">
        <v>73463</v>
      </c>
      <c r="C25" s="1" t="n">
        <f aca="false">'OD-APUMA(Val)'!C25*C$49</f>
        <v>0</v>
      </c>
      <c r="D25" s="1" t="n">
        <f aca="false">'OD-APUMA(Val)'!D25*D$49</f>
        <v>0</v>
      </c>
      <c r="E25" s="1" t="n">
        <f aca="false">'OD-APUMA(Val)'!E25*E$49</f>
        <v>0</v>
      </c>
      <c r="F25" s="1" t="n">
        <f aca="false">'OD-APUMA(Val)'!F25*F$49</f>
        <v>25.6454661546186</v>
      </c>
      <c r="G25" s="1" t="n">
        <f aca="false">'OD-APUMA(Val)'!G25*G$49</f>
        <v>0</v>
      </c>
      <c r="H25" s="1" t="n">
        <f aca="false">'OD-APUMA(Val)'!H25*H$49</f>
        <v>0</v>
      </c>
      <c r="I25" s="1" t="n">
        <f aca="false">'OD-APUMA(Val)'!I25*I$49</f>
        <v>0</v>
      </c>
      <c r="J25" s="1" t="n">
        <f aca="false">'OD-APUMA(Val)'!J25*J$49</f>
        <v>0</v>
      </c>
      <c r="K25" s="1" t="n">
        <f aca="false">'OD-APUMA(Val)'!K25*K$49</f>
        <v>0</v>
      </c>
      <c r="L25" s="1" t="n">
        <f aca="false">'OD-APUMA(Val)'!L25*L$49</f>
        <v>0</v>
      </c>
      <c r="M25" s="1" t="n">
        <f aca="false">'OD-APUMA(Val)'!M25*M$49</f>
        <v>0</v>
      </c>
      <c r="N25" s="1" t="n">
        <f aca="false">'OD-APUMA(Val)'!N25*N$49</f>
        <v>0</v>
      </c>
      <c r="O25" s="1" t="n">
        <f aca="false">'OD-APUMA(Val)'!O25*O$49</f>
        <v>39</v>
      </c>
      <c r="P25" s="1" t="n">
        <f aca="false">'OD-APUMA(Val)'!P25*P$49</f>
        <v>0</v>
      </c>
      <c r="Q25" s="1" t="n">
        <f aca="false">'OD-APUMA(Val)'!Q25*Q$49</f>
        <v>0</v>
      </c>
      <c r="R25" s="1" t="n">
        <f aca="false">'OD-APUMA(Val)'!R25*R$49</f>
        <v>0</v>
      </c>
      <c r="S25" s="1" t="n">
        <f aca="false">'OD-APUMA(Val)'!S25*S$49</f>
        <v>0</v>
      </c>
      <c r="T25" s="1" t="n">
        <f aca="false">'OD-APUMA(Val)'!T25*T$49</f>
        <v>0</v>
      </c>
      <c r="U25" s="1" t="n">
        <f aca="false">'OD-APUMA(Val)'!U25*U$49</f>
        <v>0</v>
      </c>
      <c r="V25" s="1" t="n">
        <f aca="false">'OD-APUMA(Val)'!V25*V$49</f>
        <v>0</v>
      </c>
      <c r="W25" s="1" t="n">
        <f aca="false">'OD-APUMA(Val)'!W25*W$49</f>
        <v>0</v>
      </c>
      <c r="X25" s="1" t="n">
        <f aca="false">'OD-APUMA(Val)'!X25*X$49</f>
        <v>0</v>
      </c>
      <c r="Y25" s="1" t="n">
        <v>0</v>
      </c>
      <c r="Z25" s="1" t="n">
        <f aca="false">'OD-APUMA(Val)'!Z25*Z$49</f>
        <v>0</v>
      </c>
      <c r="AA25" s="1" t="n">
        <f aca="false">'OD-APUMA(Val)'!AA25*AA$49</f>
        <v>78</v>
      </c>
      <c r="AB25" s="1" t="n">
        <f aca="false">'OD-APUMA(Val)'!AB25*AB$49</f>
        <v>0</v>
      </c>
      <c r="AC25" s="1" t="n">
        <f aca="false">'OD-APUMA(Val)'!AC25*AC$49</f>
        <v>0</v>
      </c>
      <c r="AD25" s="1" t="n">
        <f aca="false">'OD-APUMA(Val)'!AD25*AD$49</f>
        <v>0</v>
      </c>
      <c r="AE25" s="1" t="n">
        <f aca="false">'OD-APUMA(Val)'!AE25*AE$49</f>
        <v>13.9208366716752</v>
      </c>
      <c r="AF25" s="1" t="n">
        <f aca="false">'OD-APUMA(Val)'!AF25*AF$49</f>
        <v>0</v>
      </c>
      <c r="AG25" s="1" t="n">
        <f aca="false">'OD-APUMA(Val)'!AG25*AG$49</f>
        <v>0</v>
      </c>
      <c r="AH25" s="1" t="n">
        <f aca="false">'OD-APUMA(Val)'!AH25*AH$49</f>
        <v>108.862750470616</v>
      </c>
      <c r="AI25" s="1" t="n">
        <f aca="false">'OD-APUMA(Val)'!AI25*AI$49</f>
        <v>10.8711665608938</v>
      </c>
      <c r="AJ25" s="1" t="n">
        <f aca="false">'OD-APUMA(Val)'!AJ25*AJ$49</f>
        <v>0</v>
      </c>
      <c r="AK25" s="1" t="n">
        <f aca="false">'OD-APUMA(Val)'!AK25*AK$49</f>
        <v>0</v>
      </c>
      <c r="AL25" s="1" t="n">
        <f aca="false">'OD-APUMA(Val)'!AL25*AL$49</f>
        <v>0</v>
      </c>
      <c r="AM25" s="1" t="n">
        <f aca="false">'OD-APUMA(Val)'!AM25*AM$49</f>
        <v>0</v>
      </c>
      <c r="AN25" s="1" t="n">
        <f aca="false">'OD-APUMA(Val)'!AN25*AN$49</f>
        <v>0</v>
      </c>
      <c r="AO25" s="1" t="n">
        <f aca="false">'OD-APUMA(Val)'!AO25*AO$49</f>
        <v>0</v>
      </c>
      <c r="AP25" s="1" t="n">
        <f aca="false">'OD-APUMA(Val)'!AP25*AP$49</f>
        <v>0</v>
      </c>
      <c r="AQ25" s="1" t="n">
        <f aca="false">'OD-APUMA(Val)'!AQ25*AQ$49</f>
        <v>0</v>
      </c>
      <c r="AR25" s="0" t="n">
        <f aca="false">SUM('OD-APUMA(Val)'!C25:AQ25)</f>
        <v>34944</v>
      </c>
      <c r="AS25" s="0" t="n">
        <f aca="false">MAX('OD-APUMA(Val)'!C25:AQ25)</f>
        <v>33397</v>
      </c>
      <c r="AT25" s="2" t="n">
        <f aca="false">SUM(C25:AQ25)/AR25</f>
        <v>0.00790694310490508</v>
      </c>
      <c r="AU25" s="3" t="n">
        <f aca="false">AT25^4</f>
        <v>3.90871904805919E-009</v>
      </c>
    </row>
    <row r="26" customFormat="false" ht="12.75" hidden="false" customHeight="false" outlineLevel="0" collapsed="false">
      <c r="A26" s="0" t="n">
        <v>80</v>
      </c>
      <c r="B26" s="0" t="n">
        <v>118885</v>
      </c>
      <c r="C26" s="1" t="n">
        <f aca="false">'OD-APUMA(Val)'!C26*C$49</f>
        <v>0</v>
      </c>
      <c r="D26" s="1" t="n">
        <f aca="false">'OD-APUMA(Val)'!D26*D$49</f>
        <v>15.4886836766149</v>
      </c>
      <c r="E26" s="1" t="n">
        <f aca="false">'OD-APUMA(Val)'!E26*E$49</f>
        <v>0</v>
      </c>
      <c r="F26" s="1" t="n">
        <f aca="false">'OD-APUMA(Val)'!F26*F$49</f>
        <v>0</v>
      </c>
      <c r="G26" s="1" t="n">
        <f aca="false">'OD-APUMA(Val)'!G26*G$49</f>
        <v>0</v>
      </c>
      <c r="H26" s="1" t="n">
        <f aca="false">'OD-APUMA(Val)'!H26*H$49</f>
        <v>0</v>
      </c>
      <c r="I26" s="1" t="n">
        <f aca="false">'OD-APUMA(Val)'!I26*I$49</f>
        <v>0</v>
      </c>
      <c r="J26" s="1" t="n">
        <f aca="false">'OD-APUMA(Val)'!J26*J$49</f>
        <v>0</v>
      </c>
      <c r="K26" s="1" t="n">
        <f aca="false">'OD-APUMA(Val)'!K26*K$49</f>
        <v>0</v>
      </c>
      <c r="L26" s="1" t="n">
        <f aca="false">'OD-APUMA(Val)'!L26*L$49</f>
        <v>0</v>
      </c>
      <c r="M26" s="1" t="n">
        <f aca="false">'OD-APUMA(Val)'!M26*M$49</f>
        <v>0</v>
      </c>
      <c r="N26" s="1" t="n">
        <f aca="false">'OD-APUMA(Val)'!N26*N$49</f>
        <v>0</v>
      </c>
      <c r="O26" s="1" t="n">
        <f aca="false">'OD-APUMA(Val)'!O26*O$49</f>
        <v>0</v>
      </c>
      <c r="P26" s="1" t="n">
        <f aca="false">'OD-APUMA(Val)'!P26*P$49</f>
        <v>61.4819085325509</v>
      </c>
      <c r="Q26" s="1" t="n">
        <f aca="false">'OD-APUMA(Val)'!Q26*Q$49</f>
        <v>91</v>
      </c>
      <c r="R26" s="1" t="n">
        <f aca="false">'OD-APUMA(Val)'!R26*R$49</f>
        <v>0</v>
      </c>
      <c r="S26" s="1" t="n">
        <f aca="false">'OD-APUMA(Val)'!S26*S$49</f>
        <v>0</v>
      </c>
      <c r="T26" s="1" t="n">
        <f aca="false">'OD-APUMA(Val)'!T26*T$49</f>
        <v>0</v>
      </c>
      <c r="U26" s="1" t="n">
        <f aca="false">'OD-APUMA(Val)'!U26*U$49</f>
        <v>21.8332059098177</v>
      </c>
      <c r="V26" s="1" t="n">
        <f aca="false">'OD-APUMA(Val)'!V26*V$49</f>
        <v>177.144330718655</v>
      </c>
      <c r="W26" s="1" t="n">
        <f aca="false">'OD-APUMA(Val)'!W26*W$49</f>
        <v>0</v>
      </c>
      <c r="X26" s="1" t="n">
        <f aca="false">'OD-APUMA(Val)'!X26*X$49</f>
        <v>0</v>
      </c>
      <c r="Y26" s="1" t="n">
        <f aca="false">'OD-APUMA(Val)'!Y26*Y$49</f>
        <v>0</v>
      </c>
      <c r="Z26" s="1" t="n">
        <v>0</v>
      </c>
      <c r="AA26" s="1" t="n">
        <f aca="false">'OD-APUMA(Val)'!AA26*AA$49</f>
        <v>0</v>
      </c>
      <c r="AB26" s="1" t="n">
        <f aca="false">'OD-APUMA(Val)'!AB26*AB$49</f>
        <v>78</v>
      </c>
      <c r="AC26" s="1" t="n">
        <f aca="false">'OD-APUMA(Val)'!AC26*AC$49</f>
        <v>0</v>
      </c>
      <c r="AD26" s="1" t="n">
        <f aca="false">'OD-APUMA(Val)'!AD26*AD$49</f>
        <v>7.49600667771312</v>
      </c>
      <c r="AE26" s="1" t="n">
        <f aca="false">'OD-APUMA(Val)'!AE26*AE$49</f>
        <v>53.3632072414215</v>
      </c>
      <c r="AF26" s="1" t="n">
        <f aca="false">'OD-APUMA(Val)'!AF26*AF$49</f>
        <v>2.04908360108745</v>
      </c>
      <c r="AG26" s="1" t="n">
        <f aca="false">'OD-APUMA(Val)'!AG26*AG$49</f>
        <v>0</v>
      </c>
      <c r="AH26" s="1" t="n">
        <f aca="false">'OD-APUMA(Val)'!AH26*AH$49</f>
        <v>0</v>
      </c>
      <c r="AI26" s="1" t="n">
        <f aca="false">'OD-APUMA(Val)'!AI26*AI$49</f>
        <v>30.8016385891992</v>
      </c>
      <c r="AJ26" s="1" t="n">
        <f aca="false">'OD-APUMA(Val)'!AJ26*AJ$49</f>
        <v>0</v>
      </c>
      <c r="AK26" s="1" t="n">
        <f aca="false">'OD-APUMA(Val)'!AK26*AK$49</f>
        <v>0</v>
      </c>
      <c r="AL26" s="1" t="n">
        <f aca="false">'OD-APUMA(Val)'!AL26*AL$49</f>
        <v>0</v>
      </c>
      <c r="AM26" s="1" t="n">
        <f aca="false">'OD-APUMA(Val)'!AM26*AM$49</f>
        <v>38.1153298949649</v>
      </c>
      <c r="AN26" s="1" t="n">
        <f aca="false">'OD-APUMA(Val)'!AN26*AN$49</f>
        <v>0</v>
      </c>
      <c r="AO26" s="1" t="n">
        <f aca="false">'OD-APUMA(Val)'!AO26*AO$49</f>
        <v>0</v>
      </c>
      <c r="AP26" s="1" t="n">
        <f aca="false">'OD-APUMA(Val)'!AP26*AP$49</f>
        <v>8.01671270784001</v>
      </c>
      <c r="AQ26" s="1" t="n">
        <f aca="false">'OD-APUMA(Val)'!AQ26*AQ$49</f>
        <v>23.5560290544598</v>
      </c>
      <c r="AR26" s="0" t="n">
        <f aca="false">SUM('OD-APUMA(Val)'!C26:AQ26)</f>
        <v>91208</v>
      </c>
      <c r="AS26" s="0" t="n">
        <f aca="false">MAX('OD-APUMA(Val)'!C26:AQ26)</f>
        <v>82537</v>
      </c>
      <c r="AT26" s="2" t="n">
        <f aca="false">SUM(C26:AQ26)/AR26</f>
        <v>0.00666987694724503</v>
      </c>
      <c r="AU26" s="3" t="n">
        <f aca="false">AT26^4</f>
        <v>1.97911616807982E-009</v>
      </c>
    </row>
    <row r="27" customFormat="false" ht="12.75" hidden="false" customHeight="false" outlineLevel="0" collapsed="false">
      <c r="A27" s="0" t="n">
        <v>86</v>
      </c>
      <c r="B27" s="0" t="n">
        <v>634894</v>
      </c>
      <c r="C27" s="1" t="n">
        <f aca="false">'OD-APUMA(Val)'!C27*C$49</f>
        <v>9.9892055858715</v>
      </c>
      <c r="D27" s="1" t="n">
        <f aca="false">'OD-APUMA(Val)'!D27*D$49</f>
        <v>4.89116326629943</v>
      </c>
      <c r="E27" s="1" t="n">
        <f aca="false">'OD-APUMA(Val)'!E27*E$49</f>
        <v>10.1905489836735</v>
      </c>
      <c r="F27" s="1" t="n">
        <f aca="false">'OD-APUMA(Val)'!F27*F$49</f>
        <v>0</v>
      </c>
      <c r="G27" s="1" t="n">
        <f aca="false">'OD-APUMA(Val)'!G27*G$49</f>
        <v>0</v>
      </c>
      <c r="H27" s="1" t="n">
        <f aca="false">'OD-APUMA(Val)'!H27*H$49</f>
        <v>2.29242514640913</v>
      </c>
      <c r="I27" s="1" t="n">
        <f aca="false">'OD-APUMA(Val)'!I27*I$49</f>
        <v>0</v>
      </c>
      <c r="J27" s="1" t="n">
        <f aca="false">'OD-APUMA(Val)'!J27*J$49</f>
        <v>0</v>
      </c>
      <c r="K27" s="1" t="n">
        <f aca="false">'OD-APUMA(Val)'!K27*K$49</f>
        <v>65.412672339421</v>
      </c>
      <c r="L27" s="1" t="n">
        <f aca="false">'OD-APUMA(Val)'!L27*L$49</f>
        <v>37.6746919749545</v>
      </c>
      <c r="M27" s="1" t="n">
        <f aca="false">'OD-APUMA(Val)'!M27*M$49</f>
        <v>176.475267849192</v>
      </c>
      <c r="N27" s="1" t="n">
        <f aca="false">'OD-APUMA(Val)'!N27*N$49</f>
        <v>195</v>
      </c>
      <c r="O27" s="1" t="n">
        <f aca="false">'OD-APUMA(Val)'!O27*O$49</f>
        <v>2028</v>
      </c>
      <c r="P27" s="1" t="n">
        <f aca="false">'OD-APUMA(Val)'!P27*P$49</f>
        <v>36420.3455669699</v>
      </c>
      <c r="Q27" s="1" t="n">
        <f aca="false">'OD-APUMA(Val)'!Q27*Q$49</f>
        <v>24635</v>
      </c>
      <c r="R27" s="1" t="n">
        <f aca="false">'OD-APUMA(Val)'!R27*R$49</f>
        <v>0</v>
      </c>
      <c r="S27" s="1" t="n">
        <f aca="false">'OD-APUMA(Val)'!S27*S$49</f>
        <v>0</v>
      </c>
      <c r="T27" s="1" t="n">
        <f aca="false">'OD-APUMA(Val)'!T27*T$49</f>
        <v>0</v>
      </c>
      <c r="U27" s="1" t="n">
        <f aca="false">'OD-APUMA(Val)'!U27*U$49</f>
        <v>0</v>
      </c>
      <c r="V27" s="1" t="n">
        <f aca="false">'OD-APUMA(Val)'!V27*V$49</f>
        <v>0</v>
      </c>
      <c r="W27" s="1" t="n">
        <f aca="false">'OD-APUMA(Val)'!W27*W$49</f>
        <v>0</v>
      </c>
      <c r="X27" s="1" t="n">
        <f aca="false">'OD-APUMA(Val)'!X27*X$49</f>
        <v>49.6030237410486</v>
      </c>
      <c r="Y27" s="1" t="n">
        <f aca="false">'OD-APUMA(Val)'!Y27*Y$49</f>
        <v>0</v>
      </c>
      <c r="Z27" s="1" t="n">
        <f aca="false">'OD-APUMA(Val)'!Z27*Z$49</f>
        <v>0</v>
      </c>
      <c r="AA27" s="1" t="n">
        <v>0</v>
      </c>
      <c r="AB27" s="1" t="n">
        <f aca="false">'OD-APUMA(Val)'!AB27*AB$49</f>
        <v>35737</v>
      </c>
      <c r="AC27" s="1" t="n">
        <f aca="false">'OD-APUMA(Val)'!AC27*AC$49</f>
        <v>1.80068286440813</v>
      </c>
      <c r="AD27" s="1" t="n">
        <f aca="false">'OD-APUMA(Val)'!AD27*AD$49</f>
        <v>0</v>
      </c>
      <c r="AE27" s="1" t="n">
        <f aca="false">'OD-APUMA(Val)'!AE27*AE$49</f>
        <v>157.769482278985</v>
      </c>
      <c r="AF27" s="1" t="n">
        <f aca="false">'OD-APUMA(Val)'!AF27*AF$49</f>
        <v>0</v>
      </c>
      <c r="AG27" s="1" t="n">
        <f aca="false">'OD-APUMA(Val)'!AG27*AG$49</f>
        <v>34.7036141308641</v>
      </c>
      <c r="AH27" s="1" t="n">
        <f aca="false">'OD-APUMA(Val)'!AH27*AH$49</f>
        <v>0</v>
      </c>
      <c r="AI27" s="1" t="n">
        <f aca="false">'OD-APUMA(Val)'!AI27*AI$49</f>
        <v>67.0388604588453</v>
      </c>
      <c r="AJ27" s="1" t="n">
        <f aca="false">'OD-APUMA(Val)'!AJ27*AJ$49</f>
        <v>0</v>
      </c>
      <c r="AK27" s="1" t="n">
        <f aca="false">'OD-APUMA(Val)'!AK27*AK$49</f>
        <v>0</v>
      </c>
      <c r="AL27" s="1" t="n">
        <f aca="false">'OD-APUMA(Val)'!AL27*AL$49</f>
        <v>225.955971021356</v>
      </c>
      <c r="AM27" s="1" t="n">
        <f aca="false">'OD-APUMA(Val)'!AM27*AM$49</f>
        <v>8066.40744777125</v>
      </c>
      <c r="AN27" s="1" t="n">
        <f aca="false">'OD-APUMA(Val)'!AN27*AN$49</f>
        <v>1404</v>
      </c>
      <c r="AO27" s="1" t="n">
        <f aca="false">'OD-APUMA(Val)'!AO27*AO$49</f>
        <v>490.040746736169</v>
      </c>
      <c r="AP27" s="1" t="n">
        <f aca="false">'OD-APUMA(Val)'!AP27*AP$49</f>
        <v>26.3406274686172</v>
      </c>
      <c r="AQ27" s="1" t="n">
        <f aca="false">'OD-APUMA(Val)'!AQ27*AQ$49</f>
        <v>0</v>
      </c>
      <c r="AR27" s="0" t="n">
        <f aca="false">SUM('OD-APUMA(Val)'!C27:AQ27)</f>
        <v>632060</v>
      </c>
      <c r="AS27" s="0" t="n">
        <f aca="false">MAX('OD-APUMA(Val)'!C27:AQ27)</f>
        <v>448058</v>
      </c>
      <c r="AT27" s="2" t="n">
        <f aca="false">SUM(C27:AQ27)/AR27</f>
        <v>0.173790355343776</v>
      </c>
      <c r="AU27" s="3" t="n">
        <f aca="false">AT27^4</f>
        <v>0.000912226501208507</v>
      </c>
    </row>
    <row r="28" customFormat="false" ht="12.75" hidden="false" customHeight="false" outlineLevel="0" collapsed="false">
      <c r="A28" s="0" t="n">
        <v>87</v>
      </c>
      <c r="B28" s="0" t="n">
        <v>401882</v>
      </c>
      <c r="C28" s="1" t="n">
        <f aca="false">'OD-APUMA(Val)'!C28*C$49</f>
        <v>29.9676167576145</v>
      </c>
      <c r="D28" s="1" t="n">
        <f aca="false">'OD-APUMA(Val)'!D28*D$49</f>
        <v>7.33674489944914</v>
      </c>
      <c r="E28" s="1" t="n">
        <f aca="false">'OD-APUMA(Val)'!E28*E$49</f>
        <v>0</v>
      </c>
      <c r="F28" s="1" t="n">
        <f aca="false">'OD-APUMA(Val)'!F28*F$49</f>
        <v>12.3805698677469</v>
      </c>
      <c r="G28" s="1" t="n">
        <f aca="false">'OD-APUMA(Val)'!G28*G$49</f>
        <v>0</v>
      </c>
      <c r="H28" s="1" t="n">
        <f aca="false">'OD-APUMA(Val)'!H28*H$49</f>
        <v>2.29242514640913</v>
      </c>
      <c r="I28" s="1" t="n">
        <f aca="false">'OD-APUMA(Val)'!I28*I$49</f>
        <v>0</v>
      </c>
      <c r="J28" s="1" t="n">
        <f aca="false">'OD-APUMA(Val)'!J28*J$49</f>
        <v>0</v>
      </c>
      <c r="K28" s="1" t="n">
        <f aca="false">'OD-APUMA(Val)'!K28*K$49</f>
        <v>206.301505070482</v>
      </c>
      <c r="L28" s="1" t="n">
        <f aca="false">'OD-APUMA(Val)'!L28*L$49</f>
        <v>64.5851862427791</v>
      </c>
      <c r="M28" s="1" t="n">
        <f aca="false">'OD-APUMA(Val)'!M28*M$49</f>
        <v>208.561680185408</v>
      </c>
      <c r="N28" s="1" t="n">
        <f aca="false">'OD-APUMA(Val)'!N28*N$49</f>
        <v>234</v>
      </c>
      <c r="O28" s="1" t="n">
        <f aca="false">'OD-APUMA(Val)'!O28*O$49</f>
        <v>3653</v>
      </c>
      <c r="P28" s="1" t="n">
        <f aca="false">'OD-APUMA(Val)'!P28*P$49</f>
        <v>26859.9087901582</v>
      </c>
      <c r="Q28" s="1" t="n">
        <f aca="false">'OD-APUMA(Val)'!Q28*Q$49</f>
        <v>7215</v>
      </c>
      <c r="R28" s="1" t="n">
        <f aca="false">'OD-APUMA(Val)'!R28*R$49</f>
        <v>6.76939954707174</v>
      </c>
      <c r="S28" s="1" t="n">
        <f aca="false">'OD-APUMA(Val)'!S28*S$49</f>
        <v>0</v>
      </c>
      <c r="T28" s="1" t="n">
        <f aca="false">'OD-APUMA(Val)'!T28*T$49</f>
        <v>0</v>
      </c>
      <c r="U28" s="1" t="n">
        <f aca="false">'OD-APUMA(Val)'!U28*U$49</f>
        <v>15.1152963991045</v>
      </c>
      <c r="V28" s="1" t="n">
        <f aca="false">'OD-APUMA(Val)'!V28*V$49</f>
        <v>3.0807709690201</v>
      </c>
      <c r="W28" s="1" t="n">
        <f aca="false">'OD-APUMA(Val)'!W28*W$49</f>
        <v>1.69114437614573</v>
      </c>
      <c r="X28" s="1" t="n">
        <f aca="false">'OD-APUMA(Val)'!X28*X$49</f>
        <v>5.83564985188808</v>
      </c>
      <c r="Y28" s="1" t="n">
        <f aca="false">'OD-APUMA(Val)'!Y28*Y$49</f>
        <v>0</v>
      </c>
      <c r="Z28" s="1" t="n">
        <f aca="false">'OD-APUMA(Val)'!Z28*Z$49</f>
        <v>2.30961843498227</v>
      </c>
      <c r="AA28" s="1" t="n">
        <f aca="false">'OD-APUMA(Val)'!AA28*AA$49</f>
        <v>83265</v>
      </c>
      <c r="AB28" s="1" t="n">
        <v>0</v>
      </c>
      <c r="AC28" s="1" t="n">
        <f aca="false">'OD-APUMA(Val)'!AC28*AC$49</f>
        <v>2.88109258305301</v>
      </c>
      <c r="AD28" s="1" t="n">
        <f aca="false">'OD-APUMA(Val)'!AD28*AD$49</f>
        <v>0</v>
      </c>
      <c r="AE28" s="1" t="n">
        <f aca="false">'OD-APUMA(Val)'!AE28*AE$49</f>
        <v>71.924322803655</v>
      </c>
      <c r="AF28" s="1" t="n">
        <f aca="false">'OD-APUMA(Val)'!AF28*AF$49</f>
        <v>0</v>
      </c>
      <c r="AG28" s="1" t="n">
        <f aca="false">'OD-APUMA(Val)'!AG28*AG$49</f>
        <v>27.7628913046912</v>
      </c>
      <c r="AH28" s="1" t="n">
        <f aca="false">'OD-APUMA(Val)'!AH28*AH$49</f>
        <v>0</v>
      </c>
      <c r="AI28" s="1" t="n">
        <f aca="false">'OD-APUMA(Val)'!AI28*AI$49</f>
        <v>77.9100270197391</v>
      </c>
      <c r="AJ28" s="1" t="n">
        <f aca="false">'OD-APUMA(Val)'!AJ28*AJ$49</f>
        <v>33.1660595415055</v>
      </c>
      <c r="AK28" s="1" t="n">
        <f aca="false">'OD-APUMA(Val)'!AK28*AK$49</f>
        <v>0</v>
      </c>
      <c r="AL28" s="1" t="n">
        <f aca="false">'OD-APUMA(Val)'!AL28*AL$49</f>
        <v>177.801419820084</v>
      </c>
      <c r="AM28" s="1" t="n">
        <f aca="false">'OD-APUMA(Val)'!AM28*AM$49</f>
        <v>874.646517589721</v>
      </c>
      <c r="AN28" s="1" t="n">
        <f aca="false">'OD-APUMA(Val)'!AN28*AN$49</f>
        <v>6058</v>
      </c>
      <c r="AO28" s="1" t="n">
        <f aca="false">'OD-APUMA(Val)'!AO28*AO$49</f>
        <v>210.903612519364</v>
      </c>
      <c r="AP28" s="1" t="n">
        <f aca="false">'OD-APUMA(Val)'!AP28*AP$49</f>
        <v>0</v>
      </c>
      <c r="AQ28" s="1" t="n">
        <f aca="false">'OD-APUMA(Val)'!AQ28*AQ$49</f>
        <v>0</v>
      </c>
      <c r="AR28" s="0" t="n">
        <f aca="false">SUM('OD-APUMA(Val)'!C28:AQ28)</f>
        <v>401219</v>
      </c>
      <c r="AS28" s="0" t="n">
        <f aca="false">MAX('OD-APUMA(Val)'!C28:AQ28)</f>
        <v>243971</v>
      </c>
      <c r="AT28" s="2" t="n">
        <f aca="false">SUM(C28:AQ28)/AR28</f>
        <v>0.322338005780105</v>
      </c>
      <c r="AU28" s="3" t="n">
        <f aca="false">AT28^4</f>
        <v>0.0107955819590314</v>
      </c>
    </row>
    <row r="29" customFormat="false" ht="12.75" hidden="false" customHeight="false" outlineLevel="0" collapsed="false">
      <c r="A29" s="0" t="n">
        <v>88</v>
      </c>
      <c r="B29" s="0" t="n">
        <v>405808</v>
      </c>
      <c r="C29" s="1" t="n">
        <f aca="false">'OD-APUMA(Val)'!C29*C$49</f>
        <v>0</v>
      </c>
      <c r="D29" s="1" t="n">
        <f aca="false">'OD-APUMA(Val)'!D29*D$49</f>
        <v>7.33674489944914</v>
      </c>
      <c r="E29" s="1" t="n">
        <f aca="false">'OD-APUMA(Val)'!E29*E$49</f>
        <v>0</v>
      </c>
      <c r="F29" s="1" t="n">
        <f aca="false">'OD-APUMA(Val)'!F29*F$49</f>
        <v>23.876813316369</v>
      </c>
      <c r="G29" s="1" t="n">
        <f aca="false">'OD-APUMA(Val)'!G29*G$49</f>
        <v>39.6675513518173</v>
      </c>
      <c r="H29" s="1" t="n">
        <f aca="false">'OD-APUMA(Val)'!H29*H$49</f>
        <v>2.91763200452071</v>
      </c>
      <c r="I29" s="1" t="n">
        <f aca="false">'OD-APUMA(Val)'!I29*I$49</f>
        <v>0</v>
      </c>
      <c r="J29" s="1" t="n">
        <f aca="false">'OD-APUMA(Val)'!J29*J$49</f>
        <v>10.1753578218418</v>
      </c>
      <c r="K29" s="1" t="n">
        <f aca="false">'OD-APUMA(Val)'!K29*K$49</f>
        <v>0</v>
      </c>
      <c r="L29" s="1" t="n">
        <f aca="false">'OD-APUMA(Val)'!L29*L$49</f>
        <v>0</v>
      </c>
      <c r="M29" s="1" t="n">
        <f aca="false">'OD-APUMA(Val)'!M29*M$49</f>
        <v>120.324046260813</v>
      </c>
      <c r="N29" s="1" t="n">
        <f aca="false">'OD-APUMA(Val)'!N29*N$49</f>
        <v>0</v>
      </c>
      <c r="O29" s="1" t="n">
        <f aca="false">'OD-APUMA(Val)'!O29*O$49</f>
        <v>0</v>
      </c>
      <c r="P29" s="1" t="n">
        <f aca="false">'OD-APUMA(Val)'!P29*P$49</f>
        <v>215.186679863928</v>
      </c>
      <c r="Q29" s="1" t="n">
        <f aca="false">'OD-APUMA(Val)'!Q29*Q$49</f>
        <v>377</v>
      </c>
      <c r="R29" s="1" t="n">
        <f aca="false">'OD-APUMA(Val)'!R29*R$49</f>
        <v>0</v>
      </c>
      <c r="S29" s="1" t="n">
        <f aca="false">'OD-APUMA(Val)'!S29*S$49</f>
        <v>692.973206789021</v>
      </c>
      <c r="T29" s="1" t="n">
        <f aca="false">'OD-APUMA(Val)'!T29*T$49</f>
        <v>68.4708700369184</v>
      </c>
      <c r="U29" s="1" t="n">
        <f aca="false">'OD-APUMA(Val)'!U29*U$49</f>
        <v>381.24136473297</v>
      </c>
      <c r="V29" s="1" t="n">
        <f aca="false">'OD-APUMA(Val)'!V29*V$49</f>
        <v>2.69567459789258</v>
      </c>
      <c r="W29" s="1" t="n">
        <f aca="false">'OD-APUMA(Val)'!W29*W$49</f>
        <v>44.9092784332033</v>
      </c>
      <c r="X29" s="1" t="n">
        <f aca="false">'OD-APUMA(Val)'!X29*X$49</f>
        <v>8.75347477783211</v>
      </c>
      <c r="Y29" s="1" t="n">
        <f aca="false">'OD-APUMA(Val)'!Y29*Y$49</f>
        <v>0</v>
      </c>
      <c r="Z29" s="1" t="n">
        <f aca="false">'OD-APUMA(Val)'!Z29*Z$49</f>
        <v>3.46442765247341</v>
      </c>
      <c r="AA29" s="1" t="n">
        <f aca="false">'OD-APUMA(Val)'!AA29*AA$49</f>
        <v>208</v>
      </c>
      <c r="AB29" s="1" t="n">
        <f aca="false">'OD-APUMA(Val)'!AB29*AB$49</f>
        <v>169</v>
      </c>
      <c r="AC29" s="1" t="n">
        <v>0</v>
      </c>
      <c r="AD29" s="1" t="n">
        <f aca="false">'OD-APUMA(Val)'!AD29*AD$49</f>
        <v>2.99840267108525</v>
      </c>
      <c r="AE29" s="1" t="n">
        <f aca="false">'OD-APUMA(Val)'!AE29*AE$49</f>
        <v>66.1239741904571</v>
      </c>
      <c r="AF29" s="1" t="n">
        <f aca="false">'OD-APUMA(Val)'!AF29*AF$49</f>
        <v>10.2454180054373</v>
      </c>
      <c r="AG29" s="1" t="n">
        <f aca="false">'OD-APUMA(Val)'!AG29*AG$49</f>
        <v>15.6166263588888</v>
      </c>
      <c r="AH29" s="1" t="n">
        <f aca="false">'OD-APUMA(Val)'!AH29*AH$49</f>
        <v>22.6797396813783</v>
      </c>
      <c r="AI29" s="1" t="n">
        <f aca="false">'OD-APUMA(Val)'!AI29*AI$49</f>
        <v>19.9304720283054</v>
      </c>
      <c r="AJ29" s="1" t="n">
        <f aca="false">'OD-APUMA(Val)'!AJ29*AJ$49</f>
        <v>0</v>
      </c>
      <c r="AK29" s="1" t="n">
        <f aca="false">'OD-APUMA(Val)'!AK29*AK$49</f>
        <v>0</v>
      </c>
      <c r="AL29" s="1" t="n">
        <f aca="false">'OD-APUMA(Val)'!AL29*AL$49</f>
        <v>40.7461587087692</v>
      </c>
      <c r="AM29" s="1" t="n">
        <f aca="false">'OD-APUMA(Val)'!AM29*AM$49</f>
        <v>14.0424899613029</v>
      </c>
      <c r="AN29" s="1" t="n">
        <f aca="false">'OD-APUMA(Val)'!AN29*AN$49</f>
        <v>0</v>
      </c>
      <c r="AO29" s="1" t="n">
        <f aca="false">'OD-APUMA(Val)'!AO29*AO$49</f>
        <v>0</v>
      </c>
      <c r="AP29" s="1" t="n">
        <f aca="false">'OD-APUMA(Val)'!AP29*AP$49</f>
        <v>17.1786700882286</v>
      </c>
      <c r="AQ29" s="1" t="n">
        <f aca="false">'OD-APUMA(Val)'!AQ29*AQ$49</f>
        <v>28.4635351074723</v>
      </c>
      <c r="AR29" s="0" t="n">
        <f aca="false">SUM('OD-APUMA(Val)'!C29:AQ29)</f>
        <v>268060</v>
      </c>
      <c r="AS29" s="0" t="n">
        <f aca="false">MAX('OD-APUMA(Val)'!C29:AQ29)</f>
        <v>250822</v>
      </c>
      <c r="AT29" s="2" t="n">
        <f aca="false">SUM(C29:AQ29)/AR29</f>
        <v>0.00975161758315442</v>
      </c>
      <c r="AU29" s="3" t="n">
        <f aca="false">AT29^4</f>
        <v>9.04287748729026E-009</v>
      </c>
    </row>
    <row r="30" customFormat="false" ht="12.75" hidden="false" customHeight="false" outlineLevel="0" collapsed="false">
      <c r="A30" s="0" t="n">
        <v>89</v>
      </c>
      <c r="B30" s="0" t="n">
        <v>320827</v>
      </c>
      <c r="C30" s="1" t="n">
        <f aca="false">'OD-APUMA(Val)'!C30*C$49</f>
        <v>11.4162349552817</v>
      </c>
      <c r="D30" s="1" t="n">
        <f aca="false">'OD-APUMA(Val)'!D30*D$49</f>
        <v>0</v>
      </c>
      <c r="E30" s="1" t="n">
        <f aca="false">'OD-APUMA(Val)'!E30*E$49</f>
        <v>0</v>
      </c>
      <c r="F30" s="1" t="n">
        <f aca="false">'OD-APUMA(Val)'!F30*F$49</f>
        <v>12.3805698677469</v>
      </c>
      <c r="G30" s="1" t="n">
        <f aca="false">'OD-APUMA(Val)'!G30*G$49</f>
        <v>0</v>
      </c>
      <c r="H30" s="1" t="n">
        <f aca="false">'OD-APUMA(Val)'!H30*H$49</f>
        <v>0</v>
      </c>
      <c r="I30" s="1" t="n">
        <f aca="false">'OD-APUMA(Val)'!I30*I$49</f>
        <v>0</v>
      </c>
      <c r="J30" s="1" t="n">
        <f aca="false">'OD-APUMA(Val)'!J30*J$49</f>
        <v>0</v>
      </c>
      <c r="K30" s="1" t="n">
        <f aca="false">'OD-APUMA(Val)'!K30*K$49</f>
        <v>0</v>
      </c>
      <c r="L30" s="1" t="n">
        <f aca="false">'OD-APUMA(Val)'!L30*L$49</f>
        <v>0</v>
      </c>
      <c r="M30" s="1" t="n">
        <f aca="false">'OD-APUMA(Val)'!M30*M$49</f>
        <v>0</v>
      </c>
      <c r="N30" s="1" t="n">
        <f aca="false">'OD-APUMA(Val)'!N30*N$49</f>
        <v>0</v>
      </c>
      <c r="O30" s="1" t="n">
        <f aca="false">'OD-APUMA(Val)'!O30*O$49</f>
        <v>91</v>
      </c>
      <c r="P30" s="1" t="n">
        <f aca="false">'OD-APUMA(Val)'!P30*P$49</f>
        <v>46.1114313994132</v>
      </c>
      <c r="Q30" s="1" t="n">
        <f aca="false">'OD-APUMA(Val)'!Q30*Q$49</f>
        <v>0</v>
      </c>
      <c r="R30" s="1" t="n">
        <f aca="false">'OD-APUMA(Val)'!R30*R$49</f>
        <v>15.569618958265</v>
      </c>
      <c r="S30" s="1" t="n">
        <f aca="false">'OD-APUMA(Val)'!S30*S$49</f>
        <v>30.6286500238241</v>
      </c>
      <c r="T30" s="1" t="n">
        <f aca="false">'OD-APUMA(Val)'!T30*T$49</f>
        <v>0</v>
      </c>
      <c r="U30" s="1" t="n">
        <f aca="false">'OD-APUMA(Val)'!U30*U$49</f>
        <v>23.512683287496</v>
      </c>
      <c r="V30" s="1" t="n">
        <f aca="false">'OD-APUMA(Val)'!V30*V$49</f>
        <v>10.3976020204428</v>
      </c>
      <c r="W30" s="1" t="n">
        <f aca="false">'OD-APUMA(Val)'!W30*W$49</f>
        <v>21.2332571671631</v>
      </c>
      <c r="X30" s="1" t="n">
        <f aca="false">'OD-APUMA(Val)'!X30*X$49</f>
        <v>0</v>
      </c>
      <c r="Y30" s="1" t="n">
        <f aca="false">'OD-APUMA(Val)'!Y30*Y$49</f>
        <v>0.147078135703471</v>
      </c>
      <c r="Z30" s="1" t="n">
        <f aca="false">'OD-APUMA(Val)'!Z30*Z$49</f>
        <v>9.23847373992908</v>
      </c>
      <c r="AA30" s="1" t="n">
        <f aca="false">'OD-APUMA(Val)'!AA30*AA$49</f>
        <v>104</v>
      </c>
      <c r="AB30" s="1" t="n">
        <f aca="false">'OD-APUMA(Val)'!AB30*AB$49</f>
        <v>0</v>
      </c>
      <c r="AC30" s="1" t="n">
        <f aca="false">'OD-APUMA(Val)'!AC30*AC$49</f>
        <v>4.32163887457952</v>
      </c>
      <c r="AD30" s="1" t="n">
        <v>0</v>
      </c>
      <c r="AE30" s="1" t="n">
        <f aca="false">'OD-APUMA(Val)'!AE30*AE$49</f>
        <v>679.800857466804</v>
      </c>
      <c r="AF30" s="1" t="n">
        <f aca="false">'OD-APUMA(Val)'!AF30*AF$49</f>
        <v>4.0981672021749</v>
      </c>
      <c r="AG30" s="1" t="n">
        <f aca="false">'OD-APUMA(Val)'!AG30*AG$49</f>
        <v>22.5573491850616</v>
      </c>
      <c r="AH30" s="1" t="n">
        <f aca="false">'OD-APUMA(Val)'!AH30*AH$49</f>
        <v>15.8758177769648</v>
      </c>
      <c r="AI30" s="1" t="n">
        <f aca="false">'OD-APUMA(Val)'!AI30*AI$49</f>
        <v>0</v>
      </c>
      <c r="AJ30" s="1" t="n">
        <f aca="false">'OD-APUMA(Val)'!AJ30*AJ$49</f>
        <v>326.558124716361</v>
      </c>
      <c r="AK30" s="1" t="n">
        <f aca="false">'OD-APUMA(Val)'!AK30*AK$49</f>
        <v>0</v>
      </c>
      <c r="AL30" s="1" t="n">
        <f aca="false">'OD-APUMA(Val)'!AL30*AL$49</f>
        <v>25.9293737237622</v>
      </c>
      <c r="AM30" s="1" t="n">
        <f aca="false">'OD-APUMA(Val)'!AM30*AM$49</f>
        <v>0</v>
      </c>
      <c r="AN30" s="1" t="n">
        <f aca="false">'OD-APUMA(Val)'!AN30*AN$49</f>
        <v>0</v>
      </c>
      <c r="AO30" s="1" t="n">
        <f aca="false">'OD-APUMA(Val)'!AO30*AO$49</f>
        <v>0</v>
      </c>
      <c r="AP30" s="1" t="n">
        <f aca="false">'OD-APUMA(Val)'!AP30*AP$49</f>
        <v>0</v>
      </c>
      <c r="AQ30" s="1" t="n">
        <f aca="false">'OD-APUMA(Val)'!AQ30*AQ$49</f>
        <v>15.7040193696399</v>
      </c>
      <c r="AR30" s="0" t="n">
        <f aca="false">SUM('OD-APUMA(Val)'!C30:AQ30)</f>
        <v>221559</v>
      </c>
      <c r="AS30" s="0" t="n">
        <f aca="false">MAX('OD-APUMA(Val)'!C30:AQ30)</f>
        <v>207935</v>
      </c>
      <c r="AT30" s="2" t="n">
        <f aca="false">SUM(C30:AQ30)/AR30</f>
        <v>0.00663697230927479</v>
      </c>
      <c r="AU30" s="3" t="n">
        <f aca="false">AT30^4</f>
        <v>1.94034976670076E-009</v>
      </c>
    </row>
    <row r="31" customFormat="false" ht="12.75" hidden="false" customHeight="false" outlineLevel="0" collapsed="false">
      <c r="A31" s="0" t="n">
        <v>90</v>
      </c>
      <c r="B31" s="0" t="n">
        <v>4714869</v>
      </c>
      <c r="C31" s="1" t="n">
        <f aca="false">'OD-APUMA(Val)'!C31*C$49</f>
        <v>172.670553698636</v>
      </c>
      <c r="D31" s="1" t="n">
        <f aca="false">'OD-APUMA(Val)'!D31*D$49</f>
        <v>158.962806154731</v>
      </c>
      <c r="E31" s="1" t="n">
        <f aca="false">'OD-APUMA(Val)'!E31*E$49</f>
        <v>84.5815565644897</v>
      </c>
      <c r="F31" s="1" t="n">
        <f aca="false">'OD-APUMA(Val)'!F31*F$49</f>
        <v>36.2573831841159</v>
      </c>
      <c r="G31" s="1" t="n">
        <f aca="false">'OD-APUMA(Val)'!G31*G$49</f>
        <v>63.4680821629077</v>
      </c>
      <c r="H31" s="1" t="n">
        <f aca="false">'OD-APUMA(Val)'!H31*H$49</f>
        <v>4.37644800678106</v>
      </c>
      <c r="I31" s="1" t="n">
        <f aca="false">'OD-APUMA(Val)'!I31*I$49</f>
        <v>66.373747858937</v>
      </c>
      <c r="J31" s="1" t="n">
        <f aca="false">'OD-APUMA(Val)'!J31*J$49</f>
        <v>40.7014312873672</v>
      </c>
      <c r="K31" s="1" t="n">
        <f aca="false">'OD-APUMA(Val)'!K31*K$49</f>
        <v>60.3809283133117</v>
      </c>
      <c r="L31" s="1" t="n">
        <f aca="false">'OD-APUMA(Val)'!L31*L$49</f>
        <v>64.5851862427791</v>
      </c>
      <c r="M31" s="1" t="n">
        <f aca="false">'OD-APUMA(Val)'!M31*M$49</f>
        <v>320.864123362167</v>
      </c>
      <c r="N31" s="1" t="n">
        <f aca="false">'OD-APUMA(Val)'!N31*N$49</f>
        <v>91</v>
      </c>
      <c r="O31" s="1" t="n">
        <f aca="false">'OD-APUMA(Val)'!O31*O$49</f>
        <v>65</v>
      </c>
      <c r="P31" s="1" t="n">
        <f aca="false">'OD-APUMA(Val)'!P31*P$49</f>
        <v>1037.5072064868</v>
      </c>
      <c r="Q31" s="1" t="n">
        <f aca="false">'OD-APUMA(Val)'!Q31*Q$49</f>
        <v>2353</v>
      </c>
      <c r="R31" s="1" t="n">
        <f aca="false">'OD-APUMA(Val)'!R31*R$49</f>
        <v>44.6780370106735</v>
      </c>
      <c r="S31" s="1" t="n">
        <f aca="false">'OD-APUMA(Val)'!S31*S$49</f>
        <v>13.4000343854231</v>
      </c>
      <c r="T31" s="1" t="n">
        <f aca="false">'OD-APUMA(Val)'!T31*T$49</f>
        <v>0</v>
      </c>
      <c r="U31" s="1" t="n">
        <f aca="false">'OD-APUMA(Val)'!U31*U$49</f>
        <v>124.281325948193</v>
      </c>
      <c r="V31" s="1" t="n">
        <f aca="false">'OD-APUMA(Val)'!V31*V$49</f>
        <v>33.5033842880935</v>
      </c>
      <c r="W31" s="1" t="n">
        <f aca="false">'OD-APUMA(Val)'!W31*W$49</f>
        <v>0</v>
      </c>
      <c r="X31" s="1" t="n">
        <f aca="false">'OD-APUMA(Val)'!X31*X$49</f>
        <v>0</v>
      </c>
      <c r="Y31" s="1" t="n">
        <f aca="false">'OD-APUMA(Val)'!Y31*Y$49</f>
        <v>0.213931833750503</v>
      </c>
      <c r="Z31" s="1" t="n">
        <f aca="false">'OD-APUMA(Val)'!Z31*Z$49</f>
        <v>19.0543520886037</v>
      </c>
      <c r="AA31" s="1" t="n">
        <f aca="false">'OD-APUMA(Val)'!AA31*AA$49</f>
        <v>1443</v>
      </c>
      <c r="AB31" s="1" t="n">
        <f aca="false">'OD-APUMA(Val)'!AB31*AB$49</f>
        <v>1300</v>
      </c>
      <c r="AC31" s="1" t="n">
        <f aca="false">'OD-APUMA(Val)'!AC31*AC$49</f>
        <v>18.0068286440813</v>
      </c>
      <c r="AD31" s="1" t="n">
        <f aca="false">'OD-APUMA(Val)'!AD31*AD$49</f>
        <v>273.979044070415</v>
      </c>
      <c r="AE31" s="1" t="n">
        <v>0</v>
      </c>
      <c r="AF31" s="1" t="n">
        <f aca="false">'OD-APUMA(Val)'!AF31*AF$49</f>
        <v>15.6242624582918</v>
      </c>
      <c r="AG31" s="1" t="n">
        <f aca="false">'OD-APUMA(Val)'!AG31*AG$49</f>
        <v>18231.5436836494</v>
      </c>
      <c r="AH31" s="1" t="n">
        <f aca="false">'OD-APUMA(Val)'!AH31*AH$49</f>
        <v>1154.39874978215</v>
      </c>
      <c r="AI31" s="1" t="n">
        <f aca="false">'OD-APUMA(Val)'!AI31*AI$49</f>
        <v>65.226999365363</v>
      </c>
      <c r="AJ31" s="1" t="n">
        <f aca="false">'OD-APUMA(Val)'!AJ31*AJ$49</f>
        <v>6344.92231382493</v>
      </c>
      <c r="AK31" s="1" t="n">
        <f aca="false">'OD-APUMA(Val)'!AK31*AK$49</f>
        <v>0</v>
      </c>
      <c r="AL31" s="1" t="n">
        <f aca="false">'OD-APUMA(Val)'!AL31*AL$49</f>
        <v>44.4503549550209</v>
      </c>
      <c r="AM31" s="1" t="n">
        <f aca="false">'OD-APUMA(Val)'!AM31*AM$49</f>
        <v>80.2427997788735</v>
      </c>
      <c r="AN31" s="1" t="n">
        <f aca="false">'OD-APUMA(Val)'!AN31*AN$49</f>
        <v>455</v>
      </c>
      <c r="AO31" s="1" t="n">
        <f aca="false">'OD-APUMA(Val)'!AO31*AO$49</f>
        <v>0</v>
      </c>
      <c r="AP31" s="1" t="n">
        <f aca="false">'OD-APUMA(Val)'!AP31*AP$49</f>
        <v>13.7429360705829</v>
      </c>
      <c r="AQ31" s="1" t="n">
        <f aca="false">'OD-APUMA(Val)'!AQ31*AQ$49</f>
        <v>1645.97753018038</v>
      </c>
      <c r="AR31" s="0" t="n">
        <f aca="false">SUM('OD-APUMA(Val)'!C31:AQ31)</f>
        <v>4091568</v>
      </c>
      <c r="AS31" s="0" t="n">
        <f aca="false">MAX('OD-APUMA(Val)'!C31:AQ31)</f>
        <v>3859648</v>
      </c>
      <c r="AT31" s="2" t="n">
        <f aca="false">SUM(C31:AQ31)/AR31</f>
        <v>0.00878415708150452</v>
      </c>
      <c r="AU31" s="3" t="n">
        <f aca="false">AT31^4</f>
        <v>5.95388406241851E-009</v>
      </c>
    </row>
    <row r="32" customFormat="false" ht="12.75" hidden="false" customHeight="false" outlineLevel="0" collapsed="false">
      <c r="A32" s="0" t="n">
        <v>91</v>
      </c>
      <c r="B32" s="0" t="n">
        <v>195273</v>
      </c>
      <c r="C32" s="1" t="n">
        <f aca="false">'OD-APUMA(Val)'!C32*C$49</f>
        <v>9.9892055858715</v>
      </c>
      <c r="D32" s="1" t="n">
        <f aca="false">'OD-APUMA(Val)'!D32*D$49</f>
        <v>0</v>
      </c>
      <c r="E32" s="1" t="n">
        <f aca="false">'OD-APUMA(Val)'!E32*E$49</f>
        <v>10.1905489836735</v>
      </c>
      <c r="F32" s="1" t="n">
        <f aca="false">'OD-APUMA(Val)'!F32*F$49</f>
        <v>5.30595851474867</v>
      </c>
      <c r="G32" s="1" t="n">
        <f aca="false">'OD-APUMA(Val)'!G32*G$49</f>
        <v>0</v>
      </c>
      <c r="H32" s="1" t="n">
        <f aca="false">'OD-APUMA(Val)'!H32*H$49</f>
        <v>0</v>
      </c>
      <c r="I32" s="1" t="n">
        <f aca="false">'OD-APUMA(Val)'!I32*I$49</f>
        <v>0</v>
      </c>
      <c r="J32" s="1" t="n">
        <f aca="false">'OD-APUMA(Val)'!J32*J$49</f>
        <v>14.536225459774</v>
      </c>
      <c r="K32" s="1" t="n">
        <f aca="false">'OD-APUMA(Val)'!K32*K$49</f>
        <v>0</v>
      </c>
      <c r="L32" s="1" t="n">
        <f aca="false">'OD-APUMA(Val)'!L32*L$49</f>
        <v>0</v>
      </c>
      <c r="M32" s="1" t="n">
        <f aca="false">'OD-APUMA(Val)'!M32*M$49</f>
        <v>0</v>
      </c>
      <c r="N32" s="1" t="n">
        <f aca="false">'OD-APUMA(Val)'!N32*N$49</f>
        <v>0</v>
      </c>
      <c r="O32" s="1" t="n">
        <f aca="false">'OD-APUMA(Val)'!O32*O$49</f>
        <v>0</v>
      </c>
      <c r="P32" s="1" t="n">
        <f aca="false">'OD-APUMA(Val)'!P32*P$49</f>
        <v>0</v>
      </c>
      <c r="Q32" s="1" t="n">
        <f aca="false">'OD-APUMA(Val)'!Q32*Q$49</f>
        <v>247</v>
      </c>
      <c r="R32" s="1" t="n">
        <f aca="false">'OD-APUMA(Val)'!R32*R$49</f>
        <v>0</v>
      </c>
      <c r="S32" s="1" t="n">
        <f aca="false">'OD-APUMA(Val)'!S32*S$49</f>
        <v>57.4287187946702</v>
      </c>
      <c r="T32" s="1" t="n">
        <f aca="false">'OD-APUMA(Val)'!T32*T$49</f>
        <v>0</v>
      </c>
      <c r="U32" s="1" t="n">
        <f aca="false">'OD-APUMA(Val)'!U32*U$49</f>
        <v>0</v>
      </c>
      <c r="V32" s="1" t="n">
        <f aca="false">'OD-APUMA(Val)'!V32*V$49</f>
        <v>1.92548185563756</v>
      </c>
      <c r="W32" s="1" t="n">
        <f aca="false">'OD-APUMA(Val)'!W32*W$49</f>
        <v>0</v>
      </c>
      <c r="X32" s="1" t="n">
        <f aca="false">'OD-APUMA(Val)'!X32*X$49</f>
        <v>745.504268578702</v>
      </c>
      <c r="Y32" s="1" t="n">
        <f aca="false">'OD-APUMA(Val)'!Y32*Y$49</f>
        <v>0.093595177265845</v>
      </c>
      <c r="Z32" s="1" t="n">
        <f aca="false">'OD-APUMA(Val)'!Z32*Z$49</f>
        <v>21.9413751323316</v>
      </c>
      <c r="AA32" s="1" t="n">
        <f aca="false">'OD-APUMA(Val)'!AA32*AA$49</f>
        <v>208</v>
      </c>
      <c r="AB32" s="1" t="n">
        <f aca="false">'OD-APUMA(Val)'!AB32*AB$49</f>
        <v>130</v>
      </c>
      <c r="AC32" s="1" t="n">
        <f aca="false">'OD-APUMA(Val)'!AC32*AC$49</f>
        <v>2.52095601017139</v>
      </c>
      <c r="AD32" s="1" t="n">
        <f aca="false">'OD-APUMA(Val)'!AD32*AD$49</f>
        <v>0</v>
      </c>
      <c r="AE32" s="1" t="n">
        <f aca="false">'OD-APUMA(Val)'!AE32*AE$49</f>
        <v>23.2013944527919</v>
      </c>
      <c r="AF32" s="1" t="n">
        <v>0</v>
      </c>
      <c r="AG32" s="1" t="n">
        <f aca="false">'OD-APUMA(Val)'!AG32*AG$49</f>
        <v>0</v>
      </c>
      <c r="AH32" s="1" t="n">
        <f aca="false">'OD-APUMA(Val)'!AH32*AH$49</f>
        <v>0</v>
      </c>
      <c r="AI32" s="1" t="n">
        <f aca="false">'OD-APUMA(Val)'!AI32*AI$49</f>
        <v>0</v>
      </c>
      <c r="AJ32" s="1" t="n">
        <f aca="false">'OD-APUMA(Val)'!AJ32*AJ$49</f>
        <v>28.0635888428123</v>
      </c>
      <c r="AK32" s="1" t="n">
        <f aca="false">'OD-APUMA(Val)'!AK32*AK$49</f>
        <v>0</v>
      </c>
      <c r="AL32" s="1" t="n">
        <f aca="false">'OD-APUMA(Val)'!AL32*AL$49</f>
        <v>0</v>
      </c>
      <c r="AM32" s="1" t="n">
        <f aca="false">'OD-APUMA(Val)'!AM32*AM$49</f>
        <v>351.062249032571</v>
      </c>
      <c r="AN32" s="1" t="n">
        <f aca="false">'OD-APUMA(Val)'!AN32*AN$49</f>
        <v>0</v>
      </c>
      <c r="AO32" s="1" t="n">
        <f aca="false">'OD-APUMA(Val)'!AO32*AO$49</f>
        <v>0</v>
      </c>
      <c r="AP32" s="1" t="n">
        <f aca="false">'OD-APUMA(Val)'!AP32*AP$49</f>
        <v>0</v>
      </c>
      <c r="AQ32" s="1" t="n">
        <f aca="false">'OD-APUMA(Val)'!AQ32*AQ$49</f>
        <v>10.7965133166274</v>
      </c>
      <c r="AR32" s="0" t="n">
        <f aca="false">SUM('OD-APUMA(Val)'!C32:AQ32)</f>
        <v>164359</v>
      </c>
      <c r="AS32" s="0" t="n">
        <f aca="false">MAX('OD-APUMA(Val)'!C32:AQ32)</f>
        <v>152750</v>
      </c>
      <c r="AT32" s="2" t="n">
        <f aca="false">SUM(C32:AQ32)/AR32</f>
        <v>0.0113626882600749</v>
      </c>
      <c r="AU32" s="3" t="n">
        <f aca="false">AT32^4</f>
        <v>1.66695688509337E-008</v>
      </c>
    </row>
    <row r="33" customFormat="false" ht="12.75" hidden="false" customHeight="false" outlineLevel="0" collapsed="false">
      <c r="A33" s="0" t="n">
        <v>92</v>
      </c>
      <c r="B33" s="0" t="n">
        <v>1138865</v>
      </c>
      <c r="C33" s="1" t="n">
        <f aca="false">'OD-APUMA(Val)'!C33*C$49</f>
        <v>42.8108810823064</v>
      </c>
      <c r="D33" s="1" t="n">
        <f aca="false">'OD-APUMA(Val)'!D33*D$49</f>
        <v>6.52155102173257</v>
      </c>
      <c r="E33" s="1" t="n">
        <f aca="false">'OD-APUMA(Val)'!E33*E$49</f>
        <v>28.5335371542857</v>
      </c>
      <c r="F33" s="1" t="n">
        <f aca="false">'OD-APUMA(Val)'!F33*F$49</f>
        <v>12.3805698677469</v>
      </c>
      <c r="G33" s="1" t="n">
        <f aca="false">'OD-APUMA(Val)'!G33*G$49</f>
        <v>13.2225171172724</v>
      </c>
      <c r="H33" s="1" t="n">
        <f aca="false">'OD-APUMA(Val)'!H33*H$49</f>
        <v>1.25041371622316</v>
      </c>
      <c r="I33" s="1" t="n">
        <f aca="false">'OD-APUMA(Val)'!I33*I$49</f>
        <v>18.9639279596963</v>
      </c>
      <c r="J33" s="1" t="n">
        <f aca="false">'OD-APUMA(Val)'!J33*J$49</f>
        <v>0</v>
      </c>
      <c r="K33" s="1" t="n">
        <f aca="false">'OD-APUMA(Val)'!K33*K$49</f>
        <v>110.698368574405</v>
      </c>
      <c r="L33" s="1" t="n">
        <f aca="false">'OD-APUMA(Val)'!L33*L$49</f>
        <v>134.552471339123</v>
      </c>
      <c r="M33" s="1" t="n">
        <f aca="false">'OD-APUMA(Val)'!M33*M$49</f>
        <v>368.993741866492</v>
      </c>
      <c r="N33" s="1" t="n">
        <f aca="false">'OD-APUMA(Val)'!N33*N$49</f>
        <v>78</v>
      </c>
      <c r="O33" s="1" t="n">
        <f aca="false">'OD-APUMA(Val)'!O33*O$49</f>
        <v>0</v>
      </c>
      <c r="P33" s="1" t="n">
        <f aca="false">'OD-APUMA(Val)'!P33*P$49</f>
        <v>284.353826963048</v>
      </c>
      <c r="Q33" s="1" t="n">
        <f aca="false">'OD-APUMA(Val)'!Q33*Q$49</f>
        <v>143</v>
      </c>
      <c r="R33" s="1" t="n">
        <f aca="false">'OD-APUMA(Val)'!R33*R$49</f>
        <v>0</v>
      </c>
      <c r="S33" s="1" t="n">
        <f aca="false">'OD-APUMA(Val)'!S33*S$49</f>
        <v>0</v>
      </c>
      <c r="T33" s="1" t="n">
        <f aca="false">'OD-APUMA(Val)'!T33*T$49</f>
        <v>0</v>
      </c>
      <c r="U33" s="1" t="n">
        <f aca="false">'OD-APUMA(Val)'!U33*U$49</f>
        <v>25.1921606651742</v>
      </c>
      <c r="V33" s="1" t="n">
        <f aca="false">'OD-APUMA(Val)'!V33*V$49</f>
        <v>18.0995294429931</v>
      </c>
      <c r="W33" s="1" t="n">
        <f aca="false">'OD-APUMA(Val)'!W33*W$49</f>
        <v>0</v>
      </c>
      <c r="X33" s="1" t="n">
        <f aca="false">'OD-APUMA(Val)'!X33*X$49</f>
        <v>0</v>
      </c>
      <c r="Y33" s="1" t="n">
        <f aca="false">'OD-APUMA(Val)'!Y33*Y$49</f>
        <v>0.361009969453974</v>
      </c>
      <c r="Z33" s="1" t="n">
        <f aca="false">'OD-APUMA(Val)'!Z33*Z$49</f>
        <v>19.0543520886037</v>
      </c>
      <c r="AA33" s="1" t="n">
        <f aca="false">'OD-APUMA(Val)'!AA33*AA$49</f>
        <v>403</v>
      </c>
      <c r="AB33" s="1" t="n">
        <f aca="false">'OD-APUMA(Val)'!AB33*AB$49</f>
        <v>403</v>
      </c>
      <c r="AC33" s="1" t="n">
        <f aca="false">'OD-APUMA(Val)'!AC33*AC$49</f>
        <v>5.76218516610603</v>
      </c>
      <c r="AD33" s="1" t="n">
        <f aca="false">'OD-APUMA(Val)'!AD33*AD$49</f>
        <v>6.37160567605616</v>
      </c>
      <c r="AE33" s="1" t="n">
        <f aca="false">'OD-APUMA(Val)'!AE33*AE$49</f>
        <v>17680.6226427501</v>
      </c>
      <c r="AF33" s="1" t="n">
        <f aca="false">'OD-APUMA(Val)'!AF33*AF$49</f>
        <v>0</v>
      </c>
      <c r="AG33" s="1" t="n">
        <v>0</v>
      </c>
      <c r="AH33" s="1" t="n">
        <f aca="false">'OD-APUMA(Val)'!AH33*AH$49</f>
        <v>1601.1896215053</v>
      </c>
      <c r="AI33" s="1" t="n">
        <f aca="false">'OD-APUMA(Val)'!AI33*AI$49</f>
        <v>19.9304720283054</v>
      </c>
      <c r="AJ33" s="1" t="n">
        <f aca="false">'OD-APUMA(Val)'!AJ33*AJ$49</f>
        <v>1870.05551107104</v>
      </c>
      <c r="AK33" s="1" t="n">
        <f aca="false">'OD-APUMA(Val)'!AK33*AK$49</f>
        <v>0</v>
      </c>
      <c r="AL33" s="1" t="n">
        <f aca="false">'OD-APUMA(Val)'!AL33*AL$49</f>
        <v>22.2251774775105</v>
      </c>
      <c r="AM33" s="1" t="n">
        <f aca="false">'OD-APUMA(Val)'!AM33*AM$49</f>
        <v>64.1942398230988</v>
      </c>
      <c r="AN33" s="1" t="n">
        <f aca="false">'OD-APUMA(Val)'!AN33*AN$49</f>
        <v>0</v>
      </c>
      <c r="AO33" s="1" t="n">
        <f aca="false">'OD-APUMA(Val)'!AO33*AO$49</f>
        <v>37.2182845622407</v>
      </c>
      <c r="AP33" s="1" t="n">
        <f aca="false">'OD-APUMA(Val)'!AP33*AP$49</f>
        <v>0</v>
      </c>
      <c r="AQ33" s="1" t="n">
        <f aca="false">'OD-APUMA(Val)'!AQ33*AQ$49</f>
        <v>35.3340435816897</v>
      </c>
      <c r="AR33" s="0" t="n">
        <f aca="false">SUM('OD-APUMA(Val)'!C33:AQ33)</f>
        <v>1278199</v>
      </c>
      <c r="AS33" s="0" t="n">
        <f aca="false">MAX('OD-APUMA(Val)'!C33:AQ33)</f>
        <v>1047085</v>
      </c>
      <c r="AT33" s="2" t="n">
        <f aca="false">SUM(C33:AQ33)/AR33</f>
        <v>0.0183499538354122</v>
      </c>
      <c r="AU33" s="3" t="n">
        <f aca="false">AT33^4</f>
        <v>1.13380901032848E-007</v>
      </c>
    </row>
    <row r="34" customFormat="false" ht="12.75" hidden="false" customHeight="false" outlineLevel="0" collapsed="false">
      <c r="A34" s="0" t="n">
        <v>93</v>
      </c>
      <c r="B34" s="0" t="n">
        <v>687843</v>
      </c>
      <c r="C34" s="1" t="n">
        <f aca="false">'OD-APUMA(Val)'!C34*C$49</f>
        <v>39.956822343486</v>
      </c>
      <c r="D34" s="1" t="n">
        <f aca="false">'OD-APUMA(Val)'!D34*D$49</f>
        <v>22.0102346983474</v>
      </c>
      <c r="E34" s="1" t="n">
        <f aca="false">'OD-APUMA(Val)'!E34*E$49</f>
        <v>20.3810979673469</v>
      </c>
      <c r="F34" s="1" t="n">
        <f aca="false">'OD-APUMA(Val)'!F34*F$49</f>
        <v>2.65297925737433</v>
      </c>
      <c r="G34" s="1" t="n">
        <f aca="false">'OD-APUMA(Val)'!G34*G$49</f>
        <v>0</v>
      </c>
      <c r="H34" s="1" t="n">
        <f aca="false">'OD-APUMA(Val)'!H34*H$49</f>
        <v>1.87562057433474</v>
      </c>
      <c r="I34" s="1" t="n">
        <f aca="false">'OD-APUMA(Val)'!I34*I$49</f>
        <v>25.285237279595</v>
      </c>
      <c r="J34" s="1" t="n">
        <f aca="false">'OD-APUMA(Val)'!J34*J$49</f>
        <v>0</v>
      </c>
      <c r="K34" s="1" t="n">
        <f aca="false">'OD-APUMA(Val)'!K34*K$49</f>
        <v>40.2539522088745</v>
      </c>
      <c r="L34" s="1" t="n">
        <f aca="false">'OD-APUMA(Val)'!L34*L$49</f>
        <v>53.8209885356493</v>
      </c>
      <c r="M34" s="1" t="n">
        <f aca="false">'OD-APUMA(Val)'!M34*M$49</f>
        <v>56.1512215883792</v>
      </c>
      <c r="N34" s="1" t="n">
        <f aca="false">'OD-APUMA(Val)'!N34*N$49</f>
        <v>0</v>
      </c>
      <c r="O34" s="1" t="n">
        <f aca="false">'OD-APUMA(Val)'!O34*O$49</f>
        <v>0</v>
      </c>
      <c r="P34" s="1" t="n">
        <f aca="false">'OD-APUMA(Val)'!P34*P$49</f>
        <v>76.8523856656887</v>
      </c>
      <c r="Q34" s="1" t="n">
        <f aca="false">'OD-APUMA(Val)'!Q34*Q$49</f>
        <v>104</v>
      </c>
      <c r="R34" s="1" t="n">
        <f aca="false">'OD-APUMA(Val)'!R34*R$49</f>
        <v>0</v>
      </c>
      <c r="S34" s="1" t="n">
        <f aca="false">'OD-APUMA(Val)'!S34*S$49</f>
        <v>0</v>
      </c>
      <c r="T34" s="1" t="n">
        <f aca="false">'OD-APUMA(Val)'!T34*T$49</f>
        <v>0</v>
      </c>
      <c r="U34" s="1" t="n">
        <f aca="false">'OD-APUMA(Val)'!U34*U$49</f>
        <v>13.4358190214263</v>
      </c>
      <c r="V34" s="1" t="n">
        <f aca="false">'OD-APUMA(Val)'!V34*V$49</f>
        <v>3.0807709690201</v>
      </c>
      <c r="W34" s="1" t="n">
        <f aca="false">'OD-APUMA(Val)'!W34*W$49</f>
        <v>0</v>
      </c>
      <c r="X34" s="1" t="n">
        <f aca="false">'OD-APUMA(Val)'!X34*X$49</f>
        <v>11.6712997037762</v>
      </c>
      <c r="Y34" s="1" t="n">
        <f aca="false">'OD-APUMA(Val)'!Y34*Y$49</f>
        <v>0.147078135703471</v>
      </c>
      <c r="Z34" s="1" t="n">
        <f aca="false">'OD-APUMA(Val)'!Z34*Z$49</f>
        <v>9.23847373992908</v>
      </c>
      <c r="AA34" s="1" t="n">
        <f aca="false">'OD-APUMA(Val)'!AA34*AA$49</f>
        <v>247</v>
      </c>
      <c r="AB34" s="1" t="n">
        <f aca="false">'OD-APUMA(Val)'!AB34*AB$49</f>
        <v>0</v>
      </c>
      <c r="AC34" s="1" t="n">
        <f aca="false">'OD-APUMA(Val)'!AC34*AC$49</f>
        <v>2.52095601017139</v>
      </c>
      <c r="AD34" s="1" t="n">
        <f aca="false">'OD-APUMA(Val)'!AD34*AD$49</f>
        <v>0</v>
      </c>
      <c r="AE34" s="1" t="n">
        <f aca="false">'OD-APUMA(Val)'!AE34*AE$49</f>
        <v>3337.52059203412</v>
      </c>
      <c r="AF34" s="1" t="n">
        <f aca="false">'OD-APUMA(Val)'!AF34*AF$49</f>
        <v>4.61043810244677</v>
      </c>
      <c r="AG34" s="1" t="n">
        <f aca="false">'OD-APUMA(Val)'!AG34*AG$49</f>
        <v>6517.33873377627</v>
      </c>
      <c r="AH34" s="1" t="n">
        <v>0</v>
      </c>
      <c r="AI34" s="1" t="n">
        <f aca="false">'OD-APUMA(Val)'!AI34*AI$49</f>
        <v>14.4948887478584</v>
      </c>
      <c r="AJ34" s="1" t="n">
        <f aca="false">'OD-APUMA(Val)'!AJ34*AJ$49</f>
        <v>8015.98146764693</v>
      </c>
      <c r="AK34" s="1" t="n">
        <f aca="false">'OD-APUMA(Val)'!AK34*AK$49</f>
        <v>0</v>
      </c>
      <c r="AL34" s="1" t="n">
        <f aca="false">'OD-APUMA(Val)'!AL34*AL$49</f>
        <v>0</v>
      </c>
      <c r="AM34" s="1" t="n">
        <f aca="false">'OD-APUMA(Val)'!AM34*AM$49</f>
        <v>0</v>
      </c>
      <c r="AN34" s="1" t="n">
        <f aca="false">'OD-APUMA(Val)'!AN34*AN$49</f>
        <v>0</v>
      </c>
      <c r="AO34" s="1" t="n">
        <f aca="false">'OD-APUMA(Val)'!AO34*AO$49</f>
        <v>0</v>
      </c>
      <c r="AP34" s="1" t="n">
        <f aca="false">'OD-APUMA(Val)'!AP34*AP$49</f>
        <v>0</v>
      </c>
      <c r="AQ34" s="1" t="n">
        <f aca="false">'OD-APUMA(Val)'!AQ34*AQ$49</f>
        <v>8.83351089542243</v>
      </c>
      <c r="AR34" s="0" t="n">
        <f aca="false">SUM('OD-APUMA(Val)'!C34:AQ34)</f>
        <v>482651</v>
      </c>
      <c r="AS34" s="0" t="n">
        <f aca="false">MAX('OD-APUMA(Val)'!C34:AQ34)</f>
        <v>345176</v>
      </c>
      <c r="AT34" s="2" t="n">
        <f aca="false">SUM(C34:AQ34)/AR34</f>
        <v>0.0385974846605563</v>
      </c>
      <c r="AU34" s="3" t="n">
        <f aca="false">AT34^4</f>
        <v>2.21940220476248E-006</v>
      </c>
    </row>
    <row r="35" customFormat="false" ht="12.75" hidden="false" customHeight="false" outlineLevel="0" collapsed="false">
      <c r="A35" s="0" t="n">
        <v>94</v>
      </c>
      <c r="B35" s="0" t="n">
        <v>559078</v>
      </c>
      <c r="C35" s="1" t="n">
        <f aca="false">'OD-APUMA(Val)'!C35*C$49</f>
        <v>42.8108810823064</v>
      </c>
      <c r="D35" s="1" t="n">
        <f aca="false">'OD-APUMA(Val)'!D35*D$49</f>
        <v>30.1621734755131</v>
      </c>
      <c r="E35" s="1" t="n">
        <f aca="false">'OD-APUMA(Val)'!E35*E$49</f>
        <v>9.17149408530611</v>
      </c>
      <c r="F35" s="1" t="n">
        <f aca="false">'OD-APUMA(Val)'!F35*F$49</f>
        <v>7.07461135299822</v>
      </c>
      <c r="G35" s="1" t="n">
        <f aca="false">'OD-APUMA(Val)'!G35*G$49</f>
        <v>58.1790753159988</v>
      </c>
      <c r="H35" s="1" t="n">
        <f aca="false">'OD-APUMA(Val)'!H35*H$49</f>
        <v>2.70922971848351</v>
      </c>
      <c r="I35" s="1" t="n">
        <f aca="false">'OD-APUMA(Val)'!I35*I$49</f>
        <v>97.9802944584308</v>
      </c>
      <c r="J35" s="1" t="n">
        <f aca="false">'OD-APUMA(Val)'!J35*J$49</f>
        <v>47.9695440172542</v>
      </c>
      <c r="K35" s="1" t="n">
        <f aca="false">'OD-APUMA(Val)'!K35*K$49</f>
        <v>90.5713924699675</v>
      </c>
      <c r="L35" s="1" t="n">
        <f aca="false">'OD-APUMA(Val)'!L35*L$49</f>
        <v>7470.35320874812</v>
      </c>
      <c r="M35" s="1" t="n">
        <f aca="false">'OD-APUMA(Val)'!M35*M$49</f>
        <v>9962.83103039528</v>
      </c>
      <c r="N35" s="1" t="n">
        <f aca="false">'OD-APUMA(Val)'!N35*N$49</f>
        <v>2574</v>
      </c>
      <c r="O35" s="1" t="n">
        <f aca="false">'OD-APUMA(Val)'!O35*O$49</f>
        <v>312</v>
      </c>
      <c r="P35" s="1" t="n">
        <f aca="false">'OD-APUMA(Val)'!P35*P$49</f>
        <v>876.117196588851</v>
      </c>
      <c r="Q35" s="1" t="n">
        <f aca="false">'OD-APUMA(Val)'!Q35*Q$49</f>
        <v>481</v>
      </c>
      <c r="R35" s="1" t="n">
        <f aca="false">'OD-APUMA(Val)'!R35*R$49</f>
        <v>38.5855774183089</v>
      </c>
      <c r="S35" s="1" t="n">
        <f aca="false">'OD-APUMA(Val)'!S35*S$49</f>
        <v>0</v>
      </c>
      <c r="T35" s="1" t="n">
        <f aca="false">'OD-APUMA(Val)'!T35*T$49</f>
        <v>0</v>
      </c>
      <c r="U35" s="1" t="n">
        <f aca="false">'OD-APUMA(Val)'!U35*U$49</f>
        <v>0</v>
      </c>
      <c r="V35" s="1" t="n">
        <f aca="false">'OD-APUMA(Val)'!V35*V$49</f>
        <v>0</v>
      </c>
      <c r="W35" s="1" t="n">
        <f aca="false">'OD-APUMA(Val)'!W35*W$49</f>
        <v>0</v>
      </c>
      <c r="X35" s="1" t="n">
        <f aca="false">'OD-APUMA(Val)'!X35*X$49</f>
        <v>0</v>
      </c>
      <c r="Y35" s="1" t="n">
        <f aca="false">'OD-APUMA(Val)'!Y35*Y$49</f>
        <v>0</v>
      </c>
      <c r="Z35" s="1" t="n">
        <f aca="false">'OD-APUMA(Val)'!Z35*Z$49</f>
        <v>2.30961843498227</v>
      </c>
      <c r="AA35" s="1" t="n">
        <f aca="false">'OD-APUMA(Val)'!AA35*AA$49</f>
        <v>1677</v>
      </c>
      <c r="AB35" s="1" t="n">
        <f aca="false">'OD-APUMA(Val)'!AB35*AB$49</f>
        <v>1495</v>
      </c>
      <c r="AC35" s="1" t="n">
        <f aca="false">'OD-APUMA(Val)'!AC35*AC$49</f>
        <v>3.24122915593464</v>
      </c>
      <c r="AD35" s="1" t="n">
        <f aca="false">'OD-APUMA(Val)'!AD35*AD$49</f>
        <v>0</v>
      </c>
      <c r="AE35" s="1" t="n">
        <f aca="false">'OD-APUMA(Val)'!AE35*AE$49</f>
        <v>31.3218825112691</v>
      </c>
      <c r="AF35" s="1" t="n">
        <f aca="false">'OD-APUMA(Val)'!AF35*AF$49</f>
        <v>4.35430265231084</v>
      </c>
      <c r="AG35" s="1" t="n">
        <f aca="false">'OD-APUMA(Val)'!AG35*AG$49</f>
        <v>22.5573491850616</v>
      </c>
      <c r="AH35" s="1" t="n">
        <f aca="false">'OD-APUMA(Val)'!AH35*AH$49</f>
        <v>0</v>
      </c>
      <c r="AI35" s="1" t="n">
        <v>0</v>
      </c>
      <c r="AJ35" s="1" t="n">
        <f aca="false">'OD-APUMA(Val)'!AJ35*AJ$49</f>
        <v>25.5123534934657</v>
      </c>
      <c r="AK35" s="1" t="n">
        <f aca="false">'OD-APUMA(Val)'!AK35*AK$49</f>
        <v>0</v>
      </c>
      <c r="AL35" s="1" t="n">
        <f aca="false">'OD-APUMA(Val)'!AL35*AL$49</f>
        <v>1807.64776817085</v>
      </c>
      <c r="AM35" s="1" t="n">
        <f aca="false">'OD-APUMA(Val)'!AM35*AM$49</f>
        <v>188.570579480353</v>
      </c>
      <c r="AN35" s="1" t="n">
        <f aca="false">'OD-APUMA(Val)'!AN35*AN$49</f>
        <v>2327</v>
      </c>
      <c r="AO35" s="1" t="n">
        <f aca="false">'OD-APUMA(Val)'!AO35*AO$49</f>
        <v>0</v>
      </c>
      <c r="AP35" s="1" t="n">
        <f aca="false">'OD-APUMA(Val)'!AP35*AP$49</f>
        <v>16.03342541568</v>
      </c>
      <c r="AQ35" s="1" t="n">
        <f aca="false">'OD-APUMA(Val)'!AQ35*AQ$49</f>
        <v>0</v>
      </c>
      <c r="AR35" s="0" t="n">
        <f aca="false">SUM('OD-APUMA(Val)'!C35:AQ35)</f>
        <v>482352</v>
      </c>
      <c r="AS35" s="0" t="n">
        <f aca="false">MAX('OD-APUMA(Val)'!C35:AQ35)</f>
        <v>424983</v>
      </c>
      <c r="AT35" s="2" t="n">
        <f aca="false">SUM(C35:AQ35)/AR35</f>
        <v>0.0615775703586317</v>
      </c>
      <c r="AU35" s="3" t="n">
        <f aca="false">AT35^4</f>
        <v>1.43777257880681E-005</v>
      </c>
    </row>
    <row r="36" customFormat="false" ht="12.75" hidden="false" customHeight="false" outlineLevel="0" collapsed="false">
      <c r="A36" s="0" t="n">
        <v>95</v>
      </c>
      <c r="B36" s="0" t="n">
        <v>822029</v>
      </c>
      <c r="C36" s="1" t="n">
        <f aca="false">'OD-APUMA(Val)'!C36*C$49</f>
        <v>42.8108810823064</v>
      </c>
      <c r="D36" s="1" t="n">
        <f aca="false">'OD-APUMA(Val)'!D36*D$49</f>
        <v>42.3900816412617</v>
      </c>
      <c r="E36" s="1" t="n">
        <f aca="false">'OD-APUMA(Val)'!E36*E$49</f>
        <v>42.8003057314285</v>
      </c>
      <c r="F36" s="1" t="n">
        <f aca="false">'OD-APUMA(Val)'!F36*F$49</f>
        <v>14.1492227059964</v>
      </c>
      <c r="G36" s="1" t="n">
        <f aca="false">'OD-APUMA(Val)'!G36*G$49</f>
        <v>0</v>
      </c>
      <c r="H36" s="1" t="n">
        <f aca="false">'OD-APUMA(Val)'!H36*H$49</f>
        <v>0</v>
      </c>
      <c r="I36" s="1" t="n">
        <f aca="false">'OD-APUMA(Val)'!I36*I$49</f>
        <v>0</v>
      </c>
      <c r="J36" s="1" t="n">
        <f aca="false">'OD-APUMA(Val)'!J36*J$49</f>
        <v>0</v>
      </c>
      <c r="K36" s="1" t="n">
        <f aca="false">'OD-APUMA(Val)'!K36*K$49</f>
        <v>0</v>
      </c>
      <c r="L36" s="1" t="n">
        <f aca="false">'OD-APUMA(Val)'!L36*L$49</f>
        <v>43.0567908285194</v>
      </c>
      <c r="M36" s="1" t="n">
        <f aca="false">'OD-APUMA(Val)'!M36*M$49</f>
        <v>48.129618504325</v>
      </c>
      <c r="N36" s="1" t="n">
        <f aca="false">'OD-APUMA(Val)'!N36*N$49</f>
        <v>260</v>
      </c>
      <c r="O36" s="1" t="n">
        <f aca="false">'OD-APUMA(Val)'!O36*O$49</f>
        <v>156</v>
      </c>
      <c r="P36" s="1" t="n">
        <f aca="false">'OD-APUMA(Val)'!P36*P$49</f>
        <v>161.390009897946</v>
      </c>
      <c r="Q36" s="1" t="n">
        <f aca="false">'OD-APUMA(Val)'!Q36*Q$49</f>
        <v>0</v>
      </c>
      <c r="R36" s="1" t="n">
        <f aca="false">'OD-APUMA(Val)'!R36*R$49</f>
        <v>0</v>
      </c>
      <c r="S36" s="1" t="n">
        <f aca="false">'OD-APUMA(Val)'!S36*S$49</f>
        <v>0</v>
      </c>
      <c r="T36" s="1" t="n">
        <f aca="false">'OD-APUMA(Val)'!T36*T$49</f>
        <v>6.1013646567551</v>
      </c>
      <c r="U36" s="1" t="n">
        <f aca="false">'OD-APUMA(Val)'!U36*U$49</f>
        <v>0</v>
      </c>
      <c r="V36" s="1" t="n">
        <f aca="false">'OD-APUMA(Val)'!V36*V$49</f>
        <v>6.5466383091677</v>
      </c>
      <c r="W36" s="1" t="n">
        <f aca="false">'OD-APUMA(Val)'!W36*W$49</f>
        <v>0</v>
      </c>
      <c r="X36" s="1" t="n">
        <f aca="false">'OD-APUMA(Val)'!X36*X$49</f>
        <v>0</v>
      </c>
      <c r="Y36" s="1" t="n">
        <f aca="false">'OD-APUMA(Val)'!Y36*Y$49</f>
        <v>0.320897750625754</v>
      </c>
      <c r="Z36" s="1" t="n">
        <f aca="false">'OD-APUMA(Val)'!Z36*Z$49</f>
        <v>0</v>
      </c>
      <c r="AA36" s="1" t="n">
        <f aca="false">'OD-APUMA(Val)'!AA36*AA$49</f>
        <v>78</v>
      </c>
      <c r="AB36" s="1" t="n">
        <f aca="false">'OD-APUMA(Val)'!AB36*AB$49</f>
        <v>52</v>
      </c>
      <c r="AC36" s="1" t="n">
        <f aca="false">'OD-APUMA(Val)'!AC36*AC$49</f>
        <v>0</v>
      </c>
      <c r="AD36" s="1" t="n">
        <f aca="false">'OD-APUMA(Val)'!AD36*AD$49</f>
        <v>47.2248420695927</v>
      </c>
      <c r="AE36" s="1" t="n">
        <f aca="false">'OD-APUMA(Val)'!AE36*AE$49</f>
        <v>10698.1629821824</v>
      </c>
      <c r="AF36" s="1" t="n">
        <f aca="false">'OD-APUMA(Val)'!AF36*AF$49</f>
        <v>5.89111535312643</v>
      </c>
      <c r="AG36" s="1" t="n">
        <f aca="false">'OD-APUMA(Val)'!AG36*AG$49</f>
        <v>3961.41755303813</v>
      </c>
      <c r="AH36" s="1" t="n">
        <f aca="false">'OD-APUMA(Val)'!AH36*AH$49</f>
        <v>6472.79770506535</v>
      </c>
      <c r="AI36" s="1" t="n">
        <f aca="false">'OD-APUMA(Val)'!AI36*AI$49</f>
        <v>0</v>
      </c>
      <c r="AJ36" s="1" t="n">
        <v>0</v>
      </c>
      <c r="AK36" s="1" t="n">
        <f aca="false">'OD-APUMA(Val)'!AK36*AK$49</f>
        <v>0</v>
      </c>
      <c r="AL36" s="1" t="n">
        <f aca="false">'OD-APUMA(Val)'!AL36*AL$49</f>
        <v>37.0419624625174</v>
      </c>
      <c r="AM36" s="1" t="n">
        <f aca="false">'OD-APUMA(Val)'!AM36*AM$49</f>
        <v>34.1031899060212</v>
      </c>
      <c r="AN36" s="1" t="n">
        <f aca="false">'OD-APUMA(Val)'!AN36*AN$49</f>
        <v>0</v>
      </c>
      <c r="AO36" s="1" t="n">
        <f aca="false">'OD-APUMA(Val)'!AO36*AO$49</f>
        <v>55.827426843361</v>
      </c>
      <c r="AP36" s="1" t="n">
        <f aca="false">'OD-APUMA(Val)'!AP36*AP$49</f>
        <v>5.72622336274287</v>
      </c>
      <c r="AQ36" s="1" t="n">
        <f aca="false">'OD-APUMA(Val)'!AQ36*AQ$49</f>
        <v>24.5375302650623</v>
      </c>
      <c r="AR36" s="0" t="n">
        <f aca="false">SUM('OD-APUMA(Val)'!C36:AQ36)</f>
        <v>607932</v>
      </c>
      <c r="AS36" s="0" t="n">
        <f aca="false">MAX('OD-APUMA(Val)'!C36:AQ36)</f>
        <v>414232</v>
      </c>
      <c r="AT36" s="2" t="n">
        <f aca="false">SUM(C36:AQ36)/AR36</f>
        <v>0.036675855756329</v>
      </c>
      <c r="AU36" s="3" t="n">
        <f aca="false">AT36^4</f>
        <v>1.80934349780233E-006</v>
      </c>
    </row>
    <row r="37" customFormat="false" ht="12.75" hidden="false" customHeight="false" outlineLevel="0" collapsed="false">
      <c r="A37" s="0" t="n">
        <v>96</v>
      </c>
      <c r="B37" s="0" t="n">
        <v>1264757</v>
      </c>
      <c r="C37" s="1" t="n">
        <f aca="false">'OD-APUMA(Val)'!C37*C$49</f>
        <v>62.7892922540494</v>
      </c>
      <c r="D37" s="1" t="n">
        <f aca="false">'OD-APUMA(Val)'!D37*D$49</f>
        <v>10.5975204103154</v>
      </c>
      <c r="E37" s="1" t="n">
        <f aca="false">'OD-APUMA(Val)'!E37*E$49</f>
        <v>10.1905489836735</v>
      </c>
      <c r="F37" s="1" t="n">
        <f aca="false">'OD-APUMA(Val)'!F37*F$49</f>
        <v>26.5297925737433</v>
      </c>
      <c r="G37" s="1" t="n">
        <f aca="false">'OD-APUMA(Val)'!G37*G$49</f>
        <v>15.8670205407269</v>
      </c>
      <c r="H37" s="1" t="n">
        <f aca="false">'OD-APUMA(Val)'!H37*H$49</f>
        <v>2.08402286037193</v>
      </c>
      <c r="I37" s="1" t="n">
        <f aca="false">'OD-APUMA(Val)'!I37*I$49</f>
        <v>50.5704745591901</v>
      </c>
      <c r="J37" s="1" t="n">
        <f aca="false">'OD-APUMA(Val)'!J37*J$49</f>
        <v>29.072450919548</v>
      </c>
      <c r="K37" s="1" t="n">
        <f aca="false">'OD-APUMA(Val)'!K37*K$49</f>
        <v>30.1904641566558</v>
      </c>
      <c r="L37" s="1" t="n">
        <f aca="false">'OD-APUMA(Val)'!L37*L$49</f>
        <v>0</v>
      </c>
      <c r="M37" s="1" t="n">
        <f aca="false">'OD-APUMA(Val)'!M37*M$49</f>
        <v>104.280840092704</v>
      </c>
      <c r="N37" s="1" t="n">
        <f aca="false">'OD-APUMA(Val)'!N37*N$49</f>
        <v>260</v>
      </c>
      <c r="O37" s="1" t="n">
        <f aca="false">'OD-APUMA(Val)'!O37*O$49</f>
        <v>143</v>
      </c>
      <c r="P37" s="1" t="n">
        <f aca="false">'OD-APUMA(Val)'!P37*P$49</f>
        <v>714.727186690905</v>
      </c>
      <c r="Q37" s="1" t="n">
        <f aca="false">'OD-APUMA(Val)'!Q37*Q$49</f>
        <v>949</v>
      </c>
      <c r="R37" s="1" t="n">
        <f aca="false">'OD-APUMA(Val)'!R37*R$49</f>
        <v>14.8926790035578</v>
      </c>
      <c r="S37" s="1" t="n">
        <f aca="false">'OD-APUMA(Val)'!S37*S$49</f>
        <v>0</v>
      </c>
      <c r="T37" s="1" t="n">
        <f aca="false">'OD-APUMA(Val)'!T37*T$49</f>
        <v>10.846870500898</v>
      </c>
      <c r="U37" s="1" t="n">
        <f aca="false">'OD-APUMA(Val)'!U37*U$49</f>
        <v>8.39738688839141</v>
      </c>
      <c r="V37" s="1" t="n">
        <f aca="false">'OD-APUMA(Val)'!V37*V$49</f>
        <v>2.69567459789258</v>
      </c>
      <c r="W37" s="1" t="n">
        <f aca="false">'OD-APUMA(Val)'!W37*W$49</f>
        <v>0.563714792048577</v>
      </c>
      <c r="X37" s="1" t="n">
        <f aca="false">'OD-APUMA(Val)'!X37*X$49</f>
        <v>18.9658620186362</v>
      </c>
      <c r="Y37" s="1" t="n">
        <f aca="false">'OD-APUMA(Val)'!Y37*Y$49</f>
        <v>0.18719035453169</v>
      </c>
      <c r="Z37" s="1" t="n">
        <f aca="false">'OD-APUMA(Val)'!Z37*Z$49</f>
        <v>0</v>
      </c>
      <c r="AA37" s="1" t="n">
        <f aca="false">'OD-APUMA(Val)'!AA37*AA$49</f>
        <v>1287</v>
      </c>
      <c r="AB37" s="1" t="n">
        <f aca="false">'OD-APUMA(Val)'!AB37*AB$49</f>
        <v>182</v>
      </c>
      <c r="AC37" s="1" t="n">
        <f aca="false">'OD-APUMA(Val)'!AC37*AC$49</f>
        <v>3.96150230169789</v>
      </c>
      <c r="AD37" s="1" t="n">
        <f aca="false">'OD-APUMA(Val)'!AD37*AD$49</f>
        <v>11.2440100165697</v>
      </c>
      <c r="AE37" s="1" t="n">
        <f aca="false">'OD-APUMA(Val)'!AE37*AE$49</f>
        <v>680.960927189444</v>
      </c>
      <c r="AF37" s="1" t="n">
        <f aca="false">'OD-APUMA(Val)'!AF37*AF$49</f>
        <v>6.91565715367015</v>
      </c>
      <c r="AG37" s="1" t="n">
        <f aca="false">'OD-APUMA(Val)'!AG37*AG$49</f>
        <v>1743.85661007592</v>
      </c>
      <c r="AH37" s="1" t="n">
        <f aca="false">'OD-APUMA(Val)'!AH37*AH$49</f>
        <v>975.228806299265</v>
      </c>
      <c r="AI37" s="1" t="n">
        <f aca="false">'OD-APUMA(Val)'!AI37*AI$49</f>
        <v>30.8016385891992</v>
      </c>
      <c r="AJ37" s="1" t="n">
        <f aca="false">'OD-APUMA(Val)'!AJ37*AJ$49</f>
        <v>285.738359126816</v>
      </c>
      <c r="AK37" s="1" t="n">
        <v>0</v>
      </c>
      <c r="AL37" s="1" t="n">
        <f aca="false">'OD-APUMA(Val)'!AL37*AL$49</f>
        <v>48.1545512012727</v>
      </c>
      <c r="AM37" s="1" t="n">
        <f aca="false">'OD-APUMA(Val)'!AM37*AM$49</f>
        <v>62.1881698286269</v>
      </c>
      <c r="AN37" s="1" t="n">
        <f aca="false">'OD-APUMA(Val)'!AN37*AN$49</f>
        <v>65</v>
      </c>
      <c r="AO37" s="1" t="n">
        <f aca="false">'OD-APUMA(Val)'!AO37*AO$49</f>
        <v>43.4213319892808</v>
      </c>
      <c r="AP37" s="1" t="n">
        <f aca="false">'OD-APUMA(Val)'!AP37*AP$49</f>
        <v>20.6144041058743</v>
      </c>
      <c r="AQ37" s="1" t="n">
        <f aca="false">'OD-APUMA(Val)'!AQ37*AQ$49</f>
        <v>32.3895399498822</v>
      </c>
      <c r="AR37" s="0" t="n">
        <f aca="false">SUM('OD-APUMA(Val)'!C37:AQ37)</f>
        <v>1221532</v>
      </c>
      <c r="AS37" s="0" t="n">
        <f aca="false">MAX('OD-APUMA(Val)'!C37:AQ37)</f>
        <v>1184040</v>
      </c>
      <c r="AT37" s="2" t="n">
        <f aca="false">SUM(C37:AQ37)/AR37</f>
        <v>0.00650406579608668</v>
      </c>
      <c r="AU37" s="3" t="n">
        <f aca="false">AT37^4</f>
        <v>1.78953296928086E-009</v>
      </c>
    </row>
    <row r="38" customFormat="false" ht="12.75" hidden="false" customHeight="false" outlineLevel="0" collapsed="false">
      <c r="A38" s="0" t="n">
        <v>97</v>
      </c>
      <c r="B38" s="0" t="n">
        <v>154115</v>
      </c>
      <c r="C38" s="1" t="n">
        <f aca="false">'OD-APUMA(Val)'!C38*C$49</f>
        <v>0</v>
      </c>
      <c r="D38" s="1" t="n">
        <f aca="false">'OD-APUMA(Val)'!D38*D$49</f>
        <v>0</v>
      </c>
      <c r="E38" s="1" t="n">
        <f aca="false">'OD-APUMA(Val)'!E38*E$49</f>
        <v>0</v>
      </c>
      <c r="F38" s="1" t="n">
        <f aca="false">'OD-APUMA(Val)'!F38*F$49</f>
        <v>0</v>
      </c>
      <c r="G38" s="1" t="n">
        <f aca="false">'OD-APUMA(Val)'!G38*G$49</f>
        <v>0</v>
      </c>
      <c r="H38" s="1" t="n">
        <f aca="false">'OD-APUMA(Val)'!H38*H$49</f>
        <v>0</v>
      </c>
      <c r="I38" s="1" t="n">
        <f aca="false">'OD-APUMA(Val)'!I38*I$49</f>
        <v>0</v>
      </c>
      <c r="J38" s="1" t="n">
        <f aca="false">'OD-APUMA(Val)'!J38*J$49</f>
        <v>0</v>
      </c>
      <c r="K38" s="1" t="n">
        <f aca="false">'OD-APUMA(Val)'!K38*K$49</f>
        <v>0</v>
      </c>
      <c r="L38" s="1" t="n">
        <f aca="false">'OD-APUMA(Val)'!L38*L$49</f>
        <v>53.8209885356493</v>
      </c>
      <c r="M38" s="1" t="n">
        <f aca="false">'OD-APUMA(Val)'!M38*M$49</f>
        <v>0</v>
      </c>
      <c r="N38" s="1" t="n">
        <f aca="false">'OD-APUMA(Val)'!N38*N$49</f>
        <v>0</v>
      </c>
      <c r="O38" s="1" t="n">
        <f aca="false">'OD-APUMA(Val)'!O38*O$49</f>
        <v>0</v>
      </c>
      <c r="P38" s="1" t="n">
        <f aca="false">'OD-APUMA(Val)'!P38*P$49</f>
        <v>345.835735495599</v>
      </c>
      <c r="Q38" s="1" t="n">
        <f aca="false">'OD-APUMA(Val)'!Q38*Q$49</f>
        <v>728</v>
      </c>
      <c r="R38" s="1" t="n">
        <f aca="false">'OD-APUMA(Val)'!R38*R$49</f>
        <v>4.73857968295022</v>
      </c>
      <c r="S38" s="1" t="n">
        <f aca="false">'OD-APUMA(Val)'!S38*S$49</f>
        <v>0</v>
      </c>
      <c r="T38" s="1" t="n">
        <f aca="false">'OD-APUMA(Val)'!T38*T$49</f>
        <v>4.74550584414286</v>
      </c>
      <c r="U38" s="1" t="n">
        <f aca="false">'OD-APUMA(Val)'!U38*U$49</f>
        <v>0</v>
      </c>
      <c r="V38" s="1" t="n">
        <f aca="false">'OD-APUMA(Val)'!V38*V$49</f>
        <v>1.92548185563756</v>
      </c>
      <c r="W38" s="1" t="n">
        <f aca="false">'OD-APUMA(Val)'!W38*W$49</f>
        <v>0</v>
      </c>
      <c r="X38" s="1" t="n">
        <f aca="false">'OD-APUMA(Val)'!X38*X$49</f>
        <v>0</v>
      </c>
      <c r="Y38" s="1" t="n">
        <f aca="false">'OD-APUMA(Val)'!Y38*Y$49</f>
        <v>0</v>
      </c>
      <c r="Z38" s="1" t="n">
        <f aca="false">'OD-APUMA(Val)'!Z38*Z$49</f>
        <v>0</v>
      </c>
      <c r="AA38" s="1" t="n">
        <f aca="false">'OD-APUMA(Val)'!AA38*AA$49</f>
        <v>9776</v>
      </c>
      <c r="AB38" s="1" t="n">
        <f aca="false">'OD-APUMA(Val)'!AB38*AB$49</f>
        <v>2015</v>
      </c>
      <c r="AC38" s="1" t="n">
        <f aca="false">'OD-APUMA(Val)'!AC38*AC$49</f>
        <v>2.52095601017139</v>
      </c>
      <c r="AD38" s="1" t="n">
        <f aca="false">'OD-APUMA(Val)'!AD38*AD$49</f>
        <v>0</v>
      </c>
      <c r="AE38" s="1" t="n">
        <f aca="false">'OD-APUMA(Val)'!AE38*AE$49</f>
        <v>5.80034861319799</v>
      </c>
      <c r="AF38" s="1" t="n">
        <f aca="false">'OD-APUMA(Val)'!AF38*AF$49</f>
        <v>0</v>
      </c>
      <c r="AG38" s="1" t="n">
        <f aca="false">'OD-APUMA(Val)'!AG38*AG$49</f>
        <v>0</v>
      </c>
      <c r="AH38" s="1" t="n">
        <f aca="false">'OD-APUMA(Val)'!AH38*AH$49</f>
        <v>0</v>
      </c>
      <c r="AI38" s="1" t="n">
        <f aca="false">'OD-APUMA(Val)'!AI38*AI$49</f>
        <v>302.580802611545</v>
      </c>
      <c r="AJ38" s="1" t="n">
        <f aca="false">'OD-APUMA(Val)'!AJ38*AJ$49</f>
        <v>0</v>
      </c>
      <c r="AK38" s="1" t="n">
        <f aca="false">'OD-APUMA(Val)'!AK38*AK$49</f>
        <v>0</v>
      </c>
      <c r="AL38" s="1" t="n">
        <v>0</v>
      </c>
      <c r="AM38" s="1" t="n">
        <f aca="false">'OD-APUMA(Val)'!AM38*AM$49</f>
        <v>487.475008656656</v>
      </c>
      <c r="AN38" s="1" t="n">
        <f aca="false">'OD-APUMA(Val)'!AN38*AN$49</f>
        <v>234</v>
      </c>
      <c r="AO38" s="1" t="n">
        <f aca="false">'OD-APUMA(Val)'!AO38*AO$49</f>
        <v>0</v>
      </c>
      <c r="AP38" s="1" t="n">
        <f aca="false">'OD-APUMA(Val)'!AP38*AP$49</f>
        <v>434.047730895909</v>
      </c>
      <c r="AQ38" s="1" t="n">
        <f aca="false">'OD-APUMA(Val)'!AQ38*AQ$49</f>
        <v>0</v>
      </c>
      <c r="AR38" s="0" t="n">
        <f aca="false">SUM('OD-APUMA(Val)'!C38:AQ38)</f>
        <v>109590</v>
      </c>
      <c r="AS38" s="0" t="n">
        <f aca="false">MAX('OD-APUMA(Val)'!C38:AQ38)</f>
        <v>85462</v>
      </c>
      <c r="AT38" s="2" t="n">
        <f aca="false">SUM(C38:AQ38)/AR38</f>
        <v>0.131366832176307</v>
      </c>
      <c r="AU38" s="3" t="n">
        <f aca="false">AT38^4</f>
        <v>0.000297812491047481</v>
      </c>
    </row>
    <row r="39" customFormat="false" ht="12.75" hidden="false" customHeight="false" outlineLevel="0" collapsed="false">
      <c r="A39" s="0" t="n">
        <v>98</v>
      </c>
      <c r="B39" s="0" t="n">
        <v>686517</v>
      </c>
      <c r="C39" s="1" t="n">
        <f aca="false">'OD-APUMA(Val)'!C39*C$49</f>
        <v>9.9892055858715</v>
      </c>
      <c r="D39" s="1" t="n">
        <f aca="false">'OD-APUMA(Val)'!D39*D$49</f>
        <v>8.96713265488228</v>
      </c>
      <c r="E39" s="1" t="n">
        <f aca="false">'OD-APUMA(Val)'!E39*E$49</f>
        <v>18.3429881706122</v>
      </c>
      <c r="F39" s="1" t="n">
        <f aca="false">'OD-APUMA(Val)'!F39*F$49</f>
        <v>12.3805698677469</v>
      </c>
      <c r="G39" s="1" t="n">
        <f aca="false">'OD-APUMA(Val)'!G39*G$49</f>
        <v>0</v>
      </c>
      <c r="H39" s="1" t="n">
        <f aca="false">'OD-APUMA(Val)'!H39*H$49</f>
        <v>0</v>
      </c>
      <c r="I39" s="1" t="n">
        <f aca="false">'OD-APUMA(Val)'!I39*I$49</f>
        <v>0</v>
      </c>
      <c r="J39" s="1" t="n">
        <f aca="false">'OD-APUMA(Val)'!J39*J$49</f>
        <v>0</v>
      </c>
      <c r="K39" s="1" t="n">
        <f aca="false">'OD-APUMA(Val)'!K39*K$49</f>
        <v>0</v>
      </c>
      <c r="L39" s="1" t="n">
        <f aca="false">'OD-APUMA(Val)'!L39*L$49</f>
        <v>139.934570192688</v>
      </c>
      <c r="M39" s="1" t="n">
        <f aca="false">'OD-APUMA(Val)'!M39*M$49</f>
        <v>96.25923700865</v>
      </c>
      <c r="N39" s="1" t="n">
        <f aca="false">'OD-APUMA(Val)'!N39*N$49</f>
        <v>52</v>
      </c>
      <c r="O39" s="1" t="n">
        <f aca="false">'OD-APUMA(Val)'!O39*O$49</f>
        <v>468</v>
      </c>
      <c r="P39" s="1" t="n">
        <f aca="false">'OD-APUMA(Val)'!P39*P$49</f>
        <v>4795.58886553897</v>
      </c>
      <c r="Q39" s="1" t="n">
        <f aca="false">'OD-APUMA(Val)'!Q39*Q$49</f>
        <v>32188</v>
      </c>
      <c r="R39" s="1" t="n">
        <f aca="false">'OD-APUMA(Val)'!R39*R$49</f>
        <v>0</v>
      </c>
      <c r="S39" s="1" t="n">
        <f aca="false">'OD-APUMA(Val)'!S39*S$49</f>
        <v>174.2004470105</v>
      </c>
      <c r="T39" s="1" t="n">
        <f aca="false">'OD-APUMA(Val)'!T39*T$49</f>
        <v>0</v>
      </c>
      <c r="U39" s="1" t="n">
        <f aca="false">'OD-APUMA(Val)'!U39*U$49</f>
        <v>0</v>
      </c>
      <c r="V39" s="1" t="n">
        <f aca="false">'OD-APUMA(Val)'!V39*V$49</f>
        <v>1.92548185563756</v>
      </c>
      <c r="W39" s="1" t="n">
        <f aca="false">'OD-APUMA(Val)'!W39*W$49</f>
        <v>0</v>
      </c>
      <c r="X39" s="1" t="n">
        <f aca="false">'OD-APUMA(Val)'!X39*X$49</f>
        <v>547.092173614507</v>
      </c>
      <c r="Y39" s="1" t="n">
        <f aca="false">'OD-APUMA(Val)'!Y39*Y$49</f>
        <v>0</v>
      </c>
      <c r="Z39" s="1" t="n">
        <f aca="false">'OD-APUMA(Val)'!Z39*Z$49</f>
        <v>5.77404608745568</v>
      </c>
      <c r="AA39" s="1" t="n">
        <f aca="false">'OD-APUMA(Val)'!AA39*AA$49</f>
        <v>23764</v>
      </c>
      <c r="AB39" s="1" t="n">
        <f aca="false">'OD-APUMA(Val)'!AB39*AB$49</f>
        <v>12389</v>
      </c>
      <c r="AC39" s="1" t="n">
        <f aca="false">'OD-APUMA(Val)'!AC39*AC$49</f>
        <v>0</v>
      </c>
      <c r="AD39" s="1" t="n">
        <f aca="false">'OD-APUMA(Val)'!AD39*AD$49</f>
        <v>5.62200500828484</v>
      </c>
      <c r="AE39" s="1" t="n">
        <f aca="false">'OD-APUMA(Val)'!AE39*AE$49</f>
        <v>87.0052291979698</v>
      </c>
      <c r="AF39" s="1" t="n">
        <f aca="false">'OD-APUMA(Val)'!AF39*AF$49</f>
        <v>14.0874497574762</v>
      </c>
      <c r="AG39" s="1" t="n">
        <f aca="false">'OD-APUMA(Val)'!AG39*AG$49</f>
        <v>20.8221684785184</v>
      </c>
      <c r="AH39" s="1" t="n">
        <f aca="false">'OD-APUMA(Val)'!AH39*AH$49</f>
        <v>0</v>
      </c>
      <c r="AI39" s="1" t="n">
        <f aca="false">'OD-APUMA(Val)'!AI39*AI$49</f>
        <v>103.276082328491</v>
      </c>
      <c r="AJ39" s="1" t="n">
        <f aca="false">'OD-APUMA(Val)'!AJ39*AJ$49</f>
        <v>0</v>
      </c>
      <c r="AK39" s="1" t="n">
        <f aca="false">'OD-APUMA(Val)'!AK39*AK$49</f>
        <v>0</v>
      </c>
      <c r="AL39" s="1" t="n">
        <f aca="false">'OD-APUMA(Val)'!AL39*AL$49</f>
        <v>222.251774775105</v>
      </c>
      <c r="AM39" s="1" t="n">
        <v>0</v>
      </c>
      <c r="AN39" s="1" t="n">
        <f aca="false">'OD-APUMA(Val)'!AN39*AN$49</f>
        <v>403</v>
      </c>
      <c r="AO39" s="1" t="n">
        <f aca="false">'OD-APUMA(Val)'!AO39*AO$49</f>
        <v>130.263995967842</v>
      </c>
      <c r="AP39" s="1" t="n">
        <f aca="false">'OD-APUMA(Val)'!AP39*AP$49</f>
        <v>13.7429360705829</v>
      </c>
      <c r="AQ39" s="1" t="n">
        <f aca="false">'OD-APUMA(Val)'!AQ39*AQ$49</f>
        <v>9.81501210602492</v>
      </c>
      <c r="AR39" s="0" t="n">
        <f aca="false">SUM('OD-APUMA(Val)'!C39:AQ39)</f>
        <v>804063</v>
      </c>
      <c r="AS39" s="0" t="n">
        <f aca="false">MAX('OD-APUMA(Val)'!C39:AQ39)</f>
        <v>714948</v>
      </c>
      <c r="AT39" s="2" t="n">
        <f aca="false">SUM(C39:AQ39)/AR39</f>
        <v>0.0941236462457268</v>
      </c>
      <c r="AU39" s="3" t="n">
        <f aca="false">AT39^4</f>
        <v>7.84865016139499E-005</v>
      </c>
    </row>
    <row r="40" customFormat="false" ht="12.75" hidden="false" customHeight="false" outlineLevel="0" collapsed="false">
      <c r="A40" s="0" t="n">
        <v>99</v>
      </c>
      <c r="B40" s="0" t="n">
        <v>183391</v>
      </c>
      <c r="C40" s="1" t="n">
        <f aca="false">'OD-APUMA(Val)'!C40*C$49</f>
        <v>14.2702936941021</v>
      </c>
      <c r="D40" s="1" t="n">
        <f aca="false">'OD-APUMA(Val)'!D40*D$49</f>
        <v>0</v>
      </c>
      <c r="E40" s="1" t="n">
        <f aca="false">'OD-APUMA(Val)'!E40*E$49</f>
        <v>0</v>
      </c>
      <c r="F40" s="1" t="n">
        <f aca="false">'OD-APUMA(Val)'!F40*F$49</f>
        <v>0</v>
      </c>
      <c r="G40" s="1" t="n">
        <f aca="false">'OD-APUMA(Val)'!G40*G$49</f>
        <v>0</v>
      </c>
      <c r="H40" s="1" t="n">
        <f aca="false">'OD-APUMA(Val)'!H40*H$49</f>
        <v>0</v>
      </c>
      <c r="I40" s="1" t="n">
        <f aca="false">'OD-APUMA(Val)'!I40*I$49</f>
        <v>0</v>
      </c>
      <c r="J40" s="1" t="n">
        <f aca="false">'OD-APUMA(Val)'!J40*J$49</f>
        <v>11.6289803678192</v>
      </c>
      <c r="K40" s="1" t="n">
        <f aca="false">'OD-APUMA(Val)'!K40*K$49</f>
        <v>1630.28506445942</v>
      </c>
      <c r="L40" s="1" t="n">
        <f aca="false">'OD-APUMA(Val)'!L40*L$49</f>
        <v>1114.09446268794</v>
      </c>
      <c r="M40" s="1" t="n">
        <f aca="false">'OD-APUMA(Val)'!M40*M$49</f>
        <v>160.432061681083</v>
      </c>
      <c r="N40" s="1" t="n">
        <f aca="false">'OD-APUMA(Val)'!N40*N$49</f>
        <v>91</v>
      </c>
      <c r="O40" s="1" t="n">
        <f aca="false">'OD-APUMA(Val)'!O40*O$49</f>
        <v>1508</v>
      </c>
      <c r="P40" s="1" t="n">
        <f aca="false">'OD-APUMA(Val)'!P40*P$49</f>
        <v>4887.8117283378</v>
      </c>
      <c r="Q40" s="1" t="n">
        <f aca="false">'OD-APUMA(Val)'!Q40*Q$49</f>
        <v>2535</v>
      </c>
      <c r="R40" s="1" t="n">
        <f aca="false">'OD-APUMA(Val)'!R40*R$49</f>
        <v>0</v>
      </c>
      <c r="S40" s="1" t="n">
        <f aca="false">'OD-APUMA(Val)'!S40*S$49</f>
        <v>9.57145313244503</v>
      </c>
      <c r="T40" s="1" t="n">
        <f aca="false">'OD-APUMA(Val)'!T40*T$49</f>
        <v>2.71171762522449</v>
      </c>
      <c r="U40" s="1" t="n">
        <f aca="false">'OD-APUMA(Val)'!U40*U$49</f>
        <v>0</v>
      </c>
      <c r="V40" s="1" t="n">
        <f aca="false">'OD-APUMA(Val)'!V40*V$49</f>
        <v>0</v>
      </c>
      <c r="W40" s="1" t="n">
        <f aca="false">'OD-APUMA(Val)'!W40*W$49</f>
        <v>0</v>
      </c>
      <c r="X40" s="1" t="n">
        <f aca="false">'OD-APUMA(Val)'!X40*X$49</f>
        <v>0</v>
      </c>
      <c r="Y40" s="1" t="n">
        <f aca="false">'OD-APUMA(Val)'!Y40*Y$49</f>
        <v>0</v>
      </c>
      <c r="Z40" s="1" t="n">
        <f aca="false">'OD-APUMA(Val)'!Z40*Z$49</f>
        <v>4.61923686996454</v>
      </c>
      <c r="AA40" s="1" t="n">
        <f aca="false">'OD-APUMA(Val)'!AA40*AA$49</f>
        <v>9542</v>
      </c>
      <c r="AB40" s="1" t="n">
        <f aca="false">'OD-APUMA(Val)'!AB40*AB$49</f>
        <v>23712</v>
      </c>
      <c r="AC40" s="1" t="n">
        <f aca="false">'OD-APUMA(Val)'!AC40*AC$49</f>
        <v>0</v>
      </c>
      <c r="AD40" s="1" t="n">
        <f aca="false">'OD-APUMA(Val)'!AD40*AD$49</f>
        <v>0</v>
      </c>
      <c r="AE40" s="1" t="n">
        <f aca="false">'OD-APUMA(Val)'!AE40*AE$49</f>
        <v>6.96041833583758</v>
      </c>
      <c r="AF40" s="1" t="n">
        <f aca="false">'OD-APUMA(Val)'!AF40*AF$49</f>
        <v>1.53681270081559</v>
      </c>
      <c r="AG40" s="1" t="n">
        <f aca="false">'OD-APUMA(Val)'!AG40*AG$49</f>
        <v>22.5573491850616</v>
      </c>
      <c r="AH40" s="1" t="n">
        <f aca="false">'OD-APUMA(Val)'!AH40*AH$49</f>
        <v>0</v>
      </c>
      <c r="AI40" s="1" t="n">
        <f aca="false">'OD-APUMA(Val)'!AI40*AI$49</f>
        <v>527.251578203351</v>
      </c>
      <c r="AJ40" s="1" t="n">
        <f aca="false">'OD-APUMA(Val)'!AJ40*AJ$49</f>
        <v>0</v>
      </c>
      <c r="AK40" s="1" t="n">
        <f aca="false">'OD-APUMA(Val)'!AK40*AK$49</f>
        <v>0</v>
      </c>
      <c r="AL40" s="1" t="n">
        <f aca="false">'OD-APUMA(Val)'!AL40*AL$49</f>
        <v>44.4503549550209</v>
      </c>
      <c r="AM40" s="1" t="n">
        <f aca="false">'OD-APUMA(Val)'!AM40*AM$49</f>
        <v>144.437039601972</v>
      </c>
      <c r="AN40" s="1" t="n">
        <v>0</v>
      </c>
      <c r="AO40" s="1" t="n">
        <f aca="false">'OD-APUMA(Val)'!AO40*AO$49</f>
        <v>533.46207872545</v>
      </c>
      <c r="AP40" s="1" t="n">
        <f aca="false">'OD-APUMA(Val)'!AP40*AP$49</f>
        <v>8.01671270784001</v>
      </c>
      <c r="AQ40" s="1" t="n">
        <f aca="false">'OD-APUMA(Val)'!AQ40*AQ$49</f>
        <v>0</v>
      </c>
      <c r="AR40" s="0" t="n">
        <f aca="false">SUM('OD-APUMA(Val)'!C40:AQ40)</f>
        <v>158938</v>
      </c>
      <c r="AS40" s="0" t="n">
        <f aca="false">MAX('OD-APUMA(Val)'!C40:AQ40)</f>
        <v>99255</v>
      </c>
      <c r="AT40" s="2" t="n">
        <f aca="false">SUM(C40:AQ40)/AR40</f>
        <v>0.29264302648373</v>
      </c>
      <c r="AU40" s="3" t="n">
        <f aca="false">AT40^4</f>
        <v>0.00733419948584366</v>
      </c>
    </row>
    <row r="41" customFormat="false" ht="12.75" hidden="false" customHeight="false" outlineLevel="0" collapsed="false">
      <c r="A41" s="0" t="n">
        <v>100</v>
      </c>
      <c r="B41" s="0" t="n">
        <v>195936</v>
      </c>
      <c r="C41" s="1" t="n">
        <f aca="false">'OD-APUMA(Val)'!C41*C$49</f>
        <v>17.1243524329226</v>
      </c>
      <c r="D41" s="1" t="n">
        <f aca="false">'OD-APUMA(Val)'!D41*D$49</f>
        <v>5.706357144016</v>
      </c>
      <c r="E41" s="1" t="n">
        <f aca="false">'OD-APUMA(Val)'!E41*E$49</f>
        <v>10.1905489836735</v>
      </c>
      <c r="F41" s="1" t="n">
        <f aca="false">'OD-APUMA(Val)'!F41*F$49</f>
        <v>40.6790152797398</v>
      </c>
      <c r="G41" s="1" t="n">
        <f aca="false">'OD-APUMA(Val)'!G41*G$49</f>
        <v>0</v>
      </c>
      <c r="H41" s="1" t="n">
        <f aca="false">'OD-APUMA(Val)'!H41*H$49</f>
        <v>0</v>
      </c>
      <c r="I41" s="1" t="n">
        <f aca="false">'OD-APUMA(Val)'!I41*I$49</f>
        <v>0</v>
      </c>
      <c r="J41" s="1" t="n">
        <f aca="false">'OD-APUMA(Val)'!J41*J$49</f>
        <v>0</v>
      </c>
      <c r="K41" s="1" t="n">
        <f aca="false">'OD-APUMA(Val)'!K41*K$49</f>
        <v>628.968003263663</v>
      </c>
      <c r="L41" s="1" t="n">
        <f aca="false">'OD-APUMA(Val)'!L41*L$49</f>
        <v>53.8209885356493</v>
      </c>
      <c r="M41" s="1" t="n">
        <f aca="false">'OD-APUMA(Val)'!M41*M$49</f>
        <v>0</v>
      </c>
      <c r="N41" s="1" t="n">
        <f aca="false">'OD-APUMA(Val)'!N41*N$49</f>
        <v>78</v>
      </c>
      <c r="O41" s="1" t="n">
        <f aca="false">'OD-APUMA(Val)'!O41*O$49</f>
        <v>17290</v>
      </c>
      <c r="P41" s="1" t="n">
        <f aca="false">'OD-APUMA(Val)'!P41*P$49</f>
        <v>5095.31316963516</v>
      </c>
      <c r="Q41" s="1" t="n">
        <f aca="false">'OD-APUMA(Val)'!Q41*Q$49</f>
        <v>1313</v>
      </c>
      <c r="R41" s="1" t="n">
        <f aca="false">'OD-APUMA(Val)'!R41*R$49</f>
        <v>0</v>
      </c>
      <c r="S41" s="1" t="n">
        <f aca="false">'OD-APUMA(Val)'!S41*S$49</f>
        <v>0</v>
      </c>
      <c r="T41" s="1" t="n">
        <f aca="false">'OD-APUMA(Val)'!T41*T$49</f>
        <v>0</v>
      </c>
      <c r="U41" s="1" t="n">
        <f aca="false">'OD-APUMA(Val)'!U41*U$49</f>
        <v>0</v>
      </c>
      <c r="V41" s="1" t="n">
        <f aca="false">'OD-APUMA(Val)'!V41*V$49</f>
        <v>0</v>
      </c>
      <c r="W41" s="1" t="n">
        <f aca="false">'OD-APUMA(Val)'!W41*W$49</f>
        <v>0</v>
      </c>
      <c r="X41" s="1" t="n">
        <f aca="false">'OD-APUMA(Val)'!X41*X$49</f>
        <v>0</v>
      </c>
      <c r="Y41" s="1" t="n">
        <f aca="false">'OD-APUMA(Val)'!Y41*Y$49</f>
        <v>0</v>
      </c>
      <c r="Z41" s="1" t="n">
        <f aca="false">'OD-APUMA(Val)'!Z41*Z$49</f>
        <v>4.04183226121897</v>
      </c>
      <c r="AA41" s="1" t="n">
        <f aca="false">'OD-APUMA(Val)'!AA41*AA$49</f>
        <v>2171</v>
      </c>
      <c r="AB41" s="1" t="n">
        <f aca="false">'OD-APUMA(Val)'!AB41*AB$49</f>
        <v>1365</v>
      </c>
      <c r="AC41" s="1" t="n">
        <f aca="false">'OD-APUMA(Val)'!AC41*AC$49</f>
        <v>0</v>
      </c>
      <c r="AD41" s="1" t="n">
        <f aca="false">'OD-APUMA(Val)'!AD41*AD$49</f>
        <v>0</v>
      </c>
      <c r="AE41" s="1" t="n">
        <f aca="false">'OD-APUMA(Val)'!AE41*AE$49</f>
        <v>13.9208366716752</v>
      </c>
      <c r="AF41" s="1" t="n">
        <f aca="false">'OD-APUMA(Val)'!AF41*AF$49</f>
        <v>0</v>
      </c>
      <c r="AG41" s="1" t="n">
        <f aca="false">'OD-APUMA(Val)'!AG41*AG$49</f>
        <v>0</v>
      </c>
      <c r="AH41" s="1" t="n">
        <f aca="false">'OD-APUMA(Val)'!AH41*AH$49</f>
        <v>22.6797396813783</v>
      </c>
      <c r="AI41" s="1" t="n">
        <f aca="false">'OD-APUMA(Val)'!AI41*AI$49</f>
        <v>16.3067498413407</v>
      </c>
      <c r="AJ41" s="1" t="n">
        <f aca="false">'OD-APUMA(Val)'!AJ41*AJ$49</f>
        <v>0</v>
      </c>
      <c r="AK41" s="1" t="n">
        <f aca="false">'OD-APUMA(Val)'!AK41*AK$49</f>
        <v>0</v>
      </c>
      <c r="AL41" s="1" t="n">
        <f aca="false">'OD-APUMA(Val)'!AL41*AL$49</f>
        <v>37.0419624625174</v>
      </c>
      <c r="AM41" s="1" t="n">
        <f aca="false">'OD-APUMA(Val)'!AM41*AM$49</f>
        <v>54.1638898507396</v>
      </c>
      <c r="AN41" s="1" t="n">
        <f aca="false">'OD-APUMA(Val)'!AN41*AN$49</f>
        <v>1768</v>
      </c>
      <c r="AO41" s="1" t="n">
        <v>0</v>
      </c>
      <c r="AP41" s="1" t="n">
        <f aca="false">'OD-APUMA(Val)'!AP41*AP$49</f>
        <v>0</v>
      </c>
      <c r="AQ41" s="1" t="n">
        <f aca="false">'OD-APUMA(Val)'!AQ41*AQ$49</f>
        <v>0</v>
      </c>
      <c r="AR41" s="0" t="n">
        <f aca="false">SUM('OD-APUMA(Val)'!C41:AQ41)</f>
        <v>182702</v>
      </c>
      <c r="AS41" s="0" t="n">
        <f aca="false">MAX('OD-APUMA(Val)'!C41:AQ41)</f>
        <v>146120</v>
      </c>
      <c r="AT41" s="2" t="n">
        <f aca="false">SUM(C41:AQ41)/AR41</f>
        <v>0.164119481155344</v>
      </c>
      <c r="AU41" s="3" t="n">
        <f aca="false">AT41^4</f>
        <v>0.00072550521962311</v>
      </c>
    </row>
    <row r="42" customFormat="false" ht="12.75" hidden="false" customHeight="false" outlineLevel="0" collapsed="false">
      <c r="A42" s="0" t="n">
        <v>101</v>
      </c>
      <c r="B42" s="0" t="n">
        <v>219609</v>
      </c>
      <c r="C42" s="1" t="n">
        <f aca="false">'OD-APUMA(Val)'!C42*C$49</f>
        <v>22.8324699105634</v>
      </c>
      <c r="D42" s="1" t="n">
        <f aca="false">'OD-APUMA(Val)'!D42*D$49</f>
        <v>0</v>
      </c>
      <c r="E42" s="1" t="n">
        <f aca="false">'OD-APUMA(Val)'!E42*E$49</f>
        <v>0</v>
      </c>
      <c r="F42" s="1" t="n">
        <f aca="false">'OD-APUMA(Val)'!F42*F$49</f>
        <v>0</v>
      </c>
      <c r="G42" s="1" t="n">
        <f aca="false">'OD-APUMA(Val)'!G42*G$49</f>
        <v>0</v>
      </c>
      <c r="H42" s="1" t="n">
        <f aca="false">'OD-APUMA(Val)'!H42*H$49</f>
        <v>0</v>
      </c>
      <c r="I42" s="1" t="n">
        <f aca="false">'OD-APUMA(Val)'!I42*I$49</f>
        <v>0</v>
      </c>
      <c r="J42" s="1" t="n">
        <f aca="false">'OD-APUMA(Val)'!J42*J$49</f>
        <v>0</v>
      </c>
      <c r="K42" s="1" t="n">
        <f aca="false">'OD-APUMA(Val)'!K42*K$49</f>
        <v>0</v>
      </c>
      <c r="L42" s="1" t="n">
        <f aca="false">'OD-APUMA(Val)'!L42*L$49</f>
        <v>0</v>
      </c>
      <c r="M42" s="1" t="n">
        <f aca="false">'OD-APUMA(Val)'!M42*M$49</f>
        <v>0</v>
      </c>
      <c r="N42" s="1" t="n">
        <f aca="false">'OD-APUMA(Val)'!N42*N$49</f>
        <v>156</v>
      </c>
      <c r="O42" s="1" t="n">
        <f aca="false">'OD-APUMA(Val)'!O42*O$49</f>
        <v>0</v>
      </c>
      <c r="P42" s="1" t="n">
        <f aca="false">'OD-APUMA(Val)'!P42*P$49</f>
        <v>99.9081013653953</v>
      </c>
      <c r="Q42" s="1" t="n">
        <f aca="false">'OD-APUMA(Val)'!Q42*Q$49</f>
        <v>208</v>
      </c>
      <c r="R42" s="1" t="n">
        <f aca="false">'OD-APUMA(Val)'!R42*R$49</f>
        <v>25.7237182788726</v>
      </c>
      <c r="S42" s="1" t="n">
        <f aca="false">'OD-APUMA(Val)'!S42*S$49</f>
        <v>17.2286156384011</v>
      </c>
      <c r="T42" s="1" t="n">
        <f aca="false">'OD-APUMA(Val)'!T42*T$49</f>
        <v>190.49816317202</v>
      </c>
      <c r="U42" s="1" t="n">
        <f aca="false">'OD-APUMA(Val)'!U42*U$49</f>
        <v>0</v>
      </c>
      <c r="V42" s="1" t="n">
        <f aca="false">'OD-APUMA(Val)'!V42*V$49</f>
        <v>0</v>
      </c>
      <c r="W42" s="1" t="n">
        <f aca="false">'OD-APUMA(Val)'!W42*W$49</f>
        <v>0</v>
      </c>
      <c r="X42" s="1" t="n">
        <f aca="false">'OD-APUMA(Val)'!X42*X$49</f>
        <v>26.2604243334963</v>
      </c>
      <c r="Y42" s="1" t="n">
        <f aca="false">'OD-APUMA(Val)'!Y42*Y$49</f>
        <v>0</v>
      </c>
      <c r="Z42" s="1" t="n">
        <f aca="false">'OD-APUMA(Val)'!Z42*Z$49</f>
        <v>0</v>
      </c>
      <c r="AA42" s="1" t="n">
        <f aca="false">'OD-APUMA(Val)'!AA42*AA$49</f>
        <v>5499</v>
      </c>
      <c r="AB42" s="1" t="n">
        <f aca="false">'OD-APUMA(Val)'!AB42*AB$49</f>
        <v>676</v>
      </c>
      <c r="AC42" s="1" t="n">
        <f aca="false">'OD-APUMA(Val)'!AC42*AC$49</f>
        <v>5.04191202034277</v>
      </c>
      <c r="AD42" s="1" t="n">
        <f aca="false">'OD-APUMA(Val)'!AD42*AD$49</f>
        <v>0</v>
      </c>
      <c r="AE42" s="1" t="n">
        <f aca="false">'OD-APUMA(Val)'!AE42*AE$49</f>
        <v>6.96041833583758</v>
      </c>
      <c r="AF42" s="1" t="n">
        <f aca="false">'OD-APUMA(Val)'!AF42*AF$49</f>
        <v>0</v>
      </c>
      <c r="AG42" s="1" t="n">
        <f aca="false">'OD-APUMA(Val)'!AG42*AG$49</f>
        <v>0</v>
      </c>
      <c r="AH42" s="1" t="n">
        <f aca="false">'OD-APUMA(Val)'!AH42*AH$49</f>
        <v>13.607843808827</v>
      </c>
      <c r="AI42" s="1" t="n">
        <f aca="false">'OD-APUMA(Val)'!AI42*AI$49</f>
        <v>32.6134996826815</v>
      </c>
      <c r="AJ42" s="1" t="n">
        <f aca="false">'OD-APUMA(Val)'!AJ42*AJ$49</f>
        <v>17.858647445426</v>
      </c>
      <c r="AK42" s="1" t="n">
        <f aca="false">'OD-APUMA(Val)'!AK42*AK$49</f>
        <v>0</v>
      </c>
      <c r="AL42" s="1" t="n">
        <f aca="false">'OD-APUMA(Val)'!AL42*AL$49</f>
        <v>2429.95273754114</v>
      </c>
      <c r="AM42" s="1" t="n">
        <f aca="false">'OD-APUMA(Val)'!AM42*AM$49</f>
        <v>533.614618529508</v>
      </c>
      <c r="AN42" s="1" t="n">
        <f aca="false">'OD-APUMA(Val)'!AN42*AN$49</f>
        <v>208</v>
      </c>
      <c r="AO42" s="1" t="n">
        <f aca="false">'OD-APUMA(Val)'!AO42*AO$49</f>
        <v>0</v>
      </c>
      <c r="AP42" s="1" t="n">
        <v>0</v>
      </c>
      <c r="AQ42" s="1" t="n">
        <f aca="false">'OD-APUMA(Val)'!AQ42*AQ$49</f>
        <v>0</v>
      </c>
      <c r="AR42" s="0" t="n">
        <f aca="false">SUM('OD-APUMA(Val)'!C42:AQ42)</f>
        <v>143481</v>
      </c>
      <c r="AS42" s="0" t="n">
        <f aca="false">MAX('OD-APUMA(Val)'!C42:AQ42)</f>
        <v>119210</v>
      </c>
      <c r="AT42" s="2" t="n">
        <f aca="false">SUM(C42:AQ42)/AR42</f>
        <v>0.0708742005566069</v>
      </c>
      <c r="AU42" s="3" t="n">
        <f aca="false">AT42^4</f>
        <v>2.52320590745868E-005</v>
      </c>
    </row>
    <row r="43" customFormat="false" ht="12.75" hidden="false" customHeight="false" outlineLevel="0" collapsed="false">
      <c r="A43" s="0" t="n">
        <v>103</v>
      </c>
      <c r="B43" s="0" t="n">
        <v>331552</v>
      </c>
      <c r="C43" s="1" t="n">
        <f aca="false">'OD-APUMA(Val)'!C43*C$49</f>
        <v>7.13514684705107</v>
      </c>
      <c r="D43" s="1" t="n">
        <f aca="false">'OD-APUMA(Val)'!D43*D$49</f>
        <v>7.33674489944914</v>
      </c>
      <c r="E43" s="1" t="n">
        <f aca="false">'OD-APUMA(Val)'!E43*E$49</f>
        <v>4.07621959346938</v>
      </c>
      <c r="F43" s="1" t="n">
        <f aca="false">'OD-APUMA(Val)'!F43*F$49</f>
        <v>7.958937772123</v>
      </c>
      <c r="G43" s="1" t="n">
        <f aca="false">'OD-APUMA(Val)'!G43*G$49</f>
        <v>0</v>
      </c>
      <c r="H43" s="1" t="n">
        <f aca="false">'OD-APUMA(Val)'!H43*H$49</f>
        <v>1.66721828829755</v>
      </c>
      <c r="I43" s="1" t="n">
        <f aca="false">'OD-APUMA(Val)'!I43*I$49</f>
        <v>0</v>
      </c>
      <c r="J43" s="1" t="n">
        <f aca="false">'OD-APUMA(Val)'!J43*J$49</f>
        <v>0</v>
      </c>
      <c r="K43" s="1" t="n">
        <f aca="false">'OD-APUMA(Val)'!K43*K$49</f>
        <v>0</v>
      </c>
      <c r="L43" s="1" t="n">
        <f aca="false">'OD-APUMA(Val)'!L43*L$49</f>
        <v>0</v>
      </c>
      <c r="M43" s="1" t="n">
        <f aca="false">'OD-APUMA(Val)'!M43*M$49</f>
        <v>0</v>
      </c>
      <c r="N43" s="1" t="n">
        <f aca="false">'OD-APUMA(Val)'!N43*N$49</f>
        <v>0</v>
      </c>
      <c r="O43" s="1" t="n">
        <f aca="false">'OD-APUMA(Val)'!O43*O$49</f>
        <v>91</v>
      </c>
      <c r="P43" s="1" t="n">
        <f aca="false">'OD-APUMA(Val)'!P43*P$49</f>
        <v>69.1671470991198</v>
      </c>
      <c r="Q43" s="1" t="n">
        <f aca="false">'OD-APUMA(Val)'!Q43*Q$49</f>
        <v>1794</v>
      </c>
      <c r="R43" s="1" t="n">
        <f aca="false">'OD-APUMA(Val)'!R43*R$49</f>
        <v>0</v>
      </c>
      <c r="S43" s="1" t="n">
        <f aca="false">'OD-APUMA(Val)'!S43*S$49</f>
        <v>0</v>
      </c>
      <c r="T43" s="1" t="n">
        <f aca="false">'OD-APUMA(Val)'!T43*T$49</f>
        <v>0</v>
      </c>
      <c r="U43" s="1" t="n">
        <f aca="false">'OD-APUMA(Val)'!U43*U$49</f>
        <v>0</v>
      </c>
      <c r="V43" s="1" t="n">
        <f aca="false">'OD-APUMA(Val)'!V43*V$49</f>
        <v>129.777477069972</v>
      </c>
      <c r="W43" s="1" t="n">
        <f aca="false">'OD-APUMA(Val)'!W43*W$49</f>
        <v>0</v>
      </c>
      <c r="X43" s="1" t="n">
        <f aca="false">'OD-APUMA(Val)'!X43*X$49</f>
        <v>0</v>
      </c>
      <c r="Y43" s="1" t="n">
        <f aca="false">'OD-APUMA(Val)'!Y43*Y$49</f>
        <v>0</v>
      </c>
      <c r="Z43" s="1" t="n">
        <f aca="false">'OD-APUMA(Val)'!Z43*Z$49</f>
        <v>19.0543520886037</v>
      </c>
      <c r="AA43" s="1" t="n">
        <f aca="false">'OD-APUMA(Val)'!AA43*AA$49</f>
        <v>117</v>
      </c>
      <c r="AB43" s="1" t="n">
        <f aca="false">'OD-APUMA(Val)'!AB43*AB$49</f>
        <v>221</v>
      </c>
      <c r="AC43" s="1" t="n">
        <f aca="false">'OD-APUMA(Val)'!AC43*AC$49</f>
        <v>0</v>
      </c>
      <c r="AD43" s="1" t="n">
        <f aca="false">'OD-APUMA(Val)'!AD43*AD$49</f>
        <v>13.8676123537693</v>
      </c>
      <c r="AE43" s="1" t="n">
        <f aca="false">'OD-APUMA(Val)'!AE43*AE$49</f>
        <v>6815.40962050763</v>
      </c>
      <c r="AF43" s="1" t="n">
        <f aca="false">'OD-APUMA(Val)'!AF43*AF$49</f>
        <v>3.32976085176711</v>
      </c>
      <c r="AG43" s="1" t="n">
        <f aca="false">'OD-APUMA(Val)'!AG43*AG$49</f>
        <v>39.9091562504937</v>
      </c>
      <c r="AH43" s="1" t="n">
        <f aca="false">'OD-APUMA(Val)'!AH43*AH$49</f>
        <v>24.9477136495161</v>
      </c>
      <c r="AI43" s="1" t="n">
        <f aca="false">'OD-APUMA(Val)'!AI43*AI$49</f>
        <v>14.4948887478584</v>
      </c>
      <c r="AJ43" s="1" t="n">
        <f aca="false">'OD-APUMA(Val)'!AJ43*AJ$49</f>
        <v>104.60064932321</v>
      </c>
      <c r="AK43" s="1" t="n">
        <f aca="false">'OD-APUMA(Val)'!AK43*AK$49</f>
        <v>0</v>
      </c>
      <c r="AL43" s="1" t="n">
        <f aca="false">'OD-APUMA(Val)'!AL43*AL$49</f>
        <v>25.9293737237622</v>
      </c>
      <c r="AM43" s="1" t="n">
        <f aca="false">'OD-APUMA(Val)'!AM43*AM$49</f>
        <v>10.0303499723592</v>
      </c>
      <c r="AN43" s="1" t="n">
        <f aca="false">'OD-APUMA(Val)'!AN43*AN$49</f>
        <v>0</v>
      </c>
      <c r="AO43" s="1" t="n">
        <f aca="false">'OD-APUMA(Val)'!AO43*AO$49</f>
        <v>0</v>
      </c>
      <c r="AP43" s="1" t="n">
        <f aca="false">'OD-APUMA(Val)'!AP43*AP$49</f>
        <v>0</v>
      </c>
      <c r="AQ43" s="1" t="n">
        <v>0</v>
      </c>
      <c r="AR43" s="0" t="n">
        <f aca="false">SUM('OD-APUMA(Val)'!C43:AQ43)</f>
        <v>335556</v>
      </c>
      <c r="AS43" s="0" t="n">
        <f aca="false">MAX('OD-APUMA(Val)'!C43:AQ43)</f>
        <v>249158</v>
      </c>
      <c r="AT43" s="2" t="n">
        <f aca="false">SUM(C43:AQ43)/AR43</f>
        <v>0.0283758668271122</v>
      </c>
      <c r="AU43" s="3" t="n">
        <f aca="false">AT43^4</f>
        <v>6.48330643316854E-007</v>
      </c>
    </row>
    <row r="44" customFormat="false" ht="12.75" hidden="false" customHeight="false" outlineLevel="0" collapsed="false">
      <c r="A44" s="0" t="s">
        <v>7</v>
      </c>
      <c r="B44" s="0" t="n">
        <v>15631931</v>
      </c>
      <c r="C44" s="1" t="n">
        <f aca="false">SUM(C3:C43)</f>
        <v>739.201213354491</v>
      </c>
      <c r="D44" s="1" t="n">
        <f aca="false">SUM(D3:D43)</f>
        <v>402.705775591986</v>
      </c>
      <c r="E44" s="1" t="n">
        <f aca="false">SUM(E3:E43)</f>
        <v>661.366629040407</v>
      </c>
      <c r="F44" s="1" t="n">
        <f aca="false">SUM(F3:F43)</f>
        <v>443.047535981514</v>
      </c>
      <c r="G44" s="1" t="n">
        <f aca="false">SUM(G3:G43)</f>
        <v>2226.67188254868</v>
      </c>
      <c r="H44" s="1" t="n">
        <f aca="false">SUM(H3:H43)</f>
        <v>62.3122835251208</v>
      </c>
      <c r="I44" s="1" t="n">
        <f aca="false">SUM(I3:I43)</f>
        <v>1185.24549748102</v>
      </c>
      <c r="J44" s="1" t="n">
        <f aca="false">SUM(J3:J43)</f>
        <v>530.572229281751</v>
      </c>
      <c r="K44" s="1" t="n">
        <f aca="false">SUM(K3:K43)</f>
        <v>3175.03048047497</v>
      </c>
      <c r="L44" s="1" t="n">
        <f aca="false">SUM(L3:L43)</f>
        <v>10672.7020266192</v>
      </c>
      <c r="M44" s="1" t="n">
        <f aca="false">SUM(M3:M43)</f>
        <v>16251.7678482937</v>
      </c>
      <c r="N44" s="1" t="n">
        <f aca="false">SUM(N3:N43)</f>
        <v>4576</v>
      </c>
      <c r="O44" s="1" t="n">
        <f aca="false">SUM(O3:O43)</f>
        <v>31954</v>
      </c>
      <c r="P44" s="1" t="n">
        <f aca="false">SUM(P3:P43)</f>
        <v>151122.53117301</v>
      </c>
      <c r="Q44" s="1" t="n">
        <f aca="false">SUM(Q3:Q43)</f>
        <v>111423</v>
      </c>
      <c r="R44" s="1" t="n">
        <f aca="false">SUM(R3:R43)</f>
        <v>235.575104238097</v>
      </c>
      <c r="S44" s="1" t="n">
        <f aca="false">SUM(S3:S43)</f>
        <v>1273.00326661519</v>
      </c>
      <c r="T44" s="1" t="n">
        <f aca="false">SUM(T3:T43)</f>
        <v>348.455714841347</v>
      </c>
      <c r="U44" s="1" t="n">
        <f aca="false">SUM(U3:U43)</f>
        <v>943.866286255195</v>
      </c>
      <c r="V44" s="1" t="n">
        <f aca="false">SUM(V3:V43)</f>
        <v>401.655515085995</v>
      </c>
      <c r="W44" s="1" t="n">
        <f aca="false">SUM(W3:W43)</f>
        <v>91.5097012425523</v>
      </c>
      <c r="X44" s="1" t="n">
        <f aca="false">SUM(X3:X43)</f>
        <v>1523.10461134279</v>
      </c>
      <c r="Y44" s="1" t="n">
        <f aca="false">SUM(Y3:Y43)</f>
        <v>1.48415209664411</v>
      </c>
      <c r="Z44" s="1" t="n">
        <f aca="false">SUM(Z3:Z43)</f>
        <v>372.425972640891</v>
      </c>
      <c r="AA44" s="1" t="n">
        <f aca="false">SUM(AA3:AA43)</f>
        <v>182403</v>
      </c>
      <c r="AB44" s="1" t="n">
        <f aca="false">SUM(AB3:AB43)</f>
        <v>97955</v>
      </c>
      <c r="AC44" s="1" t="n">
        <f aca="false">SUM(AC3:AC43)</f>
        <v>524.71898668853</v>
      </c>
      <c r="AD44" s="1" t="n">
        <f aca="false">SUM(AD3:AD43)</f>
        <v>467.001216021528</v>
      </c>
      <c r="AE44" s="1" t="n">
        <f aca="false">SUM(AE3:AE43)</f>
        <v>40899.4181413816</v>
      </c>
      <c r="AF44" s="1" t="n">
        <f aca="false">SUM(AF3:AF43)</f>
        <v>199.529515655891</v>
      </c>
      <c r="AG44" s="1" t="n">
        <f aca="false">SUM(AG3:AG43)</f>
        <v>30756.0780234783</v>
      </c>
      <c r="AH44" s="1" t="n">
        <f aca="false">SUM(AH3:AH43)</f>
        <v>10534.7390820002</v>
      </c>
      <c r="AI44" s="1" t="n">
        <f aca="false">SUM(AI3:AI43)</f>
        <v>10391.023371121</v>
      </c>
      <c r="AJ44" s="1" t="n">
        <f aca="false">SUM(AJ3:AJ43)</f>
        <v>17200.4287252946</v>
      </c>
      <c r="AK44" s="1" t="n">
        <f aca="false">SUM(AK3:AK43)</f>
        <v>0</v>
      </c>
      <c r="AL44" s="1" t="n">
        <f aca="false">SUM(AL3:AL43)</f>
        <v>6441.59727223178</v>
      </c>
      <c r="AM44" s="1" t="n">
        <f aca="false">SUM(AM3:AM43)</f>
        <v>22993.5742766362</v>
      </c>
      <c r="AN44" s="1" t="n">
        <f aca="false">SUM(AN3:AN43)</f>
        <v>25012</v>
      </c>
      <c r="AO44" s="1" t="n">
        <f aca="false">SUM(AO3:AO43)</f>
        <v>5278.79336041114</v>
      </c>
      <c r="AP44" s="1" t="n">
        <f aca="false">SUM(AP3:AP43)</f>
        <v>1281.52878858185</v>
      </c>
      <c r="AQ44" s="1" t="n">
        <f aca="false">SUM(AQ3:AQ43)</f>
        <v>2012.07748173511</v>
      </c>
      <c r="AR44" s="0" t="n">
        <f aca="false">SUM('OD-APUMA(Val)'!C44:AQ44)</f>
        <v>13839891</v>
      </c>
      <c r="AS44" s="0" t="n">
        <f aca="false">MAX('OD-APUMA(Val)'!C44:AQ44)</f>
        <v>4317976</v>
      </c>
      <c r="AT44" s="2" t="n">
        <f aca="false">SUM(C44:AQ44)/AR44</f>
        <v>0.0574403182178819</v>
      </c>
      <c r="AU44" s="3"/>
    </row>
    <row r="45" customFormat="false" ht="12.75" hidden="false" customHeight="false" outlineLevel="0" collapsed="false">
      <c r="A45" s="0" t="n">
        <v>0</v>
      </c>
      <c r="B45" s="0" t="s">
        <v>8</v>
      </c>
      <c r="C45" s="1" t="n">
        <f aca="false">MAX(C3:C43)</f>
        <v>172.670553698636</v>
      </c>
      <c r="D45" s="1" t="n">
        <f aca="false">MAX(D3:D43)</f>
        <v>158.962806154731</v>
      </c>
      <c r="E45" s="1" t="n">
        <f aca="false">MAX(E3:E43)</f>
        <v>178.334607214285</v>
      </c>
      <c r="F45" s="1" t="n">
        <f aca="false">MAX(F3:F43)</f>
        <v>99.0445589419751</v>
      </c>
      <c r="G45" s="1" t="n">
        <f aca="false">MAX(G3:G43)</f>
        <v>1182.09303028416</v>
      </c>
      <c r="H45" s="1" t="n">
        <f aca="false">MAX(H3:H43)</f>
        <v>17.7141943131614</v>
      </c>
      <c r="I45" s="1" t="n">
        <f aca="false">MAX(I3:I43)</f>
        <v>455.134271032711</v>
      </c>
      <c r="J45" s="1" t="n">
        <f aca="false">MAX(J3:J43)</f>
        <v>184.61006333913</v>
      </c>
      <c r="K45" s="1" t="n">
        <f aca="false">MAX(K3:K43)</f>
        <v>1630.28506445942</v>
      </c>
      <c r="L45" s="1" t="n">
        <f aca="false">MAX(L3:L43)</f>
        <v>7470.35320874812</v>
      </c>
      <c r="M45" s="1" t="n">
        <f aca="false">MAX(M3:M43)</f>
        <v>9962.83103039528</v>
      </c>
      <c r="N45" s="1" t="n">
        <f aca="false">MAX(N3:N43)</f>
        <v>2574</v>
      </c>
      <c r="O45" s="1" t="n">
        <f aca="false">MAX(O3:O43)</f>
        <v>17290</v>
      </c>
      <c r="P45" s="1" t="n">
        <f aca="false">MAX(P3:P43)</f>
        <v>47840.6100768912</v>
      </c>
      <c r="Q45" s="1" t="n">
        <f aca="false">MAX(Q3:Q43)</f>
        <v>32188</v>
      </c>
      <c r="R45" s="1" t="n">
        <f aca="false">MAX(R3:R43)</f>
        <v>44.6780370106735</v>
      </c>
      <c r="S45" s="1" t="n">
        <f aca="false">MAX(S3:S43)</f>
        <v>692.973206789021</v>
      </c>
      <c r="T45" s="1" t="n">
        <f aca="false">MAX(T3:T43)</f>
        <v>190.49816317202</v>
      </c>
      <c r="U45" s="1" t="n">
        <f aca="false">MAX(U3:U43)</f>
        <v>381.24136473297</v>
      </c>
      <c r="V45" s="1" t="n">
        <f aca="false">MAX(V3:V43)</f>
        <v>177.144330718655</v>
      </c>
      <c r="W45" s="1" t="n">
        <f aca="false">MAX(W3:W43)</f>
        <v>44.9092784332033</v>
      </c>
      <c r="X45" s="1" t="n">
        <f aca="false">MAX(X3:X43)</f>
        <v>745.504268578702</v>
      </c>
      <c r="Y45" s="1" t="n">
        <f aca="false">MAX(Y3:Y43)</f>
        <v>0.361009969453974</v>
      </c>
      <c r="Z45" s="1" t="n">
        <f aca="false">MAX(Z3:Z43)</f>
        <v>226.920011237008</v>
      </c>
      <c r="AA45" s="1" t="n">
        <f aca="false">MAX(AA3:AA43)</f>
        <v>83265</v>
      </c>
      <c r="AB45" s="1" t="n">
        <f aca="false">MAX(AB3:AB43)</f>
        <v>35737</v>
      </c>
      <c r="AC45" s="1" t="n">
        <f aca="false">MAX(AC3:AC43)</f>
        <v>211.400168281515</v>
      </c>
      <c r="AD45" s="1" t="n">
        <f aca="false">MAX(AD3:AD43)</f>
        <v>273.979044070415</v>
      </c>
      <c r="AE45" s="1" t="n">
        <f aca="false">MAX(AE3:AE43)</f>
        <v>17680.6226427501</v>
      </c>
      <c r="AF45" s="1" t="n">
        <f aca="false">MAX(AF3:AF43)</f>
        <v>87.0860530462167</v>
      </c>
      <c r="AG45" s="1" t="n">
        <f aca="false">MAX(AG3:AG43)</f>
        <v>18231.5436836494</v>
      </c>
      <c r="AH45" s="1" t="n">
        <f aca="false">MAX(AH3:AH43)</f>
        <v>6472.79770506535</v>
      </c>
      <c r="AI45" s="1" t="n">
        <f aca="false">MAX(AI3:AI43)</f>
        <v>3563.93077087969</v>
      </c>
      <c r="AJ45" s="1" t="n">
        <f aca="false">MAX(AJ3:AJ43)</f>
        <v>8015.98146764693</v>
      </c>
      <c r="AK45" s="1" t="n">
        <f aca="false">MAX(AK3:AK43)</f>
        <v>0</v>
      </c>
      <c r="AL45" s="1" t="n">
        <f aca="false">MAX(AL3:AL43)</f>
        <v>2429.95273754114</v>
      </c>
      <c r="AM45" s="1" t="n">
        <f aca="false">MAX(AM3:AM43)</f>
        <v>8066.40744777125</v>
      </c>
      <c r="AN45" s="1" t="n">
        <f aca="false">MAX(AN3:AN43)</f>
        <v>6682</v>
      </c>
      <c r="AO45" s="1" t="n">
        <f aca="false">MAX(AO3:AO43)</f>
        <v>1445.31005050035</v>
      </c>
      <c r="AP45" s="1" t="n">
        <f aca="false">MAX(AP3:AP43)</f>
        <v>453.516890329235</v>
      </c>
      <c r="AQ45" s="1" t="n">
        <f aca="false">MAX(AQ3:AQ43)</f>
        <v>1645.97753018038</v>
      </c>
      <c r="AR45" s="0" t="n">
        <f aca="false">SUM('OD-APUMA(Val)'!C45:AQ45)</f>
        <v>11744720</v>
      </c>
      <c r="AS45" s="0" t="n">
        <f aca="false">MAX('OD-APUMA(Val)'!C45:AQ45)</f>
        <v>3859648</v>
      </c>
      <c r="AT45" s="2" t="n">
        <f aca="false">SUM(C45:AQ45)/AR45</f>
        <v>0.0270905887350083</v>
      </c>
      <c r="AU45" s="3"/>
    </row>
    <row r="46" customFormat="false" ht="12.75" hidden="false" customHeight="false" outlineLevel="0" collapsed="false">
      <c r="A46" s="0" t="n">
        <v>0</v>
      </c>
      <c r="B46" s="0" t="s">
        <v>9</v>
      </c>
      <c r="C46" s="1" t="n">
        <f aca="false">SUM(C3:C43)-MAX(C3:C43)</f>
        <v>566.530659655855</v>
      </c>
      <c r="D46" s="1" t="n">
        <f aca="false">SUM(D3:D43)-MAX(D3:D43)</f>
        <v>243.742969437255</v>
      </c>
      <c r="E46" s="1" t="n">
        <f aca="false">SUM(E3:E43)-MAX(E3:E43)</f>
        <v>483.032021826122</v>
      </c>
      <c r="F46" s="1" t="n">
        <f aca="false">SUM(F3:F43)-MAX(F3:F43)</f>
        <v>344.002977039538</v>
      </c>
      <c r="G46" s="1" t="n">
        <f aca="false">SUM(G3:G43)-MAX(G3:G43)</f>
        <v>1044.57885226452</v>
      </c>
      <c r="H46" s="1" t="n">
        <f aca="false">SUM(H3:H43)-MAX(H3:H43)</f>
        <v>44.5980892119594</v>
      </c>
      <c r="I46" s="1" t="n">
        <f aca="false">SUM(I3:I43)-MAX(I3:I43)</f>
        <v>730.111226448307</v>
      </c>
      <c r="J46" s="1" t="n">
        <f aca="false">SUM(J3:J43)-MAX(J3:J43)</f>
        <v>345.962165942621</v>
      </c>
      <c r="K46" s="1" t="n">
        <f aca="false">SUM(K3:K43)-MAX(K3:K43)</f>
        <v>1544.74541601556</v>
      </c>
      <c r="L46" s="1" t="n">
        <f aca="false">SUM(L3:L43)-MAX(L3:L43)</f>
        <v>3202.34881787113</v>
      </c>
      <c r="M46" s="1" t="n">
        <f aca="false">SUM(M3:M43)-MAX(M3:M43)</f>
        <v>6288.93681789847</v>
      </c>
      <c r="N46" s="1" t="n">
        <f aca="false">SUM(N3:N43)-MAX(N3:N43)</f>
        <v>2002</v>
      </c>
      <c r="O46" s="1" t="n">
        <f aca="false">SUM(O3:O43)-MAX(O3:O43)</f>
        <v>14664</v>
      </c>
      <c r="P46" s="1" t="n">
        <f aca="false">SUM(P3:P43)-MAX(P3:P43)</f>
        <v>103281.921096119</v>
      </c>
      <c r="Q46" s="1" t="n">
        <f aca="false">SUM(Q3:Q43)-MAX(Q3:Q43)</f>
        <v>79235</v>
      </c>
      <c r="R46" s="1" t="n">
        <f aca="false">SUM(R3:R43)-MAX(R3:R43)</f>
        <v>190.897067227423</v>
      </c>
      <c r="S46" s="1" t="n">
        <f aca="false">SUM(S3:S43)-MAX(S3:S43)</f>
        <v>580.030059826169</v>
      </c>
      <c r="T46" s="1" t="n">
        <f aca="false">SUM(T3:T43)-MAX(T3:T43)</f>
        <v>157.957551669327</v>
      </c>
      <c r="U46" s="1" t="n">
        <f aca="false">SUM(U3:U43)-MAX(U3:U43)</f>
        <v>562.624921522225</v>
      </c>
      <c r="V46" s="1" t="n">
        <f aca="false">SUM(V3:V43)-MAX(V3:V43)</f>
        <v>224.511184367339</v>
      </c>
      <c r="W46" s="1" t="n">
        <f aca="false">SUM(W3:W43)-MAX(W3:W43)</f>
        <v>46.600422809349</v>
      </c>
      <c r="X46" s="1" t="n">
        <f aca="false">SUM(X3:X43)-MAX(X3:X43)</f>
        <v>777.600342764086</v>
      </c>
      <c r="Y46" s="1" t="n">
        <f aca="false">SUM(Y3:Y43)-MAX(Y3:Y43)</f>
        <v>1.12314212719014</v>
      </c>
      <c r="Z46" s="1" t="n">
        <f aca="false">SUM(Z3:Z43)-MAX(Z3:Z43)</f>
        <v>145.505961403883</v>
      </c>
      <c r="AA46" s="1" t="n">
        <f aca="false">SUM(AA3:AA43)-MAX(AA3:AA43)</f>
        <v>99138</v>
      </c>
      <c r="AB46" s="1" t="n">
        <f aca="false">SUM(AB3:AB43)-MAX(AB3:AB43)</f>
        <v>62218</v>
      </c>
      <c r="AC46" s="1" t="n">
        <f aca="false">SUM(AC3:AC43)-MAX(AC3:AC43)</f>
        <v>313.318818407015</v>
      </c>
      <c r="AD46" s="1" t="n">
        <f aca="false">SUM(AD3:AD43)-MAX(AD3:AD43)</f>
        <v>193.022171951113</v>
      </c>
      <c r="AE46" s="1" t="n">
        <f aca="false">SUM(AE3:AE43)-MAX(AE3:AE43)</f>
        <v>23218.7954986315</v>
      </c>
      <c r="AF46" s="1" t="n">
        <f aca="false">SUM(AF3:AF43)-MAX(AF3:AF43)</f>
        <v>112.443462609674</v>
      </c>
      <c r="AG46" s="1" t="n">
        <f aca="false">SUM(AG3:AG43)-MAX(AG3:AG43)</f>
        <v>12524.5343398288</v>
      </c>
      <c r="AH46" s="1" t="n">
        <f aca="false">SUM(AH3:AH43)-MAX(AH3:AH43)</f>
        <v>4061.94137693485</v>
      </c>
      <c r="AI46" s="1" t="n">
        <f aca="false">SUM(AI3:AI43)-MAX(AI3:AI43)</f>
        <v>6827.09260024132</v>
      </c>
      <c r="AJ46" s="1" t="n">
        <f aca="false">SUM(AJ3:AJ43)-MAX(AJ3:AJ43)</f>
        <v>9184.44725764766</v>
      </c>
      <c r="AK46" s="1" t="n">
        <f aca="false">SUM(AK3:AK43)-MAX(AK3:AK43)</f>
        <v>0</v>
      </c>
      <c r="AL46" s="1" t="n">
        <f aca="false">SUM(AL3:AL43)-MAX(AL3:AL43)</f>
        <v>4011.64453469064</v>
      </c>
      <c r="AM46" s="1" t="n">
        <f aca="false">SUM(AM3:AM43)-MAX(AM3:AM43)</f>
        <v>14927.1668288649</v>
      </c>
      <c r="AN46" s="1" t="n">
        <f aca="false">SUM(AN3:AN43)-MAX(AN3:AN43)</f>
        <v>18330</v>
      </c>
      <c r="AO46" s="1" t="n">
        <f aca="false">SUM(AO3:AO43)-MAX(AO3:AO43)</f>
        <v>3833.48330991079</v>
      </c>
      <c r="AP46" s="1" t="n">
        <f aca="false">SUM(AP3:AP43)-MAX(AP3:AP43)</f>
        <v>828.011898252619</v>
      </c>
      <c r="AQ46" s="1" t="n">
        <f aca="false">SUM(AQ3:AQ43)-MAX(AQ3:AQ43)</f>
        <v>366.099951554729</v>
      </c>
      <c r="AR46" s="0" t="n">
        <f aca="false">SUM('OD-APUMA(Val)'!C46:AQ46)</f>
        <v>2095171</v>
      </c>
      <c r="AS46" s="0" t="n">
        <f aca="false">MAX('OD-APUMA(Val)'!C46:AQ46)</f>
        <v>458328</v>
      </c>
      <c r="AT46" s="2" t="n">
        <f aca="false">SUM(C46:AQ46)/AR46</f>
        <v>0.22756918829679</v>
      </c>
      <c r="AU46" s="3"/>
    </row>
    <row r="47" customFormat="false" ht="12.75" hidden="false" customHeight="false" outlineLevel="0" collapsed="false">
      <c r="A47" s="0" t="n">
        <v>0</v>
      </c>
      <c r="B47" s="0" t="s">
        <v>10</v>
      </c>
      <c r="C47" s="1" t="n">
        <f aca="false">SUM(C3:C43)</f>
        <v>739.201213354491</v>
      </c>
      <c r="D47" s="1" t="n">
        <f aca="false">SUM(D3:D43)</f>
        <v>402.705775591986</v>
      </c>
      <c r="E47" s="1" t="n">
        <f aca="false">SUM(E3:E43)</f>
        <v>661.366629040407</v>
      </c>
      <c r="F47" s="1" t="n">
        <f aca="false">SUM(F3:F43)</f>
        <v>443.047535981514</v>
      </c>
      <c r="G47" s="1" t="n">
        <f aca="false">SUM(G3:G43)</f>
        <v>2226.67188254868</v>
      </c>
      <c r="H47" s="1" t="n">
        <f aca="false">SUM(H3:H43)</f>
        <v>62.3122835251208</v>
      </c>
      <c r="I47" s="1" t="n">
        <f aca="false">SUM(I3:I43)</f>
        <v>1185.24549748102</v>
      </c>
      <c r="J47" s="1" t="n">
        <f aca="false">SUM(J3:J43)</f>
        <v>530.572229281751</v>
      </c>
      <c r="K47" s="1" t="n">
        <f aca="false">SUM(K3:K43)</f>
        <v>3175.03048047497</v>
      </c>
      <c r="L47" s="1" t="n">
        <f aca="false">SUM(L3:L43)</f>
        <v>10672.7020266192</v>
      </c>
      <c r="M47" s="1" t="n">
        <f aca="false">SUM(M3:M43)</f>
        <v>16251.7678482937</v>
      </c>
      <c r="N47" s="1" t="n">
        <f aca="false">SUM(N3:N43)</f>
        <v>4576</v>
      </c>
      <c r="O47" s="1" t="n">
        <f aca="false">SUM(O3:O43)</f>
        <v>31954</v>
      </c>
      <c r="P47" s="1" t="n">
        <f aca="false">SUM(P3:P43)</f>
        <v>151122.53117301</v>
      </c>
      <c r="Q47" s="1" t="n">
        <f aca="false">SUM(Q3:Q43)</f>
        <v>111423</v>
      </c>
      <c r="R47" s="1" t="n">
        <f aca="false">SUM(R3:R43)</f>
        <v>235.575104238097</v>
      </c>
      <c r="S47" s="1" t="n">
        <f aca="false">SUM(S3:S43)</f>
        <v>1273.00326661519</v>
      </c>
      <c r="T47" s="1" t="n">
        <f aca="false">SUM(T3:T43)</f>
        <v>348.455714841347</v>
      </c>
      <c r="U47" s="1" t="n">
        <f aca="false">SUM(U3:U43)</f>
        <v>943.866286255195</v>
      </c>
      <c r="V47" s="1" t="n">
        <f aca="false">SUM(V3:V43)</f>
        <v>401.655515085995</v>
      </c>
      <c r="W47" s="1" t="n">
        <f aca="false">SUM(W3:W43)</f>
        <v>91.5097012425523</v>
      </c>
      <c r="X47" s="1" t="n">
        <f aca="false">SUM(X3:X43)</f>
        <v>1523.10461134279</v>
      </c>
      <c r="Y47" s="1" t="n">
        <f aca="false">SUM(Y3:Y43)</f>
        <v>1.48415209664411</v>
      </c>
      <c r="Z47" s="1" t="n">
        <f aca="false">SUM(Z3:Z43)</f>
        <v>372.425972640891</v>
      </c>
      <c r="AA47" s="1" t="n">
        <f aca="false">SUM(AA3:AA43)</f>
        <v>182403</v>
      </c>
      <c r="AB47" s="1" t="n">
        <f aca="false">SUM(AB3:AB43)</f>
        <v>97955</v>
      </c>
      <c r="AC47" s="1" t="n">
        <f aca="false">SUM(AC3:AC43)</f>
        <v>524.71898668853</v>
      </c>
      <c r="AD47" s="1" t="n">
        <f aca="false">SUM(AD3:AD43)</f>
        <v>467.001216021528</v>
      </c>
      <c r="AE47" s="1" t="n">
        <f aca="false">SUM(AE3:AE43)</f>
        <v>40899.4181413816</v>
      </c>
      <c r="AF47" s="1" t="n">
        <f aca="false">SUM(AF3:AF43)</f>
        <v>199.529515655891</v>
      </c>
      <c r="AG47" s="1" t="n">
        <f aca="false">SUM(AG3:AG43)</f>
        <v>30756.0780234783</v>
      </c>
      <c r="AH47" s="1" t="n">
        <f aca="false">SUM(AH3:AH43)</f>
        <v>10534.7390820002</v>
      </c>
      <c r="AI47" s="1" t="n">
        <f aca="false">SUM(AI3:AI43)</f>
        <v>10391.023371121</v>
      </c>
      <c r="AJ47" s="1" t="n">
        <f aca="false">SUM(AJ3:AJ43)</f>
        <v>17200.4287252946</v>
      </c>
      <c r="AK47" s="1" t="n">
        <f aca="false">SUM(AK3:AK43)</f>
        <v>0</v>
      </c>
      <c r="AL47" s="1" t="n">
        <f aca="false">SUM(AL3:AL43)</f>
        <v>6441.59727223178</v>
      </c>
      <c r="AM47" s="1" t="n">
        <f aca="false">SUM(AM3:AM43)</f>
        <v>22993.5742766362</v>
      </c>
      <c r="AN47" s="1" t="n">
        <f aca="false">SUM(AN3:AN43)</f>
        <v>25012</v>
      </c>
      <c r="AO47" s="1" t="n">
        <f aca="false">SUM(AO3:AO43)</f>
        <v>5278.79336041114</v>
      </c>
      <c r="AP47" s="1" t="n">
        <f aca="false">SUM(AP3:AP43)</f>
        <v>1281.52878858185</v>
      </c>
      <c r="AQ47" s="1" t="n">
        <f aca="false">SUM(AQ3:AQ43)</f>
        <v>2012.07748173511</v>
      </c>
      <c r="AR47" s="0" t="n">
        <f aca="false">SUM('OD-APUMA(Val)'!C47:AQ47)</f>
        <v>13839891</v>
      </c>
      <c r="AS47" s="0" t="n">
        <f aca="false">MAX('OD-APUMA(Val)'!C47:AQ47)</f>
        <v>4317976</v>
      </c>
      <c r="AT47" s="2" t="n">
        <f aca="false">SUM(C47:AQ47)/AR47</f>
        <v>0.0574403182178819</v>
      </c>
      <c r="AU47" s="3"/>
    </row>
    <row r="49" customFormat="false" ht="12.75" hidden="false" customHeight="false" outlineLevel="0" collapsed="false">
      <c r="B49" s="0" t="s">
        <v>11</v>
      </c>
      <c r="C49" s="0" t="n">
        <v>0.109771489954632</v>
      </c>
      <c r="D49" s="0" t="n">
        <v>0.0627072213628132</v>
      </c>
      <c r="E49" s="0" t="n">
        <v>0.0783888383359497</v>
      </c>
      <c r="F49" s="0" t="n">
        <v>0.0680251091634444</v>
      </c>
      <c r="G49" s="0" t="n">
        <v>0.20342334026573</v>
      </c>
      <c r="H49" s="0" t="n">
        <v>0.0160309450797841</v>
      </c>
      <c r="I49" s="0" t="n">
        <v>0.243127281534568</v>
      </c>
      <c r="J49" s="0" t="n">
        <v>0.111817118921338</v>
      </c>
      <c r="K49" s="0" t="n">
        <v>0.387057232777639</v>
      </c>
      <c r="L49" s="0" t="n">
        <v>0.414007604120379</v>
      </c>
      <c r="M49" s="0" t="n">
        <v>0.61704639108109</v>
      </c>
      <c r="N49" s="0" t="n">
        <v>1</v>
      </c>
      <c r="O49" s="0" t="n">
        <v>1</v>
      </c>
      <c r="P49" s="0" t="n">
        <v>0.591172197428374</v>
      </c>
      <c r="Q49" s="0" t="n">
        <v>1</v>
      </c>
      <c r="R49" s="0" t="n">
        <v>0.0520723042082442</v>
      </c>
      <c r="S49" s="0" t="n">
        <v>0.147253125114539</v>
      </c>
      <c r="T49" s="0" t="n">
        <v>0.0521484158697017</v>
      </c>
      <c r="U49" s="0" t="n">
        <v>0.129190567513714</v>
      </c>
      <c r="V49" s="0" t="n">
        <v>0.0296227977790394</v>
      </c>
      <c r="W49" s="0" t="n">
        <v>0.014454225437143</v>
      </c>
      <c r="X49" s="0" t="n">
        <v>0.112224035613232</v>
      </c>
      <c r="Y49" s="0" t="n">
        <v>0.0010285184314928</v>
      </c>
      <c r="Z49" s="0" t="n">
        <v>0.0444157391342744</v>
      </c>
      <c r="AA49" s="0" t="n">
        <v>1</v>
      </c>
      <c r="AB49" s="0" t="n">
        <v>1</v>
      </c>
      <c r="AC49" s="0" t="n">
        <v>0.0277028132985867</v>
      </c>
      <c r="AD49" s="0" t="n">
        <v>0.0288307949142812</v>
      </c>
      <c r="AE49" s="0" t="n">
        <v>0.0892361325107383</v>
      </c>
      <c r="AF49" s="0" t="n">
        <v>0.0197027269335332</v>
      </c>
      <c r="AG49" s="0" t="n">
        <v>0.133475438964862</v>
      </c>
      <c r="AH49" s="0" t="n">
        <v>0.174459536010602</v>
      </c>
      <c r="AI49" s="0" t="n">
        <v>0.13937393026787</v>
      </c>
      <c r="AJ49" s="0" t="n">
        <v>0.19624887302666</v>
      </c>
      <c r="AK49" s="0" t="n">
        <v>0</v>
      </c>
      <c r="AL49" s="0" t="n">
        <v>0.284938172788596</v>
      </c>
      <c r="AM49" s="0" t="n">
        <v>0.154313076497834</v>
      </c>
      <c r="AN49" s="0" t="n">
        <v>1</v>
      </c>
      <c r="AO49" s="0" t="n">
        <v>0.477157494387701</v>
      </c>
      <c r="AP49" s="0" t="n">
        <v>0.088095744042198</v>
      </c>
      <c r="AQ49" s="0" t="n">
        <v>0.0755000931232686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B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5" min="3" style="0" width="9.28"/>
    <col collapsed="false" customWidth="true" hidden="false" outlineLevel="0" max="16" min="16" style="0" width="9.56"/>
    <col collapsed="false" customWidth="true" hidden="false" outlineLevel="0" max="26" min="17" style="0" width="9.28"/>
    <col collapsed="false" customWidth="true" hidden="false" outlineLevel="0" max="27" min="27" style="0" width="9.56"/>
    <col collapsed="false" customWidth="true" hidden="false" outlineLevel="0" max="30" min="28" style="0" width="9.28"/>
    <col collapsed="false" customWidth="true" hidden="false" outlineLevel="0" max="31" min="31" style="0" width="9.56"/>
    <col collapsed="false" customWidth="true" hidden="false" outlineLevel="0" max="32" min="32" style="0" width="9.28"/>
    <col collapsed="false" customWidth="true" hidden="false" outlineLevel="0" max="33" min="33" style="0" width="9.56"/>
    <col collapsed="false" customWidth="true" hidden="false" outlineLevel="0" max="38" min="34" style="0" width="9.28"/>
    <col collapsed="false" customWidth="true" hidden="false" outlineLevel="0" max="39" min="39" style="0" width="9.56"/>
    <col collapsed="false" customWidth="true" hidden="false" outlineLevel="0" max="44" min="40" style="0" width="9.28"/>
    <col collapsed="false" customWidth="true" hidden="false" outlineLevel="0" max="47" min="47" style="0" width="10.13"/>
  </cols>
  <sheetData>
    <row r="1" customFormat="false" ht="12.75" hidden="false" customHeight="false" outlineLevel="0" collapsed="false">
      <c r="A1" s="0" t="s">
        <v>0</v>
      </c>
      <c r="B1" s="0" t="s">
        <v>1</v>
      </c>
    </row>
    <row r="2" customFormat="false" ht="12.75" hidden="false" customHeight="false" outlineLevel="0" collapsed="false">
      <c r="A2" s="0" t="s">
        <v>2</v>
      </c>
      <c r="B2" s="0" t="n">
        <v>0</v>
      </c>
      <c r="C2" s="0" t="n">
        <v>1</v>
      </c>
      <c r="D2" s="0" t="n">
        <v>2</v>
      </c>
      <c r="E2" s="0" t="n">
        <v>3</v>
      </c>
      <c r="F2" s="0" t="n">
        <v>4</v>
      </c>
      <c r="G2" s="0" t="n">
        <v>5</v>
      </c>
      <c r="H2" s="0" t="n">
        <v>6</v>
      </c>
      <c r="I2" s="0" t="n">
        <v>7</v>
      </c>
      <c r="J2" s="0" t="n">
        <v>8</v>
      </c>
      <c r="K2" s="0" t="n">
        <v>9</v>
      </c>
      <c r="L2" s="0" t="n">
        <v>10</v>
      </c>
      <c r="M2" s="0" t="n">
        <v>11</v>
      </c>
      <c r="N2" s="0" t="n">
        <v>12</v>
      </c>
      <c r="O2" s="0" t="n">
        <v>15</v>
      </c>
      <c r="P2" s="0" t="n">
        <v>19</v>
      </c>
      <c r="Q2" s="0" t="n">
        <v>22</v>
      </c>
      <c r="R2" s="0" t="n">
        <v>26</v>
      </c>
      <c r="S2" s="0" t="n">
        <v>27</v>
      </c>
      <c r="T2" s="0" t="n">
        <v>30</v>
      </c>
      <c r="U2" s="0" t="n">
        <v>31</v>
      </c>
      <c r="V2" s="0" t="n">
        <v>32</v>
      </c>
      <c r="W2" s="0" t="n">
        <v>75</v>
      </c>
      <c r="X2" s="0" t="n">
        <v>76</v>
      </c>
      <c r="Y2" s="0" t="n">
        <v>77</v>
      </c>
      <c r="Z2" s="0" t="n">
        <v>80</v>
      </c>
      <c r="AA2" s="0" t="n">
        <v>86</v>
      </c>
      <c r="AB2" s="0" t="n">
        <v>87</v>
      </c>
      <c r="AC2" s="0" t="n">
        <v>88</v>
      </c>
      <c r="AD2" s="0" t="n">
        <v>89</v>
      </c>
      <c r="AE2" s="0" t="n">
        <v>90</v>
      </c>
      <c r="AF2" s="0" t="n">
        <v>91</v>
      </c>
      <c r="AG2" s="0" t="n">
        <v>92</v>
      </c>
      <c r="AH2" s="0" t="n">
        <v>93</v>
      </c>
      <c r="AI2" s="0" t="n">
        <v>94</v>
      </c>
      <c r="AJ2" s="0" t="n">
        <v>95</v>
      </c>
      <c r="AK2" s="0" t="n">
        <v>96</v>
      </c>
      <c r="AL2" s="0" t="n">
        <v>97</v>
      </c>
      <c r="AM2" s="0" t="n">
        <v>98</v>
      </c>
      <c r="AN2" s="0" t="n">
        <v>99</v>
      </c>
      <c r="AO2" s="0" t="n">
        <v>100</v>
      </c>
      <c r="AP2" s="0" t="n">
        <v>101</v>
      </c>
      <c r="AQ2" s="0" t="n">
        <v>103</v>
      </c>
      <c r="AR2" s="0" t="s">
        <v>3</v>
      </c>
      <c r="AS2" s="0" t="s">
        <v>4</v>
      </c>
      <c r="AT2" s="0" t="s">
        <v>5</v>
      </c>
      <c r="AU2" s="0" t="s">
        <v>6</v>
      </c>
    </row>
    <row r="3" customFormat="false" ht="12.75" hidden="false" customHeight="false" outlineLevel="0" collapsed="false">
      <c r="A3" s="0" t="n">
        <v>1</v>
      </c>
      <c r="B3" s="0" t="n">
        <v>70434</v>
      </c>
      <c r="C3" s="1" t="n">
        <v>0</v>
      </c>
      <c r="D3" s="1" t="n">
        <f aca="false">'OD-APUMA(Val)'!D3*D$49</f>
        <v>13.8581980266751</v>
      </c>
      <c r="E3" s="1" t="n">
        <f aca="false">'OD-APUMA(Val)'!E3*E$49</f>
        <v>60.572111697298</v>
      </c>
      <c r="F3" s="1" t="n">
        <f aca="false">'OD-APUMA(Val)'!F3*F$49</f>
        <v>7.03937051402187</v>
      </c>
      <c r="G3" s="1" t="n">
        <f aca="false">'OD-APUMA(Val)'!G3*G$49</f>
        <v>12.9999904556467</v>
      </c>
      <c r="H3" s="1" t="n">
        <f aca="false">'OD-APUMA(Val)'!H3*H$49</f>
        <v>1.83270873640241</v>
      </c>
      <c r="I3" s="1" t="n">
        <f aca="false">'OD-APUMA(Val)'!I3*I$49</f>
        <v>30.8662905452661</v>
      </c>
      <c r="J3" s="1" t="n">
        <f aca="false">'OD-APUMA(Val)'!J3*J$49</f>
        <v>0</v>
      </c>
      <c r="K3" s="1" t="n">
        <f aca="false">'OD-APUMA(Val)'!K3*K$49</f>
        <v>0</v>
      </c>
      <c r="L3" s="1" t="n">
        <f aca="false">'OD-APUMA(Val)'!L3*L$49</f>
        <v>0</v>
      </c>
      <c r="M3" s="1" t="n">
        <f aca="false">'OD-APUMA(Val)'!M3*M$49</f>
        <v>0</v>
      </c>
      <c r="N3" s="1" t="n">
        <f aca="false">'OD-APUMA(Val)'!N3*N$49</f>
        <v>0</v>
      </c>
      <c r="O3" s="1" t="n">
        <f aca="false">'OD-APUMA(Val)'!O3*O$49</f>
        <v>0</v>
      </c>
      <c r="P3" s="1" t="n">
        <f aca="false">'OD-APUMA(Val)'!P3*P$49</f>
        <v>9.05126662717452</v>
      </c>
      <c r="Q3" s="1" t="n">
        <f aca="false">'OD-APUMA(Val)'!Q3*Q$49</f>
        <v>0</v>
      </c>
      <c r="R3" s="1" t="n">
        <f aca="false">'OD-APUMA(Val)'!R3*R$49</f>
        <v>3.84072341931395</v>
      </c>
      <c r="S3" s="1" t="n">
        <f aca="false">'OD-APUMA(Val)'!S3*S$49</f>
        <v>0</v>
      </c>
      <c r="T3" s="1" t="n">
        <f aca="false">'OD-APUMA(Val)'!T3*T$49</f>
        <v>0</v>
      </c>
      <c r="U3" s="1" t="n">
        <f aca="false">'OD-APUMA(Val)'!U3*U$49</f>
        <v>0</v>
      </c>
      <c r="V3" s="1" t="n">
        <f aca="false">'OD-APUMA(Val)'!V3*V$49</f>
        <v>0</v>
      </c>
      <c r="W3" s="1" t="n">
        <f aca="false">'OD-APUMA(Val)'!W3*W$49</f>
        <v>0.745989504375806</v>
      </c>
      <c r="X3" s="1" t="n">
        <f aca="false">'OD-APUMA(Val)'!X3*X$49</f>
        <v>0</v>
      </c>
      <c r="Y3" s="1" t="n">
        <f aca="false">'OD-APUMA(Val)'!Y3*Y$49</f>
        <v>0</v>
      </c>
      <c r="Z3" s="1" t="n">
        <f aca="false">'OD-APUMA(Val)'!Z3*Z$49</f>
        <v>0</v>
      </c>
      <c r="AA3" s="1" t="n">
        <f aca="false">'OD-APUMA(Val)'!AA3*AA$49</f>
        <v>0</v>
      </c>
      <c r="AB3" s="1" t="n">
        <f aca="false">'OD-APUMA(Val)'!AB3*AB$49</f>
        <v>0</v>
      </c>
      <c r="AC3" s="1" t="n">
        <f aca="false">'OD-APUMA(Val)'!AC3*AC$49</f>
        <v>2.50551173796656</v>
      </c>
      <c r="AD3" s="1" t="n">
        <f aca="false">'OD-APUMA(Val)'!AD3*AD$49</f>
        <v>0</v>
      </c>
      <c r="AE3" s="1" t="n">
        <f aca="false">'OD-APUMA(Val)'!AE3*AE$49</f>
        <v>0</v>
      </c>
      <c r="AF3" s="1" t="n">
        <f aca="false">'OD-APUMA(Val)'!AF3*AF$49</f>
        <v>0</v>
      </c>
      <c r="AG3" s="1" t="n">
        <f aca="false">'OD-APUMA(Val)'!AG3*AG$49</f>
        <v>0</v>
      </c>
      <c r="AH3" s="1" t="n">
        <f aca="false">'OD-APUMA(Val)'!AH3*AH$49</f>
        <v>3.74355720959351</v>
      </c>
      <c r="AI3" s="1" t="n">
        <f aca="false">'OD-APUMA(Val)'!AI3*AI$49</f>
        <v>11.2080141500854</v>
      </c>
      <c r="AJ3" s="1" t="n">
        <f aca="false">'OD-APUMA(Val)'!AJ3*AJ$49</f>
        <v>0</v>
      </c>
      <c r="AK3" s="1" t="n">
        <f aca="false">'OD-APUMA(Val)'!AK3*AK$49</f>
        <v>0</v>
      </c>
      <c r="AL3" s="1" t="n">
        <f aca="false">'OD-APUMA(Val)'!AL3*AL$49</f>
        <v>0</v>
      </c>
      <c r="AM3" s="1" t="n">
        <f aca="false">'OD-APUMA(Val)'!AM3*AM$49</f>
        <v>6.09223673459874</v>
      </c>
      <c r="AN3" s="1" t="n">
        <f aca="false">'OD-APUMA(Val)'!AN3*AN$49</f>
        <v>37.4361065196306</v>
      </c>
      <c r="AO3" s="1" t="n">
        <f aca="false">'OD-APUMA(Val)'!AO3*AO$49</f>
        <v>1.72547023379696</v>
      </c>
      <c r="AP3" s="1" t="n">
        <f aca="false">'OD-APUMA(Val)'!AP3*AP$49</f>
        <v>0</v>
      </c>
      <c r="AQ3" s="1" t="n">
        <f aca="false">'OD-APUMA(Val)'!AQ3*AQ$49</f>
        <v>0</v>
      </c>
      <c r="AR3" s="0" t="n">
        <f aca="false">SUM('OD-APUMA(Val)'!C3:AQ3)</f>
        <v>35412</v>
      </c>
      <c r="AS3" s="0" t="n">
        <f aca="false">MAX('OD-APUMA(Val)'!C3:AQ3)</f>
        <v>32903</v>
      </c>
      <c r="AT3" s="2" t="n">
        <f aca="false">SUM(C3:AQ3)/AR3</f>
        <v>0.00574713504212827</v>
      </c>
      <c r="AU3" s="3" t="n">
        <f aca="false">AT3^4</f>
        <v>1.09095191256637E-009</v>
      </c>
    </row>
    <row r="4" customFormat="false" ht="12.75" hidden="false" customHeight="false" outlineLevel="0" collapsed="false">
      <c r="A4" s="0" t="n">
        <v>2</v>
      </c>
      <c r="B4" s="0" t="n">
        <v>70551</v>
      </c>
      <c r="C4" s="1" t="n">
        <f aca="false">'OD-APUMA(Val)'!C4*C$49</f>
        <v>29.9408487706979</v>
      </c>
      <c r="D4" s="1" t="n">
        <v>0</v>
      </c>
      <c r="E4" s="1" t="n">
        <f aca="false">'OD-APUMA(Val)'!E4*E$49</f>
        <v>0</v>
      </c>
      <c r="F4" s="1" t="n">
        <f aca="false">'OD-APUMA(Val)'!F4*F$49</f>
        <v>18.4783475993074</v>
      </c>
      <c r="G4" s="1" t="n">
        <f aca="false">'OD-APUMA(Val)'!G4*G$49</f>
        <v>0</v>
      </c>
      <c r="H4" s="1" t="n">
        <f aca="false">'OD-APUMA(Val)'!H4*H$49</f>
        <v>0</v>
      </c>
      <c r="I4" s="1" t="n">
        <f aca="false">'OD-APUMA(Val)'!I4*I$49</f>
        <v>0</v>
      </c>
      <c r="J4" s="1" t="n">
        <f aca="false">'OD-APUMA(Val)'!J4*J$49</f>
        <v>0</v>
      </c>
      <c r="K4" s="1" t="n">
        <f aca="false">'OD-APUMA(Val)'!K4*K$49</f>
        <v>0</v>
      </c>
      <c r="L4" s="1" t="n">
        <f aca="false">'OD-APUMA(Val)'!L4*L$49</f>
        <v>0</v>
      </c>
      <c r="M4" s="1" t="n">
        <f aca="false">'OD-APUMA(Val)'!M4*M$49</f>
        <v>0</v>
      </c>
      <c r="N4" s="1" t="n">
        <f aca="false">'OD-APUMA(Val)'!N4*N$49</f>
        <v>0</v>
      </c>
      <c r="O4" s="1" t="n">
        <f aca="false">'OD-APUMA(Val)'!O4*O$49</f>
        <v>17.5481358453898</v>
      </c>
      <c r="P4" s="1" t="n">
        <f aca="false">'OD-APUMA(Val)'!P4*P$49</f>
        <v>0</v>
      </c>
      <c r="Q4" s="1" t="n">
        <f aca="false">'OD-APUMA(Val)'!Q4*Q$49</f>
        <v>0</v>
      </c>
      <c r="R4" s="1" t="n">
        <f aca="false">'OD-APUMA(Val)'!R4*R$49</f>
        <v>0</v>
      </c>
      <c r="S4" s="1" t="n">
        <f aca="false">'OD-APUMA(Val)'!S4*S$49</f>
        <v>0</v>
      </c>
      <c r="T4" s="1" t="n">
        <f aca="false">'OD-APUMA(Val)'!T4*T$49</f>
        <v>0</v>
      </c>
      <c r="U4" s="1" t="n">
        <f aca="false">'OD-APUMA(Val)'!U4*U$49</f>
        <v>0</v>
      </c>
      <c r="V4" s="1" t="n">
        <f aca="false">'OD-APUMA(Val)'!V4*V$49</f>
        <v>0</v>
      </c>
      <c r="W4" s="1" t="n">
        <f aca="false">'OD-APUMA(Val)'!W4*W$49</f>
        <v>0</v>
      </c>
      <c r="X4" s="1" t="n">
        <f aca="false">'OD-APUMA(Val)'!X4*X$49</f>
        <v>0</v>
      </c>
      <c r="Y4" s="1" t="n">
        <f aca="false">'OD-APUMA(Val)'!Y4*Y$49</f>
        <v>0</v>
      </c>
      <c r="Z4" s="1" t="n">
        <f aca="false">'OD-APUMA(Val)'!Z4*Z$49</f>
        <v>0</v>
      </c>
      <c r="AA4" s="1" t="n">
        <f aca="false">'OD-APUMA(Val)'!AA4*AA$49</f>
        <v>0</v>
      </c>
      <c r="AB4" s="1" t="n">
        <f aca="false">'OD-APUMA(Val)'!AB4*AB$49</f>
        <v>0</v>
      </c>
      <c r="AC4" s="1" t="n">
        <f aca="false">'OD-APUMA(Val)'!AC4*AC$49</f>
        <v>0</v>
      </c>
      <c r="AD4" s="1" t="n">
        <f aca="false">'OD-APUMA(Val)'!AD4*AD$49</f>
        <v>0</v>
      </c>
      <c r="AE4" s="1" t="n">
        <f aca="false">'OD-APUMA(Val)'!AE4*AE$49</f>
        <v>9.26460093018914</v>
      </c>
      <c r="AF4" s="1" t="n">
        <f aca="false">'OD-APUMA(Val)'!AF4*AF$49</f>
        <v>0</v>
      </c>
      <c r="AG4" s="1" t="n">
        <f aca="false">'OD-APUMA(Val)'!AG4*AG$49</f>
        <v>0</v>
      </c>
      <c r="AH4" s="1" t="n">
        <f aca="false">'OD-APUMA(Val)'!AH4*AH$49</f>
        <v>0</v>
      </c>
      <c r="AI4" s="1" t="n">
        <f aca="false">'OD-APUMA(Val)'!AI4*AI$49</f>
        <v>0</v>
      </c>
      <c r="AJ4" s="1" t="n">
        <f aca="false">'OD-APUMA(Val)'!AJ4*AJ$49</f>
        <v>0</v>
      </c>
      <c r="AK4" s="1" t="n">
        <f aca="false">'OD-APUMA(Val)'!AK4*AK$49</f>
        <v>0</v>
      </c>
      <c r="AL4" s="1" t="n">
        <f aca="false">'OD-APUMA(Val)'!AL4*AL$49</f>
        <v>0</v>
      </c>
      <c r="AM4" s="1" t="n">
        <f aca="false">'OD-APUMA(Val)'!AM4*AM$49</f>
        <v>0</v>
      </c>
      <c r="AN4" s="1" t="n">
        <f aca="false">'OD-APUMA(Val)'!AN4*AN$49</f>
        <v>0</v>
      </c>
      <c r="AO4" s="1" t="n">
        <f aca="false">'OD-APUMA(Val)'!AO4*AO$49</f>
        <v>0</v>
      </c>
      <c r="AP4" s="1" t="n">
        <f aca="false">'OD-APUMA(Val)'!AP4*AP$49</f>
        <v>0</v>
      </c>
      <c r="AQ4" s="1" t="n">
        <f aca="false">'OD-APUMA(Val)'!AQ4*AQ$49</f>
        <v>0</v>
      </c>
      <c r="AR4" s="0" t="n">
        <f aca="false">SUM('OD-APUMA(Val)'!C4:AQ4)</f>
        <v>50492</v>
      </c>
      <c r="AS4" s="0" t="n">
        <f aca="false">MAX('OD-APUMA(Val)'!C4:AQ4)</f>
        <v>49764</v>
      </c>
      <c r="AT4" s="2" t="n">
        <f aca="false">SUM(C4:AQ4)/AR4</f>
        <v>0.00148997728641338</v>
      </c>
      <c r="AU4" s="3" t="n">
        <f aca="false">AT4^4</f>
        <v>4.92854347532749E-012</v>
      </c>
    </row>
    <row r="5" customFormat="false" ht="12.75" hidden="false" customHeight="false" outlineLevel="0" collapsed="false">
      <c r="A5" s="0" t="n">
        <v>3</v>
      </c>
      <c r="B5" s="0" t="n">
        <v>93327</v>
      </c>
      <c r="C5" s="1" t="n">
        <f aca="false">'OD-APUMA(Val)'!C5*C$49</f>
        <v>71.2877351683283</v>
      </c>
      <c r="D5" s="1" t="n">
        <f aca="false">'OD-APUMA(Val)'!D5*D$49</f>
        <v>7.33669307294564</v>
      </c>
      <c r="E5" s="1" t="n">
        <v>0</v>
      </c>
      <c r="F5" s="1" t="n">
        <f aca="false">'OD-APUMA(Val)'!F5*F$49</f>
        <v>3.51968525701094</v>
      </c>
      <c r="G5" s="1" t="n">
        <f aca="false">'OD-APUMA(Val)'!G5*G$49</f>
        <v>246.999818657288</v>
      </c>
      <c r="H5" s="1" t="n">
        <f aca="false">'OD-APUMA(Val)'!H5*H$49</f>
        <v>1.42544012831299</v>
      </c>
      <c r="I5" s="1" t="n">
        <f aca="false">'OD-APUMA(Val)'!I5*I$49</f>
        <v>0</v>
      </c>
      <c r="J5" s="1" t="n">
        <f aca="false">'OD-APUMA(Val)'!J5*J$49</f>
        <v>0</v>
      </c>
      <c r="K5" s="1" t="n">
        <f aca="false">'OD-APUMA(Val)'!K5*K$49</f>
        <v>0</v>
      </c>
      <c r="L5" s="1" t="n">
        <f aca="false">'OD-APUMA(Val)'!L5*L$49</f>
        <v>25.1876872145772</v>
      </c>
      <c r="M5" s="1" t="n">
        <f aca="false">'OD-APUMA(Val)'!M5*M$49</f>
        <v>0</v>
      </c>
      <c r="N5" s="1" t="n">
        <f aca="false">'OD-APUMA(Val)'!N5*N$49</f>
        <v>0</v>
      </c>
      <c r="O5" s="1" t="n">
        <f aca="false">'OD-APUMA(Val)'!O5*O$49</f>
        <v>0</v>
      </c>
      <c r="P5" s="1" t="n">
        <f aca="false">'OD-APUMA(Val)'!P5*P$49</f>
        <v>31.6794331951108</v>
      </c>
      <c r="Q5" s="1" t="n">
        <f aca="false">'OD-APUMA(Val)'!Q5*Q$49</f>
        <v>0</v>
      </c>
      <c r="R5" s="1" t="n">
        <f aca="false">'OD-APUMA(Val)'!R5*R$49</f>
        <v>0</v>
      </c>
      <c r="S5" s="1" t="n">
        <f aca="false">'OD-APUMA(Val)'!S5*S$49</f>
        <v>0</v>
      </c>
      <c r="T5" s="1" t="n">
        <f aca="false">'OD-APUMA(Val)'!T5*T$49</f>
        <v>0</v>
      </c>
      <c r="U5" s="1" t="n">
        <f aca="false">'OD-APUMA(Val)'!U5*U$49</f>
        <v>0</v>
      </c>
      <c r="V5" s="1" t="n">
        <f aca="false">'OD-APUMA(Val)'!V5*V$49</f>
        <v>0</v>
      </c>
      <c r="W5" s="1" t="n">
        <f aca="false">'OD-APUMA(Val)'!W5*W$49</f>
        <v>0</v>
      </c>
      <c r="X5" s="1" t="n">
        <f aca="false">'OD-APUMA(Val)'!X5*X$49</f>
        <v>0</v>
      </c>
      <c r="Y5" s="1" t="n">
        <f aca="false">'OD-APUMA(Val)'!Y5*Y$49</f>
        <v>0</v>
      </c>
      <c r="Z5" s="1" t="n">
        <f aca="false">'OD-APUMA(Val)'!Z5*Z$49</f>
        <v>0</v>
      </c>
      <c r="AA5" s="1" t="n">
        <f aca="false">'OD-APUMA(Val)'!AA5*AA$49</f>
        <v>64.327256785849</v>
      </c>
      <c r="AB5" s="1" t="n">
        <f aca="false">'OD-APUMA(Val)'!AB5*AB$49</f>
        <v>46.6233357348706</v>
      </c>
      <c r="AC5" s="1" t="n">
        <f aca="false">'OD-APUMA(Val)'!AC5*AC$49</f>
        <v>0</v>
      </c>
      <c r="AD5" s="1" t="n">
        <f aca="false">'OD-APUMA(Val)'!AD5*AD$49</f>
        <v>3.36594247596548</v>
      </c>
      <c r="AE5" s="1" t="n">
        <f aca="false">'OD-APUMA(Val)'!AE5*AE$49</f>
        <v>0</v>
      </c>
      <c r="AF5" s="1" t="n">
        <f aca="false">'OD-APUMA(Val)'!AF5*AF$49</f>
        <v>0</v>
      </c>
      <c r="AG5" s="1" t="n">
        <f aca="false">'OD-APUMA(Val)'!AG5*AG$49</f>
        <v>0</v>
      </c>
      <c r="AH5" s="1" t="n">
        <f aca="false">'OD-APUMA(Val)'!AH5*AH$49</f>
        <v>0</v>
      </c>
      <c r="AI5" s="1" t="n">
        <f aca="false">'OD-APUMA(Val)'!AI5*AI$49</f>
        <v>16.1893537723456</v>
      </c>
      <c r="AJ5" s="1" t="n">
        <f aca="false">'OD-APUMA(Val)'!AJ5*AJ$49</f>
        <v>9.26315169288199</v>
      </c>
      <c r="AK5" s="1" t="n">
        <f aca="false">'OD-APUMA(Val)'!AK5*AK$49</f>
        <v>0</v>
      </c>
      <c r="AL5" s="1" t="n">
        <f aca="false">'OD-APUMA(Val)'!AL5*AL$49</f>
        <v>0</v>
      </c>
      <c r="AM5" s="1" t="n">
        <f aca="false">'OD-APUMA(Val)'!AM5*AM$49</f>
        <v>33.5073020402931</v>
      </c>
      <c r="AN5" s="1" t="n">
        <f aca="false">'OD-APUMA(Val)'!AN5*AN$49</f>
        <v>0</v>
      </c>
      <c r="AO5" s="1" t="n">
        <f aca="false">'OD-APUMA(Val)'!AO5*AO$49</f>
        <v>1.38037618703757</v>
      </c>
      <c r="AP5" s="1" t="n">
        <f aca="false">'OD-APUMA(Val)'!AP5*AP$49</f>
        <v>0</v>
      </c>
      <c r="AQ5" s="1" t="n">
        <f aca="false">'OD-APUMA(Val)'!AQ5*AQ$49</f>
        <v>0</v>
      </c>
      <c r="AR5" s="0" t="n">
        <f aca="false">SUM('OD-APUMA(Val)'!C5:AQ5)</f>
        <v>59163</v>
      </c>
      <c r="AS5" s="0" t="n">
        <f aca="false">MAX('OD-APUMA(Val)'!C5:AQ5)</f>
        <v>55562</v>
      </c>
      <c r="AT5" s="2" t="n">
        <f aca="false">SUM(C5:AQ5)/AR5</f>
        <v>0.00950075573217749</v>
      </c>
      <c r="AU5" s="3" t="n">
        <f aca="false">AT5^4</f>
        <v>8.1476545927866E-009</v>
      </c>
    </row>
    <row r="6" customFormat="false" ht="12.75" hidden="false" customHeight="false" outlineLevel="0" collapsed="false">
      <c r="A6" s="0" t="n">
        <v>4</v>
      </c>
      <c r="B6" s="0" t="n">
        <v>79183</v>
      </c>
      <c r="C6" s="1" t="n">
        <f aca="false">'OD-APUMA(Val)'!C6*C$49</f>
        <v>0</v>
      </c>
      <c r="D6" s="1" t="n">
        <f aca="false">'OD-APUMA(Val)'!D6*D$49</f>
        <v>0</v>
      </c>
      <c r="E6" s="1" t="n">
        <f aca="false">'OD-APUMA(Val)'!E6*E$49</f>
        <v>0</v>
      </c>
      <c r="F6" s="1" t="n">
        <v>0</v>
      </c>
      <c r="G6" s="1" t="n">
        <f aca="false">'OD-APUMA(Val)'!G6*G$49</f>
        <v>7.79999427338803</v>
      </c>
      <c r="H6" s="1" t="n">
        <f aca="false">'OD-APUMA(Val)'!H6*H$49</f>
        <v>0</v>
      </c>
      <c r="I6" s="1" t="n">
        <f aca="false">'OD-APUMA(Val)'!I6*I$49</f>
        <v>13.9396150849589</v>
      </c>
      <c r="J6" s="1" t="n">
        <f aca="false">'OD-APUMA(Val)'!J6*J$49</f>
        <v>6.88558789268015</v>
      </c>
      <c r="K6" s="1" t="n">
        <f aca="false">'OD-APUMA(Val)'!K6*K$49</f>
        <v>7.59462496690786</v>
      </c>
      <c r="L6" s="1" t="n">
        <f aca="false">'OD-APUMA(Val)'!L6*L$49</f>
        <v>0</v>
      </c>
      <c r="M6" s="1" t="n">
        <f aca="false">'OD-APUMA(Val)'!M6*M$49</f>
        <v>0</v>
      </c>
      <c r="N6" s="1" t="n">
        <f aca="false">'OD-APUMA(Val)'!N6*N$49</f>
        <v>0</v>
      </c>
      <c r="O6" s="1" t="n">
        <f aca="false">'OD-APUMA(Val)'!O6*O$49</f>
        <v>70.192543381559</v>
      </c>
      <c r="P6" s="1" t="n">
        <f aca="false">'OD-APUMA(Val)'!P6*P$49</f>
        <v>149.34589934838</v>
      </c>
      <c r="Q6" s="1" t="n">
        <f aca="false">'OD-APUMA(Val)'!Q6*Q$49</f>
        <v>31.2752539848211</v>
      </c>
      <c r="R6" s="1" t="n">
        <f aca="false">'OD-APUMA(Val)'!R6*R$49</f>
        <v>0</v>
      </c>
      <c r="S6" s="1" t="n">
        <f aca="false">'OD-APUMA(Val)'!S6*S$49</f>
        <v>0</v>
      </c>
      <c r="T6" s="1" t="n">
        <f aca="false">'OD-APUMA(Val)'!T6*T$49</f>
        <v>0</v>
      </c>
      <c r="U6" s="1" t="n">
        <f aca="false">'OD-APUMA(Val)'!U6*U$49</f>
        <v>0</v>
      </c>
      <c r="V6" s="1" t="n">
        <f aca="false">'OD-APUMA(Val)'!V6*V$49</f>
        <v>0</v>
      </c>
      <c r="W6" s="1" t="n">
        <f aca="false">'OD-APUMA(Val)'!W6*W$49</f>
        <v>0</v>
      </c>
      <c r="X6" s="1" t="n">
        <f aca="false">'OD-APUMA(Val)'!X6*X$49</f>
        <v>0</v>
      </c>
      <c r="Y6" s="1" t="n">
        <f aca="false">'OD-APUMA(Val)'!Y6*Y$49</f>
        <v>0</v>
      </c>
      <c r="Z6" s="1" t="n">
        <f aca="false">'OD-APUMA(Val)'!Z6*Z$49</f>
        <v>0</v>
      </c>
      <c r="AA6" s="1" t="n">
        <f aca="false">'OD-APUMA(Val)'!AA6*AA$49</f>
        <v>41.9525587733798</v>
      </c>
      <c r="AB6" s="1" t="n">
        <f aca="false">'OD-APUMA(Val)'!AB6*AB$49</f>
        <v>0</v>
      </c>
      <c r="AC6" s="1" t="n">
        <f aca="false">'OD-APUMA(Val)'!AC6*AC$49</f>
        <v>0</v>
      </c>
      <c r="AD6" s="1" t="n">
        <f aca="false">'OD-APUMA(Val)'!AD6*AD$49</f>
        <v>0</v>
      </c>
      <c r="AE6" s="1" t="n">
        <f aca="false">'OD-APUMA(Val)'!AE6*AE$49</f>
        <v>10.4226760464628</v>
      </c>
      <c r="AF6" s="1" t="n">
        <f aca="false">'OD-APUMA(Val)'!AF6*AF$49</f>
        <v>0</v>
      </c>
      <c r="AG6" s="1" t="n">
        <f aca="false">'OD-APUMA(Val)'!AG6*AG$49</f>
        <v>0</v>
      </c>
      <c r="AH6" s="1" t="n">
        <f aca="false">'OD-APUMA(Val)'!AH6*AH$49</f>
        <v>0</v>
      </c>
      <c r="AI6" s="1" t="n">
        <f aca="false">'OD-APUMA(Val)'!AI6*AI$49</f>
        <v>0</v>
      </c>
      <c r="AJ6" s="1" t="n">
        <f aca="false">'OD-APUMA(Val)'!AJ6*AJ$49</f>
        <v>0</v>
      </c>
      <c r="AK6" s="1" t="n">
        <f aca="false">'OD-APUMA(Val)'!AK6*AK$49</f>
        <v>0</v>
      </c>
      <c r="AL6" s="1" t="n">
        <f aca="false">'OD-APUMA(Val)'!AL6*AL$49</f>
        <v>0</v>
      </c>
      <c r="AM6" s="1" t="n">
        <f aca="false">'OD-APUMA(Val)'!AM6*AM$49</f>
        <v>21.3228285710956</v>
      </c>
      <c r="AN6" s="1" t="n">
        <f aca="false">'OD-APUMA(Val)'!AN6*AN$49</f>
        <v>0</v>
      </c>
      <c r="AO6" s="1" t="n">
        <f aca="false">'OD-APUMA(Val)'!AO6*AO$49</f>
        <v>38.9956272838114</v>
      </c>
      <c r="AP6" s="1" t="n">
        <f aca="false">'OD-APUMA(Val)'!AP6*AP$49</f>
        <v>0</v>
      </c>
      <c r="AQ6" s="1" t="n">
        <f aca="false">'OD-APUMA(Val)'!AQ6*AQ$49</f>
        <v>0</v>
      </c>
      <c r="AR6" s="0" t="n">
        <f aca="false">SUM('OD-APUMA(Val)'!C6:AQ6)</f>
        <v>51012</v>
      </c>
      <c r="AS6" s="0" t="n">
        <f aca="false">MAX('OD-APUMA(Val)'!C6:AQ6)</f>
        <v>47697</v>
      </c>
      <c r="AT6" s="2" t="n">
        <f aca="false">SUM(C6:AQ6)/AR6</f>
        <v>0.00783594467198785</v>
      </c>
      <c r="AU6" s="3" t="n">
        <f aca="false">AT6^4</f>
        <v>3.77020915333789E-009</v>
      </c>
    </row>
    <row r="7" customFormat="false" ht="12.75" hidden="false" customHeight="false" outlineLevel="0" collapsed="false">
      <c r="A7" s="0" t="n">
        <v>5</v>
      </c>
      <c r="B7" s="0" t="n">
        <v>66183</v>
      </c>
      <c r="C7" s="1" t="n">
        <f aca="false">'OD-APUMA(Val)'!C7*C$49</f>
        <v>0</v>
      </c>
      <c r="D7" s="1" t="n">
        <f aca="false">'OD-APUMA(Val)'!D7*D$49</f>
        <v>33.4227128878635</v>
      </c>
      <c r="E7" s="1" t="n">
        <f aca="false">'OD-APUMA(Val)'!E7*E$49</f>
        <v>176.668659117119</v>
      </c>
      <c r="F7" s="1" t="n">
        <f aca="false">'OD-APUMA(Val)'!F7*F$49</f>
        <v>4.39960657126367</v>
      </c>
      <c r="G7" s="1" t="n">
        <v>0</v>
      </c>
      <c r="H7" s="1" t="n">
        <f aca="false">'OD-APUMA(Val)'!H7*H$49</f>
        <v>17.3089158438006</v>
      </c>
      <c r="I7" s="1" t="n">
        <f aca="false">'OD-APUMA(Val)'!I7*I$49</f>
        <v>43.8102188384422</v>
      </c>
      <c r="J7" s="1" t="n">
        <f aca="false">'OD-APUMA(Val)'!J7*J$49</f>
        <v>0</v>
      </c>
      <c r="K7" s="1" t="n">
        <f aca="false">'OD-APUMA(Val)'!K7*K$49</f>
        <v>0</v>
      </c>
      <c r="L7" s="1" t="n">
        <f aca="false">'OD-APUMA(Val)'!L7*L$49</f>
        <v>0</v>
      </c>
      <c r="M7" s="1" t="n">
        <f aca="false">'OD-APUMA(Val)'!M7*M$49</f>
        <v>39.20624944379</v>
      </c>
      <c r="N7" s="1" t="n">
        <f aca="false">'OD-APUMA(Val)'!N7*N$49</f>
        <v>0</v>
      </c>
      <c r="O7" s="1" t="n">
        <f aca="false">'OD-APUMA(Val)'!O7*O$49</f>
        <v>0</v>
      </c>
      <c r="P7" s="1" t="n">
        <f aca="false">'OD-APUMA(Val)'!P7*P$49</f>
        <v>58.8332330766344</v>
      </c>
      <c r="Q7" s="1" t="n">
        <f aca="false">'OD-APUMA(Val)'!Q7*Q$49</f>
        <v>0</v>
      </c>
      <c r="R7" s="1" t="n">
        <f aca="false">'OD-APUMA(Val)'!R7*R$49</f>
        <v>0</v>
      </c>
      <c r="S7" s="1" t="n">
        <f aca="false">'OD-APUMA(Val)'!S7*S$49</f>
        <v>0</v>
      </c>
      <c r="T7" s="1" t="n">
        <f aca="false">'OD-APUMA(Val)'!T7*T$49</f>
        <v>0</v>
      </c>
      <c r="U7" s="1" t="n">
        <f aca="false">'OD-APUMA(Val)'!U7*U$49</f>
        <v>0</v>
      </c>
      <c r="V7" s="1" t="n">
        <f aca="false">'OD-APUMA(Val)'!V7*V$49</f>
        <v>0</v>
      </c>
      <c r="W7" s="1" t="n">
        <f aca="false">'OD-APUMA(Val)'!W7*W$49</f>
        <v>0</v>
      </c>
      <c r="X7" s="1" t="n">
        <f aca="false">'OD-APUMA(Val)'!X7*X$49</f>
        <v>0</v>
      </c>
      <c r="Y7" s="1" t="n">
        <f aca="false">'OD-APUMA(Val)'!Y7*Y$49</f>
        <v>0</v>
      </c>
      <c r="Z7" s="1" t="n">
        <f aca="false">'OD-APUMA(Val)'!Z7*Z$49</f>
        <v>0</v>
      </c>
      <c r="AA7" s="1" t="n">
        <f aca="false">'OD-APUMA(Val)'!AA7*AA$49</f>
        <v>0</v>
      </c>
      <c r="AB7" s="1" t="n">
        <f aca="false">'OD-APUMA(Val)'!AB7*AB$49</f>
        <v>38.3956882522464</v>
      </c>
      <c r="AC7" s="1" t="n">
        <f aca="false">'OD-APUMA(Val)'!AC7*AC$49</f>
        <v>0</v>
      </c>
      <c r="AD7" s="1" t="n">
        <f aca="false">'OD-APUMA(Val)'!AD7*AD$49</f>
        <v>0</v>
      </c>
      <c r="AE7" s="1" t="n">
        <f aca="false">'OD-APUMA(Val)'!AE7*AE$49</f>
        <v>0</v>
      </c>
      <c r="AF7" s="1" t="n">
        <f aca="false">'OD-APUMA(Val)'!AF7*AF$49</f>
        <v>0</v>
      </c>
      <c r="AG7" s="1" t="n">
        <f aca="false">'OD-APUMA(Val)'!AG7*AG$49</f>
        <v>0</v>
      </c>
      <c r="AH7" s="1" t="n">
        <f aca="false">'OD-APUMA(Val)'!AH7*AH$49</f>
        <v>0</v>
      </c>
      <c r="AI7" s="1" t="n">
        <f aca="false">'OD-APUMA(Val)'!AI7*AI$49</f>
        <v>0</v>
      </c>
      <c r="AJ7" s="1" t="n">
        <f aca="false">'OD-APUMA(Val)'!AJ7*AJ$49</f>
        <v>9.26315169288199</v>
      </c>
      <c r="AK7" s="1" t="n">
        <f aca="false">'OD-APUMA(Val)'!AK7*AK$49</f>
        <v>0</v>
      </c>
      <c r="AL7" s="1" t="n">
        <f aca="false">'OD-APUMA(Val)'!AL7*AL$49</f>
        <v>0</v>
      </c>
      <c r="AM7" s="1" t="n">
        <f aca="false">'OD-APUMA(Val)'!AM7*AM$49</f>
        <v>16.7536510201465</v>
      </c>
      <c r="AN7" s="1" t="n">
        <f aca="false">'OD-APUMA(Val)'!AN7*AN$49</f>
        <v>39.2187782586606</v>
      </c>
      <c r="AO7" s="1" t="n">
        <f aca="false">'OD-APUMA(Val)'!AO7*AO$49</f>
        <v>0</v>
      </c>
      <c r="AP7" s="1" t="n">
        <f aca="false">'OD-APUMA(Val)'!AP7*AP$49</f>
        <v>0</v>
      </c>
      <c r="AQ7" s="1" t="n">
        <f aca="false">'OD-APUMA(Val)'!AQ7*AQ$49</f>
        <v>0</v>
      </c>
      <c r="AR7" s="0" t="n">
        <f aca="false">SUM('OD-APUMA(Val)'!C7:AQ7)</f>
        <v>34164</v>
      </c>
      <c r="AS7" s="0" t="n">
        <f aca="false">MAX('OD-APUMA(Val)'!C7:AQ7)</f>
        <v>28613</v>
      </c>
      <c r="AT7" s="2" t="n">
        <f aca="false">SUM(C7:AQ7)/AR7</f>
        <v>0.0139702864126814</v>
      </c>
      <c r="AU7" s="3" t="n">
        <f aca="false">AT7^4</f>
        <v>3.80909004844556E-008</v>
      </c>
    </row>
    <row r="8" customFormat="false" ht="12.75" hidden="false" customHeight="false" outlineLevel="0" collapsed="false">
      <c r="A8" s="0" t="n">
        <v>6</v>
      </c>
      <c r="B8" s="0" t="n">
        <v>111722</v>
      </c>
      <c r="C8" s="1" t="n">
        <f aca="false">'OD-APUMA(Val)'!C8*C$49</f>
        <v>32.792358177431</v>
      </c>
      <c r="D8" s="1" t="n">
        <f aca="false">'OD-APUMA(Val)'!D8*D$49</f>
        <v>0</v>
      </c>
      <c r="E8" s="1" t="n">
        <f aca="false">'OD-APUMA(Val)'!E8*E$49</f>
        <v>5.04767597477483</v>
      </c>
      <c r="F8" s="1" t="n">
        <f aca="false">'OD-APUMA(Val)'!F8*F$49</f>
        <v>0</v>
      </c>
      <c r="G8" s="1" t="n">
        <f aca="false">'OD-APUMA(Val)'!G8*G$49</f>
        <v>278.19979575084</v>
      </c>
      <c r="H8" s="1" t="n">
        <v>0</v>
      </c>
      <c r="I8" s="1" t="n">
        <f aca="false">'OD-APUMA(Val)'!I8*I$49</f>
        <v>19.9137358356555</v>
      </c>
      <c r="J8" s="1" t="n">
        <f aca="false">'OD-APUMA(Val)'!J8*J$49</f>
        <v>97.163295818931</v>
      </c>
      <c r="K8" s="1" t="n">
        <f aca="false">'OD-APUMA(Val)'!K8*K$49</f>
        <v>13.6703249404341</v>
      </c>
      <c r="L8" s="1" t="n">
        <f aca="false">'OD-APUMA(Val)'!L8*L$49</f>
        <v>0</v>
      </c>
      <c r="M8" s="1" t="n">
        <f aca="false">'OD-APUMA(Val)'!M8*M$49</f>
        <v>32.07784045401</v>
      </c>
      <c r="N8" s="1" t="n">
        <f aca="false">'OD-APUMA(Val)'!N8*N$49</f>
        <v>0</v>
      </c>
      <c r="O8" s="1" t="n">
        <f aca="false">'OD-APUMA(Val)'!O8*O$49</f>
        <v>0</v>
      </c>
      <c r="P8" s="1" t="n">
        <f aca="false">'OD-APUMA(Val)'!P8*P$49</f>
        <v>0</v>
      </c>
      <c r="Q8" s="1" t="n">
        <f aca="false">'OD-APUMA(Val)'!Q8*Q$49</f>
        <v>0</v>
      </c>
      <c r="R8" s="1" t="n">
        <f aca="false">'OD-APUMA(Val)'!R8*R$49</f>
        <v>9.60180854828488</v>
      </c>
      <c r="S8" s="1" t="n">
        <f aca="false">'OD-APUMA(Val)'!S8*S$49</f>
        <v>0</v>
      </c>
      <c r="T8" s="1" t="n">
        <f aca="false">'OD-APUMA(Val)'!T8*T$49</f>
        <v>0</v>
      </c>
      <c r="U8" s="1" t="n">
        <f aca="false">'OD-APUMA(Val)'!U8*U$49</f>
        <v>0</v>
      </c>
      <c r="V8" s="1" t="n">
        <f aca="false">'OD-APUMA(Val)'!V8*V$49</f>
        <v>0</v>
      </c>
      <c r="W8" s="1" t="n">
        <f aca="false">'OD-APUMA(Val)'!W8*W$49</f>
        <v>0</v>
      </c>
      <c r="X8" s="1" t="n">
        <f aca="false">'OD-APUMA(Val)'!X8*X$49</f>
        <v>0</v>
      </c>
      <c r="Y8" s="1" t="n">
        <f aca="false">'OD-APUMA(Val)'!Y8*Y$49</f>
        <v>0</v>
      </c>
      <c r="Z8" s="1" t="n">
        <f aca="false">'OD-APUMA(Val)'!Z8*Z$49</f>
        <v>0</v>
      </c>
      <c r="AA8" s="1" t="n">
        <f aca="false">'OD-APUMA(Val)'!AA8*AA$49</f>
        <v>0</v>
      </c>
      <c r="AB8" s="1" t="n">
        <f aca="false">'OD-APUMA(Val)'!AB8*AB$49</f>
        <v>0</v>
      </c>
      <c r="AC8" s="1" t="n">
        <f aca="false">'OD-APUMA(Val)'!AC8*AC$49</f>
        <v>2.14758148968562</v>
      </c>
      <c r="AD8" s="1" t="n">
        <f aca="false">'OD-APUMA(Val)'!AD8*AD$49</f>
        <v>0</v>
      </c>
      <c r="AE8" s="1" t="n">
        <f aca="false">'OD-APUMA(Val)'!AE8*AE$49</f>
        <v>0</v>
      </c>
      <c r="AF8" s="1" t="n">
        <f aca="false">'OD-APUMA(Val)'!AF8*AF$49</f>
        <v>2.28516943908988</v>
      </c>
      <c r="AG8" s="1" t="n">
        <f aca="false">'OD-APUMA(Val)'!AG8*AG$49</f>
        <v>0</v>
      </c>
      <c r="AH8" s="1" t="n">
        <f aca="false">'OD-APUMA(Val)'!AH8*AH$49</f>
        <v>0</v>
      </c>
      <c r="AI8" s="1" t="n">
        <f aca="false">'OD-APUMA(Val)'!AI8*AI$49</f>
        <v>12.4533490556504</v>
      </c>
      <c r="AJ8" s="1" t="n">
        <f aca="false">'OD-APUMA(Val)'!AJ8*AJ$49</f>
        <v>0</v>
      </c>
      <c r="AK8" s="1" t="n">
        <f aca="false">'OD-APUMA(Val)'!AK8*AK$49</f>
        <v>0</v>
      </c>
      <c r="AL8" s="1" t="n">
        <f aca="false">'OD-APUMA(Val)'!AL8*AL$49</f>
        <v>0</v>
      </c>
      <c r="AM8" s="1" t="n">
        <f aca="false">'OD-APUMA(Val)'!AM8*AM$49</f>
        <v>18.2767102037962</v>
      </c>
      <c r="AN8" s="1" t="n">
        <f aca="false">'OD-APUMA(Val)'!AN8*AN$49</f>
        <v>16.0440456512702</v>
      </c>
      <c r="AO8" s="1" t="n">
        <f aca="false">'OD-APUMA(Val)'!AO8*AO$49</f>
        <v>0</v>
      </c>
      <c r="AP8" s="1" t="n">
        <f aca="false">'OD-APUMA(Val)'!AP8*AP$49</f>
        <v>0</v>
      </c>
      <c r="AQ8" s="1" t="n">
        <f aca="false">'OD-APUMA(Val)'!AQ8*AQ$49</f>
        <v>0</v>
      </c>
      <c r="AR8" s="0" t="n">
        <f aca="false">SUM('OD-APUMA(Val)'!C8:AQ8)</f>
        <v>67522</v>
      </c>
      <c r="AS8" s="0" t="n">
        <f aca="false">MAX('OD-APUMA(Val)'!C8:AQ8)</f>
        <v>62647</v>
      </c>
      <c r="AT8" s="2" t="n">
        <f aca="false">SUM(C8:AQ8)/AR8</f>
        <v>0.00799256081484336</v>
      </c>
      <c r="AU8" s="3" t="n">
        <f aca="false">AT8^4</f>
        <v>4.08078578675472E-009</v>
      </c>
    </row>
    <row r="9" customFormat="false" ht="12.75" hidden="false" customHeight="false" outlineLevel="0" collapsed="false">
      <c r="A9" s="0" t="n">
        <v>7</v>
      </c>
      <c r="B9" s="0" t="n">
        <v>61087</v>
      </c>
      <c r="C9" s="1" t="n">
        <f aca="false">'OD-APUMA(Val)'!C9*C$49</f>
        <v>11.4060376269325</v>
      </c>
      <c r="D9" s="1" t="n">
        <f aca="false">'OD-APUMA(Val)'!D9*D$49</f>
        <v>0</v>
      </c>
      <c r="E9" s="1" t="n">
        <f aca="false">'OD-APUMA(Val)'!E9*E$49</f>
        <v>48.4576893578384</v>
      </c>
      <c r="F9" s="1" t="n">
        <f aca="false">'OD-APUMA(Val)'!F9*F$49</f>
        <v>25.5177181133293</v>
      </c>
      <c r="G9" s="1" t="n">
        <f aca="false">'OD-APUMA(Val)'!G9*G$49</f>
        <v>15.5999885467761</v>
      </c>
      <c r="H9" s="1" t="n">
        <f aca="false">'OD-APUMA(Val)'!H9*H$49</f>
        <v>3.2581488647154</v>
      </c>
      <c r="I9" s="1" t="n">
        <v>0</v>
      </c>
      <c r="J9" s="1" t="n">
        <f aca="false">'OD-APUMA(Val)'!J9*J$49</f>
        <v>38.2532660704453</v>
      </c>
      <c r="K9" s="1" t="n">
        <f aca="false">'OD-APUMA(Val)'!K9*K$49</f>
        <v>9.11354996028943</v>
      </c>
      <c r="L9" s="1" t="n">
        <f aca="false">'OD-APUMA(Val)'!L9*L$49</f>
        <v>0</v>
      </c>
      <c r="M9" s="1" t="n">
        <f aca="false">'OD-APUMA(Val)'!M9*M$49</f>
        <v>1047.87612149766</v>
      </c>
      <c r="N9" s="1" t="n">
        <f aca="false">'OD-APUMA(Val)'!N9*N$49</f>
        <v>0</v>
      </c>
      <c r="O9" s="1" t="n">
        <f aca="false">'OD-APUMA(Val)'!O9*O$49</f>
        <v>0</v>
      </c>
      <c r="P9" s="1" t="n">
        <f aca="false">'OD-APUMA(Val)'!P9*P$49</f>
        <v>40.7306998222853</v>
      </c>
      <c r="Q9" s="1" t="n">
        <f aca="false">'OD-APUMA(Val)'!Q9*Q$49</f>
        <v>31.2752539848211</v>
      </c>
      <c r="R9" s="1" t="n">
        <f aca="false">'OD-APUMA(Val)'!R9*R$49</f>
        <v>3.36063299189971</v>
      </c>
      <c r="S9" s="1" t="n">
        <f aca="false">'OD-APUMA(Val)'!S9*S$49</f>
        <v>0</v>
      </c>
      <c r="T9" s="1" t="n">
        <f aca="false">'OD-APUMA(Val)'!T9*T$49</f>
        <v>0</v>
      </c>
      <c r="U9" s="1" t="n">
        <f aca="false">'OD-APUMA(Val)'!U9*U$49</f>
        <v>0</v>
      </c>
      <c r="V9" s="1" t="n">
        <f aca="false">'OD-APUMA(Val)'!V9*V$49</f>
        <v>0</v>
      </c>
      <c r="W9" s="1" t="n">
        <f aca="false">'OD-APUMA(Val)'!W9*W$49</f>
        <v>0</v>
      </c>
      <c r="X9" s="1" t="n">
        <f aca="false">'OD-APUMA(Val)'!X9*X$49</f>
        <v>0</v>
      </c>
      <c r="Y9" s="1" t="n">
        <f aca="false">'OD-APUMA(Val)'!Y9*Y$49</f>
        <v>0</v>
      </c>
      <c r="Z9" s="1" t="n">
        <f aca="false">'OD-APUMA(Val)'!Z9*Z$49</f>
        <v>0</v>
      </c>
      <c r="AA9" s="1" t="n">
        <f aca="false">'OD-APUMA(Val)'!AA9*AA$49</f>
        <v>47.5462332764971</v>
      </c>
      <c r="AB9" s="1" t="n">
        <f aca="false">'OD-APUMA(Val)'!AB9*AB$49</f>
        <v>19.1978441261232</v>
      </c>
      <c r="AC9" s="1" t="n">
        <f aca="false">'OD-APUMA(Val)'!AC9*AC$49</f>
        <v>0.715860496561874</v>
      </c>
      <c r="AD9" s="1" t="n">
        <f aca="false">'OD-APUMA(Val)'!AD9*AD$49</f>
        <v>0</v>
      </c>
      <c r="AE9" s="1" t="n">
        <f aca="false">'OD-APUMA(Val)'!AE9*AE$49</f>
        <v>9.26460093018914</v>
      </c>
      <c r="AF9" s="1" t="n">
        <f aca="false">'OD-APUMA(Val)'!AF9*AF$49</f>
        <v>0</v>
      </c>
      <c r="AG9" s="1" t="n">
        <f aca="false">'OD-APUMA(Val)'!AG9*AG$49</f>
        <v>0</v>
      </c>
      <c r="AH9" s="1" t="n">
        <f aca="false">'OD-APUMA(Val)'!AH9*AH$49</f>
        <v>0</v>
      </c>
      <c r="AI9" s="1" t="n">
        <f aca="false">'OD-APUMA(Val)'!AI9*AI$49</f>
        <v>118.306816028679</v>
      </c>
      <c r="AJ9" s="1" t="n">
        <f aca="false">'OD-APUMA(Val)'!AJ9*AJ$49</f>
        <v>0</v>
      </c>
      <c r="AK9" s="1" t="n">
        <f aca="false">'OD-APUMA(Val)'!AK9*AK$49</f>
        <v>0</v>
      </c>
      <c r="AL9" s="1" t="n">
        <f aca="false">'OD-APUMA(Val)'!AL9*AL$49</f>
        <v>20.5234221551208</v>
      </c>
      <c r="AM9" s="1" t="n">
        <f aca="false">'OD-APUMA(Val)'!AM9*AM$49</f>
        <v>12.1844734691975</v>
      </c>
      <c r="AN9" s="1" t="n">
        <f aca="false">'OD-APUMA(Val)'!AN9*AN$49</f>
        <v>0</v>
      </c>
      <c r="AO9" s="1" t="n">
        <f aca="false">'OD-APUMA(Val)'!AO9*AO$49</f>
        <v>4.14112856111272</v>
      </c>
      <c r="AP9" s="1" t="n">
        <f aca="false">'OD-APUMA(Val)'!AP9*AP$49</f>
        <v>8.42926975033987</v>
      </c>
      <c r="AQ9" s="1" t="n">
        <f aca="false">'OD-APUMA(Val)'!AQ9*AQ$49</f>
        <v>0</v>
      </c>
      <c r="AR9" s="0" t="n">
        <f aca="false">SUM('OD-APUMA(Val)'!C9:AQ9)</f>
        <v>41067</v>
      </c>
      <c r="AS9" s="0" t="n">
        <f aca="false">MAX('OD-APUMA(Val)'!C9:AQ9)</f>
        <v>32396</v>
      </c>
      <c r="AT9" s="2" t="n">
        <f aca="false">SUM(C9:AQ9)/AR9</f>
        <v>0.0368948000981521</v>
      </c>
      <c r="AU9" s="3" t="n">
        <f aca="false">AT9^4</f>
        <v>1.85293696979731E-006</v>
      </c>
    </row>
    <row r="10" customFormat="false" ht="12.75" hidden="false" customHeight="false" outlineLevel="0" collapsed="false">
      <c r="A10" s="0" t="n">
        <v>8</v>
      </c>
      <c r="B10" s="0" t="n">
        <v>74074</v>
      </c>
      <c r="C10" s="1" t="n">
        <f aca="false">'OD-APUMA(Val)'!C10*C$49</f>
        <v>0</v>
      </c>
      <c r="D10" s="1" t="n">
        <f aca="false">'OD-APUMA(Val)'!D10*D$49</f>
        <v>0</v>
      </c>
      <c r="E10" s="1" t="n">
        <f aca="false">'OD-APUMA(Val)'!E10*E$49</f>
        <v>0</v>
      </c>
      <c r="F10" s="1" t="n">
        <f aca="false">'OD-APUMA(Val)'!F10*F$49</f>
        <v>0</v>
      </c>
      <c r="G10" s="1" t="n">
        <f aca="false">'OD-APUMA(Val)'!G10*G$49</f>
        <v>80.5999408250096</v>
      </c>
      <c r="H10" s="1" t="n">
        <f aca="false">'OD-APUMA(Val)'!H10*H$49</f>
        <v>10.3853495062804</v>
      </c>
      <c r="I10" s="1" t="n">
        <f aca="false">'OD-APUMA(Val)'!I10*I$49</f>
        <v>23.8964830027866</v>
      </c>
      <c r="J10" s="1" t="n">
        <v>0</v>
      </c>
      <c r="K10" s="1" t="n">
        <f aca="false">'OD-APUMA(Val)'!K10*K$49</f>
        <v>0</v>
      </c>
      <c r="L10" s="1" t="n">
        <f aca="false">'OD-APUMA(Val)'!L10*L$49</f>
        <v>420.994200586505</v>
      </c>
      <c r="M10" s="1" t="n">
        <f aca="false">'OD-APUMA(Val)'!M10*M$49</f>
        <v>327.90681352988</v>
      </c>
      <c r="N10" s="1" t="n">
        <f aca="false">'OD-APUMA(Val)'!N10*N$49</f>
        <v>0</v>
      </c>
      <c r="O10" s="1" t="n">
        <f aca="false">'OD-APUMA(Val)'!O10*O$49</f>
        <v>0</v>
      </c>
      <c r="P10" s="1" t="n">
        <f aca="false">'OD-APUMA(Val)'!P10*P$49</f>
        <v>0</v>
      </c>
      <c r="Q10" s="1" t="n">
        <f aca="false">'OD-APUMA(Val)'!Q10*Q$49</f>
        <v>0</v>
      </c>
      <c r="R10" s="1" t="n">
        <f aca="false">'OD-APUMA(Val)'!R10*R$49</f>
        <v>0</v>
      </c>
      <c r="S10" s="1" t="n">
        <f aca="false">'OD-APUMA(Val)'!S10*S$49</f>
        <v>0</v>
      </c>
      <c r="T10" s="1" t="n">
        <f aca="false">'OD-APUMA(Val)'!T10*T$49</f>
        <v>0</v>
      </c>
      <c r="U10" s="1" t="n">
        <f aca="false">'OD-APUMA(Val)'!U10*U$49</f>
        <v>0</v>
      </c>
      <c r="V10" s="1" t="n">
        <f aca="false">'OD-APUMA(Val)'!V10*V$49</f>
        <v>0</v>
      </c>
      <c r="W10" s="1" t="n">
        <f aca="false">'OD-APUMA(Val)'!W10*W$49</f>
        <v>0</v>
      </c>
      <c r="X10" s="1" t="n">
        <f aca="false">'OD-APUMA(Val)'!X10*X$49</f>
        <v>0</v>
      </c>
      <c r="Y10" s="1" t="n">
        <f aca="false">'OD-APUMA(Val)'!Y10*Y$49</f>
        <v>0</v>
      </c>
      <c r="Z10" s="1" t="n">
        <f aca="false">'OD-APUMA(Val)'!Z10*Z$49</f>
        <v>0</v>
      </c>
      <c r="AA10" s="1" t="n">
        <f aca="false">'OD-APUMA(Val)'!AA10*AA$49</f>
        <v>19.5778607609106</v>
      </c>
      <c r="AB10" s="1" t="n">
        <f aca="false">'OD-APUMA(Val)'!AB10*AB$49</f>
        <v>0</v>
      </c>
      <c r="AC10" s="1" t="n">
        <f aca="false">'OD-APUMA(Val)'!AC10*AC$49</f>
        <v>0</v>
      </c>
      <c r="AD10" s="1" t="n">
        <f aca="false">'OD-APUMA(Val)'!AD10*AD$49</f>
        <v>0</v>
      </c>
      <c r="AE10" s="1" t="n">
        <f aca="false">'OD-APUMA(Val)'!AE10*AE$49</f>
        <v>0</v>
      </c>
      <c r="AF10" s="1" t="n">
        <f aca="false">'OD-APUMA(Val)'!AF10*AF$49</f>
        <v>0</v>
      </c>
      <c r="AG10" s="1" t="n">
        <f aca="false">'OD-APUMA(Val)'!AG10*AG$49</f>
        <v>0</v>
      </c>
      <c r="AH10" s="1" t="n">
        <f aca="false">'OD-APUMA(Val)'!AH10*AH$49</f>
        <v>0</v>
      </c>
      <c r="AI10" s="1" t="n">
        <f aca="false">'OD-APUMA(Val)'!AI10*AI$49</f>
        <v>348.693773558212</v>
      </c>
      <c r="AJ10" s="1" t="n">
        <f aca="false">'OD-APUMA(Val)'!AJ10*AJ$49</f>
        <v>0</v>
      </c>
      <c r="AK10" s="1" t="n">
        <f aca="false">'OD-APUMA(Val)'!AK10*AK$49</f>
        <v>0</v>
      </c>
      <c r="AL10" s="1" t="n">
        <f aca="false">'OD-APUMA(Val)'!AL10*AL$49</f>
        <v>11.1945939027932</v>
      </c>
      <c r="AM10" s="1" t="n">
        <f aca="false">'OD-APUMA(Val)'!AM10*AM$49</f>
        <v>0</v>
      </c>
      <c r="AN10" s="1" t="n">
        <f aca="false">'OD-APUMA(Val)'!AN10*AN$49</f>
        <v>49.9148086928408</v>
      </c>
      <c r="AO10" s="1" t="n">
        <f aca="false">'OD-APUMA(Val)'!AO10*AO$49</f>
        <v>0</v>
      </c>
      <c r="AP10" s="1" t="n">
        <f aca="false">'OD-APUMA(Val)'!AP10*AP$49</f>
        <v>4.59778350018538</v>
      </c>
      <c r="AQ10" s="1" t="n">
        <f aca="false">'OD-APUMA(Val)'!AQ10*AQ$49</f>
        <v>0</v>
      </c>
      <c r="AR10" s="0" t="n">
        <f aca="false">SUM('OD-APUMA(Val)'!C10:AQ10)</f>
        <v>46839</v>
      </c>
      <c r="AS10" s="0" t="n">
        <f aca="false">MAX('OD-APUMA(Val)'!C10:AQ10)</f>
        <v>38493</v>
      </c>
      <c r="AT10" s="2" t="n">
        <f aca="false">SUM(C10:AQ10)/AR10</f>
        <v>0.0277068598361495</v>
      </c>
      <c r="AU10" s="3" t="n">
        <f aca="false">AT10^4</f>
        <v>5.89317354767229E-007</v>
      </c>
    </row>
    <row r="11" customFormat="false" ht="12.75" hidden="false" customHeight="false" outlineLevel="0" collapsed="false">
      <c r="A11" s="0" t="n">
        <v>9</v>
      </c>
      <c r="B11" s="0" t="n">
        <v>57291</v>
      </c>
      <c r="C11" s="1" t="n">
        <f aca="false">'OD-APUMA(Val)'!C11*C$49</f>
        <v>15.6833017370322</v>
      </c>
      <c r="D11" s="1" t="n">
        <f aca="false">'OD-APUMA(Val)'!D11*D$49</f>
        <v>0</v>
      </c>
      <c r="E11" s="1" t="n">
        <f aca="false">'OD-APUMA(Val)'!E11*E$49</f>
        <v>0</v>
      </c>
      <c r="F11" s="1" t="n">
        <f aca="false">'OD-APUMA(Val)'!F11*F$49</f>
        <v>14.0787410280437</v>
      </c>
      <c r="G11" s="1" t="n">
        <f aca="false">'OD-APUMA(Val)'!G11*G$49</f>
        <v>0</v>
      </c>
      <c r="H11" s="1" t="n">
        <f aca="false">'OD-APUMA(Val)'!H11*H$49</f>
        <v>0</v>
      </c>
      <c r="I11" s="1" t="n">
        <f aca="false">'OD-APUMA(Val)'!I11*I$49</f>
        <v>0</v>
      </c>
      <c r="J11" s="1" t="n">
        <f aca="false">'OD-APUMA(Val)'!J11*J$49</f>
        <v>0</v>
      </c>
      <c r="K11" s="1" t="n">
        <v>0</v>
      </c>
      <c r="L11" s="1" t="n">
        <f aca="false">'OD-APUMA(Val)'!L11*L$49</f>
        <v>28.7859282452311</v>
      </c>
      <c r="M11" s="1" t="n">
        <f aca="false">'OD-APUMA(Val)'!M11*M$49</f>
        <v>0</v>
      </c>
      <c r="N11" s="1" t="n">
        <f aca="false">'OD-APUMA(Val)'!N11*N$49</f>
        <v>0</v>
      </c>
      <c r="O11" s="1" t="n">
        <f aca="false">'OD-APUMA(Val)'!O11*O$49</f>
        <v>96.5147471496437</v>
      </c>
      <c r="P11" s="1" t="n">
        <f aca="false">'OD-APUMA(Val)'!P11*P$49</f>
        <v>312.268698637521</v>
      </c>
      <c r="Q11" s="1" t="n">
        <f aca="false">'OD-APUMA(Val)'!Q11*Q$49</f>
        <v>52.1254233080352</v>
      </c>
      <c r="R11" s="1" t="n">
        <f aca="false">'OD-APUMA(Val)'!R11*R$49</f>
        <v>0</v>
      </c>
      <c r="S11" s="1" t="n">
        <f aca="false">'OD-APUMA(Val)'!S11*S$49</f>
        <v>0</v>
      </c>
      <c r="T11" s="1" t="n">
        <f aca="false">'OD-APUMA(Val)'!T11*T$49</f>
        <v>0</v>
      </c>
      <c r="U11" s="1" t="n">
        <f aca="false">'OD-APUMA(Val)'!U11*U$49</f>
        <v>0</v>
      </c>
      <c r="V11" s="1" t="n">
        <f aca="false">'OD-APUMA(Val)'!V11*V$49</f>
        <v>0</v>
      </c>
      <c r="W11" s="1" t="n">
        <f aca="false">'OD-APUMA(Val)'!W11*W$49</f>
        <v>0</v>
      </c>
      <c r="X11" s="1" t="n">
        <f aca="false">'OD-APUMA(Val)'!X11*X$49</f>
        <v>0</v>
      </c>
      <c r="Y11" s="1" t="n">
        <f aca="false">'OD-APUMA(Val)'!Y11*Y$49</f>
        <v>0</v>
      </c>
      <c r="Z11" s="1" t="n">
        <f aca="false">'OD-APUMA(Val)'!Z11*Z$49</f>
        <v>0</v>
      </c>
      <c r="AA11" s="1" t="n">
        <f aca="false">'OD-APUMA(Val)'!AA11*AA$49</f>
        <v>192.981770357547</v>
      </c>
      <c r="AB11" s="1" t="n">
        <f aca="false">'OD-APUMA(Val)'!AB11*AB$49</f>
        <v>403.154726648587</v>
      </c>
      <c r="AC11" s="1" t="n">
        <f aca="false">'OD-APUMA(Val)'!AC11*AC$49</f>
        <v>0</v>
      </c>
      <c r="AD11" s="1" t="n">
        <f aca="false">'OD-APUMA(Val)'!AD11*AD$49</f>
        <v>0</v>
      </c>
      <c r="AE11" s="1" t="n">
        <f aca="false">'OD-APUMA(Val)'!AE11*AE$49</f>
        <v>9.26460093018914</v>
      </c>
      <c r="AF11" s="1" t="n">
        <f aca="false">'OD-APUMA(Val)'!AF11*AF$49</f>
        <v>0</v>
      </c>
      <c r="AG11" s="1" t="n">
        <f aca="false">'OD-APUMA(Val)'!AG11*AG$49</f>
        <v>0</v>
      </c>
      <c r="AH11" s="1" t="n">
        <f aca="false">'OD-APUMA(Val)'!AH11*AH$49</f>
        <v>0</v>
      </c>
      <c r="AI11" s="1" t="n">
        <f aca="false">'OD-APUMA(Val)'!AI11*AI$49</f>
        <v>27.397367922431</v>
      </c>
      <c r="AJ11" s="1" t="n">
        <f aca="false">'OD-APUMA(Val)'!AJ11*AJ$49</f>
        <v>0</v>
      </c>
      <c r="AK11" s="1" t="n">
        <f aca="false">'OD-APUMA(Val)'!AK11*AK$49</f>
        <v>0</v>
      </c>
      <c r="AL11" s="1" t="n">
        <f aca="false">'OD-APUMA(Val)'!AL11*AL$49</f>
        <v>0</v>
      </c>
      <c r="AM11" s="1" t="n">
        <f aca="false">'OD-APUMA(Val)'!AM11*AM$49</f>
        <v>45.6917755094906</v>
      </c>
      <c r="AN11" s="1" t="n">
        <f aca="false">'OD-APUMA(Val)'!AN11*AN$49</f>
        <v>916.293273861434</v>
      </c>
      <c r="AO11" s="1" t="n">
        <f aca="false">'OD-APUMA(Val)'!AO11*AO$49</f>
        <v>47.2778844060368</v>
      </c>
      <c r="AP11" s="1" t="n">
        <f aca="false">'OD-APUMA(Val)'!AP11*AP$49</f>
        <v>0</v>
      </c>
      <c r="AQ11" s="1" t="n">
        <f aca="false">'OD-APUMA(Val)'!AQ11*AQ$49</f>
        <v>0</v>
      </c>
      <c r="AR11" s="0" t="n">
        <f aca="false">SUM('OD-APUMA(Val)'!C11:AQ11)</f>
        <v>51909</v>
      </c>
      <c r="AS11" s="0" t="n">
        <f aca="false">MAX('OD-APUMA(Val)'!C11:AQ11)</f>
        <v>37791</v>
      </c>
      <c r="AT11" s="2" t="n">
        <f aca="false">SUM(C11:AQ11)/AR11</f>
        <v>0.0416405293829822</v>
      </c>
      <c r="AU11" s="3" t="n">
        <f aca="false">AT11^4</f>
        <v>3.00652603193644E-006</v>
      </c>
    </row>
    <row r="12" customFormat="false" ht="12.75" hidden="false" customHeight="false" outlineLevel="0" collapsed="false">
      <c r="A12" s="0" t="n">
        <v>10</v>
      </c>
      <c r="B12" s="0" t="n">
        <v>75231</v>
      </c>
      <c r="C12" s="1" t="n">
        <f aca="false">'OD-APUMA(Val)'!C12*C$49</f>
        <v>7.12877351683283</v>
      </c>
      <c r="D12" s="1" t="n">
        <f aca="false">'OD-APUMA(Val)'!D12*D$49</f>
        <v>0</v>
      </c>
      <c r="E12" s="1" t="n">
        <f aca="false">'OD-APUMA(Val)'!E12*E$49</f>
        <v>17.1620983142344</v>
      </c>
      <c r="F12" s="1" t="n">
        <f aca="false">'OD-APUMA(Val)'!F12*F$49</f>
        <v>0</v>
      </c>
      <c r="G12" s="1" t="n">
        <f aca="false">'OD-APUMA(Val)'!G12*G$49</f>
        <v>36.3999732758108</v>
      </c>
      <c r="H12" s="1" t="n">
        <f aca="false">'OD-APUMA(Val)'!H12*H$49</f>
        <v>3.46178316876012</v>
      </c>
      <c r="I12" s="1" t="n">
        <f aca="false">'OD-APUMA(Val)'!I12*I$49</f>
        <v>0</v>
      </c>
      <c r="J12" s="1" t="n">
        <f aca="false">'OD-APUMA(Val)'!J12*J$49</f>
        <v>29.8375475349473</v>
      </c>
      <c r="K12" s="1" t="n">
        <f aca="false">'OD-APUMA(Val)'!K12*K$49</f>
        <v>19.7460249139604</v>
      </c>
      <c r="L12" s="1" t="n">
        <v>0</v>
      </c>
      <c r="M12" s="1" t="n">
        <f aca="false">'OD-APUMA(Val)'!M12*M$49</f>
        <v>57.02727191824</v>
      </c>
      <c r="N12" s="1" t="n">
        <f aca="false">'OD-APUMA(Val)'!N12*N$49</f>
        <v>14.7770671980078</v>
      </c>
      <c r="O12" s="1" t="n">
        <f aca="false">'OD-APUMA(Val)'!O12*O$49</f>
        <v>0</v>
      </c>
      <c r="P12" s="1" t="n">
        <f aca="false">'OD-APUMA(Val)'!P12*P$49</f>
        <v>0</v>
      </c>
      <c r="Q12" s="1" t="n">
        <f aca="false">'OD-APUMA(Val)'!Q12*Q$49</f>
        <v>20.8501693232141</v>
      </c>
      <c r="R12" s="1" t="n">
        <f aca="false">'OD-APUMA(Val)'!R12*R$49</f>
        <v>4.32081384672819</v>
      </c>
      <c r="S12" s="1" t="n">
        <f aca="false">'OD-APUMA(Val)'!S12*S$49</f>
        <v>0</v>
      </c>
      <c r="T12" s="1" t="n">
        <f aca="false">'OD-APUMA(Val)'!T12*T$49</f>
        <v>0</v>
      </c>
      <c r="U12" s="1" t="n">
        <f aca="false">'OD-APUMA(Val)'!U12*U$49</f>
        <v>0</v>
      </c>
      <c r="V12" s="1" t="n">
        <f aca="false">'OD-APUMA(Val)'!V12*V$49</f>
        <v>0</v>
      </c>
      <c r="W12" s="1" t="n">
        <f aca="false">'OD-APUMA(Val)'!W12*W$49</f>
        <v>0</v>
      </c>
      <c r="X12" s="1" t="n">
        <f aca="false">'OD-APUMA(Val)'!X12*X$49</f>
        <v>0</v>
      </c>
      <c r="Y12" s="1" t="n">
        <f aca="false">'OD-APUMA(Val)'!Y12*Y$49</f>
        <v>0</v>
      </c>
      <c r="Z12" s="1" t="n">
        <f aca="false">'OD-APUMA(Val)'!Z12*Z$49</f>
        <v>0</v>
      </c>
      <c r="AA12" s="1" t="n">
        <f aca="false">'OD-APUMA(Val)'!AA12*AA$49</f>
        <v>67.1240940374076</v>
      </c>
      <c r="AB12" s="1" t="n">
        <f aca="false">'OD-APUMA(Val)'!AB12*AB$49</f>
        <v>63.078630700119</v>
      </c>
      <c r="AC12" s="1" t="n">
        <f aca="false">'OD-APUMA(Val)'!AC12*AC$49</f>
        <v>0</v>
      </c>
      <c r="AD12" s="1" t="n">
        <f aca="false">'OD-APUMA(Val)'!AD12*AD$49</f>
        <v>0</v>
      </c>
      <c r="AE12" s="1" t="n">
        <f aca="false">'OD-APUMA(Val)'!AE12*AE$49</f>
        <v>6.94845069764186</v>
      </c>
      <c r="AF12" s="1" t="n">
        <f aca="false">'OD-APUMA(Val)'!AF12*AF$49</f>
        <v>0</v>
      </c>
      <c r="AG12" s="1" t="n">
        <f aca="false">'OD-APUMA(Val)'!AG12*AG$49</f>
        <v>0</v>
      </c>
      <c r="AH12" s="1" t="n">
        <f aca="false">'OD-APUMA(Val)'!AH12*AH$49</f>
        <v>0</v>
      </c>
      <c r="AI12" s="1" t="n">
        <f aca="false">'OD-APUMA(Val)'!AI12*AI$49</f>
        <v>1638.8607357236</v>
      </c>
      <c r="AJ12" s="1" t="n">
        <f aca="false">'OD-APUMA(Val)'!AJ12*AJ$49</f>
        <v>0</v>
      </c>
      <c r="AK12" s="1" t="n">
        <f aca="false">'OD-APUMA(Val)'!AK12*AK$49</f>
        <v>0</v>
      </c>
      <c r="AL12" s="1" t="n">
        <f aca="false">'OD-APUMA(Val)'!AL12*AL$49</f>
        <v>50.3756725625693</v>
      </c>
      <c r="AM12" s="1" t="n">
        <f aca="false">'OD-APUMA(Val)'!AM12*AM$49</f>
        <v>7.61529591824843</v>
      </c>
      <c r="AN12" s="1" t="n">
        <f aca="false">'OD-APUMA(Val)'!AN12*AN$49</f>
        <v>299.488852157045</v>
      </c>
      <c r="AO12" s="1" t="n">
        <f aca="false">'OD-APUMA(Val)'!AO12*AO$49</f>
        <v>0</v>
      </c>
      <c r="AP12" s="1" t="n">
        <f aca="false">'OD-APUMA(Val)'!AP12*AP$49</f>
        <v>6.89667525027807</v>
      </c>
      <c r="AQ12" s="1" t="n">
        <f aca="false">'OD-APUMA(Val)'!AQ12*AQ$49</f>
        <v>0</v>
      </c>
      <c r="AR12" s="0" t="n">
        <f aca="false">SUM('OD-APUMA(Val)'!C12:AQ12)</f>
        <v>66885</v>
      </c>
      <c r="AS12" s="0" t="n">
        <f aca="false">MAX('OD-APUMA(Val)'!C12:AQ12)</f>
        <v>44408</v>
      </c>
      <c r="AT12" s="2" t="n">
        <f aca="false">SUM(C12:AQ12)/AR12</f>
        <v>0.0351513781873012</v>
      </c>
      <c r="AU12" s="3" t="n">
        <f aca="false">AT12^4</f>
        <v>1.52675527315477E-006</v>
      </c>
    </row>
    <row r="13" customFormat="false" ht="12.75" hidden="false" customHeight="false" outlineLevel="0" collapsed="false">
      <c r="A13" s="0" t="n">
        <v>11</v>
      </c>
      <c r="B13" s="0" t="n">
        <v>90948</v>
      </c>
      <c r="C13" s="1" t="n">
        <f aca="false">'OD-APUMA(Val)'!C13*C$49</f>
        <v>0</v>
      </c>
      <c r="D13" s="1" t="n">
        <f aca="false">'OD-APUMA(Val)'!D13*D$49</f>
        <v>0</v>
      </c>
      <c r="E13" s="1" t="n">
        <f aca="false">'OD-APUMA(Val)'!E13*E$49</f>
        <v>33.3146614335139</v>
      </c>
      <c r="F13" s="1" t="n">
        <f aca="false">'OD-APUMA(Val)'!F13*F$49</f>
        <v>98.5511871963062</v>
      </c>
      <c r="G13" s="1" t="n">
        <f aca="false">'OD-APUMA(Val)'!G13*G$49</f>
        <v>83.199938916139</v>
      </c>
      <c r="H13" s="1" t="n">
        <f aca="false">'OD-APUMA(Val)'!H13*H$49</f>
        <v>0</v>
      </c>
      <c r="I13" s="1" t="n">
        <f aca="false">'OD-APUMA(Val)'!I13*I$49</f>
        <v>143.37889801672</v>
      </c>
      <c r="J13" s="1" t="n">
        <f aca="false">'OD-APUMA(Val)'!J13*J$49</f>
        <v>14.5362411067692</v>
      </c>
      <c r="K13" s="1" t="n">
        <f aca="false">'OD-APUMA(Val)'!K13*K$49</f>
        <v>0</v>
      </c>
      <c r="L13" s="1" t="n">
        <f aca="false">'OD-APUMA(Val)'!L13*L$49</f>
        <v>313.046969666889</v>
      </c>
      <c r="M13" s="1" t="n">
        <v>0</v>
      </c>
      <c r="N13" s="1" t="n">
        <f aca="false">'OD-APUMA(Val)'!N13*N$49</f>
        <v>7.88110250560416</v>
      </c>
      <c r="O13" s="1" t="n">
        <f aca="false">'OD-APUMA(Val)'!O13*O$49</f>
        <v>0</v>
      </c>
      <c r="P13" s="1" t="n">
        <f aca="false">'OD-APUMA(Val)'!P13*P$49</f>
        <v>31.6794331951108</v>
      </c>
      <c r="Q13" s="1" t="n">
        <f aca="false">'OD-APUMA(Val)'!Q13*Q$49</f>
        <v>6.95005644107136</v>
      </c>
      <c r="R13" s="1" t="n">
        <f aca="false">'OD-APUMA(Val)'!R13*R$49</f>
        <v>11.5221702579419</v>
      </c>
      <c r="S13" s="1" t="n">
        <f aca="false">'OD-APUMA(Val)'!S13*S$49</f>
        <v>0</v>
      </c>
      <c r="T13" s="1" t="n">
        <f aca="false">'OD-APUMA(Val)'!T13*T$49</f>
        <v>0</v>
      </c>
      <c r="U13" s="1" t="n">
        <f aca="false">'OD-APUMA(Val)'!U13*U$49</f>
        <v>0</v>
      </c>
      <c r="V13" s="1" t="n">
        <f aca="false">'OD-APUMA(Val)'!V13*V$49</f>
        <v>0</v>
      </c>
      <c r="W13" s="1" t="n">
        <f aca="false">'OD-APUMA(Val)'!W13*W$49</f>
        <v>0</v>
      </c>
      <c r="X13" s="1" t="n">
        <f aca="false">'OD-APUMA(Val)'!X13*X$49</f>
        <v>0</v>
      </c>
      <c r="Y13" s="1" t="n">
        <f aca="false">'OD-APUMA(Val)'!Y13*Y$49</f>
        <v>0</v>
      </c>
      <c r="Z13" s="1" t="n">
        <f aca="false">'OD-APUMA(Val)'!Z13*Z$49</f>
        <v>0</v>
      </c>
      <c r="AA13" s="1" t="n">
        <f aca="false">'OD-APUMA(Val)'!AA13*AA$49</f>
        <v>22.3746980124692</v>
      </c>
      <c r="AB13" s="1" t="n">
        <f aca="false">'OD-APUMA(Val)'!AB13*AB$49</f>
        <v>131.642359721988</v>
      </c>
      <c r="AC13" s="1" t="n">
        <f aca="false">'OD-APUMA(Val)'!AC13*AC$49</f>
        <v>3.22137223452843</v>
      </c>
      <c r="AD13" s="1" t="n">
        <f aca="false">'OD-APUMA(Val)'!AD13*AD$49</f>
        <v>0</v>
      </c>
      <c r="AE13" s="1" t="n">
        <f aca="false">'OD-APUMA(Val)'!AE13*AE$49</f>
        <v>19.6872769766519</v>
      </c>
      <c r="AF13" s="1" t="n">
        <f aca="false">'OD-APUMA(Val)'!AF13*AF$49</f>
        <v>0</v>
      </c>
      <c r="AG13" s="1" t="n">
        <f aca="false">'OD-APUMA(Val)'!AG13*AG$49</f>
        <v>23.1852558390742</v>
      </c>
      <c r="AH13" s="1" t="n">
        <f aca="false">'OD-APUMA(Val)'!AH13*AH$49</f>
        <v>16.2220812415719</v>
      </c>
      <c r="AI13" s="1" t="n">
        <f aca="false">'OD-APUMA(Val)'!AI13*AI$49</f>
        <v>2449.57375924644</v>
      </c>
      <c r="AJ13" s="1" t="n">
        <f aca="false">'OD-APUMA(Val)'!AJ13*AJ$49</f>
        <v>0</v>
      </c>
      <c r="AK13" s="1" t="n">
        <f aca="false">'OD-APUMA(Val)'!AK13*AK$49</f>
        <v>0</v>
      </c>
      <c r="AL13" s="1" t="n">
        <f aca="false">'OD-APUMA(Val)'!AL13*AL$49</f>
        <v>29.8522504074485</v>
      </c>
      <c r="AM13" s="1" t="n">
        <f aca="false">'OD-APUMA(Val)'!AM13*AM$49</f>
        <v>51.7840122440893</v>
      </c>
      <c r="AN13" s="1" t="n">
        <f aca="false">'OD-APUMA(Val)'!AN13*AN$49</f>
        <v>51.6974804318708</v>
      </c>
      <c r="AO13" s="1" t="n">
        <f aca="false">'OD-APUMA(Val)'!AO13*AO$49</f>
        <v>0.690188093518786</v>
      </c>
      <c r="AP13" s="1" t="n">
        <f aca="false">'OD-APUMA(Val)'!AP13*AP$49</f>
        <v>11.4944587504635</v>
      </c>
      <c r="AQ13" s="1" t="n">
        <f aca="false">'OD-APUMA(Val)'!AQ13*AQ$49</f>
        <v>7.77634074666353</v>
      </c>
      <c r="AR13" s="0" t="n">
        <f aca="false">SUM('OD-APUMA(Val)'!C13:AQ13)</f>
        <v>80626</v>
      </c>
      <c r="AS13" s="0" t="n">
        <f aca="false">MAX('OD-APUMA(Val)'!C13:AQ13)</f>
        <v>46007</v>
      </c>
      <c r="AT13" s="2" t="n">
        <f aca="false">SUM(C13:AQ13)/AR13</f>
        <v>0.0441949519098411</v>
      </c>
      <c r="AU13" s="3" t="n">
        <f aca="false">AT13^4</f>
        <v>3.8149659200157E-006</v>
      </c>
    </row>
    <row r="14" customFormat="false" ht="12.75" hidden="false" customHeight="false" outlineLevel="0" collapsed="false">
      <c r="A14" s="0" t="n">
        <v>12</v>
      </c>
      <c r="B14" s="0" t="n">
        <v>66781</v>
      </c>
      <c r="C14" s="1" t="n">
        <f aca="false">'OD-APUMA(Val)'!C14*C$49</f>
        <v>0</v>
      </c>
      <c r="D14" s="1" t="n">
        <f aca="false">'OD-APUMA(Val)'!D14*D$49</f>
        <v>8.96706931137801</v>
      </c>
      <c r="E14" s="1" t="n">
        <f aca="false">'OD-APUMA(Val)'!E14*E$49</f>
        <v>23.2193094839642</v>
      </c>
      <c r="F14" s="1" t="n">
        <f aca="false">'OD-APUMA(Val)'!F14*F$49</f>
        <v>0</v>
      </c>
      <c r="G14" s="1" t="n">
        <f aca="false">'OD-APUMA(Val)'!G14*G$49</f>
        <v>1162.19914673482</v>
      </c>
      <c r="H14" s="1" t="n">
        <f aca="false">'OD-APUMA(Val)'!H14*H$49</f>
        <v>2.23997734449184</v>
      </c>
      <c r="I14" s="1" t="n">
        <f aca="false">'OD-APUMA(Val)'!I14*I$49</f>
        <v>9.95686791782776</v>
      </c>
      <c r="J14" s="1" t="n">
        <f aca="false">'OD-APUMA(Val)'!J14*J$49</f>
        <v>0</v>
      </c>
      <c r="K14" s="1" t="n">
        <f aca="false">'OD-APUMA(Val)'!K14*K$49</f>
        <v>0</v>
      </c>
      <c r="L14" s="1" t="n">
        <f aca="false">'OD-APUMA(Val)'!L14*L$49</f>
        <v>136.733159164848</v>
      </c>
      <c r="M14" s="1" t="n">
        <f aca="false">'OD-APUMA(Val)'!M14*M$49</f>
        <v>452.65397085103</v>
      </c>
      <c r="N14" s="1" t="n">
        <v>0</v>
      </c>
      <c r="O14" s="1" t="n">
        <f aca="false">'OD-APUMA(Val)'!O14*O$49</f>
        <v>0</v>
      </c>
      <c r="P14" s="1" t="n">
        <f aca="false">'OD-APUMA(Val)'!P14*P$49</f>
        <v>54.3075997630471</v>
      </c>
      <c r="Q14" s="1" t="n">
        <f aca="false">'OD-APUMA(Val)'!Q14*Q$49</f>
        <v>48.6503950874995</v>
      </c>
      <c r="R14" s="1" t="n">
        <f aca="false">'OD-APUMA(Val)'!R14*R$49</f>
        <v>11.5221702579419</v>
      </c>
      <c r="S14" s="1" t="n">
        <f aca="false">'OD-APUMA(Val)'!S14*S$49</f>
        <v>0</v>
      </c>
      <c r="T14" s="1" t="n">
        <f aca="false">'OD-APUMA(Val)'!T14*T$49</f>
        <v>0</v>
      </c>
      <c r="U14" s="1" t="n">
        <f aca="false">'OD-APUMA(Val)'!U14*U$49</f>
        <v>0</v>
      </c>
      <c r="V14" s="1" t="n">
        <f aca="false">'OD-APUMA(Val)'!V14*V$49</f>
        <v>0</v>
      </c>
      <c r="W14" s="1" t="n">
        <f aca="false">'OD-APUMA(Val)'!W14*W$49</f>
        <v>0</v>
      </c>
      <c r="X14" s="1" t="n">
        <f aca="false">'OD-APUMA(Val)'!X14*X$49</f>
        <v>0</v>
      </c>
      <c r="Y14" s="1" t="n">
        <f aca="false">'OD-APUMA(Val)'!Y14*Y$49</f>
        <v>0</v>
      </c>
      <c r="Z14" s="1" t="n">
        <f aca="false">'OD-APUMA(Val)'!Z14*Z$49</f>
        <v>0</v>
      </c>
      <c r="AA14" s="1" t="n">
        <f aca="false">'OD-APUMA(Val)'!AA14*AA$49</f>
        <v>5.5936745031173</v>
      </c>
      <c r="AB14" s="1" t="n">
        <f aca="false">'OD-APUMA(Val)'!AB14*AB$49</f>
        <v>19.1978441261232</v>
      </c>
      <c r="AC14" s="1" t="n">
        <f aca="false">'OD-APUMA(Val)'!AC14*AC$49</f>
        <v>0</v>
      </c>
      <c r="AD14" s="1" t="n">
        <f aca="false">'OD-APUMA(Val)'!AD14*AD$49</f>
        <v>0</v>
      </c>
      <c r="AE14" s="1" t="n">
        <f aca="false">'OD-APUMA(Val)'!AE14*AE$49</f>
        <v>6.94845069764186</v>
      </c>
      <c r="AF14" s="1" t="n">
        <f aca="false">'OD-APUMA(Val)'!AF14*AF$49</f>
        <v>0</v>
      </c>
      <c r="AG14" s="1" t="n">
        <f aca="false">'OD-APUMA(Val)'!AG14*AG$49</f>
        <v>21.5291661362832</v>
      </c>
      <c r="AH14" s="1" t="n">
        <f aca="false">'OD-APUMA(Val)'!AH14*AH$49</f>
        <v>0</v>
      </c>
      <c r="AI14" s="1" t="n">
        <f aca="false">'OD-APUMA(Val)'!AI14*AI$49</f>
        <v>1439.60715083319</v>
      </c>
      <c r="AJ14" s="1" t="n">
        <f aca="false">'OD-APUMA(Val)'!AJ14*AJ$49</f>
        <v>0</v>
      </c>
      <c r="AK14" s="1" t="n">
        <f aca="false">'OD-APUMA(Val)'!AK14*AK$49</f>
        <v>0</v>
      </c>
      <c r="AL14" s="1" t="n">
        <f aca="false">'OD-APUMA(Val)'!AL14*AL$49</f>
        <v>26.1207191065174</v>
      </c>
      <c r="AM14" s="1" t="n">
        <f aca="false">'OD-APUMA(Val)'!AM14*AM$49</f>
        <v>10.6614142855478</v>
      </c>
      <c r="AN14" s="1" t="n">
        <f aca="false">'OD-APUMA(Val)'!AN14*AN$49</f>
        <v>16.0440456512702</v>
      </c>
      <c r="AO14" s="1" t="n">
        <f aca="false">'OD-APUMA(Val)'!AO14*AO$49</f>
        <v>2.41565832731575</v>
      </c>
      <c r="AP14" s="1" t="n">
        <f aca="false">'OD-APUMA(Val)'!AP14*AP$49</f>
        <v>0</v>
      </c>
      <c r="AQ14" s="1" t="n">
        <f aca="false">'OD-APUMA(Val)'!AQ14*AQ$49</f>
        <v>3.88817037333177</v>
      </c>
      <c r="AR14" s="0" t="n">
        <f aca="false">SUM('OD-APUMA(Val)'!C14:AQ14)</f>
        <v>56082</v>
      </c>
      <c r="AS14" s="0" t="n">
        <f aca="false">MAX('OD-APUMA(Val)'!C14:AQ14)</f>
        <v>30693</v>
      </c>
      <c r="AT14" s="2" t="n">
        <f aca="false">SUM(C14:AQ14)/AR14</f>
        <v>0.0617391669333687</v>
      </c>
      <c r="AU14" s="3" t="n">
        <f aca="false">AT14^4</f>
        <v>1.4529245444939E-005</v>
      </c>
    </row>
    <row r="15" customFormat="false" ht="12.75" hidden="false" customHeight="false" outlineLevel="0" collapsed="false">
      <c r="A15" s="0" t="n">
        <v>15</v>
      </c>
      <c r="B15" s="0" t="n">
        <v>103519</v>
      </c>
      <c r="C15" s="1" t="n">
        <f aca="false">'OD-APUMA(Val)'!C15*C$49</f>
        <v>0</v>
      </c>
      <c r="D15" s="1" t="n">
        <f aca="false">'OD-APUMA(Val)'!D15*D$49</f>
        <v>0</v>
      </c>
      <c r="E15" s="1" t="n">
        <f aca="false">'OD-APUMA(Val)'!E15*E$49</f>
        <v>8.07628155963973</v>
      </c>
      <c r="F15" s="1" t="n">
        <f aca="false">'OD-APUMA(Val)'!F15*F$49</f>
        <v>8.79921314252734</v>
      </c>
      <c r="G15" s="1" t="n">
        <f aca="false">'OD-APUMA(Val)'!G15*G$49</f>
        <v>0</v>
      </c>
      <c r="H15" s="1" t="n">
        <f aca="false">'OD-APUMA(Val)'!H15*H$49</f>
        <v>0</v>
      </c>
      <c r="I15" s="1" t="n">
        <f aca="false">'OD-APUMA(Val)'!I15*I$49</f>
        <v>0</v>
      </c>
      <c r="J15" s="1" t="n">
        <f aca="false">'OD-APUMA(Val)'!J15*J$49</f>
        <v>11.4759798211336</v>
      </c>
      <c r="K15" s="1" t="n">
        <f aca="false">'OD-APUMA(Val)'!K15*K$49</f>
        <v>12.1513999470526</v>
      </c>
      <c r="L15" s="1" t="n">
        <f aca="false">'OD-APUMA(Val)'!L15*L$49</f>
        <v>17.9912051532695</v>
      </c>
      <c r="M15" s="1" t="n">
        <f aca="false">'OD-APUMA(Val)'!M15*M$49</f>
        <v>0</v>
      </c>
      <c r="N15" s="1" t="n">
        <f aca="false">'OD-APUMA(Val)'!N15*N$49</f>
        <v>0</v>
      </c>
      <c r="O15" s="1" t="n">
        <v>0</v>
      </c>
      <c r="P15" s="1" t="n">
        <f aca="false">'OD-APUMA(Val)'!P15*P$49</f>
        <v>11522.2624163932</v>
      </c>
      <c r="Q15" s="1" t="n">
        <f aca="false">'OD-APUMA(Val)'!Q15*Q$49</f>
        <v>1000.80812751428</v>
      </c>
      <c r="R15" s="1" t="n">
        <f aca="false">'OD-APUMA(Val)'!R15*R$49</f>
        <v>0</v>
      </c>
      <c r="S15" s="1" t="n">
        <f aca="false">'OD-APUMA(Val)'!S15*S$49</f>
        <v>0</v>
      </c>
      <c r="T15" s="1" t="n">
        <f aca="false">'OD-APUMA(Val)'!T15*T$49</f>
        <v>0</v>
      </c>
      <c r="U15" s="1" t="n">
        <f aca="false">'OD-APUMA(Val)'!U15*U$49</f>
        <v>0</v>
      </c>
      <c r="V15" s="1" t="n">
        <f aca="false">'OD-APUMA(Val)'!V15*V$49</f>
        <v>0</v>
      </c>
      <c r="W15" s="1" t="n">
        <f aca="false">'OD-APUMA(Val)'!W15*W$49</f>
        <v>0</v>
      </c>
      <c r="X15" s="1" t="n">
        <f aca="false">'OD-APUMA(Val)'!X15*X$49</f>
        <v>0</v>
      </c>
      <c r="Y15" s="1" t="n">
        <f aca="false">'OD-APUMA(Val)'!Y15*Y$49</f>
        <v>0</v>
      </c>
      <c r="Z15" s="1" t="n">
        <f aca="false">'OD-APUMA(Val)'!Z15*Z$49</f>
        <v>0</v>
      </c>
      <c r="AA15" s="1" t="n">
        <f aca="false">'OD-APUMA(Val)'!AA15*AA$49</f>
        <v>1101.95387711411</v>
      </c>
      <c r="AB15" s="1" t="n">
        <f aca="false">'OD-APUMA(Val)'!AB15*AB$49</f>
        <v>926.981616375662</v>
      </c>
      <c r="AC15" s="1" t="n">
        <f aca="false">'OD-APUMA(Val)'!AC15*AC$49</f>
        <v>2.50551173796656</v>
      </c>
      <c r="AD15" s="1" t="n">
        <f aca="false">'OD-APUMA(Val)'!AD15*AD$49</f>
        <v>0</v>
      </c>
      <c r="AE15" s="1" t="n">
        <f aca="false">'OD-APUMA(Val)'!AE15*AE$49</f>
        <v>22.0034272091992</v>
      </c>
      <c r="AF15" s="1" t="n">
        <f aca="false">'OD-APUMA(Val)'!AF15*AF$49</f>
        <v>0</v>
      </c>
      <c r="AG15" s="1" t="n">
        <f aca="false">'OD-APUMA(Val)'!AG15*AG$49</f>
        <v>0</v>
      </c>
      <c r="AH15" s="1" t="n">
        <f aca="false">'OD-APUMA(Val)'!AH15*AH$49</f>
        <v>0</v>
      </c>
      <c r="AI15" s="1" t="n">
        <f aca="false">'OD-APUMA(Val)'!AI15*AI$49</f>
        <v>31.1333726391261</v>
      </c>
      <c r="AJ15" s="1" t="n">
        <f aca="false">'OD-APUMA(Val)'!AJ15*AJ$49</f>
        <v>0</v>
      </c>
      <c r="AK15" s="1" t="n">
        <f aca="false">'OD-APUMA(Val)'!AK15*AK$49</f>
        <v>0</v>
      </c>
      <c r="AL15" s="1" t="n">
        <f aca="false">'OD-APUMA(Val)'!AL15*AL$49</f>
        <v>0</v>
      </c>
      <c r="AM15" s="1" t="n">
        <f aca="false">'OD-APUMA(Val)'!AM15*AM$49</f>
        <v>41.1225979585415</v>
      </c>
      <c r="AN15" s="1" t="n">
        <f aca="false">'OD-APUMA(Val)'!AN15*AN$49</f>
        <v>140.831067383372</v>
      </c>
      <c r="AO15" s="1" t="n">
        <f aca="false">'OD-APUMA(Val)'!AO15*AO$49</f>
        <v>80.4069128949385</v>
      </c>
      <c r="AP15" s="1" t="n">
        <f aca="false">'OD-APUMA(Val)'!AP15*AP$49</f>
        <v>6.13037800024718</v>
      </c>
      <c r="AQ15" s="1" t="n">
        <f aca="false">'OD-APUMA(Val)'!AQ15*AQ$49</f>
        <v>0</v>
      </c>
      <c r="AR15" s="0" t="n">
        <f aca="false">SUM('OD-APUMA(Val)'!C15:AQ15)</f>
        <v>124878</v>
      </c>
      <c r="AS15" s="0" t="n">
        <f aca="false">MAX('OD-APUMA(Val)'!C15:AQ15)</f>
        <v>72592</v>
      </c>
      <c r="AT15" s="2" t="n">
        <f aca="false">SUM(C15:AQ15)/AR15</f>
        <v>0.119593790618397</v>
      </c>
      <c r="AU15" s="3" t="n">
        <f aca="false">AT15^4</f>
        <v>0.000204566505132356</v>
      </c>
    </row>
    <row r="16" customFormat="false" ht="12.75" hidden="false" customHeight="false" outlineLevel="0" collapsed="false">
      <c r="A16" s="0" t="n">
        <v>19</v>
      </c>
      <c r="B16" s="0" t="n">
        <v>347230</v>
      </c>
      <c r="C16" s="1" t="n">
        <f aca="false">'OD-APUMA(Val)'!C16*C$49</f>
        <v>15.6833017370322</v>
      </c>
      <c r="D16" s="1" t="n">
        <f aca="false">'OD-APUMA(Val)'!D16*D$49</f>
        <v>4.89112871529709</v>
      </c>
      <c r="E16" s="1" t="n">
        <f aca="false">'OD-APUMA(Val)'!E16*E$49</f>
        <v>12.1144223394596</v>
      </c>
      <c r="F16" s="1" t="n">
        <f aca="false">'OD-APUMA(Val)'!F16*F$49</f>
        <v>12.3188983995383</v>
      </c>
      <c r="G16" s="1" t="n">
        <f aca="false">'OD-APUMA(Val)'!G16*G$49</f>
        <v>0</v>
      </c>
      <c r="H16" s="1" t="n">
        <f aca="false">'OD-APUMA(Val)'!H16*H$49</f>
        <v>0</v>
      </c>
      <c r="I16" s="1" t="n">
        <f aca="false">'OD-APUMA(Val)'!I16*I$49</f>
        <v>5.97412075069666</v>
      </c>
      <c r="J16" s="1" t="n">
        <f aca="false">'OD-APUMA(Val)'!J16*J$49</f>
        <v>0</v>
      </c>
      <c r="K16" s="1" t="n">
        <f aca="false">'OD-APUMA(Val)'!K16*K$49</f>
        <v>15.1892499338157</v>
      </c>
      <c r="L16" s="1" t="n">
        <f aca="false">'OD-APUMA(Val)'!L16*L$49</f>
        <v>0</v>
      </c>
      <c r="M16" s="1" t="n">
        <f aca="false">'OD-APUMA(Val)'!M16*M$49</f>
        <v>32.07784045401</v>
      </c>
      <c r="N16" s="1" t="n">
        <f aca="false">'OD-APUMA(Val)'!N16*N$49</f>
        <v>0</v>
      </c>
      <c r="O16" s="1" t="n">
        <f aca="false">'OD-APUMA(Val)'!O16*O$49</f>
        <v>921.277131882962</v>
      </c>
      <c r="P16" s="1" t="n">
        <v>0</v>
      </c>
      <c r="Q16" s="1" t="n">
        <f aca="false">'OD-APUMA(Val)'!Q16*Q$49</f>
        <v>7857.03880663117</v>
      </c>
      <c r="R16" s="1" t="n">
        <f aca="false">'OD-APUMA(Val)'!R16*R$49</f>
        <v>0</v>
      </c>
      <c r="S16" s="1" t="n">
        <f aca="false">'OD-APUMA(Val)'!S16*S$49</f>
        <v>0</v>
      </c>
      <c r="T16" s="1" t="n">
        <f aca="false">'OD-APUMA(Val)'!T16*T$49</f>
        <v>0</v>
      </c>
      <c r="U16" s="1" t="n">
        <f aca="false">'OD-APUMA(Val)'!U16*U$49</f>
        <v>0</v>
      </c>
      <c r="V16" s="1" t="n">
        <f aca="false">'OD-APUMA(Val)'!V16*V$49</f>
        <v>3.0784703714829</v>
      </c>
      <c r="W16" s="1" t="n">
        <f aca="false">'OD-APUMA(Val)'!W16*W$49</f>
        <v>0</v>
      </c>
      <c r="X16" s="1" t="n">
        <f aca="false">'OD-APUMA(Val)'!X16*X$49</f>
        <v>23.4737298589478</v>
      </c>
      <c r="Y16" s="1" t="n">
        <f aca="false">'OD-APUMA(Val)'!Y16*Y$49</f>
        <v>0</v>
      </c>
      <c r="Z16" s="1" t="n">
        <f aca="false">'OD-APUMA(Val)'!Z16*Z$49</f>
        <v>0</v>
      </c>
      <c r="AA16" s="1" t="n">
        <f aca="false">'OD-APUMA(Val)'!AA16*AA$49</f>
        <v>4251.19262236915</v>
      </c>
      <c r="AB16" s="1" t="n">
        <f aca="false">'OD-APUMA(Val)'!AB16*AB$49</f>
        <v>1297.22575309375</v>
      </c>
      <c r="AC16" s="1" t="n">
        <f aca="false">'OD-APUMA(Val)'!AC16*AC$49</f>
        <v>0</v>
      </c>
      <c r="AD16" s="1" t="n">
        <f aca="false">'OD-APUMA(Val)'!AD16*AD$49</f>
        <v>0</v>
      </c>
      <c r="AE16" s="1" t="n">
        <f aca="false">'OD-APUMA(Val)'!AE16*AE$49</f>
        <v>68.3264318601449</v>
      </c>
      <c r="AF16" s="1" t="n">
        <f aca="false">'OD-APUMA(Val)'!AF16*AF$49</f>
        <v>4.8242465936342</v>
      </c>
      <c r="AG16" s="1" t="n">
        <f aca="false">'OD-APUMA(Val)'!AG16*AG$49</f>
        <v>0</v>
      </c>
      <c r="AH16" s="1" t="n">
        <f aca="false">'OD-APUMA(Val)'!AH16*AH$49</f>
        <v>0</v>
      </c>
      <c r="AI16" s="1" t="n">
        <f aca="false">'OD-APUMA(Val)'!AI16*AI$49</f>
        <v>9.96267924452036</v>
      </c>
      <c r="AJ16" s="1" t="n">
        <f aca="false">'OD-APUMA(Val)'!AJ16*AJ$49</f>
        <v>13.894727539323</v>
      </c>
      <c r="AK16" s="1" t="n">
        <f aca="false">'OD-APUMA(Val)'!AK16*AK$49</f>
        <v>0</v>
      </c>
      <c r="AL16" s="1" t="n">
        <f aca="false">'OD-APUMA(Val)'!AL16*AL$49</f>
        <v>16.7918908541898</v>
      </c>
      <c r="AM16" s="1" t="n">
        <f aca="false">'OD-APUMA(Val)'!AM16*AM$49</f>
        <v>979.327055086748</v>
      </c>
      <c r="AN16" s="1" t="n">
        <f aca="false">'OD-APUMA(Val)'!AN16*AN$49</f>
        <v>60.6108391270209</v>
      </c>
      <c r="AO16" s="1" t="n">
        <f aca="false">'OD-APUMA(Val)'!AO16*AO$49</f>
        <v>16.9096082912103</v>
      </c>
      <c r="AP16" s="1" t="n">
        <f aca="false">'OD-APUMA(Val)'!AP16*AP$49</f>
        <v>13.7933505005561</v>
      </c>
      <c r="AQ16" s="1" t="n">
        <f aca="false">'OD-APUMA(Val)'!AQ16*AQ$49</f>
        <v>0</v>
      </c>
      <c r="AR16" s="0" t="n">
        <f aca="false">SUM('OD-APUMA(Val)'!C16:AQ16)</f>
        <v>385580</v>
      </c>
      <c r="AS16" s="0" t="n">
        <f aca="false">MAX('OD-APUMA(Val)'!C16:AQ16)</f>
        <v>313768</v>
      </c>
      <c r="AT16" s="2" t="n">
        <f aca="false">SUM(C16:AQ16)/AR16</f>
        <v>0.04055183439399</v>
      </c>
      <c r="AU16" s="3" t="n">
        <f aca="false">AT16^4</f>
        <v>2.7042199883425E-006</v>
      </c>
    </row>
    <row r="17" customFormat="false" ht="12.75" hidden="false" customHeight="false" outlineLevel="0" collapsed="false">
      <c r="A17" s="0" t="n">
        <v>22</v>
      </c>
      <c r="B17" s="0" t="n">
        <v>313391</v>
      </c>
      <c r="C17" s="1" t="n">
        <f aca="false">'OD-APUMA(Val)'!C17*C$49</f>
        <v>18.5348111437654</v>
      </c>
      <c r="D17" s="1" t="n">
        <f aca="false">'OD-APUMA(Val)'!D17*D$49</f>
        <v>0</v>
      </c>
      <c r="E17" s="1" t="n">
        <f aca="false">'OD-APUMA(Val)'!E17*E$49</f>
        <v>17.1620983142344</v>
      </c>
      <c r="F17" s="1" t="n">
        <f aca="false">'OD-APUMA(Val)'!F17*F$49</f>
        <v>0</v>
      </c>
      <c r="G17" s="1" t="n">
        <f aca="false">'OD-APUMA(Val)'!G17*G$49</f>
        <v>36.3999732758108</v>
      </c>
      <c r="H17" s="1" t="n">
        <f aca="false">'OD-APUMA(Val)'!H17*H$49</f>
        <v>0</v>
      </c>
      <c r="I17" s="1" t="n">
        <f aca="false">'OD-APUMA(Val)'!I17*I$49</f>
        <v>0</v>
      </c>
      <c r="J17" s="1" t="n">
        <f aca="false">'OD-APUMA(Val)'!J17*J$49</f>
        <v>0</v>
      </c>
      <c r="K17" s="1" t="n">
        <f aca="false">'OD-APUMA(Val)'!K17*K$49</f>
        <v>0</v>
      </c>
      <c r="L17" s="1" t="n">
        <f aca="false">'OD-APUMA(Val)'!L17*L$49</f>
        <v>21.5894461839234</v>
      </c>
      <c r="M17" s="1" t="n">
        <f aca="false">'OD-APUMA(Val)'!M17*M$49</f>
        <v>21.38522696934</v>
      </c>
      <c r="N17" s="1" t="n">
        <f aca="false">'OD-APUMA(Val)'!N17*N$49</f>
        <v>0</v>
      </c>
      <c r="O17" s="1" t="n">
        <f aca="false">'OD-APUMA(Val)'!O17*O$49</f>
        <v>269.071416295976</v>
      </c>
      <c r="P17" s="1" t="n">
        <f aca="false">'OD-APUMA(Val)'!P17*P$49</f>
        <v>28172.0673770807</v>
      </c>
      <c r="Q17" s="1" t="n">
        <v>0</v>
      </c>
      <c r="R17" s="1" t="n">
        <f aca="false">'OD-APUMA(Val)'!R17*R$49</f>
        <v>0</v>
      </c>
      <c r="S17" s="1" t="n">
        <f aca="false">'OD-APUMA(Val)'!S17*S$49</f>
        <v>0</v>
      </c>
      <c r="T17" s="1" t="n">
        <f aca="false">'OD-APUMA(Val)'!T17*T$49</f>
        <v>0</v>
      </c>
      <c r="U17" s="1" t="n">
        <f aca="false">'OD-APUMA(Val)'!U17*U$49</f>
        <v>0</v>
      </c>
      <c r="V17" s="1" t="n">
        <f aca="false">'OD-APUMA(Val)'!V17*V$49</f>
        <v>0</v>
      </c>
      <c r="W17" s="1" t="n">
        <f aca="false">'OD-APUMA(Val)'!W17*W$49</f>
        <v>0</v>
      </c>
      <c r="X17" s="1" t="n">
        <f aca="false">'OD-APUMA(Val)'!X17*X$49</f>
        <v>25.5149237597259</v>
      </c>
      <c r="Y17" s="1" t="n">
        <f aca="false">'OD-APUMA(Val)'!Y17*Y$49</f>
        <v>0</v>
      </c>
      <c r="Z17" s="1" t="n">
        <f aca="false">'OD-APUMA(Val)'!Z17*Z$49</f>
        <v>0</v>
      </c>
      <c r="AA17" s="1" t="n">
        <f aca="false">'OD-APUMA(Val)'!AA17*AA$49</f>
        <v>2945.06962589126</v>
      </c>
      <c r="AB17" s="1" t="n">
        <f aca="false">'OD-APUMA(Val)'!AB17*AB$49</f>
        <v>729.518076792681</v>
      </c>
      <c r="AC17" s="1" t="n">
        <f aca="false">'OD-APUMA(Val)'!AC17*AC$49</f>
        <v>2.86344198624749</v>
      </c>
      <c r="AD17" s="1" t="n">
        <f aca="false">'OD-APUMA(Val)'!AD17*AD$49</f>
        <v>0</v>
      </c>
      <c r="AE17" s="1" t="n">
        <f aca="false">'OD-APUMA(Val)'!AE17*AE$49</f>
        <v>42.8487793021248</v>
      </c>
      <c r="AF17" s="1" t="n">
        <f aca="false">'OD-APUMA(Val)'!AF17*AF$49</f>
        <v>0</v>
      </c>
      <c r="AG17" s="1" t="n">
        <f aca="false">'OD-APUMA(Val)'!AG17*AG$49</f>
        <v>0</v>
      </c>
      <c r="AH17" s="1" t="n">
        <f aca="false">'OD-APUMA(Val)'!AH17*AH$49</f>
        <v>13.7263764351762</v>
      </c>
      <c r="AI17" s="1" t="n">
        <f aca="false">'OD-APUMA(Val)'!AI17*AI$49</f>
        <v>0</v>
      </c>
      <c r="AJ17" s="1" t="n">
        <f aca="false">'OD-APUMA(Val)'!AJ17*AJ$49</f>
        <v>0</v>
      </c>
      <c r="AK17" s="1" t="n">
        <f aca="false">'OD-APUMA(Val)'!AK17*AK$49</f>
        <v>0</v>
      </c>
      <c r="AL17" s="1" t="n">
        <f aca="false">'OD-APUMA(Val)'!AL17*AL$49</f>
        <v>0</v>
      </c>
      <c r="AM17" s="1" t="n">
        <f aca="false">'OD-APUMA(Val)'!AM17*AM$49</f>
        <v>5356.59914889595</v>
      </c>
      <c r="AN17" s="1" t="n">
        <f aca="false">'OD-APUMA(Val)'!AN17*AN$49</f>
        <v>8.91335869515014</v>
      </c>
      <c r="AO17" s="1" t="n">
        <f aca="false">'OD-APUMA(Val)'!AO17*AO$49</f>
        <v>8.28225712222543</v>
      </c>
      <c r="AP17" s="1" t="n">
        <f aca="false">'OD-APUMA(Val)'!AP17*AP$49</f>
        <v>0</v>
      </c>
      <c r="AQ17" s="1" t="n">
        <f aca="false">'OD-APUMA(Val)'!AQ17*AQ$49</f>
        <v>0</v>
      </c>
      <c r="AR17" s="0" t="n">
        <f aca="false">SUM('OD-APUMA(Val)'!C17:AQ17)</f>
        <v>350818</v>
      </c>
      <c r="AS17" s="0" t="n">
        <f aca="false">MAX('OD-APUMA(Val)'!C17:AQ17)</f>
        <v>203580</v>
      </c>
      <c r="AT17" s="2" t="n">
        <f aca="false">SUM(C17:AQ17)/AR17</f>
        <v>0.107433331066662</v>
      </c>
      <c r="AU17" s="3" t="n">
        <f aca="false">AT17^4</f>
        <v>0.000133215931692541</v>
      </c>
    </row>
    <row r="18" customFormat="false" ht="12.75" hidden="false" customHeight="false" outlineLevel="0" collapsed="false">
      <c r="A18" s="0" t="n">
        <v>26</v>
      </c>
      <c r="B18" s="0" t="n">
        <v>95186</v>
      </c>
      <c r="C18" s="1" t="n">
        <f aca="false">'OD-APUMA(Val)'!C18*C$49</f>
        <v>0</v>
      </c>
      <c r="D18" s="1" t="n">
        <f aca="false">'OD-APUMA(Val)'!D18*D$49</f>
        <v>0</v>
      </c>
      <c r="E18" s="1" t="n">
        <f aca="false">'OD-APUMA(Val)'!E18*E$49</f>
        <v>2.01907038990993</v>
      </c>
      <c r="F18" s="1" t="n">
        <f aca="false">'OD-APUMA(Val)'!F18*F$49</f>
        <v>0</v>
      </c>
      <c r="G18" s="1" t="n">
        <f aca="false">'OD-APUMA(Val)'!G18*G$49</f>
        <v>41.5999694580695</v>
      </c>
      <c r="H18" s="1" t="n">
        <f aca="false">'OD-APUMA(Val)'!H18*H$49</f>
        <v>0</v>
      </c>
      <c r="I18" s="1" t="n">
        <f aca="false">'OD-APUMA(Val)'!I18*I$49</f>
        <v>0</v>
      </c>
      <c r="J18" s="1" t="n">
        <f aca="false">'OD-APUMA(Val)'!J18*J$49</f>
        <v>0</v>
      </c>
      <c r="K18" s="1" t="n">
        <f aca="false">'OD-APUMA(Val)'!K18*K$49</f>
        <v>0</v>
      </c>
      <c r="L18" s="1" t="n">
        <f aca="false">'OD-APUMA(Val)'!L18*L$49</f>
        <v>0</v>
      </c>
      <c r="M18" s="1" t="n">
        <f aca="false">'OD-APUMA(Val)'!M18*M$49</f>
        <v>46.33465843357</v>
      </c>
      <c r="N18" s="1" t="n">
        <f aca="false">'OD-APUMA(Val)'!N18*N$49</f>
        <v>15.7622050112083</v>
      </c>
      <c r="O18" s="1" t="n">
        <f aca="false">'OD-APUMA(Val)'!O18*O$49</f>
        <v>0</v>
      </c>
      <c r="P18" s="1" t="n">
        <f aca="false">'OD-APUMA(Val)'!P18*P$49</f>
        <v>0</v>
      </c>
      <c r="Q18" s="1" t="n">
        <f aca="false">'OD-APUMA(Val)'!Q18*Q$49</f>
        <v>79.9256490723207</v>
      </c>
      <c r="R18" s="1" t="n">
        <v>0</v>
      </c>
      <c r="S18" s="1" t="n">
        <f aca="false">'OD-APUMA(Val)'!S18*S$49</f>
        <v>70.7984115835584</v>
      </c>
      <c r="T18" s="1" t="n">
        <f aca="false">'OD-APUMA(Val)'!T18*T$49</f>
        <v>6.63723071577405</v>
      </c>
      <c r="U18" s="1" t="n">
        <f aca="false">'OD-APUMA(Val)'!U18*U$49</f>
        <v>0</v>
      </c>
      <c r="V18" s="1" t="n">
        <f aca="false">'OD-APUMA(Val)'!V18*V$49</f>
        <v>0</v>
      </c>
      <c r="W18" s="1" t="n">
        <f aca="false">'OD-APUMA(Val)'!W18*W$49</f>
        <v>0</v>
      </c>
      <c r="X18" s="1" t="n">
        <f aca="false">'OD-APUMA(Val)'!X18*X$49</f>
        <v>0</v>
      </c>
      <c r="Y18" s="1" t="n">
        <f aca="false">'OD-APUMA(Val)'!Y18*Y$49</f>
        <v>0</v>
      </c>
      <c r="Z18" s="1" t="n">
        <f aca="false">'OD-APUMA(Val)'!Z18*Z$49</f>
        <v>0</v>
      </c>
      <c r="AA18" s="1" t="n">
        <f aca="false">'OD-APUMA(Val)'!AA18*AA$49</f>
        <v>103.48297830767</v>
      </c>
      <c r="AB18" s="1" t="n">
        <f aca="false">'OD-APUMA(Val)'!AB18*AB$49</f>
        <v>52.1084340566201</v>
      </c>
      <c r="AC18" s="1" t="n">
        <f aca="false">'OD-APUMA(Val)'!AC18*AC$49</f>
        <v>0.715860496561874</v>
      </c>
      <c r="AD18" s="1" t="n">
        <f aca="false">'OD-APUMA(Val)'!AD18*AD$49</f>
        <v>0</v>
      </c>
      <c r="AE18" s="1" t="n">
        <f aca="false">'OD-APUMA(Val)'!AE18*AE$49</f>
        <v>38.2164788370302</v>
      </c>
      <c r="AF18" s="1" t="n">
        <f aca="false">'OD-APUMA(Val)'!AF18*AF$49</f>
        <v>1.01563086181773</v>
      </c>
      <c r="AG18" s="1" t="n">
        <f aca="false">'OD-APUMA(Val)'!AG18*AG$49</f>
        <v>0</v>
      </c>
      <c r="AH18" s="1" t="n">
        <f aca="false">'OD-APUMA(Val)'!AH18*AH$49</f>
        <v>6.23926201598919</v>
      </c>
      <c r="AI18" s="1" t="n">
        <f aca="false">'OD-APUMA(Val)'!AI18*AI$49</f>
        <v>122.042820745374</v>
      </c>
      <c r="AJ18" s="1" t="n">
        <f aca="false">'OD-APUMA(Val)'!AJ18*AJ$49</f>
        <v>0</v>
      </c>
      <c r="AK18" s="1" t="n">
        <f aca="false">'OD-APUMA(Val)'!AK18*AK$49</f>
        <v>0</v>
      </c>
      <c r="AL18" s="1" t="n">
        <f aca="false">'OD-APUMA(Val)'!AL18*AL$49</f>
        <v>429.126099607072</v>
      </c>
      <c r="AM18" s="1" t="n">
        <f aca="false">'OD-APUMA(Val)'!AM18*AM$49</f>
        <v>65.4915448969365</v>
      </c>
      <c r="AN18" s="1" t="n">
        <f aca="false">'OD-APUMA(Val)'!AN18*AN$49</f>
        <v>8.91335869515014</v>
      </c>
      <c r="AO18" s="1" t="n">
        <f aca="false">'OD-APUMA(Val)'!AO18*AO$49</f>
        <v>7.93716307546604</v>
      </c>
      <c r="AP18" s="1" t="n">
        <f aca="false">'OD-APUMA(Val)'!AP18*AP$49</f>
        <v>104.216426004202</v>
      </c>
      <c r="AQ18" s="1" t="n">
        <f aca="false">'OD-APUMA(Val)'!AQ18*AQ$49</f>
        <v>0</v>
      </c>
      <c r="AR18" s="0" t="n">
        <f aca="false">SUM('OD-APUMA(Val)'!C18:AQ18)</f>
        <v>59358</v>
      </c>
      <c r="AS18" s="0" t="n">
        <f aca="false">MAX('OD-APUMA(Val)'!C18:AQ18)</f>
        <v>49543</v>
      </c>
      <c r="AT18" s="2" t="n">
        <f aca="false">SUM(C18:AQ18)/AR18</f>
        <v>0.0202598344328364</v>
      </c>
      <c r="AU18" s="3" t="n">
        <f aca="false">AT18^4</f>
        <v>1.68478143242413E-007</v>
      </c>
    </row>
    <row r="19" customFormat="false" ht="12.75" hidden="false" customHeight="false" outlineLevel="0" collapsed="false">
      <c r="A19" s="0" t="n">
        <v>27</v>
      </c>
      <c r="B19" s="0" t="n">
        <v>78299</v>
      </c>
      <c r="C19" s="1" t="n">
        <f aca="false">'OD-APUMA(Val)'!C19*C$49</f>
        <v>0</v>
      </c>
      <c r="D19" s="1" t="n">
        <f aca="false">'OD-APUMA(Val)'!D19*D$49</f>
        <v>0</v>
      </c>
      <c r="E19" s="1" t="n">
        <f aca="false">'OD-APUMA(Val)'!E19*E$49</f>
        <v>0</v>
      </c>
      <c r="F19" s="1" t="n">
        <f aca="false">'OD-APUMA(Val)'!F19*F$49</f>
        <v>0</v>
      </c>
      <c r="G19" s="1" t="n">
        <f aca="false">'OD-APUMA(Val)'!G19*G$49</f>
        <v>0</v>
      </c>
      <c r="H19" s="1" t="n">
        <f aca="false">'OD-APUMA(Val)'!H19*H$49</f>
        <v>0</v>
      </c>
      <c r="I19" s="1" t="n">
        <f aca="false">'OD-APUMA(Val)'!I19*I$49</f>
        <v>0</v>
      </c>
      <c r="J19" s="1" t="n">
        <f aca="false">'OD-APUMA(Val)'!J19*J$49</f>
        <v>0</v>
      </c>
      <c r="K19" s="1" t="n">
        <f aca="false">'OD-APUMA(Val)'!K19*K$49</f>
        <v>16.7081749271973</v>
      </c>
      <c r="L19" s="1" t="n">
        <f aca="false">'OD-APUMA(Val)'!L19*L$49</f>
        <v>0</v>
      </c>
      <c r="M19" s="1" t="n">
        <f aca="false">'OD-APUMA(Val)'!M19*M$49</f>
        <v>0</v>
      </c>
      <c r="N19" s="1" t="n">
        <f aca="false">'OD-APUMA(Val)'!N19*N$49</f>
        <v>0</v>
      </c>
      <c r="O19" s="1" t="n">
        <f aca="false">'OD-APUMA(Val)'!O19*O$49</f>
        <v>0</v>
      </c>
      <c r="P19" s="1" t="n">
        <f aca="false">'OD-APUMA(Val)'!P19*P$49</f>
        <v>0</v>
      </c>
      <c r="Q19" s="1" t="n">
        <f aca="false">'OD-APUMA(Val)'!Q19*Q$49</f>
        <v>0</v>
      </c>
      <c r="R19" s="1" t="n">
        <f aca="false">'OD-APUMA(Val)'!R19*R$49</f>
        <v>15.84298410467</v>
      </c>
      <c r="S19" s="1" t="n">
        <v>0</v>
      </c>
      <c r="T19" s="1" t="n">
        <f aca="false">'OD-APUMA(Val)'!T19*T$49</f>
        <v>56.4164610840795</v>
      </c>
      <c r="U19" s="1" t="n">
        <f aca="false">'OD-APUMA(Val)'!U19*U$49</f>
        <v>20.1449814025907</v>
      </c>
      <c r="V19" s="1" t="n">
        <f aca="false">'OD-APUMA(Val)'!V19*V$49</f>
        <v>2.30885277861218</v>
      </c>
      <c r="W19" s="1" t="n">
        <f aca="false">'OD-APUMA(Val)'!W19*W$49</f>
        <v>1.86497376093951</v>
      </c>
      <c r="X19" s="1" t="n">
        <f aca="false">'OD-APUMA(Val)'!X19*X$49</f>
        <v>27.556117660504</v>
      </c>
      <c r="Y19" s="1" t="n">
        <f aca="false">'OD-APUMA(Val)'!Y19*Y$49</f>
        <v>0.0131303880441791</v>
      </c>
      <c r="Z19" s="1" t="n">
        <f aca="false">'OD-APUMA(Val)'!Z19*Z$49</f>
        <v>0</v>
      </c>
      <c r="AA19" s="1" t="n">
        <f aca="false">'OD-APUMA(Val)'!AA19*AA$49</f>
        <v>19.5778607609106</v>
      </c>
      <c r="AB19" s="1" t="n">
        <f aca="false">'OD-APUMA(Val)'!AB19*AB$49</f>
        <v>19.1978441261232</v>
      </c>
      <c r="AC19" s="1" t="n">
        <f aca="false">'OD-APUMA(Val)'!AC19*AC$49</f>
        <v>210.10505574091</v>
      </c>
      <c r="AD19" s="1" t="n">
        <f aca="false">'OD-APUMA(Val)'!AD19*AD$49</f>
        <v>4.1139296928467</v>
      </c>
      <c r="AE19" s="1" t="n">
        <f aca="false">'OD-APUMA(Val)'!AE19*AE$49</f>
        <v>8.1065258139155</v>
      </c>
      <c r="AF19" s="1" t="n">
        <f aca="false">'OD-APUMA(Val)'!AF19*AF$49</f>
        <v>25.898586976352</v>
      </c>
      <c r="AG19" s="1" t="n">
        <f aca="false">'OD-APUMA(Val)'!AG19*AG$49</f>
        <v>0</v>
      </c>
      <c r="AH19" s="1" t="n">
        <f aca="false">'OD-APUMA(Val)'!AH19*AH$49</f>
        <v>0</v>
      </c>
      <c r="AI19" s="1" t="n">
        <f aca="false">'OD-APUMA(Val)'!AI19*AI$49</f>
        <v>0</v>
      </c>
      <c r="AJ19" s="1" t="n">
        <f aca="false">'OD-APUMA(Val)'!AJ19*AJ$49</f>
        <v>0</v>
      </c>
      <c r="AK19" s="1" t="n">
        <f aca="false">'OD-APUMA(Val)'!AK19*AK$49</f>
        <v>0</v>
      </c>
      <c r="AL19" s="1" t="n">
        <f aca="false">'OD-APUMA(Val)'!AL19*AL$49</f>
        <v>13.0603595532587</v>
      </c>
      <c r="AM19" s="1" t="n">
        <f aca="false">'OD-APUMA(Val)'!AM19*AM$49</f>
        <v>481.286702033301</v>
      </c>
      <c r="AN19" s="1" t="n">
        <f aca="false">'OD-APUMA(Val)'!AN19*AN$49</f>
        <v>12.4787021732102</v>
      </c>
      <c r="AO19" s="1" t="n">
        <f aca="false">'OD-APUMA(Val)'!AO19*AO$49</f>
        <v>0</v>
      </c>
      <c r="AP19" s="1" t="n">
        <f aca="false">'OD-APUMA(Val)'!AP19*AP$49</f>
        <v>15.3259450006179</v>
      </c>
      <c r="AQ19" s="1" t="n">
        <f aca="false">'OD-APUMA(Val)'!AQ19*AQ$49</f>
        <v>0</v>
      </c>
      <c r="AR19" s="0" t="n">
        <f aca="false">SUM('OD-APUMA(Val)'!C19:AQ19)</f>
        <v>50674</v>
      </c>
      <c r="AS19" s="0" t="n">
        <f aca="false">MAX('OD-APUMA(Val)'!C19:AQ19)</f>
        <v>34346</v>
      </c>
      <c r="AT19" s="2" t="n">
        <f aca="false">SUM(C19:AQ19)/AR19</f>
        <v>0.0187474284244007</v>
      </c>
      <c r="AU19" s="3" t="n">
        <f aca="false">AT19^4</f>
        <v>1.23528400138277E-007</v>
      </c>
    </row>
    <row r="20" customFormat="false" ht="12.75" hidden="false" customHeight="false" outlineLevel="0" collapsed="false">
      <c r="A20" s="0" t="n">
        <v>30</v>
      </c>
      <c r="B20" s="0" t="n">
        <v>108225</v>
      </c>
      <c r="C20" s="1" t="n">
        <f aca="false">'OD-APUMA(Val)'!C20*C$49</f>
        <v>0</v>
      </c>
      <c r="D20" s="1" t="n">
        <f aca="false">'OD-APUMA(Val)'!D20*D$49</f>
        <v>0</v>
      </c>
      <c r="E20" s="1" t="n">
        <f aca="false">'OD-APUMA(Val)'!E20*E$49</f>
        <v>0</v>
      </c>
      <c r="F20" s="1" t="n">
        <f aca="false">'OD-APUMA(Val)'!F20*F$49</f>
        <v>0</v>
      </c>
      <c r="G20" s="1" t="n">
        <f aca="false">'OD-APUMA(Val)'!G20*G$49</f>
        <v>0</v>
      </c>
      <c r="H20" s="1" t="n">
        <f aca="false">'OD-APUMA(Val)'!H20*H$49</f>
        <v>0</v>
      </c>
      <c r="I20" s="1" t="n">
        <f aca="false">'OD-APUMA(Val)'!I20*I$49</f>
        <v>0</v>
      </c>
      <c r="J20" s="1" t="n">
        <f aca="false">'OD-APUMA(Val)'!J20*J$49</f>
        <v>0</v>
      </c>
      <c r="K20" s="1" t="n">
        <f aca="false">'OD-APUMA(Val)'!K20*K$49</f>
        <v>0</v>
      </c>
      <c r="L20" s="1" t="n">
        <f aca="false">'OD-APUMA(Val)'!L20*L$49</f>
        <v>0</v>
      </c>
      <c r="M20" s="1" t="n">
        <f aca="false">'OD-APUMA(Val)'!M20*M$49</f>
        <v>0</v>
      </c>
      <c r="N20" s="1" t="n">
        <f aca="false">'OD-APUMA(Val)'!N20*N$49</f>
        <v>0</v>
      </c>
      <c r="O20" s="1" t="n">
        <f aca="false">'OD-APUMA(Val)'!O20*O$49</f>
        <v>0</v>
      </c>
      <c r="P20" s="1" t="n">
        <f aca="false">'OD-APUMA(Val)'!P20*P$49</f>
        <v>63.3588663902216</v>
      </c>
      <c r="Q20" s="1" t="n">
        <f aca="false">'OD-APUMA(Val)'!Q20*Q$49</f>
        <v>0</v>
      </c>
      <c r="R20" s="1" t="n">
        <f aca="false">'OD-APUMA(Val)'!R20*R$49</f>
        <v>0</v>
      </c>
      <c r="S20" s="1" t="n">
        <f aca="false">'OD-APUMA(Val)'!S20*S$49</f>
        <v>171.686148090129</v>
      </c>
      <c r="T20" s="1" t="n">
        <v>0</v>
      </c>
      <c r="U20" s="1" t="n">
        <f aca="false">'OD-APUMA(Val)'!U20*U$49</f>
        <v>25.1812267532384</v>
      </c>
      <c r="V20" s="1" t="n">
        <f aca="false">'OD-APUMA(Val)'!V20*V$49</f>
        <v>0</v>
      </c>
      <c r="W20" s="1" t="n">
        <f aca="false">'OD-APUMA(Val)'!W20*W$49</f>
        <v>0</v>
      </c>
      <c r="X20" s="1" t="n">
        <f aca="false">'OD-APUMA(Val)'!X20*X$49</f>
        <v>0</v>
      </c>
      <c r="Y20" s="1" t="n">
        <f aca="false">'OD-APUMA(Val)'!Y20*Y$49</f>
        <v>0</v>
      </c>
      <c r="Z20" s="1" t="n">
        <f aca="false">'OD-APUMA(Val)'!Z20*Z$49</f>
        <v>0</v>
      </c>
      <c r="AA20" s="1" t="n">
        <f aca="false">'OD-APUMA(Val)'!AA20*AA$49</f>
        <v>11.1873490062346</v>
      </c>
      <c r="AB20" s="1" t="n">
        <f aca="false">'OD-APUMA(Val)'!AB20*AB$49</f>
        <v>0</v>
      </c>
      <c r="AC20" s="1" t="n">
        <f aca="false">'OD-APUMA(Val)'!AC20*AC$49</f>
        <v>15.7489309243612</v>
      </c>
      <c r="AD20" s="1" t="n">
        <f aca="false">'OD-APUMA(Val)'!AD20*AD$49</f>
        <v>0</v>
      </c>
      <c r="AE20" s="1" t="n">
        <f aca="false">'OD-APUMA(Val)'!AE20*AE$49</f>
        <v>0</v>
      </c>
      <c r="AF20" s="1" t="n">
        <f aca="false">'OD-APUMA(Val)'!AF20*AF$49</f>
        <v>0</v>
      </c>
      <c r="AG20" s="1" t="n">
        <f aca="false">'OD-APUMA(Val)'!AG20*AG$49</f>
        <v>0</v>
      </c>
      <c r="AH20" s="1" t="n">
        <f aca="false">'OD-APUMA(Val)'!AH20*AH$49</f>
        <v>0</v>
      </c>
      <c r="AI20" s="1" t="n">
        <f aca="false">'OD-APUMA(Val)'!AI20*AI$49</f>
        <v>0</v>
      </c>
      <c r="AJ20" s="1" t="n">
        <f aca="false">'OD-APUMA(Val)'!AJ20*AJ$49</f>
        <v>0</v>
      </c>
      <c r="AK20" s="1" t="n">
        <f aca="false">'OD-APUMA(Val)'!AK20*AK$49</f>
        <v>0</v>
      </c>
      <c r="AL20" s="1" t="n">
        <f aca="false">'OD-APUMA(Val)'!AL20*AL$49</f>
        <v>16.7918908541898</v>
      </c>
      <c r="AM20" s="1" t="n">
        <f aca="false">'OD-APUMA(Val)'!AM20*AM$49</f>
        <v>111.183320406427</v>
      </c>
      <c r="AN20" s="1" t="n">
        <f aca="false">'OD-APUMA(Val)'!AN20*AN$49</f>
        <v>0</v>
      </c>
      <c r="AO20" s="1" t="n">
        <f aca="false">'OD-APUMA(Val)'!AO20*AO$49</f>
        <v>0</v>
      </c>
      <c r="AP20" s="1" t="n">
        <f aca="false">'OD-APUMA(Val)'!AP20*AP$49</f>
        <v>303.453711012235</v>
      </c>
      <c r="AQ20" s="1" t="n">
        <f aca="false">'OD-APUMA(Val)'!AQ20*AQ$49</f>
        <v>0</v>
      </c>
      <c r="AR20" s="0" t="n">
        <f aca="false">SUM('OD-APUMA(Val)'!C20:AQ20)</f>
        <v>68432</v>
      </c>
      <c r="AS20" s="0" t="n">
        <f aca="false">MAX('OD-APUMA(Val)'!C20:AQ20)</f>
        <v>59956</v>
      </c>
      <c r="AT20" s="2" t="n">
        <f aca="false">SUM(C20:AQ20)/AR20</f>
        <v>0.0105008101975251</v>
      </c>
      <c r="AU20" s="3" t="n">
        <f aca="false">AT20^4</f>
        <v>1.21588145538841E-008</v>
      </c>
    </row>
    <row r="21" customFormat="false" ht="12.75" hidden="false" customHeight="false" outlineLevel="0" collapsed="false">
      <c r="A21" s="0" t="n">
        <v>31</v>
      </c>
      <c r="B21" s="0" t="n">
        <v>63609</v>
      </c>
      <c r="C21" s="1" t="n">
        <f aca="false">'OD-APUMA(Val)'!C21*C$49</f>
        <v>0</v>
      </c>
      <c r="D21" s="1" t="n">
        <f aca="false">'OD-APUMA(Val)'!D21*D$49</f>
        <v>0</v>
      </c>
      <c r="E21" s="1" t="n">
        <f aca="false">'OD-APUMA(Val)'!E21*E$49</f>
        <v>0</v>
      </c>
      <c r="F21" s="1" t="n">
        <f aca="false">'OD-APUMA(Val)'!F21*F$49</f>
        <v>0</v>
      </c>
      <c r="G21" s="1" t="n">
        <f aca="false">'OD-APUMA(Val)'!G21*G$49</f>
        <v>0</v>
      </c>
      <c r="H21" s="1" t="n">
        <f aca="false">'OD-APUMA(Val)'!H21*H$49</f>
        <v>0</v>
      </c>
      <c r="I21" s="1" t="n">
        <f aca="false">'OD-APUMA(Val)'!I21*I$49</f>
        <v>0</v>
      </c>
      <c r="J21" s="1" t="n">
        <f aca="false">'OD-APUMA(Val)'!J21*J$49</f>
        <v>0</v>
      </c>
      <c r="K21" s="1" t="n">
        <f aca="false">'OD-APUMA(Val)'!K21*K$49</f>
        <v>0</v>
      </c>
      <c r="L21" s="1" t="n">
        <f aca="false">'OD-APUMA(Val)'!L21*L$49</f>
        <v>0</v>
      </c>
      <c r="M21" s="1" t="n">
        <f aca="false">'OD-APUMA(Val)'!M21*M$49</f>
        <v>0</v>
      </c>
      <c r="N21" s="1" t="n">
        <f aca="false">'OD-APUMA(Val)'!N21*N$49</f>
        <v>0</v>
      </c>
      <c r="O21" s="1" t="n">
        <f aca="false">'OD-APUMA(Val)'!O21*O$49</f>
        <v>0</v>
      </c>
      <c r="P21" s="1" t="n">
        <f aca="false">'OD-APUMA(Val)'!P21*P$49</f>
        <v>0</v>
      </c>
      <c r="Q21" s="1" t="n">
        <f aca="false">'OD-APUMA(Val)'!Q21*Q$49</f>
        <v>0</v>
      </c>
      <c r="R21" s="1" t="n">
        <f aca="false">'OD-APUMA(Val)'!R21*R$49</f>
        <v>0</v>
      </c>
      <c r="S21" s="1" t="n">
        <f aca="false">'OD-APUMA(Val)'!S21*S$49</f>
        <v>0</v>
      </c>
      <c r="T21" s="1" t="n">
        <f aca="false">'OD-APUMA(Val)'!T21*T$49</f>
        <v>0</v>
      </c>
      <c r="U21" s="1" t="n">
        <v>0</v>
      </c>
      <c r="V21" s="1" t="n">
        <f aca="false">'OD-APUMA(Val)'!V21*V$49</f>
        <v>3.46327916791826</v>
      </c>
      <c r="W21" s="1" t="n">
        <f aca="false">'OD-APUMA(Val)'!W21*W$49</f>
        <v>20.3282139942407</v>
      </c>
      <c r="X21" s="1" t="n">
        <f aca="false">'OD-APUMA(Val)'!X21*X$49</f>
        <v>0</v>
      </c>
      <c r="Y21" s="1" t="n">
        <f aca="false">'OD-APUMA(Val)'!Y21*Y$49</f>
        <v>0</v>
      </c>
      <c r="Z21" s="1" t="n">
        <f aca="false">'OD-APUMA(Val)'!Z21*Z$49</f>
        <v>22.497273625133</v>
      </c>
      <c r="AA21" s="1" t="n">
        <f aca="false">'OD-APUMA(Val)'!AA21*AA$49</f>
        <v>36.3588842702625</v>
      </c>
      <c r="AB21" s="1" t="n">
        <f aca="false">'OD-APUMA(Val)'!AB21*AB$49</f>
        <v>0</v>
      </c>
      <c r="AC21" s="1" t="n">
        <f aca="false">'OD-APUMA(Val)'!AC21*AC$49</f>
        <v>68.3646774216589</v>
      </c>
      <c r="AD21" s="1" t="n">
        <f aca="false">'OD-APUMA(Val)'!AD21*AD$49</f>
        <v>7.10587856037157</v>
      </c>
      <c r="AE21" s="1" t="n">
        <f aca="false">'OD-APUMA(Val)'!AE21*AE$49</f>
        <v>8.1065258139155</v>
      </c>
      <c r="AF21" s="1" t="n">
        <f aca="false">'OD-APUMA(Val)'!AF21*AF$49</f>
        <v>0</v>
      </c>
      <c r="AG21" s="1" t="n">
        <f aca="false">'OD-APUMA(Val)'!AG21*AG$49</f>
        <v>0</v>
      </c>
      <c r="AH21" s="1" t="n">
        <f aca="false">'OD-APUMA(Val)'!AH21*AH$49</f>
        <v>0</v>
      </c>
      <c r="AI21" s="1" t="n">
        <f aca="false">'OD-APUMA(Val)'!AI21*AI$49</f>
        <v>0</v>
      </c>
      <c r="AJ21" s="1" t="n">
        <f aca="false">'OD-APUMA(Val)'!AJ21*AJ$49</f>
        <v>0</v>
      </c>
      <c r="AK21" s="1" t="n">
        <f aca="false">'OD-APUMA(Val)'!AK21*AK$49</f>
        <v>0</v>
      </c>
      <c r="AL21" s="1" t="n">
        <f aca="false">'OD-APUMA(Val)'!AL21*AL$49</f>
        <v>0</v>
      </c>
      <c r="AM21" s="1" t="n">
        <f aca="false">'OD-APUMA(Val)'!AM21*AM$49</f>
        <v>12.1844734691975</v>
      </c>
      <c r="AN21" s="1" t="n">
        <f aca="false">'OD-APUMA(Val)'!AN21*AN$49</f>
        <v>0</v>
      </c>
      <c r="AO21" s="1" t="n">
        <f aca="false">'OD-APUMA(Val)'!AO21*AO$49</f>
        <v>0</v>
      </c>
      <c r="AP21" s="1" t="n">
        <f aca="false">'OD-APUMA(Val)'!AP21*AP$49</f>
        <v>0</v>
      </c>
      <c r="AQ21" s="1" t="n">
        <f aca="false">'OD-APUMA(Val)'!AQ21*AQ$49</f>
        <v>0</v>
      </c>
      <c r="AR21" s="0" t="n">
        <f aca="false">SUM('OD-APUMA(Val)'!C21:AQ21)</f>
        <v>35698</v>
      </c>
      <c r="AS21" s="0" t="n">
        <f aca="false">MAX('OD-APUMA(Val)'!C21:AQ21)</f>
        <v>30563</v>
      </c>
      <c r="AT21" s="2" t="n">
        <f aca="false">SUM(C21:AQ21)/AR21</f>
        <v>0.00499773674499126</v>
      </c>
      <c r="AU21" s="3" t="n">
        <f aca="false">AT21^4</f>
        <v>6.23869140612278E-010</v>
      </c>
    </row>
    <row r="22" customFormat="false" ht="12.75" hidden="false" customHeight="false" outlineLevel="0" collapsed="false">
      <c r="A22" s="0" t="n">
        <v>32</v>
      </c>
      <c r="B22" s="0" t="n">
        <v>187317</v>
      </c>
      <c r="C22" s="1" t="n">
        <f aca="false">'OD-APUMA(Val)'!C22*C$49</f>
        <v>0</v>
      </c>
      <c r="D22" s="1" t="n">
        <f aca="false">'OD-APUMA(Val)'!D22*D$49</f>
        <v>0</v>
      </c>
      <c r="E22" s="1" t="n">
        <f aca="false">'OD-APUMA(Val)'!E22*E$49</f>
        <v>5.04767597477483</v>
      </c>
      <c r="F22" s="1" t="n">
        <f aca="false">'OD-APUMA(Val)'!F22*F$49</f>
        <v>0</v>
      </c>
      <c r="G22" s="1" t="n">
        <f aca="false">'OD-APUMA(Val)'!G22*G$49</f>
        <v>0</v>
      </c>
      <c r="H22" s="1" t="n">
        <f aca="false">'OD-APUMA(Val)'!H22*H$49</f>
        <v>0</v>
      </c>
      <c r="I22" s="1" t="n">
        <f aca="false">'OD-APUMA(Val)'!I22*I$49</f>
        <v>0</v>
      </c>
      <c r="J22" s="1" t="n">
        <f aca="false">'OD-APUMA(Val)'!J22*J$49</f>
        <v>0</v>
      </c>
      <c r="K22" s="1" t="n">
        <f aca="false">'OD-APUMA(Val)'!K22*K$49</f>
        <v>0</v>
      </c>
      <c r="L22" s="1" t="n">
        <f aca="false">'OD-APUMA(Val)'!L22*L$49</f>
        <v>0</v>
      </c>
      <c r="M22" s="1" t="n">
        <f aca="false">'OD-APUMA(Val)'!M22*M$49</f>
        <v>0</v>
      </c>
      <c r="N22" s="1" t="n">
        <f aca="false">'OD-APUMA(Val)'!N22*N$49</f>
        <v>0</v>
      </c>
      <c r="O22" s="1" t="n">
        <f aca="false">'OD-APUMA(Val)'!O22*O$49</f>
        <v>0</v>
      </c>
      <c r="P22" s="1" t="n">
        <f aca="false">'OD-APUMA(Val)'!P22*P$49</f>
        <v>0</v>
      </c>
      <c r="Q22" s="1" t="n">
        <f aca="false">'OD-APUMA(Val)'!Q22*Q$49</f>
        <v>100.775818395535</v>
      </c>
      <c r="R22" s="1" t="n">
        <f aca="false">'OD-APUMA(Val)'!R22*R$49</f>
        <v>0</v>
      </c>
      <c r="S22" s="1" t="n">
        <f aca="false">'OD-APUMA(Val)'!S22*S$49</f>
        <v>0</v>
      </c>
      <c r="T22" s="1" t="n">
        <f aca="false">'OD-APUMA(Val)'!T22*T$49</f>
        <v>0.663723071577405</v>
      </c>
      <c r="U22" s="1" t="n">
        <f aca="false">'OD-APUMA(Val)'!U22*U$49</f>
        <v>0</v>
      </c>
      <c r="V22" s="1" t="n">
        <v>0</v>
      </c>
      <c r="W22" s="1" t="n">
        <f aca="false">'OD-APUMA(Val)'!W22*W$49</f>
        <v>0</v>
      </c>
      <c r="X22" s="1" t="n">
        <f aca="false">'OD-APUMA(Val)'!X22*X$49</f>
        <v>0</v>
      </c>
      <c r="Y22" s="1" t="n">
        <f aca="false">'OD-APUMA(Val)'!Y22*Y$49</f>
        <v>0</v>
      </c>
      <c r="Z22" s="1" t="n">
        <f aca="false">'OD-APUMA(Val)'!Z22*Z$49</f>
        <v>226.703295760955</v>
      </c>
      <c r="AA22" s="1" t="n">
        <f aca="false">'OD-APUMA(Val)'!AA22*AA$49</f>
        <v>33.5620470187038</v>
      </c>
      <c r="AB22" s="1" t="n">
        <f aca="false">'OD-APUMA(Val)'!AB22*AB$49</f>
        <v>0</v>
      </c>
      <c r="AC22" s="1" t="n">
        <f aca="false">'OD-APUMA(Val)'!AC22*AC$49</f>
        <v>3.93723273109031</v>
      </c>
      <c r="AD22" s="1" t="n">
        <f aca="false">'OD-APUMA(Val)'!AD22*AD$49</f>
        <v>0</v>
      </c>
      <c r="AE22" s="1" t="n">
        <f aca="false">'OD-APUMA(Val)'!AE22*AE$49</f>
        <v>142.443239301658</v>
      </c>
      <c r="AF22" s="1" t="n">
        <f aca="false">'OD-APUMA(Val)'!AF22*AF$49</f>
        <v>4.0625234472709</v>
      </c>
      <c r="AG22" s="1" t="n">
        <f aca="false">'OD-APUMA(Val)'!AG22*AG$49</f>
        <v>11.5926279195371</v>
      </c>
      <c r="AH22" s="1" t="n">
        <f aca="false">'OD-APUMA(Val)'!AH22*AH$49</f>
        <v>14.974228838374</v>
      </c>
      <c r="AI22" s="1" t="n">
        <f aca="false">'OD-APUMA(Val)'!AI22*AI$49</f>
        <v>0</v>
      </c>
      <c r="AJ22" s="1" t="n">
        <f aca="false">'OD-APUMA(Val)'!AJ22*AJ$49</f>
        <v>57.1227687727723</v>
      </c>
      <c r="AK22" s="1" t="n">
        <f aca="false">'OD-APUMA(Val)'!AK22*AK$49</f>
        <v>0</v>
      </c>
      <c r="AL22" s="1" t="n">
        <f aca="false">'OD-APUMA(Val)'!AL22*AL$49</f>
        <v>0</v>
      </c>
      <c r="AM22" s="1" t="n">
        <f aca="false">'OD-APUMA(Val)'!AM22*AM$49</f>
        <v>12.1844734691975</v>
      </c>
      <c r="AN22" s="1" t="n">
        <f aca="false">'OD-APUMA(Val)'!AN22*AN$49</f>
        <v>0</v>
      </c>
      <c r="AO22" s="1" t="n">
        <f aca="false">'OD-APUMA(Val)'!AO22*AO$49</f>
        <v>0</v>
      </c>
      <c r="AP22" s="1" t="n">
        <f aca="false">'OD-APUMA(Val)'!AP22*AP$49</f>
        <v>0</v>
      </c>
      <c r="AQ22" s="1" t="n">
        <f aca="false">'OD-APUMA(Val)'!AQ22*AQ$49</f>
        <v>100.444401311071</v>
      </c>
      <c r="AR22" s="0" t="n">
        <f aca="false">SUM('OD-APUMA(Val)'!C22:AQ22)</f>
        <v>180141</v>
      </c>
      <c r="AS22" s="0" t="n">
        <f aca="false">MAX('OD-APUMA(Val)'!C22:AQ22)</f>
        <v>169559</v>
      </c>
      <c r="AT22" s="2" t="n">
        <f aca="false">SUM(C22:AQ22)/AR22</f>
        <v>0.00396086430081168</v>
      </c>
      <c r="AU22" s="3" t="n">
        <f aca="false">AT22^4</f>
        <v>2.46127338191252E-010</v>
      </c>
    </row>
    <row r="23" customFormat="false" ht="12.75" hidden="false" customHeight="false" outlineLevel="0" collapsed="false">
      <c r="A23" s="0" t="n">
        <v>75</v>
      </c>
      <c r="B23" s="0" t="n">
        <v>192426</v>
      </c>
      <c r="C23" s="1" t="n">
        <f aca="false">'OD-APUMA(Val)'!C23*C$49</f>
        <v>0</v>
      </c>
      <c r="D23" s="1" t="n">
        <f aca="false">'OD-APUMA(Val)'!D23*D$49</f>
        <v>6.52150495372946</v>
      </c>
      <c r="E23" s="1" t="n">
        <f aca="false">'OD-APUMA(Val)'!E23*E$49</f>
        <v>0</v>
      </c>
      <c r="F23" s="1" t="n">
        <f aca="false">'OD-APUMA(Val)'!F23*F$49</f>
        <v>0</v>
      </c>
      <c r="G23" s="1" t="n">
        <f aca="false">'OD-APUMA(Val)'!G23*G$49</f>
        <v>0</v>
      </c>
      <c r="H23" s="1" t="n">
        <f aca="false">'OD-APUMA(Val)'!H23*H$49</f>
        <v>0</v>
      </c>
      <c r="I23" s="1" t="n">
        <f aca="false">'OD-APUMA(Val)'!I23*I$49</f>
        <v>0</v>
      </c>
      <c r="J23" s="1" t="n">
        <f aca="false">'OD-APUMA(Val)'!J23*J$49</f>
        <v>0</v>
      </c>
      <c r="K23" s="1" t="n">
        <f aca="false">'OD-APUMA(Val)'!K23*K$49</f>
        <v>0</v>
      </c>
      <c r="L23" s="1" t="n">
        <f aca="false">'OD-APUMA(Val)'!L23*L$49</f>
        <v>0</v>
      </c>
      <c r="M23" s="1" t="n">
        <f aca="false">'OD-APUMA(Val)'!M23*M$49</f>
        <v>0</v>
      </c>
      <c r="N23" s="1" t="n">
        <f aca="false">'OD-APUMA(Val)'!N23*N$49</f>
        <v>0</v>
      </c>
      <c r="O23" s="1" t="n">
        <f aca="false">'OD-APUMA(Val)'!O23*O$49</f>
        <v>0</v>
      </c>
      <c r="P23" s="1" t="n">
        <f aca="false">'OD-APUMA(Val)'!P23*P$49</f>
        <v>31.6794331951108</v>
      </c>
      <c r="Q23" s="1" t="n">
        <f aca="false">'OD-APUMA(Val)'!Q23*Q$49</f>
        <v>0</v>
      </c>
      <c r="R23" s="1" t="n">
        <f aca="false">'OD-APUMA(Val)'!R23*R$49</f>
        <v>0</v>
      </c>
      <c r="S23" s="1" t="n">
        <f aca="false">'OD-APUMA(Val)'!S23*S$49</f>
        <v>0</v>
      </c>
      <c r="T23" s="1" t="n">
        <f aca="false">'OD-APUMA(Val)'!T23*T$49</f>
        <v>0</v>
      </c>
      <c r="U23" s="1" t="n">
        <f aca="false">'OD-APUMA(Val)'!U23*U$49</f>
        <v>285.387236536701</v>
      </c>
      <c r="V23" s="1" t="n">
        <f aca="false">'OD-APUMA(Val)'!V23*V$49</f>
        <v>0</v>
      </c>
      <c r="W23" s="1" t="n">
        <v>0</v>
      </c>
      <c r="X23" s="1" t="n">
        <f aca="false">'OD-APUMA(Val)'!X23*X$49</f>
        <v>0</v>
      </c>
      <c r="Y23" s="1" t="n">
        <f aca="false">'OD-APUMA(Val)'!Y23*Y$49</f>
        <v>0</v>
      </c>
      <c r="Z23" s="1" t="n">
        <f aca="false">'OD-APUMA(Val)'!Z23*Z$49</f>
        <v>2.88426584937602</v>
      </c>
      <c r="AA23" s="1" t="n">
        <f aca="false">'OD-APUMA(Val)'!AA23*AA$49</f>
        <v>0</v>
      </c>
      <c r="AB23" s="1" t="n">
        <f aca="false">'OD-APUMA(Val)'!AB23*AB$49</f>
        <v>19.1978441261232</v>
      </c>
      <c r="AC23" s="1" t="n">
        <f aca="false">'OD-APUMA(Val)'!AC23*AC$49</f>
        <v>154.983797505646</v>
      </c>
      <c r="AD23" s="1" t="n">
        <f aca="false">'OD-APUMA(Val)'!AD23*AD$49</f>
        <v>75.546708905003</v>
      </c>
      <c r="AE23" s="1" t="n">
        <f aca="false">'OD-APUMA(Val)'!AE23*AE$49</f>
        <v>44.0068544183984</v>
      </c>
      <c r="AF23" s="1" t="n">
        <f aca="false">'OD-APUMA(Val)'!AF23*AF$49</f>
        <v>1.26953857727216</v>
      </c>
      <c r="AG23" s="1" t="n">
        <f aca="false">'OD-APUMA(Val)'!AG23*AG$49</f>
        <v>34.7778837586114</v>
      </c>
      <c r="AH23" s="1" t="n">
        <f aca="false">'OD-APUMA(Val)'!AH23*AH$49</f>
        <v>12.4785240319784</v>
      </c>
      <c r="AI23" s="1" t="n">
        <f aca="false">'OD-APUMA(Val)'!AI23*AI$49</f>
        <v>0</v>
      </c>
      <c r="AJ23" s="1" t="n">
        <f aca="false">'OD-APUMA(Val)'!AJ23*AJ$49</f>
        <v>0</v>
      </c>
      <c r="AK23" s="1" t="n">
        <f aca="false">'OD-APUMA(Val)'!AK23*AK$49</f>
        <v>0</v>
      </c>
      <c r="AL23" s="1" t="n">
        <f aca="false">'OD-APUMA(Val)'!AL23*AL$49</f>
        <v>16.7918908541898</v>
      </c>
      <c r="AM23" s="1" t="n">
        <f aca="false">'OD-APUMA(Val)'!AM23*AM$49</f>
        <v>10.6614142855478</v>
      </c>
      <c r="AN23" s="1" t="n">
        <f aca="false">'OD-APUMA(Val)'!AN23*AN$49</f>
        <v>0</v>
      </c>
      <c r="AO23" s="1" t="n">
        <f aca="false">'OD-APUMA(Val)'!AO23*AO$49</f>
        <v>0</v>
      </c>
      <c r="AP23" s="1" t="n">
        <f aca="false">'OD-APUMA(Val)'!AP23*AP$49</f>
        <v>0</v>
      </c>
      <c r="AQ23" s="1" t="n">
        <f aca="false">'OD-APUMA(Val)'!AQ23*AQ$49</f>
        <v>0</v>
      </c>
      <c r="AR23" s="0" t="n">
        <f aca="false">SUM('OD-APUMA(Val)'!C23:AQ23)</f>
        <v>118170</v>
      </c>
      <c r="AS23" s="0" t="n">
        <f aca="false">MAX('OD-APUMA(Val)'!C23:AQ23)</f>
        <v>106184</v>
      </c>
      <c r="AT23" s="2" t="n">
        <f aca="false">SUM(C23:AQ23)/AR23</f>
        <v>0.0058914013454996</v>
      </c>
      <c r="AU23" s="3" t="n">
        <f aca="false">AT23^4</f>
        <v>1.20468759520345E-009</v>
      </c>
    </row>
    <row r="24" customFormat="false" ht="12.75" hidden="false" customHeight="false" outlineLevel="0" collapsed="false">
      <c r="A24" s="0" t="n">
        <v>76</v>
      </c>
      <c r="B24" s="0" t="n">
        <v>116324</v>
      </c>
      <c r="C24" s="1" t="n">
        <f aca="false">'OD-APUMA(Val)'!C24*C$49</f>
        <v>0</v>
      </c>
      <c r="D24" s="1" t="n">
        <f aca="false">'OD-APUMA(Val)'!D24*D$49</f>
        <v>0</v>
      </c>
      <c r="E24" s="1" t="n">
        <f aca="false">'OD-APUMA(Val)'!E24*E$49</f>
        <v>0</v>
      </c>
      <c r="F24" s="1" t="n">
        <f aca="false">'OD-APUMA(Val)'!F24*F$49</f>
        <v>9.67913445678007</v>
      </c>
      <c r="G24" s="1" t="n">
        <f aca="false">'OD-APUMA(Val)'!G24*G$49</f>
        <v>0</v>
      </c>
      <c r="H24" s="1" t="n">
        <f aca="false">'OD-APUMA(Val)'!H24*H$49</f>
        <v>0</v>
      </c>
      <c r="I24" s="1" t="n">
        <f aca="false">'OD-APUMA(Val)'!I24*I$49</f>
        <v>0</v>
      </c>
      <c r="J24" s="1" t="n">
        <f aca="false">'OD-APUMA(Val)'!J24*J$49</f>
        <v>0</v>
      </c>
      <c r="K24" s="1" t="n">
        <f aca="false">'OD-APUMA(Val)'!K24*K$49</f>
        <v>0</v>
      </c>
      <c r="L24" s="1" t="n">
        <f aca="false">'OD-APUMA(Val)'!L24*L$49</f>
        <v>0</v>
      </c>
      <c r="M24" s="1" t="n">
        <f aca="false">'OD-APUMA(Val)'!M24*M$49</f>
        <v>0</v>
      </c>
      <c r="N24" s="1" t="n">
        <f aca="false">'OD-APUMA(Val)'!N24*N$49</f>
        <v>0</v>
      </c>
      <c r="O24" s="1" t="n">
        <f aca="false">'OD-APUMA(Val)'!O24*O$49</f>
        <v>0</v>
      </c>
      <c r="P24" s="1" t="n">
        <f aca="false">'OD-APUMA(Val)'!P24*P$49</f>
        <v>199.127865797839</v>
      </c>
      <c r="Q24" s="1" t="n">
        <f aca="false">'OD-APUMA(Val)'!Q24*Q$49</f>
        <v>410.05333002321</v>
      </c>
      <c r="R24" s="1" t="n">
        <f aca="false">'OD-APUMA(Val)'!R24*R$49</f>
        <v>0</v>
      </c>
      <c r="S24" s="1" t="n">
        <f aca="false">'OD-APUMA(Val)'!S24*S$49</f>
        <v>14.1596823167117</v>
      </c>
      <c r="T24" s="1" t="n">
        <f aca="false">'OD-APUMA(Val)'!T24*T$49</f>
        <v>0</v>
      </c>
      <c r="U24" s="1" t="n">
        <f aca="false">'OD-APUMA(Val)'!U24*U$49</f>
        <v>0</v>
      </c>
      <c r="V24" s="1" t="n">
        <f aca="false">'OD-APUMA(Val)'!V24*V$49</f>
        <v>0</v>
      </c>
      <c r="W24" s="1" t="n">
        <f aca="false">'OD-APUMA(Val)'!W24*W$49</f>
        <v>0</v>
      </c>
      <c r="X24" s="1" t="n">
        <v>0</v>
      </c>
      <c r="Y24" s="1" t="n">
        <f aca="false">'OD-APUMA(Val)'!Y24*Y$49</f>
        <v>0</v>
      </c>
      <c r="Z24" s="1" t="n">
        <f aca="false">'OD-APUMA(Val)'!Z24*Z$49</f>
        <v>0</v>
      </c>
      <c r="AA24" s="1" t="n">
        <f aca="false">'OD-APUMA(Val)'!AA24*AA$49</f>
        <v>187.38809585443</v>
      </c>
      <c r="AB24" s="1" t="n">
        <f aca="false">'OD-APUMA(Val)'!AB24*AB$49</f>
        <v>38.3956882522464</v>
      </c>
      <c r="AC24" s="1" t="n">
        <f aca="false">'OD-APUMA(Val)'!AC24*AC$49</f>
        <v>1.43172099312375</v>
      </c>
      <c r="AD24" s="1" t="n">
        <f aca="false">'OD-APUMA(Val)'!AD24*AD$49</f>
        <v>7.85386577725279</v>
      </c>
      <c r="AE24" s="1" t="n">
        <f aca="false">'OD-APUMA(Val)'!AE24*AE$49</f>
        <v>22.0034272091992</v>
      </c>
      <c r="AF24" s="1" t="n">
        <f aca="false">'OD-APUMA(Val)'!AF24*AF$49</f>
        <v>86.3286232545067</v>
      </c>
      <c r="AG24" s="1" t="n">
        <f aca="false">'OD-APUMA(Val)'!AG24*AG$49</f>
        <v>0</v>
      </c>
      <c r="AH24" s="1" t="n">
        <f aca="false">'OD-APUMA(Val)'!AH24*AH$49</f>
        <v>0</v>
      </c>
      <c r="AI24" s="1" t="n">
        <f aca="false">'OD-APUMA(Val)'!AI24*AI$49</f>
        <v>0</v>
      </c>
      <c r="AJ24" s="1" t="n">
        <f aca="false">'OD-APUMA(Val)'!AJ24*AJ$49</f>
        <v>0</v>
      </c>
      <c r="AK24" s="1" t="n">
        <f aca="false">'OD-APUMA(Val)'!AK24*AK$49</f>
        <v>0</v>
      </c>
      <c r="AL24" s="1" t="n">
        <f aca="false">'OD-APUMA(Val)'!AL24*AL$49</f>
        <v>0</v>
      </c>
      <c r="AM24" s="1" t="n">
        <f aca="false">'OD-APUMA(Val)'!AM24*AM$49</f>
        <v>1809.39431017583</v>
      </c>
      <c r="AN24" s="1" t="n">
        <f aca="false">'OD-APUMA(Val)'!AN24*AN$49</f>
        <v>0</v>
      </c>
      <c r="AO24" s="1" t="n">
        <f aca="false">'OD-APUMA(Val)'!AO24*AO$49</f>
        <v>0</v>
      </c>
      <c r="AP24" s="1" t="n">
        <f aca="false">'OD-APUMA(Val)'!AP24*AP$49</f>
        <v>6.13037800024718</v>
      </c>
      <c r="AQ24" s="1" t="n">
        <f aca="false">'OD-APUMA(Val)'!AQ24*AQ$49</f>
        <v>4.53619876888706</v>
      </c>
      <c r="AR24" s="0" t="n">
        <f aca="false">SUM('OD-APUMA(Val)'!C24:AQ24)</f>
        <v>112996</v>
      </c>
      <c r="AS24" s="0" t="n">
        <f aca="false">MAX('OD-APUMA(Val)'!C24:AQ24)</f>
        <v>88868</v>
      </c>
      <c r="AT24" s="2" t="n">
        <f aca="false">SUM(C24:AQ24)/AR24</f>
        <v>0.024748507211585</v>
      </c>
      <c r="AU24" s="3" t="n">
        <f aca="false">AT24^4</f>
        <v>3.75142296402048E-007</v>
      </c>
    </row>
    <row r="25" customFormat="false" ht="12.75" hidden="false" customHeight="false" outlineLevel="0" collapsed="false">
      <c r="A25" s="0" t="n">
        <v>77</v>
      </c>
      <c r="B25" s="0" t="n">
        <v>73463</v>
      </c>
      <c r="C25" s="1" t="n">
        <f aca="false">'OD-APUMA(Val)'!C25*C$49</f>
        <v>0</v>
      </c>
      <c r="D25" s="1" t="n">
        <f aca="false">'OD-APUMA(Val)'!D25*D$49</f>
        <v>0</v>
      </c>
      <c r="E25" s="1" t="n">
        <f aca="false">'OD-APUMA(Val)'!E25*E$49</f>
        <v>0</v>
      </c>
      <c r="F25" s="1" t="n">
        <f aca="false">'OD-APUMA(Val)'!F25*F$49</f>
        <v>25.5177181133293</v>
      </c>
      <c r="G25" s="1" t="n">
        <f aca="false">'OD-APUMA(Val)'!G25*G$49</f>
        <v>0</v>
      </c>
      <c r="H25" s="1" t="n">
        <f aca="false">'OD-APUMA(Val)'!H25*H$49</f>
        <v>0</v>
      </c>
      <c r="I25" s="1" t="n">
        <f aca="false">'OD-APUMA(Val)'!I25*I$49</f>
        <v>0</v>
      </c>
      <c r="J25" s="1" t="n">
        <f aca="false">'OD-APUMA(Val)'!J25*J$49</f>
        <v>0</v>
      </c>
      <c r="K25" s="1" t="n">
        <f aca="false">'OD-APUMA(Val)'!K25*K$49</f>
        <v>0</v>
      </c>
      <c r="L25" s="1" t="n">
        <f aca="false">'OD-APUMA(Val)'!L25*L$49</f>
        <v>0</v>
      </c>
      <c r="M25" s="1" t="n">
        <f aca="false">'OD-APUMA(Val)'!M25*M$49</f>
        <v>0</v>
      </c>
      <c r="N25" s="1" t="n">
        <f aca="false">'OD-APUMA(Val)'!N25*N$49</f>
        <v>0</v>
      </c>
      <c r="O25" s="1" t="n">
        <f aca="false">'OD-APUMA(Val)'!O25*O$49</f>
        <v>8.77406792269488</v>
      </c>
      <c r="P25" s="1" t="n">
        <f aca="false">'OD-APUMA(Val)'!P25*P$49</f>
        <v>0</v>
      </c>
      <c r="Q25" s="1" t="n">
        <f aca="false">'OD-APUMA(Val)'!Q25*Q$49</f>
        <v>0</v>
      </c>
      <c r="R25" s="1" t="n">
        <f aca="false">'OD-APUMA(Val)'!R25*R$49</f>
        <v>0</v>
      </c>
      <c r="S25" s="1" t="n">
        <f aca="false">'OD-APUMA(Val)'!S25*S$49</f>
        <v>0</v>
      </c>
      <c r="T25" s="1" t="n">
        <f aca="false">'OD-APUMA(Val)'!T25*T$49</f>
        <v>0</v>
      </c>
      <c r="U25" s="1" t="n">
        <f aca="false">'OD-APUMA(Val)'!U25*U$49</f>
        <v>0</v>
      </c>
      <c r="V25" s="1" t="n">
        <f aca="false">'OD-APUMA(Val)'!V25*V$49</f>
        <v>0</v>
      </c>
      <c r="W25" s="1" t="n">
        <f aca="false">'OD-APUMA(Val)'!W25*W$49</f>
        <v>0</v>
      </c>
      <c r="X25" s="1" t="n">
        <f aca="false">'OD-APUMA(Val)'!X25*X$49</f>
        <v>0</v>
      </c>
      <c r="Y25" s="1" t="n">
        <v>0</v>
      </c>
      <c r="Z25" s="1" t="n">
        <f aca="false">'OD-APUMA(Val)'!Z25*Z$49</f>
        <v>0</v>
      </c>
      <c r="AA25" s="1" t="n">
        <f aca="false">'OD-APUMA(Val)'!AA25*AA$49</f>
        <v>16.7810235093519</v>
      </c>
      <c r="AB25" s="1" t="n">
        <f aca="false">'OD-APUMA(Val)'!AB25*AB$49</f>
        <v>0</v>
      </c>
      <c r="AC25" s="1" t="n">
        <f aca="false">'OD-APUMA(Val)'!AC25*AC$49</f>
        <v>0</v>
      </c>
      <c r="AD25" s="1" t="n">
        <f aca="false">'OD-APUMA(Val)'!AD25*AD$49</f>
        <v>0</v>
      </c>
      <c r="AE25" s="1" t="n">
        <f aca="false">'OD-APUMA(Val)'!AE25*AE$49</f>
        <v>13.8969013952837</v>
      </c>
      <c r="AF25" s="1" t="n">
        <f aca="false">'OD-APUMA(Val)'!AF25*AF$49</f>
        <v>0</v>
      </c>
      <c r="AG25" s="1" t="n">
        <f aca="false">'OD-APUMA(Val)'!AG25*AG$49</f>
        <v>0</v>
      </c>
      <c r="AH25" s="1" t="n">
        <f aca="false">'OD-APUMA(Val)'!AH25*AH$49</f>
        <v>59.8969153534962</v>
      </c>
      <c r="AI25" s="1" t="n">
        <f aca="false">'OD-APUMA(Val)'!AI25*AI$49</f>
        <v>7.47200943339027</v>
      </c>
      <c r="AJ25" s="1" t="n">
        <f aca="false">'OD-APUMA(Val)'!AJ25*AJ$49</f>
        <v>0</v>
      </c>
      <c r="AK25" s="1" t="n">
        <f aca="false">'OD-APUMA(Val)'!AK25*AK$49</f>
        <v>0</v>
      </c>
      <c r="AL25" s="1" t="n">
        <f aca="false">'OD-APUMA(Val)'!AL25*AL$49</f>
        <v>0</v>
      </c>
      <c r="AM25" s="1" t="n">
        <f aca="false">'OD-APUMA(Val)'!AM25*AM$49</f>
        <v>0</v>
      </c>
      <c r="AN25" s="1" t="n">
        <f aca="false">'OD-APUMA(Val)'!AN25*AN$49</f>
        <v>0</v>
      </c>
      <c r="AO25" s="1" t="n">
        <f aca="false">'OD-APUMA(Val)'!AO25*AO$49</f>
        <v>0</v>
      </c>
      <c r="AP25" s="1" t="n">
        <f aca="false">'OD-APUMA(Val)'!AP25*AP$49</f>
        <v>0</v>
      </c>
      <c r="AQ25" s="1" t="n">
        <f aca="false">'OD-APUMA(Val)'!AQ25*AQ$49</f>
        <v>0</v>
      </c>
      <c r="AR25" s="0" t="n">
        <f aca="false">SUM('OD-APUMA(Val)'!C25:AQ25)</f>
        <v>34944</v>
      </c>
      <c r="AS25" s="0" t="n">
        <f aca="false">MAX('OD-APUMA(Val)'!C25:AQ25)</f>
        <v>33397</v>
      </c>
      <c r="AT25" s="2" t="n">
        <f aca="false">SUM(C25:AQ25)/AR25</f>
        <v>0.00378716333927273</v>
      </c>
      <c r="AU25" s="3" t="n">
        <f aca="false">AT25^4</f>
        <v>2.05710351413005E-010</v>
      </c>
    </row>
    <row r="26" customFormat="false" ht="12.75" hidden="false" customHeight="false" outlineLevel="0" collapsed="false">
      <c r="A26" s="0" t="n">
        <v>80</v>
      </c>
      <c r="B26" s="0" t="n">
        <v>118885</v>
      </c>
      <c r="C26" s="1" t="n">
        <f aca="false">'OD-APUMA(Val)'!C26*C$49</f>
        <v>0</v>
      </c>
      <c r="D26" s="1" t="n">
        <f aca="false">'OD-APUMA(Val)'!D26*D$49</f>
        <v>15.4885742651075</v>
      </c>
      <c r="E26" s="1" t="n">
        <f aca="false">'OD-APUMA(Val)'!E26*E$49</f>
        <v>0</v>
      </c>
      <c r="F26" s="1" t="n">
        <f aca="false">'OD-APUMA(Val)'!F26*F$49</f>
        <v>0</v>
      </c>
      <c r="G26" s="1" t="n">
        <f aca="false">'OD-APUMA(Val)'!G26*G$49</f>
        <v>0</v>
      </c>
      <c r="H26" s="1" t="n">
        <f aca="false">'OD-APUMA(Val)'!H26*H$49</f>
        <v>0</v>
      </c>
      <c r="I26" s="1" t="n">
        <f aca="false">'OD-APUMA(Val)'!I26*I$49</f>
        <v>0</v>
      </c>
      <c r="J26" s="1" t="n">
        <f aca="false">'OD-APUMA(Val)'!J26*J$49</f>
        <v>0</v>
      </c>
      <c r="K26" s="1" t="n">
        <f aca="false">'OD-APUMA(Val)'!K26*K$49</f>
        <v>0</v>
      </c>
      <c r="L26" s="1" t="n">
        <f aca="false">'OD-APUMA(Val)'!L26*L$49</f>
        <v>0</v>
      </c>
      <c r="M26" s="1" t="n">
        <f aca="false">'OD-APUMA(Val)'!M26*M$49</f>
        <v>0</v>
      </c>
      <c r="N26" s="1" t="n">
        <f aca="false">'OD-APUMA(Val)'!N26*N$49</f>
        <v>0</v>
      </c>
      <c r="O26" s="1" t="n">
        <f aca="false">'OD-APUMA(Val)'!O26*O$49</f>
        <v>0</v>
      </c>
      <c r="P26" s="1" t="n">
        <f aca="false">'OD-APUMA(Val)'!P26*P$49</f>
        <v>36.2050665086981</v>
      </c>
      <c r="Q26" s="1" t="n">
        <f aca="false">'OD-APUMA(Val)'!Q26*Q$49</f>
        <v>24.3251975437498</v>
      </c>
      <c r="R26" s="1" t="n">
        <f aca="false">'OD-APUMA(Val)'!R26*R$49</f>
        <v>0</v>
      </c>
      <c r="S26" s="1" t="n">
        <f aca="false">'OD-APUMA(Val)'!S26*S$49</f>
        <v>0</v>
      </c>
      <c r="T26" s="1" t="n">
        <f aca="false">'OD-APUMA(Val)'!T26*T$49</f>
        <v>0</v>
      </c>
      <c r="U26" s="1" t="n">
        <f aca="false">'OD-APUMA(Val)'!U26*U$49</f>
        <v>21.8237298528066</v>
      </c>
      <c r="V26" s="1" t="n">
        <f aca="false">'OD-APUMA(Val)'!V26*V$49</f>
        <v>177.012046360267</v>
      </c>
      <c r="W26" s="1" t="n">
        <f aca="false">'OD-APUMA(Val)'!W26*W$49</f>
        <v>0</v>
      </c>
      <c r="X26" s="1" t="n">
        <f aca="false">'OD-APUMA(Val)'!X26*X$49</f>
        <v>0</v>
      </c>
      <c r="Y26" s="1" t="n">
        <f aca="false">'OD-APUMA(Val)'!Y26*Y$49</f>
        <v>0</v>
      </c>
      <c r="Z26" s="1" t="n">
        <v>0</v>
      </c>
      <c r="AA26" s="1" t="n">
        <f aca="false">'OD-APUMA(Val)'!AA26*AA$49</f>
        <v>0</v>
      </c>
      <c r="AB26" s="1" t="n">
        <f aca="false">'OD-APUMA(Val)'!AB26*AB$49</f>
        <v>16.4552949652484</v>
      </c>
      <c r="AC26" s="1" t="n">
        <f aca="false">'OD-APUMA(Val)'!AC26*AC$49</f>
        <v>0</v>
      </c>
      <c r="AD26" s="1" t="n">
        <f aca="false">'OD-APUMA(Val)'!AD26*AD$49</f>
        <v>7.47987216881218</v>
      </c>
      <c r="AE26" s="1" t="n">
        <f aca="false">'OD-APUMA(Val)'!AE26*AE$49</f>
        <v>53.2714553485876</v>
      </c>
      <c r="AF26" s="1" t="n">
        <f aca="false">'OD-APUMA(Val)'!AF26*AF$49</f>
        <v>2.03126172363545</v>
      </c>
      <c r="AG26" s="1" t="n">
        <f aca="false">'OD-APUMA(Val)'!AG26*AG$49</f>
        <v>0</v>
      </c>
      <c r="AH26" s="1" t="n">
        <f aca="false">'OD-APUMA(Val)'!AH26*AH$49</f>
        <v>0</v>
      </c>
      <c r="AI26" s="1" t="n">
        <f aca="false">'OD-APUMA(Val)'!AI26*AI$49</f>
        <v>21.1706933946058</v>
      </c>
      <c r="AJ26" s="1" t="n">
        <f aca="false">'OD-APUMA(Val)'!AJ26*AJ$49</f>
        <v>0</v>
      </c>
      <c r="AK26" s="1" t="n">
        <f aca="false">'OD-APUMA(Val)'!AK26*AK$49</f>
        <v>0</v>
      </c>
      <c r="AL26" s="1" t="n">
        <f aca="false">'OD-APUMA(Val)'!AL26*AL$49</f>
        <v>0</v>
      </c>
      <c r="AM26" s="1" t="n">
        <f aca="false">'OD-APUMA(Val)'!AM26*AM$49</f>
        <v>28.938124489344</v>
      </c>
      <c r="AN26" s="1" t="n">
        <f aca="false">'OD-APUMA(Val)'!AN26*AN$49</f>
        <v>0</v>
      </c>
      <c r="AO26" s="1" t="n">
        <f aca="false">'OD-APUMA(Val)'!AO26*AO$49</f>
        <v>0</v>
      </c>
      <c r="AP26" s="1" t="n">
        <f aca="false">'OD-APUMA(Val)'!AP26*AP$49</f>
        <v>5.36408075021628</v>
      </c>
      <c r="AQ26" s="1" t="n">
        <f aca="false">'OD-APUMA(Val)'!AQ26*AQ$49</f>
        <v>15.5526814933271</v>
      </c>
      <c r="AR26" s="0" t="n">
        <f aca="false">SUM('OD-APUMA(Val)'!C26:AQ26)</f>
        <v>91208</v>
      </c>
      <c r="AS26" s="0" t="n">
        <f aca="false">MAX('OD-APUMA(Val)'!C26:AQ26)</f>
        <v>82537</v>
      </c>
      <c r="AT26" s="2" t="n">
        <f aca="false">SUM(C26:AQ26)/AR26</f>
        <v>0.00466097358635652</v>
      </c>
      <c r="AU26" s="3" t="n">
        <f aca="false">AT26^4</f>
        <v>4.7196149398016E-010</v>
      </c>
    </row>
    <row r="27" customFormat="false" ht="12.75" hidden="false" customHeight="false" outlineLevel="0" collapsed="false">
      <c r="A27" s="0" t="n">
        <v>86</v>
      </c>
      <c r="B27" s="0" t="n">
        <v>634894</v>
      </c>
      <c r="C27" s="1" t="n">
        <f aca="false">'OD-APUMA(Val)'!C27*C$49</f>
        <v>9.98028292356596</v>
      </c>
      <c r="D27" s="1" t="n">
        <f aca="false">'OD-APUMA(Val)'!D27*D$49</f>
        <v>4.89112871529709</v>
      </c>
      <c r="E27" s="1" t="n">
        <f aca="false">'OD-APUMA(Val)'!E27*E$49</f>
        <v>10.0953519495497</v>
      </c>
      <c r="F27" s="1" t="n">
        <f aca="false">'OD-APUMA(Val)'!F27*F$49</f>
        <v>0</v>
      </c>
      <c r="G27" s="1" t="n">
        <f aca="false">'OD-APUMA(Val)'!G27*G$49</f>
        <v>0</v>
      </c>
      <c r="H27" s="1" t="n">
        <f aca="false">'OD-APUMA(Val)'!H27*H$49</f>
        <v>2.23997734449184</v>
      </c>
      <c r="I27" s="1" t="n">
        <f aca="false">'OD-APUMA(Val)'!I27*I$49</f>
        <v>0</v>
      </c>
      <c r="J27" s="1" t="n">
        <f aca="false">'OD-APUMA(Val)'!J27*J$49</f>
        <v>0</v>
      </c>
      <c r="K27" s="1" t="n">
        <f aca="false">'OD-APUMA(Val)'!K27*K$49</f>
        <v>19.7460249139604</v>
      </c>
      <c r="L27" s="1" t="n">
        <f aca="false">'OD-APUMA(Val)'!L27*L$49</f>
        <v>25.1876872145772</v>
      </c>
      <c r="M27" s="1" t="n">
        <f aca="false">'OD-APUMA(Val)'!M27*M$49</f>
        <v>78.41249888758</v>
      </c>
      <c r="N27" s="1" t="n">
        <f aca="false">'OD-APUMA(Val)'!N27*N$49</f>
        <v>14.7770671980078</v>
      </c>
      <c r="O27" s="1" t="n">
        <f aca="false">'OD-APUMA(Val)'!O27*O$49</f>
        <v>456.251531980134</v>
      </c>
      <c r="P27" s="1" t="n">
        <f aca="false">'OD-APUMA(Val)'!P27*P$49</f>
        <v>21446.97627309</v>
      </c>
      <c r="Q27" s="1" t="n">
        <f aca="false">'OD-APUMA(Val)'!Q27*Q$49</f>
        <v>6585.17847791512</v>
      </c>
      <c r="R27" s="1" t="n">
        <f aca="false">'OD-APUMA(Val)'!R27*R$49</f>
        <v>0</v>
      </c>
      <c r="S27" s="1" t="n">
        <f aca="false">'OD-APUMA(Val)'!S27*S$49</f>
        <v>0</v>
      </c>
      <c r="T27" s="1" t="n">
        <f aca="false">'OD-APUMA(Val)'!T27*T$49</f>
        <v>0</v>
      </c>
      <c r="U27" s="1" t="n">
        <f aca="false">'OD-APUMA(Val)'!U27*U$49</f>
        <v>0</v>
      </c>
      <c r="V27" s="1" t="n">
        <f aca="false">'OD-APUMA(Val)'!V27*V$49</f>
        <v>0</v>
      </c>
      <c r="W27" s="1" t="n">
        <f aca="false">'OD-APUMA(Val)'!W27*W$49</f>
        <v>0</v>
      </c>
      <c r="X27" s="1" t="n">
        <f aca="false">'OD-APUMA(Val)'!X27*X$49</f>
        <v>34.7002963132272</v>
      </c>
      <c r="Y27" s="1" t="n">
        <f aca="false">'OD-APUMA(Val)'!Y27*Y$49</f>
        <v>0</v>
      </c>
      <c r="Z27" s="1" t="n">
        <f aca="false">'OD-APUMA(Val)'!Z27*Z$49</f>
        <v>0</v>
      </c>
      <c r="AA27" s="1" t="n">
        <v>0</v>
      </c>
      <c r="AB27" s="1" t="n">
        <f aca="false">'OD-APUMA(Val)'!AB27*AB$49</f>
        <v>7539.26764324466</v>
      </c>
      <c r="AC27" s="1" t="n">
        <f aca="false">'OD-APUMA(Val)'!AC27*AC$49</f>
        <v>1.78965124140468</v>
      </c>
      <c r="AD27" s="1" t="n">
        <f aca="false">'OD-APUMA(Val)'!AD27*AD$49</f>
        <v>0</v>
      </c>
      <c r="AE27" s="1" t="n">
        <f aca="false">'OD-APUMA(Val)'!AE27*AE$49</f>
        <v>157.498215813215</v>
      </c>
      <c r="AF27" s="1" t="n">
        <f aca="false">'OD-APUMA(Val)'!AF27*AF$49</f>
        <v>0</v>
      </c>
      <c r="AG27" s="1" t="n">
        <f aca="false">'OD-APUMA(Val)'!AG27*AG$49</f>
        <v>33.1217940558204</v>
      </c>
      <c r="AH27" s="1" t="n">
        <f aca="false">'OD-APUMA(Val)'!AH27*AH$49</f>
        <v>0</v>
      </c>
      <c r="AI27" s="1" t="n">
        <f aca="false">'OD-APUMA(Val)'!AI27*AI$49</f>
        <v>46.0773915059067</v>
      </c>
      <c r="AJ27" s="1" t="n">
        <f aca="false">'OD-APUMA(Val)'!AJ27*AJ$49</f>
        <v>0</v>
      </c>
      <c r="AK27" s="1" t="n">
        <f aca="false">'OD-APUMA(Val)'!AK27*AK$49</f>
        <v>0</v>
      </c>
      <c r="AL27" s="1" t="n">
        <f aca="false">'OD-APUMA(Val)'!AL27*AL$49</f>
        <v>113.811704678397</v>
      </c>
      <c r="AM27" s="1" t="n">
        <f aca="false">'OD-APUMA(Val)'!AM27*AM$49</f>
        <v>6124.22097745539</v>
      </c>
      <c r="AN27" s="1" t="n">
        <f aca="false">'OD-APUMA(Val)'!AN27*AN$49</f>
        <v>192.528547815243</v>
      </c>
      <c r="AO27" s="1" t="n">
        <f aca="false">'OD-APUMA(Val)'!AO27*AO$49</f>
        <v>27.262429693992</v>
      </c>
      <c r="AP27" s="1" t="n">
        <f aca="false">'OD-APUMA(Val)'!AP27*AP$49</f>
        <v>17.6248367507106</v>
      </c>
      <c r="AQ27" s="1" t="n">
        <f aca="false">'OD-APUMA(Val)'!AQ27*AQ$49</f>
        <v>0</v>
      </c>
      <c r="AR27" s="0" t="n">
        <f aca="false">SUM('OD-APUMA(Val)'!C27:AQ27)</f>
        <v>632060</v>
      </c>
      <c r="AS27" s="0" t="n">
        <f aca="false">MAX('OD-APUMA(Val)'!C27:AQ27)</f>
        <v>448058</v>
      </c>
      <c r="AT27" s="2" t="n">
        <f aca="false">SUM(C27:AQ27)/AR27</f>
        <v>0.0679391826578177</v>
      </c>
      <c r="AU27" s="3" t="n">
        <f aca="false">AT27^4</f>
        <v>2.13049868827749E-005</v>
      </c>
    </row>
    <row r="28" customFormat="false" ht="12.75" hidden="false" customHeight="false" outlineLevel="0" collapsed="false">
      <c r="A28" s="0" t="n">
        <v>87</v>
      </c>
      <c r="B28" s="0" t="n">
        <v>401882</v>
      </c>
      <c r="C28" s="1" t="n">
        <f aca="false">'OD-APUMA(Val)'!C28*C$49</f>
        <v>29.9408487706979</v>
      </c>
      <c r="D28" s="1" t="n">
        <f aca="false">'OD-APUMA(Val)'!D28*D$49</f>
        <v>7.33669307294564</v>
      </c>
      <c r="E28" s="1" t="n">
        <f aca="false">'OD-APUMA(Val)'!E28*E$49</f>
        <v>0</v>
      </c>
      <c r="F28" s="1" t="n">
        <f aca="false">'OD-APUMA(Val)'!F28*F$49</f>
        <v>12.3188983995383</v>
      </c>
      <c r="G28" s="1" t="n">
        <f aca="false">'OD-APUMA(Val)'!G28*G$49</f>
        <v>0</v>
      </c>
      <c r="H28" s="1" t="n">
        <f aca="false">'OD-APUMA(Val)'!H28*H$49</f>
        <v>2.23997734449184</v>
      </c>
      <c r="I28" s="1" t="n">
        <f aca="false">'OD-APUMA(Val)'!I28*I$49</f>
        <v>0</v>
      </c>
      <c r="J28" s="1" t="n">
        <f aca="false">'OD-APUMA(Val)'!J28*J$49</f>
        <v>0</v>
      </c>
      <c r="K28" s="1" t="n">
        <f aca="false">'OD-APUMA(Val)'!K28*K$49</f>
        <v>62.2759247286444</v>
      </c>
      <c r="L28" s="1" t="n">
        <f aca="false">'OD-APUMA(Val)'!L28*L$49</f>
        <v>43.1788923678467</v>
      </c>
      <c r="M28" s="1" t="n">
        <f aca="false">'OD-APUMA(Val)'!M28*M$49</f>
        <v>92.66931686714</v>
      </c>
      <c r="N28" s="1" t="n">
        <f aca="false">'OD-APUMA(Val)'!N28*N$49</f>
        <v>17.7324806376094</v>
      </c>
      <c r="O28" s="1" t="n">
        <f aca="false">'OD-APUMA(Val)'!O28*O$49</f>
        <v>821.837695425754</v>
      </c>
      <c r="P28" s="1" t="n">
        <f aca="false">'OD-APUMA(Val)'!P28*P$49</f>
        <v>15817.0884309875</v>
      </c>
      <c r="Q28" s="1" t="n">
        <f aca="false">'OD-APUMA(Val)'!Q28*Q$49</f>
        <v>1928.6406623973</v>
      </c>
      <c r="R28" s="1" t="n">
        <f aca="false">'OD-APUMA(Val)'!R28*R$49</f>
        <v>4.80090427414244</v>
      </c>
      <c r="S28" s="1" t="n">
        <f aca="false">'OD-APUMA(Val)'!S28*S$49</f>
        <v>0</v>
      </c>
      <c r="T28" s="1" t="n">
        <f aca="false">'OD-APUMA(Val)'!T28*T$49</f>
        <v>0</v>
      </c>
      <c r="U28" s="1" t="n">
        <f aca="false">'OD-APUMA(Val)'!U28*U$49</f>
        <v>15.108736051943</v>
      </c>
      <c r="V28" s="1" t="n">
        <f aca="false">'OD-APUMA(Val)'!V28*V$49</f>
        <v>3.0784703714829</v>
      </c>
      <c r="W28" s="1" t="n">
        <f aca="false">'OD-APUMA(Val)'!W28*W$49</f>
        <v>1.67847638484556</v>
      </c>
      <c r="X28" s="1" t="n">
        <f aca="false">'OD-APUMA(Val)'!X28*X$49</f>
        <v>4.08238780155614</v>
      </c>
      <c r="Y28" s="1" t="n">
        <f aca="false">'OD-APUMA(Val)'!Y28*Y$49</f>
        <v>0</v>
      </c>
      <c r="Z28" s="1" t="n">
        <f aca="false">'OD-APUMA(Val)'!Z28*Z$49</f>
        <v>2.30741267950082</v>
      </c>
      <c r="AA28" s="1" t="n">
        <f aca="false">'OD-APUMA(Val)'!AA28*AA$49</f>
        <v>17913.7425962332</v>
      </c>
      <c r="AB28" s="1" t="n">
        <v>0</v>
      </c>
      <c r="AC28" s="1" t="n">
        <f aca="false">'OD-APUMA(Val)'!AC28*AC$49</f>
        <v>2.86344198624749</v>
      </c>
      <c r="AD28" s="1" t="n">
        <f aca="false">'OD-APUMA(Val)'!AD28*AD$49</f>
        <v>0</v>
      </c>
      <c r="AE28" s="1" t="n">
        <f aca="false">'OD-APUMA(Val)'!AE28*AE$49</f>
        <v>71.8006572089659</v>
      </c>
      <c r="AF28" s="1" t="n">
        <f aca="false">'OD-APUMA(Val)'!AF28*AF$49</f>
        <v>0</v>
      </c>
      <c r="AG28" s="1" t="n">
        <f aca="false">'OD-APUMA(Val)'!AG28*AG$49</f>
        <v>26.4974352446563</v>
      </c>
      <c r="AH28" s="1" t="n">
        <f aca="false">'OD-APUMA(Val)'!AH28*AH$49</f>
        <v>0</v>
      </c>
      <c r="AI28" s="1" t="n">
        <f aca="false">'OD-APUMA(Val)'!AI28*AI$49</f>
        <v>53.5494009392969</v>
      </c>
      <c r="AJ28" s="1" t="n">
        <f aca="false">'OD-APUMA(Val)'!AJ28*AJ$49</f>
        <v>20.0701620012443</v>
      </c>
      <c r="AK28" s="1" t="n">
        <f aca="false">'OD-APUMA(Val)'!AK28*AK$49</f>
        <v>0</v>
      </c>
      <c r="AL28" s="1" t="n">
        <f aca="false">'OD-APUMA(Val)'!AL28*AL$49</f>
        <v>89.5567512223454</v>
      </c>
      <c r="AM28" s="1" t="n">
        <f aca="false">'OD-APUMA(Val)'!AM28*AM$49</f>
        <v>664.053804071263</v>
      </c>
      <c r="AN28" s="1" t="n">
        <f aca="false">'OD-APUMA(Val)'!AN28*AN$49</f>
        <v>830.725030387993</v>
      </c>
      <c r="AO28" s="1" t="n">
        <f aca="false">'OD-APUMA(Val)'!AO28*AO$49</f>
        <v>11.7331975898194</v>
      </c>
      <c r="AP28" s="1" t="n">
        <f aca="false">'OD-APUMA(Val)'!AP28*AP$49</f>
        <v>0</v>
      </c>
      <c r="AQ28" s="1" t="n">
        <f aca="false">'OD-APUMA(Val)'!AQ28*AQ$49</f>
        <v>0</v>
      </c>
      <c r="AR28" s="0" t="n">
        <f aca="false">SUM('OD-APUMA(Val)'!C28:AQ28)</f>
        <v>401219</v>
      </c>
      <c r="AS28" s="0" t="n">
        <f aca="false">MAX('OD-APUMA(Val)'!C28:AQ28)</f>
        <v>243971</v>
      </c>
      <c r="AT28" s="2" t="n">
        <f aca="false">SUM(C28:AQ28)/AR28</f>
        <v>0.0960844543390216</v>
      </c>
      <c r="AU28" s="3" t="n">
        <f aca="false">AT28^4</f>
        <v>8.52339298083931E-005</v>
      </c>
    </row>
    <row r="29" customFormat="false" ht="12.75" hidden="false" customHeight="false" outlineLevel="0" collapsed="false">
      <c r="A29" s="0" t="n">
        <v>88</v>
      </c>
      <c r="B29" s="0" t="n">
        <v>405808</v>
      </c>
      <c r="C29" s="1" t="n">
        <f aca="false">'OD-APUMA(Val)'!C29*C$49</f>
        <v>0</v>
      </c>
      <c r="D29" s="1" t="n">
        <f aca="false">'OD-APUMA(Val)'!D29*D$49</f>
        <v>7.33669307294564</v>
      </c>
      <c r="E29" s="1" t="n">
        <f aca="false">'OD-APUMA(Val)'!E29*E$49</f>
        <v>0</v>
      </c>
      <c r="F29" s="1" t="n">
        <f aca="false">'OD-APUMA(Val)'!F29*F$49</f>
        <v>23.7578754848238</v>
      </c>
      <c r="G29" s="1" t="n">
        <f aca="false">'OD-APUMA(Val)'!G29*G$49</f>
        <v>38.9999713669401</v>
      </c>
      <c r="H29" s="1" t="n">
        <f aca="false">'OD-APUMA(Val)'!H29*H$49</f>
        <v>2.85088025662598</v>
      </c>
      <c r="I29" s="1" t="n">
        <f aca="false">'OD-APUMA(Val)'!I29*I$49</f>
        <v>0</v>
      </c>
      <c r="J29" s="1" t="n">
        <f aca="false">'OD-APUMA(Val)'!J29*J$49</f>
        <v>5.35545724986234</v>
      </c>
      <c r="K29" s="1" t="n">
        <f aca="false">'OD-APUMA(Val)'!K29*K$49</f>
        <v>0</v>
      </c>
      <c r="L29" s="1" t="n">
        <f aca="false">'OD-APUMA(Val)'!L29*L$49</f>
        <v>0</v>
      </c>
      <c r="M29" s="1" t="n">
        <f aca="false">'OD-APUMA(Val)'!M29*M$49</f>
        <v>53.46306742335</v>
      </c>
      <c r="N29" s="1" t="n">
        <f aca="false">'OD-APUMA(Val)'!N29*N$49</f>
        <v>0</v>
      </c>
      <c r="O29" s="1" t="n">
        <f aca="false">'OD-APUMA(Val)'!O29*O$49</f>
        <v>0</v>
      </c>
      <c r="P29" s="1" t="n">
        <f aca="false">'OD-APUMA(Val)'!P29*P$49</f>
        <v>126.717732780443</v>
      </c>
      <c r="Q29" s="1" t="n">
        <f aca="false">'OD-APUMA(Val)'!Q29*Q$49</f>
        <v>100.775818395535</v>
      </c>
      <c r="R29" s="1" t="n">
        <f aca="false">'OD-APUMA(Val)'!R29*R$49</f>
        <v>0</v>
      </c>
      <c r="S29" s="1" t="n">
        <f aca="false">'OD-APUMA(Val)'!S29*S$49</f>
        <v>640.725624831203</v>
      </c>
      <c r="T29" s="1" t="n">
        <f aca="false">'OD-APUMA(Val)'!T29*T$49</f>
        <v>67.0360302293179</v>
      </c>
      <c r="U29" s="1" t="n">
        <f aca="false">'OD-APUMA(Val)'!U29*U$49</f>
        <v>381.075898199007</v>
      </c>
      <c r="V29" s="1" t="n">
        <f aca="false">'OD-APUMA(Val)'!V29*V$49</f>
        <v>2.69366157504754</v>
      </c>
      <c r="W29" s="1" t="n">
        <f aca="false">'OD-APUMA(Val)'!W29*W$49</f>
        <v>44.5728728864544</v>
      </c>
      <c r="X29" s="1" t="n">
        <f aca="false">'OD-APUMA(Val)'!X29*X$49</f>
        <v>6.12358170233421</v>
      </c>
      <c r="Y29" s="1" t="n">
        <f aca="false">'OD-APUMA(Val)'!Y29*Y$49</f>
        <v>0</v>
      </c>
      <c r="Z29" s="1" t="n">
        <f aca="false">'OD-APUMA(Val)'!Z29*Z$49</f>
        <v>3.46111901925123</v>
      </c>
      <c r="AA29" s="1" t="n">
        <f aca="false">'OD-APUMA(Val)'!AA29*AA$49</f>
        <v>44.7493960249384</v>
      </c>
      <c r="AB29" s="1" t="n">
        <f aca="false">'OD-APUMA(Val)'!AB29*AB$49</f>
        <v>35.6531390913716</v>
      </c>
      <c r="AC29" s="1" t="n">
        <v>0</v>
      </c>
      <c r="AD29" s="1" t="n">
        <f aca="false">'OD-APUMA(Val)'!AD29*AD$49</f>
        <v>2.99194886752487</v>
      </c>
      <c r="AE29" s="1" t="n">
        <f aca="false">'OD-APUMA(Val)'!AE29*AE$49</f>
        <v>66.0102816275977</v>
      </c>
      <c r="AF29" s="1" t="n">
        <f aca="false">'OD-APUMA(Val)'!AF29*AF$49</f>
        <v>10.1563086181773</v>
      </c>
      <c r="AG29" s="1" t="n">
        <f aca="false">'OD-APUMA(Val)'!AG29*AG$49</f>
        <v>14.9048073251192</v>
      </c>
      <c r="AH29" s="1" t="n">
        <f aca="false">'OD-APUMA(Val)'!AH29*AH$49</f>
        <v>12.4785240319784</v>
      </c>
      <c r="AI29" s="1" t="n">
        <f aca="false">'OD-APUMA(Val)'!AI29*AI$49</f>
        <v>13.6986839612155</v>
      </c>
      <c r="AJ29" s="1" t="n">
        <f aca="false">'OD-APUMA(Val)'!AJ29*AJ$49</f>
        <v>0</v>
      </c>
      <c r="AK29" s="1" t="n">
        <f aca="false">'OD-APUMA(Val)'!AK29*AK$49</f>
        <v>0</v>
      </c>
      <c r="AL29" s="1" t="n">
        <f aca="false">'OD-APUMA(Val)'!AL29*AL$49</f>
        <v>20.5234221551208</v>
      </c>
      <c r="AM29" s="1" t="n">
        <f aca="false">'OD-APUMA(Val)'!AM29*AM$49</f>
        <v>10.6614142855478</v>
      </c>
      <c r="AN29" s="1" t="n">
        <f aca="false">'OD-APUMA(Val)'!AN29*AN$49</f>
        <v>0</v>
      </c>
      <c r="AO29" s="1" t="n">
        <f aca="false">'OD-APUMA(Val)'!AO29*AO$49</f>
        <v>0</v>
      </c>
      <c r="AP29" s="1" t="n">
        <f aca="false">'OD-APUMA(Val)'!AP29*AP$49</f>
        <v>11.4944587504635</v>
      </c>
      <c r="AQ29" s="1" t="n">
        <f aca="false">'OD-APUMA(Val)'!AQ29*AQ$49</f>
        <v>18.7928234711035</v>
      </c>
      <c r="AR29" s="0" t="n">
        <f aca="false">SUM('OD-APUMA(Val)'!C29:AQ29)</f>
        <v>268060</v>
      </c>
      <c r="AS29" s="0" t="n">
        <f aca="false">MAX('OD-APUMA(Val)'!C29:AQ29)</f>
        <v>250822</v>
      </c>
      <c r="AT29" s="2" t="n">
        <f aca="false">SUM(C29:AQ29)/AR29</f>
        <v>0.00659203720317578</v>
      </c>
      <c r="AU29" s="3" t="n">
        <f aca="false">AT29^4</f>
        <v>1.88833306955881E-009</v>
      </c>
    </row>
    <row r="30" customFormat="false" ht="12.75" hidden="false" customHeight="false" outlineLevel="0" collapsed="false">
      <c r="A30" s="0" t="n">
        <v>89</v>
      </c>
      <c r="B30" s="0" t="n">
        <v>320827</v>
      </c>
      <c r="C30" s="1" t="n">
        <f aca="false">'OD-APUMA(Val)'!C30*C$49</f>
        <v>11.4060376269325</v>
      </c>
      <c r="D30" s="1" t="n">
        <f aca="false">'OD-APUMA(Val)'!D30*D$49</f>
        <v>0</v>
      </c>
      <c r="E30" s="1" t="n">
        <f aca="false">'OD-APUMA(Val)'!E30*E$49</f>
        <v>0</v>
      </c>
      <c r="F30" s="1" t="n">
        <f aca="false">'OD-APUMA(Val)'!F30*F$49</f>
        <v>12.3188983995383</v>
      </c>
      <c r="G30" s="1" t="n">
        <f aca="false">'OD-APUMA(Val)'!G30*G$49</f>
        <v>0</v>
      </c>
      <c r="H30" s="1" t="n">
        <f aca="false">'OD-APUMA(Val)'!H30*H$49</f>
        <v>0</v>
      </c>
      <c r="I30" s="1" t="n">
        <f aca="false">'OD-APUMA(Val)'!I30*I$49</f>
        <v>0</v>
      </c>
      <c r="J30" s="1" t="n">
        <f aca="false">'OD-APUMA(Val)'!J30*J$49</f>
        <v>0</v>
      </c>
      <c r="K30" s="1" t="n">
        <f aca="false">'OD-APUMA(Val)'!K30*K$49</f>
        <v>0</v>
      </c>
      <c r="L30" s="1" t="n">
        <f aca="false">'OD-APUMA(Val)'!L30*L$49</f>
        <v>0</v>
      </c>
      <c r="M30" s="1" t="n">
        <f aca="false">'OD-APUMA(Val)'!M30*M$49</f>
        <v>0</v>
      </c>
      <c r="N30" s="1" t="n">
        <f aca="false">'OD-APUMA(Val)'!N30*N$49</f>
        <v>0</v>
      </c>
      <c r="O30" s="1" t="n">
        <f aca="false">'OD-APUMA(Val)'!O30*O$49</f>
        <v>20.4728251529547</v>
      </c>
      <c r="P30" s="1" t="n">
        <f aca="false">'OD-APUMA(Val)'!P30*P$49</f>
        <v>27.1537998815236</v>
      </c>
      <c r="Q30" s="1" t="n">
        <f aca="false">'OD-APUMA(Val)'!Q30*Q$49</f>
        <v>0</v>
      </c>
      <c r="R30" s="1" t="n">
        <f aca="false">'OD-APUMA(Val)'!R30*R$49</f>
        <v>11.0420798305276</v>
      </c>
      <c r="S30" s="1" t="n">
        <f aca="false">'OD-APUMA(Val)'!S30*S$49</f>
        <v>28.3193646334234</v>
      </c>
      <c r="T30" s="1" t="n">
        <f aca="false">'OD-APUMA(Val)'!T30*T$49</f>
        <v>0</v>
      </c>
      <c r="U30" s="1" t="n">
        <f aca="false">'OD-APUMA(Val)'!U30*U$49</f>
        <v>23.5024783030225</v>
      </c>
      <c r="V30" s="1" t="n">
        <f aca="false">'OD-APUMA(Val)'!V30*V$49</f>
        <v>10.3898375037548</v>
      </c>
      <c r="W30" s="1" t="n">
        <f aca="false">'OD-APUMA(Val)'!W30*W$49</f>
        <v>21.0742034986165</v>
      </c>
      <c r="X30" s="1" t="n">
        <f aca="false">'OD-APUMA(Val)'!X30*X$49</f>
        <v>0</v>
      </c>
      <c r="Y30" s="1" t="n">
        <f aca="false">'OD-APUMA(Val)'!Y30*Y$49</f>
        <v>0.14443426848597</v>
      </c>
      <c r="Z30" s="1" t="n">
        <f aca="false">'OD-APUMA(Val)'!Z30*Z$49</f>
        <v>9.22965071800327</v>
      </c>
      <c r="AA30" s="1" t="n">
        <f aca="false">'OD-APUMA(Val)'!AA30*AA$49</f>
        <v>22.3746980124692</v>
      </c>
      <c r="AB30" s="1" t="n">
        <f aca="false">'OD-APUMA(Val)'!AB30*AB$49</f>
        <v>0</v>
      </c>
      <c r="AC30" s="1" t="n">
        <f aca="false">'OD-APUMA(Val)'!AC30*AC$49</f>
        <v>4.29516297937124</v>
      </c>
      <c r="AD30" s="1" t="n">
        <v>0</v>
      </c>
      <c r="AE30" s="1" t="n">
        <f aca="false">'OD-APUMA(Val)'!AE30*AE$49</f>
        <v>678.632018136355</v>
      </c>
      <c r="AF30" s="1" t="n">
        <f aca="false">'OD-APUMA(Val)'!AF30*AF$49</f>
        <v>4.0625234472709</v>
      </c>
      <c r="AG30" s="1" t="n">
        <f aca="false">'OD-APUMA(Val)'!AG30*AG$49</f>
        <v>21.5291661362832</v>
      </c>
      <c r="AH30" s="1" t="n">
        <f aca="false">'OD-APUMA(Val)'!AH30*AH$49</f>
        <v>8.73496682238486</v>
      </c>
      <c r="AI30" s="1" t="n">
        <f aca="false">'OD-APUMA(Val)'!AI30*AI$49</f>
        <v>0</v>
      </c>
      <c r="AJ30" s="1" t="n">
        <f aca="false">'OD-APUMA(Val)'!AJ30*AJ$49</f>
        <v>197.613902781483</v>
      </c>
      <c r="AK30" s="1" t="n">
        <f aca="false">'OD-APUMA(Val)'!AK30*AK$49</f>
        <v>0</v>
      </c>
      <c r="AL30" s="1" t="n">
        <f aca="false">'OD-APUMA(Val)'!AL30*AL$49</f>
        <v>13.0603595532587</v>
      </c>
      <c r="AM30" s="1" t="n">
        <f aca="false">'OD-APUMA(Val)'!AM30*AM$49</f>
        <v>0</v>
      </c>
      <c r="AN30" s="1" t="n">
        <f aca="false">'OD-APUMA(Val)'!AN30*AN$49</f>
        <v>0</v>
      </c>
      <c r="AO30" s="1" t="n">
        <f aca="false">'OD-APUMA(Val)'!AO30*AO$49</f>
        <v>0</v>
      </c>
      <c r="AP30" s="1" t="n">
        <f aca="false">'OD-APUMA(Val)'!AP30*AP$49</f>
        <v>0</v>
      </c>
      <c r="AQ30" s="1" t="n">
        <f aca="false">'OD-APUMA(Val)'!AQ30*AQ$49</f>
        <v>10.3684543288847</v>
      </c>
      <c r="AR30" s="0" t="n">
        <f aca="false">SUM('OD-APUMA(Val)'!C30:AQ30)</f>
        <v>221559</v>
      </c>
      <c r="AS30" s="0" t="n">
        <f aca="false">MAX('OD-APUMA(Val)'!C30:AQ30)</f>
        <v>207935</v>
      </c>
      <c r="AT30" s="2" t="n">
        <f aca="false">SUM(C30:AQ30)/AR30</f>
        <v>0.00512606060694688</v>
      </c>
      <c r="AU30" s="3" t="n">
        <f aca="false">AT30^4</f>
        <v>6.90454312779211E-010</v>
      </c>
    </row>
    <row r="31" customFormat="false" ht="12.75" hidden="false" customHeight="false" outlineLevel="0" collapsed="false">
      <c r="A31" s="0" t="n">
        <v>90</v>
      </c>
      <c r="B31" s="0" t="n">
        <v>4714869</v>
      </c>
      <c r="C31" s="1" t="n">
        <f aca="false">'OD-APUMA(Val)'!C31*C$49</f>
        <v>172.516319107354</v>
      </c>
      <c r="D31" s="1" t="n">
        <f aca="false">'OD-APUMA(Val)'!D31*D$49</f>
        <v>158.961683247156</v>
      </c>
      <c r="E31" s="1" t="n">
        <f aca="false">'OD-APUMA(Val)'!E31*E$49</f>
        <v>83.7914211812622</v>
      </c>
      <c r="F31" s="1" t="n">
        <f aca="false">'OD-APUMA(Val)'!F31*F$49</f>
        <v>36.0767738843621</v>
      </c>
      <c r="G31" s="1" t="n">
        <f aca="false">'OD-APUMA(Val)'!G31*G$49</f>
        <v>62.3999541871042</v>
      </c>
      <c r="H31" s="1" t="n">
        <f aca="false">'OD-APUMA(Val)'!H31*H$49</f>
        <v>4.27632038493897</v>
      </c>
      <c r="I31" s="1" t="n">
        <f aca="false">'OD-APUMA(Val)'!I31*I$49</f>
        <v>20.9094226274383</v>
      </c>
      <c r="J31" s="1" t="n">
        <f aca="false">'OD-APUMA(Val)'!J31*J$49</f>
        <v>21.4218289994494</v>
      </c>
      <c r="K31" s="1" t="n">
        <f aca="false">'OD-APUMA(Val)'!K31*K$49</f>
        <v>18.2270999205789</v>
      </c>
      <c r="L31" s="1" t="n">
        <f aca="false">'OD-APUMA(Val)'!L31*L$49</f>
        <v>43.1788923678467</v>
      </c>
      <c r="M31" s="1" t="n">
        <f aca="false">'OD-APUMA(Val)'!M31*M$49</f>
        <v>142.5681797956</v>
      </c>
      <c r="N31" s="1" t="n">
        <f aca="false">'OD-APUMA(Val)'!N31*N$49</f>
        <v>6.89596469240364</v>
      </c>
      <c r="O31" s="1" t="n">
        <f aca="false">'OD-APUMA(Val)'!O31*O$49</f>
        <v>14.6234465378248</v>
      </c>
      <c r="P31" s="1" t="n">
        <f aca="false">'OD-APUMA(Val)'!P31*P$49</f>
        <v>610.96049733428</v>
      </c>
      <c r="Q31" s="1" t="n">
        <f aca="false">'OD-APUMA(Val)'!Q31*Q$49</f>
        <v>628.980107916958</v>
      </c>
      <c r="R31" s="1" t="n">
        <f aca="false">'OD-APUMA(Val)'!R31*R$49</f>
        <v>31.6859682093401</v>
      </c>
      <c r="S31" s="1" t="n">
        <f aca="false">'OD-APUMA(Val)'!S31*S$49</f>
        <v>12.3897220271227</v>
      </c>
      <c r="T31" s="1" t="n">
        <f aca="false">'OD-APUMA(Val)'!T31*T$49</f>
        <v>0</v>
      </c>
      <c r="U31" s="1" t="n">
        <f aca="false">'OD-APUMA(Val)'!U31*U$49</f>
        <v>124.227385315976</v>
      </c>
      <c r="V31" s="1" t="n">
        <f aca="false">'OD-APUMA(Val)'!V31*V$49</f>
        <v>33.4783652898766</v>
      </c>
      <c r="W31" s="1" t="n">
        <f aca="false">'OD-APUMA(Val)'!W31*W$49</f>
        <v>0</v>
      </c>
      <c r="X31" s="1" t="n">
        <f aca="false">'OD-APUMA(Val)'!X31*X$49</f>
        <v>0</v>
      </c>
      <c r="Y31" s="1" t="n">
        <f aca="false">'OD-APUMA(Val)'!Y31*Y$49</f>
        <v>0.210086208706865</v>
      </c>
      <c r="Z31" s="1" t="n">
        <f aca="false">'OD-APUMA(Val)'!Z31*Z$49</f>
        <v>19.0361546058817</v>
      </c>
      <c r="AA31" s="1" t="n">
        <f aca="false">'OD-APUMA(Val)'!AA31*AA$49</f>
        <v>310.44893492301</v>
      </c>
      <c r="AB31" s="1" t="n">
        <f aca="false">'OD-APUMA(Val)'!AB31*AB$49</f>
        <v>274.254916087474</v>
      </c>
      <c r="AC31" s="1" t="n">
        <f aca="false">'OD-APUMA(Val)'!AC31*AC$49</f>
        <v>17.8965124140468</v>
      </c>
      <c r="AD31" s="1" t="n">
        <f aca="false">'OD-APUMA(Val)'!AD31*AD$49</f>
        <v>273.389327770085</v>
      </c>
      <c r="AE31" s="1" t="n">
        <v>0</v>
      </c>
      <c r="AF31" s="1" t="n">
        <f aca="false">'OD-APUMA(Val)'!AF31*AF$49</f>
        <v>15.4883706427203</v>
      </c>
      <c r="AG31" s="1" t="n">
        <f aca="false">'OD-APUMA(Val)'!AG31*AG$49</f>
        <v>17400.5345072252</v>
      </c>
      <c r="AH31" s="1" t="n">
        <f aca="false">'OD-APUMA(Val)'!AH31*AH$49</f>
        <v>635.156873227699</v>
      </c>
      <c r="AI31" s="1" t="n">
        <f aca="false">'OD-APUMA(Val)'!AI31*AI$49</f>
        <v>44.8320566003416</v>
      </c>
      <c r="AJ31" s="1" t="n">
        <f aca="false">'OD-APUMA(Val)'!AJ31*AJ$49</f>
        <v>3839.57637669959</v>
      </c>
      <c r="AK31" s="1" t="n">
        <f aca="false">'OD-APUMA(Val)'!AK31*AK$49</f>
        <v>0</v>
      </c>
      <c r="AL31" s="1" t="n">
        <f aca="false">'OD-APUMA(Val)'!AL31*AL$49</f>
        <v>22.3891878055863</v>
      </c>
      <c r="AM31" s="1" t="n">
        <f aca="false">'OD-APUMA(Val)'!AM31*AM$49</f>
        <v>60.9223673459874</v>
      </c>
      <c r="AN31" s="1" t="n">
        <f aca="false">'OD-APUMA(Val)'!AN31*AN$49</f>
        <v>62.393510866051</v>
      </c>
      <c r="AO31" s="1" t="n">
        <f aca="false">'OD-APUMA(Val)'!AO31*AO$49</f>
        <v>0</v>
      </c>
      <c r="AP31" s="1" t="n">
        <f aca="false">'OD-APUMA(Val)'!AP31*AP$49</f>
        <v>9.19556700037077</v>
      </c>
      <c r="AQ31" s="1" t="n">
        <f aca="false">'OD-APUMA(Val)'!AQ31*AQ$49</f>
        <v>1086.74361934623</v>
      </c>
      <c r="AR31" s="0" t="n">
        <f aca="false">SUM('OD-APUMA(Val)'!C31:AQ31)</f>
        <v>4091568</v>
      </c>
      <c r="AS31" s="0" t="n">
        <f aca="false">MAX('OD-APUMA(Val)'!C31:AQ31)</f>
        <v>3859648</v>
      </c>
      <c r="AT31" s="2" t="n">
        <f aca="false">SUM(C31:AQ31)/AR31</f>
        <v>0.00642786279533809</v>
      </c>
      <c r="AU31" s="3" t="n">
        <f aca="false">AT31^4</f>
        <v>1.70712920501656E-009</v>
      </c>
    </row>
    <row r="32" customFormat="false" ht="12.75" hidden="false" customHeight="false" outlineLevel="0" collapsed="false">
      <c r="A32" s="0" t="n">
        <v>91</v>
      </c>
      <c r="B32" s="0" t="n">
        <v>195273</v>
      </c>
      <c r="C32" s="1" t="n">
        <f aca="false">'OD-APUMA(Val)'!C32*C$49</f>
        <v>9.98028292356596</v>
      </c>
      <c r="D32" s="1" t="n">
        <f aca="false">'OD-APUMA(Val)'!D32*D$49</f>
        <v>0</v>
      </c>
      <c r="E32" s="1" t="n">
        <f aca="false">'OD-APUMA(Val)'!E32*E$49</f>
        <v>10.0953519495497</v>
      </c>
      <c r="F32" s="1" t="n">
        <f aca="false">'OD-APUMA(Val)'!F32*F$49</f>
        <v>5.2795278855164</v>
      </c>
      <c r="G32" s="1" t="n">
        <f aca="false">'OD-APUMA(Val)'!G32*G$49</f>
        <v>0</v>
      </c>
      <c r="H32" s="1" t="n">
        <f aca="false">'OD-APUMA(Val)'!H32*H$49</f>
        <v>0</v>
      </c>
      <c r="I32" s="1" t="n">
        <f aca="false">'OD-APUMA(Val)'!I32*I$49</f>
        <v>0</v>
      </c>
      <c r="J32" s="1" t="n">
        <f aca="false">'OD-APUMA(Val)'!J32*J$49</f>
        <v>7.65065321408906</v>
      </c>
      <c r="K32" s="1" t="n">
        <f aca="false">'OD-APUMA(Val)'!K32*K$49</f>
        <v>0</v>
      </c>
      <c r="L32" s="1" t="n">
        <f aca="false">'OD-APUMA(Val)'!L32*L$49</f>
        <v>0</v>
      </c>
      <c r="M32" s="1" t="n">
        <f aca="false">'OD-APUMA(Val)'!M32*M$49</f>
        <v>0</v>
      </c>
      <c r="N32" s="1" t="n">
        <f aca="false">'OD-APUMA(Val)'!N32*N$49</f>
        <v>0</v>
      </c>
      <c r="O32" s="1" t="n">
        <f aca="false">'OD-APUMA(Val)'!O32*O$49</f>
        <v>0</v>
      </c>
      <c r="P32" s="1" t="n">
        <f aca="false">'OD-APUMA(Val)'!P32*P$49</f>
        <v>0</v>
      </c>
      <c r="Q32" s="1" t="n">
        <f aca="false">'OD-APUMA(Val)'!Q32*Q$49</f>
        <v>66.0255361901779</v>
      </c>
      <c r="R32" s="1" t="n">
        <f aca="false">'OD-APUMA(Val)'!R32*R$49</f>
        <v>0</v>
      </c>
      <c r="S32" s="1" t="n">
        <f aca="false">'OD-APUMA(Val)'!S32*S$49</f>
        <v>53.0988086876688</v>
      </c>
      <c r="T32" s="1" t="n">
        <f aca="false">'OD-APUMA(Val)'!T32*T$49</f>
        <v>0</v>
      </c>
      <c r="U32" s="1" t="n">
        <f aca="false">'OD-APUMA(Val)'!U32*U$49</f>
        <v>0</v>
      </c>
      <c r="V32" s="1" t="n">
        <f aca="false">'OD-APUMA(Val)'!V32*V$49</f>
        <v>1.92404398217681</v>
      </c>
      <c r="W32" s="1" t="n">
        <f aca="false">'OD-APUMA(Val)'!W32*W$49</f>
        <v>0</v>
      </c>
      <c r="X32" s="1" t="n">
        <f aca="false">'OD-APUMA(Val)'!X32*X$49</f>
        <v>521.525041648797</v>
      </c>
      <c r="Y32" s="1" t="n">
        <f aca="false">'OD-APUMA(Val)'!Y32*Y$49</f>
        <v>0.0919127163092535</v>
      </c>
      <c r="Z32" s="1" t="n">
        <f aca="false">'OD-APUMA(Val)'!Z32*Z$49</f>
        <v>21.9204204552578</v>
      </c>
      <c r="AA32" s="1" t="n">
        <f aca="false">'OD-APUMA(Val)'!AA32*AA$49</f>
        <v>44.7493960249384</v>
      </c>
      <c r="AB32" s="1" t="n">
        <f aca="false">'OD-APUMA(Val)'!AB32*AB$49</f>
        <v>27.4254916087474</v>
      </c>
      <c r="AC32" s="1" t="n">
        <f aca="false">'OD-APUMA(Val)'!AC32*AC$49</f>
        <v>2.50551173796656</v>
      </c>
      <c r="AD32" s="1" t="n">
        <f aca="false">'OD-APUMA(Val)'!AD32*AD$49</f>
        <v>0</v>
      </c>
      <c r="AE32" s="1" t="n">
        <f aca="false">'OD-APUMA(Val)'!AE32*AE$49</f>
        <v>23.1615023254729</v>
      </c>
      <c r="AF32" s="1" t="n">
        <v>0</v>
      </c>
      <c r="AG32" s="1" t="n">
        <f aca="false">'OD-APUMA(Val)'!AG32*AG$49</f>
        <v>0</v>
      </c>
      <c r="AH32" s="1" t="n">
        <f aca="false">'OD-APUMA(Val)'!AH32*AH$49</f>
        <v>0</v>
      </c>
      <c r="AI32" s="1" t="n">
        <f aca="false">'OD-APUMA(Val)'!AI32*AI$49</f>
        <v>0</v>
      </c>
      <c r="AJ32" s="1" t="n">
        <f aca="false">'OD-APUMA(Val)'!AJ32*AJ$49</f>
        <v>16.9824447702837</v>
      </c>
      <c r="AK32" s="1" t="n">
        <f aca="false">'OD-APUMA(Val)'!AK32*AK$49</f>
        <v>0</v>
      </c>
      <c r="AL32" s="1" t="n">
        <f aca="false">'OD-APUMA(Val)'!AL32*AL$49</f>
        <v>0</v>
      </c>
      <c r="AM32" s="1" t="n">
        <f aca="false">'OD-APUMA(Val)'!AM32*AM$49</f>
        <v>266.535357138695</v>
      </c>
      <c r="AN32" s="1" t="n">
        <f aca="false">'OD-APUMA(Val)'!AN32*AN$49</f>
        <v>0</v>
      </c>
      <c r="AO32" s="1" t="n">
        <f aca="false">'OD-APUMA(Val)'!AO32*AO$49</f>
        <v>0</v>
      </c>
      <c r="AP32" s="1" t="n">
        <f aca="false">'OD-APUMA(Val)'!AP32*AP$49</f>
        <v>0</v>
      </c>
      <c r="AQ32" s="1" t="n">
        <f aca="false">'OD-APUMA(Val)'!AQ32*AQ$49</f>
        <v>7.12831235110824</v>
      </c>
      <c r="AR32" s="0" t="n">
        <f aca="false">SUM('OD-APUMA(Val)'!C32:AQ32)</f>
        <v>164359</v>
      </c>
      <c r="AS32" s="0" t="n">
        <f aca="false">MAX('OD-APUMA(Val)'!C32:AQ32)</f>
        <v>152750</v>
      </c>
      <c r="AT32" s="2" t="n">
        <f aca="false">SUM(C32:AQ32)/AR32</f>
        <v>0.00660797154771154</v>
      </c>
      <c r="AU32" s="3" t="n">
        <f aca="false">AT32^4</f>
        <v>1.90665737397158E-009</v>
      </c>
    </row>
    <row r="33" customFormat="false" ht="12.75" hidden="false" customHeight="false" outlineLevel="0" collapsed="false">
      <c r="A33" s="0" t="n">
        <v>92</v>
      </c>
      <c r="B33" s="0" t="n">
        <v>1138865</v>
      </c>
      <c r="C33" s="1" t="n">
        <f aca="false">'OD-APUMA(Val)'!C33*C$49</f>
        <v>42.772641100997</v>
      </c>
      <c r="D33" s="1" t="n">
        <f aca="false">'OD-APUMA(Val)'!D33*D$49</f>
        <v>6.52150495372946</v>
      </c>
      <c r="E33" s="1" t="n">
        <f aca="false">'OD-APUMA(Val)'!E33*E$49</f>
        <v>28.2669854587391</v>
      </c>
      <c r="F33" s="1" t="n">
        <f aca="false">'OD-APUMA(Val)'!F33*F$49</f>
        <v>12.3188983995383</v>
      </c>
      <c r="G33" s="1" t="n">
        <f aca="false">'OD-APUMA(Val)'!G33*G$49</f>
        <v>12.9999904556467</v>
      </c>
      <c r="H33" s="1" t="n">
        <f aca="false">'OD-APUMA(Val)'!H33*H$49</f>
        <v>1.22180582426828</v>
      </c>
      <c r="I33" s="1" t="n">
        <f aca="false">'OD-APUMA(Val)'!I33*I$49</f>
        <v>5.97412075069666</v>
      </c>
      <c r="J33" s="1" t="n">
        <f aca="false">'OD-APUMA(Val)'!J33*J$49</f>
        <v>0</v>
      </c>
      <c r="K33" s="1" t="n">
        <f aca="false">'OD-APUMA(Val)'!K33*K$49</f>
        <v>33.4163498543946</v>
      </c>
      <c r="L33" s="1" t="n">
        <f aca="false">'OD-APUMA(Val)'!L33*L$49</f>
        <v>89.9560257663473</v>
      </c>
      <c r="M33" s="1" t="n">
        <f aca="false">'OD-APUMA(Val)'!M33*M$49</f>
        <v>163.95340676494</v>
      </c>
      <c r="N33" s="1" t="n">
        <f aca="false">'OD-APUMA(Val)'!N33*N$49</f>
        <v>5.91082687920312</v>
      </c>
      <c r="O33" s="1" t="n">
        <f aca="false">'OD-APUMA(Val)'!O33*O$49</f>
        <v>0</v>
      </c>
      <c r="P33" s="1" t="n">
        <f aca="false">'OD-APUMA(Val)'!P33*P$49</f>
        <v>167.448432602729</v>
      </c>
      <c r="Q33" s="1" t="n">
        <f aca="false">'OD-APUMA(Val)'!Q33*Q$49</f>
        <v>38.2253104258925</v>
      </c>
      <c r="R33" s="1" t="n">
        <f aca="false">'OD-APUMA(Val)'!R33*R$49</f>
        <v>0</v>
      </c>
      <c r="S33" s="1" t="n">
        <f aca="false">'OD-APUMA(Val)'!S33*S$49</f>
        <v>0</v>
      </c>
      <c r="T33" s="1" t="n">
        <f aca="false">'OD-APUMA(Val)'!T33*T$49</f>
        <v>0</v>
      </c>
      <c r="U33" s="1" t="n">
        <f aca="false">'OD-APUMA(Val)'!U33*U$49</f>
        <v>25.1812267532384</v>
      </c>
      <c r="V33" s="1" t="n">
        <f aca="false">'OD-APUMA(Val)'!V33*V$49</f>
        <v>18.086013432462</v>
      </c>
      <c r="W33" s="1" t="n">
        <f aca="false">'OD-APUMA(Val)'!W33*W$49</f>
        <v>0</v>
      </c>
      <c r="X33" s="1" t="n">
        <f aca="false">'OD-APUMA(Val)'!X33*X$49</f>
        <v>0</v>
      </c>
      <c r="Y33" s="1" t="n">
        <f aca="false">'OD-APUMA(Val)'!Y33*Y$49</f>
        <v>0.354520477192835</v>
      </c>
      <c r="Z33" s="1" t="n">
        <f aca="false">'OD-APUMA(Val)'!Z33*Z$49</f>
        <v>19.0361546058817</v>
      </c>
      <c r="AA33" s="1" t="n">
        <f aca="false">'OD-APUMA(Val)'!AA33*AA$49</f>
        <v>86.7019547983182</v>
      </c>
      <c r="AB33" s="1" t="n">
        <f aca="false">'OD-APUMA(Val)'!AB33*AB$49</f>
        <v>85.0190239871169</v>
      </c>
      <c r="AC33" s="1" t="n">
        <f aca="false">'OD-APUMA(Val)'!AC33*AC$49</f>
        <v>5.72688397249499</v>
      </c>
      <c r="AD33" s="1" t="n">
        <f aca="false">'OD-APUMA(Val)'!AD33*AD$49</f>
        <v>6.35789134349035</v>
      </c>
      <c r="AE33" s="1" t="n">
        <f aca="false">'OD-APUMA(Val)'!AE33*AE$49</f>
        <v>17650.2228471266</v>
      </c>
      <c r="AF33" s="1" t="n">
        <f aca="false">'OD-APUMA(Val)'!AF33*AF$49</f>
        <v>0</v>
      </c>
      <c r="AG33" s="1" t="n">
        <v>0</v>
      </c>
      <c r="AH33" s="1" t="n">
        <f aca="false">'OD-APUMA(Val)'!AH33*AH$49</f>
        <v>880.983796657673</v>
      </c>
      <c r="AI33" s="1" t="n">
        <f aca="false">'OD-APUMA(Val)'!AI33*AI$49</f>
        <v>13.6986839612155</v>
      </c>
      <c r="AJ33" s="1" t="n">
        <f aca="false">'OD-APUMA(Val)'!AJ33*AJ$49</f>
        <v>1131.64836514708</v>
      </c>
      <c r="AK33" s="1" t="n">
        <f aca="false">'OD-APUMA(Val)'!AK33*AK$49</f>
        <v>0</v>
      </c>
      <c r="AL33" s="1" t="n">
        <f aca="false">'OD-APUMA(Val)'!AL33*AL$49</f>
        <v>11.1945939027932</v>
      </c>
      <c r="AM33" s="1" t="n">
        <f aca="false">'OD-APUMA(Val)'!AM33*AM$49</f>
        <v>48.73789387679</v>
      </c>
      <c r="AN33" s="1" t="n">
        <f aca="false">'OD-APUMA(Val)'!AN33*AN$49</f>
        <v>0</v>
      </c>
      <c r="AO33" s="1" t="n">
        <f aca="false">'OD-APUMA(Val)'!AO33*AO$49</f>
        <v>2.07056428055636</v>
      </c>
      <c r="AP33" s="1" t="n">
        <f aca="false">'OD-APUMA(Val)'!AP33*AP$49</f>
        <v>0</v>
      </c>
      <c r="AQ33" s="1" t="n">
        <f aca="false">'OD-APUMA(Val)'!AQ33*AQ$49</f>
        <v>23.3290222399906</v>
      </c>
      <c r="AR33" s="0" t="n">
        <f aca="false">SUM('OD-APUMA(Val)'!C33:AQ33)</f>
        <v>1278199</v>
      </c>
      <c r="AS33" s="0" t="n">
        <f aca="false">MAX('OD-APUMA(Val)'!C33:AQ33)</f>
        <v>1047085</v>
      </c>
      <c r="AT33" s="2" t="n">
        <f aca="false">SUM(C33:AQ33)/AR33</f>
        <v>0.0161299889420974</v>
      </c>
      <c r="AU33" s="3" t="n">
        <f aca="false">AT33^4</f>
        <v>6.76918336690636E-008</v>
      </c>
    </row>
    <row r="34" customFormat="false" ht="12.75" hidden="false" customHeight="false" outlineLevel="0" collapsed="false">
      <c r="A34" s="0" t="n">
        <v>93</v>
      </c>
      <c r="B34" s="0" t="n">
        <v>687843</v>
      </c>
      <c r="C34" s="1" t="n">
        <f aca="false">'OD-APUMA(Val)'!C34*C$49</f>
        <v>39.9211316942638</v>
      </c>
      <c r="D34" s="1" t="n">
        <f aca="false">'OD-APUMA(Val)'!D34*D$49</f>
        <v>22.0100792188369</v>
      </c>
      <c r="E34" s="1" t="n">
        <f aca="false">'OD-APUMA(Val)'!E34*E$49</f>
        <v>20.1907038990993</v>
      </c>
      <c r="F34" s="1" t="n">
        <f aca="false">'OD-APUMA(Val)'!F34*F$49</f>
        <v>2.6397639427582</v>
      </c>
      <c r="G34" s="1" t="n">
        <f aca="false">'OD-APUMA(Val)'!G34*G$49</f>
        <v>0</v>
      </c>
      <c r="H34" s="1" t="n">
        <f aca="false">'OD-APUMA(Val)'!H34*H$49</f>
        <v>1.83270873640241</v>
      </c>
      <c r="I34" s="1" t="n">
        <f aca="false">'OD-APUMA(Val)'!I34*I$49</f>
        <v>7.96549433426221</v>
      </c>
      <c r="J34" s="1" t="n">
        <f aca="false">'OD-APUMA(Val)'!J34*J$49</f>
        <v>0</v>
      </c>
      <c r="K34" s="1" t="n">
        <f aca="false">'OD-APUMA(Val)'!K34*K$49</f>
        <v>12.1513999470526</v>
      </c>
      <c r="L34" s="1" t="n">
        <f aca="false">'OD-APUMA(Val)'!L34*L$49</f>
        <v>35.9824103065389</v>
      </c>
      <c r="M34" s="1" t="n">
        <f aca="false">'OD-APUMA(Val)'!M34*M$49</f>
        <v>24.94943146423</v>
      </c>
      <c r="N34" s="1" t="n">
        <f aca="false">'OD-APUMA(Val)'!N34*N$49</f>
        <v>0</v>
      </c>
      <c r="O34" s="1" t="n">
        <f aca="false">'OD-APUMA(Val)'!O34*O$49</f>
        <v>0</v>
      </c>
      <c r="P34" s="1" t="n">
        <f aca="false">'OD-APUMA(Val)'!P34*P$49</f>
        <v>45.2563331358726</v>
      </c>
      <c r="Q34" s="1" t="n">
        <f aca="false">'OD-APUMA(Val)'!Q34*Q$49</f>
        <v>27.8002257642854</v>
      </c>
      <c r="R34" s="1" t="n">
        <f aca="false">'OD-APUMA(Val)'!R34*R$49</f>
        <v>0</v>
      </c>
      <c r="S34" s="1" t="n">
        <f aca="false">'OD-APUMA(Val)'!S34*S$49</f>
        <v>0</v>
      </c>
      <c r="T34" s="1" t="n">
        <f aca="false">'OD-APUMA(Val)'!T34*T$49</f>
        <v>0</v>
      </c>
      <c r="U34" s="1" t="n">
        <f aca="false">'OD-APUMA(Val)'!U34*U$49</f>
        <v>13.4299876017271</v>
      </c>
      <c r="V34" s="1" t="n">
        <f aca="false">'OD-APUMA(Val)'!V34*V$49</f>
        <v>3.0784703714829</v>
      </c>
      <c r="W34" s="1" t="n">
        <f aca="false">'OD-APUMA(Val)'!W34*W$49</f>
        <v>0</v>
      </c>
      <c r="X34" s="1" t="n">
        <f aca="false">'OD-APUMA(Val)'!X34*X$49</f>
        <v>8.16477560311228</v>
      </c>
      <c r="Y34" s="1" t="n">
        <f aca="false">'OD-APUMA(Val)'!Y34*Y$49</f>
        <v>0.14443426848597</v>
      </c>
      <c r="Z34" s="1" t="n">
        <f aca="false">'OD-APUMA(Val)'!Z34*Z$49</f>
        <v>9.22965071800327</v>
      </c>
      <c r="AA34" s="1" t="n">
        <f aca="false">'OD-APUMA(Val)'!AA34*AA$49</f>
        <v>53.1399077796144</v>
      </c>
      <c r="AB34" s="1" t="n">
        <f aca="false">'OD-APUMA(Val)'!AB34*AB$49</f>
        <v>0</v>
      </c>
      <c r="AC34" s="1" t="n">
        <f aca="false">'OD-APUMA(Val)'!AC34*AC$49</f>
        <v>2.50551173796656</v>
      </c>
      <c r="AD34" s="1" t="n">
        <f aca="false">'OD-APUMA(Val)'!AD34*AD$49</f>
        <v>0</v>
      </c>
      <c r="AE34" s="1" t="n">
        <f aca="false">'OD-APUMA(Val)'!AE34*AE$49</f>
        <v>3331.78210951927</v>
      </c>
      <c r="AF34" s="1" t="n">
        <f aca="false">'OD-APUMA(Val)'!AF34*AF$49</f>
        <v>4.57033887817976</v>
      </c>
      <c r="AG34" s="1" t="n">
        <f aca="false">'OD-APUMA(Val)'!AG34*AG$49</f>
        <v>6220.27292368306</v>
      </c>
      <c r="AH34" s="1" t="n">
        <v>0</v>
      </c>
      <c r="AI34" s="1" t="n">
        <f aca="false">'OD-APUMA(Val)'!AI34*AI$49</f>
        <v>9.96267924452036</v>
      </c>
      <c r="AJ34" s="1" t="n">
        <f aca="false">'OD-APUMA(Val)'!AJ34*AJ$49</f>
        <v>4850.8037698392</v>
      </c>
      <c r="AK34" s="1" t="n">
        <f aca="false">'OD-APUMA(Val)'!AK34*AK$49</f>
        <v>0</v>
      </c>
      <c r="AL34" s="1" t="n">
        <f aca="false">'OD-APUMA(Val)'!AL34*AL$49</f>
        <v>0</v>
      </c>
      <c r="AM34" s="1" t="n">
        <f aca="false">'OD-APUMA(Val)'!AM34*AM$49</f>
        <v>0</v>
      </c>
      <c r="AN34" s="1" t="n">
        <f aca="false">'OD-APUMA(Val)'!AN34*AN$49</f>
        <v>0</v>
      </c>
      <c r="AO34" s="1" t="n">
        <f aca="false">'OD-APUMA(Val)'!AO34*AO$49</f>
        <v>0</v>
      </c>
      <c r="AP34" s="1" t="n">
        <f aca="false">'OD-APUMA(Val)'!AP34*AP$49</f>
        <v>0</v>
      </c>
      <c r="AQ34" s="1" t="n">
        <f aca="false">'OD-APUMA(Val)'!AQ34*AQ$49</f>
        <v>5.83225555999765</v>
      </c>
      <c r="AR34" s="0" t="n">
        <f aca="false">SUM('OD-APUMA(Val)'!C34:AQ34)</f>
        <v>482651</v>
      </c>
      <c r="AS34" s="0" t="n">
        <f aca="false">MAX('OD-APUMA(Val)'!C34:AQ34)</f>
        <v>345176</v>
      </c>
      <c r="AT34" s="2" t="n">
        <f aca="false">SUM(C34:AQ34)/AR34</f>
        <v>0.0305678771974952</v>
      </c>
      <c r="AU34" s="3" t="n">
        <f aca="false">AT34^4</f>
        <v>8.73094233479556E-007</v>
      </c>
    </row>
    <row r="35" customFormat="false" ht="12.75" hidden="false" customHeight="false" outlineLevel="0" collapsed="false">
      <c r="A35" s="0" t="n">
        <v>94</v>
      </c>
      <c r="B35" s="0" t="n">
        <v>559078</v>
      </c>
      <c r="C35" s="1" t="n">
        <f aca="false">'OD-APUMA(Val)'!C35*C$49</f>
        <v>42.772641100997</v>
      </c>
      <c r="D35" s="1" t="n">
        <f aca="false">'OD-APUMA(Val)'!D35*D$49</f>
        <v>30.1619604109987</v>
      </c>
      <c r="E35" s="1" t="n">
        <f aca="false">'OD-APUMA(Val)'!E35*E$49</f>
        <v>9.0858167545947</v>
      </c>
      <c r="F35" s="1" t="n">
        <f aca="false">'OD-APUMA(Val)'!F35*F$49</f>
        <v>7.03937051402187</v>
      </c>
      <c r="G35" s="1" t="n">
        <f aca="false">'OD-APUMA(Val)'!G35*G$49</f>
        <v>57.1999580048455</v>
      </c>
      <c r="H35" s="1" t="n">
        <f aca="false">'OD-APUMA(Val)'!H35*H$49</f>
        <v>2.64724595258127</v>
      </c>
      <c r="I35" s="1" t="n">
        <f aca="false">'OD-APUMA(Val)'!I35*I$49</f>
        <v>30.8662905452661</v>
      </c>
      <c r="J35" s="1" t="n">
        <f aca="false">'OD-APUMA(Val)'!J35*J$49</f>
        <v>25.2471556064939</v>
      </c>
      <c r="K35" s="1" t="n">
        <f aca="false">'OD-APUMA(Val)'!K35*K$49</f>
        <v>27.3406498808683</v>
      </c>
      <c r="L35" s="1" t="n">
        <f aca="false">'OD-APUMA(Val)'!L35*L$49</f>
        <v>4994.3585505476</v>
      </c>
      <c r="M35" s="1" t="n">
        <f aca="false">'OD-APUMA(Val)'!M35*M$49</f>
        <v>4426.74198265338</v>
      </c>
      <c r="N35" s="1" t="n">
        <f aca="false">'OD-APUMA(Val)'!N35*N$49</f>
        <v>195.057287013703</v>
      </c>
      <c r="O35" s="1" t="n">
        <f aca="false">'OD-APUMA(Val)'!O35*O$49</f>
        <v>70.192543381559</v>
      </c>
      <c r="P35" s="1" t="n">
        <f aca="false">'OD-APUMA(Val)'!P35*P$49</f>
        <v>515.922197748948</v>
      </c>
      <c r="Q35" s="1" t="n">
        <f aca="false">'OD-APUMA(Val)'!Q35*Q$49</f>
        <v>128.57604415982</v>
      </c>
      <c r="R35" s="1" t="n">
        <f aca="false">'OD-APUMA(Val)'!R35*R$49</f>
        <v>27.3651543626119</v>
      </c>
      <c r="S35" s="1" t="n">
        <f aca="false">'OD-APUMA(Val)'!S35*S$49</f>
        <v>0</v>
      </c>
      <c r="T35" s="1" t="n">
        <f aca="false">'OD-APUMA(Val)'!T35*T$49</f>
        <v>0</v>
      </c>
      <c r="U35" s="1" t="n">
        <f aca="false">'OD-APUMA(Val)'!U35*U$49</f>
        <v>0</v>
      </c>
      <c r="V35" s="1" t="n">
        <f aca="false">'OD-APUMA(Val)'!V35*V$49</f>
        <v>0</v>
      </c>
      <c r="W35" s="1" t="n">
        <f aca="false">'OD-APUMA(Val)'!W35*W$49</f>
        <v>0</v>
      </c>
      <c r="X35" s="1" t="n">
        <f aca="false">'OD-APUMA(Val)'!X35*X$49</f>
        <v>0</v>
      </c>
      <c r="Y35" s="1" t="n">
        <f aca="false">'OD-APUMA(Val)'!Y35*Y$49</f>
        <v>0</v>
      </c>
      <c r="Z35" s="1" t="n">
        <f aca="false">'OD-APUMA(Val)'!Z35*Z$49</f>
        <v>2.30741267950082</v>
      </c>
      <c r="AA35" s="1" t="n">
        <f aca="false">'OD-APUMA(Val)'!AA35*AA$49</f>
        <v>360.792005451066</v>
      </c>
      <c r="AB35" s="1" t="n">
        <f aca="false">'OD-APUMA(Val)'!AB35*AB$49</f>
        <v>315.393153500595</v>
      </c>
      <c r="AC35" s="1" t="n">
        <f aca="false">'OD-APUMA(Val)'!AC35*AC$49</f>
        <v>3.22137223452843</v>
      </c>
      <c r="AD35" s="1" t="n">
        <f aca="false">'OD-APUMA(Val)'!AD35*AD$49</f>
        <v>0</v>
      </c>
      <c r="AE35" s="1" t="n">
        <f aca="false">'OD-APUMA(Val)'!AE35*AE$49</f>
        <v>31.2680281393884</v>
      </c>
      <c r="AF35" s="1" t="n">
        <f aca="false">'OD-APUMA(Val)'!AF35*AF$49</f>
        <v>4.31643116272533</v>
      </c>
      <c r="AG35" s="1" t="n">
        <f aca="false">'OD-APUMA(Val)'!AG35*AG$49</f>
        <v>21.5291661362832</v>
      </c>
      <c r="AH35" s="1" t="n">
        <f aca="false">'OD-APUMA(Val)'!AH35*AH$49</f>
        <v>0</v>
      </c>
      <c r="AI35" s="1" t="n">
        <v>0</v>
      </c>
      <c r="AJ35" s="1" t="n">
        <f aca="false">'OD-APUMA(Val)'!AJ35*AJ$49</f>
        <v>15.4385861548033</v>
      </c>
      <c r="AK35" s="1" t="n">
        <f aca="false">'OD-APUMA(Val)'!AK35*AK$49</f>
        <v>0</v>
      </c>
      <c r="AL35" s="1" t="n">
        <f aca="false">'OD-APUMA(Val)'!AL35*AL$49</f>
        <v>910.493637427178</v>
      </c>
      <c r="AM35" s="1" t="n">
        <f aca="false">'OD-APUMA(Val)'!AM35*AM$49</f>
        <v>143.16756326307</v>
      </c>
      <c r="AN35" s="1" t="n">
        <f aca="false">'OD-APUMA(Val)'!AN35*AN$49</f>
        <v>319.098241286375</v>
      </c>
      <c r="AO35" s="1" t="n">
        <f aca="false">'OD-APUMA(Val)'!AO35*AO$49</f>
        <v>0</v>
      </c>
      <c r="AP35" s="1" t="n">
        <f aca="false">'OD-APUMA(Val)'!AP35*AP$49</f>
        <v>10.7281615004326</v>
      </c>
      <c r="AQ35" s="1" t="n">
        <f aca="false">'OD-APUMA(Val)'!AQ35*AQ$49</f>
        <v>0</v>
      </c>
      <c r="AR35" s="0" t="n">
        <f aca="false">SUM('OD-APUMA(Val)'!C35:AQ35)</f>
        <v>482352</v>
      </c>
      <c r="AS35" s="0" t="n">
        <f aca="false">MAX('OD-APUMA(Val)'!C35:AQ35)</f>
        <v>424983</v>
      </c>
      <c r="AT35" s="2" t="n">
        <f aca="false">SUM(C35:AQ35)/AR35</f>
        <v>0.0263880498216536</v>
      </c>
      <c r="AU35" s="3" t="n">
        <f aca="false">AT35^4</f>
        <v>4.84874317714099E-007</v>
      </c>
    </row>
    <row r="36" customFormat="false" ht="12.75" hidden="false" customHeight="false" outlineLevel="0" collapsed="false">
      <c r="A36" s="0" t="n">
        <v>95</v>
      </c>
      <c r="B36" s="0" t="n">
        <v>822029</v>
      </c>
      <c r="C36" s="1" t="n">
        <f aca="false">'OD-APUMA(Val)'!C36*C$49</f>
        <v>42.772641100997</v>
      </c>
      <c r="D36" s="1" t="n">
        <f aca="false">'OD-APUMA(Val)'!D36*D$49</f>
        <v>42.3897821992415</v>
      </c>
      <c r="E36" s="1" t="n">
        <f aca="false">'OD-APUMA(Val)'!E36*E$49</f>
        <v>42.4004781881086</v>
      </c>
      <c r="F36" s="1" t="n">
        <f aca="false">'OD-APUMA(Val)'!F36*F$49</f>
        <v>14.0787410280437</v>
      </c>
      <c r="G36" s="1" t="n">
        <f aca="false">'OD-APUMA(Val)'!G36*G$49</f>
        <v>0</v>
      </c>
      <c r="H36" s="1" t="n">
        <f aca="false">'OD-APUMA(Val)'!H36*H$49</f>
        <v>0</v>
      </c>
      <c r="I36" s="1" t="n">
        <f aca="false">'OD-APUMA(Val)'!I36*I$49</f>
        <v>0</v>
      </c>
      <c r="J36" s="1" t="n">
        <f aca="false">'OD-APUMA(Val)'!J36*J$49</f>
        <v>0</v>
      </c>
      <c r="K36" s="1" t="n">
        <f aca="false">'OD-APUMA(Val)'!K36*K$49</f>
        <v>0</v>
      </c>
      <c r="L36" s="1" t="n">
        <f aca="false">'OD-APUMA(Val)'!L36*L$49</f>
        <v>28.7859282452311</v>
      </c>
      <c r="M36" s="1" t="n">
        <f aca="false">'OD-APUMA(Val)'!M36*M$49</f>
        <v>21.38522696934</v>
      </c>
      <c r="N36" s="1" t="n">
        <f aca="false">'OD-APUMA(Val)'!N36*N$49</f>
        <v>19.7027562640104</v>
      </c>
      <c r="O36" s="1" t="n">
        <f aca="false">'OD-APUMA(Val)'!O36*O$49</f>
        <v>35.0962716907795</v>
      </c>
      <c r="P36" s="1" t="n">
        <f aca="false">'OD-APUMA(Val)'!P36*P$49</f>
        <v>95.0382995853325</v>
      </c>
      <c r="Q36" s="1" t="n">
        <f aca="false">'OD-APUMA(Val)'!Q36*Q$49</f>
        <v>0</v>
      </c>
      <c r="R36" s="1" t="n">
        <f aca="false">'OD-APUMA(Val)'!R36*R$49</f>
        <v>0</v>
      </c>
      <c r="S36" s="1" t="n">
        <f aca="false">'OD-APUMA(Val)'!S36*S$49</f>
        <v>0</v>
      </c>
      <c r="T36" s="1" t="n">
        <f aca="false">'OD-APUMA(Val)'!T36*T$49</f>
        <v>5.97350764419665</v>
      </c>
      <c r="U36" s="1" t="n">
        <f aca="false">'OD-APUMA(Val)'!U36*U$49</f>
        <v>0</v>
      </c>
      <c r="V36" s="1" t="n">
        <f aca="false">'OD-APUMA(Val)'!V36*V$49</f>
        <v>6.54174953940117</v>
      </c>
      <c r="W36" s="1" t="n">
        <f aca="false">'OD-APUMA(Val)'!W36*W$49</f>
        <v>0</v>
      </c>
      <c r="X36" s="1" t="n">
        <f aca="false">'OD-APUMA(Val)'!X36*X$49</f>
        <v>0</v>
      </c>
      <c r="Y36" s="1" t="n">
        <f aca="false">'OD-APUMA(Val)'!Y36*Y$49</f>
        <v>0.315129313060298</v>
      </c>
      <c r="Z36" s="1" t="n">
        <f aca="false">'OD-APUMA(Val)'!Z36*Z$49</f>
        <v>0</v>
      </c>
      <c r="AA36" s="1" t="n">
        <f aca="false">'OD-APUMA(Val)'!AA36*AA$49</f>
        <v>16.7810235093519</v>
      </c>
      <c r="AB36" s="1" t="n">
        <f aca="false">'OD-APUMA(Val)'!AB36*AB$49</f>
        <v>10.970196643499</v>
      </c>
      <c r="AC36" s="1" t="n">
        <f aca="false">'OD-APUMA(Val)'!AC36*AC$49</f>
        <v>0</v>
      </c>
      <c r="AD36" s="1" t="n">
        <f aca="false">'OD-APUMA(Val)'!AD36*AD$49</f>
        <v>47.1231946635167</v>
      </c>
      <c r="AE36" s="1" t="n">
        <f aca="false">'OD-APUMA(Val)'!AE36*AE$49</f>
        <v>10679.7687222755</v>
      </c>
      <c r="AF36" s="1" t="n">
        <f aca="false">'OD-APUMA(Val)'!AF36*AF$49</f>
        <v>5.83987745545192</v>
      </c>
      <c r="AG36" s="1" t="n">
        <f aca="false">'OD-APUMA(Val)'!AG36*AG$49</f>
        <v>3780.85279147189</v>
      </c>
      <c r="AH36" s="1" t="n">
        <f aca="false">'OD-APUMA(Val)'!AH36*AH$49</f>
        <v>3561.37075872663</v>
      </c>
      <c r="AI36" s="1" t="n">
        <f aca="false">'OD-APUMA(Val)'!AI36*AI$49</f>
        <v>0</v>
      </c>
      <c r="AJ36" s="1" t="n">
        <v>0</v>
      </c>
      <c r="AK36" s="1" t="n">
        <f aca="false">'OD-APUMA(Val)'!AK36*AK$49</f>
        <v>0</v>
      </c>
      <c r="AL36" s="1" t="n">
        <f aca="false">'OD-APUMA(Val)'!AL36*AL$49</f>
        <v>18.6576565046553</v>
      </c>
      <c r="AM36" s="1" t="n">
        <f aca="false">'OD-APUMA(Val)'!AM36*AM$49</f>
        <v>25.8920061220447</v>
      </c>
      <c r="AN36" s="1" t="n">
        <f aca="false">'OD-APUMA(Val)'!AN36*AN$49</f>
        <v>0</v>
      </c>
      <c r="AO36" s="1" t="n">
        <f aca="false">'OD-APUMA(Val)'!AO36*AO$49</f>
        <v>3.10584642083454</v>
      </c>
      <c r="AP36" s="1" t="n">
        <f aca="false">'OD-APUMA(Val)'!AP36*AP$49</f>
        <v>3.83148625015449</v>
      </c>
      <c r="AQ36" s="1" t="n">
        <f aca="false">'OD-APUMA(Val)'!AQ36*AQ$49</f>
        <v>16.2007098888824</v>
      </c>
      <c r="AR36" s="0" t="n">
        <f aca="false">SUM('OD-APUMA(Val)'!C36:AQ36)</f>
        <v>607932</v>
      </c>
      <c r="AS36" s="0" t="n">
        <f aca="false">MAX('OD-APUMA(Val)'!C36:AQ36)</f>
        <v>414232</v>
      </c>
      <c r="AT36" s="2" t="n">
        <f aca="false">SUM(C36:AQ36)/AR36</f>
        <v>0.0304719520961229</v>
      </c>
      <c r="AU36" s="3" t="n">
        <f aca="false">AT36^4</f>
        <v>8.62186280055578E-007</v>
      </c>
    </row>
    <row r="37" customFormat="false" ht="12.75" hidden="false" customHeight="false" outlineLevel="0" collapsed="false">
      <c r="A37" s="0" t="n">
        <v>96</v>
      </c>
      <c r="B37" s="0" t="n">
        <v>1264757</v>
      </c>
      <c r="C37" s="1" t="n">
        <f aca="false">'OD-APUMA(Val)'!C37*C$49</f>
        <v>62.7332069481289</v>
      </c>
      <c r="D37" s="1" t="n">
        <f aca="false">'OD-APUMA(Val)'!D37*D$49</f>
        <v>10.5974455498104</v>
      </c>
      <c r="E37" s="1" t="n">
        <f aca="false">'OD-APUMA(Val)'!E37*E$49</f>
        <v>10.0953519495497</v>
      </c>
      <c r="F37" s="1" t="n">
        <f aca="false">'OD-APUMA(Val)'!F37*F$49</f>
        <v>26.397639427582</v>
      </c>
      <c r="G37" s="1" t="n">
        <f aca="false">'OD-APUMA(Val)'!G37*G$49</f>
        <v>15.5999885467761</v>
      </c>
      <c r="H37" s="1" t="n">
        <f aca="false">'OD-APUMA(Val)'!H37*H$49</f>
        <v>2.03634304044713</v>
      </c>
      <c r="I37" s="1" t="n">
        <f aca="false">'OD-APUMA(Val)'!I37*I$49</f>
        <v>15.9309886685244</v>
      </c>
      <c r="J37" s="1" t="n">
        <f aca="false">'OD-APUMA(Val)'!J37*J$49</f>
        <v>15.3013064281781</v>
      </c>
      <c r="K37" s="1" t="n">
        <f aca="false">'OD-APUMA(Val)'!K37*K$49</f>
        <v>9.11354996028943</v>
      </c>
      <c r="L37" s="1" t="n">
        <f aca="false">'OD-APUMA(Val)'!L37*L$49</f>
        <v>0</v>
      </c>
      <c r="M37" s="1" t="n">
        <f aca="false">'OD-APUMA(Val)'!M37*M$49</f>
        <v>46.33465843357</v>
      </c>
      <c r="N37" s="1" t="n">
        <f aca="false">'OD-APUMA(Val)'!N37*N$49</f>
        <v>19.7027562640104</v>
      </c>
      <c r="O37" s="1" t="n">
        <f aca="false">'OD-APUMA(Val)'!O37*O$49</f>
        <v>32.1715823832146</v>
      </c>
      <c r="P37" s="1" t="n">
        <f aca="false">'OD-APUMA(Val)'!P37*P$49</f>
        <v>420.883898163615</v>
      </c>
      <c r="Q37" s="1" t="n">
        <f aca="false">'OD-APUMA(Val)'!Q37*Q$49</f>
        <v>253.677060099105</v>
      </c>
      <c r="R37" s="1" t="n">
        <f aca="false">'OD-APUMA(Val)'!R37*R$49</f>
        <v>10.5619894031134</v>
      </c>
      <c r="S37" s="1" t="n">
        <f aca="false">'OD-APUMA(Val)'!S37*S$49</f>
        <v>0</v>
      </c>
      <c r="T37" s="1" t="n">
        <f aca="false">'OD-APUMA(Val)'!T37*T$49</f>
        <v>10.6195691452385</v>
      </c>
      <c r="U37" s="1" t="n">
        <f aca="false">'OD-APUMA(Val)'!U37*U$49</f>
        <v>8.39374225107945</v>
      </c>
      <c r="V37" s="1" t="n">
        <f aca="false">'OD-APUMA(Val)'!V37*V$49</f>
        <v>2.69366157504754</v>
      </c>
      <c r="W37" s="1" t="n">
        <f aca="false">'OD-APUMA(Val)'!W37*W$49</f>
        <v>0.559492128281854</v>
      </c>
      <c r="X37" s="1" t="n">
        <f aca="false">'OD-APUMA(Val)'!X37*X$49</f>
        <v>13.2677603550575</v>
      </c>
      <c r="Y37" s="1" t="n">
        <f aca="false">'OD-APUMA(Val)'!Y37*Y$49</f>
        <v>0.183825432618507</v>
      </c>
      <c r="Z37" s="1" t="n">
        <f aca="false">'OD-APUMA(Val)'!Z37*Z$49</f>
        <v>0</v>
      </c>
      <c r="AA37" s="1" t="n">
        <f aca="false">'OD-APUMA(Val)'!AA37*AA$49</f>
        <v>276.886887904307</v>
      </c>
      <c r="AB37" s="1" t="n">
        <f aca="false">'OD-APUMA(Val)'!AB37*AB$49</f>
        <v>38.3956882522464</v>
      </c>
      <c r="AC37" s="1" t="n">
        <f aca="false">'OD-APUMA(Val)'!AC37*AC$49</f>
        <v>3.93723273109031</v>
      </c>
      <c r="AD37" s="1" t="n">
        <f aca="false">'OD-APUMA(Val)'!AD37*AD$49</f>
        <v>11.2198082532183</v>
      </c>
      <c r="AE37" s="1" t="n">
        <f aca="false">'OD-APUMA(Val)'!AE37*AE$49</f>
        <v>679.790093252629</v>
      </c>
      <c r="AF37" s="1" t="n">
        <f aca="false">'OD-APUMA(Val)'!AF37*AF$49</f>
        <v>6.85550831726965</v>
      </c>
      <c r="AG37" s="1" t="n">
        <f aca="false">'OD-APUMA(Val)'!AG37*AG$49</f>
        <v>1664.37015130497</v>
      </c>
      <c r="AH37" s="1" t="n">
        <f aca="false">'OD-APUMA(Val)'!AH37*AH$49</f>
        <v>536.57653337507</v>
      </c>
      <c r="AI37" s="1" t="n">
        <f aca="false">'OD-APUMA(Val)'!AI37*AI$49</f>
        <v>21.1706933946058</v>
      </c>
      <c r="AJ37" s="1" t="n">
        <f aca="false">'OD-APUMA(Val)'!AJ37*AJ$49</f>
        <v>172.912164933797</v>
      </c>
      <c r="AK37" s="1" t="n">
        <v>0</v>
      </c>
      <c r="AL37" s="1" t="n">
        <f aca="false">'OD-APUMA(Val)'!AL37*AL$49</f>
        <v>24.2549534560519</v>
      </c>
      <c r="AM37" s="1" t="n">
        <f aca="false">'OD-APUMA(Val)'!AM37*AM$49</f>
        <v>47.2148346931403</v>
      </c>
      <c r="AN37" s="1" t="n">
        <f aca="false">'OD-APUMA(Val)'!AN37*AN$49</f>
        <v>8.91335869515014</v>
      </c>
      <c r="AO37" s="1" t="n">
        <f aca="false">'OD-APUMA(Val)'!AO37*AO$49</f>
        <v>2.41565832731575</v>
      </c>
      <c r="AP37" s="1" t="n">
        <f aca="false">'OD-APUMA(Val)'!AP37*AP$49</f>
        <v>13.7933505005561</v>
      </c>
      <c r="AQ37" s="1" t="n">
        <f aca="false">'OD-APUMA(Val)'!AQ37*AQ$49</f>
        <v>21.3849370533247</v>
      </c>
      <c r="AR37" s="0" t="n">
        <f aca="false">SUM('OD-APUMA(Val)'!C37:AQ37)</f>
        <v>1221532</v>
      </c>
      <c r="AS37" s="0" t="n">
        <f aca="false">MAX('OD-APUMA(Val)'!C37:AQ37)</f>
        <v>1184040</v>
      </c>
      <c r="AT37" s="2" t="n">
        <f aca="false">SUM(C37:AQ37)/AR37</f>
        <v>0.00369777269084885</v>
      </c>
      <c r="AU37" s="3" t="n">
        <f aca="false">AT37^4</f>
        <v>1.86965227763584E-010</v>
      </c>
    </row>
    <row r="38" customFormat="false" ht="12.75" hidden="false" customHeight="false" outlineLevel="0" collapsed="false">
      <c r="A38" s="0" t="n">
        <v>97</v>
      </c>
      <c r="B38" s="0" t="n">
        <v>154115</v>
      </c>
      <c r="C38" s="1" t="n">
        <f aca="false">'OD-APUMA(Val)'!C38*C$49</f>
        <v>0</v>
      </c>
      <c r="D38" s="1" t="n">
        <f aca="false">'OD-APUMA(Val)'!D38*D$49</f>
        <v>0</v>
      </c>
      <c r="E38" s="1" t="n">
        <f aca="false">'OD-APUMA(Val)'!E38*E$49</f>
        <v>0</v>
      </c>
      <c r="F38" s="1" t="n">
        <f aca="false">'OD-APUMA(Val)'!F38*F$49</f>
        <v>0</v>
      </c>
      <c r="G38" s="1" t="n">
        <f aca="false">'OD-APUMA(Val)'!G38*G$49</f>
        <v>0</v>
      </c>
      <c r="H38" s="1" t="n">
        <f aca="false">'OD-APUMA(Val)'!H38*H$49</f>
        <v>0</v>
      </c>
      <c r="I38" s="1" t="n">
        <f aca="false">'OD-APUMA(Val)'!I38*I$49</f>
        <v>0</v>
      </c>
      <c r="J38" s="1" t="n">
        <f aca="false">'OD-APUMA(Val)'!J38*J$49</f>
        <v>0</v>
      </c>
      <c r="K38" s="1" t="n">
        <f aca="false">'OD-APUMA(Val)'!K38*K$49</f>
        <v>0</v>
      </c>
      <c r="L38" s="1" t="n">
        <f aca="false">'OD-APUMA(Val)'!L38*L$49</f>
        <v>35.9824103065389</v>
      </c>
      <c r="M38" s="1" t="n">
        <f aca="false">'OD-APUMA(Val)'!M38*M$49</f>
        <v>0</v>
      </c>
      <c r="N38" s="1" t="n">
        <f aca="false">'OD-APUMA(Val)'!N38*N$49</f>
        <v>0</v>
      </c>
      <c r="O38" s="1" t="n">
        <f aca="false">'OD-APUMA(Val)'!O38*O$49</f>
        <v>0</v>
      </c>
      <c r="P38" s="1" t="n">
        <f aca="false">'OD-APUMA(Val)'!P38*P$49</f>
        <v>203.653499111427</v>
      </c>
      <c r="Q38" s="1" t="n">
        <f aca="false">'OD-APUMA(Val)'!Q38*Q$49</f>
        <v>194.601580349998</v>
      </c>
      <c r="R38" s="1" t="n">
        <f aca="false">'OD-APUMA(Val)'!R38*R$49</f>
        <v>3.36063299189971</v>
      </c>
      <c r="S38" s="1" t="n">
        <f aca="false">'OD-APUMA(Val)'!S38*S$49</f>
        <v>0</v>
      </c>
      <c r="T38" s="1" t="n">
        <f aca="false">'OD-APUMA(Val)'!T38*T$49</f>
        <v>4.64606150104184</v>
      </c>
      <c r="U38" s="1" t="n">
        <f aca="false">'OD-APUMA(Val)'!U38*U$49</f>
        <v>0</v>
      </c>
      <c r="V38" s="1" t="n">
        <f aca="false">'OD-APUMA(Val)'!V38*V$49</f>
        <v>1.92404398217681</v>
      </c>
      <c r="W38" s="1" t="n">
        <f aca="false">'OD-APUMA(Val)'!W38*W$49</f>
        <v>0</v>
      </c>
      <c r="X38" s="1" t="n">
        <f aca="false">'OD-APUMA(Val)'!X38*X$49</f>
        <v>0</v>
      </c>
      <c r="Y38" s="1" t="n">
        <f aca="false">'OD-APUMA(Val)'!Y38*Y$49</f>
        <v>0</v>
      </c>
      <c r="Z38" s="1" t="n">
        <f aca="false">'OD-APUMA(Val)'!Z38*Z$49</f>
        <v>0</v>
      </c>
      <c r="AA38" s="1" t="n">
        <f aca="false">'OD-APUMA(Val)'!AA38*AA$49</f>
        <v>2103.22161317211</v>
      </c>
      <c r="AB38" s="1" t="n">
        <f aca="false">'OD-APUMA(Val)'!AB38*AB$49</f>
        <v>425.095119935585</v>
      </c>
      <c r="AC38" s="1" t="n">
        <f aca="false">'OD-APUMA(Val)'!AC38*AC$49</f>
        <v>2.50551173796656</v>
      </c>
      <c r="AD38" s="1" t="n">
        <f aca="false">'OD-APUMA(Val)'!AD38*AD$49</f>
        <v>0</v>
      </c>
      <c r="AE38" s="1" t="n">
        <f aca="false">'OD-APUMA(Val)'!AE38*AE$49</f>
        <v>5.79037558136822</v>
      </c>
      <c r="AF38" s="1" t="n">
        <f aca="false">'OD-APUMA(Val)'!AF38*AF$49</f>
        <v>0</v>
      </c>
      <c r="AG38" s="1" t="n">
        <f aca="false">'OD-APUMA(Val)'!AG38*AG$49</f>
        <v>0</v>
      </c>
      <c r="AH38" s="1" t="n">
        <f aca="false">'OD-APUMA(Val)'!AH38*AH$49</f>
        <v>0</v>
      </c>
      <c r="AI38" s="1" t="n">
        <f aca="false">'OD-APUMA(Val)'!AI38*AI$49</f>
        <v>207.970929229362</v>
      </c>
      <c r="AJ38" s="1" t="n">
        <f aca="false">'OD-APUMA(Val)'!AJ38*AJ$49</f>
        <v>0</v>
      </c>
      <c r="AK38" s="1" t="n">
        <f aca="false">'OD-APUMA(Val)'!AK38*AK$49</f>
        <v>0</v>
      </c>
      <c r="AL38" s="1" t="n">
        <v>0</v>
      </c>
      <c r="AM38" s="1" t="n">
        <f aca="false">'OD-APUMA(Val)'!AM38*AM$49</f>
        <v>370.103381626874</v>
      </c>
      <c r="AN38" s="1" t="n">
        <f aca="false">'OD-APUMA(Val)'!AN38*AN$49</f>
        <v>32.0880913025405</v>
      </c>
      <c r="AO38" s="1" t="n">
        <f aca="false">'OD-APUMA(Val)'!AO38*AO$49</f>
        <v>0</v>
      </c>
      <c r="AP38" s="1" t="n">
        <f aca="false">'OD-APUMA(Val)'!AP38*AP$49</f>
        <v>290.42665776171</v>
      </c>
      <c r="AQ38" s="1" t="n">
        <f aca="false">'OD-APUMA(Val)'!AQ38*AQ$49</f>
        <v>0</v>
      </c>
      <c r="AR38" s="0" t="n">
        <f aca="false">SUM('OD-APUMA(Val)'!C38:AQ38)</f>
        <v>109590</v>
      </c>
      <c r="AS38" s="0" t="n">
        <f aca="false">MAX('OD-APUMA(Val)'!C38:AQ38)</f>
        <v>85462</v>
      </c>
      <c r="AT38" s="2" t="n">
        <f aca="false">SUM(C38:AQ38)/AR38</f>
        <v>0.0354171905154722</v>
      </c>
      <c r="AU38" s="3" t="n">
        <f aca="false">AT38^4</f>
        <v>1.57346262151389E-006</v>
      </c>
    </row>
    <row r="39" customFormat="false" ht="12.75" hidden="false" customHeight="false" outlineLevel="0" collapsed="false">
      <c r="A39" s="0" t="n">
        <v>98</v>
      </c>
      <c r="B39" s="0" t="n">
        <v>686517</v>
      </c>
      <c r="C39" s="1" t="n">
        <f aca="false">'OD-APUMA(Val)'!C39*C$49</f>
        <v>9.98028292356596</v>
      </c>
      <c r="D39" s="1" t="n">
        <f aca="false">'OD-APUMA(Val)'!D39*D$49</f>
        <v>8.96706931137801</v>
      </c>
      <c r="E39" s="1" t="n">
        <f aca="false">'OD-APUMA(Val)'!E39*E$49</f>
        <v>18.1716335091894</v>
      </c>
      <c r="F39" s="1" t="n">
        <f aca="false">'OD-APUMA(Val)'!F39*F$49</f>
        <v>12.3188983995383</v>
      </c>
      <c r="G39" s="1" t="n">
        <f aca="false">'OD-APUMA(Val)'!G39*G$49</f>
        <v>0</v>
      </c>
      <c r="H39" s="1" t="n">
        <f aca="false">'OD-APUMA(Val)'!H39*H$49</f>
        <v>0</v>
      </c>
      <c r="I39" s="1" t="n">
        <f aca="false">'OD-APUMA(Val)'!I39*I$49</f>
        <v>0</v>
      </c>
      <c r="J39" s="1" t="n">
        <f aca="false">'OD-APUMA(Val)'!J39*J$49</f>
        <v>0</v>
      </c>
      <c r="K39" s="1" t="n">
        <f aca="false">'OD-APUMA(Val)'!K39*K$49</f>
        <v>0</v>
      </c>
      <c r="L39" s="1" t="n">
        <f aca="false">'OD-APUMA(Val)'!L39*L$49</f>
        <v>93.5542667970012</v>
      </c>
      <c r="M39" s="1" t="n">
        <f aca="false">'OD-APUMA(Val)'!M39*M$49</f>
        <v>42.77045393868</v>
      </c>
      <c r="N39" s="1" t="n">
        <f aca="false">'OD-APUMA(Val)'!N39*N$49</f>
        <v>3.94055125280208</v>
      </c>
      <c r="O39" s="1" t="n">
        <f aca="false">'OD-APUMA(Val)'!O39*O$49</f>
        <v>105.288815072339</v>
      </c>
      <c r="P39" s="1" t="n">
        <f aca="false">'OD-APUMA(Val)'!P39*P$49</f>
        <v>2823.99518767845</v>
      </c>
      <c r="Q39" s="1" t="n">
        <f aca="false">'OD-APUMA(Val)'!Q39*Q$49</f>
        <v>8604.16987404635</v>
      </c>
      <c r="R39" s="1" t="n">
        <f aca="false">'OD-APUMA(Val)'!R39*R$49</f>
        <v>0</v>
      </c>
      <c r="S39" s="1" t="n">
        <f aca="false">'OD-APUMA(Val)'!S39*S$49</f>
        <v>161.066386352595</v>
      </c>
      <c r="T39" s="1" t="n">
        <f aca="false">'OD-APUMA(Val)'!T39*T$49</f>
        <v>0</v>
      </c>
      <c r="U39" s="1" t="n">
        <f aca="false">'OD-APUMA(Val)'!U39*U$49</f>
        <v>0</v>
      </c>
      <c r="V39" s="1" t="n">
        <f aca="false">'OD-APUMA(Val)'!V39*V$49</f>
        <v>1.92404398217681</v>
      </c>
      <c r="W39" s="1" t="n">
        <f aca="false">'OD-APUMA(Val)'!W39*W$49</f>
        <v>0</v>
      </c>
      <c r="X39" s="1" t="n">
        <f aca="false">'OD-APUMA(Val)'!X39*X$49</f>
        <v>382.723856395888</v>
      </c>
      <c r="Y39" s="1" t="n">
        <f aca="false">'OD-APUMA(Val)'!Y39*Y$49</f>
        <v>0</v>
      </c>
      <c r="Z39" s="1" t="n">
        <f aca="false">'OD-APUMA(Val)'!Z39*Z$49</f>
        <v>5.76853169875205</v>
      </c>
      <c r="AA39" s="1" t="n">
        <f aca="false">'OD-APUMA(Val)'!AA39*AA$49</f>
        <v>5112.61849584922</v>
      </c>
      <c r="AB39" s="1" t="n">
        <f aca="false">'OD-APUMA(Val)'!AB39*AB$49</f>
        <v>2613.64935031363</v>
      </c>
      <c r="AC39" s="1" t="n">
        <f aca="false">'OD-APUMA(Val)'!AC39*AC$49</f>
        <v>0</v>
      </c>
      <c r="AD39" s="1" t="n">
        <f aca="false">'OD-APUMA(Val)'!AD39*AD$49</f>
        <v>5.60990412660914</v>
      </c>
      <c r="AE39" s="1" t="n">
        <f aca="false">'OD-APUMA(Val)'!AE39*AE$49</f>
        <v>86.8556337205232</v>
      </c>
      <c r="AF39" s="1" t="n">
        <f aca="false">'OD-APUMA(Val)'!AF39*AF$49</f>
        <v>13.9649243499937</v>
      </c>
      <c r="AG39" s="1" t="n">
        <f aca="false">'OD-APUMA(Val)'!AG39*AG$49</f>
        <v>19.8730764334922</v>
      </c>
      <c r="AH39" s="1" t="n">
        <f aca="false">'OD-APUMA(Val)'!AH39*AH$49</f>
        <v>0</v>
      </c>
      <c r="AI39" s="1" t="n">
        <f aca="false">'OD-APUMA(Val)'!AI39*AI$49</f>
        <v>70.9840896172075</v>
      </c>
      <c r="AJ39" s="1" t="n">
        <f aca="false">'OD-APUMA(Val)'!AJ39*AJ$49</f>
        <v>0</v>
      </c>
      <c r="AK39" s="1" t="n">
        <f aca="false">'OD-APUMA(Val)'!AK39*AK$49</f>
        <v>0</v>
      </c>
      <c r="AL39" s="1" t="n">
        <f aca="false">'OD-APUMA(Val)'!AL39*AL$49</f>
        <v>111.945939027932</v>
      </c>
      <c r="AM39" s="1" t="n">
        <v>0</v>
      </c>
      <c r="AN39" s="1" t="n">
        <f aca="false">'OD-APUMA(Val)'!AN39*AN$49</f>
        <v>55.2628239099308</v>
      </c>
      <c r="AO39" s="1" t="n">
        <f aca="false">'OD-APUMA(Val)'!AO39*AO$49</f>
        <v>7.24697498194725</v>
      </c>
      <c r="AP39" s="1" t="n">
        <f aca="false">'OD-APUMA(Val)'!AP39*AP$49</f>
        <v>9.19556700037077</v>
      </c>
      <c r="AQ39" s="1" t="n">
        <f aca="false">'OD-APUMA(Val)'!AQ39*AQ$49</f>
        <v>6.48028395555294</v>
      </c>
      <c r="AR39" s="0" t="n">
        <f aca="false">SUM('OD-APUMA(Val)'!C39:AQ39)</f>
        <v>804063</v>
      </c>
      <c r="AS39" s="0" t="n">
        <f aca="false">MAX('OD-APUMA(Val)'!C39:AQ39)</f>
        <v>714948</v>
      </c>
      <c r="AT39" s="2" t="n">
        <f aca="false">SUM(C39:AQ39)/AR39</f>
        <v>0.0253566286654716</v>
      </c>
      <c r="AU39" s="3" t="n">
        <f aca="false">AT39^4</f>
        <v>4.13395783532831E-007</v>
      </c>
    </row>
    <row r="40" customFormat="false" ht="12.75" hidden="false" customHeight="false" outlineLevel="0" collapsed="false">
      <c r="A40" s="0" t="n">
        <v>99</v>
      </c>
      <c r="B40" s="0" t="n">
        <v>183391</v>
      </c>
      <c r="C40" s="1" t="n">
        <f aca="false">'OD-APUMA(Val)'!C40*C$49</f>
        <v>14.2575470336657</v>
      </c>
      <c r="D40" s="1" t="n">
        <f aca="false">'OD-APUMA(Val)'!D40*D$49</f>
        <v>0</v>
      </c>
      <c r="E40" s="1" t="n">
        <f aca="false">'OD-APUMA(Val)'!E40*E$49</f>
        <v>0</v>
      </c>
      <c r="F40" s="1" t="n">
        <f aca="false">'OD-APUMA(Val)'!F40*F$49</f>
        <v>0</v>
      </c>
      <c r="G40" s="1" t="n">
        <f aca="false">'OD-APUMA(Val)'!G40*G$49</f>
        <v>0</v>
      </c>
      <c r="H40" s="1" t="n">
        <f aca="false">'OD-APUMA(Val)'!H40*H$49</f>
        <v>0</v>
      </c>
      <c r="I40" s="1" t="n">
        <f aca="false">'OD-APUMA(Val)'!I40*I$49</f>
        <v>0</v>
      </c>
      <c r="J40" s="1" t="n">
        <f aca="false">'OD-APUMA(Val)'!J40*J$49</f>
        <v>6.12052257127125</v>
      </c>
      <c r="K40" s="1" t="n">
        <f aca="false">'OD-APUMA(Val)'!K40*K$49</f>
        <v>492.131697855629</v>
      </c>
      <c r="L40" s="1" t="n">
        <f aca="false">'OD-APUMA(Val)'!L40*L$49</f>
        <v>744.835893345356</v>
      </c>
      <c r="M40" s="1" t="n">
        <f aca="false">'OD-APUMA(Val)'!M40*M$49</f>
        <v>71.2840898978</v>
      </c>
      <c r="N40" s="1" t="n">
        <f aca="false">'OD-APUMA(Val)'!N40*N$49</f>
        <v>6.89596469240364</v>
      </c>
      <c r="O40" s="1" t="n">
        <f aca="false">'OD-APUMA(Val)'!O40*O$49</f>
        <v>339.263959677535</v>
      </c>
      <c r="P40" s="1" t="n">
        <f aca="false">'OD-APUMA(Val)'!P40*P$49</f>
        <v>2878.3027874415</v>
      </c>
      <c r="Q40" s="1" t="n">
        <f aca="false">'OD-APUMA(Val)'!Q40*Q$49</f>
        <v>677.630503004458</v>
      </c>
      <c r="R40" s="1" t="n">
        <f aca="false">'OD-APUMA(Val)'!R40*R$49</f>
        <v>0</v>
      </c>
      <c r="S40" s="1" t="n">
        <f aca="false">'OD-APUMA(Val)'!S40*S$49</f>
        <v>8.8498014479448</v>
      </c>
      <c r="T40" s="1" t="n">
        <f aca="false">'OD-APUMA(Val)'!T40*T$49</f>
        <v>2.65489228630962</v>
      </c>
      <c r="U40" s="1" t="n">
        <f aca="false">'OD-APUMA(Val)'!U40*U$49</f>
        <v>0</v>
      </c>
      <c r="V40" s="1" t="n">
        <f aca="false">'OD-APUMA(Val)'!V40*V$49</f>
        <v>0</v>
      </c>
      <c r="W40" s="1" t="n">
        <f aca="false">'OD-APUMA(Val)'!W40*W$49</f>
        <v>0</v>
      </c>
      <c r="X40" s="1" t="n">
        <f aca="false">'OD-APUMA(Val)'!X40*X$49</f>
        <v>0</v>
      </c>
      <c r="Y40" s="1" t="n">
        <f aca="false">'OD-APUMA(Val)'!Y40*Y$49</f>
        <v>0</v>
      </c>
      <c r="Z40" s="1" t="n">
        <f aca="false">'OD-APUMA(Val)'!Z40*Z$49</f>
        <v>4.61482535900164</v>
      </c>
      <c r="AA40" s="1" t="n">
        <f aca="false">'OD-APUMA(Val)'!AA40*AA$49</f>
        <v>2052.87854264405</v>
      </c>
      <c r="AB40" s="1" t="n">
        <f aca="false">'OD-APUMA(Val)'!AB40*AB$49</f>
        <v>5002.40966943553</v>
      </c>
      <c r="AC40" s="1" t="n">
        <f aca="false">'OD-APUMA(Val)'!AC40*AC$49</f>
        <v>0</v>
      </c>
      <c r="AD40" s="1" t="n">
        <f aca="false">'OD-APUMA(Val)'!AD40*AD$49</f>
        <v>0</v>
      </c>
      <c r="AE40" s="1" t="n">
        <f aca="false">'OD-APUMA(Val)'!AE40*AE$49</f>
        <v>6.94845069764186</v>
      </c>
      <c r="AF40" s="1" t="n">
        <f aca="false">'OD-APUMA(Val)'!AF40*AF$49</f>
        <v>1.52344629272659</v>
      </c>
      <c r="AG40" s="1" t="n">
        <f aca="false">'OD-APUMA(Val)'!AG40*AG$49</f>
        <v>21.5291661362832</v>
      </c>
      <c r="AH40" s="1" t="n">
        <f aca="false">'OD-APUMA(Val)'!AH40*AH$49</f>
        <v>0</v>
      </c>
      <c r="AI40" s="1" t="n">
        <f aca="false">'OD-APUMA(Val)'!AI40*AI$49</f>
        <v>362.392457519428</v>
      </c>
      <c r="AJ40" s="1" t="n">
        <f aca="false">'OD-APUMA(Val)'!AJ40*AJ$49</f>
        <v>0</v>
      </c>
      <c r="AK40" s="1" t="n">
        <f aca="false">'OD-APUMA(Val)'!AK40*AK$49</f>
        <v>0</v>
      </c>
      <c r="AL40" s="1" t="n">
        <f aca="false">'OD-APUMA(Val)'!AL40*AL$49</f>
        <v>22.3891878055863</v>
      </c>
      <c r="AM40" s="1" t="n">
        <f aca="false">'OD-APUMA(Val)'!AM40*AM$49</f>
        <v>109.660261222777</v>
      </c>
      <c r="AN40" s="1" t="n">
        <v>0</v>
      </c>
      <c r="AO40" s="1" t="n">
        <f aca="false">'OD-APUMA(Val)'!AO40*AO$49</f>
        <v>29.6780880213078</v>
      </c>
      <c r="AP40" s="1" t="n">
        <f aca="false">'OD-APUMA(Val)'!AP40*AP$49</f>
        <v>5.36408075021628</v>
      </c>
      <c r="AQ40" s="1" t="n">
        <f aca="false">'OD-APUMA(Val)'!AQ40*AQ$49</f>
        <v>0</v>
      </c>
      <c r="AR40" s="0" t="n">
        <f aca="false">SUM('OD-APUMA(Val)'!C40:AQ40)</f>
        <v>158938</v>
      </c>
      <c r="AS40" s="0" t="n">
        <f aca="false">MAX('OD-APUMA(Val)'!C40:AQ40)</f>
        <v>99255</v>
      </c>
      <c r="AT40" s="2" t="n">
        <f aca="false">SUM(C40:AQ40)/AR40</f>
        <v>0.080922220206234</v>
      </c>
      <c r="AU40" s="3" t="n">
        <f aca="false">AT40^4</f>
        <v>4.28816175144103E-005</v>
      </c>
    </row>
    <row r="41" customFormat="false" ht="12.75" hidden="false" customHeight="false" outlineLevel="0" collapsed="false">
      <c r="A41" s="0" t="n">
        <v>100</v>
      </c>
      <c r="B41" s="0" t="n">
        <v>195936</v>
      </c>
      <c r="C41" s="1" t="n">
        <f aca="false">'OD-APUMA(Val)'!C41*C$49</f>
        <v>17.1090564403988</v>
      </c>
      <c r="D41" s="1" t="n">
        <f aca="false">'OD-APUMA(Val)'!D41*D$49</f>
        <v>5.70631683451328</v>
      </c>
      <c r="E41" s="1" t="n">
        <f aca="false">'OD-APUMA(Val)'!E41*E$49</f>
        <v>10.0953519495497</v>
      </c>
      <c r="F41" s="1" t="n">
        <f aca="false">'OD-APUMA(Val)'!F41*F$49</f>
        <v>40.4763804556258</v>
      </c>
      <c r="G41" s="1" t="n">
        <f aca="false">'OD-APUMA(Val)'!G41*G$49</f>
        <v>0</v>
      </c>
      <c r="H41" s="1" t="n">
        <f aca="false">'OD-APUMA(Val)'!H41*H$49</f>
        <v>0</v>
      </c>
      <c r="I41" s="1" t="n">
        <f aca="false">'OD-APUMA(Val)'!I41*I$49</f>
        <v>0</v>
      </c>
      <c r="J41" s="1" t="n">
        <f aca="false">'OD-APUMA(Val)'!J41*J$49</f>
        <v>0</v>
      </c>
      <c r="K41" s="1" t="n">
        <f aca="false">'OD-APUMA(Val)'!K41*K$49</f>
        <v>189.865624172696</v>
      </c>
      <c r="L41" s="1" t="n">
        <f aca="false">'OD-APUMA(Val)'!L41*L$49</f>
        <v>35.9824103065389</v>
      </c>
      <c r="M41" s="1" t="n">
        <f aca="false">'OD-APUMA(Val)'!M41*M$49</f>
        <v>0</v>
      </c>
      <c r="N41" s="1" t="n">
        <f aca="false">'OD-APUMA(Val)'!N41*N$49</f>
        <v>5.91082687920312</v>
      </c>
      <c r="O41" s="1" t="n">
        <f aca="false">'OD-APUMA(Val)'!O41*O$49</f>
        <v>3889.8367790614</v>
      </c>
      <c r="P41" s="1" t="n">
        <f aca="false">'OD-APUMA(Val)'!P41*P$49</f>
        <v>3000.49488690835</v>
      </c>
      <c r="Q41" s="1" t="n">
        <f aca="false">'OD-APUMA(Val)'!Q41*Q$49</f>
        <v>350.977850274104</v>
      </c>
      <c r="R41" s="1" t="n">
        <f aca="false">'OD-APUMA(Val)'!R41*R$49</f>
        <v>0</v>
      </c>
      <c r="S41" s="1" t="n">
        <f aca="false">'OD-APUMA(Val)'!S41*S$49</f>
        <v>0</v>
      </c>
      <c r="T41" s="1" t="n">
        <f aca="false">'OD-APUMA(Val)'!T41*T$49</f>
        <v>0</v>
      </c>
      <c r="U41" s="1" t="n">
        <f aca="false">'OD-APUMA(Val)'!U41*U$49</f>
        <v>0</v>
      </c>
      <c r="V41" s="1" t="n">
        <f aca="false">'OD-APUMA(Val)'!V41*V$49</f>
        <v>0</v>
      </c>
      <c r="W41" s="1" t="n">
        <f aca="false">'OD-APUMA(Val)'!W41*W$49</f>
        <v>0</v>
      </c>
      <c r="X41" s="1" t="n">
        <f aca="false">'OD-APUMA(Val)'!X41*X$49</f>
        <v>0</v>
      </c>
      <c r="Y41" s="1" t="n">
        <f aca="false">'OD-APUMA(Val)'!Y41*Y$49</f>
        <v>0</v>
      </c>
      <c r="Z41" s="1" t="n">
        <f aca="false">'OD-APUMA(Val)'!Z41*Z$49</f>
        <v>4.03797218912643</v>
      </c>
      <c r="AA41" s="1" t="n">
        <f aca="false">'OD-APUMA(Val)'!AA41*AA$49</f>
        <v>467.071821010295</v>
      </c>
      <c r="AB41" s="1" t="n">
        <f aca="false">'OD-APUMA(Val)'!AB41*AB$49</f>
        <v>287.967661891848</v>
      </c>
      <c r="AC41" s="1" t="n">
        <f aca="false">'OD-APUMA(Val)'!AC41*AC$49</f>
        <v>0</v>
      </c>
      <c r="AD41" s="1" t="n">
        <f aca="false">'OD-APUMA(Val)'!AD41*AD$49</f>
        <v>0</v>
      </c>
      <c r="AE41" s="1" t="n">
        <f aca="false">'OD-APUMA(Val)'!AE41*AE$49</f>
        <v>13.8969013952837</v>
      </c>
      <c r="AF41" s="1" t="n">
        <f aca="false">'OD-APUMA(Val)'!AF41*AF$49</f>
        <v>0</v>
      </c>
      <c r="AG41" s="1" t="n">
        <f aca="false">'OD-APUMA(Val)'!AG41*AG$49</f>
        <v>0</v>
      </c>
      <c r="AH41" s="1" t="n">
        <f aca="false">'OD-APUMA(Val)'!AH41*AH$49</f>
        <v>12.4785240319784</v>
      </c>
      <c r="AI41" s="1" t="n">
        <f aca="false">'OD-APUMA(Val)'!AI41*AI$49</f>
        <v>11.2080141500854</v>
      </c>
      <c r="AJ41" s="1" t="n">
        <f aca="false">'OD-APUMA(Val)'!AJ41*AJ$49</f>
        <v>0</v>
      </c>
      <c r="AK41" s="1" t="n">
        <f aca="false">'OD-APUMA(Val)'!AK41*AK$49</f>
        <v>0</v>
      </c>
      <c r="AL41" s="1" t="n">
        <f aca="false">'OD-APUMA(Val)'!AL41*AL$49</f>
        <v>18.6576565046553</v>
      </c>
      <c r="AM41" s="1" t="n">
        <f aca="false">'OD-APUMA(Val)'!AM41*AM$49</f>
        <v>41.1225979585415</v>
      </c>
      <c r="AN41" s="1" t="n">
        <f aca="false">'OD-APUMA(Val)'!AN41*AN$49</f>
        <v>242.443356508084</v>
      </c>
      <c r="AO41" s="1" t="n">
        <v>0</v>
      </c>
      <c r="AP41" s="1" t="n">
        <f aca="false">'OD-APUMA(Val)'!AP41*AP$49</f>
        <v>0</v>
      </c>
      <c r="AQ41" s="1" t="n">
        <f aca="false">'OD-APUMA(Val)'!AQ41*AQ$49</f>
        <v>0</v>
      </c>
      <c r="AR41" s="0" t="n">
        <f aca="false">SUM('OD-APUMA(Val)'!C41:AQ41)</f>
        <v>182702</v>
      </c>
      <c r="AS41" s="0" t="n">
        <f aca="false">MAX('OD-APUMA(Val)'!C41:AQ41)</f>
        <v>146120</v>
      </c>
      <c r="AT41" s="2" t="n">
        <f aca="false">SUM(C41:AQ41)/AR41</f>
        <v>0.047319350575923</v>
      </c>
      <c r="AU41" s="3" t="n">
        <f aca="false">AT41^4</f>
        <v>5.01366257914178E-006</v>
      </c>
    </row>
    <row r="42" customFormat="false" ht="12.75" hidden="false" customHeight="false" outlineLevel="0" collapsed="false">
      <c r="A42" s="0" t="n">
        <v>101</v>
      </c>
      <c r="B42" s="0" t="n">
        <v>219609</v>
      </c>
      <c r="C42" s="1" t="n">
        <f aca="false">'OD-APUMA(Val)'!C42*C$49</f>
        <v>22.8120752538651</v>
      </c>
      <c r="D42" s="1" t="n">
        <f aca="false">'OD-APUMA(Val)'!D42*D$49</f>
        <v>0</v>
      </c>
      <c r="E42" s="1" t="n">
        <f aca="false">'OD-APUMA(Val)'!E42*E$49</f>
        <v>0</v>
      </c>
      <c r="F42" s="1" t="n">
        <f aca="false">'OD-APUMA(Val)'!F42*F$49</f>
        <v>0</v>
      </c>
      <c r="G42" s="1" t="n">
        <f aca="false">'OD-APUMA(Val)'!G42*G$49</f>
        <v>0</v>
      </c>
      <c r="H42" s="1" t="n">
        <f aca="false">'OD-APUMA(Val)'!H42*H$49</f>
        <v>0</v>
      </c>
      <c r="I42" s="1" t="n">
        <f aca="false">'OD-APUMA(Val)'!I42*I$49</f>
        <v>0</v>
      </c>
      <c r="J42" s="1" t="n">
        <f aca="false">'OD-APUMA(Val)'!J42*J$49</f>
        <v>0</v>
      </c>
      <c r="K42" s="1" t="n">
        <f aca="false">'OD-APUMA(Val)'!K42*K$49</f>
        <v>0</v>
      </c>
      <c r="L42" s="1" t="n">
        <f aca="false">'OD-APUMA(Val)'!L42*L$49</f>
        <v>0</v>
      </c>
      <c r="M42" s="1" t="n">
        <f aca="false">'OD-APUMA(Val)'!M42*M$49</f>
        <v>0</v>
      </c>
      <c r="N42" s="1" t="n">
        <f aca="false">'OD-APUMA(Val)'!N42*N$49</f>
        <v>11.8216537584062</v>
      </c>
      <c r="O42" s="1" t="n">
        <f aca="false">'OD-APUMA(Val)'!O42*O$49</f>
        <v>0</v>
      </c>
      <c r="P42" s="1" t="n">
        <f aca="false">'OD-APUMA(Val)'!P42*P$49</f>
        <v>58.8332330766344</v>
      </c>
      <c r="Q42" s="1" t="n">
        <f aca="false">'OD-APUMA(Val)'!Q42*Q$49</f>
        <v>55.6004515285709</v>
      </c>
      <c r="R42" s="1" t="n">
        <f aca="false">'OD-APUMA(Val)'!R42*R$49</f>
        <v>18.2434362417413</v>
      </c>
      <c r="S42" s="1" t="n">
        <f aca="false">'OD-APUMA(Val)'!S42*S$49</f>
        <v>15.9296426063006</v>
      </c>
      <c r="T42" s="1" t="n">
        <f aca="false">'OD-APUMA(Val)'!T42*T$49</f>
        <v>186.506183113251</v>
      </c>
      <c r="U42" s="1" t="n">
        <f aca="false">'OD-APUMA(Val)'!U42*U$49</f>
        <v>0</v>
      </c>
      <c r="V42" s="1" t="n">
        <f aca="false">'OD-APUMA(Val)'!V42*V$49</f>
        <v>0</v>
      </c>
      <c r="W42" s="1" t="n">
        <f aca="false">'OD-APUMA(Val)'!W42*W$49</f>
        <v>0</v>
      </c>
      <c r="X42" s="1" t="n">
        <f aca="false">'OD-APUMA(Val)'!X42*X$49</f>
        <v>18.3707451070026</v>
      </c>
      <c r="Y42" s="1" t="n">
        <f aca="false">'OD-APUMA(Val)'!Y42*Y$49</f>
        <v>0</v>
      </c>
      <c r="Z42" s="1" t="n">
        <f aca="false">'OD-APUMA(Val)'!Z42*Z$49</f>
        <v>0</v>
      </c>
      <c r="AA42" s="1" t="n">
        <f aca="false">'OD-APUMA(Val)'!AA42*AA$49</f>
        <v>1183.06215740931</v>
      </c>
      <c r="AB42" s="1" t="n">
        <f aca="false">'OD-APUMA(Val)'!AB42*AB$49</f>
        <v>142.612556365486</v>
      </c>
      <c r="AC42" s="1" t="n">
        <f aca="false">'OD-APUMA(Val)'!AC42*AC$49</f>
        <v>5.01102347593312</v>
      </c>
      <c r="AD42" s="1" t="n">
        <f aca="false">'OD-APUMA(Val)'!AD42*AD$49</f>
        <v>0</v>
      </c>
      <c r="AE42" s="1" t="n">
        <f aca="false">'OD-APUMA(Val)'!AE42*AE$49</f>
        <v>6.94845069764186</v>
      </c>
      <c r="AF42" s="1" t="n">
        <f aca="false">'OD-APUMA(Val)'!AF42*AF$49</f>
        <v>0</v>
      </c>
      <c r="AG42" s="1" t="n">
        <f aca="false">'OD-APUMA(Val)'!AG42*AG$49</f>
        <v>0</v>
      </c>
      <c r="AH42" s="1" t="n">
        <f aca="false">'OD-APUMA(Val)'!AH42*AH$49</f>
        <v>7.48711441918702</v>
      </c>
      <c r="AI42" s="1" t="n">
        <f aca="false">'OD-APUMA(Val)'!AI42*AI$49</f>
        <v>22.4160283001708</v>
      </c>
      <c r="AJ42" s="1" t="n">
        <f aca="false">'OD-APUMA(Val)'!AJ42*AJ$49</f>
        <v>10.8070103083623</v>
      </c>
      <c r="AK42" s="1" t="n">
        <f aca="false">'OD-APUMA(Val)'!AK42*AK$49</f>
        <v>0</v>
      </c>
      <c r="AL42" s="1" t="n">
        <f aca="false">'OD-APUMA(Val)'!AL42*AL$49</f>
        <v>1223.94226670539</v>
      </c>
      <c r="AM42" s="1" t="n">
        <f aca="false">'OD-APUMA(Val)'!AM42*AM$49</f>
        <v>405.133742850816</v>
      </c>
      <c r="AN42" s="1" t="n">
        <f aca="false">'OD-APUMA(Val)'!AN42*AN$49</f>
        <v>28.5227478244804</v>
      </c>
      <c r="AO42" s="1" t="n">
        <f aca="false">'OD-APUMA(Val)'!AO42*AO$49</f>
        <v>0</v>
      </c>
      <c r="AP42" s="1" t="n">
        <v>0</v>
      </c>
      <c r="AQ42" s="1" t="n">
        <f aca="false">'OD-APUMA(Val)'!AQ42*AQ$49</f>
        <v>0</v>
      </c>
      <c r="AR42" s="0" t="n">
        <f aca="false">SUM('OD-APUMA(Val)'!C42:AQ42)</f>
        <v>143481</v>
      </c>
      <c r="AS42" s="0" t="n">
        <f aca="false">MAX('OD-APUMA(Val)'!C42:AQ42)</f>
        <v>119210</v>
      </c>
      <c r="AT42" s="2" t="n">
        <f aca="false">SUM(C42:AQ42)/AR42</f>
        <v>0.0238642086341923</v>
      </c>
      <c r="AU42" s="3" t="n">
        <f aca="false">AT42^4</f>
        <v>3.24330766805805E-007</v>
      </c>
    </row>
    <row r="43" customFormat="false" ht="12.75" hidden="false" customHeight="false" outlineLevel="0" collapsed="false">
      <c r="A43" s="0" t="n">
        <v>103</v>
      </c>
      <c r="B43" s="0" t="n">
        <v>331552</v>
      </c>
      <c r="C43" s="1" t="n">
        <f aca="false">'OD-APUMA(Val)'!C43*C$49</f>
        <v>7.12877351683283</v>
      </c>
      <c r="D43" s="1" t="n">
        <f aca="false">'OD-APUMA(Val)'!D43*D$49</f>
        <v>7.33669307294564</v>
      </c>
      <c r="E43" s="1" t="n">
        <f aca="false">'OD-APUMA(Val)'!E43*E$49</f>
        <v>4.03814077981987</v>
      </c>
      <c r="F43" s="1" t="n">
        <f aca="false">'OD-APUMA(Val)'!F43*F$49</f>
        <v>7.9192918282746</v>
      </c>
      <c r="G43" s="1" t="n">
        <f aca="false">'OD-APUMA(Val)'!G43*G$49</f>
        <v>0</v>
      </c>
      <c r="H43" s="1" t="n">
        <f aca="false">'OD-APUMA(Val)'!H43*H$49</f>
        <v>1.6290744323577</v>
      </c>
      <c r="I43" s="1" t="n">
        <f aca="false">'OD-APUMA(Val)'!I43*I$49</f>
        <v>0</v>
      </c>
      <c r="J43" s="1" t="n">
        <f aca="false">'OD-APUMA(Val)'!J43*J$49</f>
        <v>0</v>
      </c>
      <c r="K43" s="1" t="n">
        <f aca="false">'OD-APUMA(Val)'!K43*K$49</f>
        <v>0</v>
      </c>
      <c r="L43" s="1" t="n">
        <f aca="false">'OD-APUMA(Val)'!L43*L$49</f>
        <v>0</v>
      </c>
      <c r="M43" s="1" t="n">
        <f aca="false">'OD-APUMA(Val)'!M43*M$49</f>
        <v>0</v>
      </c>
      <c r="N43" s="1" t="n">
        <f aca="false">'OD-APUMA(Val)'!N43*N$49</f>
        <v>0</v>
      </c>
      <c r="O43" s="1" t="n">
        <f aca="false">'OD-APUMA(Val)'!O43*O$49</f>
        <v>20.4728251529547</v>
      </c>
      <c r="P43" s="1" t="n">
        <f aca="false">'OD-APUMA(Val)'!P43*P$49</f>
        <v>40.7306998222853</v>
      </c>
      <c r="Q43" s="1" t="n">
        <f aca="false">'OD-APUMA(Val)'!Q43*Q$49</f>
        <v>479.553894433924</v>
      </c>
      <c r="R43" s="1" t="n">
        <f aca="false">'OD-APUMA(Val)'!R43*R$49</f>
        <v>0</v>
      </c>
      <c r="S43" s="1" t="n">
        <f aca="false">'OD-APUMA(Val)'!S43*S$49</f>
        <v>0</v>
      </c>
      <c r="T43" s="1" t="n">
        <f aca="false">'OD-APUMA(Val)'!T43*T$49</f>
        <v>0</v>
      </c>
      <c r="U43" s="1" t="n">
        <f aca="false">'OD-APUMA(Val)'!U43*U$49</f>
        <v>0</v>
      </c>
      <c r="V43" s="1" t="n">
        <f aca="false">'OD-APUMA(Val)'!V43*V$49</f>
        <v>129.680564398717</v>
      </c>
      <c r="W43" s="1" t="n">
        <f aca="false">'OD-APUMA(Val)'!W43*W$49</f>
        <v>0</v>
      </c>
      <c r="X43" s="1" t="n">
        <f aca="false">'OD-APUMA(Val)'!X43*X$49</f>
        <v>0</v>
      </c>
      <c r="Y43" s="1" t="n">
        <f aca="false">'OD-APUMA(Val)'!Y43*Y$49</f>
        <v>0</v>
      </c>
      <c r="Z43" s="1" t="n">
        <f aca="false">'OD-APUMA(Val)'!Z43*Z$49</f>
        <v>19.0361546058817</v>
      </c>
      <c r="AA43" s="1" t="n">
        <f aca="false">'OD-APUMA(Val)'!AA43*AA$49</f>
        <v>25.1715352640279</v>
      </c>
      <c r="AB43" s="1" t="n">
        <f aca="false">'OD-APUMA(Val)'!AB43*AB$49</f>
        <v>46.6233357348706</v>
      </c>
      <c r="AC43" s="1" t="n">
        <f aca="false">'OD-APUMA(Val)'!AC43*AC$49</f>
        <v>0</v>
      </c>
      <c r="AD43" s="1" t="n">
        <f aca="false">'OD-APUMA(Val)'!AD43*AD$49</f>
        <v>13.8377635123025</v>
      </c>
      <c r="AE43" s="1" t="n">
        <f aca="false">'OD-APUMA(Val)'!AE43*AE$49</f>
        <v>6803.69130810765</v>
      </c>
      <c r="AF43" s="1" t="n">
        <f aca="false">'OD-APUMA(Val)'!AF43*AF$49</f>
        <v>3.30080030090761</v>
      </c>
      <c r="AG43" s="1" t="n">
        <f aca="false">'OD-APUMA(Val)'!AG43*AG$49</f>
        <v>38.0900631641934</v>
      </c>
      <c r="AH43" s="1" t="n">
        <f aca="false">'OD-APUMA(Val)'!AH43*AH$49</f>
        <v>13.7263764351762</v>
      </c>
      <c r="AI43" s="1" t="n">
        <f aca="false">'OD-APUMA(Val)'!AI43*AI$49</f>
        <v>9.96267924452036</v>
      </c>
      <c r="AJ43" s="1" t="n">
        <f aca="false">'OD-APUMA(Val)'!AJ43*AJ$49</f>
        <v>63.2982032346936</v>
      </c>
      <c r="AK43" s="1" t="n">
        <f aca="false">'OD-APUMA(Val)'!AK43*AK$49</f>
        <v>0</v>
      </c>
      <c r="AL43" s="1" t="n">
        <f aca="false">'OD-APUMA(Val)'!AL43*AL$49</f>
        <v>13.0603595532587</v>
      </c>
      <c r="AM43" s="1" t="n">
        <f aca="false">'OD-APUMA(Val)'!AM43*AM$49</f>
        <v>7.61529591824843</v>
      </c>
      <c r="AN43" s="1" t="n">
        <f aca="false">'OD-APUMA(Val)'!AN43*AN$49</f>
        <v>0</v>
      </c>
      <c r="AO43" s="1" t="n">
        <f aca="false">'OD-APUMA(Val)'!AO43*AO$49</f>
        <v>0</v>
      </c>
      <c r="AP43" s="1" t="n">
        <f aca="false">'OD-APUMA(Val)'!AP43*AP$49</f>
        <v>0</v>
      </c>
      <c r="AQ43" s="1" t="n">
        <v>0</v>
      </c>
      <c r="AR43" s="0" t="n">
        <f aca="false">SUM('OD-APUMA(Val)'!C43:AQ43)</f>
        <v>335556</v>
      </c>
      <c r="AS43" s="0" t="n">
        <f aca="false">MAX('OD-APUMA(Val)'!C43:AQ43)</f>
        <v>249158</v>
      </c>
      <c r="AT43" s="2" t="n">
        <f aca="false">SUM(C43:AQ43)/AR43</f>
        <v>0.0231135900788955</v>
      </c>
      <c r="AU43" s="3" t="n">
        <f aca="false">AT43^4</f>
        <v>2.85410290152067E-007</v>
      </c>
    </row>
    <row r="44" customFormat="false" ht="12.75" hidden="false" customHeight="false" outlineLevel="0" collapsed="false">
      <c r="A44" s="0" t="s">
        <v>7</v>
      </c>
      <c r="B44" s="0" t="n">
        <v>15631931</v>
      </c>
      <c r="C44" s="1" t="n">
        <f aca="false">SUM(C3:C43)</f>
        <v>738.540936343881</v>
      </c>
      <c r="D44" s="1" t="n">
        <f aca="false">SUM(D3:D43)</f>
        <v>402.702930892794</v>
      </c>
      <c r="E44" s="1" t="n">
        <f aca="false">SUM(E3:E43)</f>
        <v>655.188341525773</v>
      </c>
      <c r="F44" s="1" t="n">
        <f aca="false">SUM(F3:F43)</f>
        <v>440.84057844062</v>
      </c>
      <c r="G44" s="1" t="n">
        <f aca="false">SUM(G3:G43)</f>
        <v>2189.19839273091</v>
      </c>
      <c r="H44" s="1" t="n">
        <f aca="false">SUM(H3:H43)</f>
        <v>60.8866569093691</v>
      </c>
      <c r="I44" s="1" t="n">
        <f aca="false">SUM(I3:I43)</f>
        <v>373.382546918541</v>
      </c>
      <c r="J44" s="1" t="n">
        <f aca="false">SUM(J3:J43)</f>
        <v>279.248842314251</v>
      </c>
      <c r="K44" s="1" t="n">
        <f aca="false">SUM(K3:K43)</f>
        <v>958.441670823772</v>
      </c>
      <c r="L44" s="1" t="n">
        <f aca="false">SUM(L3:L43)</f>
        <v>7135.31196378667</v>
      </c>
      <c r="M44" s="1" t="n">
        <f aca="false">SUM(M3:M43)</f>
        <v>7221.07830664714</v>
      </c>
      <c r="N44" s="1" t="n">
        <f aca="false">SUM(N3:N43)</f>
        <v>346.768510246583</v>
      </c>
      <c r="O44" s="1" t="n">
        <f aca="false">SUM(O3:O43)</f>
        <v>7188.88631799467</v>
      </c>
      <c r="P44" s="1" t="n">
        <f aca="false">SUM(P3:P43)</f>
        <v>88992.0534783799</v>
      </c>
      <c r="Q44" s="1" t="n">
        <f aca="false">SUM(Q3:Q43)</f>
        <v>29784.4668782113</v>
      </c>
      <c r="R44" s="1" t="n">
        <f aca="false">SUM(R3:R43)</f>
        <v>167.071468740157</v>
      </c>
      <c r="S44" s="1" t="n">
        <f aca="false">SUM(S3:S43)</f>
        <v>1177.02359257666</v>
      </c>
      <c r="T44" s="1" t="n">
        <f aca="false">SUM(T3:T43)</f>
        <v>341.153658790786</v>
      </c>
      <c r="U44" s="1" t="n">
        <f aca="false">SUM(U3:U43)</f>
        <v>943.456629021331</v>
      </c>
      <c r="V44" s="1" t="n">
        <f aca="false">SUM(V3:V43)</f>
        <v>401.355574682083</v>
      </c>
      <c r="W44" s="1" t="n">
        <f aca="false">SUM(W3:W43)</f>
        <v>90.8242221577544</v>
      </c>
      <c r="X44" s="1" t="n">
        <f aca="false">SUM(X3:X43)</f>
        <v>1065.50321620615</v>
      </c>
      <c r="Y44" s="1" t="n">
        <f aca="false">SUM(Y3:Y43)</f>
        <v>1.45747307290388</v>
      </c>
      <c r="Z44" s="1" t="n">
        <f aca="false">SUM(Z3:Z43)</f>
        <v>372.070294569507</v>
      </c>
      <c r="AA44" s="1" t="n">
        <f aca="false">SUM(AA3:AA43)</f>
        <v>39242.4234766194</v>
      </c>
      <c r="AB44" s="1" t="n">
        <f aca="false">SUM(AB3:AB43)</f>
        <v>20665.1079271912</v>
      </c>
      <c r="AC44" s="1" t="n">
        <f aca="false">SUM(AC3:AC43)</f>
        <v>521.504371745325</v>
      </c>
      <c r="AD44" s="1" t="n">
        <f aca="false">SUM(AD3:AD43)</f>
        <v>465.996036116999</v>
      </c>
      <c r="AE44" s="1" t="n">
        <f aca="false">SUM(AE3:AE43)</f>
        <v>40829.0962993436</v>
      </c>
      <c r="AF44" s="1" t="n">
        <f aca="false">SUM(AF3:AF43)</f>
        <v>197.794110339002</v>
      </c>
      <c r="AG44" s="1" t="n">
        <f aca="false">SUM(AG3:AG43)</f>
        <v>29354.1899819708</v>
      </c>
      <c r="AH44" s="1" t="n">
        <f aca="false">SUM(AH3:AH43)</f>
        <v>5796.27441285395</v>
      </c>
      <c r="AI44" s="1" t="n">
        <f aca="false">SUM(AI3:AI43)</f>
        <v>7141.99568341553</v>
      </c>
      <c r="AJ44" s="1" t="n">
        <f aca="false">SUM(AJ3:AJ43)</f>
        <v>10408.6947855684</v>
      </c>
      <c r="AK44" s="1" t="n">
        <f aca="false">SUM(AK3:AK43)</f>
        <v>0</v>
      </c>
      <c r="AL44" s="1" t="n">
        <f aca="false">SUM(AL3:AL43)</f>
        <v>3244.56646615955</v>
      </c>
      <c r="AM44" s="1" t="n">
        <f aca="false">SUM(AM3:AM43)</f>
        <v>17457.3043629927</v>
      </c>
      <c r="AN44" s="1" t="n">
        <f aca="false">SUM(AN3:AN43)</f>
        <v>3429.86042589377</v>
      </c>
      <c r="AO44" s="1" t="n">
        <f aca="false">SUM(AO3:AO43)</f>
        <v>293.675033792243</v>
      </c>
      <c r="AP44" s="1" t="n">
        <f aca="false">SUM(AP3:AP43)</f>
        <v>857.486622784574</v>
      </c>
      <c r="AQ44" s="1" t="n">
        <f aca="false">SUM(AQ3:AQ43)</f>
        <v>1328.45821088835</v>
      </c>
      <c r="AR44" s="0" t="n">
        <f aca="false">SUM('OD-APUMA(Val)'!C44:AQ44)</f>
        <v>13839891</v>
      </c>
      <c r="AS44" s="0" t="n">
        <f aca="false">MAX('OD-APUMA(Val)'!C44:AQ44)</f>
        <v>4317976</v>
      </c>
      <c r="AT44" s="2" t="n">
        <f aca="false">SUM(C44:AQ44)/AR44</f>
        <v>0.0240291878519606</v>
      </c>
      <c r="AU44" s="3"/>
    </row>
    <row r="45" customFormat="false" ht="12.75" hidden="false" customHeight="false" outlineLevel="0" collapsed="false">
      <c r="A45" s="0" t="n">
        <v>0</v>
      </c>
      <c r="B45" s="0" t="s">
        <v>8</v>
      </c>
      <c r="C45" s="1" t="n">
        <f aca="false">MAX(C3:C43)</f>
        <v>172.516319107354</v>
      </c>
      <c r="D45" s="1" t="n">
        <f aca="false">MAX(D3:D43)</f>
        <v>158.961683247156</v>
      </c>
      <c r="E45" s="1" t="n">
        <f aca="false">MAX(E3:E43)</f>
        <v>176.668659117119</v>
      </c>
      <c r="F45" s="1" t="n">
        <f aca="false">MAX(F3:F43)</f>
        <v>98.5511871963062</v>
      </c>
      <c r="G45" s="1" t="n">
        <f aca="false">MAX(G3:G43)</f>
        <v>1162.19914673482</v>
      </c>
      <c r="H45" s="1" t="n">
        <f aca="false">MAX(H3:H43)</f>
        <v>17.3089158438006</v>
      </c>
      <c r="I45" s="1" t="n">
        <f aca="false">MAX(I3:I43)</f>
        <v>143.37889801672</v>
      </c>
      <c r="J45" s="1" t="n">
        <f aca="false">MAX(J3:J43)</f>
        <v>97.163295818931</v>
      </c>
      <c r="K45" s="1" t="n">
        <f aca="false">MAX(K3:K43)</f>
        <v>492.131697855629</v>
      </c>
      <c r="L45" s="1" t="n">
        <f aca="false">MAX(L3:L43)</f>
        <v>4994.3585505476</v>
      </c>
      <c r="M45" s="1" t="n">
        <f aca="false">MAX(M3:M43)</f>
        <v>4426.74198265338</v>
      </c>
      <c r="N45" s="1" t="n">
        <f aca="false">MAX(N3:N43)</f>
        <v>195.057287013703</v>
      </c>
      <c r="O45" s="1" t="n">
        <f aca="false">MAX(O3:O43)</f>
        <v>3889.8367790614</v>
      </c>
      <c r="P45" s="1" t="n">
        <f aca="false">MAX(P3:P43)</f>
        <v>28172.0673770807</v>
      </c>
      <c r="Q45" s="1" t="n">
        <f aca="false">MAX(Q3:Q43)</f>
        <v>8604.16987404635</v>
      </c>
      <c r="R45" s="1" t="n">
        <f aca="false">MAX(R3:R43)</f>
        <v>31.6859682093401</v>
      </c>
      <c r="S45" s="1" t="n">
        <f aca="false">MAX(S3:S43)</f>
        <v>640.725624831203</v>
      </c>
      <c r="T45" s="1" t="n">
        <f aca="false">MAX(T3:T43)</f>
        <v>186.506183113251</v>
      </c>
      <c r="U45" s="1" t="n">
        <f aca="false">MAX(U3:U43)</f>
        <v>381.075898199007</v>
      </c>
      <c r="V45" s="1" t="n">
        <f aca="false">MAX(V3:V43)</f>
        <v>177.012046360267</v>
      </c>
      <c r="W45" s="1" t="n">
        <f aca="false">MAX(W3:W43)</f>
        <v>44.5728728864544</v>
      </c>
      <c r="X45" s="1" t="n">
        <f aca="false">MAX(X3:X43)</f>
        <v>521.525041648797</v>
      </c>
      <c r="Y45" s="1" t="n">
        <f aca="false">MAX(Y3:Y43)</f>
        <v>0.354520477192835</v>
      </c>
      <c r="Z45" s="1" t="n">
        <f aca="false">MAX(Z3:Z43)</f>
        <v>226.703295760955</v>
      </c>
      <c r="AA45" s="1" t="n">
        <f aca="false">MAX(AA3:AA43)</f>
        <v>17913.7425962332</v>
      </c>
      <c r="AB45" s="1" t="n">
        <f aca="false">MAX(AB3:AB43)</f>
        <v>7539.26764324466</v>
      </c>
      <c r="AC45" s="1" t="n">
        <f aca="false">MAX(AC3:AC43)</f>
        <v>210.10505574091</v>
      </c>
      <c r="AD45" s="1" t="n">
        <f aca="false">MAX(AD3:AD43)</f>
        <v>273.389327770085</v>
      </c>
      <c r="AE45" s="1" t="n">
        <f aca="false">MAX(AE3:AE43)</f>
        <v>17650.2228471266</v>
      </c>
      <c r="AF45" s="1" t="n">
        <f aca="false">MAX(AF3:AF43)</f>
        <v>86.3286232545067</v>
      </c>
      <c r="AG45" s="1" t="n">
        <f aca="false">MAX(AG3:AG43)</f>
        <v>17400.5345072252</v>
      </c>
      <c r="AH45" s="1" t="n">
        <f aca="false">MAX(AH3:AH43)</f>
        <v>3561.37075872663</v>
      </c>
      <c r="AI45" s="1" t="n">
        <f aca="false">MAX(AI3:AI43)</f>
        <v>2449.57375924644</v>
      </c>
      <c r="AJ45" s="1" t="n">
        <f aca="false">MAX(AJ3:AJ43)</f>
        <v>4850.8037698392</v>
      </c>
      <c r="AK45" s="1" t="n">
        <f aca="false">MAX(AK3:AK43)</f>
        <v>0</v>
      </c>
      <c r="AL45" s="1" t="n">
        <f aca="false">MAX(AL3:AL43)</f>
        <v>1223.94226670539</v>
      </c>
      <c r="AM45" s="1" t="n">
        <f aca="false">MAX(AM3:AM43)</f>
        <v>6124.22097745539</v>
      </c>
      <c r="AN45" s="1" t="n">
        <f aca="false">MAX(AN3:AN43)</f>
        <v>916.293273861434</v>
      </c>
      <c r="AO45" s="1" t="n">
        <f aca="false">MAX(AO3:AO43)</f>
        <v>80.4069128949385</v>
      </c>
      <c r="AP45" s="1" t="n">
        <f aca="false">MAX(AP3:AP43)</f>
        <v>303.453711012235</v>
      </c>
      <c r="AQ45" s="1" t="n">
        <f aca="false">MAX(AQ3:AQ43)</f>
        <v>1086.74361934623</v>
      </c>
      <c r="AR45" s="0" t="n">
        <f aca="false">SUM('OD-APUMA(Val)'!C45:AQ45)</f>
        <v>11744720</v>
      </c>
      <c r="AS45" s="0" t="n">
        <f aca="false">MAX('OD-APUMA(Val)'!C45:AQ45)</f>
        <v>3859648</v>
      </c>
      <c r="AT45" s="2" t="n">
        <f aca="false">SUM(C45:AQ45)/AR45</f>
        <v>0.0116377123298393</v>
      </c>
      <c r="AU45" s="3"/>
    </row>
    <row r="46" customFormat="false" ht="12.75" hidden="false" customHeight="false" outlineLevel="0" collapsed="false">
      <c r="A46" s="0" t="n">
        <v>0</v>
      </c>
      <c r="B46" s="0" t="s">
        <v>9</v>
      </c>
      <c r="C46" s="1" t="n">
        <f aca="false">SUM(C3:C43)-MAX(C3:C43)</f>
        <v>566.024617236527</v>
      </c>
      <c r="D46" s="1" t="n">
        <f aca="false">SUM(D3:D43)-MAX(D3:D43)</f>
        <v>243.741247645638</v>
      </c>
      <c r="E46" s="1" t="n">
        <f aca="false">SUM(E3:E43)-MAX(E3:E43)</f>
        <v>478.519682408654</v>
      </c>
      <c r="F46" s="1" t="n">
        <f aca="false">SUM(F3:F43)-MAX(F3:F43)</f>
        <v>342.289391244314</v>
      </c>
      <c r="G46" s="1" t="n">
        <f aca="false">SUM(G3:G43)-MAX(G3:G43)</f>
        <v>1026.99924599609</v>
      </c>
      <c r="H46" s="1" t="n">
        <f aca="false">SUM(H3:H43)-MAX(H3:H43)</f>
        <v>43.5777410655685</v>
      </c>
      <c r="I46" s="1" t="n">
        <f aca="false">SUM(I3:I43)-MAX(I3:I43)</f>
        <v>230.003648901821</v>
      </c>
      <c r="J46" s="1" t="n">
        <f aca="false">SUM(J3:J43)-MAX(J3:J43)</f>
        <v>182.08554649532</v>
      </c>
      <c r="K46" s="1" t="n">
        <f aca="false">SUM(K3:K43)-MAX(K3:K43)</f>
        <v>466.309972968142</v>
      </c>
      <c r="L46" s="1" t="n">
        <f aca="false">SUM(L3:L43)-MAX(L3:L43)</f>
        <v>2140.95341323907</v>
      </c>
      <c r="M46" s="1" t="n">
        <f aca="false">SUM(M3:M43)-MAX(M3:M43)</f>
        <v>2794.33632399376</v>
      </c>
      <c r="N46" s="1" t="n">
        <f aca="false">SUM(N3:N43)-MAX(N3:N43)</f>
        <v>151.71122323288</v>
      </c>
      <c r="O46" s="1" t="n">
        <f aca="false">SUM(O3:O43)-MAX(O3:O43)</f>
        <v>3299.04953893327</v>
      </c>
      <c r="P46" s="1" t="n">
        <f aca="false">SUM(P3:P43)-MAX(P3:P43)</f>
        <v>60819.9861012992</v>
      </c>
      <c r="Q46" s="1" t="n">
        <f aca="false">SUM(Q3:Q43)-MAX(Q3:Q43)</f>
        <v>21180.297004165</v>
      </c>
      <c r="R46" s="1" t="n">
        <f aca="false">SUM(R3:R43)-MAX(R3:R43)</f>
        <v>135.385500530817</v>
      </c>
      <c r="S46" s="1" t="n">
        <f aca="false">SUM(S3:S43)-MAX(S3:S43)</f>
        <v>536.297967745455</v>
      </c>
      <c r="T46" s="1" t="n">
        <f aca="false">SUM(T3:T43)-MAX(T3:T43)</f>
        <v>154.647475677535</v>
      </c>
      <c r="U46" s="1" t="n">
        <f aca="false">SUM(U3:U43)-MAX(U3:U43)</f>
        <v>562.380730822323</v>
      </c>
      <c r="V46" s="1" t="n">
        <f aca="false">SUM(V3:V43)-MAX(V3:V43)</f>
        <v>224.343528321816</v>
      </c>
      <c r="W46" s="1" t="n">
        <f aca="false">SUM(W3:W43)-MAX(W3:W43)</f>
        <v>46.2513492713</v>
      </c>
      <c r="X46" s="1" t="n">
        <f aca="false">SUM(X3:X43)-MAX(X3:X43)</f>
        <v>543.978174557356</v>
      </c>
      <c r="Y46" s="1" t="n">
        <f aca="false">SUM(Y3:Y43)-MAX(Y3:Y43)</f>
        <v>1.10295259571104</v>
      </c>
      <c r="Z46" s="1" t="n">
        <f aca="false">SUM(Z3:Z43)-MAX(Z3:Z43)</f>
        <v>145.366998808552</v>
      </c>
      <c r="AA46" s="1" t="n">
        <f aca="false">SUM(AA3:AA43)-MAX(AA3:AA43)</f>
        <v>21328.6808803863</v>
      </c>
      <c r="AB46" s="1" t="n">
        <f aca="false">SUM(AB3:AB43)-MAX(AB3:AB43)</f>
        <v>13125.8402839465</v>
      </c>
      <c r="AC46" s="1" t="n">
        <f aca="false">SUM(AC3:AC43)-MAX(AC3:AC43)</f>
        <v>311.399316004415</v>
      </c>
      <c r="AD46" s="1" t="n">
        <f aca="false">SUM(AD3:AD43)-MAX(AD3:AD43)</f>
        <v>192.606708346914</v>
      </c>
      <c r="AE46" s="1" t="n">
        <f aca="false">SUM(AE3:AE43)-MAX(AE3:AE43)</f>
        <v>23178.873452217</v>
      </c>
      <c r="AF46" s="1" t="n">
        <f aca="false">SUM(AF3:AF43)-MAX(AF3:AF43)</f>
        <v>111.465487084495</v>
      </c>
      <c r="AG46" s="1" t="n">
        <f aca="false">SUM(AG3:AG43)-MAX(AG3:AG43)</f>
        <v>11953.6554747456</v>
      </c>
      <c r="AH46" s="1" t="n">
        <f aca="false">SUM(AH3:AH43)-MAX(AH3:AH43)</f>
        <v>2234.90365412733</v>
      </c>
      <c r="AI46" s="1" t="n">
        <f aca="false">SUM(AI3:AI43)-MAX(AI3:AI43)</f>
        <v>4692.42192416909</v>
      </c>
      <c r="AJ46" s="1" t="n">
        <f aca="false">SUM(AJ3:AJ43)-MAX(AJ3:AJ43)</f>
        <v>5557.8910157292</v>
      </c>
      <c r="AK46" s="1" t="n">
        <f aca="false">SUM(AK3:AK43)-MAX(AK3:AK43)</f>
        <v>0</v>
      </c>
      <c r="AL46" s="1" t="n">
        <f aca="false">SUM(AL3:AL43)-MAX(AL3:AL43)</f>
        <v>2020.62419945417</v>
      </c>
      <c r="AM46" s="1" t="n">
        <f aca="false">SUM(AM3:AM43)-MAX(AM3:AM43)</f>
        <v>11333.0833855373</v>
      </c>
      <c r="AN46" s="1" t="n">
        <f aca="false">SUM(AN3:AN43)-MAX(AN3:AN43)</f>
        <v>2513.56715203234</v>
      </c>
      <c r="AO46" s="1" t="n">
        <f aca="false">SUM(AO3:AO43)-MAX(AO3:AO43)</f>
        <v>213.268120897305</v>
      </c>
      <c r="AP46" s="1" t="n">
        <f aca="false">SUM(AP3:AP43)-MAX(AP3:AP43)</f>
        <v>554.032911772339</v>
      </c>
      <c r="AQ46" s="1" t="n">
        <f aca="false">SUM(AQ3:AQ43)-MAX(AQ3:AQ43)</f>
        <v>241.714591542125</v>
      </c>
      <c r="AR46" s="0" t="n">
        <f aca="false">SUM('OD-APUMA(Val)'!C46:AQ46)</f>
        <v>2095171</v>
      </c>
      <c r="AS46" s="0" t="n">
        <f aca="false">MAX('OD-APUMA(Val)'!C46:AQ46)</f>
        <v>458328</v>
      </c>
      <c r="AT46" s="2" t="n">
        <f aca="false">SUM(C46:AQ46)/AR46</f>
        <v>0.0934910171700298</v>
      </c>
      <c r="AU46" s="3"/>
    </row>
    <row r="47" customFormat="false" ht="12.75" hidden="false" customHeight="false" outlineLevel="0" collapsed="false">
      <c r="A47" s="0" t="n">
        <v>0</v>
      </c>
      <c r="B47" s="0" t="s">
        <v>10</v>
      </c>
      <c r="C47" s="1" t="n">
        <f aca="false">SUM(C3:C43)</f>
        <v>738.540936343881</v>
      </c>
      <c r="D47" s="1" t="n">
        <f aca="false">SUM(D3:D43)</f>
        <v>402.702930892794</v>
      </c>
      <c r="E47" s="1" t="n">
        <f aca="false">SUM(E3:E43)</f>
        <v>655.188341525773</v>
      </c>
      <c r="F47" s="1" t="n">
        <f aca="false">SUM(F3:F43)</f>
        <v>440.84057844062</v>
      </c>
      <c r="G47" s="1" t="n">
        <f aca="false">SUM(G3:G43)</f>
        <v>2189.19839273091</v>
      </c>
      <c r="H47" s="1" t="n">
        <f aca="false">SUM(H3:H43)</f>
        <v>60.8866569093691</v>
      </c>
      <c r="I47" s="1" t="n">
        <f aca="false">SUM(I3:I43)</f>
        <v>373.382546918541</v>
      </c>
      <c r="J47" s="1" t="n">
        <f aca="false">SUM(J3:J43)</f>
        <v>279.248842314251</v>
      </c>
      <c r="K47" s="1" t="n">
        <f aca="false">SUM(K3:K43)</f>
        <v>958.441670823772</v>
      </c>
      <c r="L47" s="1" t="n">
        <f aca="false">SUM(L3:L43)</f>
        <v>7135.31196378667</v>
      </c>
      <c r="M47" s="1" t="n">
        <f aca="false">SUM(M3:M43)</f>
        <v>7221.07830664714</v>
      </c>
      <c r="N47" s="1" t="n">
        <f aca="false">SUM(N3:N43)</f>
        <v>346.768510246583</v>
      </c>
      <c r="O47" s="1" t="n">
        <f aca="false">SUM(O3:O43)</f>
        <v>7188.88631799467</v>
      </c>
      <c r="P47" s="1" t="n">
        <f aca="false">SUM(P3:P43)</f>
        <v>88992.0534783799</v>
      </c>
      <c r="Q47" s="1" t="n">
        <f aca="false">SUM(Q3:Q43)</f>
        <v>29784.4668782113</v>
      </c>
      <c r="R47" s="1" t="n">
        <f aca="false">SUM(R3:R43)</f>
        <v>167.071468740157</v>
      </c>
      <c r="S47" s="1" t="n">
        <f aca="false">SUM(S3:S43)</f>
        <v>1177.02359257666</v>
      </c>
      <c r="T47" s="1" t="n">
        <f aca="false">SUM(T3:T43)</f>
        <v>341.153658790786</v>
      </c>
      <c r="U47" s="1" t="n">
        <f aca="false">SUM(U3:U43)</f>
        <v>943.456629021331</v>
      </c>
      <c r="V47" s="1" t="n">
        <f aca="false">SUM(V3:V43)</f>
        <v>401.355574682083</v>
      </c>
      <c r="W47" s="1" t="n">
        <f aca="false">SUM(W3:W43)</f>
        <v>90.8242221577544</v>
      </c>
      <c r="X47" s="1" t="n">
        <f aca="false">SUM(X3:X43)</f>
        <v>1065.50321620615</v>
      </c>
      <c r="Y47" s="1" t="n">
        <f aca="false">SUM(Y3:Y43)</f>
        <v>1.45747307290388</v>
      </c>
      <c r="Z47" s="1" t="n">
        <f aca="false">SUM(Z3:Z43)</f>
        <v>372.070294569507</v>
      </c>
      <c r="AA47" s="1" t="n">
        <f aca="false">SUM(AA3:AA43)</f>
        <v>39242.4234766194</v>
      </c>
      <c r="AB47" s="1" t="n">
        <f aca="false">SUM(AB3:AB43)</f>
        <v>20665.1079271912</v>
      </c>
      <c r="AC47" s="1" t="n">
        <f aca="false">SUM(AC3:AC43)</f>
        <v>521.504371745325</v>
      </c>
      <c r="AD47" s="1" t="n">
        <f aca="false">SUM(AD3:AD43)</f>
        <v>465.996036116999</v>
      </c>
      <c r="AE47" s="1" t="n">
        <f aca="false">SUM(AE3:AE43)</f>
        <v>40829.0962993436</v>
      </c>
      <c r="AF47" s="1" t="n">
        <f aca="false">SUM(AF3:AF43)</f>
        <v>197.794110339002</v>
      </c>
      <c r="AG47" s="1" t="n">
        <f aca="false">SUM(AG3:AG43)</f>
        <v>29354.1899819708</v>
      </c>
      <c r="AH47" s="1" t="n">
        <f aca="false">SUM(AH3:AH43)</f>
        <v>5796.27441285395</v>
      </c>
      <c r="AI47" s="1" t="n">
        <f aca="false">SUM(AI3:AI43)</f>
        <v>7141.99568341553</v>
      </c>
      <c r="AJ47" s="1" t="n">
        <f aca="false">SUM(AJ3:AJ43)</f>
        <v>10408.6947855684</v>
      </c>
      <c r="AK47" s="1" t="n">
        <f aca="false">SUM(AK3:AK43)</f>
        <v>0</v>
      </c>
      <c r="AL47" s="1" t="n">
        <f aca="false">SUM(AL3:AL43)</f>
        <v>3244.56646615955</v>
      </c>
      <c r="AM47" s="1" t="n">
        <f aca="false">SUM(AM3:AM43)</f>
        <v>17457.3043629927</v>
      </c>
      <c r="AN47" s="1" t="n">
        <f aca="false">SUM(AN3:AN43)</f>
        <v>3429.86042589377</v>
      </c>
      <c r="AO47" s="1" t="n">
        <f aca="false">SUM(AO3:AO43)</f>
        <v>293.675033792243</v>
      </c>
      <c r="AP47" s="1" t="n">
        <f aca="false">SUM(AP3:AP43)</f>
        <v>857.486622784574</v>
      </c>
      <c r="AQ47" s="1" t="n">
        <f aca="false">SUM(AQ3:AQ43)</f>
        <v>1328.45821088835</v>
      </c>
      <c r="AR47" s="0" t="n">
        <f aca="false">SUM('OD-APUMA(Val)'!C47:AQ47)</f>
        <v>13839891</v>
      </c>
      <c r="AS47" s="0" t="n">
        <f aca="false">MAX('OD-APUMA(Val)'!C47:AQ47)</f>
        <v>4317976</v>
      </c>
      <c r="AT47" s="2" t="n">
        <f aca="false">SUM(C47:AQ47)/AR47</f>
        <v>0.0240291878519606</v>
      </c>
      <c r="AU47" s="3"/>
    </row>
    <row r="49" customFormat="false" ht="12.75" hidden="false" customHeight="false" outlineLevel="0" collapsed="false">
      <c r="B49" s="0" t="s">
        <v>11</v>
      </c>
      <c r="C49" s="0" t="n">
        <v>0.109673438720505</v>
      </c>
      <c r="D49" s="0" t="n">
        <v>0.0627067784012448</v>
      </c>
      <c r="E49" s="0" t="n">
        <v>0.0776565534580743</v>
      </c>
      <c r="F49" s="0" t="n">
        <v>0.067686254942518</v>
      </c>
      <c r="G49" s="0" t="n">
        <v>0.199999853163796</v>
      </c>
      <c r="H49" s="0" t="n">
        <v>0.0156641772342087</v>
      </c>
      <c r="I49" s="0" t="n">
        <v>0.0765912916755982</v>
      </c>
      <c r="J49" s="0" t="n">
        <v>0.0588511785699158</v>
      </c>
      <c r="K49" s="0" t="n">
        <v>0.116840384106275</v>
      </c>
      <c r="L49" s="0" t="n">
        <v>0.276787771588761</v>
      </c>
      <c r="M49" s="0" t="n">
        <v>0.27416957653</v>
      </c>
      <c r="N49" s="0" t="n">
        <v>0.0757798317846554</v>
      </c>
      <c r="O49" s="0" t="n">
        <v>0.22497610058192</v>
      </c>
      <c r="P49" s="0" t="n">
        <v>0.348125639506712</v>
      </c>
      <c r="Q49" s="0" t="n">
        <v>0.267309863118129</v>
      </c>
      <c r="R49" s="0" t="n">
        <v>0.0369300328780188</v>
      </c>
      <c r="S49" s="0" t="n">
        <v>0.136150791506843</v>
      </c>
      <c r="T49" s="0" t="n">
        <v>0.0510556208905696</v>
      </c>
      <c r="U49" s="0" t="n">
        <v>0.129134496170453</v>
      </c>
      <c r="V49" s="0" t="n">
        <v>0.0296006766488741</v>
      </c>
      <c r="W49" s="0" t="n">
        <v>0.014345952007227</v>
      </c>
      <c r="X49" s="0" t="n">
        <v>0.0785074577222335</v>
      </c>
      <c r="Y49" s="0" t="n">
        <v>0.00101002984955224</v>
      </c>
      <c r="Z49" s="0" t="n">
        <v>0.0443733207596311</v>
      </c>
      <c r="AA49" s="0" t="n">
        <v>0.215141327042973</v>
      </c>
      <c r="AB49" s="0" t="n">
        <v>0.210965320067288</v>
      </c>
      <c r="AC49" s="0" t="n">
        <v>0.0275330960216105</v>
      </c>
      <c r="AD49" s="0" t="n">
        <v>0.0287687391108161</v>
      </c>
      <c r="AE49" s="0" t="n">
        <v>0.0890827012518187</v>
      </c>
      <c r="AF49" s="0" t="n">
        <v>0.0195313627272639</v>
      </c>
      <c r="AG49" s="0" t="n">
        <v>0.127391515599309</v>
      </c>
      <c r="AH49" s="0" t="n">
        <v>0.0959886463998336</v>
      </c>
      <c r="AI49" s="0" t="n">
        <v>0.0957949927357727</v>
      </c>
      <c r="AJ49" s="0" t="n">
        <v>0.118758355036949</v>
      </c>
      <c r="AK49" s="0" t="n">
        <v>0</v>
      </c>
      <c r="AL49" s="0" t="n">
        <v>0.143520434651195</v>
      </c>
      <c r="AM49" s="0" t="n">
        <v>0.117158398742284</v>
      </c>
      <c r="AN49" s="0" t="n">
        <v>0.137128595310002</v>
      </c>
      <c r="AO49" s="0" t="n">
        <v>0.0265456959045687</v>
      </c>
      <c r="AP49" s="0" t="n">
        <v>0.058945942310069</v>
      </c>
      <c r="AQ49" s="0" t="n">
        <v>0.049848338119638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12</v>
      </c>
      <c r="B1" s="0" t="s">
        <v>11</v>
      </c>
      <c r="D1" s="0" t="s">
        <v>13</v>
      </c>
      <c r="E1" s="0" t="s">
        <v>14</v>
      </c>
    </row>
    <row r="2" customFormat="false" ht="12.75" hidden="false" customHeight="false" outlineLevel="0" collapsed="false">
      <c r="A2" s="0" t="n">
        <v>360</v>
      </c>
      <c r="B2" s="0" t="n">
        <v>0.125160986042157</v>
      </c>
      <c r="D2" s="0" t="n">
        <v>680</v>
      </c>
      <c r="E2" s="0" t="n">
        <v>0.0266891438617458</v>
      </c>
    </row>
    <row r="3" customFormat="false" ht="12.75" hidden="false" customHeight="false" outlineLevel="0" collapsed="false">
      <c r="A3" s="0" t="n">
        <v>680</v>
      </c>
      <c r="B3" s="0" t="n">
        <v>0.0266887424217458</v>
      </c>
      <c r="D3" s="0" t="n">
        <v>1620</v>
      </c>
      <c r="E3" s="0" t="n">
        <v>0.0135997249285971</v>
      </c>
    </row>
    <row r="4" customFormat="false" ht="12.75" hidden="false" customHeight="false" outlineLevel="0" collapsed="false">
      <c r="A4" s="0" t="n">
        <v>1620</v>
      </c>
      <c r="B4" s="0" t="n">
        <v>0.0135982697085971</v>
      </c>
      <c r="D4" s="0" t="n">
        <v>2840</v>
      </c>
      <c r="E4" s="0" t="n">
        <v>0.025461310712278</v>
      </c>
    </row>
    <row r="5" customFormat="false" ht="12.75" hidden="false" customHeight="false" outlineLevel="0" collapsed="false">
      <c r="A5" s="0" t="n">
        <v>2840</v>
      </c>
      <c r="B5" s="0" t="n">
        <v>0.025461310712278</v>
      </c>
      <c r="D5" s="0" t="n">
        <v>4472</v>
      </c>
      <c r="E5" s="0" t="n">
        <v>0.0266760281764061</v>
      </c>
    </row>
    <row r="6" customFormat="false" ht="12.75" hidden="false" customHeight="false" outlineLevel="0" collapsed="false">
      <c r="A6" s="0" t="n">
        <v>4480</v>
      </c>
      <c r="B6" s="0" t="n">
        <v>0.0871724587029013</v>
      </c>
      <c r="D6" s="0" t="n">
        <v>4940</v>
      </c>
      <c r="E6" s="0" t="n">
        <v>0.0489124071397815</v>
      </c>
    </row>
    <row r="7" customFormat="false" ht="12.75" hidden="false" customHeight="false" outlineLevel="0" collapsed="false">
      <c r="A7" s="0" t="n">
        <v>4940</v>
      </c>
      <c r="B7" s="0" t="n">
        <v>0.0489124071397815</v>
      </c>
      <c r="D7" s="0" t="n">
        <v>5170</v>
      </c>
      <c r="E7" s="0" t="n">
        <v>0.0567923719913111</v>
      </c>
    </row>
    <row r="8" customFormat="false" ht="12.75" hidden="false" customHeight="false" outlineLevel="0" collapsed="false">
      <c r="A8" s="0" t="n">
        <v>5170</v>
      </c>
      <c r="B8" s="0" t="n">
        <v>0.0567915691113111</v>
      </c>
      <c r="D8" s="0" t="n">
        <v>6690</v>
      </c>
      <c r="E8" s="0" t="n">
        <v>0.0754532874105627</v>
      </c>
    </row>
    <row r="9" customFormat="false" ht="12.75" hidden="false" customHeight="false" outlineLevel="0" collapsed="false">
      <c r="A9" s="0" t="n">
        <v>5775</v>
      </c>
      <c r="B9" s="0" t="n">
        <v>0.111640719181282</v>
      </c>
      <c r="D9" s="0" t="n">
        <v>6920</v>
      </c>
      <c r="E9" s="0" t="n">
        <v>0.0104182262112239</v>
      </c>
    </row>
    <row r="10" customFormat="false" ht="12.75" hidden="false" customHeight="false" outlineLevel="0" collapsed="false">
      <c r="A10" s="0" t="n">
        <v>6000</v>
      </c>
      <c r="B10" s="0" t="n">
        <v>0.0477264451051885</v>
      </c>
      <c r="D10" s="0" t="n">
        <v>7120</v>
      </c>
      <c r="E10" s="0" t="n">
        <v>0.017465267123025</v>
      </c>
    </row>
    <row r="11" customFormat="false" ht="12.75" hidden="false" customHeight="false" outlineLevel="0" collapsed="false">
      <c r="A11" s="0" t="n">
        <v>6690</v>
      </c>
      <c r="B11" s="0" t="n">
        <v>0.0754507784105627</v>
      </c>
      <c r="D11" s="0" t="n">
        <v>7320</v>
      </c>
      <c r="E11" s="0" t="n">
        <v>-0.0111072570320236</v>
      </c>
    </row>
    <row r="12" customFormat="false" ht="12.75" hidden="false" customHeight="false" outlineLevel="0" collapsed="false">
      <c r="A12" s="0" t="n">
        <v>6780</v>
      </c>
      <c r="B12" s="0" t="n">
        <v>0.0388183480017418</v>
      </c>
      <c r="D12" s="0" t="n">
        <v>7362</v>
      </c>
      <c r="E12" s="0" t="n">
        <v>0.0105783553739893</v>
      </c>
    </row>
    <row r="13" customFormat="false" ht="12.75" hidden="false" customHeight="false" outlineLevel="0" collapsed="false">
      <c r="A13" s="0" t="n">
        <v>6920</v>
      </c>
      <c r="B13" s="0" t="n">
        <v>0.0104155164912239</v>
      </c>
      <c r="D13" s="0" t="n">
        <v>7480</v>
      </c>
      <c r="E13" s="0" t="n">
        <v>0.0275124955045918</v>
      </c>
    </row>
    <row r="14" customFormat="false" ht="12.75" hidden="false" customHeight="false" outlineLevel="0" collapsed="false">
      <c r="A14" s="0" t="n">
        <v>7120</v>
      </c>
      <c r="B14" s="0" t="n">
        <v>0.017464163163025</v>
      </c>
      <c r="D14" s="0" t="n">
        <v>8120</v>
      </c>
      <c r="E14" s="0" t="n">
        <v>0.141175071312879</v>
      </c>
    </row>
    <row r="15" customFormat="false" ht="12.75" hidden="false" customHeight="false" outlineLevel="0" collapsed="false">
      <c r="A15" s="0" t="n">
        <v>7320</v>
      </c>
      <c r="B15" s="0" t="n">
        <v>-0.0111263254320236</v>
      </c>
      <c r="D15" s="0" t="n">
        <v>8780</v>
      </c>
      <c r="E15" s="0" t="n">
        <v>0.0122894886773079</v>
      </c>
    </row>
    <row r="16" customFormat="false" ht="12.75" hidden="false" customHeight="false" outlineLevel="0" collapsed="false">
      <c r="A16" s="0" t="n">
        <v>7360</v>
      </c>
      <c r="B16" s="0" t="n">
        <v>0.180293208250564</v>
      </c>
      <c r="D16" s="0" t="n">
        <v>9340</v>
      </c>
      <c r="E16" s="0" t="n">
        <v>0.0566884920693566</v>
      </c>
    </row>
    <row r="17" customFormat="false" ht="12.75" hidden="false" customHeight="false" outlineLevel="0" collapsed="false">
      <c r="A17" s="0" t="n">
        <v>7400</v>
      </c>
      <c r="B17" s="0" t="n">
        <v>0.114917824540813</v>
      </c>
      <c r="D17" s="0" t="n">
        <v>9999</v>
      </c>
      <c r="E17" s="0" t="n">
        <v>0.0689491002788449</v>
      </c>
    </row>
    <row r="18" customFormat="false" ht="12.75" hidden="false" customHeight="false" outlineLevel="0" collapsed="false">
      <c r="A18" s="0" t="n">
        <v>7480</v>
      </c>
      <c r="B18" s="0" t="n">
        <v>0.0275124955045918</v>
      </c>
    </row>
    <row r="19" customFormat="false" ht="12.75" hidden="false" customHeight="false" outlineLevel="0" collapsed="false">
      <c r="A19" s="0" t="n">
        <v>7485</v>
      </c>
      <c r="B19" s="0" t="n">
        <v>0.0763044645401015</v>
      </c>
    </row>
    <row r="20" customFormat="false" ht="12.75" hidden="false" customHeight="false" outlineLevel="0" collapsed="false">
      <c r="A20" s="0" t="n">
        <v>7500</v>
      </c>
      <c r="B20" s="0" t="n">
        <v>0.0244641329771996</v>
      </c>
    </row>
    <row r="21" customFormat="false" ht="12.75" hidden="false" customHeight="false" outlineLevel="0" collapsed="false">
      <c r="A21" s="0" t="n">
        <v>8120</v>
      </c>
      <c r="B21" s="0" t="n">
        <v>0.141174619692879</v>
      </c>
    </row>
    <row r="22" customFormat="false" ht="12.75" hidden="false" customHeight="false" outlineLevel="0" collapsed="false">
      <c r="A22" s="0" t="n">
        <v>8720</v>
      </c>
      <c r="B22" s="0" t="n">
        <v>0.075989171974614</v>
      </c>
    </row>
    <row r="23" customFormat="false" ht="12.75" hidden="false" customHeight="false" outlineLevel="0" collapsed="false">
      <c r="A23" s="0" t="n">
        <v>8780</v>
      </c>
      <c r="B23" s="0" t="n">
        <v>0.0122891374173079</v>
      </c>
    </row>
    <row r="24" customFormat="false" ht="12.75" hidden="false" customHeight="false" outlineLevel="0" collapsed="false">
      <c r="A24" s="0" t="n">
        <v>9340</v>
      </c>
      <c r="B24" s="0" t="n">
        <v>0.0566884920693566</v>
      </c>
    </row>
    <row r="25" customFormat="false" ht="12.75" hidden="false" customHeight="false" outlineLevel="0" collapsed="false">
      <c r="A25" s="0" t="n">
        <v>9999</v>
      </c>
      <c r="B25" s="0" t="n">
        <v>0.0688200874988449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2" min="1" style="0" width="6.41"/>
    <col collapsed="false" customWidth="true" hidden="false" outlineLevel="0" max="3" min="3" style="0" width="12.99"/>
    <col collapsed="false" customWidth="true" hidden="false" outlineLevel="0" max="4" min="4" style="0" width="6.41"/>
    <col collapsed="false" customWidth="true" hidden="false" outlineLevel="0" max="5" min="5" style="0" width="31.42"/>
    <col collapsed="false" customWidth="true" hidden="false" outlineLevel="0" max="7" min="6" style="0" width="6.41"/>
    <col collapsed="false" customWidth="true" hidden="false" outlineLevel="0" max="8" min="8" style="0" width="7.7"/>
    <col collapsed="false" customWidth="true" hidden="false" outlineLevel="0" max="14" min="14" style="0" width="9.41"/>
  </cols>
  <sheetData>
    <row r="1" customFormat="false" ht="13.5" hidden="false" customHeight="false" outlineLevel="0" collapsed="false">
      <c r="B1" s="4"/>
      <c r="C1" s="4" t="s">
        <v>15</v>
      </c>
      <c r="G1" s="4"/>
      <c r="H1" s="4"/>
    </row>
    <row r="2" customFormat="false" ht="12.75" hidden="false" customHeight="false" outlineLevel="0" collapsed="false">
      <c r="A2" s="5" t="s">
        <v>16</v>
      </c>
      <c r="B2" s="5"/>
      <c r="C2" s="6" t="s">
        <v>17</v>
      </c>
      <c r="D2" s="7" t="s">
        <v>18</v>
      </c>
      <c r="E2" s="7" t="s">
        <v>19</v>
      </c>
      <c r="F2" s="8" t="s">
        <v>18</v>
      </c>
      <c r="G2" s="5"/>
      <c r="H2" s="5" t="s">
        <v>20</v>
      </c>
    </row>
    <row r="3" customFormat="false" ht="12.75" hidden="false" customHeight="false" outlineLevel="0" collapsed="false">
      <c r="A3" s="9" t="n">
        <v>680</v>
      </c>
      <c r="B3" s="9"/>
      <c r="C3" s="10" t="s">
        <v>21</v>
      </c>
      <c r="D3" s="11" t="n">
        <v>0.0266891438617458</v>
      </c>
      <c r="E3" s="12" t="s">
        <v>22</v>
      </c>
      <c r="F3" s="13" t="n">
        <v>0.0266891438617458</v>
      </c>
      <c r="G3" s="14"/>
      <c r="H3" s="9" t="n">
        <v>89</v>
      </c>
    </row>
    <row r="4" customFormat="false" ht="12.75" hidden="false" customHeight="false" outlineLevel="0" collapsed="false">
      <c r="A4" s="9" t="n">
        <v>1620</v>
      </c>
      <c r="B4" s="9"/>
      <c r="C4" s="15" t="s">
        <v>23</v>
      </c>
      <c r="D4" s="14" t="n">
        <v>0.0135997249285971</v>
      </c>
      <c r="E4" s="9" t="s">
        <v>24</v>
      </c>
      <c r="F4" s="16" t="n">
        <v>0.0135997249285971</v>
      </c>
      <c r="G4" s="14"/>
      <c r="H4" s="9" t="n">
        <v>6</v>
      </c>
    </row>
    <row r="5" customFormat="false" ht="12.75" hidden="false" customHeight="false" outlineLevel="0" collapsed="false">
      <c r="A5" s="9" t="n">
        <v>2840</v>
      </c>
      <c r="B5" s="9"/>
      <c r="C5" s="17" t="s">
        <v>25</v>
      </c>
      <c r="D5" s="18" t="n">
        <v>0.025461310712278</v>
      </c>
      <c r="E5" s="19" t="s">
        <v>26</v>
      </c>
      <c r="F5" s="20" t="n">
        <v>0.025461310712278</v>
      </c>
      <c r="G5" s="14"/>
      <c r="H5" s="9" t="n">
        <v>88</v>
      </c>
    </row>
    <row r="6" customFormat="false" ht="12.75" hidden="false" customHeight="false" outlineLevel="0" collapsed="false">
      <c r="A6" s="9" t="n">
        <v>4472</v>
      </c>
      <c r="B6" s="9"/>
      <c r="C6" s="10" t="s">
        <v>27</v>
      </c>
      <c r="D6" s="11" t="n">
        <v>0.0266760281764061</v>
      </c>
      <c r="E6" s="12" t="s">
        <v>28</v>
      </c>
      <c r="F6" s="13" t="n">
        <v>0.125164950262157</v>
      </c>
      <c r="G6" s="14"/>
      <c r="H6" s="9" t="n">
        <v>92</v>
      </c>
    </row>
    <row r="7" customFormat="false" ht="12.75" hidden="false" customHeight="false" outlineLevel="0" collapsed="false">
      <c r="A7" s="9"/>
      <c r="B7" s="9"/>
      <c r="C7" s="15"/>
      <c r="D7" s="14"/>
      <c r="E7" s="9" t="s">
        <v>27</v>
      </c>
      <c r="F7" s="16" t="n">
        <v>0.0871874123429013</v>
      </c>
      <c r="G7" s="14"/>
      <c r="H7" s="9" t="n">
        <v>90</v>
      </c>
    </row>
    <row r="8" customFormat="false" ht="12.75" hidden="false" customHeight="false" outlineLevel="0" collapsed="false">
      <c r="A8" s="9"/>
      <c r="B8" s="9"/>
      <c r="C8" s="15"/>
      <c r="D8" s="14"/>
      <c r="E8" s="9" t="s">
        <v>29</v>
      </c>
      <c r="F8" s="16" t="n">
        <v>0.0477266960051885</v>
      </c>
      <c r="G8" s="14"/>
      <c r="H8" s="9" t="n">
        <v>103</v>
      </c>
    </row>
    <row r="9" customFormat="false" ht="12.75" hidden="false" customHeight="false" outlineLevel="0" collapsed="false">
      <c r="A9" s="9"/>
      <c r="B9" s="9"/>
      <c r="C9" s="15"/>
      <c r="D9" s="14"/>
      <c r="E9" s="9" t="s">
        <v>30</v>
      </c>
      <c r="F9" s="16" t="n">
        <v>0.093783846789006</v>
      </c>
      <c r="G9" s="14"/>
      <c r="H9" s="9" t="n">
        <v>93</v>
      </c>
    </row>
    <row r="10" customFormat="false" ht="12.75" hidden="false" customHeight="false" outlineLevel="0" collapsed="false">
      <c r="A10" s="9"/>
      <c r="B10" s="9"/>
      <c r="C10" s="17"/>
      <c r="D10" s="18"/>
      <c r="E10" s="19" t="s">
        <v>31</v>
      </c>
      <c r="F10" s="20" t="n">
        <v>0.116512941571115</v>
      </c>
      <c r="G10" s="14"/>
      <c r="H10" s="9" t="n">
        <v>95</v>
      </c>
    </row>
    <row r="11" customFormat="false" ht="12.75" hidden="false" customHeight="false" outlineLevel="0" collapsed="false">
      <c r="A11" s="9" t="n">
        <v>4940</v>
      </c>
      <c r="B11" s="9"/>
      <c r="C11" s="15" t="s">
        <v>32</v>
      </c>
      <c r="D11" s="14" t="n">
        <v>0.0489124071397815</v>
      </c>
      <c r="E11" s="9" t="s">
        <v>33</v>
      </c>
      <c r="F11" s="16" t="n">
        <v>0.0489124071397815</v>
      </c>
      <c r="G11" s="14"/>
      <c r="H11" s="9" t="n">
        <v>30</v>
      </c>
    </row>
    <row r="12" customFormat="false" ht="12.75" hidden="false" customHeight="false" outlineLevel="0" collapsed="false">
      <c r="A12" s="9" t="n">
        <v>5170</v>
      </c>
      <c r="B12" s="9"/>
      <c r="C12" s="15" t="s">
        <v>34</v>
      </c>
      <c r="D12" s="14" t="n">
        <v>0.0567923719913111</v>
      </c>
      <c r="E12" s="9" t="s">
        <v>35</v>
      </c>
      <c r="F12" s="16" t="n">
        <v>0.0567923719913111</v>
      </c>
      <c r="G12" s="14"/>
      <c r="H12" s="9" t="n">
        <v>101</v>
      </c>
    </row>
    <row r="13" customFormat="false" ht="12.75" hidden="false" customHeight="false" outlineLevel="0" collapsed="false">
      <c r="A13" s="9" t="n">
        <v>6690</v>
      </c>
      <c r="B13" s="9"/>
      <c r="C13" s="15" t="s">
        <v>36</v>
      </c>
      <c r="D13" s="14" t="n">
        <v>0.0754532874105627</v>
      </c>
      <c r="E13" s="9" t="s">
        <v>37</v>
      </c>
      <c r="F13" s="16" t="n">
        <v>0.0754532874105627</v>
      </c>
      <c r="G13" s="14"/>
      <c r="H13" s="9" t="n">
        <v>3</v>
      </c>
    </row>
    <row r="14" customFormat="false" ht="12.75" hidden="false" customHeight="false" outlineLevel="0" collapsed="false">
      <c r="A14" s="9" t="n">
        <v>6920</v>
      </c>
      <c r="B14" s="9"/>
      <c r="C14" s="10" t="s">
        <v>38</v>
      </c>
      <c r="D14" s="11" t="n">
        <v>0.0104182262112239</v>
      </c>
      <c r="E14" s="12" t="s">
        <v>39</v>
      </c>
      <c r="F14" s="13" t="n">
        <v>0.274141529419567</v>
      </c>
      <c r="G14" s="14"/>
      <c r="H14" s="9" t="n">
        <v>10</v>
      </c>
    </row>
    <row r="15" customFormat="false" ht="12.75" hidden="false" customHeight="false" outlineLevel="0" collapsed="false">
      <c r="A15" s="9"/>
      <c r="B15" s="9"/>
      <c r="C15" s="15"/>
      <c r="D15" s="14"/>
      <c r="E15" s="9" t="s">
        <v>40</v>
      </c>
      <c r="F15" s="16" t="n">
        <v>0.271530292399263</v>
      </c>
      <c r="G15" s="14"/>
      <c r="H15" s="9" t="n">
        <v>11</v>
      </c>
    </row>
    <row r="16" customFormat="false" ht="12.75" hidden="false" customHeight="false" outlineLevel="0" collapsed="false">
      <c r="A16" s="9"/>
      <c r="B16" s="9"/>
      <c r="C16" s="15"/>
      <c r="D16" s="14"/>
      <c r="E16" s="9" t="s">
        <v>41</v>
      </c>
      <c r="F16" s="16" t="n">
        <v>0.0735795958169333</v>
      </c>
      <c r="G16" s="14"/>
      <c r="H16" s="9" t="n">
        <v>12</v>
      </c>
    </row>
    <row r="17" customFormat="false" ht="12.75" hidden="false" customHeight="false" outlineLevel="0" collapsed="false">
      <c r="A17" s="9"/>
      <c r="B17" s="9"/>
      <c r="C17" s="17"/>
      <c r="D17" s="18"/>
      <c r="E17" s="19" t="s">
        <v>42</v>
      </c>
      <c r="F17" s="20" t="n">
        <v>0.0935856534742518</v>
      </c>
      <c r="G17" s="14"/>
      <c r="H17" s="9" t="n">
        <v>94</v>
      </c>
    </row>
    <row r="18" customFormat="false" ht="12.75" hidden="false" customHeight="false" outlineLevel="0" collapsed="false">
      <c r="A18" s="9" t="n">
        <v>7120</v>
      </c>
      <c r="B18" s="9"/>
      <c r="C18" s="15" t="s">
        <v>43</v>
      </c>
      <c r="D18" s="14" t="n">
        <v>0.017465267123025</v>
      </c>
      <c r="E18" s="9" t="s">
        <v>44</v>
      </c>
      <c r="F18" s="16" t="n">
        <v>0.017465267123025</v>
      </c>
      <c r="G18" s="14"/>
      <c r="H18" s="9" t="n">
        <v>91</v>
      </c>
    </row>
    <row r="19" customFormat="false" ht="12.75" hidden="false" customHeight="false" outlineLevel="0" collapsed="false">
      <c r="A19" s="9" t="n">
        <v>7320</v>
      </c>
      <c r="B19" s="9"/>
      <c r="C19" s="15" t="s">
        <v>45</v>
      </c>
      <c r="D19" s="21" t="n">
        <v>0</v>
      </c>
      <c r="E19" s="21" t="s">
        <v>46</v>
      </c>
      <c r="F19" s="22" t="n">
        <v>0</v>
      </c>
      <c r="G19" s="14"/>
      <c r="H19" s="9" t="n">
        <v>96</v>
      </c>
    </row>
    <row r="20" customFormat="false" ht="12.75" hidden="false" customHeight="false" outlineLevel="0" collapsed="false">
      <c r="A20" s="9" t="n">
        <v>7362</v>
      </c>
      <c r="B20" s="9"/>
      <c r="C20" s="10" t="s">
        <v>47</v>
      </c>
      <c r="D20" s="11" t="n">
        <v>0.0105783553739893</v>
      </c>
      <c r="E20" s="12" t="s">
        <v>48</v>
      </c>
      <c r="F20" s="13" t="n">
        <v>0.212675432046847</v>
      </c>
      <c r="G20" s="14"/>
      <c r="H20" s="9" t="n">
        <v>86</v>
      </c>
    </row>
    <row r="21" customFormat="false" ht="12.75" hidden="false" customHeight="false" outlineLevel="0" collapsed="false">
      <c r="A21" s="9"/>
      <c r="B21" s="9"/>
      <c r="C21" s="15"/>
      <c r="D21" s="14"/>
      <c r="E21" s="9" t="s">
        <v>49</v>
      </c>
      <c r="F21" s="16" t="n">
        <v>0.208490843349996</v>
      </c>
      <c r="G21" s="14"/>
      <c r="H21" s="9" t="n">
        <v>87</v>
      </c>
    </row>
    <row r="22" customFormat="false" ht="12.75" hidden="false" customHeight="false" outlineLevel="0" collapsed="false">
      <c r="A22" s="9"/>
      <c r="B22" s="9"/>
      <c r="C22" s="15"/>
      <c r="D22" s="14"/>
      <c r="E22" s="9" t="s">
        <v>50</v>
      </c>
      <c r="F22" s="16" t="n">
        <v>0.222448355201641</v>
      </c>
      <c r="G22" s="14"/>
      <c r="H22" s="9" t="n">
        <v>15</v>
      </c>
    </row>
    <row r="23" customFormat="false" ht="12.75" hidden="false" customHeight="false" outlineLevel="0" collapsed="false">
      <c r="A23" s="9"/>
      <c r="B23" s="9"/>
      <c r="C23" s="15"/>
      <c r="D23" s="14"/>
      <c r="E23" s="9" t="s">
        <v>51</v>
      </c>
      <c r="F23" s="16" t="n">
        <v>0.345343608765936</v>
      </c>
      <c r="G23" s="14"/>
      <c r="H23" s="9" t="n">
        <v>19</v>
      </c>
    </row>
    <row r="24" customFormat="false" ht="12.75" hidden="false" customHeight="false" outlineLevel="0" collapsed="false">
      <c r="A24" s="9"/>
      <c r="B24" s="9"/>
      <c r="C24" s="15"/>
      <c r="D24" s="14"/>
      <c r="E24" s="9" t="s">
        <v>52</v>
      </c>
      <c r="F24" s="16" t="n">
        <v>0.264704801979505</v>
      </c>
      <c r="G24" s="14"/>
      <c r="H24" s="9" t="n">
        <v>22</v>
      </c>
    </row>
    <row r="25" customFormat="false" ht="12.75" hidden="false" customHeight="false" outlineLevel="0" collapsed="false">
      <c r="A25" s="9"/>
      <c r="B25" s="9"/>
      <c r="C25" s="15"/>
      <c r="D25" s="14"/>
      <c r="E25" s="9" t="s">
        <v>53</v>
      </c>
      <c r="F25" s="16" t="n">
        <v>0.114918878320813</v>
      </c>
      <c r="G25" s="14"/>
      <c r="H25" s="9" t="n">
        <v>98</v>
      </c>
    </row>
    <row r="26" customFormat="false" ht="12.75" hidden="false" customHeight="false" outlineLevel="0" collapsed="false">
      <c r="A26" s="9"/>
      <c r="B26" s="9"/>
      <c r="C26" s="15"/>
      <c r="D26" s="14"/>
      <c r="E26" s="9" t="s">
        <v>54</v>
      </c>
      <c r="F26" s="16" t="n">
        <v>0.0763052674201015</v>
      </c>
      <c r="G26" s="14"/>
      <c r="H26" s="9" t="n">
        <v>76</v>
      </c>
    </row>
    <row r="27" customFormat="false" ht="12.75" hidden="false" customHeight="false" outlineLevel="0" collapsed="false">
      <c r="A27" s="9"/>
      <c r="B27" s="9"/>
      <c r="C27" s="15"/>
      <c r="D27" s="14"/>
      <c r="E27" s="9" t="s">
        <v>55</v>
      </c>
      <c r="F27" s="16" t="n">
        <v>0.0244647351371996</v>
      </c>
      <c r="G27" s="14"/>
      <c r="H27" s="9" t="n">
        <v>100</v>
      </c>
    </row>
    <row r="28" customFormat="false" ht="12.75" hidden="false" customHeight="false" outlineLevel="0" collapsed="false">
      <c r="A28" s="9"/>
      <c r="B28" s="9"/>
      <c r="C28" s="15"/>
      <c r="D28" s="14"/>
      <c r="E28" s="9" t="s">
        <v>56</v>
      </c>
      <c r="F28" s="16" t="n">
        <v>0.114548363328434</v>
      </c>
      <c r="G28" s="14"/>
      <c r="H28" s="9" t="n">
        <v>9</v>
      </c>
    </row>
    <row r="29" customFormat="false" ht="12.75" hidden="false" customHeight="false" outlineLevel="0" collapsed="false">
      <c r="A29" s="9"/>
      <c r="B29" s="9"/>
      <c r="C29" s="17"/>
      <c r="D29" s="18"/>
      <c r="E29" s="19" t="s">
        <v>57</v>
      </c>
      <c r="F29" s="20" t="n">
        <v>0.134800480585837</v>
      </c>
      <c r="G29" s="14"/>
      <c r="H29" s="9" t="n">
        <v>99</v>
      </c>
    </row>
    <row r="30" customFormat="false" ht="12.75" hidden="false" customHeight="false" outlineLevel="0" collapsed="false">
      <c r="A30" s="9" t="n">
        <v>7480</v>
      </c>
      <c r="B30" s="9"/>
      <c r="C30" s="15" t="s">
        <v>58</v>
      </c>
      <c r="D30" s="14" t="n">
        <v>0.0275124955045918</v>
      </c>
      <c r="E30" s="9" t="s">
        <v>59</v>
      </c>
      <c r="F30" s="16" t="n">
        <v>0.0275124955045918</v>
      </c>
      <c r="G30" s="14"/>
      <c r="H30" s="9" t="n">
        <v>32</v>
      </c>
    </row>
    <row r="31" customFormat="false" ht="12.75" hidden="false" customHeight="false" outlineLevel="0" collapsed="false">
      <c r="A31" s="9" t="n">
        <v>8120</v>
      </c>
      <c r="B31" s="9"/>
      <c r="C31" s="15" t="s">
        <v>60</v>
      </c>
      <c r="D31" s="14" t="n">
        <v>0.141175071312879</v>
      </c>
      <c r="E31" s="9" t="s">
        <v>61</v>
      </c>
      <c r="F31" s="16" t="n">
        <v>0.141175071312879</v>
      </c>
      <c r="G31" s="14"/>
      <c r="H31" s="9" t="n">
        <v>97</v>
      </c>
    </row>
    <row r="32" customFormat="false" ht="12.75" hidden="false" customHeight="false" outlineLevel="0" collapsed="false">
      <c r="A32" s="9" t="n">
        <v>8780</v>
      </c>
      <c r="B32" s="9"/>
      <c r="C32" s="15" t="s">
        <v>62</v>
      </c>
      <c r="D32" s="14" t="n">
        <v>0.0122894886773079</v>
      </c>
      <c r="E32" s="9" t="s">
        <v>63</v>
      </c>
      <c r="F32" s="16" t="n">
        <v>0.0122894886773079</v>
      </c>
      <c r="G32" s="14"/>
      <c r="H32" s="9" t="n">
        <v>75</v>
      </c>
    </row>
    <row r="33" customFormat="false" ht="12.75" hidden="false" customHeight="false" outlineLevel="0" collapsed="false">
      <c r="A33" s="9" t="n">
        <v>9340</v>
      </c>
      <c r="B33" s="9"/>
      <c r="C33" s="15" t="s">
        <v>64</v>
      </c>
      <c r="D33" s="14" t="n">
        <v>0.0566884920693566</v>
      </c>
      <c r="E33" s="9" t="s">
        <v>65</v>
      </c>
      <c r="F33" s="16" t="n">
        <v>0.0566884920693566</v>
      </c>
      <c r="G33" s="14"/>
      <c r="H33" s="9" t="n">
        <v>8</v>
      </c>
    </row>
    <row r="34" customFormat="false" ht="12.75" hidden="false" customHeight="false" outlineLevel="0" collapsed="false">
      <c r="A34" s="9" t="n">
        <v>9999</v>
      </c>
      <c r="B34" s="9"/>
      <c r="C34" s="10" t="s">
        <v>66</v>
      </c>
      <c r="D34" s="11" t="n">
        <v>0.0689491002788449</v>
      </c>
      <c r="E34" s="12" t="s">
        <v>67</v>
      </c>
      <c r="F34" s="13" t="n">
        <v>0.107397217577055</v>
      </c>
      <c r="G34" s="14"/>
      <c r="H34" s="9" t="n">
        <v>1</v>
      </c>
    </row>
    <row r="35" customFormat="false" ht="12.75" hidden="false" customHeight="false" outlineLevel="0" collapsed="false">
      <c r="A35" s="9"/>
      <c r="B35" s="9"/>
      <c r="C35" s="15"/>
      <c r="D35" s="14"/>
      <c r="E35" s="9" t="s">
        <v>68</v>
      </c>
      <c r="F35" s="16" t="n">
        <v>0.0605355276921703</v>
      </c>
      <c r="G35" s="14"/>
      <c r="H35" s="9" t="n">
        <v>2</v>
      </c>
    </row>
    <row r="36" customFormat="false" ht="12.75" hidden="false" customHeight="false" outlineLevel="0" collapsed="false">
      <c r="A36" s="9"/>
      <c r="B36" s="9"/>
      <c r="C36" s="15"/>
      <c r="D36" s="14"/>
      <c r="E36" s="9" t="s">
        <v>69</v>
      </c>
      <c r="F36" s="16" t="n">
        <v>0.0655042926289209</v>
      </c>
      <c r="G36" s="14"/>
      <c r="H36" s="9" t="n">
        <v>4</v>
      </c>
    </row>
    <row r="37" customFormat="false" ht="12.75" hidden="false" customHeight="false" outlineLevel="0" collapsed="false">
      <c r="A37" s="9"/>
      <c r="B37" s="9"/>
      <c r="C37" s="15"/>
      <c r="D37" s="14"/>
      <c r="E37" s="9" t="s">
        <v>70</v>
      </c>
      <c r="F37" s="16" t="n">
        <v>0.197522666399954</v>
      </c>
      <c r="G37" s="14"/>
      <c r="H37" s="9" t="n">
        <v>5</v>
      </c>
    </row>
    <row r="38" customFormat="false" ht="12.75" hidden="false" customHeight="false" outlineLevel="0" collapsed="false">
      <c r="A38" s="9"/>
      <c r="B38" s="9"/>
      <c r="C38" s="15"/>
      <c r="D38" s="14"/>
      <c r="E38" s="9" t="s">
        <v>71</v>
      </c>
      <c r="F38" s="16" t="n">
        <v>0.0743884546562539</v>
      </c>
      <c r="G38" s="14"/>
      <c r="H38" s="9" t="n">
        <v>7</v>
      </c>
    </row>
    <row r="39" customFormat="false" ht="12.75" hidden="false" customHeight="false" outlineLevel="0" collapsed="false">
      <c r="A39" s="9"/>
      <c r="B39" s="9"/>
      <c r="C39" s="15"/>
      <c r="D39" s="14"/>
      <c r="E39" s="9" t="s">
        <v>72</v>
      </c>
      <c r="F39" s="16" t="n">
        <v>0.034817362153056</v>
      </c>
      <c r="G39" s="14"/>
      <c r="H39" s="9" t="n">
        <v>26</v>
      </c>
    </row>
    <row r="40" customFormat="false" ht="12.75" hidden="false" customHeight="false" outlineLevel="0" collapsed="false">
      <c r="A40" s="9"/>
      <c r="B40" s="9"/>
      <c r="C40" s="15"/>
      <c r="D40" s="14"/>
      <c r="E40" s="9" t="s">
        <v>73</v>
      </c>
      <c r="F40" s="16" t="n">
        <v>0.133816614128957</v>
      </c>
      <c r="G40" s="14"/>
      <c r="H40" s="9" t="n">
        <v>27</v>
      </c>
    </row>
    <row r="41" customFormat="false" ht="12.75" hidden="false" customHeight="false" outlineLevel="0" collapsed="false">
      <c r="A41" s="9"/>
      <c r="B41" s="9"/>
      <c r="C41" s="15"/>
      <c r="D41" s="14"/>
      <c r="E41" s="9" t="s">
        <v>74</v>
      </c>
      <c r="F41" s="16" t="n">
        <v>0.126814770265451</v>
      </c>
      <c r="G41" s="14"/>
      <c r="H41" s="9" t="n">
        <v>31</v>
      </c>
    </row>
    <row r="42" customFormat="false" ht="12.75" hidden="false" customHeight="false" outlineLevel="0" collapsed="false">
      <c r="A42" s="9"/>
      <c r="B42" s="9"/>
      <c r="C42" s="15"/>
      <c r="D42" s="14"/>
      <c r="E42" s="9" t="s">
        <v>75</v>
      </c>
      <c r="F42" s="16" t="n">
        <v>0</v>
      </c>
      <c r="G42" s="14"/>
      <c r="H42" s="9" t="n">
        <v>77</v>
      </c>
    </row>
    <row r="43" customFormat="false" ht="13.5" hidden="false" customHeight="false" outlineLevel="0" collapsed="false">
      <c r="A43" s="9"/>
      <c r="B43" s="9"/>
      <c r="C43" s="23"/>
      <c r="D43" s="24"/>
      <c r="E43" s="25" t="s">
        <v>76</v>
      </c>
      <c r="F43" s="26" t="n">
        <v>0.0422462463691907</v>
      </c>
      <c r="G43" s="14"/>
      <c r="H43" s="9" t="n">
        <v>80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87"/>
  <sheetViews>
    <sheetView showFormulas="false" showGridLines="true" showRowColHeaders="true" showZeros="true" rightToLeft="false" tabSelected="false" showOutlineSymbols="true" defaultGridColor="true" view="normal" topLeftCell="L1" colorId="64" zoomScale="100" zoomScaleNormal="100" zoomScalePageLayoutView="100" workbookViewId="0">
      <selection pane="topLeft" activeCell="R5" activeCellId="0" sqref="R5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5" min="5" style="0" width="12.85"/>
    <col collapsed="false" customWidth="true" hidden="false" outlineLevel="0" max="19" min="19" style="0" width="15.7"/>
    <col collapsed="false" customWidth="true" hidden="false" outlineLevel="0" max="20" min="20" style="0" width="16.13"/>
  </cols>
  <sheetData>
    <row r="1" customFormat="false" ht="12.75" hidden="false" customHeight="false" outlineLevel="0" collapsed="false">
      <c r="A1" s="0" t="s">
        <v>77</v>
      </c>
      <c r="B1" s="0" t="s">
        <v>20</v>
      </c>
      <c r="C1" s="27" t="s">
        <v>78</v>
      </c>
      <c r="E1" s="0" t="s">
        <v>20</v>
      </c>
      <c r="F1" s="0" t="s">
        <v>78</v>
      </c>
      <c r="J1" s="0" t="s">
        <v>79</v>
      </c>
      <c r="K1" s="0" t="s">
        <v>20</v>
      </c>
      <c r="L1" s="0" t="s">
        <v>80</v>
      </c>
      <c r="O1" s="0" t="s">
        <v>77</v>
      </c>
      <c r="P1" s="0" t="s">
        <v>20</v>
      </c>
      <c r="Q1" s="0" t="s">
        <v>81</v>
      </c>
      <c r="R1" s="0" t="s">
        <v>16</v>
      </c>
      <c r="S1" s="0" t="s">
        <v>82</v>
      </c>
      <c r="T1" s="0" t="s">
        <v>83</v>
      </c>
      <c r="V1" s="0" t="s">
        <v>12</v>
      </c>
      <c r="W1" s="0" t="s">
        <v>80</v>
      </c>
      <c r="X1" s="0" t="s">
        <v>13</v>
      </c>
      <c r="Y1" s="0" t="s">
        <v>80</v>
      </c>
    </row>
    <row r="2" customFormat="false" ht="12.75" hidden="false" customHeight="false" outlineLevel="0" collapsed="false">
      <c r="A2" s="0" t="n">
        <v>1</v>
      </c>
      <c r="B2" s="0" t="n">
        <v>1</v>
      </c>
      <c r="C2" s="27" t="n">
        <v>104267</v>
      </c>
      <c r="E2" s="0" t="n">
        <v>1</v>
      </c>
      <c r="F2" s="0" t="n">
        <v>104267</v>
      </c>
      <c r="J2" s="0" t="n">
        <v>15</v>
      </c>
      <c r="K2" s="0" t="n">
        <v>1</v>
      </c>
      <c r="L2" s="0" t="s">
        <v>84</v>
      </c>
      <c r="O2" s="1" t="n">
        <v>1</v>
      </c>
      <c r="P2" s="0" t="n">
        <v>1</v>
      </c>
      <c r="Q2" s="0" t="n">
        <v>9999</v>
      </c>
      <c r="R2" s="0" t="n">
        <v>9999</v>
      </c>
      <c r="S2" s="0" t="s">
        <v>85</v>
      </c>
      <c r="T2" s="0" t="s">
        <v>66</v>
      </c>
      <c r="V2" s="0" t="n">
        <v>360</v>
      </c>
      <c r="W2" s="0" t="s">
        <v>86</v>
      </c>
      <c r="X2" s="0" t="n">
        <v>680</v>
      </c>
      <c r="Y2" s="0" t="s">
        <v>21</v>
      </c>
    </row>
    <row r="3" customFormat="false" ht="12.75" hidden="false" customHeight="false" outlineLevel="0" collapsed="false">
      <c r="A3" s="0" t="n">
        <v>2</v>
      </c>
      <c r="B3" s="0" t="n">
        <v>2</v>
      </c>
      <c r="C3" s="27" t="n">
        <v>119118</v>
      </c>
      <c r="E3" s="0" t="n">
        <v>2</v>
      </c>
      <c r="F3" s="0" t="n">
        <v>119118</v>
      </c>
      <c r="J3" s="0" t="n">
        <v>35</v>
      </c>
      <c r="K3" s="0" t="n">
        <v>1</v>
      </c>
      <c r="L3" s="0" t="s">
        <v>87</v>
      </c>
      <c r="O3" s="1" t="n">
        <v>2</v>
      </c>
      <c r="P3" s="0" t="n">
        <v>2</v>
      </c>
      <c r="Q3" s="0" t="n">
        <v>9999</v>
      </c>
      <c r="R3" s="0" t="n">
        <v>9999</v>
      </c>
      <c r="S3" s="0" t="s">
        <v>85</v>
      </c>
      <c r="T3" s="0" t="s">
        <v>66</v>
      </c>
      <c r="V3" s="0" t="n">
        <v>680</v>
      </c>
      <c r="W3" s="0" t="s">
        <v>21</v>
      </c>
      <c r="X3" s="0" t="n">
        <v>1620</v>
      </c>
      <c r="Y3" s="0" t="s">
        <v>23</v>
      </c>
    </row>
    <row r="4" customFormat="false" ht="12.75" hidden="false" customHeight="false" outlineLevel="0" collapsed="false">
      <c r="A4" s="0" t="n">
        <v>3</v>
      </c>
      <c r="B4" s="0" t="n">
        <v>3</v>
      </c>
      <c r="C4" s="27" t="n">
        <v>147036</v>
      </c>
      <c r="E4" s="0" t="n">
        <v>3</v>
      </c>
      <c r="F4" s="0" t="n">
        <v>147036</v>
      </c>
      <c r="J4" s="0" t="n">
        <v>49</v>
      </c>
      <c r="K4" s="0" t="n">
        <v>1</v>
      </c>
      <c r="L4" s="0" t="s">
        <v>88</v>
      </c>
      <c r="O4" s="1" t="n">
        <v>3</v>
      </c>
      <c r="P4" s="0" t="n">
        <v>3</v>
      </c>
      <c r="Q4" s="0" t="n">
        <v>6690</v>
      </c>
      <c r="R4" s="0" t="n">
        <v>6690</v>
      </c>
      <c r="S4" s="0" t="s">
        <v>36</v>
      </c>
      <c r="T4" s="0" t="s">
        <v>36</v>
      </c>
      <c r="V4" s="0" t="n">
        <v>1620</v>
      </c>
      <c r="W4" s="0" t="s">
        <v>23</v>
      </c>
      <c r="X4" s="0" t="n">
        <v>2840</v>
      </c>
      <c r="Y4" s="0" t="s">
        <v>25</v>
      </c>
    </row>
    <row r="5" customFormat="false" ht="12.75" hidden="false" customHeight="false" outlineLevel="0" collapsed="false">
      <c r="A5" s="0" t="n">
        <v>4</v>
      </c>
      <c r="B5" s="0" t="n">
        <v>4</v>
      </c>
      <c r="C5" s="27" t="n">
        <v>130976</v>
      </c>
      <c r="E5" s="0" t="n">
        <v>4</v>
      </c>
      <c r="F5" s="0" t="n">
        <v>130976</v>
      </c>
      <c r="J5" s="0" t="n">
        <v>93</v>
      </c>
      <c r="K5" s="0" t="n">
        <v>1</v>
      </c>
      <c r="L5" s="0" t="s">
        <v>89</v>
      </c>
      <c r="O5" s="1" t="n">
        <v>4</v>
      </c>
      <c r="P5" s="0" t="n">
        <v>4</v>
      </c>
      <c r="Q5" s="0" t="n">
        <v>9999</v>
      </c>
      <c r="R5" s="0" t="n">
        <v>9999</v>
      </c>
      <c r="S5" s="0" t="s">
        <v>85</v>
      </c>
      <c r="T5" s="0" t="s">
        <v>66</v>
      </c>
      <c r="V5" s="0" t="n">
        <v>2840</v>
      </c>
      <c r="W5" s="0" t="s">
        <v>25</v>
      </c>
      <c r="X5" s="0" t="n">
        <v>4472</v>
      </c>
      <c r="Y5" s="0" t="s">
        <v>27</v>
      </c>
    </row>
    <row r="6" customFormat="false" ht="12.75" hidden="false" customHeight="false" outlineLevel="0" collapsed="false">
      <c r="A6" s="0" t="n">
        <v>5</v>
      </c>
      <c r="B6" s="0" t="n">
        <v>5</v>
      </c>
      <c r="C6" s="27" t="n">
        <v>103761</v>
      </c>
      <c r="E6" s="0" t="n">
        <v>5</v>
      </c>
      <c r="F6" s="0" t="n">
        <v>103761</v>
      </c>
      <c r="J6" s="0" t="n">
        <v>23</v>
      </c>
      <c r="K6" s="0" t="n">
        <v>2</v>
      </c>
      <c r="L6" s="0" t="s">
        <v>90</v>
      </c>
      <c r="O6" s="1" t="n">
        <v>5</v>
      </c>
      <c r="P6" s="0" t="n">
        <v>5</v>
      </c>
      <c r="Q6" s="0" t="n">
        <v>9999</v>
      </c>
      <c r="R6" s="0" t="n">
        <v>9999</v>
      </c>
      <c r="S6" s="0" t="s">
        <v>85</v>
      </c>
      <c r="T6" s="0" t="s">
        <v>66</v>
      </c>
      <c r="V6" s="0" t="n">
        <v>4480</v>
      </c>
      <c r="W6" s="0" t="s">
        <v>91</v>
      </c>
      <c r="X6" s="0" t="n">
        <v>4940</v>
      </c>
      <c r="Y6" s="0" t="s">
        <v>32</v>
      </c>
    </row>
    <row r="7" customFormat="false" ht="12.75" hidden="false" customHeight="false" outlineLevel="0" collapsed="false">
      <c r="A7" s="0" t="n">
        <v>6</v>
      </c>
      <c r="B7" s="0" t="n">
        <v>6</v>
      </c>
      <c r="C7" s="27" t="n">
        <v>182120</v>
      </c>
      <c r="E7" s="0" t="n">
        <v>6</v>
      </c>
      <c r="F7" s="0" t="n">
        <v>182120</v>
      </c>
      <c r="J7" s="0" t="n">
        <v>89</v>
      </c>
      <c r="K7" s="0" t="n">
        <v>3</v>
      </c>
      <c r="L7" s="0" t="s">
        <v>92</v>
      </c>
      <c r="O7" s="1" t="n">
        <v>6</v>
      </c>
      <c r="P7" s="0" t="n">
        <v>6</v>
      </c>
      <c r="Q7" s="0" t="n">
        <v>1620</v>
      </c>
      <c r="R7" s="0" t="n">
        <v>1620</v>
      </c>
      <c r="S7" s="0" t="s">
        <v>23</v>
      </c>
      <c r="T7" s="0" t="s">
        <v>23</v>
      </c>
      <c r="V7" s="0" t="n">
        <v>4940</v>
      </c>
      <c r="W7" s="0" t="s">
        <v>32</v>
      </c>
      <c r="X7" s="0" t="n">
        <v>5170</v>
      </c>
      <c r="Y7" s="0" t="s">
        <v>34</v>
      </c>
    </row>
    <row r="8" customFormat="false" ht="12.75" hidden="false" customHeight="false" outlineLevel="0" collapsed="false">
      <c r="A8" s="0" t="n">
        <v>7</v>
      </c>
      <c r="B8" s="0" t="n">
        <v>7</v>
      </c>
      <c r="C8" s="27" t="n">
        <v>101567</v>
      </c>
      <c r="E8" s="0" t="n">
        <v>7</v>
      </c>
      <c r="F8" s="0" t="n">
        <v>101567</v>
      </c>
      <c r="J8" s="0" t="n">
        <v>33</v>
      </c>
      <c r="K8" s="0" t="n">
        <v>4</v>
      </c>
      <c r="L8" s="0" t="s">
        <v>93</v>
      </c>
      <c r="O8" s="1" t="n">
        <v>7</v>
      </c>
      <c r="P8" s="0" t="n">
        <v>7</v>
      </c>
      <c r="Q8" s="0" t="n">
        <v>9999</v>
      </c>
      <c r="R8" s="0" t="n">
        <v>9999</v>
      </c>
      <c r="S8" s="0" t="s">
        <v>85</v>
      </c>
      <c r="T8" s="0" t="s">
        <v>66</v>
      </c>
      <c r="V8" s="0" t="n">
        <v>5170</v>
      </c>
      <c r="W8" s="0" t="s">
        <v>34</v>
      </c>
      <c r="X8" s="0" t="n">
        <v>6690</v>
      </c>
      <c r="Y8" s="0" t="s">
        <v>36</v>
      </c>
    </row>
    <row r="9" customFormat="false" ht="12.75" hidden="false" customHeight="false" outlineLevel="0" collapsed="false">
      <c r="A9" s="0" t="n">
        <v>8</v>
      </c>
      <c r="B9" s="0" t="n">
        <v>8</v>
      </c>
      <c r="C9" s="27" t="n">
        <v>122643</v>
      </c>
      <c r="E9" s="0" t="n">
        <v>8</v>
      </c>
      <c r="F9" s="0" t="n">
        <v>122643</v>
      </c>
      <c r="J9" s="0" t="n">
        <v>45</v>
      </c>
      <c r="K9" s="0" t="n">
        <v>4</v>
      </c>
      <c r="L9" s="0" t="s">
        <v>94</v>
      </c>
      <c r="O9" s="1" t="n">
        <v>8</v>
      </c>
      <c r="P9" s="0" t="n">
        <v>8</v>
      </c>
      <c r="Q9" s="0" t="n">
        <v>9340</v>
      </c>
      <c r="R9" s="0" t="n">
        <v>9340</v>
      </c>
      <c r="S9" s="0" t="s">
        <v>64</v>
      </c>
      <c r="T9" s="0" t="s">
        <v>64</v>
      </c>
      <c r="V9" s="0" t="n">
        <v>5775</v>
      </c>
      <c r="W9" s="0" t="s">
        <v>95</v>
      </c>
      <c r="X9" s="0" t="n">
        <v>6920</v>
      </c>
      <c r="Y9" s="0" t="s">
        <v>38</v>
      </c>
    </row>
    <row r="10" customFormat="false" ht="12.75" hidden="false" customHeight="false" outlineLevel="0" collapsed="false">
      <c r="A10" s="0" t="n">
        <v>9</v>
      </c>
      <c r="B10" s="0" t="n">
        <v>9</v>
      </c>
      <c r="C10" s="27" t="n">
        <v>110765</v>
      </c>
      <c r="E10" s="0" t="n">
        <v>9</v>
      </c>
      <c r="F10" s="0" t="n">
        <v>110765</v>
      </c>
      <c r="J10" s="0" t="n">
        <v>11</v>
      </c>
      <c r="K10" s="0" t="n">
        <v>5</v>
      </c>
      <c r="L10" s="0" t="s">
        <v>96</v>
      </c>
      <c r="O10" s="1" t="n">
        <v>9</v>
      </c>
      <c r="P10" s="0" t="n">
        <v>9</v>
      </c>
      <c r="Q10" s="0" t="n">
        <v>8720</v>
      </c>
      <c r="R10" s="0" t="n">
        <v>7362</v>
      </c>
      <c r="S10" s="0" t="s">
        <v>97</v>
      </c>
      <c r="T10" s="0" t="s">
        <v>47</v>
      </c>
      <c r="V10" s="0" t="n">
        <v>6000</v>
      </c>
      <c r="W10" s="0" t="s">
        <v>98</v>
      </c>
      <c r="X10" s="0" t="n">
        <v>7120</v>
      </c>
      <c r="Y10" s="0" t="s">
        <v>43</v>
      </c>
    </row>
    <row r="11" customFormat="false" ht="12.75" hidden="false" customHeight="false" outlineLevel="0" collapsed="false">
      <c r="A11" s="0" t="n">
        <v>10</v>
      </c>
      <c r="B11" s="0" t="n">
        <v>10</v>
      </c>
      <c r="C11" s="27" t="n">
        <v>141092</v>
      </c>
      <c r="E11" s="0" t="n">
        <v>10</v>
      </c>
      <c r="F11" s="0" t="n">
        <v>141092</v>
      </c>
      <c r="J11" s="0" t="n">
        <v>21</v>
      </c>
      <c r="K11" s="0" t="n">
        <v>5</v>
      </c>
      <c r="L11" s="0" t="s">
        <v>99</v>
      </c>
      <c r="O11" s="1" t="n">
        <v>10</v>
      </c>
      <c r="P11" s="0" t="n">
        <v>10</v>
      </c>
      <c r="Q11" s="0" t="n">
        <v>6920</v>
      </c>
      <c r="R11" s="0" t="n">
        <v>6920</v>
      </c>
      <c r="S11" s="0" t="s">
        <v>38</v>
      </c>
      <c r="T11" s="0" t="s">
        <v>38</v>
      </c>
      <c r="V11" s="0" t="n">
        <v>6690</v>
      </c>
      <c r="W11" s="0" t="s">
        <v>36</v>
      </c>
      <c r="X11" s="0" t="n">
        <v>7320</v>
      </c>
      <c r="Y11" s="0" t="s">
        <v>45</v>
      </c>
    </row>
    <row r="12" customFormat="false" ht="12.75" hidden="false" customHeight="false" outlineLevel="0" collapsed="false">
      <c r="A12" s="0" t="n">
        <v>11</v>
      </c>
      <c r="B12" s="0" t="n">
        <v>11</v>
      </c>
      <c r="C12" s="27" t="n">
        <v>172796</v>
      </c>
      <c r="E12" s="0" t="n">
        <v>11</v>
      </c>
      <c r="F12" s="0" t="n">
        <v>172796</v>
      </c>
      <c r="J12" s="0" t="n">
        <v>103</v>
      </c>
      <c r="K12" s="0" t="n">
        <v>5</v>
      </c>
      <c r="L12" s="0" t="s">
        <v>100</v>
      </c>
      <c r="O12" s="1" t="n">
        <v>11</v>
      </c>
      <c r="P12" s="0" t="n">
        <v>11</v>
      </c>
      <c r="Q12" s="0" t="n">
        <v>6920</v>
      </c>
      <c r="R12" s="0" t="n">
        <v>6920</v>
      </c>
      <c r="S12" s="0" t="s">
        <v>38</v>
      </c>
      <c r="T12" s="0" t="s">
        <v>38</v>
      </c>
      <c r="V12" s="0" t="n">
        <v>6780</v>
      </c>
      <c r="W12" s="0" t="s">
        <v>101</v>
      </c>
      <c r="X12" s="0" t="n">
        <v>7362</v>
      </c>
      <c r="Y12" s="0" t="s">
        <v>47</v>
      </c>
    </row>
    <row r="13" customFormat="false" ht="12.75" hidden="false" customHeight="false" outlineLevel="0" collapsed="false">
      <c r="A13" s="0" t="n">
        <v>12</v>
      </c>
      <c r="B13" s="0" t="n">
        <v>12</v>
      </c>
      <c r="C13" s="27" t="n">
        <v>125995</v>
      </c>
      <c r="E13" s="0" t="n">
        <v>12</v>
      </c>
      <c r="F13" s="0" t="n">
        <v>125995</v>
      </c>
      <c r="J13" s="0" t="n">
        <v>105</v>
      </c>
      <c r="K13" s="0" t="n">
        <v>5</v>
      </c>
      <c r="L13" s="0" t="s">
        <v>102</v>
      </c>
      <c r="O13" s="1" t="n">
        <v>12</v>
      </c>
      <c r="P13" s="0" t="n">
        <v>12</v>
      </c>
      <c r="Q13" s="0" t="n">
        <v>6920</v>
      </c>
      <c r="R13" s="0" t="n">
        <v>6920</v>
      </c>
      <c r="S13" s="0" t="s">
        <v>38</v>
      </c>
      <c r="T13" s="0" t="s">
        <v>38</v>
      </c>
      <c r="V13" s="0" t="n">
        <v>6920</v>
      </c>
      <c r="W13" s="0" t="s">
        <v>38</v>
      </c>
      <c r="X13" s="0" t="n">
        <v>7480</v>
      </c>
      <c r="Y13" s="0" t="s">
        <v>58</v>
      </c>
    </row>
    <row r="14" customFormat="false" ht="12.75" hidden="false" customHeight="false" outlineLevel="0" collapsed="false">
      <c r="A14" s="0" t="n">
        <v>13</v>
      </c>
      <c r="B14" s="0" t="n">
        <v>100</v>
      </c>
      <c r="C14" s="27" t="n">
        <v>113313</v>
      </c>
      <c r="E14" s="0" t="n">
        <v>15</v>
      </c>
      <c r="F14" s="0" t="n">
        <v>230096</v>
      </c>
      <c r="J14" s="0" t="n">
        <v>7</v>
      </c>
      <c r="K14" s="0" t="n">
        <v>6</v>
      </c>
      <c r="L14" s="0" t="s">
        <v>103</v>
      </c>
      <c r="O14" s="1" t="n">
        <v>15</v>
      </c>
      <c r="P14" s="0" t="n">
        <v>15</v>
      </c>
      <c r="Q14" s="0" t="n">
        <v>7360</v>
      </c>
      <c r="R14" s="0" t="n">
        <v>7362</v>
      </c>
      <c r="S14" s="0" t="s">
        <v>104</v>
      </c>
      <c r="T14" s="0" t="s">
        <v>47</v>
      </c>
      <c r="V14" s="0" t="n">
        <v>7120</v>
      </c>
      <c r="W14" s="0" t="s">
        <v>43</v>
      </c>
      <c r="X14" s="0" t="n">
        <v>8120</v>
      </c>
      <c r="Y14" s="0" t="s">
        <v>60</v>
      </c>
    </row>
    <row r="15" customFormat="false" ht="12.75" hidden="false" customHeight="false" outlineLevel="0" collapsed="false">
      <c r="A15" s="0" t="n">
        <v>14</v>
      </c>
      <c r="B15" s="0" t="n">
        <v>100</v>
      </c>
      <c r="C15" s="27" t="n">
        <v>272885</v>
      </c>
      <c r="E15" s="0" t="n">
        <v>19</v>
      </c>
      <c r="F15" s="0" t="n">
        <v>723959</v>
      </c>
      <c r="J15" s="0" t="n">
        <v>57</v>
      </c>
      <c r="K15" s="0" t="n">
        <v>7</v>
      </c>
      <c r="L15" s="0" t="s">
        <v>105</v>
      </c>
      <c r="O15" s="1" t="n">
        <v>19</v>
      </c>
      <c r="P15" s="0" t="n">
        <v>19</v>
      </c>
      <c r="Q15" s="0" t="n">
        <v>7360</v>
      </c>
      <c r="R15" s="0" t="n">
        <v>7362</v>
      </c>
      <c r="S15" s="0" t="s">
        <v>104</v>
      </c>
      <c r="T15" s="0" t="s">
        <v>47</v>
      </c>
      <c r="V15" s="0" t="n">
        <v>7320</v>
      </c>
      <c r="W15" s="0" t="s">
        <v>45</v>
      </c>
      <c r="X15" s="0" t="n">
        <v>8780</v>
      </c>
      <c r="Y15" s="0" t="s">
        <v>62</v>
      </c>
    </row>
    <row r="16" customFormat="false" ht="12.75" hidden="false" customHeight="false" outlineLevel="0" collapsed="false">
      <c r="A16" s="0" t="n">
        <v>15</v>
      </c>
      <c r="B16" s="0" t="n">
        <v>15</v>
      </c>
      <c r="C16" s="27" t="n">
        <v>230096</v>
      </c>
      <c r="E16" s="0" t="n">
        <v>22</v>
      </c>
      <c r="F16" s="0" t="n">
        <v>649623</v>
      </c>
      <c r="J16" s="0" t="n">
        <v>63</v>
      </c>
      <c r="K16" s="0" t="n">
        <v>7</v>
      </c>
      <c r="L16" s="0" t="s">
        <v>106</v>
      </c>
      <c r="O16" s="1" t="n">
        <v>22</v>
      </c>
      <c r="P16" s="0" t="n">
        <v>22</v>
      </c>
      <c r="Q16" s="0" t="n">
        <v>7360</v>
      </c>
      <c r="R16" s="0" t="n">
        <v>7362</v>
      </c>
      <c r="S16" s="0" t="s">
        <v>104</v>
      </c>
      <c r="T16" s="0" t="s">
        <v>47</v>
      </c>
      <c r="V16" s="0" t="n">
        <v>7360</v>
      </c>
      <c r="W16" s="0" t="s">
        <v>104</v>
      </c>
      <c r="X16" s="0" t="n">
        <v>9340</v>
      </c>
      <c r="Y16" s="0" t="s">
        <v>64</v>
      </c>
    </row>
    <row r="17" customFormat="false" ht="12.75" hidden="false" customHeight="false" outlineLevel="0" collapsed="false">
      <c r="A17" s="0" t="n">
        <v>16</v>
      </c>
      <c r="B17" s="0" t="n">
        <v>99</v>
      </c>
      <c r="C17" s="27" t="n">
        <v>231222</v>
      </c>
      <c r="E17" s="0" t="n">
        <v>26</v>
      </c>
      <c r="F17" s="0" t="n">
        <v>154145</v>
      </c>
      <c r="J17" s="0" t="n">
        <v>91</v>
      </c>
      <c r="K17" s="0" t="n">
        <v>7</v>
      </c>
      <c r="L17" s="0" t="s">
        <v>107</v>
      </c>
      <c r="O17" s="1" t="n">
        <v>26</v>
      </c>
      <c r="P17" s="0" t="n">
        <v>26</v>
      </c>
      <c r="Q17" s="0" t="n">
        <v>9999</v>
      </c>
      <c r="R17" s="0" t="n">
        <v>9999</v>
      </c>
      <c r="S17" s="0" t="s">
        <v>85</v>
      </c>
      <c r="T17" s="0" t="s">
        <v>66</v>
      </c>
      <c r="V17" s="0" t="n">
        <v>7400</v>
      </c>
      <c r="W17" s="0" t="s">
        <v>108</v>
      </c>
      <c r="X17" s="0" t="n">
        <v>9999</v>
      </c>
      <c r="Y17" s="0" t="s">
        <v>66</v>
      </c>
    </row>
    <row r="18" customFormat="false" ht="12.75" hidden="false" customHeight="false" outlineLevel="0" collapsed="false">
      <c r="A18" s="0" t="n">
        <v>17</v>
      </c>
      <c r="B18" s="0" t="n">
        <v>87</v>
      </c>
      <c r="C18" s="27" t="n">
        <v>112583</v>
      </c>
      <c r="E18" s="0" t="n">
        <v>27</v>
      </c>
      <c r="F18" s="0" t="n">
        <v>124787</v>
      </c>
      <c r="J18" s="0" t="n">
        <v>101</v>
      </c>
      <c r="K18" s="0" t="n">
        <v>8</v>
      </c>
      <c r="L18" s="0" t="s">
        <v>109</v>
      </c>
      <c r="O18" s="1" t="n">
        <v>27</v>
      </c>
      <c r="P18" s="0" t="n">
        <v>27</v>
      </c>
      <c r="Q18" s="0" t="n">
        <v>9999</v>
      </c>
      <c r="R18" s="0" t="n">
        <v>9999</v>
      </c>
      <c r="S18" s="0" t="s">
        <v>85</v>
      </c>
      <c r="T18" s="0" t="s">
        <v>66</v>
      </c>
      <c r="V18" s="0" t="n">
        <v>7480</v>
      </c>
      <c r="W18" s="0" t="s">
        <v>58</v>
      </c>
    </row>
    <row r="19" customFormat="false" ht="12.75" hidden="false" customHeight="false" outlineLevel="0" collapsed="false">
      <c r="A19" s="0" t="n">
        <v>18</v>
      </c>
      <c r="B19" s="0" t="n">
        <v>87</v>
      </c>
      <c r="C19" s="27" t="n">
        <v>691149</v>
      </c>
      <c r="E19" s="0" t="n">
        <v>30</v>
      </c>
      <c r="F19" s="0" t="n">
        <v>178403</v>
      </c>
      <c r="J19" s="0" t="n">
        <v>115</v>
      </c>
      <c r="K19" s="0" t="n">
        <v>8</v>
      </c>
      <c r="L19" s="0" t="s">
        <v>110</v>
      </c>
      <c r="O19" s="1" t="n">
        <v>30</v>
      </c>
      <c r="P19" s="0" t="n">
        <v>30</v>
      </c>
      <c r="Q19" s="0" t="n">
        <v>4940</v>
      </c>
      <c r="R19" s="0" t="n">
        <v>4940</v>
      </c>
      <c r="S19" s="0" t="s">
        <v>32</v>
      </c>
      <c r="T19" s="0" t="s">
        <v>32</v>
      </c>
      <c r="V19" s="0" t="n">
        <v>7485</v>
      </c>
      <c r="W19" s="0" t="s">
        <v>111</v>
      </c>
    </row>
    <row r="20" customFormat="false" ht="12.75" hidden="false" customHeight="false" outlineLevel="0" collapsed="false">
      <c r="A20" s="0" t="n">
        <v>19</v>
      </c>
      <c r="B20" s="0" t="n">
        <v>19</v>
      </c>
      <c r="C20" s="27" t="n">
        <v>723959</v>
      </c>
      <c r="E20" s="0" t="n">
        <v>31</v>
      </c>
      <c r="F20" s="0" t="n">
        <v>101469</v>
      </c>
      <c r="J20" s="0" t="n">
        <v>55</v>
      </c>
      <c r="K20" s="0" t="n">
        <v>9</v>
      </c>
      <c r="L20" s="0" t="s">
        <v>112</v>
      </c>
      <c r="O20" s="1" t="n">
        <v>31</v>
      </c>
      <c r="P20" s="0" t="n">
        <v>31</v>
      </c>
      <c r="Q20" s="0" t="n">
        <v>9999</v>
      </c>
      <c r="R20" s="0" t="n">
        <v>9999</v>
      </c>
      <c r="S20" s="0" t="s">
        <v>85</v>
      </c>
      <c r="T20" s="0" t="s">
        <v>66</v>
      </c>
      <c r="V20" s="0" t="n">
        <v>7500</v>
      </c>
      <c r="W20" s="0" t="s">
        <v>113</v>
      </c>
    </row>
    <row r="21" customFormat="false" ht="12.75" hidden="false" customHeight="false" outlineLevel="0" collapsed="false">
      <c r="A21" s="0" t="n">
        <v>20</v>
      </c>
      <c r="B21" s="0" t="n">
        <v>86</v>
      </c>
      <c r="C21" s="27" t="n">
        <v>124791</v>
      </c>
      <c r="E21" s="0" t="n">
        <v>32</v>
      </c>
      <c r="F21" s="0" t="n">
        <v>369608</v>
      </c>
      <c r="J21" s="0" t="n">
        <v>113</v>
      </c>
      <c r="K21" s="0" t="n">
        <v>10</v>
      </c>
      <c r="L21" s="0" t="s">
        <v>114</v>
      </c>
      <c r="O21" s="1" t="n">
        <v>32</v>
      </c>
      <c r="P21" s="0" t="n">
        <v>32</v>
      </c>
      <c r="Q21" s="0" t="n">
        <v>7480</v>
      </c>
      <c r="R21" s="0" t="n">
        <v>7480</v>
      </c>
      <c r="S21" s="0" t="s">
        <v>58</v>
      </c>
      <c r="T21" s="0" t="s">
        <v>58</v>
      </c>
      <c r="V21" s="0" t="n">
        <v>8120</v>
      </c>
      <c r="W21" s="0" t="s">
        <v>60</v>
      </c>
    </row>
    <row r="22" customFormat="false" ht="12.75" hidden="false" customHeight="false" outlineLevel="0" collapsed="false">
      <c r="A22" s="0" t="n">
        <v>21</v>
      </c>
      <c r="B22" s="0" t="n">
        <v>86</v>
      </c>
      <c r="C22" s="27" t="n">
        <v>791512</v>
      </c>
      <c r="E22" s="0" t="n">
        <v>75</v>
      </c>
      <c r="F22" s="0" t="n">
        <v>311921</v>
      </c>
      <c r="J22" s="0" t="n">
        <v>61</v>
      </c>
      <c r="K22" s="0" t="n">
        <v>11</v>
      </c>
      <c r="L22" s="0" t="s">
        <v>115</v>
      </c>
      <c r="O22" s="1" t="n">
        <v>75</v>
      </c>
      <c r="P22" s="0" t="n">
        <v>75</v>
      </c>
      <c r="Q22" s="0" t="n">
        <v>8780</v>
      </c>
      <c r="R22" s="0" t="n">
        <v>8780</v>
      </c>
      <c r="S22" s="0" t="s">
        <v>62</v>
      </c>
      <c r="T22" s="0" t="s">
        <v>62</v>
      </c>
      <c r="V22" s="0" t="n">
        <v>8720</v>
      </c>
      <c r="W22" s="0" t="s">
        <v>97</v>
      </c>
    </row>
    <row r="23" customFormat="false" ht="12.75" hidden="false" customHeight="false" outlineLevel="0" collapsed="false">
      <c r="A23" s="0" t="n">
        <v>22</v>
      </c>
      <c r="B23" s="0" t="n">
        <v>22</v>
      </c>
      <c r="C23" s="27" t="n">
        <v>649623</v>
      </c>
      <c r="E23" s="0" t="n">
        <v>76</v>
      </c>
      <c r="F23" s="0" t="n">
        <v>229734</v>
      </c>
      <c r="J23" s="0" t="n">
        <v>17</v>
      </c>
      <c r="K23" s="0" t="n">
        <v>12</v>
      </c>
      <c r="L23" s="0" t="s">
        <v>116</v>
      </c>
      <c r="O23" s="1" t="n">
        <v>76</v>
      </c>
      <c r="P23" s="0" t="n">
        <v>76</v>
      </c>
      <c r="Q23" s="0" t="n">
        <v>7485</v>
      </c>
      <c r="R23" s="0" t="n">
        <v>7362</v>
      </c>
      <c r="S23" s="0" t="s">
        <v>111</v>
      </c>
      <c r="T23" s="0" t="s">
        <v>47</v>
      </c>
      <c r="V23" s="0" t="n">
        <v>8780</v>
      </c>
      <c r="W23" s="0" t="s">
        <v>62</v>
      </c>
    </row>
    <row r="24" customFormat="false" ht="12.75" hidden="false" customHeight="false" outlineLevel="0" collapsed="false">
      <c r="A24" s="0" t="n">
        <v>23</v>
      </c>
      <c r="B24" s="0" t="n">
        <v>97</v>
      </c>
      <c r="C24" s="27" t="n">
        <v>269685</v>
      </c>
      <c r="E24" s="0" t="n">
        <v>77</v>
      </c>
      <c r="F24" s="0" t="n">
        <v>109303</v>
      </c>
      <c r="J24" s="0" t="n">
        <v>41</v>
      </c>
      <c r="K24" s="0" t="n">
        <v>15</v>
      </c>
      <c r="L24" s="0" t="s">
        <v>117</v>
      </c>
      <c r="O24" s="1" t="n">
        <v>77</v>
      </c>
      <c r="P24" s="0" t="n">
        <v>77</v>
      </c>
      <c r="Q24" s="0" t="n">
        <v>9999</v>
      </c>
      <c r="R24" s="0" t="n">
        <v>9999</v>
      </c>
      <c r="S24" s="0" t="s">
        <v>85</v>
      </c>
      <c r="T24" s="0" t="s">
        <v>66</v>
      </c>
      <c r="V24" s="0" t="n">
        <v>9340</v>
      </c>
      <c r="W24" s="0" t="s">
        <v>64</v>
      </c>
    </row>
    <row r="25" customFormat="false" ht="12.75" hidden="false" customHeight="false" outlineLevel="0" collapsed="false">
      <c r="A25" s="0" t="n">
        <v>24</v>
      </c>
      <c r="B25" s="0" t="n">
        <v>101</v>
      </c>
      <c r="C25" s="27" t="n">
        <v>164730</v>
      </c>
      <c r="E25" s="0" t="n">
        <v>80</v>
      </c>
      <c r="F25" s="0" t="n">
        <v>198579</v>
      </c>
      <c r="J25" s="0" t="n">
        <v>75</v>
      </c>
      <c r="K25" s="0" t="n">
        <v>19</v>
      </c>
      <c r="L25" s="0" t="s">
        <v>118</v>
      </c>
      <c r="O25" s="1" t="n">
        <v>80</v>
      </c>
      <c r="P25" s="0" t="n">
        <v>80</v>
      </c>
      <c r="Q25" s="0" t="n">
        <v>9999</v>
      </c>
      <c r="R25" s="0" t="n">
        <v>9999</v>
      </c>
      <c r="S25" s="0" t="s">
        <v>85</v>
      </c>
      <c r="T25" s="0" t="s">
        <v>66</v>
      </c>
      <c r="V25" s="0" t="n">
        <v>9999</v>
      </c>
      <c r="W25" s="0" t="s">
        <v>85</v>
      </c>
    </row>
    <row r="26" customFormat="false" ht="12.75" hidden="false" customHeight="false" outlineLevel="0" collapsed="false">
      <c r="A26" s="0" t="n">
        <v>25</v>
      </c>
      <c r="B26" s="0" t="n">
        <v>101</v>
      </c>
      <c r="C26" s="27" t="n">
        <v>205792</v>
      </c>
      <c r="E26" s="0" t="n">
        <v>86</v>
      </c>
      <c r="F26" s="0" t="n">
        <v>1279182</v>
      </c>
      <c r="J26" s="0" t="n">
        <v>81</v>
      </c>
      <c r="K26" s="0" t="n">
        <v>22</v>
      </c>
      <c r="L26" s="0" t="s">
        <v>119</v>
      </c>
      <c r="O26" s="1" t="n">
        <v>20</v>
      </c>
      <c r="P26" s="0" t="n">
        <v>86</v>
      </c>
      <c r="Q26" s="0" t="n">
        <v>5775</v>
      </c>
      <c r="R26" s="0" t="n">
        <v>7362</v>
      </c>
      <c r="S26" s="0" t="s">
        <v>95</v>
      </c>
      <c r="T26" s="0" t="s">
        <v>47</v>
      </c>
    </row>
    <row r="27" customFormat="false" ht="12.75" hidden="false" customHeight="false" outlineLevel="0" collapsed="false">
      <c r="A27" s="0" t="n">
        <v>26</v>
      </c>
      <c r="B27" s="0" t="n">
        <v>26</v>
      </c>
      <c r="C27" s="27" t="n">
        <v>154145</v>
      </c>
      <c r="E27" s="0" t="n">
        <v>87</v>
      </c>
      <c r="F27" s="0" t="n">
        <v>803732</v>
      </c>
      <c r="J27" s="0" t="n">
        <v>3</v>
      </c>
      <c r="K27" s="0" t="n">
        <v>26</v>
      </c>
      <c r="L27" s="0" t="s">
        <v>120</v>
      </c>
      <c r="O27" s="1" t="n">
        <v>21</v>
      </c>
      <c r="P27" s="0" t="n">
        <v>86</v>
      </c>
      <c r="Q27" s="0" t="n">
        <v>5775</v>
      </c>
      <c r="R27" s="0" t="n">
        <v>7362</v>
      </c>
      <c r="S27" s="0" t="s">
        <v>95</v>
      </c>
      <c r="T27" s="0" t="s">
        <v>47</v>
      </c>
    </row>
    <row r="28" customFormat="false" ht="12.75" hidden="false" customHeight="false" outlineLevel="0" collapsed="false">
      <c r="A28" s="0" t="n">
        <v>27</v>
      </c>
      <c r="B28" s="0" t="n">
        <v>27</v>
      </c>
      <c r="C28" s="27" t="n">
        <v>124787</v>
      </c>
      <c r="E28" s="0" t="n">
        <v>88</v>
      </c>
      <c r="F28" s="0" t="n">
        <v>667490</v>
      </c>
      <c r="J28" s="0" t="n">
        <v>5</v>
      </c>
      <c r="K28" s="0" t="n">
        <v>26</v>
      </c>
      <c r="L28" s="0" t="s">
        <v>121</v>
      </c>
      <c r="O28" s="1" t="n">
        <v>74</v>
      </c>
      <c r="P28" s="0" t="n">
        <v>86</v>
      </c>
      <c r="Q28" s="0" t="n">
        <v>5775</v>
      </c>
      <c r="R28" s="0" t="n">
        <v>7362</v>
      </c>
      <c r="S28" s="0" t="s">
        <v>95</v>
      </c>
      <c r="T28" s="0" t="s">
        <v>47</v>
      </c>
    </row>
    <row r="29" customFormat="false" ht="12.75" hidden="false" customHeight="false" outlineLevel="0" collapsed="false">
      <c r="A29" s="0" t="n">
        <v>28</v>
      </c>
      <c r="B29" s="0" t="n">
        <v>94</v>
      </c>
      <c r="C29" s="27" t="n">
        <v>369365</v>
      </c>
      <c r="E29" s="0" t="n">
        <v>89</v>
      </c>
      <c r="F29" s="0" t="n">
        <v>543477</v>
      </c>
      <c r="J29" s="0" t="n">
        <v>9</v>
      </c>
      <c r="K29" s="0" t="n">
        <v>26</v>
      </c>
      <c r="L29" s="0" t="s">
        <v>122</v>
      </c>
      <c r="O29" s="1" t="n">
        <v>17</v>
      </c>
      <c r="P29" s="0" t="n">
        <v>87</v>
      </c>
      <c r="Q29" s="0" t="n">
        <v>5775</v>
      </c>
      <c r="R29" s="0" t="n">
        <v>7362</v>
      </c>
      <c r="S29" s="0" t="s">
        <v>95</v>
      </c>
      <c r="T29" s="0" t="s">
        <v>47</v>
      </c>
    </row>
    <row r="30" customFormat="false" ht="12.75" hidden="false" customHeight="false" outlineLevel="0" collapsed="false">
      <c r="A30" s="0" t="n">
        <v>29</v>
      </c>
      <c r="B30" s="0" t="n">
        <v>94</v>
      </c>
      <c r="C30" s="27" t="n">
        <v>671854</v>
      </c>
      <c r="E30" s="0" t="n">
        <v>90</v>
      </c>
      <c r="F30" s="0" t="n">
        <v>8863164</v>
      </c>
      <c r="J30" s="0" t="n">
        <v>27</v>
      </c>
      <c r="K30" s="0" t="n">
        <v>26</v>
      </c>
      <c r="L30" s="0" t="s">
        <v>123</v>
      </c>
      <c r="O30" s="1" t="n">
        <v>18</v>
      </c>
      <c r="P30" s="0" t="n">
        <v>87</v>
      </c>
      <c r="Q30" s="0" t="n">
        <v>5775</v>
      </c>
      <c r="R30" s="0" t="n">
        <v>7362</v>
      </c>
      <c r="S30" s="0" t="s">
        <v>95</v>
      </c>
      <c r="T30" s="0" t="s">
        <v>47</v>
      </c>
    </row>
    <row r="31" customFormat="false" ht="12.75" hidden="false" customHeight="false" outlineLevel="0" collapsed="false">
      <c r="A31" s="0" t="n">
        <v>30</v>
      </c>
      <c r="B31" s="0" t="n">
        <v>30</v>
      </c>
      <c r="C31" s="27" t="n">
        <v>178403</v>
      </c>
      <c r="E31" s="0" t="n">
        <v>91</v>
      </c>
      <c r="F31" s="0" t="n">
        <v>355660</v>
      </c>
      <c r="J31" s="0" t="n">
        <v>43</v>
      </c>
      <c r="K31" s="0" t="n">
        <v>26</v>
      </c>
      <c r="L31" s="0" t="s">
        <v>124</v>
      </c>
      <c r="O31" s="1" t="n">
        <v>40</v>
      </c>
      <c r="P31" s="0" t="n">
        <v>88</v>
      </c>
      <c r="Q31" s="0" t="n">
        <v>2840</v>
      </c>
      <c r="R31" s="0" t="n">
        <v>2840</v>
      </c>
      <c r="S31" s="0" t="s">
        <v>25</v>
      </c>
      <c r="T31" s="0" t="s">
        <v>25</v>
      </c>
    </row>
    <row r="32" customFormat="false" ht="12.75" hidden="false" customHeight="false" outlineLevel="0" collapsed="false">
      <c r="A32" s="0" t="n">
        <v>31</v>
      </c>
      <c r="B32" s="0" t="n">
        <v>31</v>
      </c>
      <c r="C32" s="27" t="n">
        <v>101469</v>
      </c>
      <c r="E32" s="0" t="n">
        <v>92</v>
      </c>
      <c r="F32" s="0" t="n">
        <v>2410556</v>
      </c>
      <c r="J32" s="0" t="n">
        <v>51</v>
      </c>
      <c r="K32" s="0" t="n">
        <v>26</v>
      </c>
      <c r="L32" s="0" t="s">
        <v>125</v>
      </c>
      <c r="O32" s="1" t="n">
        <v>41</v>
      </c>
      <c r="P32" s="0" t="n">
        <v>88</v>
      </c>
      <c r="Q32" s="0" t="n">
        <v>2840</v>
      </c>
      <c r="R32" s="0" t="n">
        <v>2840</v>
      </c>
      <c r="S32" s="0" t="s">
        <v>25</v>
      </c>
      <c r="T32" s="0" t="s">
        <v>25</v>
      </c>
    </row>
    <row r="33" customFormat="false" ht="12.75" hidden="false" customHeight="false" outlineLevel="0" collapsed="false">
      <c r="A33" s="0" t="n">
        <v>32</v>
      </c>
      <c r="B33" s="0" t="n">
        <v>32</v>
      </c>
      <c r="C33" s="27" t="n">
        <v>369608</v>
      </c>
      <c r="E33" s="0" t="n">
        <v>93</v>
      </c>
      <c r="F33" s="0" t="n">
        <v>1170413</v>
      </c>
      <c r="J33" s="0" t="n">
        <v>109</v>
      </c>
      <c r="K33" s="0" t="n">
        <v>26</v>
      </c>
      <c r="L33" s="0" t="s">
        <v>126</v>
      </c>
      <c r="O33" s="1" t="n">
        <v>78</v>
      </c>
      <c r="P33" s="0" t="n">
        <v>89</v>
      </c>
      <c r="Q33" s="0" t="n">
        <v>680</v>
      </c>
      <c r="R33" s="0" t="n">
        <v>680</v>
      </c>
      <c r="S33" s="0" t="s">
        <v>21</v>
      </c>
      <c r="T33" s="0" t="s">
        <v>21</v>
      </c>
    </row>
    <row r="34" customFormat="false" ht="12.75" hidden="false" customHeight="false" outlineLevel="0" collapsed="false">
      <c r="A34" s="0" t="n">
        <v>33</v>
      </c>
      <c r="B34" s="0" t="n">
        <v>96</v>
      </c>
      <c r="C34" s="27" t="n">
        <v>1110549</v>
      </c>
      <c r="E34" s="0" t="n">
        <v>94</v>
      </c>
      <c r="F34" s="0" t="n">
        <v>1041219</v>
      </c>
      <c r="J34" s="0" t="n">
        <v>39</v>
      </c>
      <c r="K34" s="0" t="n">
        <v>27</v>
      </c>
      <c r="L34" s="0" t="s">
        <v>127</v>
      </c>
      <c r="O34" s="1" t="n">
        <v>79</v>
      </c>
      <c r="P34" s="0" t="n">
        <v>89</v>
      </c>
      <c r="Q34" s="0" t="n">
        <v>680</v>
      </c>
      <c r="R34" s="0" t="n">
        <v>680</v>
      </c>
      <c r="S34" s="0" t="s">
        <v>21</v>
      </c>
      <c r="T34" s="0" t="s">
        <v>21</v>
      </c>
    </row>
    <row r="35" customFormat="false" ht="12.75" hidden="false" customHeight="false" outlineLevel="0" collapsed="false">
      <c r="A35" s="0" t="n">
        <v>34</v>
      </c>
      <c r="B35" s="0" t="n">
        <v>96</v>
      </c>
      <c r="C35" s="27" t="n">
        <v>128398</v>
      </c>
      <c r="E35" s="0" t="n">
        <v>95</v>
      </c>
      <c r="F35" s="0" t="n">
        <v>1418380</v>
      </c>
      <c r="J35" s="0" t="n">
        <v>69</v>
      </c>
      <c r="K35" s="0" t="n">
        <v>27</v>
      </c>
      <c r="L35" s="0" t="s">
        <v>128</v>
      </c>
      <c r="O35" s="1" t="n">
        <v>52</v>
      </c>
      <c r="P35" s="0" t="n">
        <v>90</v>
      </c>
      <c r="Q35" s="0" t="n">
        <v>4480</v>
      </c>
      <c r="R35" s="0" t="n">
        <v>4472</v>
      </c>
      <c r="S35" s="0" t="s">
        <v>91</v>
      </c>
      <c r="T35" s="0" t="s">
        <v>27</v>
      </c>
    </row>
    <row r="36" customFormat="false" ht="12.75" hidden="false" customHeight="false" outlineLevel="0" collapsed="false">
      <c r="A36" s="0" t="n">
        <v>35</v>
      </c>
      <c r="B36" s="0" t="n">
        <v>96</v>
      </c>
      <c r="C36" s="27" t="n">
        <v>108635</v>
      </c>
      <c r="E36" s="0" t="n">
        <v>96</v>
      </c>
      <c r="F36" s="0" t="n">
        <v>2498016</v>
      </c>
      <c r="J36" s="0" t="n">
        <v>47</v>
      </c>
      <c r="K36" s="0" t="n">
        <v>30</v>
      </c>
      <c r="L36" s="0" t="s">
        <v>129</v>
      </c>
      <c r="O36" s="1" t="n">
        <v>53</v>
      </c>
      <c r="P36" s="0" t="n">
        <v>90</v>
      </c>
      <c r="Q36" s="0" t="n">
        <v>4480</v>
      </c>
      <c r="R36" s="0" t="n">
        <v>4472</v>
      </c>
      <c r="S36" s="0" t="s">
        <v>91</v>
      </c>
      <c r="T36" s="0" t="s">
        <v>27</v>
      </c>
    </row>
    <row r="37" customFormat="false" ht="12.75" hidden="false" customHeight="false" outlineLevel="0" collapsed="false">
      <c r="A37" s="0" t="n">
        <v>36</v>
      </c>
      <c r="B37" s="0" t="n">
        <v>96</v>
      </c>
      <c r="C37" s="27" t="n">
        <v>135163</v>
      </c>
      <c r="E37" s="0" t="n">
        <v>97</v>
      </c>
      <c r="F37" s="0" t="n">
        <v>480628</v>
      </c>
      <c r="J37" s="0" t="n">
        <v>31</v>
      </c>
      <c r="K37" s="0" t="n">
        <v>31</v>
      </c>
      <c r="L37" s="0" t="s">
        <v>130</v>
      </c>
      <c r="O37" s="1" t="n">
        <v>54</v>
      </c>
      <c r="P37" s="0" t="n">
        <v>90</v>
      </c>
      <c r="Q37" s="0" t="n">
        <v>4480</v>
      </c>
      <c r="R37" s="0" t="n">
        <v>4472</v>
      </c>
      <c r="S37" s="0" t="s">
        <v>91</v>
      </c>
      <c r="T37" s="0" t="s">
        <v>27</v>
      </c>
    </row>
    <row r="38" customFormat="false" ht="12.75" hidden="false" customHeight="false" outlineLevel="0" collapsed="false">
      <c r="A38" s="0" t="n">
        <v>37</v>
      </c>
      <c r="B38" s="0" t="n">
        <v>96</v>
      </c>
      <c r="C38" s="27" t="n">
        <v>1015271</v>
      </c>
      <c r="E38" s="0" t="n">
        <v>98</v>
      </c>
      <c r="F38" s="0" t="n">
        <v>1497577</v>
      </c>
      <c r="J38" s="0" t="n">
        <v>83</v>
      </c>
      <c r="K38" s="0" t="n">
        <v>32</v>
      </c>
      <c r="L38" s="0" t="s">
        <v>131</v>
      </c>
      <c r="O38" s="1" t="n">
        <v>55</v>
      </c>
      <c r="P38" s="0" t="n">
        <v>90</v>
      </c>
      <c r="Q38" s="0" t="n">
        <v>4480</v>
      </c>
      <c r="R38" s="0" t="n">
        <v>4472</v>
      </c>
      <c r="S38" s="0" t="s">
        <v>91</v>
      </c>
      <c r="T38" s="0" t="s">
        <v>27</v>
      </c>
    </row>
    <row r="39" customFormat="false" ht="12.75" hidden="false" customHeight="false" outlineLevel="0" collapsed="false">
      <c r="A39" s="0" t="n">
        <v>38</v>
      </c>
      <c r="B39" s="0" t="n">
        <v>91</v>
      </c>
      <c r="C39" s="27" t="n">
        <v>108777</v>
      </c>
      <c r="E39" s="0" t="n">
        <v>99</v>
      </c>
      <c r="F39" s="0" t="n">
        <v>340421</v>
      </c>
      <c r="J39" s="0" t="n">
        <v>107</v>
      </c>
      <c r="K39" s="0" t="n">
        <v>75</v>
      </c>
      <c r="L39" s="0" t="s">
        <v>132</v>
      </c>
      <c r="O39" s="1" t="n">
        <v>56</v>
      </c>
      <c r="P39" s="0" t="n">
        <v>90</v>
      </c>
      <c r="Q39" s="0" t="n">
        <v>4480</v>
      </c>
      <c r="R39" s="0" t="n">
        <v>4472</v>
      </c>
      <c r="S39" s="0" t="s">
        <v>91</v>
      </c>
      <c r="T39" s="0" t="s">
        <v>27</v>
      </c>
    </row>
    <row r="40" customFormat="false" ht="12.75" hidden="false" customHeight="false" outlineLevel="0" collapsed="false">
      <c r="A40" s="0" t="n">
        <v>39</v>
      </c>
      <c r="B40" s="0" t="n">
        <v>91</v>
      </c>
      <c r="C40" s="27" t="n">
        <v>246883</v>
      </c>
      <c r="E40" s="0" t="n">
        <v>100</v>
      </c>
      <c r="F40" s="0" t="n">
        <v>386198</v>
      </c>
      <c r="J40" s="0" t="n">
        <v>87</v>
      </c>
      <c r="K40" s="0" t="n">
        <v>76</v>
      </c>
      <c r="L40" s="0" t="s">
        <v>133</v>
      </c>
      <c r="O40" s="1" t="n">
        <v>57</v>
      </c>
      <c r="P40" s="0" t="n">
        <v>90</v>
      </c>
      <c r="Q40" s="0" t="n">
        <v>4480</v>
      </c>
      <c r="R40" s="0" t="n">
        <v>4472</v>
      </c>
      <c r="S40" s="0" t="s">
        <v>91</v>
      </c>
      <c r="T40" s="0" t="s">
        <v>27</v>
      </c>
    </row>
    <row r="41" customFormat="false" ht="12.75" hidden="false" customHeight="false" outlineLevel="0" collapsed="false">
      <c r="A41" s="0" t="n">
        <v>40</v>
      </c>
      <c r="B41" s="0" t="n">
        <v>88</v>
      </c>
      <c r="C41" s="27" t="n">
        <v>354202</v>
      </c>
      <c r="E41" s="0" t="n">
        <v>101</v>
      </c>
      <c r="F41" s="0" t="n">
        <v>370522</v>
      </c>
      <c r="J41" s="0" t="n">
        <v>25</v>
      </c>
      <c r="K41" s="0" t="n">
        <v>77</v>
      </c>
      <c r="L41" s="0" t="s">
        <v>134</v>
      </c>
      <c r="O41" s="1" t="n">
        <v>58</v>
      </c>
      <c r="P41" s="0" t="n">
        <v>90</v>
      </c>
      <c r="Q41" s="0" t="n">
        <v>4480</v>
      </c>
      <c r="R41" s="0" t="n">
        <v>4472</v>
      </c>
      <c r="S41" s="0" t="s">
        <v>91</v>
      </c>
      <c r="T41" s="0" t="s">
        <v>27</v>
      </c>
    </row>
    <row r="42" customFormat="false" ht="12.75" hidden="false" customHeight="false" outlineLevel="0" collapsed="false">
      <c r="A42" s="0" t="n">
        <v>41</v>
      </c>
      <c r="B42" s="0" t="n">
        <v>88</v>
      </c>
      <c r="C42" s="27" t="n">
        <v>313288</v>
      </c>
      <c r="E42" s="0" t="n">
        <v>103</v>
      </c>
      <c r="F42" s="0" t="n">
        <v>576441</v>
      </c>
      <c r="J42" s="0" t="n">
        <v>79</v>
      </c>
      <c r="K42" s="0" t="n">
        <v>80</v>
      </c>
      <c r="L42" s="0" t="s">
        <v>135</v>
      </c>
      <c r="O42" s="1" t="n">
        <v>59</v>
      </c>
      <c r="P42" s="0" t="n">
        <v>90</v>
      </c>
      <c r="Q42" s="0" t="n">
        <v>4480</v>
      </c>
      <c r="R42" s="0" t="n">
        <v>4472</v>
      </c>
      <c r="S42" s="0" t="s">
        <v>91</v>
      </c>
      <c r="T42" s="0" t="s">
        <v>27</v>
      </c>
    </row>
    <row r="43" customFormat="false" ht="12.75" hidden="false" customHeight="false" outlineLevel="0" collapsed="false">
      <c r="A43" s="0" t="n">
        <v>42</v>
      </c>
      <c r="B43" s="0" t="n">
        <v>92</v>
      </c>
      <c r="C43" s="27" t="n">
        <v>293742</v>
      </c>
      <c r="E43" s="0" t="s">
        <v>136</v>
      </c>
      <c r="F43" s="0" t="n">
        <v>29646839</v>
      </c>
      <c r="J43" s="0" t="n">
        <v>1</v>
      </c>
      <c r="K43" s="0" t="n">
        <v>86</v>
      </c>
      <c r="L43" s="0" t="s">
        <v>137</v>
      </c>
      <c r="O43" s="1" t="n">
        <v>60</v>
      </c>
      <c r="P43" s="0" t="n">
        <v>90</v>
      </c>
      <c r="Q43" s="0" t="n">
        <v>4480</v>
      </c>
      <c r="R43" s="0" t="n">
        <v>4472</v>
      </c>
      <c r="S43" s="0" t="s">
        <v>91</v>
      </c>
      <c r="T43" s="0" t="s">
        <v>27</v>
      </c>
    </row>
    <row r="44" customFormat="false" ht="12.75" hidden="false" customHeight="false" outlineLevel="0" collapsed="false">
      <c r="A44" s="0" t="n">
        <v>43</v>
      </c>
      <c r="B44" s="0" t="n">
        <v>92</v>
      </c>
      <c r="C44" s="27" t="n">
        <v>140566</v>
      </c>
      <c r="E44" s="0" t="s">
        <v>136</v>
      </c>
      <c r="F44" s="0" t="n">
        <v>29646839</v>
      </c>
      <c r="J44" s="0" t="n">
        <v>13</v>
      </c>
      <c r="K44" s="0" t="n">
        <v>87</v>
      </c>
      <c r="L44" s="0" t="s">
        <v>138</v>
      </c>
      <c r="O44" s="1" t="n">
        <v>61</v>
      </c>
      <c r="P44" s="0" t="n">
        <v>90</v>
      </c>
      <c r="Q44" s="0" t="n">
        <v>4480</v>
      </c>
      <c r="R44" s="0" t="n">
        <v>4472</v>
      </c>
      <c r="S44" s="0" t="s">
        <v>91</v>
      </c>
      <c r="T44" s="0" t="s">
        <v>27</v>
      </c>
    </row>
    <row r="45" customFormat="false" ht="12.75" hidden="false" customHeight="false" outlineLevel="0" collapsed="false">
      <c r="A45" s="0" t="n">
        <v>44</v>
      </c>
      <c r="B45" s="0" t="n">
        <v>92</v>
      </c>
      <c r="C45" s="27" t="n">
        <v>117028</v>
      </c>
      <c r="J45" s="0" t="n">
        <v>19</v>
      </c>
      <c r="K45" s="0" t="n">
        <v>88</v>
      </c>
      <c r="L45" s="0" t="s">
        <v>139</v>
      </c>
      <c r="O45" s="1" t="n">
        <v>62</v>
      </c>
      <c r="P45" s="0" t="n">
        <v>90</v>
      </c>
      <c r="Q45" s="0" t="n">
        <v>4480</v>
      </c>
      <c r="R45" s="0" t="n">
        <v>4472</v>
      </c>
      <c r="S45" s="0" t="s">
        <v>91</v>
      </c>
      <c r="T45" s="0" t="s">
        <v>27</v>
      </c>
    </row>
    <row r="46" customFormat="false" ht="12.75" hidden="false" customHeight="false" outlineLevel="0" collapsed="false">
      <c r="A46" s="0" t="n">
        <v>45</v>
      </c>
      <c r="B46" s="0" t="n">
        <v>92</v>
      </c>
      <c r="C46" s="27" t="n">
        <v>119114</v>
      </c>
      <c r="J46" s="0" t="n">
        <v>29</v>
      </c>
      <c r="K46" s="0" t="n">
        <v>89</v>
      </c>
      <c r="L46" s="0" t="s">
        <v>140</v>
      </c>
      <c r="O46" s="1" t="n">
        <v>63</v>
      </c>
      <c r="P46" s="0" t="n">
        <v>90</v>
      </c>
      <c r="Q46" s="0" t="n">
        <v>4480</v>
      </c>
      <c r="R46" s="0" t="n">
        <v>4472</v>
      </c>
      <c r="S46" s="0" t="s">
        <v>91</v>
      </c>
      <c r="T46" s="0" t="s">
        <v>27</v>
      </c>
    </row>
    <row r="47" customFormat="false" ht="12.75" hidden="false" customHeight="false" outlineLevel="0" collapsed="false">
      <c r="A47" s="0" t="n">
        <v>46</v>
      </c>
      <c r="B47" s="0" t="n">
        <v>92</v>
      </c>
      <c r="C47" s="27" t="n">
        <v>131809</v>
      </c>
      <c r="J47" s="0" t="n">
        <v>37</v>
      </c>
      <c r="K47" s="0" t="n">
        <v>90</v>
      </c>
      <c r="L47" s="0" t="s">
        <v>141</v>
      </c>
      <c r="O47" s="1" t="n">
        <v>64</v>
      </c>
      <c r="P47" s="0" t="n">
        <v>90</v>
      </c>
      <c r="Q47" s="0" t="n">
        <v>4480</v>
      </c>
      <c r="R47" s="0" t="n">
        <v>4472</v>
      </c>
      <c r="S47" s="0" t="s">
        <v>91</v>
      </c>
      <c r="T47" s="0" t="s">
        <v>27</v>
      </c>
    </row>
    <row r="48" customFormat="false" ht="12.75" hidden="false" customHeight="false" outlineLevel="0" collapsed="false">
      <c r="A48" s="0" t="n">
        <v>47</v>
      </c>
      <c r="B48" s="0" t="n">
        <v>92</v>
      </c>
      <c r="C48" s="27" t="n">
        <v>143050</v>
      </c>
      <c r="J48" s="0" t="n">
        <v>53</v>
      </c>
      <c r="K48" s="0" t="n">
        <v>91</v>
      </c>
      <c r="L48" s="0" t="s">
        <v>142</v>
      </c>
      <c r="O48" s="1" t="n">
        <v>65</v>
      </c>
      <c r="P48" s="0" t="n">
        <v>90</v>
      </c>
      <c r="Q48" s="0" t="n">
        <v>4480</v>
      </c>
      <c r="R48" s="0" t="n">
        <v>4472</v>
      </c>
      <c r="S48" s="0" t="s">
        <v>91</v>
      </c>
      <c r="T48" s="0" t="s">
        <v>27</v>
      </c>
    </row>
    <row r="49" customFormat="false" ht="12.75" hidden="false" customHeight="false" outlineLevel="0" collapsed="false">
      <c r="A49" s="0" t="n">
        <v>48</v>
      </c>
      <c r="B49" s="0" t="n">
        <v>92</v>
      </c>
      <c r="C49" s="27" t="n">
        <v>1198841</v>
      </c>
      <c r="J49" s="0" t="n">
        <v>59</v>
      </c>
      <c r="K49" s="0" t="n">
        <v>92</v>
      </c>
      <c r="L49" s="0" t="s">
        <v>143</v>
      </c>
      <c r="O49" s="1" t="n">
        <v>66</v>
      </c>
      <c r="P49" s="0" t="n">
        <v>90</v>
      </c>
      <c r="Q49" s="0" t="n">
        <v>4480</v>
      </c>
      <c r="R49" s="0" t="n">
        <v>4472</v>
      </c>
      <c r="S49" s="0" t="s">
        <v>91</v>
      </c>
      <c r="T49" s="0" t="s">
        <v>27</v>
      </c>
    </row>
    <row r="50" customFormat="false" ht="12.75" hidden="false" customHeight="false" outlineLevel="0" collapsed="false">
      <c r="A50" s="0" t="n">
        <v>49</v>
      </c>
      <c r="B50" s="0" t="n">
        <v>98</v>
      </c>
      <c r="C50" s="27" t="n">
        <v>598100</v>
      </c>
      <c r="J50" s="0" t="n">
        <v>65</v>
      </c>
      <c r="K50" s="0" t="n">
        <v>93</v>
      </c>
      <c r="L50" s="0" t="s">
        <v>144</v>
      </c>
      <c r="O50" s="1" t="n">
        <v>38</v>
      </c>
      <c r="P50" s="0" t="n">
        <v>91</v>
      </c>
      <c r="Q50" s="0" t="n">
        <v>7120</v>
      </c>
      <c r="R50" s="0" t="n">
        <v>7120</v>
      </c>
      <c r="S50" s="0" t="s">
        <v>43</v>
      </c>
      <c r="T50" s="0" t="s">
        <v>43</v>
      </c>
    </row>
    <row r="51" customFormat="false" ht="12.75" hidden="false" customHeight="false" outlineLevel="0" collapsed="false">
      <c r="A51" s="0" t="n">
        <v>50</v>
      </c>
      <c r="B51" s="0" t="n">
        <v>98</v>
      </c>
      <c r="C51" s="27" t="n">
        <v>117229</v>
      </c>
      <c r="J51" s="0" t="n">
        <v>67</v>
      </c>
      <c r="K51" s="0" t="n">
        <v>94</v>
      </c>
      <c r="L51" s="0" t="s">
        <v>145</v>
      </c>
      <c r="O51" s="1" t="n">
        <v>39</v>
      </c>
      <c r="P51" s="0" t="n">
        <v>91</v>
      </c>
      <c r="Q51" s="0" t="n">
        <v>7120</v>
      </c>
      <c r="R51" s="0" t="n">
        <v>7120</v>
      </c>
      <c r="S51" s="0" t="s">
        <v>43</v>
      </c>
      <c r="T51" s="0" t="s">
        <v>43</v>
      </c>
    </row>
    <row r="52" customFormat="false" ht="12.75" hidden="false" customHeight="false" outlineLevel="0" collapsed="false">
      <c r="A52" s="0" t="n">
        <v>51</v>
      </c>
      <c r="B52" s="0" t="n">
        <v>98</v>
      </c>
      <c r="C52" s="27" t="n">
        <v>782248</v>
      </c>
      <c r="J52" s="0" t="n">
        <v>71</v>
      </c>
      <c r="K52" s="0" t="n">
        <v>95</v>
      </c>
      <c r="L52" s="0" t="s">
        <v>146</v>
      </c>
      <c r="O52" s="1" t="n">
        <v>42</v>
      </c>
      <c r="P52" s="0" t="n">
        <v>92</v>
      </c>
      <c r="Q52" s="0" t="n">
        <v>360</v>
      </c>
      <c r="R52" s="0" t="n">
        <v>4472</v>
      </c>
      <c r="S52" s="0" t="s">
        <v>147</v>
      </c>
      <c r="T52" s="0" t="s">
        <v>27</v>
      </c>
    </row>
    <row r="53" customFormat="false" ht="12.75" hidden="false" customHeight="false" outlineLevel="0" collapsed="false">
      <c r="A53" s="0" t="n">
        <v>52</v>
      </c>
      <c r="B53" s="0" t="n">
        <v>90</v>
      </c>
      <c r="C53" s="27" t="n">
        <v>116223</v>
      </c>
      <c r="J53" s="0" t="n">
        <v>73</v>
      </c>
      <c r="K53" s="0" t="n">
        <v>96</v>
      </c>
      <c r="L53" s="0" t="s">
        <v>148</v>
      </c>
      <c r="O53" s="1" t="n">
        <v>43</v>
      </c>
      <c r="P53" s="0" t="n">
        <v>92</v>
      </c>
      <c r="Q53" s="0" t="n">
        <v>360</v>
      </c>
      <c r="R53" s="0" t="n">
        <v>4472</v>
      </c>
      <c r="S53" s="0" t="s">
        <v>147</v>
      </c>
      <c r="T53" s="0" t="s">
        <v>27</v>
      </c>
    </row>
    <row r="54" customFormat="false" ht="12.75" hidden="false" customHeight="false" outlineLevel="0" collapsed="false">
      <c r="A54" s="0" t="n">
        <v>53</v>
      </c>
      <c r="B54" s="0" t="n">
        <v>90</v>
      </c>
      <c r="C54" s="27" t="n">
        <v>180038</v>
      </c>
      <c r="J54" s="0" t="n">
        <v>77</v>
      </c>
      <c r="K54" s="0" t="n">
        <v>97</v>
      </c>
      <c r="L54" s="0" t="s">
        <v>149</v>
      </c>
      <c r="O54" s="1" t="n">
        <v>44</v>
      </c>
      <c r="P54" s="0" t="n">
        <v>92</v>
      </c>
      <c r="Q54" s="0" t="n">
        <v>360</v>
      </c>
      <c r="R54" s="0" t="n">
        <v>4472</v>
      </c>
      <c r="S54" s="0" t="s">
        <v>147</v>
      </c>
      <c r="T54" s="0" t="s">
        <v>27</v>
      </c>
    </row>
    <row r="55" customFormat="false" ht="12.75" hidden="false" customHeight="false" outlineLevel="0" collapsed="false">
      <c r="A55" s="0" t="n">
        <v>54</v>
      </c>
      <c r="B55" s="0" t="n">
        <v>90</v>
      </c>
      <c r="C55" s="27" t="n">
        <v>120076</v>
      </c>
      <c r="J55" s="0" t="n">
        <v>85</v>
      </c>
      <c r="K55" s="0" t="n">
        <v>98</v>
      </c>
      <c r="L55" s="0" t="s">
        <v>150</v>
      </c>
      <c r="O55" s="1" t="n">
        <v>45</v>
      </c>
      <c r="P55" s="0" t="n">
        <v>92</v>
      </c>
      <c r="Q55" s="0" t="n">
        <v>360</v>
      </c>
      <c r="R55" s="0" t="n">
        <v>4472</v>
      </c>
      <c r="S55" s="0" t="s">
        <v>147</v>
      </c>
      <c r="T55" s="0" t="s">
        <v>27</v>
      </c>
    </row>
    <row r="56" customFormat="false" ht="12.75" hidden="false" customHeight="false" outlineLevel="0" collapsed="false">
      <c r="A56" s="0" t="n">
        <v>55</v>
      </c>
      <c r="B56" s="0" t="n">
        <v>90</v>
      </c>
      <c r="C56" s="27" t="n">
        <v>126379</v>
      </c>
      <c r="J56" s="0" t="n">
        <v>95</v>
      </c>
      <c r="K56" s="0" t="n">
        <v>99</v>
      </c>
      <c r="L56" s="0" t="s">
        <v>57</v>
      </c>
      <c r="O56" s="1" t="n">
        <v>46</v>
      </c>
      <c r="P56" s="0" t="n">
        <v>92</v>
      </c>
      <c r="Q56" s="0" t="n">
        <v>360</v>
      </c>
      <c r="R56" s="0" t="n">
        <v>4472</v>
      </c>
      <c r="S56" s="0" t="s">
        <v>147</v>
      </c>
      <c r="T56" s="0" t="s">
        <v>27</v>
      </c>
    </row>
    <row r="57" customFormat="false" ht="12.75" hidden="false" customHeight="false" outlineLevel="0" collapsed="false">
      <c r="A57" s="0" t="n">
        <v>56</v>
      </c>
      <c r="B57" s="0" t="n">
        <v>90</v>
      </c>
      <c r="C57" s="27" t="n">
        <v>127934</v>
      </c>
      <c r="J57" s="0" t="n">
        <v>97</v>
      </c>
      <c r="K57" s="0" t="n">
        <v>100</v>
      </c>
      <c r="L57" s="0" t="s">
        <v>151</v>
      </c>
      <c r="O57" s="1" t="n">
        <v>47</v>
      </c>
      <c r="P57" s="0" t="n">
        <v>92</v>
      </c>
      <c r="Q57" s="0" t="n">
        <v>360</v>
      </c>
      <c r="R57" s="0" t="n">
        <v>4472</v>
      </c>
      <c r="S57" s="0" t="s">
        <v>147</v>
      </c>
      <c r="T57" s="0" t="s">
        <v>27</v>
      </c>
    </row>
    <row r="58" customFormat="false" ht="12.75" hidden="false" customHeight="false" outlineLevel="0" collapsed="false">
      <c r="A58" s="0" t="n">
        <v>57</v>
      </c>
      <c r="B58" s="0" t="n">
        <v>90</v>
      </c>
      <c r="C58" s="27" t="n">
        <v>148229</v>
      </c>
      <c r="J58" s="0" t="n">
        <v>99</v>
      </c>
      <c r="K58" s="0" t="n">
        <v>101</v>
      </c>
      <c r="L58" s="0" t="s">
        <v>152</v>
      </c>
      <c r="O58" s="1" t="n">
        <v>48</v>
      </c>
      <c r="P58" s="0" t="n">
        <v>92</v>
      </c>
      <c r="Q58" s="0" t="n">
        <v>360</v>
      </c>
      <c r="R58" s="0" t="n">
        <v>4472</v>
      </c>
      <c r="S58" s="0" t="s">
        <v>147</v>
      </c>
      <c r="T58" s="0" t="s">
        <v>27</v>
      </c>
    </row>
    <row r="59" customFormat="false" ht="12.75" hidden="false" customHeight="false" outlineLevel="0" collapsed="false">
      <c r="A59" s="0" t="n">
        <v>58</v>
      </c>
      <c r="B59" s="0" t="n">
        <v>90</v>
      </c>
      <c r="C59" s="27" t="n">
        <v>106209</v>
      </c>
      <c r="J59" s="0" t="n">
        <v>111</v>
      </c>
      <c r="K59" s="0" t="n">
        <v>103</v>
      </c>
      <c r="L59" s="0" t="s">
        <v>153</v>
      </c>
      <c r="O59" s="1" t="n">
        <v>84</v>
      </c>
      <c r="P59" s="0" t="n">
        <v>92</v>
      </c>
      <c r="Q59" s="0" t="n">
        <v>360</v>
      </c>
      <c r="R59" s="0" t="n">
        <v>4472</v>
      </c>
      <c r="S59" s="0" t="s">
        <v>147</v>
      </c>
      <c r="T59" s="0" t="s">
        <v>27</v>
      </c>
    </row>
    <row r="60" customFormat="false" ht="12.75" hidden="false" customHeight="false" outlineLevel="0" collapsed="false">
      <c r="A60" s="0" t="n">
        <v>59</v>
      </c>
      <c r="B60" s="0" t="n">
        <v>90</v>
      </c>
      <c r="C60" s="27" t="n">
        <v>131723</v>
      </c>
      <c r="O60" s="1" t="n">
        <v>68</v>
      </c>
      <c r="P60" s="0" t="n">
        <v>93</v>
      </c>
      <c r="Q60" s="0" t="n">
        <v>6780</v>
      </c>
      <c r="R60" s="0" t="n">
        <v>4472</v>
      </c>
      <c r="S60" s="0" t="s">
        <v>101</v>
      </c>
      <c r="T60" s="0" t="s">
        <v>27</v>
      </c>
    </row>
    <row r="61" customFormat="false" ht="12.75" hidden="false" customHeight="false" outlineLevel="0" collapsed="false">
      <c r="A61" s="0" t="n">
        <v>60</v>
      </c>
      <c r="B61" s="0" t="n">
        <v>90</v>
      </c>
      <c r="C61" s="27" t="n">
        <v>104138</v>
      </c>
      <c r="O61" s="1" t="n">
        <v>69</v>
      </c>
      <c r="P61" s="0" t="n">
        <v>93</v>
      </c>
      <c r="Q61" s="0" t="n">
        <v>6780</v>
      </c>
      <c r="R61" s="0" t="n">
        <v>4472</v>
      </c>
      <c r="S61" s="0" t="s">
        <v>101</v>
      </c>
      <c r="T61" s="0" t="s">
        <v>27</v>
      </c>
    </row>
    <row r="62" customFormat="false" ht="12.75" hidden="false" customHeight="false" outlineLevel="0" collapsed="false">
      <c r="A62" s="0" t="n">
        <v>61</v>
      </c>
      <c r="B62" s="0" t="n">
        <v>90</v>
      </c>
      <c r="C62" s="27" t="n">
        <v>109602</v>
      </c>
      <c r="O62" s="1" t="n">
        <v>81</v>
      </c>
      <c r="P62" s="0" t="n">
        <v>93</v>
      </c>
      <c r="Q62" s="0" t="n">
        <v>6780</v>
      </c>
      <c r="R62" s="0" t="n">
        <v>4472</v>
      </c>
      <c r="S62" s="0" t="s">
        <v>101</v>
      </c>
      <c r="T62" s="0" t="s">
        <v>27</v>
      </c>
    </row>
    <row r="63" customFormat="false" ht="12.75" hidden="false" customHeight="false" outlineLevel="0" collapsed="false">
      <c r="A63" s="0" t="n">
        <v>62</v>
      </c>
      <c r="B63" s="0" t="n">
        <v>90</v>
      </c>
      <c r="C63" s="27" t="n">
        <v>132398</v>
      </c>
      <c r="O63" s="1" t="n">
        <v>28</v>
      </c>
      <c r="P63" s="0" t="n">
        <v>94</v>
      </c>
      <c r="Q63" s="0" t="n">
        <v>6920</v>
      </c>
      <c r="R63" s="0" t="n">
        <v>6920</v>
      </c>
      <c r="S63" s="0" t="s">
        <v>38</v>
      </c>
      <c r="T63" s="0" t="s">
        <v>38</v>
      </c>
    </row>
    <row r="64" customFormat="false" ht="12.75" hidden="false" customHeight="false" outlineLevel="0" collapsed="false">
      <c r="A64" s="0" t="n">
        <v>63</v>
      </c>
      <c r="B64" s="0" t="n">
        <v>90</v>
      </c>
      <c r="C64" s="27" t="n">
        <v>131591</v>
      </c>
      <c r="O64" s="1" t="n">
        <v>29</v>
      </c>
      <c r="P64" s="0" t="n">
        <v>94</v>
      </c>
      <c r="Q64" s="0" t="n">
        <v>6920</v>
      </c>
      <c r="R64" s="0" t="n">
        <v>6920</v>
      </c>
      <c r="S64" s="0" t="s">
        <v>38</v>
      </c>
      <c r="T64" s="0" t="s">
        <v>38</v>
      </c>
    </row>
    <row r="65" customFormat="false" ht="12.75" hidden="false" customHeight="false" outlineLevel="0" collapsed="false">
      <c r="A65" s="0" t="n">
        <v>64</v>
      </c>
      <c r="B65" s="0" t="n">
        <v>90</v>
      </c>
      <c r="C65" s="27" t="n">
        <v>3413793</v>
      </c>
      <c r="O65" s="1" t="n">
        <v>70</v>
      </c>
      <c r="P65" s="0" t="n">
        <v>95</v>
      </c>
      <c r="Q65" s="0" t="n">
        <v>6780</v>
      </c>
      <c r="R65" s="0" t="n">
        <v>4472</v>
      </c>
      <c r="S65" s="0" t="s">
        <v>101</v>
      </c>
      <c r="T65" s="0" t="s">
        <v>27</v>
      </c>
    </row>
    <row r="66" customFormat="false" ht="12.75" hidden="false" customHeight="false" outlineLevel="0" collapsed="false">
      <c r="A66" s="0" t="n">
        <v>65</v>
      </c>
      <c r="B66" s="0" t="n">
        <v>90</v>
      </c>
      <c r="C66" s="27" t="n">
        <v>3485398</v>
      </c>
      <c r="O66" s="1" t="n">
        <v>71</v>
      </c>
      <c r="P66" s="0" t="n">
        <v>95</v>
      </c>
      <c r="Q66" s="0" t="n">
        <v>6780</v>
      </c>
      <c r="R66" s="0" t="n">
        <v>4472</v>
      </c>
      <c r="S66" s="0" t="s">
        <v>101</v>
      </c>
      <c r="T66" s="0" t="s">
        <v>27</v>
      </c>
    </row>
    <row r="67" customFormat="false" ht="12.75" hidden="false" customHeight="false" outlineLevel="0" collapsed="false">
      <c r="A67" s="0" t="n">
        <v>66</v>
      </c>
      <c r="B67" s="0" t="n">
        <v>90</v>
      </c>
      <c r="C67" s="27" t="n">
        <v>429433</v>
      </c>
      <c r="O67" s="1" t="n">
        <v>72</v>
      </c>
      <c r="P67" s="0" t="n">
        <v>95</v>
      </c>
      <c r="Q67" s="0" t="n">
        <v>6780</v>
      </c>
      <c r="R67" s="0" t="n">
        <v>4472</v>
      </c>
      <c r="S67" s="0" t="s">
        <v>101</v>
      </c>
      <c r="T67" s="0" t="s">
        <v>27</v>
      </c>
    </row>
    <row r="68" customFormat="false" ht="12.75" hidden="false" customHeight="false" outlineLevel="0" collapsed="false">
      <c r="A68" s="0" t="n">
        <v>67</v>
      </c>
      <c r="B68" s="0" t="n">
        <v>103</v>
      </c>
      <c r="C68" s="27" t="n">
        <v>434225</v>
      </c>
      <c r="O68" s="1" t="n">
        <v>82</v>
      </c>
      <c r="P68" s="0" t="n">
        <v>95</v>
      </c>
      <c r="Q68" s="0" t="n">
        <v>6780</v>
      </c>
      <c r="R68" s="0" t="n">
        <v>4472</v>
      </c>
      <c r="S68" s="0" t="s">
        <v>101</v>
      </c>
      <c r="T68" s="0" t="s">
        <v>27</v>
      </c>
    </row>
    <row r="69" customFormat="false" ht="12.75" hidden="false" customHeight="false" outlineLevel="0" collapsed="false">
      <c r="A69" s="0" t="n">
        <v>68</v>
      </c>
      <c r="B69" s="0" t="n">
        <v>93</v>
      </c>
      <c r="C69" s="27" t="n">
        <v>118779</v>
      </c>
      <c r="O69" s="1" t="n">
        <v>33</v>
      </c>
      <c r="P69" s="0" t="n">
        <v>96</v>
      </c>
      <c r="Q69" s="0" t="n">
        <v>7320</v>
      </c>
      <c r="R69" s="0" t="n">
        <v>7320</v>
      </c>
      <c r="S69" s="0" t="s">
        <v>45</v>
      </c>
      <c r="T69" s="0" t="s">
        <v>45</v>
      </c>
    </row>
    <row r="70" customFormat="false" ht="12.75" hidden="false" customHeight="false" outlineLevel="0" collapsed="false">
      <c r="A70" s="0" t="n">
        <v>69</v>
      </c>
      <c r="B70" s="0" t="n">
        <v>93</v>
      </c>
      <c r="C70" s="27" t="n">
        <v>825129</v>
      </c>
      <c r="O70" s="1" t="n">
        <v>34</v>
      </c>
      <c r="P70" s="0" t="n">
        <v>96</v>
      </c>
      <c r="Q70" s="0" t="n">
        <v>7320</v>
      </c>
      <c r="R70" s="0" t="n">
        <v>7320</v>
      </c>
      <c r="S70" s="0" t="s">
        <v>45</v>
      </c>
      <c r="T70" s="0" t="s">
        <v>45</v>
      </c>
    </row>
    <row r="71" customFormat="false" ht="12.75" hidden="false" customHeight="false" outlineLevel="0" collapsed="false">
      <c r="A71" s="0" t="n">
        <v>70</v>
      </c>
      <c r="B71" s="0" t="n">
        <v>95</v>
      </c>
      <c r="C71" s="27" t="n">
        <v>101409</v>
      </c>
      <c r="O71" s="1" t="n">
        <v>35</v>
      </c>
      <c r="P71" s="0" t="n">
        <v>96</v>
      </c>
      <c r="Q71" s="0" t="n">
        <v>7320</v>
      </c>
      <c r="R71" s="0" t="n">
        <v>7320</v>
      </c>
      <c r="S71" s="0" t="s">
        <v>45</v>
      </c>
      <c r="T71" s="0" t="s">
        <v>45</v>
      </c>
    </row>
    <row r="72" customFormat="false" ht="12.75" hidden="false" customHeight="false" outlineLevel="0" collapsed="false">
      <c r="A72" s="0" t="n">
        <v>71</v>
      </c>
      <c r="B72" s="0" t="n">
        <v>95</v>
      </c>
      <c r="C72" s="27" t="n">
        <v>133179</v>
      </c>
      <c r="O72" s="1" t="n">
        <v>36</v>
      </c>
      <c r="P72" s="0" t="n">
        <v>96</v>
      </c>
      <c r="Q72" s="0" t="n">
        <v>7320</v>
      </c>
      <c r="R72" s="0" t="n">
        <v>7320</v>
      </c>
      <c r="S72" s="0" t="s">
        <v>45</v>
      </c>
      <c r="T72" s="0" t="s">
        <v>45</v>
      </c>
    </row>
    <row r="73" customFormat="false" ht="12.75" hidden="false" customHeight="false" outlineLevel="0" collapsed="false">
      <c r="A73" s="0" t="n">
        <v>72</v>
      </c>
      <c r="B73" s="0" t="n">
        <v>95</v>
      </c>
      <c r="C73" s="27" t="n">
        <v>1019628</v>
      </c>
      <c r="O73" s="1" t="n">
        <v>37</v>
      </c>
      <c r="P73" s="0" t="n">
        <v>96</v>
      </c>
      <c r="Q73" s="0" t="n">
        <v>7320</v>
      </c>
      <c r="R73" s="0" t="n">
        <v>7320</v>
      </c>
      <c r="S73" s="0" t="s">
        <v>45</v>
      </c>
      <c r="T73" s="0" t="s">
        <v>45</v>
      </c>
    </row>
    <row r="74" customFormat="false" ht="12.75" hidden="false" customHeight="false" outlineLevel="0" collapsed="false">
      <c r="A74" s="0" t="n">
        <v>73</v>
      </c>
      <c r="B74" s="0" t="n">
        <v>99</v>
      </c>
      <c r="C74" s="27" t="n">
        <v>109199</v>
      </c>
      <c r="O74" s="1" t="n">
        <v>23</v>
      </c>
      <c r="P74" s="0" t="n">
        <v>97</v>
      </c>
      <c r="Q74" s="0" t="n">
        <v>8120</v>
      </c>
      <c r="R74" s="0" t="n">
        <v>8120</v>
      </c>
      <c r="S74" s="0" t="s">
        <v>60</v>
      </c>
      <c r="T74" s="0" t="s">
        <v>60</v>
      </c>
    </row>
    <row r="75" customFormat="false" ht="12.75" hidden="false" customHeight="false" outlineLevel="0" collapsed="false">
      <c r="A75" s="0" t="n">
        <v>74</v>
      </c>
      <c r="B75" s="0" t="n">
        <v>86</v>
      </c>
      <c r="C75" s="27" t="n">
        <v>362879</v>
      </c>
      <c r="O75" s="1" t="n">
        <v>85</v>
      </c>
      <c r="P75" s="0" t="n">
        <v>97</v>
      </c>
      <c r="Q75" s="0" t="n">
        <v>8120</v>
      </c>
      <c r="R75" s="0" t="n">
        <v>8120</v>
      </c>
      <c r="S75" s="0" t="s">
        <v>60</v>
      </c>
      <c r="T75" s="0" t="s">
        <v>60</v>
      </c>
    </row>
    <row r="76" customFormat="false" ht="12.75" hidden="false" customHeight="false" outlineLevel="0" collapsed="false">
      <c r="A76" s="0" t="n">
        <v>75</v>
      </c>
      <c r="B76" s="0" t="n">
        <v>75</v>
      </c>
      <c r="C76" s="27" t="n">
        <v>311921</v>
      </c>
      <c r="O76" s="1" t="n">
        <v>49</v>
      </c>
      <c r="P76" s="0" t="n">
        <v>98</v>
      </c>
      <c r="Q76" s="0" t="n">
        <v>7400</v>
      </c>
      <c r="R76" s="0" t="n">
        <v>7362</v>
      </c>
      <c r="S76" s="0" t="s">
        <v>108</v>
      </c>
      <c r="T76" s="0" t="s">
        <v>47</v>
      </c>
    </row>
    <row r="77" customFormat="false" ht="12.75" hidden="false" customHeight="false" outlineLevel="0" collapsed="false">
      <c r="A77" s="0" t="n">
        <v>76</v>
      </c>
      <c r="B77" s="0" t="n">
        <v>76</v>
      </c>
      <c r="C77" s="27" t="n">
        <v>229734</v>
      </c>
      <c r="O77" s="1" t="n">
        <v>50</v>
      </c>
      <c r="P77" s="0" t="n">
        <v>98</v>
      </c>
      <c r="Q77" s="0" t="n">
        <v>7400</v>
      </c>
      <c r="R77" s="0" t="n">
        <v>7362</v>
      </c>
      <c r="S77" s="0" t="s">
        <v>108</v>
      </c>
      <c r="T77" s="0" t="s">
        <v>47</v>
      </c>
    </row>
    <row r="78" customFormat="false" ht="12.75" hidden="false" customHeight="false" outlineLevel="0" collapsed="false">
      <c r="A78" s="0" t="n">
        <v>77</v>
      </c>
      <c r="B78" s="0" t="n">
        <v>77</v>
      </c>
      <c r="C78" s="27" t="n">
        <v>109303</v>
      </c>
      <c r="O78" s="1" t="n">
        <v>51</v>
      </c>
      <c r="P78" s="0" t="n">
        <v>98</v>
      </c>
      <c r="Q78" s="0" t="n">
        <v>7400</v>
      </c>
      <c r="R78" s="0" t="n">
        <v>7362</v>
      </c>
      <c r="S78" s="0" t="s">
        <v>108</v>
      </c>
      <c r="T78" s="0" t="s">
        <v>47</v>
      </c>
    </row>
    <row r="79" customFormat="false" ht="12.75" hidden="false" customHeight="false" outlineLevel="0" collapsed="false">
      <c r="A79" s="0" t="n">
        <v>78</v>
      </c>
      <c r="B79" s="0" t="n">
        <v>89</v>
      </c>
      <c r="C79" s="27" t="n">
        <v>174820</v>
      </c>
      <c r="O79" s="1" t="n">
        <v>16</v>
      </c>
      <c r="P79" s="0" t="n">
        <v>99</v>
      </c>
      <c r="Q79" s="0" t="n">
        <v>8720</v>
      </c>
      <c r="R79" s="0" t="n">
        <v>7362</v>
      </c>
      <c r="S79" s="0" t="s">
        <v>97</v>
      </c>
      <c r="T79" s="0" t="s">
        <v>47</v>
      </c>
    </row>
    <row r="80" customFormat="false" ht="12.75" hidden="false" customHeight="false" outlineLevel="0" collapsed="false">
      <c r="A80" s="0" t="n">
        <v>79</v>
      </c>
      <c r="B80" s="0" t="n">
        <v>89</v>
      </c>
      <c r="C80" s="27" t="n">
        <v>368657</v>
      </c>
      <c r="O80" s="1" t="n">
        <v>73</v>
      </c>
      <c r="P80" s="0" t="n">
        <v>99</v>
      </c>
      <c r="Q80" s="0" t="n">
        <v>8720</v>
      </c>
      <c r="R80" s="0" t="n">
        <v>7362</v>
      </c>
      <c r="S80" s="0" t="s">
        <v>97</v>
      </c>
      <c r="T80" s="0" t="s">
        <v>47</v>
      </c>
    </row>
    <row r="81" customFormat="false" ht="12.75" hidden="false" customHeight="false" outlineLevel="0" collapsed="false">
      <c r="A81" s="0" t="n">
        <v>80</v>
      </c>
      <c r="B81" s="0" t="n">
        <v>80</v>
      </c>
      <c r="C81" s="27" t="n">
        <v>198579</v>
      </c>
      <c r="O81" s="1" t="n">
        <v>13</v>
      </c>
      <c r="P81" s="0" t="n">
        <v>100</v>
      </c>
      <c r="Q81" s="0" t="n">
        <v>7500</v>
      </c>
      <c r="R81" s="0" t="n">
        <v>7362</v>
      </c>
      <c r="S81" s="0" t="s">
        <v>113</v>
      </c>
      <c r="T81" s="0" t="s">
        <v>47</v>
      </c>
    </row>
    <row r="82" customFormat="false" ht="12.75" hidden="false" customHeight="false" outlineLevel="0" collapsed="false">
      <c r="A82" s="0" t="n">
        <v>81</v>
      </c>
      <c r="B82" s="0" t="n">
        <v>93</v>
      </c>
      <c r="C82" s="27" t="n">
        <v>226505</v>
      </c>
      <c r="O82" s="1" t="n">
        <v>14</v>
      </c>
      <c r="P82" s="0" t="n">
        <v>100</v>
      </c>
      <c r="Q82" s="0" t="n">
        <v>7500</v>
      </c>
      <c r="R82" s="0" t="n">
        <v>7362</v>
      </c>
      <c r="S82" s="0" t="s">
        <v>113</v>
      </c>
      <c r="T82" s="0" t="s">
        <v>47</v>
      </c>
    </row>
    <row r="83" customFormat="false" ht="12.75" hidden="false" customHeight="false" outlineLevel="0" collapsed="false">
      <c r="A83" s="0" t="n">
        <v>82</v>
      </c>
      <c r="B83" s="0" t="n">
        <v>95</v>
      </c>
      <c r="C83" s="27" t="n">
        <v>164164</v>
      </c>
      <c r="O83" s="1" t="n">
        <v>24</v>
      </c>
      <c r="P83" s="0" t="n">
        <v>101</v>
      </c>
      <c r="Q83" s="0" t="n">
        <v>5170</v>
      </c>
      <c r="R83" s="0" t="n">
        <v>5170</v>
      </c>
      <c r="S83" s="0" t="s">
        <v>34</v>
      </c>
      <c r="T83" s="0" t="s">
        <v>34</v>
      </c>
    </row>
    <row r="84" customFormat="false" ht="12.75" hidden="false" customHeight="false" outlineLevel="0" collapsed="false">
      <c r="A84" s="0" t="n">
        <v>83</v>
      </c>
      <c r="B84" s="0" t="n">
        <v>103</v>
      </c>
      <c r="C84" s="27" t="n">
        <v>142216</v>
      </c>
      <c r="O84" s="1" t="n">
        <v>25</v>
      </c>
      <c r="P84" s="0" t="n">
        <v>101</v>
      </c>
      <c r="Q84" s="0" t="n">
        <v>5170</v>
      </c>
      <c r="R84" s="0" t="n">
        <v>5170</v>
      </c>
      <c r="S84" s="0" t="s">
        <v>34</v>
      </c>
      <c r="T84" s="0" t="s">
        <v>34</v>
      </c>
    </row>
    <row r="85" customFormat="false" ht="12.75" hidden="false" customHeight="false" outlineLevel="0" collapsed="false">
      <c r="A85" s="0" t="n">
        <v>84</v>
      </c>
      <c r="B85" s="0" t="n">
        <v>92</v>
      </c>
      <c r="C85" s="27" t="n">
        <v>266406</v>
      </c>
      <c r="O85" s="1" t="n">
        <v>67</v>
      </c>
      <c r="P85" s="0" t="n">
        <v>103</v>
      </c>
      <c r="Q85" s="0" t="n">
        <v>6000</v>
      </c>
      <c r="R85" s="0" t="n">
        <v>4472</v>
      </c>
      <c r="S85" s="0" t="s">
        <v>98</v>
      </c>
      <c r="T85" s="0" t="s">
        <v>27</v>
      </c>
    </row>
    <row r="86" customFormat="false" ht="12.75" hidden="false" customHeight="false" outlineLevel="0" collapsed="false">
      <c r="A86" s="0" t="n">
        <v>85</v>
      </c>
      <c r="B86" s="0" t="n">
        <v>97</v>
      </c>
      <c r="C86" s="27" t="n">
        <v>210943</v>
      </c>
      <c r="O86" s="1" t="n">
        <v>83</v>
      </c>
      <c r="P86" s="0" t="n">
        <v>103</v>
      </c>
      <c r="Q86" s="0" t="n">
        <v>6000</v>
      </c>
      <c r="R86" s="0" t="n">
        <v>4472</v>
      </c>
      <c r="S86" s="0" t="s">
        <v>98</v>
      </c>
      <c r="T86" s="0" t="s">
        <v>27</v>
      </c>
    </row>
    <row r="87" customFormat="false" ht="12.75" hidden="false" customHeight="false" outlineLevel="0" collapsed="false">
      <c r="A87" s="0" t="s">
        <v>7</v>
      </c>
      <c r="C87" s="27" t="n">
        <v>29646839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L97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pane xSplit="5400" ySplit="510" topLeftCell="AR1" activePane="bottomLeft" state="split"/>
      <selection pane="topLeft" activeCell="A31" activeCellId="0" sqref="A31"/>
      <selection pane="topRight" activeCell="AR31" activeCellId="0" sqref="AR31"/>
      <selection pane="bottomLeft" activeCell="A31" activeCellId="0" sqref="A31"/>
      <selection pane="bottomRight" activeCell="AR1" activeCellId="0" sqref="AR1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A1" s="0" t="s">
        <v>154</v>
      </c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  <c r="Z1" s="0" t="n">
        <v>25</v>
      </c>
      <c r="AA1" s="0" t="n">
        <v>26</v>
      </c>
      <c r="AB1" s="0" t="n">
        <v>27</v>
      </c>
      <c r="AC1" s="0" t="n">
        <v>28</v>
      </c>
      <c r="AD1" s="0" t="n">
        <v>29</v>
      </c>
      <c r="AE1" s="0" t="n">
        <v>30</v>
      </c>
      <c r="AF1" s="0" t="n">
        <v>31</v>
      </c>
      <c r="AG1" s="0" t="n">
        <v>32</v>
      </c>
      <c r="AH1" s="0" t="n">
        <v>33</v>
      </c>
      <c r="AI1" s="0" t="n">
        <v>34</v>
      </c>
      <c r="AJ1" s="0" t="n">
        <v>35</v>
      </c>
      <c r="AK1" s="0" t="n">
        <v>36</v>
      </c>
      <c r="AL1" s="0" t="n">
        <v>37</v>
      </c>
      <c r="AM1" s="0" t="n">
        <v>38</v>
      </c>
      <c r="AN1" s="0" t="n">
        <v>39</v>
      </c>
      <c r="AO1" s="0" t="n">
        <v>40</v>
      </c>
      <c r="AP1" s="0" t="n">
        <v>41</v>
      </c>
      <c r="AQ1" s="0" t="n">
        <v>42</v>
      </c>
      <c r="AR1" s="0" t="n">
        <v>43</v>
      </c>
      <c r="AS1" s="0" t="n">
        <v>44</v>
      </c>
      <c r="AT1" s="0" t="n">
        <v>45</v>
      </c>
      <c r="AU1" s="0" t="n">
        <v>46</v>
      </c>
      <c r="AV1" s="0" t="n">
        <v>47</v>
      </c>
      <c r="AW1" s="0" t="n">
        <v>48</v>
      </c>
      <c r="AX1" s="0" t="n">
        <v>49</v>
      </c>
      <c r="AY1" s="0" t="n">
        <v>50</v>
      </c>
      <c r="AZ1" s="0" t="n">
        <v>51</v>
      </c>
      <c r="BA1" s="0" t="n">
        <v>52</v>
      </c>
      <c r="BB1" s="0" t="n">
        <v>53</v>
      </c>
      <c r="BC1" s="0" t="n">
        <v>54</v>
      </c>
      <c r="BD1" s="0" t="n">
        <v>55</v>
      </c>
      <c r="BE1" s="0" t="n">
        <v>56</v>
      </c>
      <c r="BF1" s="0" t="n">
        <v>57</v>
      </c>
      <c r="BG1" s="0" t="n">
        <v>58</v>
      </c>
      <c r="BH1" s="0" t="n">
        <v>59</v>
      </c>
      <c r="BI1" s="0" t="n">
        <v>60</v>
      </c>
      <c r="BJ1" s="0" t="n">
        <v>61</v>
      </c>
      <c r="BK1" s="0" t="n">
        <v>62</v>
      </c>
      <c r="BL1" s="0" t="n">
        <v>63</v>
      </c>
      <c r="BM1" s="0" t="n">
        <v>64</v>
      </c>
      <c r="BN1" s="0" t="n">
        <v>65</v>
      </c>
      <c r="BO1" s="0" t="n">
        <v>66</v>
      </c>
      <c r="BP1" s="0" t="n">
        <v>67</v>
      </c>
      <c r="BQ1" s="0" t="n">
        <v>68</v>
      </c>
      <c r="BR1" s="0" t="n">
        <v>69</v>
      </c>
      <c r="BS1" s="0" t="n">
        <v>70</v>
      </c>
      <c r="BT1" s="0" t="n">
        <v>71</v>
      </c>
      <c r="BU1" s="0" t="n">
        <v>72</v>
      </c>
      <c r="BV1" s="0" t="n">
        <v>73</v>
      </c>
      <c r="BW1" s="0" t="n">
        <v>74</v>
      </c>
      <c r="BX1" s="0" t="n">
        <v>75</v>
      </c>
      <c r="BY1" s="0" t="n">
        <v>76</v>
      </c>
      <c r="BZ1" s="0" t="n">
        <v>77</v>
      </c>
      <c r="CA1" s="0" t="n">
        <v>78</v>
      </c>
      <c r="CB1" s="0" t="n">
        <v>79</v>
      </c>
      <c r="CC1" s="0" t="n">
        <v>80</v>
      </c>
      <c r="CD1" s="0" t="n">
        <v>81</v>
      </c>
      <c r="CE1" s="0" t="n">
        <v>82</v>
      </c>
      <c r="CF1" s="0" t="n">
        <v>83</v>
      </c>
      <c r="CG1" s="0" t="n">
        <v>84</v>
      </c>
      <c r="CH1" s="0" t="n">
        <v>0</v>
      </c>
      <c r="CI1" s="0" t="n">
        <v>999</v>
      </c>
      <c r="CJ1" s="0" t="n">
        <v>998</v>
      </c>
      <c r="CK1" s="0" t="s">
        <v>155</v>
      </c>
    </row>
    <row r="2" customFormat="false" ht="12.75" hidden="false" customHeight="false" outlineLevel="0" collapsed="false">
      <c r="A2" s="0" t="n">
        <v>1</v>
      </c>
      <c r="B2" s="0" t="n">
        <v>32903</v>
      </c>
      <c r="C2" s="0" t="n">
        <v>221</v>
      </c>
      <c r="D2" s="0" t="n">
        <v>780</v>
      </c>
      <c r="E2" s="0" t="n">
        <v>104</v>
      </c>
      <c r="F2" s="0" t="n">
        <v>65</v>
      </c>
      <c r="G2" s="0" t="n">
        <v>117</v>
      </c>
      <c r="H2" s="0" t="n">
        <v>403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65</v>
      </c>
      <c r="P2" s="0" t="n">
        <v>0</v>
      </c>
      <c r="Q2" s="0" t="n">
        <v>273</v>
      </c>
      <c r="R2" s="0" t="n">
        <v>0</v>
      </c>
      <c r="S2" s="0" t="n">
        <v>0</v>
      </c>
      <c r="T2" s="0" t="n">
        <v>26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104</v>
      </c>
      <c r="AB2" s="0" t="n">
        <v>0</v>
      </c>
      <c r="AC2" s="0" t="n">
        <v>117</v>
      </c>
      <c r="AD2" s="0" t="n">
        <v>0</v>
      </c>
      <c r="AE2" s="0" t="n">
        <v>0</v>
      </c>
      <c r="AF2" s="0" t="n">
        <v>0</v>
      </c>
      <c r="AG2" s="0" t="n">
        <v>0</v>
      </c>
      <c r="AH2" s="0" t="n">
        <v>0</v>
      </c>
      <c r="AI2" s="0" t="n">
        <v>0</v>
      </c>
      <c r="AJ2" s="0" t="n">
        <v>0</v>
      </c>
      <c r="AK2" s="0" t="n">
        <v>0</v>
      </c>
      <c r="AL2" s="0" t="n">
        <v>0</v>
      </c>
      <c r="AM2" s="0" t="n">
        <v>0</v>
      </c>
      <c r="AN2" s="0" t="n">
        <v>0</v>
      </c>
      <c r="AO2" s="0" t="n">
        <v>91</v>
      </c>
      <c r="AP2" s="0" t="n">
        <v>0</v>
      </c>
      <c r="AQ2" s="0" t="n">
        <v>0</v>
      </c>
      <c r="AR2" s="0" t="n">
        <v>0</v>
      </c>
      <c r="AS2" s="0" t="n">
        <v>0</v>
      </c>
      <c r="AT2" s="0" t="n">
        <v>0</v>
      </c>
      <c r="AU2" s="0" t="n">
        <v>0</v>
      </c>
      <c r="AV2" s="0" t="n">
        <v>0</v>
      </c>
      <c r="AW2" s="0" t="n">
        <v>0</v>
      </c>
      <c r="AX2" s="0" t="n">
        <v>52</v>
      </c>
      <c r="AY2" s="0" t="n">
        <v>0</v>
      </c>
      <c r="AZ2" s="0" t="n">
        <v>0</v>
      </c>
      <c r="BA2" s="0" t="n">
        <v>0</v>
      </c>
      <c r="BB2" s="0" t="n">
        <v>0</v>
      </c>
      <c r="BC2" s="0" t="n">
        <v>0</v>
      </c>
      <c r="BD2" s="0" t="n">
        <v>0</v>
      </c>
      <c r="BE2" s="0" t="n">
        <v>0</v>
      </c>
      <c r="BF2" s="0" t="n">
        <v>0</v>
      </c>
      <c r="BG2" s="0" t="n">
        <v>0</v>
      </c>
      <c r="BH2" s="0" t="n">
        <v>0</v>
      </c>
      <c r="BI2" s="0" t="n">
        <v>0</v>
      </c>
      <c r="BJ2" s="0" t="n">
        <v>0</v>
      </c>
      <c r="BK2" s="0" t="n">
        <v>0</v>
      </c>
      <c r="BL2" s="0" t="n">
        <v>0</v>
      </c>
      <c r="BM2" s="0" t="n">
        <v>0</v>
      </c>
      <c r="BN2" s="0" t="n">
        <v>0</v>
      </c>
      <c r="BO2" s="0" t="n">
        <v>0</v>
      </c>
      <c r="BP2" s="0" t="n">
        <v>0</v>
      </c>
      <c r="BQ2" s="0" t="n">
        <v>0</v>
      </c>
      <c r="BR2" s="0" t="n">
        <v>39</v>
      </c>
      <c r="BS2" s="0" t="n">
        <v>0</v>
      </c>
      <c r="BT2" s="0" t="n">
        <v>0</v>
      </c>
      <c r="BU2" s="0" t="n">
        <v>0</v>
      </c>
      <c r="BV2" s="0" t="n">
        <v>0</v>
      </c>
      <c r="BW2" s="0" t="n">
        <v>0</v>
      </c>
      <c r="BX2" s="0" t="n">
        <v>52</v>
      </c>
      <c r="BY2" s="0" t="n">
        <v>0</v>
      </c>
      <c r="BZ2" s="0" t="n">
        <v>0</v>
      </c>
      <c r="CA2" s="0" t="n">
        <v>0</v>
      </c>
      <c r="CB2" s="0" t="n">
        <v>0</v>
      </c>
      <c r="CC2" s="0" t="n">
        <v>0</v>
      </c>
      <c r="CD2" s="0" t="n">
        <v>0</v>
      </c>
      <c r="CE2" s="0" t="n">
        <v>0</v>
      </c>
      <c r="CF2" s="0" t="n">
        <v>0</v>
      </c>
      <c r="CG2" s="0" t="n">
        <v>0</v>
      </c>
      <c r="CH2" s="0" t="n">
        <v>70434</v>
      </c>
      <c r="CI2" s="0" t="n">
        <v>0</v>
      </c>
      <c r="CJ2" s="0" t="n">
        <v>0</v>
      </c>
      <c r="CK2" s="0" t="n">
        <f aca="false">SUM(B2:CJ2)</f>
        <v>105846</v>
      </c>
      <c r="CL2" s="0" t="n">
        <f aca="false">CH2/SUM(B2:CJ2)</f>
        <v>0.665438467207074</v>
      </c>
    </row>
    <row r="3" customFormat="false" ht="12.75" hidden="false" customHeight="false" outlineLevel="0" collapsed="false">
      <c r="A3" s="0" t="n">
        <v>2</v>
      </c>
      <c r="B3" s="0" t="n">
        <v>273</v>
      </c>
      <c r="C3" s="0" t="n">
        <v>49764</v>
      </c>
      <c r="D3" s="0" t="n">
        <v>0</v>
      </c>
      <c r="E3" s="0" t="n">
        <v>273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78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104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70551</v>
      </c>
      <c r="CI3" s="0" t="n">
        <v>0</v>
      </c>
      <c r="CJ3" s="0" t="n">
        <v>0</v>
      </c>
      <c r="CK3" s="0" t="n">
        <f aca="false">SUM(B3:CJ3)</f>
        <v>121043</v>
      </c>
      <c r="CL3" s="0" t="n">
        <f aca="false">CH3/SUM(B3:CJ3)</f>
        <v>0.582858983997422</v>
      </c>
    </row>
    <row r="4" customFormat="false" ht="12.75" hidden="false" customHeight="false" outlineLevel="0" collapsed="false">
      <c r="A4" s="0" t="n">
        <v>3</v>
      </c>
      <c r="B4" s="0" t="n">
        <v>650</v>
      </c>
      <c r="C4" s="0" t="n">
        <v>117</v>
      </c>
      <c r="D4" s="0" t="n">
        <v>55562</v>
      </c>
      <c r="E4" s="0" t="n">
        <v>52</v>
      </c>
      <c r="F4" s="0" t="n">
        <v>1235</v>
      </c>
      <c r="G4" s="0" t="n">
        <v>91</v>
      </c>
      <c r="H4" s="0" t="n">
        <v>0</v>
      </c>
      <c r="I4" s="0" t="n">
        <v>0</v>
      </c>
      <c r="J4" s="0" t="n">
        <v>0</v>
      </c>
      <c r="K4" s="0" t="n">
        <v>91</v>
      </c>
      <c r="L4" s="0" t="n">
        <v>0</v>
      </c>
      <c r="M4" s="0" t="n">
        <v>0</v>
      </c>
      <c r="N4" s="0" t="n">
        <v>0</v>
      </c>
      <c r="O4" s="0" t="n">
        <v>52</v>
      </c>
      <c r="P4" s="0" t="n">
        <v>0</v>
      </c>
      <c r="Q4" s="0" t="n">
        <v>0</v>
      </c>
      <c r="R4" s="0" t="n">
        <v>91</v>
      </c>
      <c r="S4" s="0" t="n">
        <v>130</v>
      </c>
      <c r="T4" s="0" t="n">
        <v>91</v>
      </c>
      <c r="U4" s="0" t="n">
        <v>0</v>
      </c>
      <c r="V4" s="0" t="n">
        <v>299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169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52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v>0</v>
      </c>
      <c r="AV4" s="0" t="n">
        <v>0</v>
      </c>
      <c r="AW4" s="0" t="n">
        <v>0</v>
      </c>
      <c r="AX4" s="0" t="n">
        <v>182</v>
      </c>
      <c r="AY4" s="0" t="n">
        <v>0</v>
      </c>
      <c r="AZ4" s="0" t="n">
        <v>104</v>
      </c>
      <c r="BA4" s="0" t="n">
        <v>0</v>
      </c>
      <c r="BB4" s="0" t="n">
        <v>0</v>
      </c>
      <c r="BC4" s="0" t="n">
        <v>0</v>
      </c>
      <c r="BD4" s="0" t="n">
        <v>0</v>
      </c>
      <c r="BE4" s="0" t="n">
        <v>0</v>
      </c>
      <c r="BF4" s="0" t="n">
        <v>0</v>
      </c>
      <c r="BG4" s="0" t="n">
        <v>0</v>
      </c>
      <c r="BH4" s="0" t="n">
        <v>0</v>
      </c>
      <c r="BI4" s="0" t="n">
        <v>0</v>
      </c>
      <c r="BJ4" s="0" t="n">
        <v>0</v>
      </c>
      <c r="BK4" s="0" t="n">
        <v>0</v>
      </c>
      <c r="BL4" s="0" t="n">
        <v>0</v>
      </c>
      <c r="BM4" s="0" t="n">
        <v>0</v>
      </c>
      <c r="BN4" s="0" t="n">
        <v>0</v>
      </c>
      <c r="BO4" s="0" t="n">
        <v>0</v>
      </c>
      <c r="BP4" s="0" t="n">
        <v>0</v>
      </c>
      <c r="BQ4" s="0" t="n">
        <v>0</v>
      </c>
      <c r="BR4" s="0" t="n">
        <v>0</v>
      </c>
      <c r="BS4" s="0" t="n">
        <v>0</v>
      </c>
      <c r="BT4" s="0" t="n">
        <v>0</v>
      </c>
      <c r="BU4" s="0" t="n">
        <v>78</v>
      </c>
      <c r="BV4" s="0" t="n">
        <v>0</v>
      </c>
      <c r="BW4" s="0" t="n">
        <v>0</v>
      </c>
      <c r="BX4" s="0" t="n">
        <v>0</v>
      </c>
      <c r="BY4" s="0" t="n">
        <v>0</v>
      </c>
      <c r="BZ4" s="0" t="n">
        <v>0</v>
      </c>
      <c r="CA4" s="0" t="n">
        <v>0</v>
      </c>
      <c r="CB4" s="0" t="n">
        <v>117</v>
      </c>
      <c r="CC4" s="0" t="n">
        <v>0</v>
      </c>
      <c r="CD4" s="0" t="n">
        <v>0</v>
      </c>
      <c r="CE4" s="0" t="n">
        <v>0</v>
      </c>
      <c r="CF4" s="0" t="n">
        <v>0</v>
      </c>
      <c r="CG4" s="0" t="n">
        <v>0</v>
      </c>
      <c r="CH4" s="0" t="n">
        <v>93327</v>
      </c>
      <c r="CI4" s="0" t="n">
        <v>0</v>
      </c>
      <c r="CJ4" s="0" t="n">
        <v>0</v>
      </c>
      <c r="CK4" s="0" t="n">
        <f aca="false">SUM(B4:CJ4)</f>
        <v>152490</v>
      </c>
      <c r="CL4" s="0" t="n">
        <f aca="false">CH4/SUM(B4:CJ4)</f>
        <v>0.612020460358056</v>
      </c>
    </row>
    <row r="5" customFormat="false" ht="12.75" hidden="false" customHeight="false" outlineLevel="0" collapsed="false">
      <c r="A5" s="0" t="n">
        <v>4</v>
      </c>
      <c r="B5" s="0" t="n">
        <v>0</v>
      </c>
      <c r="C5" s="0" t="n">
        <v>0</v>
      </c>
      <c r="D5" s="0" t="n">
        <v>0</v>
      </c>
      <c r="E5" s="0" t="n">
        <v>47697</v>
      </c>
      <c r="F5" s="0" t="n">
        <v>39</v>
      </c>
      <c r="G5" s="0" t="n">
        <v>0</v>
      </c>
      <c r="H5" s="0" t="n">
        <v>182</v>
      </c>
      <c r="I5" s="0" t="n">
        <v>117</v>
      </c>
      <c r="J5" s="0" t="n">
        <v>65</v>
      </c>
      <c r="K5" s="0" t="n">
        <v>0</v>
      </c>
      <c r="L5" s="0" t="n">
        <v>0</v>
      </c>
      <c r="M5" s="0" t="n">
        <v>0</v>
      </c>
      <c r="N5" s="0" t="n">
        <v>260</v>
      </c>
      <c r="O5" s="0" t="n">
        <v>1209</v>
      </c>
      <c r="P5" s="0" t="n">
        <v>312</v>
      </c>
      <c r="Q5" s="0" t="n">
        <v>0</v>
      </c>
      <c r="R5" s="0" t="n">
        <v>0</v>
      </c>
      <c r="S5" s="0" t="n">
        <v>0</v>
      </c>
      <c r="T5" s="0" t="n">
        <v>429</v>
      </c>
      <c r="U5" s="0" t="n">
        <v>0</v>
      </c>
      <c r="V5" s="0" t="n">
        <v>195</v>
      </c>
      <c r="W5" s="0" t="n">
        <v>117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91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130</v>
      </c>
      <c r="AZ5" s="0" t="n">
        <v>52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117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79183</v>
      </c>
      <c r="CI5" s="0" t="n">
        <v>78</v>
      </c>
      <c r="CJ5" s="0" t="n">
        <v>0</v>
      </c>
      <c r="CK5" s="0" t="n">
        <f aca="false">SUM(B5:CJ5)</f>
        <v>130273</v>
      </c>
      <c r="CL5" s="0" t="n">
        <f aca="false">CH5/SUM(B5:CJ5)</f>
        <v>0.607823570501946</v>
      </c>
    </row>
    <row r="6" customFormat="false" ht="12.75" hidden="false" customHeight="false" outlineLevel="0" collapsed="false">
      <c r="A6" s="0" t="n">
        <v>5</v>
      </c>
      <c r="B6" s="0" t="n">
        <v>0</v>
      </c>
      <c r="C6" s="0" t="n">
        <v>533</v>
      </c>
      <c r="D6" s="0" t="n">
        <v>2275</v>
      </c>
      <c r="E6" s="0" t="n">
        <v>65</v>
      </c>
      <c r="F6" s="0" t="n">
        <v>28613</v>
      </c>
      <c r="G6" s="0" t="n">
        <v>1105</v>
      </c>
      <c r="H6" s="0" t="n">
        <v>572</v>
      </c>
      <c r="I6" s="0" t="n">
        <v>0</v>
      </c>
      <c r="J6" s="0" t="n">
        <v>0</v>
      </c>
      <c r="K6" s="0" t="n">
        <v>0</v>
      </c>
      <c r="L6" s="0" t="n">
        <v>143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286</v>
      </c>
      <c r="R6" s="0" t="n">
        <v>0</v>
      </c>
      <c r="S6" s="0" t="n">
        <v>182</v>
      </c>
      <c r="T6" s="0" t="n">
        <v>169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0</v>
      </c>
      <c r="AL6" s="0" t="n">
        <v>0</v>
      </c>
      <c r="AM6" s="0" t="n">
        <v>0</v>
      </c>
      <c r="AN6" s="0" t="n">
        <v>0</v>
      </c>
      <c r="AO6" s="0" t="n">
        <v>0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0</v>
      </c>
      <c r="AU6" s="0" t="n">
        <v>0</v>
      </c>
      <c r="AV6" s="0" t="n">
        <v>0</v>
      </c>
      <c r="AW6" s="0" t="n">
        <v>0</v>
      </c>
      <c r="AX6" s="0" t="n">
        <v>143</v>
      </c>
      <c r="AY6" s="0" t="n">
        <v>0</v>
      </c>
      <c r="AZ6" s="0" t="n">
        <v>0</v>
      </c>
      <c r="BA6" s="0" t="n">
        <v>0</v>
      </c>
      <c r="BB6" s="0" t="n">
        <v>0</v>
      </c>
      <c r="BC6" s="0" t="n">
        <v>0</v>
      </c>
      <c r="BD6" s="0" t="n">
        <v>0</v>
      </c>
      <c r="BE6" s="0" t="n">
        <v>0</v>
      </c>
      <c r="BF6" s="0" t="n">
        <v>0</v>
      </c>
      <c r="BG6" s="0" t="n">
        <v>0</v>
      </c>
      <c r="BH6" s="0" t="n">
        <v>0</v>
      </c>
      <c r="BI6" s="0" t="n">
        <v>0</v>
      </c>
      <c r="BJ6" s="0" t="n">
        <v>0</v>
      </c>
      <c r="BK6" s="0" t="n">
        <v>0</v>
      </c>
      <c r="BL6" s="0" t="n">
        <v>0</v>
      </c>
      <c r="BM6" s="0" t="n">
        <v>0</v>
      </c>
      <c r="BN6" s="0" t="n">
        <v>0</v>
      </c>
      <c r="BO6" s="0" t="n">
        <v>0</v>
      </c>
      <c r="BP6" s="0" t="n">
        <v>0</v>
      </c>
      <c r="BQ6" s="0" t="n">
        <v>0</v>
      </c>
      <c r="BR6" s="0" t="n">
        <v>0</v>
      </c>
      <c r="BS6" s="0" t="n">
        <v>0</v>
      </c>
      <c r="BT6" s="0" t="n">
        <v>0</v>
      </c>
      <c r="BU6" s="0" t="n">
        <v>78</v>
      </c>
      <c r="BV6" s="0" t="n">
        <v>0</v>
      </c>
      <c r="BW6" s="0" t="n">
        <v>0</v>
      </c>
      <c r="BX6" s="0" t="n">
        <v>0</v>
      </c>
      <c r="BY6" s="0" t="n">
        <v>0</v>
      </c>
      <c r="BZ6" s="0" t="n">
        <v>0</v>
      </c>
      <c r="CA6" s="0" t="n">
        <v>0</v>
      </c>
      <c r="CB6" s="0" t="n">
        <v>0</v>
      </c>
      <c r="CC6" s="0" t="n">
        <v>0</v>
      </c>
      <c r="CD6" s="0" t="n">
        <v>0</v>
      </c>
      <c r="CE6" s="0" t="n">
        <v>0</v>
      </c>
      <c r="CF6" s="0" t="n">
        <v>0</v>
      </c>
      <c r="CG6" s="0" t="n">
        <v>0</v>
      </c>
      <c r="CH6" s="0" t="n">
        <v>66183</v>
      </c>
      <c r="CI6" s="0" t="n">
        <v>0</v>
      </c>
      <c r="CJ6" s="0" t="n">
        <v>0</v>
      </c>
      <c r="CK6" s="0" t="n">
        <f aca="false">SUM(B6:CJ6)</f>
        <v>100347</v>
      </c>
      <c r="CL6" s="0" t="n">
        <f aca="false">CH6/SUM(B6:CJ6)</f>
        <v>0.659541391371939</v>
      </c>
    </row>
    <row r="7" customFormat="false" ht="12.75" hidden="false" customHeight="false" outlineLevel="0" collapsed="false">
      <c r="A7" s="0" t="n">
        <v>6</v>
      </c>
      <c r="B7" s="0" t="n">
        <v>299</v>
      </c>
      <c r="C7" s="0" t="n">
        <v>0</v>
      </c>
      <c r="D7" s="0" t="n">
        <v>65</v>
      </c>
      <c r="E7" s="0" t="n">
        <v>0</v>
      </c>
      <c r="F7" s="0" t="n">
        <v>1391</v>
      </c>
      <c r="G7" s="0" t="n">
        <v>62647</v>
      </c>
      <c r="H7" s="0" t="n">
        <v>260</v>
      </c>
      <c r="I7" s="0" t="n">
        <v>1651</v>
      </c>
      <c r="J7" s="0" t="n">
        <v>117</v>
      </c>
      <c r="K7" s="0" t="n">
        <v>0</v>
      </c>
      <c r="L7" s="0" t="n">
        <v>117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117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260</v>
      </c>
      <c r="AB7" s="0" t="n">
        <v>0</v>
      </c>
      <c r="AC7" s="0" t="n">
        <v>130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117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117</v>
      </c>
      <c r="AO7" s="0" t="n">
        <v>78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78</v>
      </c>
      <c r="AY7" s="0" t="n">
        <v>78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111722</v>
      </c>
      <c r="CI7" s="0" t="n">
        <v>78</v>
      </c>
      <c r="CJ7" s="0" t="n">
        <v>0</v>
      </c>
      <c r="CK7" s="0" t="n">
        <f aca="false">SUM(B7:CJ7)</f>
        <v>179322</v>
      </c>
      <c r="CL7" s="0" t="n">
        <f aca="false">CH7/SUM(B7:CJ7)</f>
        <v>0.623024503407279</v>
      </c>
    </row>
    <row r="8" customFormat="false" ht="12.75" hidden="false" customHeight="false" outlineLevel="0" collapsed="false">
      <c r="A8" s="0" t="n">
        <v>7</v>
      </c>
      <c r="B8" s="0" t="n">
        <v>104</v>
      </c>
      <c r="C8" s="0" t="n">
        <v>0</v>
      </c>
      <c r="D8" s="0" t="n">
        <v>624</v>
      </c>
      <c r="E8" s="0" t="n">
        <v>377</v>
      </c>
      <c r="F8" s="0" t="n">
        <v>78</v>
      </c>
      <c r="G8" s="0" t="n">
        <v>208</v>
      </c>
      <c r="H8" s="0" t="n">
        <v>32396</v>
      </c>
      <c r="I8" s="0" t="n">
        <v>650</v>
      </c>
      <c r="J8" s="0" t="n">
        <v>78</v>
      </c>
      <c r="K8" s="0" t="n">
        <v>0</v>
      </c>
      <c r="L8" s="0" t="n">
        <v>3822</v>
      </c>
      <c r="M8" s="0" t="n">
        <v>0</v>
      </c>
      <c r="N8" s="0" t="n">
        <v>0</v>
      </c>
      <c r="O8" s="0" t="n">
        <v>156</v>
      </c>
      <c r="P8" s="0" t="n">
        <v>0</v>
      </c>
      <c r="Q8" s="0" t="n">
        <v>0</v>
      </c>
      <c r="R8" s="0" t="n">
        <v>0</v>
      </c>
      <c r="S8" s="0" t="n">
        <v>91</v>
      </c>
      <c r="T8" s="0" t="n">
        <v>117</v>
      </c>
      <c r="U8" s="0" t="n">
        <v>221</v>
      </c>
      <c r="V8" s="0" t="n">
        <v>0</v>
      </c>
      <c r="W8" s="0" t="n">
        <v>117</v>
      </c>
      <c r="X8" s="0" t="n">
        <v>143</v>
      </c>
      <c r="Y8" s="0" t="n">
        <v>143</v>
      </c>
      <c r="Z8" s="0" t="n">
        <v>0</v>
      </c>
      <c r="AA8" s="0" t="n">
        <v>91</v>
      </c>
      <c r="AB8" s="0" t="n">
        <v>0</v>
      </c>
      <c r="AC8" s="0" t="n">
        <v>689</v>
      </c>
      <c r="AD8" s="0" t="n">
        <v>546</v>
      </c>
      <c r="AE8" s="0" t="n">
        <v>0</v>
      </c>
      <c r="AF8" s="0" t="n">
        <v>0</v>
      </c>
      <c r="AG8" s="0" t="n">
        <v>0</v>
      </c>
      <c r="AH8" s="0" t="n">
        <v>130</v>
      </c>
      <c r="AI8" s="0" t="n">
        <v>0</v>
      </c>
      <c r="AJ8" s="0" t="n">
        <v>0</v>
      </c>
      <c r="AK8" s="0" t="n">
        <v>0</v>
      </c>
      <c r="AL8" s="0" t="n">
        <v>52</v>
      </c>
      <c r="AM8" s="0" t="n">
        <v>0</v>
      </c>
      <c r="AN8" s="0" t="n">
        <v>0</v>
      </c>
      <c r="AO8" s="0" t="n">
        <v>0</v>
      </c>
      <c r="AP8" s="0" t="n">
        <v>26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104</v>
      </c>
      <c r="AY8" s="0" t="n">
        <v>0</v>
      </c>
      <c r="AZ8" s="0" t="n">
        <v>0</v>
      </c>
      <c r="BA8" s="0" t="n">
        <v>0</v>
      </c>
      <c r="BB8" s="0" t="n">
        <v>104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61087</v>
      </c>
      <c r="CI8" s="0" t="n">
        <v>0</v>
      </c>
      <c r="CJ8" s="0" t="n">
        <v>0</v>
      </c>
      <c r="CK8" s="0" t="n">
        <f aca="false">SUM(B8:CJ8)</f>
        <v>102154</v>
      </c>
      <c r="CL8" s="0" t="n">
        <f aca="false">CH8/SUM(B8:CJ8)</f>
        <v>0.597989310257063</v>
      </c>
    </row>
    <row r="9" customFormat="false" ht="12.75" hidden="false" customHeight="false" outlineLevel="0" collapsed="false">
      <c r="A9" s="0" t="n">
        <v>8</v>
      </c>
      <c r="B9" s="0" t="n">
        <v>0</v>
      </c>
      <c r="C9" s="0" t="n">
        <v>0</v>
      </c>
      <c r="D9" s="0" t="n">
        <v>0</v>
      </c>
      <c r="E9" s="0" t="n">
        <v>0</v>
      </c>
      <c r="F9" s="0" t="n">
        <v>403</v>
      </c>
      <c r="G9" s="0" t="n">
        <v>663</v>
      </c>
      <c r="H9" s="0" t="n">
        <v>312</v>
      </c>
      <c r="I9" s="0" t="n">
        <v>38493</v>
      </c>
      <c r="J9" s="0" t="n">
        <v>0</v>
      </c>
      <c r="K9" s="0" t="n">
        <v>1521</v>
      </c>
      <c r="L9" s="0" t="n">
        <v>1196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364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91</v>
      </c>
      <c r="W9" s="0" t="n">
        <v>0</v>
      </c>
      <c r="X9" s="0" t="n">
        <v>0</v>
      </c>
      <c r="Y9" s="0" t="n">
        <v>0</v>
      </c>
      <c r="Z9" s="0" t="n">
        <v>78</v>
      </c>
      <c r="AA9" s="0" t="n">
        <v>0</v>
      </c>
      <c r="AB9" s="0" t="n">
        <v>0</v>
      </c>
      <c r="AC9" s="0" t="n">
        <v>1456</v>
      </c>
      <c r="AD9" s="0" t="n">
        <v>2184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74074</v>
      </c>
      <c r="CI9" s="0" t="n">
        <v>0</v>
      </c>
      <c r="CJ9" s="0" t="n">
        <v>0</v>
      </c>
      <c r="CK9" s="0" t="n">
        <f aca="false">SUM(B9:CJ9)</f>
        <v>120835</v>
      </c>
      <c r="CL9" s="0" t="n">
        <f aca="false">CH9/SUM(B9:CJ9)</f>
        <v>0.61301775147929</v>
      </c>
    </row>
    <row r="10" customFormat="false" ht="12.75" hidden="false" customHeight="false" outlineLevel="0" collapsed="false">
      <c r="A10" s="0" t="n">
        <v>9</v>
      </c>
      <c r="B10" s="0" t="n">
        <v>143</v>
      </c>
      <c r="C10" s="0" t="n">
        <v>0</v>
      </c>
      <c r="D10" s="0" t="n">
        <v>0</v>
      </c>
      <c r="E10" s="0" t="n">
        <v>208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37791</v>
      </c>
      <c r="K10" s="0" t="n">
        <v>104</v>
      </c>
      <c r="L10" s="0" t="n">
        <v>0</v>
      </c>
      <c r="M10" s="0" t="n">
        <v>0</v>
      </c>
      <c r="N10" s="0" t="n">
        <v>559</v>
      </c>
      <c r="O10" s="0" t="n">
        <v>1222</v>
      </c>
      <c r="P10" s="0" t="n">
        <v>429</v>
      </c>
      <c r="Q10" s="0" t="n">
        <v>1781</v>
      </c>
      <c r="R10" s="0" t="n">
        <v>208</v>
      </c>
      <c r="S10" s="0" t="n">
        <v>1703</v>
      </c>
      <c r="T10" s="0" t="n">
        <v>897</v>
      </c>
      <c r="U10" s="0" t="n">
        <v>325</v>
      </c>
      <c r="V10" s="0" t="n">
        <v>572</v>
      </c>
      <c r="W10" s="0" t="n">
        <v>195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286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0</v>
      </c>
      <c r="AJ10" s="0" t="n">
        <v>0</v>
      </c>
      <c r="AK10" s="0" t="n">
        <v>0</v>
      </c>
      <c r="AL10" s="0" t="n">
        <v>91</v>
      </c>
      <c r="AM10" s="0" t="n">
        <v>0</v>
      </c>
      <c r="AN10" s="0" t="n">
        <v>0</v>
      </c>
      <c r="AO10" s="0" t="n">
        <v>0</v>
      </c>
      <c r="AP10" s="0" t="n">
        <v>0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v>0</v>
      </c>
      <c r="AV10" s="0" t="n">
        <v>0</v>
      </c>
      <c r="AW10" s="0" t="n">
        <v>0</v>
      </c>
      <c r="AX10" s="0" t="n">
        <v>117</v>
      </c>
      <c r="AY10" s="0" t="n">
        <v>0</v>
      </c>
      <c r="AZ10" s="0" t="n">
        <v>273</v>
      </c>
      <c r="BA10" s="0" t="n">
        <v>0</v>
      </c>
      <c r="BB10" s="0" t="n">
        <v>0</v>
      </c>
      <c r="BC10" s="0" t="n">
        <v>0</v>
      </c>
      <c r="BD10" s="0" t="n">
        <v>0</v>
      </c>
      <c r="BE10" s="0" t="n">
        <v>0</v>
      </c>
      <c r="BF10" s="0" t="n">
        <v>0</v>
      </c>
      <c r="BG10" s="0" t="n">
        <v>0</v>
      </c>
      <c r="BH10" s="0" t="n">
        <v>0</v>
      </c>
      <c r="BI10" s="0" t="n">
        <v>0</v>
      </c>
      <c r="BJ10" s="0" t="n">
        <v>0</v>
      </c>
      <c r="BK10" s="0" t="n">
        <v>0</v>
      </c>
      <c r="BL10" s="0" t="n">
        <v>0</v>
      </c>
      <c r="BM10" s="0" t="n">
        <v>104</v>
      </c>
      <c r="BN10" s="0" t="n">
        <v>0</v>
      </c>
      <c r="BO10" s="0" t="n">
        <v>0</v>
      </c>
      <c r="BP10" s="0" t="n">
        <v>0</v>
      </c>
      <c r="BQ10" s="0" t="n">
        <v>0</v>
      </c>
      <c r="BR10" s="0" t="n">
        <v>0</v>
      </c>
      <c r="BS10" s="0" t="n">
        <v>0</v>
      </c>
      <c r="BT10" s="0" t="n">
        <v>0</v>
      </c>
      <c r="BU10" s="0" t="n">
        <v>0</v>
      </c>
      <c r="BV10" s="0" t="n">
        <v>4901</v>
      </c>
      <c r="BW10" s="0" t="n">
        <v>0</v>
      </c>
      <c r="BX10" s="0" t="n">
        <v>0</v>
      </c>
      <c r="BY10" s="0" t="n">
        <v>0</v>
      </c>
      <c r="BZ10" s="0" t="n">
        <v>0</v>
      </c>
      <c r="CA10" s="0" t="n">
        <v>0</v>
      </c>
      <c r="CB10" s="0" t="n">
        <v>0</v>
      </c>
      <c r="CC10" s="0" t="n">
        <v>0</v>
      </c>
      <c r="CD10" s="0" t="n">
        <v>0</v>
      </c>
      <c r="CE10" s="0" t="n">
        <v>0</v>
      </c>
      <c r="CF10" s="0" t="n">
        <v>0</v>
      </c>
      <c r="CG10" s="0" t="n">
        <v>0</v>
      </c>
      <c r="CH10" s="0" t="n">
        <v>57291</v>
      </c>
      <c r="CI10" s="0" t="n">
        <v>0</v>
      </c>
      <c r="CJ10" s="0" t="n">
        <v>0</v>
      </c>
      <c r="CK10" s="0" t="n">
        <f aca="false">SUM(B10:CJ10)</f>
        <v>109200</v>
      </c>
      <c r="CL10" s="0" t="n">
        <f aca="false">CH10/SUM(B10:CJ10)</f>
        <v>0.524642857142857</v>
      </c>
    </row>
    <row r="11" customFormat="false" ht="12.75" hidden="false" customHeight="false" outlineLevel="0" collapsed="false">
      <c r="A11" s="0" t="n">
        <v>10</v>
      </c>
      <c r="B11" s="0" t="n">
        <v>65</v>
      </c>
      <c r="C11" s="0" t="n">
        <v>0</v>
      </c>
      <c r="D11" s="0" t="n">
        <v>221</v>
      </c>
      <c r="E11" s="0" t="n">
        <v>0</v>
      </c>
      <c r="F11" s="0" t="n">
        <v>182</v>
      </c>
      <c r="G11" s="0" t="n">
        <v>221</v>
      </c>
      <c r="H11" s="0" t="n">
        <v>0</v>
      </c>
      <c r="I11" s="0" t="n">
        <v>507</v>
      </c>
      <c r="J11" s="0" t="n">
        <v>169</v>
      </c>
      <c r="K11" s="0" t="n">
        <v>44408</v>
      </c>
      <c r="L11" s="0" t="n">
        <v>208</v>
      </c>
      <c r="M11" s="0" t="n">
        <v>195</v>
      </c>
      <c r="N11" s="0" t="n">
        <v>0</v>
      </c>
      <c r="O11" s="0" t="n">
        <v>0</v>
      </c>
      <c r="P11" s="0" t="n">
        <v>0</v>
      </c>
      <c r="Q11" s="0" t="n">
        <v>2015</v>
      </c>
      <c r="R11" s="0" t="n">
        <v>0</v>
      </c>
      <c r="S11" s="0" t="n">
        <v>299</v>
      </c>
      <c r="T11" s="0" t="n">
        <v>0</v>
      </c>
      <c r="U11" s="0" t="n">
        <v>221</v>
      </c>
      <c r="V11" s="0" t="n">
        <v>91</v>
      </c>
      <c r="W11" s="0" t="n">
        <v>78</v>
      </c>
      <c r="X11" s="0" t="n">
        <v>351</v>
      </c>
      <c r="Y11" s="0" t="n">
        <v>117</v>
      </c>
      <c r="Z11" s="0" t="n">
        <v>0</v>
      </c>
      <c r="AA11" s="0" t="n">
        <v>117</v>
      </c>
      <c r="AB11" s="0" t="n">
        <v>0</v>
      </c>
      <c r="AC11" s="0" t="n">
        <v>13039</v>
      </c>
      <c r="AD11" s="0" t="n">
        <v>4069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65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78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169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75231</v>
      </c>
      <c r="CI11" s="0" t="n">
        <v>0</v>
      </c>
      <c r="CJ11" s="0" t="n">
        <v>0</v>
      </c>
      <c r="CK11" s="0" t="n">
        <f aca="false">SUM(B11:CJ11)</f>
        <v>142116</v>
      </c>
      <c r="CL11" s="0" t="n">
        <f aca="false">CH11/SUM(B11:CJ11)</f>
        <v>0.529363336992316</v>
      </c>
    </row>
    <row r="12" customFormat="false" ht="12.75" hidden="false" customHeight="false" outlineLevel="0" collapsed="false">
      <c r="A12" s="0" t="n">
        <v>11</v>
      </c>
      <c r="B12" s="0" t="n">
        <v>0</v>
      </c>
      <c r="C12" s="0" t="n">
        <v>0</v>
      </c>
      <c r="D12" s="0" t="n">
        <v>429</v>
      </c>
      <c r="E12" s="0" t="n">
        <v>1456</v>
      </c>
      <c r="F12" s="0" t="n">
        <v>416</v>
      </c>
      <c r="G12" s="0" t="n">
        <v>0</v>
      </c>
      <c r="H12" s="0" t="n">
        <v>1872</v>
      </c>
      <c r="I12" s="0" t="n">
        <v>247</v>
      </c>
      <c r="J12" s="0" t="n">
        <v>0</v>
      </c>
      <c r="K12" s="0" t="n">
        <v>1131</v>
      </c>
      <c r="L12" s="0" t="n">
        <v>46007</v>
      </c>
      <c r="M12" s="0" t="n">
        <v>104</v>
      </c>
      <c r="N12" s="0" t="n">
        <v>0</v>
      </c>
      <c r="O12" s="0" t="n">
        <v>26</v>
      </c>
      <c r="P12" s="0" t="n">
        <v>0</v>
      </c>
      <c r="Q12" s="0" t="n">
        <v>377</v>
      </c>
      <c r="R12" s="0" t="n">
        <v>0</v>
      </c>
      <c r="S12" s="0" t="n">
        <v>624</v>
      </c>
      <c r="T12" s="0" t="n">
        <v>91</v>
      </c>
      <c r="U12" s="0" t="n">
        <v>104</v>
      </c>
      <c r="V12" s="0" t="n">
        <v>0</v>
      </c>
      <c r="W12" s="0" t="n">
        <v>26</v>
      </c>
      <c r="X12" s="0" t="n">
        <v>0</v>
      </c>
      <c r="Y12" s="0" t="n">
        <v>0</v>
      </c>
      <c r="Z12" s="0" t="n">
        <v>195</v>
      </c>
      <c r="AA12" s="0" t="n">
        <v>312</v>
      </c>
      <c r="AB12" s="0" t="n">
        <v>0</v>
      </c>
      <c r="AC12" s="0" t="n">
        <v>11089</v>
      </c>
      <c r="AD12" s="0" t="n">
        <v>14482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143</v>
      </c>
      <c r="AM12" s="0" t="n">
        <v>0</v>
      </c>
      <c r="AN12" s="0" t="n">
        <v>0</v>
      </c>
      <c r="AO12" s="0" t="n">
        <v>0</v>
      </c>
      <c r="AP12" s="0" t="n">
        <v>117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182</v>
      </c>
      <c r="AX12" s="0" t="n">
        <v>442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78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143</v>
      </c>
      <c r="BO12" s="0" t="n">
        <v>0</v>
      </c>
      <c r="BP12" s="0" t="n">
        <v>156</v>
      </c>
      <c r="BQ12" s="0" t="n">
        <v>0</v>
      </c>
      <c r="BR12" s="0" t="n">
        <v>169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90948</v>
      </c>
      <c r="CI12" s="0" t="n">
        <v>117</v>
      </c>
      <c r="CJ12" s="0" t="n">
        <v>0</v>
      </c>
      <c r="CK12" s="0" t="n">
        <f aca="false">SUM(B12:CJ12)</f>
        <v>171483</v>
      </c>
      <c r="CL12" s="0" t="n">
        <f aca="false">CH12/SUM(B12:CJ12)</f>
        <v>0.530361610188765</v>
      </c>
    </row>
    <row r="13" customFormat="false" ht="12.75" hidden="false" customHeight="false" outlineLevel="0" collapsed="false">
      <c r="A13" s="0" t="n">
        <v>12</v>
      </c>
      <c r="B13" s="0" t="n">
        <v>0</v>
      </c>
      <c r="C13" s="0" t="n">
        <v>143</v>
      </c>
      <c r="D13" s="0" t="n">
        <v>299</v>
      </c>
      <c r="E13" s="0" t="n">
        <v>0</v>
      </c>
      <c r="F13" s="0" t="n">
        <v>5811</v>
      </c>
      <c r="G13" s="0" t="n">
        <v>143</v>
      </c>
      <c r="H13" s="0" t="n">
        <v>130</v>
      </c>
      <c r="I13" s="0" t="n">
        <v>0</v>
      </c>
      <c r="J13" s="0" t="n">
        <v>0</v>
      </c>
      <c r="K13" s="0" t="n">
        <v>494</v>
      </c>
      <c r="L13" s="0" t="n">
        <v>1651</v>
      </c>
      <c r="M13" s="0" t="n">
        <v>30693</v>
      </c>
      <c r="N13" s="0" t="n">
        <v>0</v>
      </c>
      <c r="O13" s="0" t="n">
        <v>91</v>
      </c>
      <c r="P13" s="0" t="n">
        <v>0</v>
      </c>
      <c r="Q13" s="0" t="n">
        <v>117</v>
      </c>
      <c r="R13" s="0" t="n">
        <v>0</v>
      </c>
      <c r="S13" s="0" t="n">
        <v>91</v>
      </c>
      <c r="T13" s="0" t="n">
        <v>156</v>
      </c>
      <c r="U13" s="0" t="n">
        <v>0</v>
      </c>
      <c r="V13" s="0" t="n">
        <v>26</v>
      </c>
      <c r="W13" s="0" t="n">
        <v>182</v>
      </c>
      <c r="X13" s="0" t="n">
        <v>182</v>
      </c>
      <c r="Y13" s="0" t="n">
        <v>0</v>
      </c>
      <c r="Z13" s="0" t="n">
        <v>0</v>
      </c>
      <c r="AA13" s="0" t="n">
        <v>312</v>
      </c>
      <c r="AB13" s="0" t="n">
        <v>0</v>
      </c>
      <c r="AC13" s="0" t="n">
        <v>6903</v>
      </c>
      <c r="AD13" s="0" t="n">
        <v>8125</v>
      </c>
      <c r="AE13" s="0" t="n">
        <v>0</v>
      </c>
      <c r="AF13" s="0" t="n">
        <v>0</v>
      </c>
      <c r="AG13" s="0" t="n">
        <v>0</v>
      </c>
      <c r="AH13" s="0" t="n">
        <v>117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130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39</v>
      </c>
      <c r="AX13" s="0" t="n">
        <v>0</v>
      </c>
      <c r="AY13" s="0" t="n">
        <v>91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78</v>
      </c>
      <c r="BO13" s="0" t="n">
        <v>0</v>
      </c>
      <c r="BP13" s="0" t="n">
        <v>78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66781</v>
      </c>
      <c r="CI13" s="0" t="n">
        <v>0</v>
      </c>
      <c r="CJ13" s="0" t="n">
        <v>0</v>
      </c>
      <c r="CK13" s="0" t="n">
        <f aca="false">SUM(B13:CJ13)</f>
        <v>122863</v>
      </c>
      <c r="CL13" s="0" t="n">
        <f aca="false">CH13/SUM(B13:CJ13)</f>
        <v>0.543540366098826</v>
      </c>
    </row>
    <row r="14" customFormat="false" ht="12.75" hidden="false" customHeight="false" outlineLevel="0" collapsed="false">
      <c r="A14" s="0" t="n">
        <v>13</v>
      </c>
      <c r="B14" s="0" t="n">
        <v>0</v>
      </c>
      <c r="C14" s="0" t="n">
        <v>91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221</v>
      </c>
      <c r="K14" s="0" t="n">
        <v>0</v>
      </c>
      <c r="L14" s="0" t="n">
        <v>0</v>
      </c>
      <c r="M14" s="0" t="n">
        <v>0</v>
      </c>
      <c r="N14" s="0" t="n">
        <v>34944</v>
      </c>
      <c r="O14" s="0" t="n">
        <v>13546</v>
      </c>
      <c r="P14" s="0" t="n">
        <v>2145</v>
      </c>
      <c r="Q14" s="0" t="n">
        <v>195</v>
      </c>
      <c r="R14" s="0" t="n">
        <v>104</v>
      </c>
      <c r="S14" s="0" t="n">
        <v>312</v>
      </c>
      <c r="T14" s="0" t="n">
        <v>988</v>
      </c>
      <c r="U14" s="0" t="n">
        <v>0</v>
      </c>
      <c r="V14" s="0" t="n">
        <v>286</v>
      </c>
      <c r="W14" s="0" t="n">
        <v>234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  <c r="AF14" s="0" t="n">
        <v>0</v>
      </c>
      <c r="AG14" s="0" t="n">
        <v>0</v>
      </c>
      <c r="AH14" s="0" t="n">
        <v>117</v>
      </c>
      <c r="AI14" s="0" t="n">
        <v>0</v>
      </c>
      <c r="AJ14" s="0" t="n">
        <v>0</v>
      </c>
      <c r="AK14" s="0" t="n">
        <v>0</v>
      </c>
      <c r="AL14" s="0" t="n">
        <v>0</v>
      </c>
      <c r="AM14" s="0" t="n">
        <v>0</v>
      </c>
      <c r="AN14" s="0" t="n">
        <v>0</v>
      </c>
      <c r="AO14" s="0" t="n">
        <v>0</v>
      </c>
      <c r="AP14" s="0" t="n">
        <v>0</v>
      </c>
      <c r="AQ14" s="0" t="n">
        <v>0</v>
      </c>
      <c r="AR14" s="0" t="n">
        <v>0</v>
      </c>
      <c r="AS14" s="0" t="n">
        <v>0</v>
      </c>
      <c r="AT14" s="0" t="n">
        <v>0</v>
      </c>
      <c r="AU14" s="0" t="n">
        <v>0</v>
      </c>
      <c r="AV14" s="0" t="n">
        <v>0</v>
      </c>
      <c r="AW14" s="0" t="n">
        <v>0</v>
      </c>
      <c r="AX14" s="0" t="n">
        <v>0</v>
      </c>
      <c r="AY14" s="0" t="n">
        <v>0</v>
      </c>
      <c r="AZ14" s="0" t="n">
        <v>0</v>
      </c>
      <c r="BA14" s="0" t="n">
        <v>91</v>
      </c>
      <c r="BB14" s="0" t="n">
        <v>0</v>
      </c>
      <c r="BC14" s="0" t="n">
        <v>0</v>
      </c>
      <c r="BD14" s="0" t="n">
        <v>0</v>
      </c>
      <c r="BE14" s="0" t="n">
        <v>0</v>
      </c>
      <c r="BF14" s="0" t="n">
        <v>0</v>
      </c>
      <c r="BG14" s="0" t="n">
        <v>0</v>
      </c>
      <c r="BH14" s="0" t="n">
        <v>0</v>
      </c>
      <c r="BI14" s="0" t="n">
        <v>0</v>
      </c>
      <c r="BJ14" s="0" t="n">
        <v>0</v>
      </c>
      <c r="BK14" s="0" t="n">
        <v>0</v>
      </c>
      <c r="BL14" s="0" t="n">
        <v>0</v>
      </c>
      <c r="BM14" s="0" t="n">
        <v>0</v>
      </c>
      <c r="BN14" s="0" t="n">
        <v>0</v>
      </c>
      <c r="BO14" s="0" t="n">
        <v>0</v>
      </c>
      <c r="BP14" s="0" t="n">
        <v>0</v>
      </c>
      <c r="BQ14" s="0" t="n">
        <v>0</v>
      </c>
      <c r="BR14" s="0" t="n">
        <v>0</v>
      </c>
      <c r="BS14" s="0" t="n">
        <v>0</v>
      </c>
      <c r="BT14" s="0" t="n">
        <v>0</v>
      </c>
      <c r="BU14" s="0" t="n">
        <v>0</v>
      </c>
      <c r="BV14" s="0" t="n">
        <v>299</v>
      </c>
      <c r="BW14" s="0" t="n">
        <v>0</v>
      </c>
      <c r="BX14" s="0" t="n">
        <v>0</v>
      </c>
      <c r="BY14" s="0" t="n">
        <v>0</v>
      </c>
      <c r="BZ14" s="0" t="n">
        <v>0</v>
      </c>
      <c r="CA14" s="0" t="n">
        <v>0</v>
      </c>
      <c r="CB14" s="0" t="n">
        <v>0</v>
      </c>
      <c r="CC14" s="0" t="n">
        <v>91</v>
      </c>
      <c r="CD14" s="0" t="n">
        <v>0</v>
      </c>
      <c r="CE14" s="0" t="n">
        <v>0</v>
      </c>
      <c r="CF14" s="0" t="n">
        <v>0</v>
      </c>
      <c r="CG14" s="0" t="n">
        <v>0</v>
      </c>
      <c r="CH14" s="0" t="n">
        <v>56823</v>
      </c>
      <c r="CI14" s="0" t="n">
        <v>0</v>
      </c>
      <c r="CJ14" s="0" t="n">
        <v>0</v>
      </c>
      <c r="CK14" s="0" t="n">
        <f aca="false">SUM(B14:CJ14)</f>
        <v>110487</v>
      </c>
      <c r="CL14" s="0" t="n">
        <f aca="false">CH14/SUM(B14:CJ14)</f>
        <v>0.514295799505824</v>
      </c>
    </row>
    <row r="15" customFormat="false" ht="12.75" hidden="false" customHeight="false" outlineLevel="0" collapsed="false">
      <c r="A15" s="0" t="n">
        <v>14</v>
      </c>
      <c r="B15" s="0" t="n">
        <v>156</v>
      </c>
      <c r="C15" s="0" t="n">
        <v>0</v>
      </c>
      <c r="D15" s="0" t="n">
        <v>130</v>
      </c>
      <c r="E15" s="0" t="n">
        <v>598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1404</v>
      </c>
      <c r="K15" s="0" t="n">
        <v>130</v>
      </c>
      <c r="L15" s="0" t="n">
        <v>0</v>
      </c>
      <c r="M15" s="0" t="n">
        <v>78</v>
      </c>
      <c r="N15" s="0" t="n">
        <v>26650</v>
      </c>
      <c r="O15" s="0" t="n">
        <v>70980</v>
      </c>
      <c r="P15" s="0" t="n">
        <v>15145</v>
      </c>
      <c r="Q15" s="0" t="n">
        <v>286</v>
      </c>
      <c r="R15" s="0" t="n">
        <v>338</v>
      </c>
      <c r="S15" s="0" t="n">
        <v>611</v>
      </c>
      <c r="T15" s="0" t="n">
        <v>7631</v>
      </c>
      <c r="U15" s="0" t="n">
        <v>416</v>
      </c>
      <c r="V15" s="0" t="n">
        <v>1469</v>
      </c>
      <c r="W15" s="0" t="n">
        <v>1079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117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156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91</v>
      </c>
      <c r="AY15" s="0" t="n">
        <v>0</v>
      </c>
      <c r="AZ15" s="0" t="n">
        <v>260</v>
      </c>
      <c r="BA15" s="0" t="n">
        <v>65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130</v>
      </c>
      <c r="BS15" s="0" t="n">
        <v>0</v>
      </c>
      <c r="BT15" s="0" t="n">
        <v>0</v>
      </c>
      <c r="BU15" s="0" t="n">
        <v>0</v>
      </c>
      <c r="BV15" s="0" t="n">
        <v>988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139113</v>
      </c>
      <c r="CI15" s="0" t="n">
        <v>0</v>
      </c>
      <c r="CJ15" s="0" t="n">
        <v>0</v>
      </c>
      <c r="CK15" s="0" t="n">
        <f aca="false">SUM(B15:CJ15)</f>
        <v>268021</v>
      </c>
      <c r="CL15" s="0" t="n">
        <f aca="false">CH15/SUM(B15:CJ15)</f>
        <v>0.519037687345395</v>
      </c>
    </row>
    <row r="16" customFormat="false" ht="12.75" hidden="false" customHeight="false" outlineLevel="0" collapsed="false">
      <c r="A16" s="0" t="n">
        <v>15</v>
      </c>
      <c r="B16" s="0" t="n">
        <v>0</v>
      </c>
      <c r="C16" s="0" t="n">
        <v>0</v>
      </c>
      <c r="D16" s="0" t="n">
        <v>104</v>
      </c>
      <c r="E16" s="0" t="n">
        <v>130</v>
      </c>
      <c r="F16" s="0" t="n">
        <v>0</v>
      </c>
      <c r="G16" s="0" t="n">
        <v>0</v>
      </c>
      <c r="H16" s="0" t="n">
        <v>0</v>
      </c>
      <c r="I16" s="0" t="n">
        <v>195</v>
      </c>
      <c r="J16" s="0" t="n">
        <v>104</v>
      </c>
      <c r="K16" s="0" t="n">
        <v>65</v>
      </c>
      <c r="L16" s="0" t="n">
        <v>0</v>
      </c>
      <c r="M16" s="0" t="n">
        <v>0</v>
      </c>
      <c r="N16" s="0" t="n">
        <v>494</v>
      </c>
      <c r="O16" s="0" t="n">
        <v>2535</v>
      </c>
      <c r="P16" s="0" t="n">
        <v>72592</v>
      </c>
      <c r="Q16" s="0" t="n">
        <v>364</v>
      </c>
      <c r="R16" s="0" t="n">
        <v>1469</v>
      </c>
      <c r="S16" s="0" t="n">
        <v>2925</v>
      </c>
      <c r="T16" s="0" t="n">
        <v>33098</v>
      </c>
      <c r="U16" s="0" t="n">
        <v>1456</v>
      </c>
      <c r="V16" s="0" t="n">
        <v>3666</v>
      </c>
      <c r="W16" s="0" t="n">
        <v>3744</v>
      </c>
      <c r="X16" s="0" t="n">
        <v>0</v>
      </c>
      <c r="Y16" s="0" t="n">
        <v>104</v>
      </c>
      <c r="Z16" s="0" t="n">
        <v>0</v>
      </c>
      <c r="AA16" s="0" t="n">
        <v>0</v>
      </c>
      <c r="AB16" s="0" t="n">
        <v>0</v>
      </c>
      <c r="AC16" s="0" t="n">
        <v>325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0</v>
      </c>
      <c r="AI16" s="0" t="n">
        <v>0</v>
      </c>
      <c r="AJ16" s="0" t="n">
        <v>0</v>
      </c>
      <c r="AK16" s="0" t="n">
        <v>0</v>
      </c>
      <c r="AL16" s="0" t="n">
        <v>156</v>
      </c>
      <c r="AM16" s="0" t="n">
        <v>0</v>
      </c>
      <c r="AN16" s="0" t="n">
        <v>0</v>
      </c>
      <c r="AO16" s="0" t="n">
        <v>0</v>
      </c>
      <c r="AP16" s="0" t="n">
        <v>91</v>
      </c>
      <c r="AQ16" s="0" t="n">
        <v>0</v>
      </c>
      <c r="AR16" s="0" t="n">
        <v>0</v>
      </c>
      <c r="AS16" s="0" t="n">
        <v>0</v>
      </c>
      <c r="AT16" s="0" t="n">
        <v>0</v>
      </c>
      <c r="AU16" s="0" t="n">
        <v>0</v>
      </c>
      <c r="AV16" s="0" t="n">
        <v>0</v>
      </c>
      <c r="AW16" s="0" t="n">
        <v>0</v>
      </c>
      <c r="AX16" s="0" t="n">
        <v>143</v>
      </c>
      <c r="AY16" s="0" t="n">
        <v>208</v>
      </c>
      <c r="AZ16" s="0" t="n">
        <v>0</v>
      </c>
      <c r="BA16" s="0" t="n">
        <v>0</v>
      </c>
      <c r="BB16" s="0" t="n">
        <v>0</v>
      </c>
      <c r="BC16" s="0" t="n">
        <v>0</v>
      </c>
      <c r="BD16" s="0" t="n">
        <v>0</v>
      </c>
      <c r="BE16" s="0" t="n">
        <v>0</v>
      </c>
      <c r="BF16" s="0" t="n">
        <v>0</v>
      </c>
      <c r="BG16" s="0" t="n">
        <v>0</v>
      </c>
      <c r="BH16" s="0" t="n">
        <v>0</v>
      </c>
      <c r="BI16" s="0" t="n">
        <v>0</v>
      </c>
      <c r="BJ16" s="0" t="n">
        <v>0</v>
      </c>
      <c r="BK16" s="0" t="n">
        <v>0</v>
      </c>
      <c r="BL16" s="0" t="n">
        <v>0</v>
      </c>
      <c r="BM16" s="0" t="n">
        <v>104</v>
      </c>
      <c r="BN16" s="0" t="n">
        <v>143</v>
      </c>
      <c r="BO16" s="0" t="n">
        <v>0</v>
      </c>
      <c r="BP16" s="0" t="n">
        <v>0</v>
      </c>
      <c r="BQ16" s="0" t="n">
        <v>0</v>
      </c>
      <c r="BR16" s="0" t="n">
        <v>0</v>
      </c>
      <c r="BS16" s="0" t="n">
        <v>0</v>
      </c>
      <c r="BT16" s="0" t="n">
        <v>0</v>
      </c>
      <c r="BU16" s="0" t="n">
        <v>0</v>
      </c>
      <c r="BV16" s="0" t="n">
        <v>663</v>
      </c>
      <c r="BW16" s="0" t="n">
        <v>0</v>
      </c>
      <c r="BX16" s="0" t="n">
        <v>0</v>
      </c>
      <c r="BY16" s="0" t="n">
        <v>0</v>
      </c>
      <c r="BZ16" s="0" t="n">
        <v>0</v>
      </c>
      <c r="CA16" s="0" t="n">
        <v>0</v>
      </c>
      <c r="CB16" s="0" t="n">
        <v>0</v>
      </c>
      <c r="CC16" s="0" t="n">
        <v>0</v>
      </c>
      <c r="CD16" s="0" t="n">
        <v>0</v>
      </c>
      <c r="CE16" s="0" t="n">
        <v>0</v>
      </c>
      <c r="CF16" s="0" t="n">
        <v>0</v>
      </c>
      <c r="CG16" s="0" t="n">
        <v>0</v>
      </c>
      <c r="CH16" s="0" t="n">
        <v>103519</v>
      </c>
      <c r="CI16" s="0" t="n">
        <v>533</v>
      </c>
      <c r="CJ16" s="0" t="n">
        <v>0</v>
      </c>
      <c r="CK16" s="0" t="n">
        <f aca="false">SUM(B16:CJ16)</f>
        <v>228930</v>
      </c>
      <c r="CL16" s="0" t="n">
        <f aca="false">CH16/SUM(B16:CJ16)</f>
        <v>0.452186257808064</v>
      </c>
    </row>
    <row r="17" customFormat="false" ht="12.75" hidden="false" customHeight="false" outlineLevel="0" collapsed="false">
      <c r="A17" s="0" t="n">
        <v>16</v>
      </c>
      <c r="B17" s="0" t="n">
        <v>91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104</v>
      </c>
      <c r="J17" s="0" t="n">
        <v>2691</v>
      </c>
      <c r="K17" s="0" t="n">
        <v>2691</v>
      </c>
      <c r="L17" s="0" t="n">
        <v>260</v>
      </c>
      <c r="M17" s="0" t="n">
        <v>0</v>
      </c>
      <c r="N17" s="0" t="n">
        <v>0</v>
      </c>
      <c r="O17" s="0" t="n">
        <v>520</v>
      </c>
      <c r="P17" s="0" t="n">
        <v>923</v>
      </c>
      <c r="Q17" s="0" t="n">
        <v>64883</v>
      </c>
      <c r="R17" s="0" t="n">
        <v>2600</v>
      </c>
      <c r="S17" s="0" t="n">
        <v>12350</v>
      </c>
      <c r="T17" s="0" t="n">
        <v>3835</v>
      </c>
      <c r="U17" s="0" t="n">
        <v>1196</v>
      </c>
      <c r="V17" s="0" t="n">
        <v>3107</v>
      </c>
      <c r="W17" s="0" t="n">
        <v>1495</v>
      </c>
      <c r="X17" s="0" t="n">
        <v>91</v>
      </c>
      <c r="Y17" s="0" t="n">
        <v>91</v>
      </c>
      <c r="Z17" s="0" t="n">
        <v>0</v>
      </c>
      <c r="AA17" s="0" t="n">
        <v>0</v>
      </c>
      <c r="AB17" s="0" t="n">
        <v>65</v>
      </c>
      <c r="AC17" s="0" t="n">
        <v>3081</v>
      </c>
      <c r="AD17" s="0" t="n">
        <v>546</v>
      </c>
      <c r="AE17" s="0" t="n">
        <v>52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78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273</v>
      </c>
      <c r="AY17" s="0" t="n">
        <v>0</v>
      </c>
      <c r="AZ17" s="0" t="n">
        <v>169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7982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104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125190</v>
      </c>
      <c r="CI17" s="0" t="n">
        <v>195</v>
      </c>
      <c r="CJ17" s="0" t="n">
        <v>0</v>
      </c>
      <c r="CK17" s="0" t="n">
        <f aca="false">SUM(B17:CJ17)</f>
        <v>234663</v>
      </c>
      <c r="CL17" s="0" t="n">
        <f aca="false">CH17/SUM(B17:CJ17)</f>
        <v>0.533488449393385</v>
      </c>
    </row>
    <row r="18" customFormat="false" ht="12.75" hidden="false" customHeight="false" outlineLevel="0" collapsed="false">
      <c r="A18" s="0" t="n">
        <v>17</v>
      </c>
      <c r="B18" s="0" t="n">
        <v>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91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1794</v>
      </c>
      <c r="Q18" s="0" t="n">
        <v>585</v>
      </c>
      <c r="R18" s="0" t="n">
        <v>13533</v>
      </c>
      <c r="S18" s="0" t="n">
        <v>7527</v>
      </c>
      <c r="T18" s="0" t="n">
        <v>7852</v>
      </c>
      <c r="U18" s="0" t="n">
        <v>5707</v>
      </c>
      <c r="V18" s="0" t="n">
        <v>8619</v>
      </c>
      <c r="W18" s="0" t="n">
        <v>507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0</v>
      </c>
      <c r="AP18" s="0" t="n">
        <v>0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v>0</v>
      </c>
      <c r="AV18" s="0" t="n">
        <v>0</v>
      </c>
      <c r="AW18" s="0" t="n">
        <v>0</v>
      </c>
      <c r="AX18" s="0" t="n">
        <v>0</v>
      </c>
      <c r="AY18" s="0" t="n">
        <v>0</v>
      </c>
      <c r="AZ18" s="0" t="n">
        <v>0</v>
      </c>
      <c r="BA18" s="0" t="n">
        <v>0</v>
      </c>
      <c r="BB18" s="0" t="n">
        <v>0</v>
      </c>
      <c r="BC18" s="0" t="n">
        <v>0</v>
      </c>
      <c r="BD18" s="0" t="n">
        <v>0</v>
      </c>
      <c r="BE18" s="0" t="n">
        <v>0</v>
      </c>
      <c r="BF18" s="0" t="n">
        <v>0</v>
      </c>
      <c r="BG18" s="0" t="n">
        <v>0</v>
      </c>
      <c r="BH18" s="0" t="n">
        <v>0</v>
      </c>
      <c r="BI18" s="0" t="n">
        <v>0</v>
      </c>
      <c r="BJ18" s="0" t="n">
        <v>0</v>
      </c>
      <c r="BK18" s="0" t="n">
        <v>0</v>
      </c>
      <c r="BL18" s="0" t="n">
        <v>0</v>
      </c>
      <c r="BM18" s="0" t="n">
        <v>0</v>
      </c>
      <c r="BN18" s="0" t="n">
        <v>0</v>
      </c>
      <c r="BO18" s="0" t="n">
        <v>0</v>
      </c>
      <c r="BP18" s="0" t="n">
        <v>0</v>
      </c>
      <c r="BQ18" s="0" t="n">
        <v>0</v>
      </c>
      <c r="BR18" s="0" t="n">
        <v>0</v>
      </c>
      <c r="BS18" s="0" t="n">
        <v>0</v>
      </c>
      <c r="BT18" s="0" t="n">
        <v>0</v>
      </c>
      <c r="BU18" s="0" t="n">
        <v>0</v>
      </c>
      <c r="BV18" s="0" t="n">
        <v>481</v>
      </c>
      <c r="BW18" s="0" t="n">
        <v>0</v>
      </c>
      <c r="BX18" s="0" t="n">
        <v>0</v>
      </c>
      <c r="BY18" s="0" t="n">
        <v>0</v>
      </c>
      <c r="BZ18" s="0" t="n">
        <v>0</v>
      </c>
      <c r="CA18" s="0" t="n">
        <v>0</v>
      </c>
      <c r="CB18" s="0" t="n">
        <v>0</v>
      </c>
      <c r="CC18" s="0" t="n">
        <v>0</v>
      </c>
      <c r="CD18" s="0" t="n">
        <v>0</v>
      </c>
      <c r="CE18" s="0" t="n">
        <v>0</v>
      </c>
      <c r="CF18" s="0" t="n">
        <v>0</v>
      </c>
      <c r="CG18" s="0" t="n">
        <v>0</v>
      </c>
      <c r="CH18" s="0" t="n">
        <v>61399</v>
      </c>
      <c r="CI18" s="0" t="n">
        <v>0</v>
      </c>
      <c r="CJ18" s="0" t="n">
        <v>0</v>
      </c>
      <c r="CK18" s="0" t="n">
        <f aca="false">SUM(B18:CJ18)</f>
        <v>108095</v>
      </c>
      <c r="CL18" s="0" t="n">
        <f aca="false">CH18/SUM(B18:CJ18)</f>
        <v>0.568009621166566</v>
      </c>
    </row>
    <row r="19" customFormat="false" ht="12.75" hidden="false" customHeight="false" outlineLevel="0" collapsed="false">
      <c r="A19" s="0" t="n">
        <v>18</v>
      </c>
      <c r="B19" s="0" t="n">
        <v>273</v>
      </c>
      <c r="C19" s="0" t="n">
        <v>117</v>
      </c>
      <c r="D19" s="0" t="n">
        <v>0</v>
      </c>
      <c r="E19" s="0" t="n">
        <v>182</v>
      </c>
      <c r="F19" s="0" t="n">
        <v>0</v>
      </c>
      <c r="G19" s="0" t="n">
        <v>143</v>
      </c>
      <c r="H19" s="0" t="n">
        <v>0</v>
      </c>
      <c r="I19" s="0" t="n">
        <v>0</v>
      </c>
      <c r="J19" s="0" t="n">
        <v>533</v>
      </c>
      <c r="K19" s="0" t="n">
        <v>65</v>
      </c>
      <c r="L19" s="0" t="n">
        <v>338</v>
      </c>
      <c r="M19" s="0" t="n">
        <v>234</v>
      </c>
      <c r="N19" s="0" t="n">
        <v>104</v>
      </c>
      <c r="O19" s="0" t="n">
        <v>338</v>
      </c>
      <c r="P19" s="0" t="n">
        <v>1859</v>
      </c>
      <c r="Q19" s="0" t="n">
        <v>3549</v>
      </c>
      <c r="R19" s="0" t="n">
        <v>13598</v>
      </c>
      <c r="S19" s="0" t="n">
        <v>209313</v>
      </c>
      <c r="T19" s="0" t="n">
        <v>37583</v>
      </c>
      <c r="U19" s="0" t="n">
        <v>15041</v>
      </c>
      <c r="V19" s="0" t="n">
        <v>53898</v>
      </c>
      <c r="W19" s="0" t="n">
        <v>6708</v>
      </c>
      <c r="X19" s="0" t="n">
        <v>351</v>
      </c>
      <c r="Y19" s="0" t="n">
        <v>0</v>
      </c>
      <c r="Z19" s="0" t="n">
        <v>0</v>
      </c>
      <c r="AA19" s="0" t="n">
        <v>130</v>
      </c>
      <c r="AB19" s="0" t="n">
        <v>0</v>
      </c>
      <c r="AC19" s="0" t="n">
        <v>468</v>
      </c>
      <c r="AD19" s="0" t="n">
        <v>91</v>
      </c>
      <c r="AE19" s="0" t="n">
        <v>0</v>
      </c>
      <c r="AF19" s="0" t="n">
        <v>117</v>
      </c>
      <c r="AG19" s="0" t="n">
        <v>104</v>
      </c>
      <c r="AH19" s="0" t="n">
        <v>325</v>
      </c>
      <c r="AI19" s="0" t="n">
        <v>0</v>
      </c>
      <c r="AJ19" s="0" t="n">
        <v>0</v>
      </c>
      <c r="AK19" s="0" t="n">
        <v>0</v>
      </c>
      <c r="AL19" s="0" t="n">
        <v>169</v>
      </c>
      <c r="AM19" s="0" t="n">
        <v>0</v>
      </c>
      <c r="AN19" s="0" t="n">
        <v>0</v>
      </c>
      <c r="AO19" s="0" t="n">
        <v>104</v>
      </c>
      <c r="AP19" s="0" t="n">
        <v>0</v>
      </c>
      <c r="AQ19" s="0" t="n">
        <v>65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143</v>
      </c>
      <c r="AX19" s="0" t="n">
        <v>2938</v>
      </c>
      <c r="AY19" s="0" t="n">
        <v>806</v>
      </c>
      <c r="AZ19" s="0" t="n">
        <v>1924</v>
      </c>
      <c r="BA19" s="0" t="n">
        <v>0</v>
      </c>
      <c r="BB19" s="0" t="n">
        <v>143</v>
      </c>
      <c r="BC19" s="0" t="n">
        <v>0</v>
      </c>
      <c r="BD19" s="0" t="n">
        <v>130</v>
      </c>
      <c r="BE19" s="0" t="n">
        <v>0</v>
      </c>
      <c r="BF19" s="0" t="n">
        <v>52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104</v>
      </c>
      <c r="BL19" s="0" t="n">
        <v>0</v>
      </c>
      <c r="BM19" s="0" t="n">
        <v>247</v>
      </c>
      <c r="BN19" s="0" t="n">
        <v>130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91</v>
      </c>
      <c r="BU19" s="0" t="n">
        <v>78</v>
      </c>
      <c r="BV19" s="0" t="n">
        <v>1443</v>
      </c>
      <c r="BW19" s="0" t="n">
        <v>0</v>
      </c>
      <c r="BX19" s="0" t="n">
        <v>117</v>
      </c>
      <c r="BY19" s="0" t="n">
        <v>52</v>
      </c>
      <c r="BZ19" s="0" t="n">
        <v>0</v>
      </c>
      <c r="CA19" s="0" t="n">
        <v>0</v>
      </c>
      <c r="CB19" s="0" t="n">
        <v>0</v>
      </c>
      <c r="CC19" s="0" t="n">
        <v>52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340483</v>
      </c>
      <c r="CI19" s="0" t="n">
        <v>351</v>
      </c>
      <c r="CJ19" s="0" t="n">
        <v>0</v>
      </c>
      <c r="CK19" s="0" t="n">
        <f aca="false">SUM(B19:CJ19)</f>
        <v>695084</v>
      </c>
      <c r="CL19" s="0" t="n">
        <f aca="false">CH19/SUM(B19:CJ19)</f>
        <v>0.489844392907908</v>
      </c>
    </row>
    <row r="20" customFormat="false" ht="12.75" hidden="false" customHeight="false" outlineLevel="0" collapsed="false">
      <c r="A20" s="0" t="n">
        <v>19</v>
      </c>
      <c r="B20" s="0" t="n">
        <v>143</v>
      </c>
      <c r="C20" s="0" t="n">
        <v>78</v>
      </c>
      <c r="D20" s="0" t="n">
        <v>156</v>
      </c>
      <c r="E20" s="0" t="n">
        <v>182</v>
      </c>
      <c r="F20" s="0" t="n">
        <v>0</v>
      </c>
      <c r="G20" s="0" t="n">
        <v>0</v>
      </c>
      <c r="H20" s="0" t="n">
        <v>78</v>
      </c>
      <c r="I20" s="0" t="n">
        <v>0</v>
      </c>
      <c r="J20" s="0" t="n">
        <v>130</v>
      </c>
      <c r="K20" s="0" t="n">
        <v>0</v>
      </c>
      <c r="L20" s="0" t="n">
        <v>117</v>
      </c>
      <c r="M20" s="0" t="n">
        <v>0</v>
      </c>
      <c r="N20" s="0" t="n">
        <v>143</v>
      </c>
      <c r="O20" s="0" t="n">
        <v>494</v>
      </c>
      <c r="P20" s="0" t="n">
        <v>4095</v>
      </c>
      <c r="Q20" s="0" t="n">
        <v>143</v>
      </c>
      <c r="R20" s="0" t="n">
        <v>975</v>
      </c>
      <c r="S20" s="0" t="n">
        <v>5174</v>
      </c>
      <c r="T20" s="0" t="n">
        <v>313768</v>
      </c>
      <c r="U20" s="0" t="n">
        <v>5512</v>
      </c>
      <c r="V20" s="0" t="n">
        <v>14248</v>
      </c>
      <c r="W20" s="0" t="n">
        <v>29393</v>
      </c>
      <c r="X20" s="0" t="n">
        <v>117</v>
      </c>
      <c r="Y20" s="0" t="n">
        <v>91</v>
      </c>
      <c r="Z20" s="0" t="n">
        <v>143</v>
      </c>
      <c r="AA20" s="0" t="n">
        <v>0</v>
      </c>
      <c r="AB20" s="0" t="n">
        <v>0</v>
      </c>
      <c r="AC20" s="0" t="n">
        <v>104</v>
      </c>
      <c r="AD20" s="0" t="n">
        <v>0</v>
      </c>
      <c r="AE20" s="0" t="n">
        <v>0</v>
      </c>
      <c r="AF20" s="0" t="n">
        <v>0</v>
      </c>
      <c r="AG20" s="0" t="n">
        <v>104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104</v>
      </c>
      <c r="AM20" s="0" t="n">
        <v>143</v>
      </c>
      <c r="AN20" s="0" t="n">
        <v>104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6214</v>
      </c>
      <c r="AY20" s="0" t="n">
        <v>975</v>
      </c>
      <c r="AZ20" s="0" t="n">
        <v>1170</v>
      </c>
      <c r="BA20" s="0" t="n">
        <v>0</v>
      </c>
      <c r="BB20" s="0" t="n">
        <v>0</v>
      </c>
      <c r="BC20" s="0" t="n">
        <v>0</v>
      </c>
      <c r="BD20" s="0" t="n">
        <v>91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182</v>
      </c>
      <c r="BL20" s="0" t="n">
        <v>0</v>
      </c>
      <c r="BM20" s="0" t="n">
        <v>91</v>
      </c>
      <c r="BN20" s="0" t="n">
        <v>273</v>
      </c>
      <c r="BO20" s="0" t="n">
        <v>130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299</v>
      </c>
      <c r="BW20" s="0" t="n">
        <v>0</v>
      </c>
      <c r="BX20" s="0" t="n">
        <v>0</v>
      </c>
      <c r="BY20" s="0" t="n">
        <v>299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117</v>
      </c>
      <c r="CF20" s="0" t="n">
        <v>0</v>
      </c>
      <c r="CG20" s="0" t="n">
        <v>0</v>
      </c>
      <c r="CH20" s="0" t="n">
        <v>347230</v>
      </c>
      <c r="CI20" s="0" t="n">
        <v>351</v>
      </c>
      <c r="CJ20" s="0" t="n">
        <v>0</v>
      </c>
      <c r="CK20" s="0" t="n">
        <f aca="false">SUM(B20:CJ20)</f>
        <v>733161</v>
      </c>
      <c r="CL20" s="0" t="n">
        <f aca="false">CH20/SUM(B20:CJ20)</f>
        <v>0.473606752132206</v>
      </c>
    </row>
    <row r="21" customFormat="false" ht="12.75" hidden="false" customHeight="false" outlineLevel="0" collapsed="false">
      <c r="A21" s="0" t="n">
        <v>20</v>
      </c>
      <c r="B21" s="0" t="n">
        <v>0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78</v>
      </c>
      <c r="H21" s="0" t="n">
        <v>0</v>
      </c>
      <c r="I21" s="0" t="n">
        <v>0</v>
      </c>
      <c r="J21" s="0" t="n">
        <v>78</v>
      </c>
      <c r="K21" s="0" t="n">
        <v>91</v>
      </c>
      <c r="L21" s="0" t="n">
        <v>0</v>
      </c>
      <c r="M21" s="0" t="n">
        <v>0</v>
      </c>
      <c r="N21" s="0" t="n">
        <v>130</v>
      </c>
      <c r="O21" s="0" t="n">
        <v>247</v>
      </c>
      <c r="P21" s="0" t="n">
        <v>559</v>
      </c>
      <c r="Q21" s="0" t="n">
        <v>0</v>
      </c>
      <c r="R21" s="0" t="n">
        <v>2574</v>
      </c>
      <c r="S21" s="0" t="n">
        <v>3705</v>
      </c>
      <c r="T21" s="0" t="n">
        <v>7085</v>
      </c>
      <c r="U21" s="0" t="n">
        <v>36374</v>
      </c>
      <c r="V21" s="0" t="n">
        <v>13780</v>
      </c>
      <c r="W21" s="0" t="n">
        <v>1014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390</v>
      </c>
      <c r="AY21" s="0" t="n">
        <v>0</v>
      </c>
      <c r="AZ21" s="0" t="n">
        <v>377</v>
      </c>
      <c r="BA21" s="0" t="n">
        <v>65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78</v>
      </c>
      <c r="BN21" s="0" t="n">
        <v>143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117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56017</v>
      </c>
      <c r="CI21" s="0" t="n">
        <v>0</v>
      </c>
      <c r="CJ21" s="0" t="n">
        <v>0</v>
      </c>
      <c r="CK21" s="0" t="n">
        <f aca="false">SUM(B21:CJ21)</f>
        <v>122902</v>
      </c>
      <c r="CL21" s="0" t="n">
        <f aca="false">CH21/SUM(B21:CJ21)</f>
        <v>0.455785910725619</v>
      </c>
    </row>
    <row r="22" customFormat="false" ht="12.75" hidden="false" customHeight="false" outlineLevel="0" collapsed="false">
      <c r="A22" s="0" t="n">
        <v>21</v>
      </c>
      <c r="B22" s="0" t="n">
        <v>91</v>
      </c>
      <c r="C22" s="0" t="n">
        <v>0</v>
      </c>
      <c r="D22" s="0" t="n">
        <v>130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91</v>
      </c>
      <c r="K22" s="0" t="n">
        <v>0</v>
      </c>
      <c r="L22" s="0" t="n">
        <v>169</v>
      </c>
      <c r="M22" s="0" t="n">
        <v>117</v>
      </c>
      <c r="N22" s="0" t="n">
        <v>195</v>
      </c>
      <c r="O22" s="0" t="n">
        <v>169</v>
      </c>
      <c r="P22" s="0" t="n">
        <v>507</v>
      </c>
      <c r="Q22" s="0" t="n">
        <v>507</v>
      </c>
      <c r="R22" s="0" t="n">
        <v>1937</v>
      </c>
      <c r="S22" s="0" t="n">
        <v>17823</v>
      </c>
      <c r="T22" s="0" t="n">
        <v>27664</v>
      </c>
      <c r="U22" s="0" t="n">
        <v>8229</v>
      </c>
      <c r="V22" s="0" t="n">
        <v>274924</v>
      </c>
      <c r="W22" s="0" t="n">
        <v>19318</v>
      </c>
      <c r="X22" s="0" t="n">
        <v>429</v>
      </c>
      <c r="Y22" s="0" t="n">
        <v>104</v>
      </c>
      <c r="Z22" s="0" t="n">
        <v>117</v>
      </c>
      <c r="AA22" s="0" t="n">
        <v>0</v>
      </c>
      <c r="AB22" s="0" t="n">
        <v>0</v>
      </c>
      <c r="AC22" s="0" t="n">
        <v>182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0</v>
      </c>
      <c r="AK22" s="0" t="n">
        <v>0</v>
      </c>
      <c r="AL22" s="0" t="n">
        <v>0</v>
      </c>
      <c r="AM22" s="0" t="n">
        <v>0</v>
      </c>
      <c r="AN22" s="0" t="n">
        <v>0</v>
      </c>
      <c r="AO22" s="0" t="n">
        <v>65</v>
      </c>
      <c r="AP22" s="0" t="n">
        <v>0</v>
      </c>
      <c r="AQ22" s="0" t="n">
        <v>0</v>
      </c>
      <c r="AR22" s="0" t="n">
        <v>65</v>
      </c>
      <c r="AS22" s="0" t="n">
        <v>0</v>
      </c>
      <c r="AT22" s="0" t="n">
        <v>0</v>
      </c>
      <c r="AU22" s="0" t="n">
        <v>91</v>
      </c>
      <c r="AV22" s="0" t="n">
        <v>0</v>
      </c>
      <c r="AW22" s="0" t="n">
        <v>104</v>
      </c>
      <c r="AX22" s="0" t="n">
        <v>23803</v>
      </c>
      <c r="AY22" s="0" t="n">
        <v>8255</v>
      </c>
      <c r="AZ22" s="0" t="n">
        <v>17420</v>
      </c>
      <c r="BA22" s="0" t="n">
        <v>65</v>
      </c>
      <c r="BB22" s="0" t="n">
        <v>117</v>
      </c>
      <c r="BC22" s="0" t="n">
        <v>104</v>
      </c>
      <c r="BD22" s="0" t="n">
        <v>0</v>
      </c>
      <c r="BE22" s="0" t="n">
        <v>0</v>
      </c>
      <c r="BF22" s="0" t="n">
        <v>0</v>
      </c>
      <c r="BG22" s="0" t="n">
        <v>0</v>
      </c>
      <c r="BH22" s="0" t="n">
        <v>91</v>
      </c>
      <c r="BI22" s="0" t="n">
        <v>0</v>
      </c>
      <c r="BJ22" s="0" t="n">
        <v>0</v>
      </c>
      <c r="BK22" s="0" t="n">
        <v>0</v>
      </c>
      <c r="BL22" s="0" t="n">
        <v>0</v>
      </c>
      <c r="BM22" s="0" t="n">
        <v>546</v>
      </c>
      <c r="BN22" s="0" t="n">
        <v>247</v>
      </c>
      <c r="BO22" s="0" t="n">
        <v>0</v>
      </c>
      <c r="BP22" s="0" t="n">
        <v>0</v>
      </c>
      <c r="BQ22" s="0" t="n">
        <v>0</v>
      </c>
      <c r="BR22" s="0" t="n">
        <v>0</v>
      </c>
      <c r="BS22" s="0" t="n">
        <v>0</v>
      </c>
      <c r="BT22" s="0" t="n">
        <v>0</v>
      </c>
      <c r="BU22" s="0" t="n">
        <v>0</v>
      </c>
      <c r="BV22" s="0" t="n">
        <v>234</v>
      </c>
      <c r="BW22" s="0" t="n">
        <v>0</v>
      </c>
      <c r="BX22" s="0" t="n">
        <v>0</v>
      </c>
      <c r="BY22" s="0" t="n">
        <v>442</v>
      </c>
      <c r="BZ22" s="0" t="n">
        <v>0</v>
      </c>
      <c r="CA22" s="0" t="n">
        <v>0</v>
      </c>
      <c r="CB22" s="0" t="n">
        <v>0</v>
      </c>
      <c r="CC22" s="0" t="n">
        <v>0</v>
      </c>
      <c r="CD22" s="0" t="n">
        <v>0</v>
      </c>
      <c r="CE22" s="0" t="n">
        <v>0</v>
      </c>
      <c r="CF22" s="0" t="n">
        <v>0</v>
      </c>
      <c r="CG22" s="0" t="n">
        <v>0</v>
      </c>
      <c r="CH22" s="0" t="n">
        <v>377273</v>
      </c>
      <c r="CI22" s="0" t="n">
        <v>403</v>
      </c>
      <c r="CJ22" s="0" t="n">
        <v>0</v>
      </c>
      <c r="CK22" s="0" t="n">
        <f aca="false">SUM(B22:CJ22)</f>
        <v>782028</v>
      </c>
      <c r="CL22" s="0" t="n">
        <f aca="false">CH22/SUM(B22:CJ22)</f>
        <v>0.482429017886828</v>
      </c>
    </row>
    <row r="23" customFormat="false" ht="12.75" hidden="false" customHeight="false" outlineLevel="0" collapsed="false">
      <c r="A23" s="0" t="n">
        <v>22</v>
      </c>
      <c r="B23" s="0" t="n">
        <v>169</v>
      </c>
      <c r="C23" s="0" t="n">
        <v>0</v>
      </c>
      <c r="D23" s="0" t="n">
        <v>221</v>
      </c>
      <c r="E23" s="0" t="n">
        <v>0</v>
      </c>
      <c r="F23" s="0" t="n">
        <v>182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78</v>
      </c>
      <c r="L23" s="0" t="n">
        <v>78</v>
      </c>
      <c r="M23" s="0" t="n">
        <v>0</v>
      </c>
      <c r="N23" s="0" t="n">
        <v>130</v>
      </c>
      <c r="O23" s="0" t="n">
        <v>182</v>
      </c>
      <c r="P23" s="0" t="n">
        <v>1196</v>
      </c>
      <c r="Q23" s="0" t="n">
        <v>65</v>
      </c>
      <c r="R23" s="0" t="n">
        <v>260</v>
      </c>
      <c r="S23" s="0" t="n">
        <v>3198</v>
      </c>
      <c r="T23" s="0" t="n">
        <v>80925</v>
      </c>
      <c r="U23" s="0" t="n">
        <v>2184</v>
      </c>
      <c r="V23" s="0" t="n">
        <v>11505</v>
      </c>
      <c r="W23" s="0" t="n">
        <v>203580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91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104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34372</v>
      </c>
      <c r="AY23" s="0" t="n">
        <v>5044</v>
      </c>
      <c r="AZ23" s="0" t="n">
        <v>6305</v>
      </c>
      <c r="BA23" s="0" t="n">
        <v>91</v>
      </c>
      <c r="BB23" s="0" t="n">
        <v>0</v>
      </c>
      <c r="BC23" s="0" t="n">
        <v>0</v>
      </c>
      <c r="BD23" s="0" t="n">
        <v>130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78</v>
      </c>
      <c r="BO23" s="0" t="n">
        <v>182</v>
      </c>
      <c r="BP23" s="0" t="n">
        <v>0</v>
      </c>
      <c r="BQ23" s="0" t="n">
        <v>0</v>
      </c>
      <c r="BR23" s="0" t="n">
        <v>143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325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313391</v>
      </c>
      <c r="CI23" s="0" t="n">
        <v>234</v>
      </c>
      <c r="CJ23" s="0" t="n">
        <v>0</v>
      </c>
      <c r="CK23" s="0" t="n">
        <f aca="false">SUM(B23:CJ23)</f>
        <v>664443</v>
      </c>
      <c r="CL23" s="0" t="n">
        <f aca="false">CH23/SUM(B23:CJ23)</f>
        <v>0.471659720999393</v>
      </c>
    </row>
    <row r="24" customFormat="false" ht="12.75" hidden="false" customHeight="false" outlineLevel="0" collapsed="false">
      <c r="A24" s="0" t="n">
        <v>23</v>
      </c>
      <c r="B24" s="0" t="n">
        <v>0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130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234</v>
      </c>
      <c r="R24" s="0" t="n">
        <v>104</v>
      </c>
      <c r="S24" s="0" t="n">
        <v>1911</v>
      </c>
      <c r="T24" s="0" t="n">
        <v>585</v>
      </c>
      <c r="U24" s="0" t="n">
        <v>65</v>
      </c>
      <c r="V24" s="0" t="n">
        <v>9711</v>
      </c>
      <c r="W24" s="0" t="n">
        <v>728</v>
      </c>
      <c r="X24" s="0" t="n">
        <v>59839</v>
      </c>
      <c r="Y24" s="0" t="n">
        <v>2743</v>
      </c>
      <c r="Z24" s="0" t="n">
        <v>2184</v>
      </c>
      <c r="AA24" s="0" t="n">
        <v>91</v>
      </c>
      <c r="AB24" s="0" t="n">
        <v>0</v>
      </c>
      <c r="AC24" s="0" t="n">
        <v>1040</v>
      </c>
      <c r="AD24" s="0" t="n">
        <v>1131</v>
      </c>
      <c r="AE24" s="0" t="n">
        <v>91</v>
      </c>
      <c r="AF24" s="0" t="n">
        <v>0</v>
      </c>
      <c r="AG24" s="0" t="n">
        <v>65</v>
      </c>
      <c r="AH24" s="0" t="n">
        <v>0</v>
      </c>
      <c r="AI24" s="0" t="n">
        <v>0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91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1508</v>
      </c>
      <c r="AY24" s="0" t="n">
        <v>1001</v>
      </c>
      <c r="AZ24" s="0" t="n">
        <v>650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65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154115</v>
      </c>
      <c r="CI24" s="0" t="n">
        <v>117</v>
      </c>
      <c r="CJ24" s="0" t="n">
        <v>0</v>
      </c>
      <c r="CK24" s="0" t="n">
        <f aca="false">SUM(B24:CJ24)</f>
        <v>238199</v>
      </c>
      <c r="CL24" s="0" t="n">
        <f aca="false">CH24/SUM(B24:CJ24)</f>
        <v>0.647001036948098</v>
      </c>
    </row>
    <row r="25" customFormat="false" ht="12.75" hidden="false" customHeight="false" outlineLevel="0" collapsed="false">
      <c r="A25" s="0" t="n">
        <v>24</v>
      </c>
      <c r="B25" s="0" t="n">
        <v>130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208</v>
      </c>
      <c r="R25" s="0" t="n">
        <v>0</v>
      </c>
      <c r="S25" s="0" t="n">
        <v>312</v>
      </c>
      <c r="T25" s="0" t="n">
        <v>91</v>
      </c>
      <c r="U25" s="0" t="n">
        <v>234</v>
      </c>
      <c r="V25" s="0" t="n">
        <v>2990</v>
      </c>
      <c r="W25" s="0" t="n">
        <v>143</v>
      </c>
      <c r="X25" s="0" t="n">
        <v>3510</v>
      </c>
      <c r="Y25" s="0" t="n">
        <v>37934</v>
      </c>
      <c r="Z25" s="0" t="n">
        <v>16081</v>
      </c>
      <c r="AA25" s="0" t="n">
        <v>169</v>
      </c>
      <c r="AB25" s="0" t="n">
        <v>0</v>
      </c>
      <c r="AC25" s="0" t="n">
        <v>65</v>
      </c>
      <c r="AD25" s="0" t="n">
        <v>65</v>
      </c>
      <c r="AE25" s="0" t="n">
        <v>1196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1326</v>
      </c>
      <c r="AY25" s="0" t="n">
        <v>325</v>
      </c>
      <c r="AZ25" s="0" t="n">
        <v>676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234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94055</v>
      </c>
      <c r="CI25" s="0" t="n">
        <v>0</v>
      </c>
      <c r="CJ25" s="0" t="n">
        <v>0</v>
      </c>
      <c r="CK25" s="0" t="n">
        <f aca="false">SUM(B25:CJ25)</f>
        <v>159744</v>
      </c>
      <c r="CL25" s="0" t="n">
        <f aca="false">CH25/SUM(B25:CJ25)</f>
        <v>0.588785807291667</v>
      </c>
    </row>
    <row r="26" customFormat="false" ht="12.75" hidden="false" customHeight="false" outlineLevel="0" collapsed="false">
      <c r="A26" s="0" t="n">
        <v>25</v>
      </c>
      <c r="B26" s="0" t="n">
        <v>78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156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364</v>
      </c>
      <c r="T26" s="0" t="n">
        <v>78</v>
      </c>
      <c r="U26" s="0" t="n">
        <v>299</v>
      </c>
      <c r="V26" s="0" t="n">
        <v>1976</v>
      </c>
      <c r="W26" s="0" t="n">
        <v>65</v>
      </c>
      <c r="X26" s="0" t="n">
        <v>3029</v>
      </c>
      <c r="Y26" s="0" t="n">
        <v>22893</v>
      </c>
      <c r="Z26" s="0" t="n">
        <v>42302</v>
      </c>
      <c r="AA26" s="0" t="n">
        <v>325</v>
      </c>
      <c r="AB26" s="0" t="n">
        <v>117</v>
      </c>
      <c r="AC26" s="0" t="n">
        <v>104</v>
      </c>
      <c r="AD26" s="0" t="n">
        <v>0</v>
      </c>
      <c r="AE26" s="0" t="n">
        <v>2457</v>
      </c>
      <c r="AF26" s="0" t="n">
        <v>0</v>
      </c>
      <c r="AG26" s="0" t="n">
        <v>0</v>
      </c>
      <c r="AH26" s="0" t="n">
        <v>0</v>
      </c>
      <c r="AI26" s="0" t="n">
        <v>0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182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780</v>
      </c>
      <c r="AY26" s="0" t="n">
        <v>130</v>
      </c>
      <c r="AZ26" s="0" t="n">
        <v>221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78</v>
      </c>
      <c r="BO26" s="0" t="n">
        <v>0</v>
      </c>
      <c r="BP26" s="0" t="n">
        <v>0</v>
      </c>
      <c r="BQ26" s="0" t="n">
        <v>0</v>
      </c>
      <c r="BR26" s="0" t="n">
        <v>78</v>
      </c>
      <c r="BS26" s="0" t="n">
        <v>0</v>
      </c>
      <c r="BT26" s="0" t="n">
        <v>0</v>
      </c>
      <c r="BU26" s="0" t="n">
        <v>91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125554</v>
      </c>
      <c r="CI26" s="0" t="n">
        <v>0</v>
      </c>
      <c r="CJ26" s="0" t="n">
        <v>0</v>
      </c>
      <c r="CK26" s="0" t="n">
        <f aca="false">SUM(B26:CJ26)</f>
        <v>201357</v>
      </c>
      <c r="CL26" s="0" t="n">
        <f aca="false">CH26/SUM(B26:CJ26)</f>
        <v>0.623539285944864</v>
      </c>
    </row>
    <row r="27" customFormat="false" ht="12.75" hidden="false" customHeight="false" outlineLevel="0" collapsed="false">
      <c r="A27" s="0" t="n">
        <v>26</v>
      </c>
      <c r="B27" s="0" t="n">
        <v>0</v>
      </c>
      <c r="C27" s="0" t="n">
        <v>0</v>
      </c>
      <c r="D27" s="0" t="n">
        <v>26</v>
      </c>
      <c r="E27" s="0" t="n">
        <v>0</v>
      </c>
      <c r="F27" s="0" t="n">
        <v>208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169</v>
      </c>
      <c r="M27" s="0" t="n">
        <v>208</v>
      </c>
      <c r="N27" s="0" t="n">
        <v>0</v>
      </c>
      <c r="O27" s="0" t="n">
        <v>299</v>
      </c>
      <c r="P27" s="0" t="n">
        <v>0</v>
      </c>
      <c r="Q27" s="0" t="n">
        <v>65</v>
      </c>
      <c r="R27" s="0" t="n">
        <v>0</v>
      </c>
      <c r="S27" s="0" t="n">
        <v>247</v>
      </c>
      <c r="T27" s="0" t="n">
        <v>0</v>
      </c>
      <c r="U27" s="0" t="n">
        <v>52</v>
      </c>
      <c r="V27" s="0" t="n">
        <v>429</v>
      </c>
      <c r="W27" s="0" t="n">
        <v>299</v>
      </c>
      <c r="X27" s="0" t="n">
        <v>1508</v>
      </c>
      <c r="Y27" s="0" t="n">
        <v>936</v>
      </c>
      <c r="Z27" s="0" t="n">
        <v>832</v>
      </c>
      <c r="AA27" s="0" t="n">
        <v>49543</v>
      </c>
      <c r="AB27" s="0" t="n">
        <v>520</v>
      </c>
      <c r="AC27" s="0" t="n">
        <v>676</v>
      </c>
      <c r="AD27" s="0" t="n">
        <v>598</v>
      </c>
      <c r="AE27" s="0" t="n">
        <v>130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52</v>
      </c>
      <c r="AO27" s="0" t="n">
        <v>0</v>
      </c>
      <c r="AP27" s="0" t="n">
        <v>26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351</v>
      </c>
      <c r="AY27" s="0" t="n">
        <v>0</v>
      </c>
      <c r="AZ27" s="0" t="n">
        <v>208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78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78</v>
      </c>
      <c r="BN27" s="0" t="n">
        <v>273</v>
      </c>
      <c r="BO27" s="0" t="n">
        <v>0</v>
      </c>
      <c r="BP27" s="0" t="n">
        <v>0</v>
      </c>
      <c r="BQ27" s="0" t="n">
        <v>0</v>
      </c>
      <c r="BR27" s="0" t="n">
        <v>65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95186</v>
      </c>
      <c r="CI27" s="0" t="n">
        <v>0</v>
      </c>
      <c r="CJ27" s="0" t="n">
        <v>0</v>
      </c>
      <c r="CK27" s="0" t="n">
        <f aca="false">SUM(B27:CJ27)</f>
        <v>153062</v>
      </c>
      <c r="CL27" s="0" t="n">
        <f aca="false">CH27/SUM(B27:CJ27)</f>
        <v>0.621878715814507</v>
      </c>
    </row>
    <row r="28" customFormat="false" ht="12.75" hidden="false" customHeight="false" outlineLevel="0" collapsed="false">
      <c r="A28" s="0" t="n">
        <v>27</v>
      </c>
      <c r="B28" s="0" t="n">
        <v>0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143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91</v>
      </c>
      <c r="T28" s="0" t="n">
        <v>0</v>
      </c>
      <c r="U28" s="0" t="n">
        <v>0</v>
      </c>
      <c r="V28" s="0" t="n">
        <v>91</v>
      </c>
      <c r="W28" s="0" t="n">
        <v>0</v>
      </c>
      <c r="X28" s="0" t="n">
        <v>91</v>
      </c>
      <c r="Y28" s="0" t="n">
        <v>260</v>
      </c>
      <c r="Z28" s="0" t="n">
        <v>0</v>
      </c>
      <c r="AA28" s="0" t="n">
        <v>429</v>
      </c>
      <c r="AB28" s="0" t="n">
        <v>34346</v>
      </c>
      <c r="AC28" s="0" t="n">
        <v>0</v>
      </c>
      <c r="AD28" s="0" t="n">
        <v>0</v>
      </c>
      <c r="AE28" s="0" t="n">
        <v>1105</v>
      </c>
      <c r="AF28" s="0" t="n">
        <v>156</v>
      </c>
      <c r="AG28" s="0" t="n">
        <v>78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520</v>
      </c>
      <c r="AN28" s="0" t="n">
        <v>806</v>
      </c>
      <c r="AO28" s="0" t="n">
        <v>4810</v>
      </c>
      <c r="AP28" s="0" t="n">
        <v>2821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2535</v>
      </c>
      <c r="AY28" s="0" t="n">
        <v>351</v>
      </c>
      <c r="AZ28" s="0" t="n">
        <v>1222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91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91</v>
      </c>
      <c r="BW28" s="0" t="n">
        <v>0</v>
      </c>
      <c r="BX28" s="0" t="n">
        <v>130</v>
      </c>
      <c r="BY28" s="0" t="n">
        <v>351</v>
      </c>
      <c r="BZ28" s="0" t="n">
        <v>13</v>
      </c>
      <c r="CA28" s="0" t="n">
        <v>0</v>
      </c>
      <c r="CB28" s="0" t="n">
        <v>143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78299</v>
      </c>
      <c r="CI28" s="0" t="n">
        <v>0</v>
      </c>
      <c r="CJ28" s="0" t="n">
        <v>0</v>
      </c>
      <c r="CK28" s="0" t="n">
        <f aca="false">SUM(B28:CJ28)</f>
        <v>128973</v>
      </c>
      <c r="CL28" s="0" t="n">
        <f aca="false">CH28/SUM(B28:CJ28)</f>
        <v>0.607096058865034</v>
      </c>
    </row>
    <row r="29" customFormat="false" ht="12.75" hidden="false" customHeight="false" outlineLevel="0" collapsed="false">
      <c r="A29" s="0" t="n">
        <v>28</v>
      </c>
      <c r="B29" s="0" t="n">
        <v>0</v>
      </c>
      <c r="C29" s="0" t="n">
        <v>195</v>
      </c>
      <c r="D29" s="0" t="n">
        <v>117</v>
      </c>
      <c r="E29" s="0" t="n">
        <v>0</v>
      </c>
      <c r="F29" s="0" t="n">
        <v>91</v>
      </c>
      <c r="G29" s="0" t="n">
        <v>0</v>
      </c>
      <c r="H29" s="0" t="n">
        <v>117</v>
      </c>
      <c r="I29" s="0" t="n">
        <v>91</v>
      </c>
      <c r="J29" s="0" t="n">
        <v>0</v>
      </c>
      <c r="K29" s="0" t="n">
        <v>8320</v>
      </c>
      <c r="L29" s="0" t="n">
        <v>1365</v>
      </c>
      <c r="M29" s="0" t="n">
        <v>286</v>
      </c>
      <c r="N29" s="0" t="n">
        <v>0</v>
      </c>
      <c r="O29" s="0" t="n">
        <v>0</v>
      </c>
      <c r="P29" s="0" t="n">
        <v>130</v>
      </c>
      <c r="Q29" s="0" t="n">
        <v>728</v>
      </c>
      <c r="R29" s="0" t="n">
        <v>91</v>
      </c>
      <c r="S29" s="0" t="n">
        <v>182</v>
      </c>
      <c r="T29" s="0" t="n">
        <v>598</v>
      </c>
      <c r="U29" s="0" t="n">
        <v>0</v>
      </c>
      <c r="V29" s="0" t="n">
        <v>234</v>
      </c>
      <c r="W29" s="0" t="n">
        <v>130</v>
      </c>
      <c r="X29" s="0" t="n">
        <v>1014</v>
      </c>
      <c r="Y29" s="0" t="n">
        <v>0</v>
      </c>
      <c r="Z29" s="0" t="n">
        <v>0</v>
      </c>
      <c r="AA29" s="0" t="n">
        <v>403</v>
      </c>
      <c r="AB29" s="0" t="n">
        <v>0</v>
      </c>
      <c r="AC29" s="0" t="n">
        <v>107159</v>
      </c>
      <c r="AD29" s="0" t="n">
        <v>34047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221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117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130</v>
      </c>
      <c r="AY29" s="0" t="n">
        <v>312</v>
      </c>
      <c r="AZ29" s="0" t="n">
        <v>117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65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104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234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215956</v>
      </c>
      <c r="CI29" s="0" t="n">
        <v>0</v>
      </c>
      <c r="CJ29" s="0" t="n">
        <v>0</v>
      </c>
      <c r="CK29" s="0" t="n">
        <f aca="false">SUM(B29:CJ29)</f>
        <v>372554</v>
      </c>
      <c r="CL29" s="0" t="n">
        <f aca="false">CH29/SUM(B29:CJ29)</f>
        <v>0.579663619233722</v>
      </c>
    </row>
    <row r="30" customFormat="false" ht="12.75" hidden="false" customHeight="false" outlineLevel="0" collapsed="false">
      <c r="A30" s="0" t="n">
        <v>29</v>
      </c>
      <c r="B30" s="0" t="n">
        <v>390</v>
      </c>
      <c r="C30" s="0" t="n">
        <v>286</v>
      </c>
      <c r="D30" s="0" t="n">
        <v>0</v>
      </c>
      <c r="E30" s="0" t="n">
        <v>104</v>
      </c>
      <c r="F30" s="0" t="n">
        <v>195</v>
      </c>
      <c r="G30" s="0" t="n">
        <v>169</v>
      </c>
      <c r="H30" s="0" t="n">
        <v>286</v>
      </c>
      <c r="I30" s="0" t="n">
        <v>338</v>
      </c>
      <c r="J30" s="0" t="n">
        <v>234</v>
      </c>
      <c r="K30" s="0" t="n">
        <v>9724</v>
      </c>
      <c r="L30" s="0" t="n">
        <v>14781</v>
      </c>
      <c r="M30" s="0" t="n">
        <v>2288</v>
      </c>
      <c r="N30" s="0" t="n">
        <v>0</v>
      </c>
      <c r="O30" s="0" t="n">
        <v>0</v>
      </c>
      <c r="P30" s="0" t="n">
        <v>182</v>
      </c>
      <c r="Q30" s="0" t="n">
        <v>1183</v>
      </c>
      <c r="R30" s="0" t="n">
        <v>247</v>
      </c>
      <c r="S30" s="0" t="n">
        <v>975</v>
      </c>
      <c r="T30" s="0" t="n">
        <v>884</v>
      </c>
      <c r="U30" s="0" t="n">
        <v>0</v>
      </c>
      <c r="V30" s="0" t="n">
        <v>1443</v>
      </c>
      <c r="W30" s="0" t="n">
        <v>351</v>
      </c>
      <c r="X30" s="0" t="n">
        <v>2964</v>
      </c>
      <c r="Y30" s="0" t="n">
        <v>182</v>
      </c>
      <c r="Z30" s="0" t="n">
        <v>0</v>
      </c>
      <c r="AA30" s="0" t="n">
        <v>338</v>
      </c>
      <c r="AB30" s="0" t="n">
        <v>0</v>
      </c>
      <c r="AC30" s="0" t="n">
        <v>111956</v>
      </c>
      <c r="AD30" s="0" t="n">
        <v>171821</v>
      </c>
      <c r="AE30" s="0" t="n">
        <v>0</v>
      </c>
      <c r="AF30" s="0" t="n">
        <v>0</v>
      </c>
      <c r="AG30" s="0" t="n">
        <v>0</v>
      </c>
      <c r="AH30" s="0" t="n">
        <v>377</v>
      </c>
      <c r="AI30" s="0" t="n">
        <v>0</v>
      </c>
      <c r="AJ30" s="0" t="n">
        <v>0</v>
      </c>
      <c r="AK30" s="0" t="n">
        <v>0</v>
      </c>
      <c r="AL30" s="0" t="n">
        <v>91</v>
      </c>
      <c r="AM30" s="0" t="n">
        <v>0</v>
      </c>
      <c r="AN30" s="0" t="n">
        <v>221</v>
      </c>
      <c r="AO30" s="0" t="n">
        <v>0</v>
      </c>
      <c r="AP30" s="0" t="n">
        <v>117</v>
      </c>
      <c r="AQ30" s="0" t="n">
        <v>52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91</v>
      </c>
      <c r="AY30" s="0" t="n">
        <v>481</v>
      </c>
      <c r="AZ30" s="0" t="n">
        <v>91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182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182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52</v>
      </c>
      <c r="CD30" s="0" t="n">
        <v>0</v>
      </c>
      <c r="CE30" s="0" t="n">
        <v>130</v>
      </c>
      <c r="CF30" s="0" t="n">
        <v>0</v>
      </c>
      <c r="CG30" s="0" t="n">
        <v>0</v>
      </c>
      <c r="CH30" s="0" t="n">
        <v>343122</v>
      </c>
      <c r="CI30" s="0" t="n">
        <v>130</v>
      </c>
      <c r="CJ30" s="0" t="n">
        <v>0</v>
      </c>
      <c r="CK30" s="0" t="n">
        <f aca="false">SUM(B30:CJ30)</f>
        <v>666640</v>
      </c>
      <c r="CL30" s="0" t="n">
        <f aca="false">CH30/SUM(B30:CJ30)</f>
        <v>0.514703588143526</v>
      </c>
    </row>
    <row r="31" customFormat="false" ht="12.75" hidden="false" customHeight="false" outlineLevel="0" collapsed="false">
      <c r="A31" s="0" t="n">
        <v>30</v>
      </c>
      <c r="B31" s="0" t="n">
        <v>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182</v>
      </c>
      <c r="U31" s="0" t="n">
        <v>0</v>
      </c>
      <c r="V31" s="0" t="n">
        <v>52</v>
      </c>
      <c r="W31" s="0" t="n">
        <v>0</v>
      </c>
      <c r="X31" s="0" t="n">
        <v>117</v>
      </c>
      <c r="Y31" s="0" t="n">
        <v>1053</v>
      </c>
      <c r="Z31" s="0" t="n">
        <v>4095</v>
      </c>
      <c r="AA31" s="0" t="n">
        <v>0</v>
      </c>
      <c r="AB31" s="0" t="n">
        <v>1261</v>
      </c>
      <c r="AC31" s="0" t="n">
        <v>0</v>
      </c>
      <c r="AD31" s="0" t="n">
        <v>0</v>
      </c>
      <c r="AE31" s="0" t="n">
        <v>59956</v>
      </c>
      <c r="AF31" s="0" t="n">
        <v>195</v>
      </c>
      <c r="AG31" s="0" t="n">
        <v>0</v>
      </c>
      <c r="AH31" s="0" t="n">
        <v>0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286</v>
      </c>
      <c r="AP31" s="0" t="n">
        <v>286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559</v>
      </c>
      <c r="AY31" s="0" t="n">
        <v>0</v>
      </c>
      <c r="AZ31" s="0" t="n">
        <v>390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108225</v>
      </c>
      <c r="CI31" s="0" t="n">
        <v>0</v>
      </c>
      <c r="CJ31" s="0" t="n">
        <v>0</v>
      </c>
      <c r="CK31" s="0" t="n">
        <f aca="false">SUM(B31:CJ31)</f>
        <v>176657</v>
      </c>
      <c r="CL31" s="0" t="n">
        <f aca="false">CH31/SUM(B31:CJ31)</f>
        <v>0.61262786076974</v>
      </c>
    </row>
    <row r="32" customFormat="false" ht="12.75" hidden="false" customHeight="false" outlineLevel="0" collapsed="false">
      <c r="A32" s="0" t="n">
        <v>31</v>
      </c>
      <c r="B32" s="0" t="n">
        <v>0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169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30563</v>
      </c>
      <c r="AG32" s="0" t="n">
        <v>117</v>
      </c>
      <c r="AH32" s="0" t="n">
        <v>0</v>
      </c>
      <c r="AI32" s="0" t="n">
        <v>0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871</v>
      </c>
      <c r="AP32" s="0" t="n">
        <v>1612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104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91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1417</v>
      </c>
      <c r="BY32" s="0" t="n">
        <v>0</v>
      </c>
      <c r="BZ32" s="0" t="n">
        <v>0</v>
      </c>
      <c r="CA32" s="0" t="n">
        <v>0</v>
      </c>
      <c r="CB32" s="0" t="n">
        <v>247</v>
      </c>
      <c r="CC32" s="0" t="n">
        <v>507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63609</v>
      </c>
      <c r="CI32" s="0" t="n">
        <v>0</v>
      </c>
      <c r="CJ32" s="0" t="n">
        <v>0</v>
      </c>
      <c r="CK32" s="0" t="n">
        <f aca="false">SUM(B32:CJ32)</f>
        <v>99307</v>
      </c>
      <c r="CL32" s="0" t="n">
        <f aca="false">CH32/SUM(B32:CJ32)</f>
        <v>0.64052886503469</v>
      </c>
    </row>
    <row r="33" customFormat="false" ht="12.75" hidden="false" customHeight="false" outlineLevel="0" collapsed="false">
      <c r="A33" s="0" t="n">
        <v>32</v>
      </c>
      <c r="B33" s="0" t="n">
        <v>0</v>
      </c>
      <c r="C33" s="0" t="n">
        <v>0</v>
      </c>
      <c r="D33" s="0" t="n">
        <v>65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78</v>
      </c>
      <c r="V33" s="0" t="n">
        <v>78</v>
      </c>
      <c r="W33" s="0" t="n">
        <v>377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13</v>
      </c>
      <c r="AF33" s="0" t="n">
        <v>0</v>
      </c>
      <c r="AG33" s="0" t="n">
        <v>169559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65</v>
      </c>
      <c r="AM33" s="0" t="n">
        <v>0</v>
      </c>
      <c r="AN33" s="0" t="n">
        <v>208</v>
      </c>
      <c r="AO33" s="0" t="n">
        <v>78</v>
      </c>
      <c r="AP33" s="0" t="n">
        <v>65</v>
      </c>
      <c r="AQ33" s="0" t="n">
        <v>91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104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52</v>
      </c>
      <c r="BL33" s="0" t="n">
        <v>0</v>
      </c>
      <c r="BM33" s="0" t="n">
        <v>598</v>
      </c>
      <c r="BN33" s="0" t="n">
        <v>949</v>
      </c>
      <c r="BO33" s="0" t="n">
        <v>0</v>
      </c>
      <c r="BP33" s="0" t="n">
        <v>1768</v>
      </c>
      <c r="BQ33" s="0" t="n">
        <v>0</v>
      </c>
      <c r="BR33" s="0" t="n">
        <v>156</v>
      </c>
      <c r="BS33" s="0" t="n">
        <v>0</v>
      </c>
      <c r="BT33" s="0" t="n">
        <v>0</v>
      </c>
      <c r="BU33" s="0" t="n">
        <v>260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5109</v>
      </c>
      <c r="CD33" s="0" t="n">
        <v>0</v>
      </c>
      <c r="CE33" s="0" t="n">
        <v>221</v>
      </c>
      <c r="CF33" s="0" t="n">
        <v>247</v>
      </c>
      <c r="CG33" s="0" t="n">
        <v>0</v>
      </c>
      <c r="CH33" s="0" t="n">
        <v>187317</v>
      </c>
      <c r="CI33" s="0" t="n">
        <v>0</v>
      </c>
      <c r="CJ33" s="0" t="n">
        <v>0</v>
      </c>
      <c r="CK33" s="0" t="n">
        <f aca="false">SUM(B33:CJ33)</f>
        <v>367458</v>
      </c>
      <c r="CL33" s="0" t="n">
        <f aca="false">CH33/SUM(B33:CJ33)</f>
        <v>0.509764381235407</v>
      </c>
    </row>
    <row r="34" customFormat="false" ht="12.75" hidden="false" customHeight="false" outlineLevel="0" collapsed="false">
      <c r="A34" s="0" t="n">
        <v>33</v>
      </c>
      <c r="B34" s="0" t="n">
        <v>169</v>
      </c>
      <c r="C34" s="0" t="n">
        <v>0</v>
      </c>
      <c r="D34" s="0" t="n">
        <v>0</v>
      </c>
      <c r="E34" s="0" t="n">
        <v>130</v>
      </c>
      <c r="F34" s="0" t="n">
        <v>0</v>
      </c>
      <c r="G34" s="0" t="n">
        <v>130</v>
      </c>
      <c r="H34" s="0" t="n">
        <v>65</v>
      </c>
      <c r="I34" s="0" t="n">
        <v>104</v>
      </c>
      <c r="J34" s="0" t="n">
        <v>78</v>
      </c>
      <c r="K34" s="0" t="n">
        <v>0</v>
      </c>
      <c r="L34" s="0" t="n">
        <v>104</v>
      </c>
      <c r="M34" s="0" t="n">
        <v>130</v>
      </c>
      <c r="N34" s="0" t="n">
        <v>0</v>
      </c>
      <c r="O34" s="0" t="n">
        <v>0</v>
      </c>
      <c r="P34" s="0" t="n">
        <v>0</v>
      </c>
      <c r="Q34" s="0" t="n">
        <v>65</v>
      </c>
      <c r="R34" s="0" t="n">
        <v>0</v>
      </c>
      <c r="S34" s="0" t="n">
        <v>0</v>
      </c>
      <c r="T34" s="0" t="n">
        <v>637</v>
      </c>
      <c r="U34" s="0" t="n">
        <v>130</v>
      </c>
      <c r="V34" s="0" t="n">
        <v>663</v>
      </c>
      <c r="W34" s="0" t="n">
        <v>559</v>
      </c>
      <c r="X34" s="0" t="n">
        <v>91</v>
      </c>
      <c r="Y34" s="0" t="n">
        <v>0</v>
      </c>
      <c r="Z34" s="0" t="n">
        <v>143</v>
      </c>
      <c r="AA34" s="0" t="n">
        <v>156</v>
      </c>
      <c r="AB34" s="0" t="n">
        <v>0</v>
      </c>
      <c r="AC34" s="0" t="n">
        <v>0</v>
      </c>
      <c r="AD34" s="0" t="n">
        <v>91</v>
      </c>
      <c r="AE34" s="0" t="n">
        <v>91</v>
      </c>
      <c r="AF34" s="0" t="n">
        <v>0</v>
      </c>
      <c r="AG34" s="0" t="n">
        <v>0</v>
      </c>
      <c r="AH34" s="0" t="n">
        <v>455325</v>
      </c>
      <c r="AI34" s="0" t="n">
        <v>1612</v>
      </c>
      <c r="AJ34" s="0" t="n">
        <v>4030</v>
      </c>
      <c r="AK34" s="0" t="n">
        <v>14807</v>
      </c>
      <c r="AL34" s="0" t="n">
        <v>71305</v>
      </c>
      <c r="AM34" s="0" t="n">
        <v>0</v>
      </c>
      <c r="AN34" s="0" t="n">
        <v>78</v>
      </c>
      <c r="AO34" s="0" t="n">
        <v>143</v>
      </c>
      <c r="AP34" s="0" t="n">
        <v>0</v>
      </c>
      <c r="AQ34" s="0" t="n">
        <v>221</v>
      </c>
      <c r="AR34" s="0" t="n">
        <v>585</v>
      </c>
      <c r="AS34" s="0" t="n">
        <v>0</v>
      </c>
      <c r="AT34" s="0" t="n">
        <v>130</v>
      </c>
      <c r="AU34" s="0" t="n">
        <v>117</v>
      </c>
      <c r="AV34" s="0" t="n">
        <v>0</v>
      </c>
      <c r="AW34" s="0" t="n">
        <v>1365</v>
      </c>
      <c r="AX34" s="0" t="n">
        <v>130</v>
      </c>
      <c r="AY34" s="0" t="n">
        <v>273</v>
      </c>
      <c r="AZ34" s="0" t="n">
        <v>0</v>
      </c>
      <c r="BA34" s="0" t="n">
        <v>130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247</v>
      </c>
      <c r="BM34" s="0" t="n">
        <v>1001</v>
      </c>
      <c r="BN34" s="0" t="n">
        <v>663</v>
      </c>
      <c r="BO34" s="0" t="n">
        <v>91</v>
      </c>
      <c r="BP34" s="0" t="n">
        <v>182</v>
      </c>
      <c r="BQ34" s="0" t="n">
        <v>0</v>
      </c>
      <c r="BR34" s="0" t="n">
        <v>910</v>
      </c>
      <c r="BS34" s="0" t="n">
        <v>0</v>
      </c>
      <c r="BT34" s="0" t="n">
        <v>0</v>
      </c>
      <c r="BU34" s="0" t="n">
        <v>260</v>
      </c>
      <c r="BV34" s="0" t="n">
        <v>0</v>
      </c>
      <c r="BW34" s="0" t="n">
        <v>0</v>
      </c>
      <c r="BX34" s="0" t="n">
        <v>0</v>
      </c>
      <c r="BY34" s="0" t="n">
        <v>169</v>
      </c>
      <c r="BZ34" s="0" t="n">
        <v>0</v>
      </c>
      <c r="CA34" s="0" t="n">
        <v>0</v>
      </c>
      <c r="CB34" s="0" t="n">
        <v>390</v>
      </c>
      <c r="CC34" s="0" t="n">
        <v>0</v>
      </c>
      <c r="CD34" s="0" t="n">
        <v>0</v>
      </c>
      <c r="CE34" s="0" t="n">
        <v>130</v>
      </c>
      <c r="CF34" s="0" t="n">
        <v>104</v>
      </c>
      <c r="CG34" s="0" t="n">
        <v>429</v>
      </c>
      <c r="CH34" s="0" t="n">
        <v>543075</v>
      </c>
      <c r="CI34" s="0" t="n">
        <v>2262</v>
      </c>
      <c r="CJ34" s="0" t="n">
        <v>0</v>
      </c>
      <c r="CK34" s="0" t="n">
        <f aca="false">SUM(B34:CJ34)</f>
        <v>1103700</v>
      </c>
      <c r="CL34" s="0" t="n">
        <f aca="false">CH34/SUM(B34:CJ34)</f>
        <v>0.492049469964664</v>
      </c>
    </row>
    <row r="35" customFormat="false" ht="12.75" hidden="false" customHeight="false" outlineLevel="0" collapsed="false">
      <c r="A35" s="0" t="n">
        <v>34</v>
      </c>
      <c r="B35" s="0" t="n">
        <v>0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130</v>
      </c>
      <c r="N35" s="0" t="n">
        <v>0</v>
      </c>
      <c r="O35" s="0" t="n">
        <v>91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169</v>
      </c>
      <c r="U35" s="0" t="n">
        <v>0</v>
      </c>
      <c r="V35" s="0" t="n">
        <v>117</v>
      </c>
      <c r="W35" s="0" t="n">
        <v>0</v>
      </c>
      <c r="X35" s="0" t="n">
        <v>78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7514</v>
      </c>
      <c r="AI35" s="0" t="n">
        <v>14196</v>
      </c>
      <c r="AJ35" s="0" t="n">
        <v>1469</v>
      </c>
      <c r="AK35" s="0" t="n">
        <v>0</v>
      </c>
      <c r="AL35" s="0" t="n">
        <v>24934</v>
      </c>
      <c r="AM35" s="0" t="n">
        <v>0</v>
      </c>
      <c r="AN35" s="0" t="n">
        <v>0</v>
      </c>
      <c r="AO35" s="0" t="n">
        <v>0</v>
      </c>
      <c r="AP35" s="0" t="n">
        <v>0</v>
      </c>
      <c r="AQ35" s="0" t="n">
        <v>273</v>
      </c>
      <c r="AR35" s="0" t="n">
        <v>1261</v>
      </c>
      <c r="AS35" s="0" t="n">
        <v>455</v>
      </c>
      <c r="AT35" s="0" t="n">
        <v>325</v>
      </c>
      <c r="AU35" s="0" t="n">
        <v>130</v>
      </c>
      <c r="AV35" s="0" t="n">
        <v>104</v>
      </c>
      <c r="AW35" s="0" t="n">
        <v>689</v>
      </c>
      <c r="AX35" s="0" t="n">
        <v>0</v>
      </c>
      <c r="AY35" s="0" t="n">
        <v>0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117</v>
      </c>
      <c r="BL35" s="0" t="n">
        <v>0</v>
      </c>
      <c r="BM35" s="0" t="n">
        <v>715</v>
      </c>
      <c r="BN35" s="0" t="n">
        <v>338</v>
      </c>
      <c r="BO35" s="0" t="n">
        <v>0</v>
      </c>
      <c r="BP35" s="0" t="n">
        <v>0</v>
      </c>
      <c r="BQ35" s="0" t="n">
        <v>0</v>
      </c>
      <c r="BR35" s="0" t="n">
        <v>377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143</v>
      </c>
      <c r="CH35" s="0" t="n">
        <v>70278</v>
      </c>
      <c r="CI35" s="0" t="n">
        <v>169</v>
      </c>
      <c r="CJ35" s="0" t="n">
        <v>0</v>
      </c>
      <c r="CK35" s="0" t="n">
        <f aca="false">SUM(B35:CJ35)</f>
        <v>124072</v>
      </c>
      <c r="CL35" s="0" t="n">
        <f aca="false">CH35/SUM(B35:CJ35)</f>
        <v>0.566429170159262</v>
      </c>
    </row>
    <row r="36" customFormat="false" ht="12.75" hidden="false" customHeight="false" outlineLevel="0" collapsed="false">
      <c r="A36" s="0" t="n">
        <v>35</v>
      </c>
      <c r="B36" s="0" t="n">
        <v>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11934</v>
      </c>
      <c r="AI36" s="0" t="n">
        <v>988</v>
      </c>
      <c r="AJ36" s="0" t="n">
        <v>23023</v>
      </c>
      <c r="AK36" s="0" t="n">
        <v>195</v>
      </c>
      <c r="AL36" s="0" t="n">
        <v>13221</v>
      </c>
      <c r="AM36" s="0" t="n">
        <v>0</v>
      </c>
      <c r="AN36" s="0" t="n">
        <v>169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91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0</v>
      </c>
      <c r="BA36" s="0" t="n">
        <v>0</v>
      </c>
      <c r="BB36" s="0" t="n">
        <v>0</v>
      </c>
      <c r="BC36" s="0" t="n">
        <v>0</v>
      </c>
      <c r="BD36" s="0" t="n">
        <v>0</v>
      </c>
      <c r="BE36" s="0" t="n">
        <v>0</v>
      </c>
      <c r="BF36" s="0" t="n">
        <v>0</v>
      </c>
      <c r="BG36" s="0" t="n">
        <v>0</v>
      </c>
      <c r="BH36" s="0" t="n">
        <v>0</v>
      </c>
      <c r="BI36" s="0" t="n">
        <v>0</v>
      </c>
      <c r="BJ36" s="0" t="n">
        <v>0</v>
      </c>
      <c r="BK36" s="0" t="n">
        <v>0</v>
      </c>
      <c r="BL36" s="0" t="n">
        <v>0</v>
      </c>
      <c r="BM36" s="0" t="n">
        <v>0</v>
      </c>
      <c r="BN36" s="0" t="n">
        <v>0</v>
      </c>
      <c r="BO36" s="0" t="n">
        <v>0</v>
      </c>
      <c r="BP36" s="0" t="n">
        <v>0</v>
      </c>
      <c r="BQ36" s="0" t="n">
        <v>0</v>
      </c>
      <c r="BR36" s="0" t="n">
        <v>806</v>
      </c>
      <c r="BS36" s="0" t="n">
        <v>0</v>
      </c>
      <c r="BT36" s="0" t="n">
        <v>0</v>
      </c>
      <c r="BU36" s="0" t="n">
        <v>0</v>
      </c>
      <c r="BV36" s="0" t="n">
        <v>0</v>
      </c>
      <c r="BW36" s="0" t="n">
        <v>0</v>
      </c>
      <c r="BX36" s="0" t="n">
        <v>0</v>
      </c>
      <c r="BY36" s="0" t="n">
        <v>0</v>
      </c>
      <c r="BZ36" s="0" t="n">
        <v>0</v>
      </c>
      <c r="CA36" s="0" t="n">
        <v>0</v>
      </c>
      <c r="CB36" s="0" t="n">
        <v>0</v>
      </c>
      <c r="CC36" s="0" t="n">
        <v>0</v>
      </c>
      <c r="CD36" s="0" t="n">
        <v>0</v>
      </c>
      <c r="CE36" s="0" t="n">
        <v>0</v>
      </c>
      <c r="CF36" s="0" t="n">
        <v>0</v>
      </c>
      <c r="CG36" s="0" t="n">
        <v>0</v>
      </c>
      <c r="CH36" s="0" t="n">
        <v>59202</v>
      </c>
      <c r="CI36" s="0" t="n">
        <v>0</v>
      </c>
      <c r="CJ36" s="0" t="n">
        <v>0</v>
      </c>
      <c r="CK36" s="0" t="n">
        <f aca="false">SUM(B36:CJ36)</f>
        <v>109629</v>
      </c>
      <c r="CL36" s="0" t="n">
        <f aca="false">CH36/SUM(B36:CJ36)</f>
        <v>0.540021344717183</v>
      </c>
    </row>
    <row r="37" customFormat="false" ht="12.75" hidden="false" customHeight="false" outlineLevel="0" collapsed="false">
      <c r="A37" s="0" t="n">
        <v>36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130</v>
      </c>
      <c r="AB37" s="0" t="n">
        <v>0</v>
      </c>
      <c r="AC37" s="0" t="n">
        <v>0</v>
      </c>
      <c r="AD37" s="0" t="n">
        <v>0</v>
      </c>
      <c r="AE37" s="0" t="n">
        <v>117</v>
      </c>
      <c r="AF37" s="0" t="n">
        <v>0</v>
      </c>
      <c r="AG37" s="0" t="n">
        <v>0</v>
      </c>
      <c r="AH37" s="0" t="n">
        <v>29861</v>
      </c>
      <c r="AI37" s="0" t="n">
        <v>0</v>
      </c>
      <c r="AJ37" s="0" t="n">
        <v>234</v>
      </c>
      <c r="AK37" s="0" t="n">
        <v>20917</v>
      </c>
      <c r="AL37" s="0" t="n">
        <v>12974</v>
      </c>
      <c r="AM37" s="0" t="n">
        <v>104</v>
      </c>
      <c r="AN37" s="0" t="n">
        <v>0</v>
      </c>
      <c r="AO37" s="0" t="n">
        <v>0</v>
      </c>
      <c r="AP37" s="0" t="n">
        <v>0</v>
      </c>
      <c r="AQ37" s="0" t="n">
        <v>104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39</v>
      </c>
      <c r="BL37" s="0" t="n">
        <v>0</v>
      </c>
      <c r="BM37" s="0" t="n">
        <v>169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71240</v>
      </c>
      <c r="CI37" s="0" t="n">
        <v>728</v>
      </c>
      <c r="CJ37" s="0" t="n">
        <v>0</v>
      </c>
      <c r="CK37" s="0" t="n">
        <f aca="false">SUM(B37:CJ37)</f>
        <v>136617</v>
      </c>
      <c r="CL37" s="0" t="n">
        <f aca="false">CH37/SUM(B37:CJ37)</f>
        <v>0.521457798077838</v>
      </c>
    </row>
    <row r="38" customFormat="false" ht="12.75" hidden="false" customHeight="false" outlineLevel="0" collapsed="false">
      <c r="A38" s="0" t="n">
        <v>37</v>
      </c>
      <c r="B38" s="0" t="n">
        <v>403</v>
      </c>
      <c r="C38" s="0" t="n">
        <v>169</v>
      </c>
      <c r="D38" s="0" t="n">
        <v>130</v>
      </c>
      <c r="E38" s="0" t="n">
        <v>260</v>
      </c>
      <c r="F38" s="0" t="n">
        <v>78</v>
      </c>
      <c r="G38" s="0" t="n">
        <v>0</v>
      </c>
      <c r="H38" s="0" t="n">
        <v>143</v>
      </c>
      <c r="I38" s="0" t="n">
        <v>156</v>
      </c>
      <c r="J38" s="0" t="n">
        <v>0</v>
      </c>
      <c r="K38" s="0" t="n">
        <v>0</v>
      </c>
      <c r="L38" s="0" t="n">
        <v>65</v>
      </c>
      <c r="M38" s="0" t="n">
        <v>0</v>
      </c>
      <c r="N38" s="0" t="n">
        <v>0</v>
      </c>
      <c r="O38" s="0" t="n">
        <v>0</v>
      </c>
      <c r="P38" s="0" t="n">
        <v>143</v>
      </c>
      <c r="Q38" s="0" t="n">
        <v>0</v>
      </c>
      <c r="R38" s="0" t="n">
        <v>91</v>
      </c>
      <c r="S38" s="0" t="n">
        <v>91</v>
      </c>
      <c r="T38" s="0" t="n">
        <v>403</v>
      </c>
      <c r="U38" s="0" t="n">
        <v>0</v>
      </c>
      <c r="V38" s="0" t="n">
        <v>377</v>
      </c>
      <c r="W38" s="0" t="n">
        <v>390</v>
      </c>
      <c r="X38" s="0" t="n">
        <v>0</v>
      </c>
      <c r="Y38" s="0" t="n">
        <v>0</v>
      </c>
      <c r="Z38" s="0" t="n">
        <v>91</v>
      </c>
      <c r="AA38" s="0" t="n">
        <v>0</v>
      </c>
      <c r="AB38" s="0" t="n">
        <v>0</v>
      </c>
      <c r="AC38" s="0" t="n">
        <v>130</v>
      </c>
      <c r="AD38" s="0" t="n">
        <v>0</v>
      </c>
      <c r="AE38" s="0" t="n">
        <v>0</v>
      </c>
      <c r="AF38" s="0" t="n">
        <v>65</v>
      </c>
      <c r="AG38" s="0" t="n">
        <v>91</v>
      </c>
      <c r="AH38" s="0" t="n">
        <v>174200</v>
      </c>
      <c r="AI38" s="0" t="n">
        <v>11167</v>
      </c>
      <c r="AJ38" s="0" t="n">
        <v>14482</v>
      </c>
      <c r="AK38" s="0" t="n">
        <v>11076</v>
      </c>
      <c r="AL38" s="0" t="n">
        <v>264576</v>
      </c>
      <c r="AM38" s="0" t="n">
        <v>0</v>
      </c>
      <c r="AN38" s="0" t="n">
        <v>0</v>
      </c>
      <c r="AO38" s="0" t="n">
        <v>0</v>
      </c>
      <c r="AP38" s="0" t="n">
        <v>0</v>
      </c>
      <c r="AQ38" s="0" t="n">
        <v>624</v>
      </c>
      <c r="AR38" s="0" t="n">
        <v>1391</v>
      </c>
      <c r="AS38" s="0" t="n">
        <v>637</v>
      </c>
      <c r="AT38" s="0" t="n">
        <v>832</v>
      </c>
      <c r="AU38" s="0" t="n">
        <v>0</v>
      </c>
      <c r="AV38" s="0" t="n">
        <v>0</v>
      </c>
      <c r="AW38" s="0" t="n">
        <v>2548</v>
      </c>
      <c r="AX38" s="0" t="n">
        <v>0</v>
      </c>
      <c r="AY38" s="0" t="n">
        <v>0</v>
      </c>
      <c r="AZ38" s="0" t="n">
        <v>0</v>
      </c>
      <c r="BA38" s="0" t="n">
        <v>143</v>
      </c>
      <c r="BB38" s="0" t="n">
        <v>0</v>
      </c>
      <c r="BC38" s="0" t="n">
        <v>0</v>
      </c>
      <c r="BD38" s="0" t="n">
        <v>104</v>
      </c>
      <c r="BE38" s="0" t="n">
        <v>0</v>
      </c>
      <c r="BF38" s="0" t="n">
        <v>117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208</v>
      </c>
      <c r="BM38" s="0" t="n">
        <v>2054</v>
      </c>
      <c r="BN38" s="0" t="n">
        <v>1274</v>
      </c>
      <c r="BO38" s="0" t="n">
        <v>221</v>
      </c>
      <c r="BP38" s="0" t="n">
        <v>143</v>
      </c>
      <c r="BQ38" s="0" t="n">
        <v>0</v>
      </c>
      <c r="BR38" s="0" t="n">
        <v>3380</v>
      </c>
      <c r="BS38" s="0" t="n">
        <v>0</v>
      </c>
      <c r="BT38" s="0" t="n">
        <v>0</v>
      </c>
      <c r="BU38" s="0" t="n">
        <v>1066</v>
      </c>
      <c r="BV38" s="0" t="n">
        <v>0</v>
      </c>
      <c r="BW38" s="0" t="n">
        <v>0</v>
      </c>
      <c r="BX38" s="0" t="n">
        <v>39</v>
      </c>
      <c r="BY38" s="0" t="n">
        <v>0</v>
      </c>
      <c r="BZ38" s="0" t="n">
        <v>182</v>
      </c>
      <c r="CA38" s="0" t="n">
        <v>0</v>
      </c>
      <c r="CB38" s="0" t="n">
        <v>0</v>
      </c>
      <c r="CC38" s="0" t="n">
        <v>0</v>
      </c>
      <c r="CD38" s="0" t="n">
        <v>117</v>
      </c>
      <c r="CE38" s="0" t="n">
        <v>0</v>
      </c>
      <c r="CF38" s="0" t="n">
        <v>0</v>
      </c>
      <c r="CG38" s="0" t="n">
        <v>611</v>
      </c>
      <c r="CH38" s="0" t="n">
        <v>520962</v>
      </c>
      <c r="CI38" s="0" t="n">
        <v>1092</v>
      </c>
      <c r="CJ38" s="0" t="n">
        <v>0</v>
      </c>
      <c r="CK38" s="0" t="n">
        <f aca="false">SUM(B38:CJ38)</f>
        <v>1016522</v>
      </c>
      <c r="CL38" s="0" t="n">
        <f aca="false">CH38/SUM(B38:CJ38)</f>
        <v>0.512494564800368</v>
      </c>
    </row>
    <row r="39" customFormat="false" ht="12.75" hidden="false" customHeight="false" outlineLevel="0" collapsed="false">
      <c r="A39" s="0" t="n">
        <v>38</v>
      </c>
      <c r="B39" s="0" t="n">
        <v>91</v>
      </c>
      <c r="C39" s="0" t="n">
        <v>0</v>
      </c>
      <c r="D39" s="0" t="n">
        <v>0</v>
      </c>
      <c r="E39" s="0" t="n">
        <v>78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143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65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30706</v>
      </c>
      <c r="AN39" s="0" t="n">
        <v>12662</v>
      </c>
      <c r="AO39" s="0" t="n">
        <v>0</v>
      </c>
      <c r="AP39" s="0" t="n">
        <v>91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507</v>
      </c>
      <c r="AY39" s="0" t="n">
        <v>0</v>
      </c>
      <c r="AZ39" s="0" t="n">
        <v>260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65</v>
      </c>
      <c r="BN39" s="0" t="n">
        <v>0</v>
      </c>
      <c r="BO39" s="0" t="n">
        <v>0</v>
      </c>
      <c r="BP39" s="0" t="n">
        <v>143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1274</v>
      </c>
      <c r="BZ39" s="0" t="n">
        <v>91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62361</v>
      </c>
      <c r="CI39" s="0" t="n">
        <v>0</v>
      </c>
      <c r="CJ39" s="0" t="n">
        <v>0</v>
      </c>
      <c r="CK39" s="0" t="n">
        <f aca="false">SUM(B39:CJ39)</f>
        <v>108537</v>
      </c>
      <c r="CL39" s="0" t="n">
        <f aca="false">CH39/SUM(B39:CJ39)</f>
        <v>0.574559827524254</v>
      </c>
    </row>
    <row r="40" customFormat="false" ht="12.75" hidden="false" customHeight="false" outlineLevel="0" collapsed="false">
      <c r="A40" s="0" t="n">
        <v>39</v>
      </c>
      <c r="B40" s="0" t="n">
        <v>0</v>
      </c>
      <c r="C40" s="0" t="n">
        <v>0</v>
      </c>
      <c r="D40" s="0" t="n">
        <v>130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130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130</v>
      </c>
      <c r="S40" s="0" t="n">
        <v>0</v>
      </c>
      <c r="T40" s="0" t="n">
        <v>0</v>
      </c>
      <c r="U40" s="0" t="n">
        <v>0</v>
      </c>
      <c r="V40" s="0" t="n">
        <v>208</v>
      </c>
      <c r="W40" s="0" t="n">
        <v>247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247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14235</v>
      </c>
      <c r="AN40" s="0" t="n">
        <v>95147</v>
      </c>
      <c r="AO40" s="0" t="n">
        <v>0</v>
      </c>
      <c r="AP40" s="0" t="n">
        <v>0</v>
      </c>
      <c r="AQ40" s="0" t="n">
        <v>0</v>
      </c>
      <c r="AR40" s="0" t="n">
        <v>0</v>
      </c>
      <c r="AS40" s="0" t="n">
        <v>0</v>
      </c>
      <c r="AT40" s="0" t="n">
        <v>0</v>
      </c>
      <c r="AU40" s="0" t="n">
        <v>0</v>
      </c>
      <c r="AV40" s="0" t="n">
        <v>0</v>
      </c>
      <c r="AW40" s="0" t="n">
        <v>0</v>
      </c>
      <c r="AX40" s="0" t="n">
        <v>598</v>
      </c>
      <c r="AY40" s="0" t="n">
        <v>0</v>
      </c>
      <c r="AZ40" s="0" t="n">
        <v>910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78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117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143</v>
      </c>
      <c r="BV40" s="0" t="n">
        <v>0</v>
      </c>
      <c r="BW40" s="0" t="n">
        <v>0</v>
      </c>
      <c r="BX40" s="0" t="n">
        <v>0</v>
      </c>
      <c r="BY40" s="0" t="n">
        <v>5369</v>
      </c>
      <c r="BZ40" s="0" t="n">
        <v>0</v>
      </c>
      <c r="CA40" s="0" t="n">
        <v>0</v>
      </c>
      <c r="CB40" s="0" t="n">
        <v>0</v>
      </c>
      <c r="CC40" s="0" t="n">
        <v>494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132912</v>
      </c>
      <c r="CI40" s="0" t="n">
        <v>195</v>
      </c>
      <c r="CJ40" s="0" t="n">
        <v>0</v>
      </c>
      <c r="CK40" s="0" t="n">
        <f aca="false">SUM(B40:CJ40)</f>
        <v>251290</v>
      </c>
      <c r="CL40" s="0" t="n">
        <f aca="false">CH40/SUM(B40:CJ40)</f>
        <v>0.528918779099845</v>
      </c>
    </row>
    <row r="41" customFormat="false" ht="12.75" hidden="false" customHeight="false" outlineLevel="0" collapsed="false">
      <c r="A41" s="0" t="n">
        <v>40</v>
      </c>
      <c r="B41" s="0" t="n">
        <v>0</v>
      </c>
      <c r="C41" s="0" t="n">
        <v>117</v>
      </c>
      <c r="D41" s="0" t="n">
        <v>0</v>
      </c>
      <c r="E41" s="0" t="n">
        <v>247</v>
      </c>
      <c r="F41" s="0" t="n">
        <v>143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104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169</v>
      </c>
      <c r="T41" s="0" t="n">
        <v>182</v>
      </c>
      <c r="U41" s="0" t="n">
        <v>0</v>
      </c>
      <c r="V41" s="0" t="n">
        <v>208</v>
      </c>
      <c r="W41" s="0" t="n">
        <v>299</v>
      </c>
      <c r="X41" s="0" t="n">
        <v>0</v>
      </c>
      <c r="Y41" s="0" t="n">
        <v>104</v>
      </c>
      <c r="Z41" s="0" t="n">
        <v>0</v>
      </c>
      <c r="AA41" s="0" t="n">
        <v>0</v>
      </c>
      <c r="AB41" s="0" t="n">
        <v>3536</v>
      </c>
      <c r="AC41" s="0" t="n">
        <v>143</v>
      </c>
      <c r="AD41" s="0" t="n">
        <v>0</v>
      </c>
      <c r="AE41" s="0" t="n">
        <v>468</v>
      </c>
      <c r="AF41" s="0" t="n">
        <v>1040</v>
      </c>
      <c r="AG41" s="0" t="n">
        <v>91</v>
      </c>
      <c r="AH41" s="0" t="n">
        <v>104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325</v>
      </c>
      <c r="AO41" s="0" t="n">
        <v>112021</v>
      </c>
      <c r="AP41" s="0" t="n">
        <v>16367</v>
      </c>
      <c r="AQ41" s="0" t="n">
        <v>117</v>
      </c>
      <c r="AR41" s="0" t="n">
        <v>0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91</v>
      </c>
      <c r="AY41" s="0" t="n">
        <v>0</v>
      </c>
      <c r="AZ41" s="0" t="n">
        <v>0</v>
      </c>
      <c r="BA41" s="0" t="n">
        <v>104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156</v>
      </c>
      <c r="BO41" s="0" t="n">
        <v>0</v>
      </c>
      <c r="BP41" s="0" t="n">
        <v>377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520</v>
      </c>
      <c r="BY41" s="0" t="n">
        <v>78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215475</v>
      </c>
      <c r="CI41" s="0" t="n">
        <v>0</v>
      </c>
      <c r="CJ41" s="0" t="n">
        <v>0</v>
      </c>
      <c r="CK41" s="0" t="n">
        <f aca="false">SUM(B41:CJ41)</f>
        <v>352586</v>
      </c>
      <c r="CL41" s="0" t="n">
        <f aca="false">CH41/SUM(B41:CJ41)</f>
        <v>0.611127497972126</v>
      </c>
    </row>
    <row r="42" customFormat="false" ht="12.75" hidden="false" customHeight="false" outlineLevel="0" collapsed="false">
      <c r="A42" s="0" t="n">
        <v>41</v>
      </c>
      <c r="B42" s="0" t="n">
        <v>0</v>
      </c>
      <c r="C42" s="0" t="n">
        <v>0</v>
      </c>
      <c r="D42" s="0" t="n">
        <v>0</v>
      </c>
      <c r="E42" s="0" t="n">
        <v>104</v>
      </c>
      <c r="F42" s="0" t="n">
        <v>52</v>
      </c>
      <c r="G42" s="0" t="n">
        <v>182</v>
      </c>
      <c r="H42" s="0" t="n">
        <v>0</v>
      </c>
      <c r="I42" s="0" t="n">
        <v>91</v>
      </c>
      <c r="J42" s="0" t="n">
        <v>0</v>
      </c>
      <c r="K42" s="0" t="n">
        <v>0</v>
      </c>
      <c r="L42" s="0" t="n">
        <v>91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182</v>
      </c>
      <c r="U42" s="0" t="n">
        <v>0</v>
      </c>
      <c r="V42" s="0" t="n">
        <v>0</v>
      </c>
      <c r="W42" s="0" t="n">
        <v>78</v>
      </c>
      <c r="X42" s="0" t="n">
        <v>143</v>
      </c>
      <c r="Y42" s="0" t="n">
        <v>0</v>
      </c>
      <c r="Z42" s="0" t="n">
        <v>91</v>
      </c>
      <c r="AA42" s="0" t="n">
        <v>0</v>
      </c>
      <c r="AB42" s="0" t="n">
        <v>1170</v>
      </c>
      <c r="AC42" s="0" t="n">
        <v>0</v>
      </c>
      <c r="AD42" s="0" t="n">
        <v>0</v>
      </c>
      <c r="AE42" s="0" t="n">
        <v>845</v>
      </c>
      <c r="AF42" s="0" t="n">
        <v>1911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195</v>
      </c>
      <c r="AN42" s="0" t="n">
        <v>0</v>
      </c>
      <c r="AO42" s="0" t="n">
        <v>54756</v>
      </c>
      <c r="AP42" s="0" t="n">
        <v>67678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v>0</v>
      </c>
      <c r="AV42" s="0" t="n">
        <v>0</v>
      </c>
      <c r="AW42" s="0" t="n">
        <v>0</v>
      </c>
      <c r="AX42" s="0" t="n">
        <v>0</v>
      </c>
      <c r="AY42" s="0" t="n">
        <v>0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299</v>
      </c>
      <c r="BN42" s="0" t="n">
        <v>182</v>
      </c>
      <c r="BO42" s="0" t="n">
        <v>0</v>
      </c>
      <c r="BP42" s="0" t="n">
        <v>0</v>
      </c>
      <c r="BQ42" s="0" t="n">
        <v>0</v>
      </c>
      <c r="BR42" s="0" t="n">
        <v>130</v>
      </c>
      <c r="BS42" s="0" t="n">
        <v>0</v>
      </c>
      <c r="BT42" s="0" t="n">
        <v>0</v>
      </c>
      <c r="BU42" s="0" t="n">
        <v>0</v>
      </c>
      <c r="BV42" s="0" t="n">
        <v>0</v>
      </c>
      <c r="BW42" s="0" t="n">
        <v>0</v>
      </c>
      <c r="BX42" s="0" t="n">
        <v>2587</v>
      </c>
      <c r="BY42" s="0" t="n">
        <v>0</v>
      </c>
      <c r="BZ42" s="0" t="n">
        <v>0</v>
      </c>
      <c r="CA42" s="0" t="n">
        <v>0</v>
      </c>
      <c r="CB42" s="0" t="n">
        <v>104</v>
      </c>
      <c r="CC42" s="0" t="n">
        <v>78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190333</v>
      </c>
      <c r="CI42" s="0" t="n">
        <v>0</v>
      </c>
      <c r="CJ42" s="0" t="n">
        <v>0</v>
      </c>
      <c r="CK42" s="0" t="n">
        <f aca="false">SUM(B42:CJ42)</f>
        <v>321282</v>
      </c>
      <c r="CL42" s="0" t="n">
        <f aca="false">CH42/SUM(B42:CJ42)</f>
        <v>0.592417253378652</v>
      </c>
    </row>
    <row r="43" customFormat="false" ht="12.75" hidden="false" customHeight="false" outlineLevel="0" collapsed="false">
      <c r="A43" s="0" t="n">
        <v>42</v>
      </c>
      <c r="B43" s="0" t="n">
        <v>0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78</v>
      </c>
      <c r="H43" s="0" t="n">
        <v>0</v>
      </c>
      <c r="I43" s="0" t="n">
        <v>0</v>
      </c>
      <c r="J43" s="0" t="n">
        <v>65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65</v>
      </c>
      <c r="AE43" s="0" t="n">
        <v>0</v>
      </c>
      <c r="AF43" s="0" t="n">
        <v>0</v>
      </c>
      <c r="AG43" s="0" t="n">
        <v>0</v>
      </c>
      <c r="AH43" s="0" t="n">
        <v>91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65</v>
      </c>
      <c r="AP43" s="0" t="n">
        <v>0</v>
      </c>
      <c r="AQ43" s="0" t="n">
        <v>43914</v>
      </c>
      <c r="AR43" s="0" t="n">
        <v>1937</v>
      </c>
      <c r="AS43" s="0" t="n">
        <v>3588</v>
      </c>
      <c r="AT43" s="0" t="n">
        <v>1937</v>
      </c>
      <c r="AU43" s="0" t="n">
        <v>4199</v>
      </c>
      <c r="AV43" s="0" t="n">
        <v>3653</v>
      </c>
      <c r="AW43" s="0" t="n">
        <v>65169</v>
      </c>
      <c r="AX43" s="0" t="n">
        <v>0</v>
      </c>
      <c r="AY43" s="0" t="n">
        <v>182</v>
      </c>
      <c r="AZ43" s="0" t="n">
        <v>0</v>
      </c>
      <c r="BA43" s="0" t="n">
        <v>0</v>
      </c>
      <c r="BB43" s="0" t="n">
        <v>117</v>
      </c>
      <c r="BC43" s="0" t="n">
        <v>0</v>
      </c>
      <c r="BD43" s="0" t="n">
        <v>0</v>
      </c>
      <c r="BE43" s="0" t="n">
        <v>221</v>
      </c>
      <c r="BF43" s="0" t="n">
        <v>0</v>
      </c>
      <c r="BG43" s="0" t="n">
        <v>0</v>
      </c>
      <c r="BH43" s="0" t="n">
        <v>0</v>
      </c>
      <c r="BI43" s="0" t="n">
        <v>260</v>
      </c>
      <c r="BJ43" s="0" t="n">
        <v>91</v>
      </c>
      <c r="BK43" s="0" t="n">
        <v>416</v>
      </c>
      <c r="BL43" s="0" t="n">
        <v>169</v>
      </c>
      <c r="BM43" s="0" t="n">
        <v>2509</v>
      </c>
      <c r="BN43" s="0" t="n">
        <v>975</v>
      </c>
      <c r="BO43" s="0" t="n">
        <v>1196</v>
      </c>
      <c r="BP43" s="0" t="n">
        <v>91</v>
      </c>
      <c r="BQ43" s="0" t="n">
        <v>130</v>
      </c>
      <c r="BR43" s="0" t="n">
        <v>1274</v>
      </c>
      <c r="BS43" s="0" t="n">
        <v>0</v>
      </c>
      <c r="BT43" s="0" t="n">
        <v>0</v>
      </c>
      <c r="BU43" s="0" t="n">
        <v>299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104</v>
      </c>
      <c r="CA43" s="0" t="n">
        <v>0</v>
      </c>
      <c r="CB43" s="0" t="n">
        <v>0</v>
      </c>
      <c r="CC43" s="0" t="n">
        <v>195</v>
      </c>
      <c r="CD43" s="0" t="n">
        <v>481</v>
      </c>
      <c r="CE43" s="0" t="n">
        <v>0</v>
      </c>
      <c r="CF43" s="0" t="n">
        <v>0</v>
      </c>
      <c r="CG43" s="0" t="n">
        <v>6890</v>
      </c>
      <c r="CH43" s="0" t="n">
        <v>151931</v>
      </c>
      <c r="CI43" s="0" t="n">
        <v>0</v>
      </c>
      <c r="CJ43" s="0" t="n">
        <v>0</v>
      </c>
      <c r="CK43" s="0" t="n">
        <f aca="false">SUM(B43:CJ43)</f>
        <v>292292</v>
      </c>
      <c r="CL43" s="0" t="n">
        <f aca="false">CH43/SUM(B43:CJ43)</f>
        <v>0.519791851983633</v>
      </c>
    </row>
    <row r="44" customFormat="false" ht="12.75" hidden="false" customHeight="false" outlineLevel="0" collapsed="false">
      <c r="A44" s="0" t="n">
        <v>43</v>
      </c>
      <c r="B44" s="0" t="n">
        <v>0</v>
      </c>
      <c r="C44" s="0" t="n">
        <v>0</v>
      </c>
      <c r="D44" s="0" t="n">
        <v>169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104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130</v>
      </c>
      <c r="T44" s="0" t="n">
        <v>91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78</v>
      </c>
      <c r="AI44" s="0" t="n">
        <v>637</v>
      </c>
      <c r="AJ44" s="0" t="n">
        <v>390</v>
      </c>
      <c r="AK44" s="0" t="n">
        <v>0</v>
      </c>
      <c r="AL44" s="0" t="n">
        <v>1105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3627</v>
      </c>
      <c r="AR44" s="0" t="n">
        <v>25129</v>
      </c>
      <c r="AS44" s="0" t="n">
        <v>6331</v>
      </c>
      <c r="AT44" s="0" t="n">
        <v>9256</v>
      </c>
      <c r="AU44" s="0" t="n">
        <v>689</v>
      </c>
      <c r="AV44" s="0" t="n">
        <v>221</v>
      </c>
      <c r="AW44" s="0" t="n">
        <v>22555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442</v>
      </c>
      <c r="BE44" s="0" t="n">
        <v>0</v>
      </c>
      <c r="BF44" s="0" t="n">
        <v>0</v>
      </c>
      <c r="BG44" s="0" t="n">
        <v>117</v>
      </c>
      <c r="BH44" s="0" t="n">
        <v>0</v>
      </c>
      <c r="BI44" s="0" t="n">
        <v>143</v>
      </c>
      <c r="BJ44" s="0" t="n">
        <v>0</v>
      </c>
      <c r="BK44" s="0" t="n">
        <v>0</v>
      </c>
      <c r="BL44" s="0" t="n">
        <v>403</v>
      </c>
      <c r="BM44" s="0" t="n">
        <v>1963</v>
      </c>
      <c r="BN44" s="0" t="n">
        <v>1482</v>
      </c>
      <c r="BO44" s="0" t="n">
        <v>507</v>
      </c>
      <c r="BP44" s="0" t="n">
        <v>0</v>
      </c>
      <c r="BQ44" s="0" t="n">
        <v>0</v>
      </c>
      <c r="BR44" s="0" t="n">
        <v>325</v>
      </c>
      <c r="BS44" s="0" t="n">
        <v>0</v>
      </c>
      <c r="BT44" s="0" t="n">
        <v>104</v>
      </c>
      <c r="BU44" s="0" t="n">
        <v>481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1209</v>
      </c>
      <c r="CH44" s="0" t="n">
        <v>60866</v>
      </c>
      <c r="CI44" s="0" t="n">
        <v>104</v>
      </c>
      <c r="CJ44" s="0" t="n">
        <v>0</v>
      </c>
      <c r="CK44" s="0" t="n">
        <f aca="false">SUM(B44:CJ44)</f>
        <v>138658</v>
      </c>
      <c r="CL44" s="0" t="n">
        <f aca="false">CH44/SUM(B44:CJ44)</f>
        <v>0.438964935308457</v>
      </c>
    </row>
    <row r="45" customFormat="false" ht="12.75" hidden="false" customHeight="false" outlineLevel="0" collapsed="false">
      <c r="A45" s="0" t="n">
        <v>44</v>
      </c>
      <c r="B45" s="0" t="n">
        <v>0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169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208</v>
      </c>
      <c r="AI45" s="0" t="n">
        <v>0</v>
      </c>
      <c r="AJ45" s="0" t="n">
        <v>0</v>
      </c>
      <c r="AK45" s="0" t="n">
        <v>0</v>
      </c>
      <c r="AL45" s="0" t="n">
        <v>273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5161</v>
      </c>
      <c r="AR45" s="0" t="n">
        <v>1287</v>
      </c>
      <c r="AS45" s="0" t="n">
        <v>11856</v>
      </c>
      <c r="AT45" s="0" t="n">
        <v>4719</v>
      </c>
      <c r="AU45" s="0" t="n">
        <v>845</v>
      </c>
      <c r="AV45" s="0" t="n">
        <v>494</v>
      </c>
      <c r="AW45" s="0" t="n">
        <v>23699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143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221</v>
      </c>
      <c r="BJ45" s="0" t="n">
        <v>0</v>
      </c>
      <c r="BK45" s="0" t="n">
        <v>0</v>
      </c>
      <c r="BL45" s="0" t="n">
        <v>0</v>
      </c>
      <c r="BM45" s="0" t="n">
        <v>2444</v>
      </c>
      <c r="BN45" s="0" t="n">
        <v>1365</v>
      </c>
      <c r="BO45" s="0" t="n">
        <v>1469</v>
      </c>
      <c r="BP45" s="0" t="n">
        <v>0</v>
      </c>
      <c r="BQ45" s="0" t="n">
        <v>0</v>
      </c>
      <c r="BR45" s="0" t="n">
        <v>182</v>
      </c>
      <c r="BS45" s="0" t="n">
        <v>0</v>
      </c>
      <c r="BT45" s="0" t="n">
        <v>0</v>
      </c>
      <c r="BU45" s="0" t="n">
        <v>494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104</v>
      </c>
      <c r="CD45" s="0" t="n">
        <v>104</v>
      </c>
      <c r="CE45" s="0" t="n">
        <v>0</v>
      </c>
      <c r="CF45" s="0" t="n">
        <v>0</v>
      </c>
      <c r="CG45" s="0" t="n">
        <v>1066</v>
      </c>
      <c r="CH45" s="0" t="n">
        <v>60294</v>
      </c>
      <c r="CI45" s="0" t="n">
        <v>0</v>
      </c>
      <c r="CJ45" s="0" t="n">
        <v>0</v>
      </c>
      <c r="CK45" s="0" t="n">
        <f aca="false">SUM(B45:CJ45)</f>
        <v>116597</v>
      </c>
      <c r="CL45" s="0" t="n">
        <f aca="false">CH45/SUM(B45:CJ45)</f>
        <v>0.51711450551901</v>
      </c>
    </row>
    <row r="46" customFormat="false" ht="12.75" hidden="false" customHeight="false" outlineLevel="0" collapsed="false">
      <c r="A46" s="0" t="n">
        <v>45</v>
      </c>
      <c r="B46" s="0" t="n">
        <v>78</v>
      </c>
      <c r="C46" s="0" t="n">
        <v>0</v>
      </c>
      <c r="D46" s="0" t="n">
        <v>65</v>
      </c>
      <c r="E46" s="0" t="n">
        <v>0</v>
      </c>
      <c r="F46" s="0" t="n">
        <v>0</v>
      </c>
      <c r="G46" s="0" t="n">
        <v>0</v>
      </c>
      <c r="H46" s="0" t="n">
        <v>78</v>
      </c>
      <c r="I46" s="0" t="n">
        <v>0</v>
      </c>
      <c r="J46" s="0" t="n">
        <v>0</v>
      </c>
      <c r="K46" s="0" t="n">
        <v>0</v>
      </c>
      <c r="L46" s="0" t="n">
        <v>169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104</v>
      </c>
      <c r="S46" s="0" t="n">
        <v>0</v>
      </c>
      <c r="T46" s="0" t="n">
        <v>0</v>
      </c>
      <c r="U46" s="0" t="n">
        <v>0</v>
      </c>
      <c r="V46" s="0" t="n">
        <v>169</v>
      </c>
      <c r="W46" s="0" t="n">
        <v>78</v>
      </c>
      <c r="X46" s="0" t="n">
        <v>78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520</v>
      </c>
      <c r="AI46" s="0" t="n">
        <v>221</v>
      </c>
      <c r="AJ46" s="0" t="n">
        <v>0</v>
      </c>
      <c r="AK46" s="0" t="n">
        <v>0</v>
      </c>
      <c r="AL46" s="0" t="n">
        <v>481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4615</v>
      </c>
      <c r="AR46" s="0" t="n">
        <v>4940</v>
      </c>
      <c r="AS46" s="0" t="n">
        <v>8801</v>
      </c>
      <c r="AT46" s="0" t="n">
        <v>15288</v>
      </c>
      <c r="AU46" s="0" t="n">
        <v>1092</v>
      </c>
      <c r="AV46" s="0" t="n">
        <v>416</v>
      </c>
      <c r="AW46" s="0" t="n">
        <v>21775</v>
      </c>
      <c r="AX46" s="0" t="n">
        <v>0</v>
      </c>
      <c r="AY46" s="0" t="n">
        <v>0</v>
      </c>
      <c r="AZ46" s="0" t="n">
        <v>0</v>
      </c>
      <c r="BA46" s="0" t="n">
        <v>0</v>
      </c>
      <c r="BB46" s="0" t="n">
        <v>117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182</v>
      </c>
      <c r="BH46" s="0" t="n">
        <v>0</v>
      </c>
      <c r="BI46" s="0" t="n">
        <v>117</v>
      </c>
      <c r="BJ46" s="0" t="n">
        <v>78</v>
      </c>
      <c r="BK46" s="0" t="n">
        <v>117</v>
      </c>
      <c r="BL46" s="0" t="n">
        <v>78</v>
      </c>
      <c r="BM46" s="0" t="n">
        <v>2236</v>
      </c>
      <c r="BN46" s="0" t="n">
        <v>767</v>
      </c>
      <c r="BO46" s="0" t="n">
        <v>988</v>
      </c>
      <c r="BP46" s="0" t="n">
        <v>0</v>
      </c>
      <c r="BQ46" s="0" t="n">
        <v>0</v>
      </c>
      <c r="BR46" s="0" t="n">
        <v>0</v>
      </c>
      <c r="BS46" s="0" t="n">
        <v>130</v>
      </c>
      <c r="BT46" s="0" t="n">
        <v>117</v>
      </c>
      <c r="BU46" s="0" t="n">
        <v>208</v>
      </c>
      <c r="BV46" s="0" t="n">
        <v>0</v>
      </c>
      <c r="BW46" s="0" t="n">
        <v>0</v>
      </c>
      <c r="BX46" s="0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91</v>
      </c>
      <c r="CD46" s="0" t="n">
        <v>0</v>
      </c>
      <c r="CE46" s="0" t="n">
        <v>0</v>
      </c>
      <c r="CF46" s="0" t="n">
        <v>0</v>
      </c>
      <c r="CG46" s="0" t="n">
        <v>1430</v>
      </c>
      <c r="CH46" s="0" t="n">
        <v>54691</v>
      </c>
      <c r="CI46" s="0" t="n">
        <v>78</v>
      </c>
      <c r="CJ46" s="0" t="n">
        <v>0</v>
      </c>
      <c r="CK46" s="0" t="n">
        <f aca="false">SUM(B46:CJ46)</f>
        <v>120393</v>
      </c>
      <c r="CL46" s="0" t="n">
        <f aca="false">CH46/SUM(B46:CJ46)</f>
        <v>0.45427059712774</v>
      </c>
    </row>
    <row r="47" customFormat="false" ht="12.75" hidden="false" customHeight="false" outlineLevel="0" collapsed="false">
      <c r="A47" s="0" t="n">
        <v>46</v>
      </c>
      <c r="B47" s="0" t="n">
        <v>0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91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4706</v>
      </c>
      <c r="AR47" s="0" t="n">
        <v>169</v>
      </c>
      <c r="AS47" s="0" t="n">
        <v>234</v>
      </c>
      <c r="AT47" s="0" t="n">
        <v>351</v>
      </c>
      <c r="AU47" s="0" t="n">
        <v>12506</v>
      </c>
      <c r="AV47" s="0" t="n">
        <v>4810</v>
      </c>
      <c r="AW47" s="0" t="n">
        <v>25506</v>
      </c>
      <c r="AX47" s="0" t="n">
        <v>0</v>
      </c>
      <c r="AY47" s="0" t="n">
        <v>0</v>
      </c>
      <c r="AZ47" s="0" t="n">
        <v>0</v>
      </c>
      <c r="BA47" s="0" t="n">
        <v>91</v>
      </c>
      <c r="BB47" s="0" t="n">
        <v>65</v>
      </c>
      <c r="BC47" s="0" t="n">
        <v>91</v>
      </c>
      <c r="BD47" s="0" t="n">
        <v>234</v>
      </c>
      <c r="BE47" s="0" t="n">
        <v>0</v>
      </c>
      <c r="BF47" s="0" t="n">
        <v>169</v>
      </c>
      <c r="BG47" s="0" t="n">
        <v>260</v>
      </c>
      <c r="BH47" s="0" t="n">
        <v>0</v>
      </c>
      <c r="BI47" s="0" t="n">
        <v>676</v>
      </c>
      <c r="BJ47" s="0" t="n">
        <v>156</v>
      </c>
      <c r="BK47" s="0" t="n">
        <v>221</v>
      </c>
      <c r="BL47" s="0" t="n">
        <v>208</v>
      </c>
      <c r="BM47" s="0" t="n">
        <v>5642</v>
      </c>
      <c r="BN47" s="0" t="n">
        <v>2314</v>
      </c>
      <c r="BO47" s="0" t="n">
        <v>4368</v>
      </c>
      <c r="BP47" s="0" t="n">
        <v>78</v>
      </c>
      <c r="BQ47" s="0" t="n">
        <v>0</v>
      </c>
      <c r="BR47" s="0" t="n">
        <v>338</v>
      </c>
      <c r="BS47" s="0" t="n">
        <v>0</v>
      </c>
      <c r="BT47" s="0" t="n">
        <v>117</v>
      </c>
      <c r="BU47" s="0" t="n">
        <v>390</v>
      </c>
      <c r="BV47" s="0" t="n">
        <v>0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3926</v>
      </c>
      <c r="CH47" s="0" t="n">
        <v>66196</v>
      </c>
      <c r="CI47" s="0" t="n">
        <v>0</v>
      </c>
      <c r="CJ47" s="0" t="n">
        <v>0</v>
      </c>
      <c r="CK47" s="0" t="n">
        <f aca="false">SUM(B47:CJ47)</f>
        <v>133913</v>
      </c>
      <c r="CL47" s="0" t="n">
        <f aca="false">CH47/SUM(B47:CJ47)</f>
        <v>0.494320939714591</v>
      </c>
    </row>
    <row r="48" customFormat="false" ht="12.75" hidden="false" customHeight="false" outlineLevel="0" collapsed="false">
      <c r="A48" s="0" t="n">
        <v>47</v>
      </c>
      <c r="B48" s="0" t="n">
        <v>0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91</v>
      </c>
      <c r="AG48" s="0" t="n">
        <v>78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78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7189</v>
      </c>
      <c r="AR48" s="0" t="n">
        <v>221</v>
      </c>
      <c r="AS48" s="0" t="n">
        <v>767</v>
      </c>
      <c r="AT48" s="0" t="n">
        <v>494</v>
      </c>
      <c r="AU48" s="0" t="n">
        <v>3978</v>
      </c>
      <c r="AV48" s="0" t="n">
        <v>14885</v>
      </c>
      <c r="AW48" s="0" t="n">
        <v>24388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182</v>
      </c>
      <c r="BC48" s="0" t="n">
        <v>91</v>
      </c>
      <c r="BD48" s="0" t="n">
        <v>0</v>
      </c>
      <c r="BE48" s="0" t="n">
        <v>0</v>
      </c>
      <c r="BF48" s="0" t="n">
        <v>91</v>
      </c>
      <c r="BG48" s="0" t="n">
        <v>0</v>
      </c>
      <c r="BH48" s="0" t="n">
        <v>91</v>
      </c>
      <c r="BI48" s="0" t="n">
        <v>403</v>
      </c>
      <c r="BJ48" s="0" t="n">
        <v>143</v>
      </c>
      <c r="BK48" s="0" t="n">
        <v>117</v>
      </c>
      <c r="BL48" s="0" t="n">
        <v>104</v>
      </c>
      <c r="BM48" s="0" t="n">
        <v>4667</v>
      </c>
      <c r="BN48" s="0" t="n">
        <v>2964</v>
      </c>
      <c r="BO48" s="0" t="n">
        <v>3809</v>
      </c>
      <c r="BP48" s="0" t="n">
        <v>0</v>
      </c>
      <c r="BQ48" s="0" t="n">
        <v>0</v>
      </c>
      <c r="BR48" s="0" t="n">
        <v>182</v>
      </c>
      <c r="BS48" s="0" t="n">
        <v>156</v>
      </c>
      <c r="BT48" s="0" t="n">
        <v>91</v>
      </c>
      <c r="BU48" s="0" t="n">
        <v>806</v>
      </c>
      <c r="BV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6214</v>
      </c>
      <c r="CH48" s="0" t="n">
        <v>73580</v>
      </c>
      <c r="CI48" s="0" t="n">
        <v>143</v>
      </c>
      <c r="CJ48" s="0" t="n">
        <v>0</v>
      </c>
      <c r="CK48" s="0" t="n">
        <f aca="false">SUM(B48:CJ48)</f>
        <v>146003</v>
      </c>
      <c r="CL48" s="0" t="n">
        <f aca="false">CH48/SUM(B48:CJ48)</f>
        <v>0.503962247351082</v>
      </c>
    </row>
    <row r="49" customFormat="false" ht="12.75" hidden="false" customHeight="false" outlineLevel="0" collapsed="false">
      <c r="A49" s="0" t="n">
        <v>48</v>
      </c>
      <c r="B49" s="0" t="n">
        <v>234</v>
      </c>
      <c r="C49" s="0" t="n">
        <v>104</v>
      </c>
      <c r="D49" s="0" t="n">
        <v>130</v>
      </c>
      <c r="E49" s="0" t="n">
        <v>182</v>
      </c>
      <c r="F49" s="0" t="n">
        <v>65</v>
      </c>
      <c r="G49" s="0" t="n">
        <v>0</v>
      </c>
      <c r="H49" s="0" t="n">
        <v>0</v>
      </c>
      <c r="I49" s="0" t="n">
        <v>0</v>
      </c>
      <c r="J49" s="0" t="n">
        <v>221</v>
      </c>
      <c r="K49" s="0" t="n">
        <v>221</v>
      </c>
      <c r="L49" s="0" t="n">
        <v>182</v>
      </c>
      <c r="M49" s="0" t="n">
        <v>78</v>
      </c>
      <c r="N49" s="0" t="n">
        <v>0</v>
      </c>
      <c r="O49" s="0" t="n">
        <v>78</v>
      </c>
      <c r="P49" s="0" t="n">
        <v>0</v>
      </c>
      <c r="Q49" s="0" t="n">
        <v>0</v>
      </c>
      <c r="R49" s="0" t="n">
        <v>0</v>
      </c>
      <c r="S49" s="0" t="n">
        <v>65</v>
      </c>
      <c r="T49" s="0" t="n">
        <v>390</v>
      </c>
      <c r="U49" s="0" t="n">
        <v>130</v>
      </c>
      <c r="V49" s="0" t="n">
        <v>104</v>
      </c>
      <c r="W49" s="0" t="n">
        <v>65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78</v>
      </c>
      <c r="AE49" s="0" t="n">
        <v>0</v>
      </c>
      <c r="AF49" s="0" t="n">
        <v>104</v>
      </c>
      <c r="AG49" s="0" t="n">
        <v>533</v>
      </c>
      <c r="AH49" s="0" t="n">
        <v>1547</v>
      </c>
      <c r="AI49" s="0" t="n">
        <v>364</v>
      </c>
      <c r="AJ49" s="0" t="n">
        <v>182</v>
      </c>
      <c r="AK49" s="0" t="n">
        <v>0</v>
      </c>
      <c r="AL49" s="0" t="n">
        <v>520</v>
      </c>
      <c r="AM49" s="0" t="n">
        <v>0</v>
      </c>
      <c r="AN49" s="0" t="n">
        <v>0</v>
      </c>
      <c r="AO49" s="0" t="n">
        <v>0</v>
      </c>
      <c r="AP49" s="0" t="n">
        <v>143</v>
      </c>
      <c r="AQ49" s="0" t="n">
        <v>47411</v>
      </c>
      <c r="AR49" s="0" t="n">
        <v>5577</v>
      </c>
      <c r="AS49" s="0" t="n">
        <v>7254</v>
      </c>
      <c r="AT49" s="0" t="n">
        <v>2795</v>
      </c>
      <c r="AU49" s="0" t="n">
        <v>15912</v>
      </c>
      <c r="AV49" s="0" t="n">
        <v>18044</v>
      </c>
      <c r="AW49" s="0" t="n">
        <v>361075</v>
      </c>
      <c r="AX49" s="0" t="n">
        <v>0</v>
      </c>
      <c r="AY49" s="0" t="n">
        <v>130</v>
      </c>
      <c r="AZ49" s="0" t="n">
        <v>104</v>
      </c>
      <c r="BA49" s="0" t="n">
        <v>780</v>
      </c>
      <c r="BB49" s="0" t="n">
        <v>754</v>
      </c>
      <c r="BC49" s="0" t="n">
        <v>1105</v>
      </c>
      <c r="BD49" s="0" t="n">
        <v>494</v>
      </c>
      <c r="BE49" s="0" t="n">
        <v>884</v>
      </c>
      <c r="BF49" s="0" t="n">
        <v>1924</v>
      </c>
      <c r="BG49" s="0" t="n">
        <v>624</v>
      </c>
      <c r="BH49" s="0" t="n">
        <v>988</v>
      </c>
      <c r="BI49" s="0" t="n">
        <v>3796</v>
      </c>
      <c r="BJ49" s="0" t="n">
        <v>312</v>
      </c>
      <c r="BK49" s="0" t="n">
        <v>1066</v>
      </c>
      <c r="BL49" s="0" t="n">
        <v>949</v>
      </c>
      <c r="BM49" s="0" t="n">
        <v>67912</v>
      </c>
      <c r="BN49" s="0" t="n">
        <v>21957</v>
      </c>
      <c r="BO49" s="0" t="n">
        <v>25610</v>
      </c>
      <c r="BP49" s="0" t="n">
        <v>156</v>
      </c>
      <c r="BQ49" s="0" t="n">
        <v>0</v>
      </c>
      <c r="BR49" s="0" t="n">
        <v>3510</v>
      </c>
      <c r="BS49" s="0" t="n">
        <v>260</v>
      </c>
      <c r="BT49" s="0" t="n">
        <v>1157</v>
      </c>
      <c r="BU49" s="0" t="n">
        <v>2990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247</v>
      </c>
      <c r="CA49" s="0" t="n">
        <v>156</v>
      </c>
      <c r="CB49" s="0" t="n">
        <v>65</v>
      </c>
      <c r="CC49" s="0" t="n">
        <v>39</v>
      </c>
      <c r="CD49" s="0" t="n">
        <v>1612</v>
      </c>
      <c r="CE49" s="0" t="n">
        <v>377</v>
      </c>
      <c r="CF49" s="0" t="n">
        <v>0</v>
      </c>
      <c r="CG49" s="0" t="n">
        <v>54197</v>
      </c>
      <c r="CH49" s="0" t="n">
        <v>542152</v>
      </c>
      <c r="CI49" s="0" t="n">
        <v>169</v>
      </c>
      <c r="CJ49" s="0" t="n">
        <v>0</v>
      </c>
      <c r="CK49" s="0" t="n">
        <f aca="false">SUM(B49:CJ49)</f>
        <v>1200264</v>
      </c>
      <c r="CL49" s="0" t="n">
        <f aca="false">CH49/SUM(B49:CJ49)</f>
        <v>0.451693960661988</v>
      </c>
    </row>
    <row r="50" customFormat="false" ht="12.75" hidden="false" customHeight="false" outlineLevel="0" collapsed="false">
      <c r="A50" s="0" t="n">
        <v>49</v>
      </c>
      <c r="B50" s="0" t="n">
        <v>91</v>
      </c>
      <c r="C50" s="0" t="n">
        <v>143</v>
      </c>
      <c r="D50" s="0" t="n">
        <v>234</v>
      </c>
      <c r="E50" s="0" t="n">
        <v>182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78</v>
      </c>
      <c r="M50" s="0" t="n">
        <v>52</v>
      </c>
      <c r="N50" s="0" t="n">
        <v>273</v>
      </c>
      <c r="O50" s="0" t="n">
        <v>0</v>
      </c>
      <c r="P50" s="0" t="n">
        <v>390</v>
      </c>
      <c r="Q50" s="0" t="n">
        <v>0</v>
      </c>
      <c r="R50" s="0" t="n">
        <v>78</v>
      </c>
      <c r="S50" s="0" t="n">
        <v>6253</v>
      </c>
      <c r="T50" s="0" t="n">
        <v>3237</v>
      </c>
      <c r="U50" s="0" t="n">
        <v>572</v>
      </c>
      <c r="V50" s="0" t="n">
        <v>8151</v>
      </c>
      <c r="W50" s="0" t="n">
        <v>18473</v>
      </c>
      <c r="X50" s="0" t="n">
        <v>130</v>
      </c>
      <c r="Y50" s="0" t="n">
        <v>0</v>
      </c>
      <c r="Z50" s="0" t="n">
        <v>156</v>
      </c>
      <c r="AA50" s="0" t="n">
        <v>0</v>
      </c>
      <c r="AB50" s="0" t="n">
        <v>1079</v>
      </c>
      <c r="AC50" s="0" t="n">
        <v>143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78</v>
      </c>
      <c r="AI50" s="0" t="n">
        <v>0</v>
      </c>
      <c r="AJ50" s="0" t="n">
        <v>0</v>
      </c>
      <c r="AK50" s="0" t="n">
        <v>65</v>
      </c>
      <c r="AL50" s="0" t="n">
        <v>0</v>
      </c>
      <c r="AM50" s="0" t="n">
        <v>78</v>
      </c>
      <c r="AN50" s="0" t="n">
        <v>273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91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177047</v>
      </c>
      <c r="AY50" s="0" t="n">
        <v>35828</v>
      </c>
      <c r="AZ50" s="0" t="n">
        <v>72020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455</v>
      </c>
      <c r="BM50" s="0" t="n">
        <v>78</v>
      </c>
      <c r="BN50" s="0" t="n">
        <v>78</v>
      </c>
      <c r="BO50" s="0" t="n">
        <v>0</v>
      </c>
      <c r="BP50" s="0" t="n">
        <v>130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0</v>
      </c>
      <c r="BY50" s="0" t="n">
        <v>2405</v>
      </c>
      <c r="BZ50" s="0" t="n">
        <v>0</v>
      </c>
      <c r="CA50" s="0" t="n">
        <v>65</v>
      </c>
      <c r="CB50" s="0" t="n">
        <v>130</v>
      </c>
      <c r="CC50" s="0" t="n">
        <v>130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269724</v>
      </c>
      <c r="CI50" s="0" t="n">
        <v>182</v>
      </c>
      <c r="CJ50" s="0" t="n">
        <v>0</v>
      </c>
      <c r="CK50" s="0" t="n">
        <f aca="false">SUM(B50:CJ50)</f>
        <v>598572</v>
      </c>
      <c r="CL50" s="0" t="n">
        <f aca="false">CH50/SUM(B50:CJ50)</f>
        <v>0.450612457649205</v>
      </c>
    </row>
    <row r="51" customFormat="false" ht="12.75" hidden="false" customHeight="false" outlineLevel="0" collapsed="false">
      <c r="A51" s="0" t="n">
        <v>50</v>
      </c>
      <c r="B51" s="0" t="n">
        <v>0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117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91</v>
      </c>
      <c r="S51" s="0" t="n">
        <v>1729</v>
      </c>
      <c r="T51" s="0" t="n">
        <v>819</v>
      </c>
      <c r="U51" s="0" t="n">
        <v>117</v>
      </c>
      <c r="V51" s="0" t="n">
        <v>1794</v>
      </c>
      <c r="W51" s="0" t="n">
        <v>3796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26182</v>
      </c>
      <c r="AY51" s="0" t="n">
        <v>23049</v>
      </c>
      <c r="AZ51" s="0" t="n">
        <v>8125</v>
      </c>
      <c r="BA51" s="0" t="n">
        <v>0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44824</v>
      </c>
      <c r="CI51" s="0" t="n">
        <v>0</v>
      </c>
      <c r="CJ51" s="0" t="n">
        <v>0</v>
      </c>
      <c r="CK51" s="0" t="n">
        <f aca="false">SUM(B51:CJ51)</f>
        <v>110643</v>
      </c>
      <c r="CL51" s="0" t="n">
        <f aca="false">CH51/SUM(B51:CJ51)</f>
        <v>0.405122782281753</v>
      </c>
    </row>
    <row r="52" customFormat="false" ht="12.75" hidden="false" customHeight="false" outlineLevel="0" collapsed="false">
      <c r="A52" s="0" t="n">
        <v>51</v>
      </c>
      <c r="B52" s="0" t="n">
        <v>0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221</v>
      </c>
      <c r="L52" s="0" t="n">
        <v>78</v>
      </c>
      <c r="M52" s="0" t="n">
        <v>0</v>
      </c>
      <c r="N52" s="0" t="n">
        <v>0</v>
      </c>
      <c r="O52" s="0" t="n">
        <v>0</v>
      </c>
      <c r="P52" s="0" t="n">
        <v>78</v>
      </c>
      <c r="Q52" s="0" t="n">
        <v>273</v>
      </c>
      <c r="R52" s="0" t="n">
        <v>65</v>
      </c>
      <c r="S52" s="0" t="n">
        <v>4173</v>
      </c>
      <c r="T52" s="0" t="n">
        <v>4056</v>
      </c>
      <c r="U52" s="0" t="n">
        <v>247</v>
      </c>
      <c r="V52" s="0" t="n">
        <v>12883</v>
      </c>
      <c r="W52" s="0" t="n">
        <v>9919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104</v>
      </c>
      <c r="AC52" s="0" t="n">
        <v>130</v>
      </c>
      <c r="AD52" s="0" t="n">
        <v>468</v>
      </c>
      <c r="AE52" s="0" t="n">
        <v>0</v>
      </c>
      <c r="AF52" s="0" t="n">
        <v>0</v>
      </c>
      <c r="AG52" s="0" t="n">
        <v>65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78</v>
      </c>
      <c r="AM52" s="0" t="n">
        <v>91</v>
      </c>
      <c r="AN52" s="0" t="n">
        <v>273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65</v>
      </c>
      <c r="AX52" s="0" t="n">
        <v>127478</v>
      </c>
      <c r="AY52" s="0" t="n">
        <v>33527</v>
      </c>
      <c r="AZ52" s="0" t="n">
        <v>211692</v>
      </c>
      <c r="BA52" s="0" t="n">
        <v>78</v>
      </c>
      <c r="BB52" s="0" t="n">
        <v>0</v>
      </c>
      <c r="BC52" s="0" t="n">
        <v>0</v>
      </c>
      <c r="BD52" s="0" t="n">
        <v>52</v>
      </c>
      <c r="BE52" s="0" t="n">
        <v>0</v>
      </c>
      <c r="BF52" s="0" t="n">
        <v>0</v>
      </c>
      <c r="BG52" s="0" t="n">
        <v>0</v>
      </c>
      <c r="BH52" s="0" t="n">
        <v>0</v>
      </c>
      <c r="BI52" s="0" t="n">
        <v>0</v>
      </c>
      <c r="BJ52" s="0" t="n">
        <v>0</v>
      </c>
      <c r="BK52" s="0" t="n">
        <v>0</v>
      </c>
      <c r="BL52" s="0" t="n">
        <v>0</v>
      </c>
      <c r="BM52" s="0" t="n">
        <v>0</v>
      </c>
      <c r="BN52" s="0" t="n">
        <v>234</v>
      </c>
      <c r="BO52" s="0" t="n">
        <v>0</v>
      </c>
      <c r="BP52" s="0" t="n">
        <v>0</v>
      </c>
      <c r="BQ52" s="0" t="n">
        <v>0</v>
      </c>
      <c r="BR52" s="0" t="n">
        <v>0</v>
      </c>
      <c r="BS52" s="0" t="n">
        <v>0</v>
      </c>
      <c r="BT52" s="0" t="n">
        <v>0</v>
      </c>
      <c r="BU52" s="0" t="n">
        <v>0</v>
      </c>
      <c r="BV52" s="0" t="n">
        <v>130</v>
      </c>
      <c r="BW52" s="0" t="n">
        <v>0</v>
      </c>
      <c r="BX52" s="0" t="n">
        <v>0</v>
      </c>
      <c r="BY52" s="0" t="n">
        <v>2470</v>
      </c>
      <c r="BZ52" s="0" t="n">
        <v>0</v>
      </c>
      <c r="CA52" s="0" t="n">
        <v>0</v>
      </c>
      <c r="CB52" s="0" t="n">
        <v>0</v>
      </c>
      <c r="CC52" s="0" t="n">
        <v>0</v>
      </c>
      <c r="CD52" s="0" t="n">
        <v>0</v>
      </c>
      <c r="CE52" s="0" t="n">
        <v>0</v>
      </c>
      <c r="CF52" s="0" t="n">
        <v>0</v>
      </c>
      <c r="CG52" s="0" t="n">
        <v>0</v>
      </c>
      <c r="CH52" s="0" t="n">
        <v>371969</v>
      </c>
      <c r="CI52" s="0" t="n">
        <v>0</v>
      </c>
      <c r="CJ52" s="0" t="n">
        <v>0</v>
      </c>
      <c r="CK52" s="0" t="n">
        <f aca="false">SUM(B52:CJ52)</f>
        <v>780897</v>
      </c>
      <c r="CL52" s="0" t="n">
        <f aca="false">CH52/SUM(B52:CJ52)</f>
        <v>0.476335547453762</v>
      </c>
    </row>
    <row r="53" customFormat="false" ht="12.75" hidden="false" customHeight="false" outlineLevel="0" collapsed="false">
      <c r="A53" s="0" t="n">
        <v>52</v>
      </c>
      <c r="B53" s="0" t="n">
        <v>0</v>
      </c>
      <c r="C53" s="0" t="n">
        <v>104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234</v>
      </c>
      <c r="U53" s="0" t="n">
        <v>0</v>
      </c>
      <c r="V53" s="0" t="n">
        <v>156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104</v>
      </c>
      <c r="AD53" s="0" t="n">
        <v>0</v>
      </c>
      <c r="AE53" s="0" t="n">
        <v>0</v>
      </c>
      <c r="AF53" s="0" t="n">
        <v>156</v>
      </c>
      <c r="AG53" s="0" t="n">
        <v>0</v>
      </c>
      <c r="AH53" s="0" t="n">
        <v>52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104</v>
      </c>
      <c r="AV53" s="0" t="n">
        <v>0</v>
      </c>
      <c r="AW53" s="0" t="n">
        <v>338</v>
      </c>
      <c r="AX53" s="0" t="n">
        <v>0</v>
      </c>
      <c r="AY53" s="0" t="n">
        <v>0</v>
      </c>
      <c r="AZ53" s="0" t="n">
        <v>0</v>
      </c>
      <c r="BA53" s="0" t="n">
        <v>21307</v>
      </c>
      <c r="BB53" s="0" t="n">
        <v>5239</v>
      </c>
      <c r="BC53" s="0" t="n">
        <v>91</v>
      </c>
      <c r="BD53" s="0" t="n">
        <v>78</v>
      </c>
      <c r="BE53" s="0" t="n">
        <v>598</v>
      </c>
      <c r="BF53" s="0" t="n">
        <v>117</v>
      </c>
      <c r="BG53" s="0" t="n">
        <v>117</v>
      </c>
      <c r="BH53" s="0" t="n">
        <v>156</v>
      </c>
      <c r="BI53" s="0" t="n">
        <v>0</v>
      </c>
      <c r="BJ53" s="0" t="n">
        <v>429</v>
      </c>
      <c r="BK53" s="0" t="n">
        <v>598</v>
      </c>
      <c r="BL53" s="0" t="n">
        <v>1053</v>
      </c>
      <c r="BM53" s="0" t="n">
        <v>3614</v>
      </c>
      <c r="BN53" s="0" t="n">
        <v>25688</v>
      </c>
      <c r="BO53" s="0" t="n">
        <v>52</v>
      </c>
      <c r="BP53" s="0" t="n">
        <v>260</v>
      </c>
      <c r="BQ53" s="0" t="n">
        <v>182</v>
      </c>
      <c r="BR53" s="0" t="n">
        <v>117</v>
      </c>
      <c r="BS53" s="0" t="n">
        <v>0</v>
      </c>
      <c r="BT53" s="0" t="n">
        <v>65</v>
      </c>
      <c r="BU53" s="0" t="n">
        <v>65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78</v>
      </c>
      <c r="CG53" s="0" t="n">
        <v>169</v>
      </c>
      <c r="CH53" s="0" t="n">
        <v>57447</v>
      </c>
      <c r="CI53" s="0" t="n">
        <v>0</v>
      </c>
      <c r="CJ53" s="0" t="n">
        <v>0</v>
      </c>
      <c r="CK53" s="0" t="n">
        <f aca="false">SUM(B53:CJ53)</f>
        <v>118768</v>
      </c>
      <c r="CL53" s="0" t="n">
        <f aca="false">CH53/SUM(B53:CJ53)</f>
        <v>0.483690893169877</v>
      </c>
    </row>
    <row r="54" customFormat="false" ht="12.75" hidden="false" customHeight="false" outlineLevel="0" collapsed="false">
      <c r="A54" s="0" t="n">
        <v>53</v>
      </c>
      <c r="B54" s="0" t="n">
        <v>0</v>
      </c>
      <c r="C54" s="0" t="n">
        <v>208</v>
      </c>
      <c r="D54" s="0" t="n">
        <v>0</v>
      </c>
      <c r="E54" s="0" t="n">
        <v>143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91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169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91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130</v>
      </c>
      <c r="AW54" s="0" t="n">
        <v>663</v>
      </c>
      <c r="AX54" s="0" t="n">
        <v>0</v>
      </c>
      <c r="AY54" s="0" t="n">
        <v>0</v>
      </c>
      <c r="AZ54" s="0" t="n">
        <v>0</v>
      </c>
      <c r="BA54" s="0" t="n">
        <v>5876</v>
      </c>
      <c r="BB54" s="0" t="n">
        <v>26676</v>
      </c>
      <c r="BC54" s="0" t="n">
        <v>78</v>
      </c>
      <c r="BD54" s="0" t="n">
        <v>143</v>
      </c>
      <c r="BE54" s="0" t="n">
        <v>65</v>
      </c>
      <c r="BF54" s="0" t="n">
        <v>247</v>
      </c>
      <c r="BG54" s="0" t="n">
        <v>546</v>
      </c>
      <c r="BH54" s="0" t="n">
        <v>468</v>
      </c>
      <c r="BI54" s="0" t="n">
        <v>546</v>
      </c>
      <c r="BJ54" s="0" t="n">
        <v>117</v>
      </c>
      <c r="BK54" s="0" t="n">
        <v>1339</v>
      </c>
      <c r="BL54" s="0" t="n">
        <v>2626</v>
      </c>
      <c r="BM54" s="0" t="n">
        <v>10205</v>
      </c>
      <c r="BN54" s="0" t="n">
        <v>32175</v>
      </c>
      <c r="BO54" s="0" t="n">
        <v>611</v>
      </c>
      <c r="BP54" s="0" t="n">
        <v>156</v>
      </c>
      <c r="BQ54" s="0" t="n">
        <v>0</v>
      </c>
      <c r="BR54" s="0" t="n">
        <v>0</v>
      </c>
      <c r="BS54" s="0" t="n">
        <v>0</v>
      </c>
      <c r="BT54" s="0" t="n">
        <v>0</v>
      </c>
      <c r="BU54" s="0" t="n">
        <v>0</v>
      </c>
      <c r="BV54" s="0" t="n">
        <v>0</v>
      </c>
      <c r="BW54" s="0" t="n">
        <v>0</v>
      </c>
      <c r="BX54" s="0" t="n">
        <v>0</v>
      </c>
      <c r="BY54" s="0" t="n">
        <v>0</v>
      </c>
      <c r="BZ54" s="0" t="n">
        <v>0</v>
      </c>
      <c r="CA54" s="0" t="n">
        <v>0</v>
      </c>
      <c r="CB54" s="0" t="n">
        <v>0</v>
      </c>
      <c r="CC54" s="0" t="n">
        <v>0</v>
      </c>
      <c r="CD54" s="0" t="n">
        <v>0</v>
      </c>
      <c r="CE54" s="0" t="n">
        <v>0</v>
      </c>
      <c r="CF54" s="0" t="n">
        <v>0</v>
      </c>
      <c r="CG54" s="0" t="n">
        <v>104</v>
      </c>
      <c r="CH54" s="0" t="n">
        <v>94497</v>
      </c>
      <c r="CI54" s="0" t="n">
        <v>0</v>
      </c>
      <c r="CJ54" s="0" t="n">
        <v>0</v>
      </c>
      <c r="CK54" s="0" t="n">
        <f aca="false">SUM(B54:CJ54)</f>
        <v>177970</v>
      </c>
      <c r="CL54" s="0" t="n">
        <f aca="false">CH54/SUM(B54:CJ54)</f>
        <v>0.530971512052593</v>
      </c>
    </row>
    <row r="55" customFormat="false" ht="12.75" hidden="false" customHeight="false" outlineLevel="0" collapsed="false">
      <c r="A55" s="0" t="n">
        <v>54</v>
      </c>
      <c r="B55" s="0" t="n">
        <v>0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65</v>
      </c>
      <c r="U55" s="0" t="n">
        <v>0</v>
      </c>
      <c r="V55" s="0" t="n">
        <v>65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130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624</v>
      </c>
      <c r="AR55" s="0" t="n">
        <v>0</v>
      </c>
      <c r="AS55" s="0" t="n">
        <v>91</v>
      </c>
      <c r="AT55" s="0" t="n">
        <v>0</v>
      </c>
      <c r="AU55" s="0" t="n">
        <v>0</v>
      </c>
      <c r="AV55" s="0" t="n">
        <v>104</v>
      </c>
      <c r="AW55" s="0" t="n">
        <v>546</v>
      </c>
      <c r="AX55" s="0" t="n">
        <v>0</v>
      </c>
      <c r="AY55" s="0" t="n">
        <v>0</v>
      </c>
      <c r="AZ55" s="0" t="n">
        <v>0</v>
      </c>
      <c r="BA55" s="0" t="n">
        <v>468</v>
      </c>
      <c r="BB55" s="0" t="n">
        <v>299</v>
      </c>
      <c r="BC55" s="0" t="n">
        <v>8398</v>
      </c>
      <c r="BD55" s="0" t="n">
        <v>780</v>
      </c>
      <c r="BE55" s="0" t="n">
        <v>247</v>
      </c>
      <c r="BF55" s="0" t="n">
        <v>338</v>
      </c>
      <c r="BG55" s="0" t="n">
        <v>1573</v>
      </c>
      <c r="BH55" s="0" t="n">
        <v>104</v>
      </c>
      <c r="BI55" s="0" t="n">
        <v>377</v>
      </c>
      <c r="BJ55" s="0" t="n">
        <v>0</v>
      </c>
      <c r="BK55" s="0" t="n">
        <v>481</v>
      </c>
      <c r="BL55" s="0" t="n">
        <v>1313</v>
      </c>
      <c r="BM55" s="0" t="n">
        <v>19344</v>
      </c>
      <c r="BN55" s="0" t="n">
        <v>16445</v>
      </c>
      <c r="BO55" s="0" t="n">
        <v>429</v>
      </c>
      <c r="BP55" s="0" t="n">
        <v>143</v>
      </c>
      <c r="BQ55" s="0" t="n">
        <v>0</v>
      </c>
      <c r="BR55" s="0" t="n">
        <v>52</v>
      </c>
      <c r="BS55" s="0" t="n">
        <v>0</v>
      </c>
      <c r="BT55" s="0" t="n">
        <v>208</v>
      </c>
      <c r="BU55" s="0" t="n">
        <v>273</v>
      </c>
      <c r="BV55" s="0" t="n">
        <v>0</v>
      </c>
      <c r="BW55" s="0" t="n">
        <v>0</v>
      </c>
      <c r="BX55" s="0" t="n">
        <v>0</v>
      </c>
      <c r="BY55" s="0" t="n">
        <v>0</v>
      </c>
      <c r="BZ55" s="0" t="n">
        <v>0</v>
      </c>
      <c r="CA55" s="0" t="n">
        <v>0</v>
      </c>
      <c r="CB55" s="0" t="n">
        <v>0</v>
      </c>
      <c r="CC55" s="0" t="n">
        <v>0</v>
      </c>
      <c r="CD55" s="0" t="n">
        <v>0</v>
      </c>
      <c r="CE55" s="0" t="n">
        <v>0</v>
      </c>
      <c r="CF55" s="0" t="n">
        <v>0</v>
      </c>
      <c r="CG55" s="0" t="n">
        <v>520</v>
      </c>
      <c r="CH55" s="0" t="n">
        <v>66378</v>
      </c>
      <c r="CI55" s="0" t="n">
        <v>0</v>
      </c>
      <c r="CJ55" s="0" t="n">
        <v>0</v>
      </c>
      <c r="CK55" s="0" t="n">
        <f aca="false">SUM(B55:CJ55)</f>
        <v>119795</v>
      </c>
      <c r="CL55" s="0" t="n">
        <f aca="false">CH55/SUM(B55:CJ55)</f>
        <v>0.554096581660336</v>
      </c>
    </row>
    <row r="56" customFormat="false" ht="12.75" hidden="false" customHeight="false" outlineLevel="0" collapsed="false">
      <c r="A56" s="0" t="n">
        <v>55</v>
      </c>
      <c r="B56" s="0" t="n">
        <v>0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78</v>
      </c>
      <c r="AR56" s="0" t="n">
        <v>65</v>
      </c>
      <c r="AS56" s="0" t="n">
        <v>0</v>
      </c>
      <c r="AT56" s="0" t="n">
        <v>0</v>
      </c>
      <c r="AU56" s="0" t="n">
        <v>0</v>
      </c>
      <c r="AV56" s="0" t="n">
        <v>104</v>
      </c>
      <c r="AW56" s="0" t="n">
        <v>650</v>
      </c>
      <c r="AX56" s="0" t="n">
        <v>0</v>
      </c>
      <c r="AY56" s="0" t="n">
        <v>0</v>
      </c>
      <c r="AZ56" s="0" t="n">
        <v>0</v>
      </c>
      <c r="BA56" s="0" t="n">
        <v>351</v>
      </c>
      <c r="BB56" s="0" t="n">
        <v>494</v>
      </c>
      <c r="BC56" s="0" t="n">
        <v>650</v>
      </c>
      <c r="BD56" s="0" t="n">
        <v>6695</v>
      </c>
      <c r="BE56" s="0" t="n">
        <v>481</v>
      </c>
      <c r="BF56" s="0" t="n">
        <v>338</v>
      </c>
      <c r="BG56" s="0" t="n">
        <v>390</v>
      </c>
      <c r="BH56" s="0" t="n">
        <v>0</v>
      </c>
      <c r="BI56" s="0" t="n">
        <v>104</v>
      </c>
      <c r="BJ56" s="0" t="n">
        <v>273</v>
      </c>
      <c r="BK56" s="0" t="n">
        <v>0</v>
      </c>
      <c r="BL56" s="0" t="n">
        <v>234</v>
      </c>
      <c r="BM56" s="0" t="n">
        <v>13429</v>
      </c>
      <c r="BN56" s="0" t="n">
        <v>19695</v>
      </c>
      <c r="BO56" s="0" t="n">
        <v>234</v>
      </c>
      <c r="BP56" s="0" t="n">
        <v>0</v>
      </c>
      <c r="BQ56" s="0" t="n">
        <v>0</v>
      </c>
      <c r="BR56" s="0" t="n">
        <v>78</v>
      </c>
      <c r="BS56" s="0" t="n">
        <v>0</v>
      </c>
      <c r="BT56" s="0" t="n">
        <v>65</v>
      </c>
      <c r="BU56" s="0" t="n">
        <v>325</v>
      </c>
      <c r="BV56" s="0" t="n">
        <v>0</v>
      </c>
      <c r="BW56" s="0" t="n">
        <v>0</v>
      </c>
      <c r="BX56" s="0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156</v>
      </c>
      <c r="CH56" s="0" t="n">
        <v>84006</v>
      </c>
      <c r="CI56" s="0" t="n">
        <v>0</v>
      </c>
      <c r="CJ56" s="0" t="n">
        <v>0</v>
      </c>
      <c r="CK56" s="0" t="n">
        <f aca="false">SUM(B56:CJ56)</f>
        <v>128895</v>
      </c>
      <c r="CL56" s="0" t="n">
        <f aca="false">CH56/SUM(B56:CJ56)</f>
        <v>0.651739788199698</v>
      </c>
    </row>
    <row r="57" customFormat="false" ht="12.75" hidden="false" customHeight="false" outlineLevel="0" collapsed="false">
      <c r="A57" s="0" t="n">
        <v>56</v>
      </c>
      <c r="B57" s="0" t="n">
        <v>0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91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221</v>
      </c>
      <c r="AW57" s="0" t="n">
        <v>325</v>
      </c>
      <c r="AX57" s="0" t="n">
        <v>0</v>
      </c>
      <c r="AY57" s="0" t="n">
        <v>0</v>
      </c>
      <c r="AZ57" s="0" t="n">
        <v>0</v>
      </c>
      <c r="BA57" s="0" t="n">
        <v>130</v>
      </c>
      <c r="BB57" s="0" t="n">
        <v>234</v>
      </c>
      <c r="BC57" s="0" t="n">
        <v>247</v>
      </c>
      <c r="BD57" s="0" t="n">
        <v>234</v>
      </c>
      <c r="BE57" s="0" t="n">
        <v>5278</v>
      </c>
      <c r="BF57" s="0" t="n">
        <v>1443</v>
      </c>
      <c r="BG57" s="0" t="n">
        <v>78</v>
      </c>
      <c r="BH57" s="0" t="n">
        <v>0</v>
      </c>
      <c r="BI57" s="0" t="n">
        <v>611</v>
      </c>
      <c r="BJ57" s="0" t="n">
        <v>117</v>
      </c>
      <c r="BK57" s="0" t="n">
        <v>1027</v>
      </c>
      <c r="BL57" s="0" t="n">
        <v>0</v>
      </c>
      <c r="BM57" s="0" t="n">
        <v>12922</v>
      </c>
      <c r="BN57" s="0" t="n">
        <v>16471</v>
      </c>
      <c r="BO57" s="0" t="n">
        <v>806</v>
      </c>
      <c r="BP57" s="0" t="n">
        <v>0</v>
      </c>
      <c r="BQ57" s="0" t="n">
        <v>0</v>
      </c>
      <c r="BR57" s="0" t="n">
        <v>0</v>
      </c>
      <c r="BS57" s="0" t="n">
        <v>117</v>
      </c>
      <c r="BT57" s="0" t="n">
        <v>0</v>
      </c>
      <c r="BU57" s="0" t="n">
        <v>0</v>
      </c>
      <c r="BV57" s="0" t="n">
        <v>0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81172</v>
      </c>
      <c r="CI57" s="0" t="n">
        <v>0</v>
      </c>
      <c r="CJ57" s="0" t="n">
        <v>0</v>
      </c>
      <c r="CK57" s="0" t="n">
        <f aca="false">SUM(B57:CJ57)</f>
        <v>121524</v>
      </c>
      <c r="CL57" s="0" t="n">
        <f aca="false">CH57/SUM(B57:CJ57)</f>
        <v>0.667950363714164</v>
      </c>
    </row>
    <row r="58" customFormat="false" ht="12.75" hidden="false" customHeight="false" outlineLevel="0" collapsed="false">
      <c r="A58" s="0" t="n">
        <v>57</v>
      </c>
      <c r="B58" s="0" t="n">
        <v>0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78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104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468</v>
      </c>
      <c r="AR58" s="0" t="n">
        <v>78</v>
      </c>
      <c r="AS58" s="0" t="n">
        <v>143</v>
      </c>
      <c r="AT58" s="0" t="n">
        <v>0</v>
      </c>
      <c r="AU58" s="0" t="n">
        <v>0</v>
      </c>
      <c r="AV58" s="0" t="n">
        <v>637</v>
      </c>
      <c r="AW58" s="0" t="n">
        <v>1417</v>
      </c>
      <c r="AX58" s="0" t="n">
        <v>0</v>
      </c>
      <c r="AY58" s="0" t="n">
        <v>0</v>
      </c>
      <c r="AZ58" s="0" t="n">
        <v>0</v>
      </c>
      <c r="BA58" s="0" t="n">
        <v>117</v>
      </c>
      <c r="BB58" s="0" t="n">
        <v>312</v>
      </c>
      <c r="BC58" s="0" t="n">
        <v>91</v>
      </c>
      <c r="BD58" s="0" t="n">
        <v>884</v>
      </c>
      <c r="BE58" s="0" t="n">
        <v>2145</v>
      </c>
      <c r="BF58" s="0" t="n">
        <v>8229</v>
      </c>
      <c r="BG58" s="0" t="n">
        <v>182</v>
      </c>
      <c r="BH58" s="0" t="n">
        <v>377</v>
      </c>
      <c r="BI58" s="0" t="n">
        <v>1274</v>
      </c>
      <c r="BJ58" s="0" t="n">
        <v>91</v>
      </c>
      <c r="BK58" s="0" t="n">
        <v>949</v>
      </c>
      <c r="BL58" s="0" t="n">
        <v>390</v>
      </c>
      <c r="BM58" s="0" t="n">
        <v>21203</v>
      </c>
      <c r="BN58" s="0" t="n">
        <v>13611</v>
      </c>
      <c r="BO58" s="0" t="n">
        <v>1625</v>
      </c>
      <c r="BP58" s="0" t="n">
        <v>0</v>
      </c>
      <c r="BQ58" s="0" t="n">
        <v>0</v>
      </c>
      <c r="BR58" s="0" t="n">
        <v>0</v>
      </c>
      <c r="BS58" s="0" t="n">
        <v>0</v>
      </c>
      <c r="BT58" s="0" t="n">
        <v>91</v>
      </c>
      <c r="BU58" s="0" t="n">
        <v>0</v>
      </c>
      <c r="BV58" s="0" t="n">
        <v>0</v>
      </c>
      <c r="BW58" s="0" t="n">
        <v>0</v>
      </c>
      <c r="BX58" s="0" t="n">
        <v>0</v>
      </c>
      <c r="BY58" s="0" t="n">
        <v>0</v>
      </c>
      <c r="BZ58" s="0" t="n">
        <v>0</v>
      </c>
      <c r="CA58" s="0" t="n">
        <v>0</v>
      </c>
      <c r="CB58" s="0" t="n">
        <v>0</v>
      </c>
      <c r="CC58" s="0" t="n">
        <v>0</v>
      </c>
      <c r="CD58" s="0" t="n">
        <v>0</v>
      </c>
      <c r="CE58" s="0" t="n">
        <v>0</v>
      </c>
      <c r="CF58" s="0" t="n">
        <v>0</v>
      </c>
      <c r="CG58" s="0" t="n">
        <v>104</v>
      </c>
      <c r="CH58" s="0" t="n">
        <v>93795</v>
      </c>
      <c r="CI58" s="0" t="n">
        <v>0</v>
      </c>
      <c r="CJ58" s="0" t="n">
        <v>0</v>
      </c>
      <c r="CK58" s="0" t="n">
        <f aca="false">SUM(B58:CJ58)</f>
        <v>148395</v>
      </c>
      <c r="CL58" s="0" t="n">
        <f aca="false">CH58/SUM(B58:CJ58)</f>
        <v>0.632063074901445</v>
      </c>
    </row>
    <row r="59" customFormat="false" ht="12.75" hidden="false" customHeight="false" outlineLevel="0" collapsed="false">
      <c r="A59" s="0" t="n">
        <v>58</v>
      </c>
      <c r="B59" s="0" t="n">
        <v>0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65</v>
      </c>
      <c r="AR59" s="0" t="n">
        <v>0</v>
      </c>
      <c r="AS59" s="0" t="n">
        <v>0</v>
      </c>
      <c r="AT59" s="0" t="n">
        <v>143</v>
      </c>
      <c r="AU59" s="0" t="n">
        <v>0</v>
      </c>
      <c r="AV59" s="0" t="n">
        <v>0</v>
      </c>
      <c r="AW59" s="0" t="n">
        <v>702</v>
      </c>
      <c r="AX59" s="0" t="n">
        <v>0</v>
      </c>
      <c r="AY59" s="0" t="n">
        <v>0</v>
      </c>
      <c r="AZ59" s="0" t="n">
        <v>0</v>
      </c>
      <c r="BA59" s="0" t="n">
        <v>260</v>
      </c>
      <c r="BB59" s="0" t="n">
        <v>260</v>
      </c>
      <c r="BC59" s="0" t="n">
        <v>2288</v>
      </c>
      <c r="BD59" s="0" t="n">
        <v>338</v>
      </c>
      <c r="BE59" s="0" t="n">
        <v>273</v>
      </c>
      <c r="BF59" s="0" t="n">
        <v>234</v>
      </c>
      <c r="BG59" s="0" t="n">
        <v>7917</v>
      </c>
      <c r="BH59" s="0" t="n">
        <v>91</v>
      </c>
      <c r="BI59" s="0" t="n">
        <v>130</v>
      </c>
      <c r="BJ59" s="0" t="n">
        <v>260</v>
      </c>
      <c r="BK59" s="0" t="n">
        <v>364</v>
      </c>
      <c r="BL59" s="0" t="n">
        <v>780</v>
      </c>
      <c r="BM59" s="0" t="n">
        <v>17537</v>
      </c>
      <c r="BN59" s="0" t="n">
        <v>6487</v>
      </c>
      <c r="BO59" s="0" t="n">
        <v>286</v>
      </c>
      <c r="BP59" s="0" t="n">
        <v>0</v>
      </c>
      <c r="BQ59" s="0" t="n">
        <v>104</v>
      </c>
      <c r="BR59" s="0" t="n">
        <v>195</v>
      </c>
      <c r="BS59" s="0" t="n">
        <v>0</v>
      </c>
      <c r="BT59" s="0" t="n">
        <v>195</v>
      </c>
      <c r="BU59" s="0" t="n">
        <v>351</v>
      </c>
      <c r="BV59" s="0" t="n">
        <v>0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117</v>
      </c>
      <c r="CH59" s="0" t="n">
        <v>66976</v>
      </c>
      <c r="CI59" s="0" t="n">
        <v>0</v>
      </c>
      <c r="CJ59" s="0" t="n">
        <v>0</v>
      </c>
      <c r="CK59" s="0" t="n">
        <f aca="false">SUM(B59:CJ59)</f>
        <v>106353</v>
      </c>
      <c r="CL59" s="0" t="n">
        <f aca="false">CH59/SUM(B59:CJ59)</f>
        <v>0.629751864075296</v>
      </c>
    </row>
    <row r="60" customFormat="false" ht="12.75" hidden="false" customHeight="false" outlineLevel="0" collapsed="false">
      <c r="A60" s="0" t="n">
        <v>59</v>
      </c>
      <c r="B60" s="0" t="n">
        <v>0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52</v>
      </c>
      <c r="AK60" s="0" t="n">
        <v>0</v>
      </c>
      <c r="AL60" s="0" t="n">
        <v>143</v>
      </c>
      <c r="AM60" s="0" t="n">
        <v>0</v>
      </c>
      <c r="AN60" s="0" t="n">
        <v>0</v>
      </c>
      <c r="AO60" s="0" t="n">
        <v>0</v>
      </c>
      <c r="AP60" s="0" t="n">
        <v>91</v>
      </c>
      <c r="AQ60" s="0" t="n">
        <v>845</v>
      </c>
      <c r="AR60" s="0" t="n">
        <v>0</v>
      </c>
      <c r="AS60" s="0" t="n">
        <v>104</v>
      </c>
      <c r="AT60" s="0" t="n">
        <v>0</v>
      </c>
      <c r="AU60" s="0" t="n">
        <v>130</v>
      </c>
      <c r="AV60" s="0" t="n">
        <v>130</v>
      </c>
      <c r="AW60" s="0" t="n">
        <v>2405</v>
      </c>
      <c r="AX60" s="0" t="n">
        <v>0</v>
      </c>
      <c r="AY60" s="0" t="n">
        <v>0</v>
      </c>
      <c r="AZ60" s="0" t="n">
        <v>0</v>
      </c>
      <c r="BA60" s="0" t="n">
        <v>65</v>
      </c>
      <c r="BB60" s="0" t="n">
        <v>169</v>
      </c>
      <c r="BC60" s="0" t="n">
        <v>260</v>
      </c>
      <c r="BD60" s="0" t="n">
        <v>52</v>
      </c>
      <c r="BE60" s="0" t="n">
        <v>182</v>
      </c>
      <c r="BF60" s="0" t="n">
        <v>104</v>
      </c>
      <c r="BG60" s="0" t="n">
        <v>234</v>
      </c>
      <c r="BH60" s="0" t="n">
        <v>12337</v>
      </c>
      <c r="BI60" s="0" t="n">
        <v>0</v>
      </c>
      <c r="BJ60" s="0" t="n">
        <v>78</v>
      </c>
      <c r="BK60" s="0" t="n">
        <v>130</v>
      </c>
      <c r="BL60" s="0" t="n">
        <v>689</v>
      </c>
      <c r="BM60" s="0" t="n">
        <v>17784</v>
      </c>
      <c r="BN60" s="0" t="n">
        <v>4849</v>
      </c>
      <c r="BO60" s="0" t="n">
        <v>715</v>
      </c>
      <c r="BP60" s="0" t="n">
        <v>117</v>
      </c>
      <c r="BQ60" s="0" t="n">
        <v>0</v>
      </c>
      <c r="BR60" s="0" t="n">
        <v>845</v>
      </c>
      <c r="BS60" s="0" t="n">
        <v>572</v>
      </c>
      <c r="BT60" s="0" t="n">
        <v>2093</v>
      </c>
      <c r="BU60" s="0" t="n">
        <v>7631</v>
      </c>
      <c r="BV60" s="0" t="n">
        <v>0</v>
      </c>
      <c r="BW60" s="0" t="n">
        <v>0</v>
      </c>
      <c r="BX60" s="0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390</v>
      </c>
      <c r="CE60" s="0" t="n">
        <v>130</v>
      </c>
      <c r="CF60" s="0" t="n">
        <v>0</v>
      </c>
      <c r="CG60" s="0" t="n">
        <v>1170</v>
      </c>
      <c r="CH60" s="0" t="n">
        <v>73723</v>
      </c>
      <c r="CI60" s="0" t="n">
        <v>0</v>
      </c>
      <c r="CJ60" s="0" t="n">
        <v>0</v>
      </c>
      <c r="CK60" s="0" t="n">
        <f aca="false">SUM(B60:CJ60)</f>
        <v>128219</v>
      </c>
      <c r="CL60" s="0" t="n">
        <f aca="false">CH60/SUM(B60:CJ60)</f>
        <v>0.574977187468316</v>
      </c>
    </row>
    <row r="61" customFormat="false" ht="12.75" hidden="false" customHeight="false" outlineLevel="0" collapsed="false">
      <c r="A61" s="0" t="n">
        <v>60</v>
      </c>
      <c r="B61" s="0" t="n">
        <v>0</v>
      </c>
      <c r="C61" s="0" t="n">
        <v>0</v>
      </c>
      <c r="D61" s="0" t="n">
        <v>0</v>
      </c>
      <c r="E61" s="0" t="n">
        <v>117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91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65</v>
      </c>
      <c r="AO61" s="0" t="n">
        <v>0</v>
      </c>
      <c r="AP61" s="0" t="n">
        <v>0</v>
      </c>
      <c r="AQ61" s="0" t="n">
        <v>182</v>
      </c>
      <c r="AR61" s="0" t="n">
        <v>0</v>
      </c>
      <c r="AS61" s="0" t="n">
        <v>0</v>
      </c>
      <c r="AT61" s="0" t="n">
        <v>0</v>
      </c>
      <c r="AU61" s="0" t="n">
        <v>195</v>
      </c>
      <c r="AV61" s="0" t="n">
        <v>130</v>
      </c>
      <c r="AW61" s="0" t="n">
        <v>1287</v>
      </c>
      <c r="AX61" s="0" t="n">
        <v>0</v>
      </c>
      <c r="AY61" s="0" t="n">
        <v>0</v>
      </c>
      <c r="AZ61" s="0" t="n">
        <v>0</v>
      </c>
      <c r="BA61" s="0" t="n">
        <v>91</v>
      </c>
      <c r="BB61" s="0" t="n">
        <v>169</v>
      </c>
      <c r="BC61" s="0" t="n">
        <v>0</v>
      </c>
      <c r="BD61" s="0" t="n">
        <v>91</v>
      </c>
      <c r="BE61" s="0" t="n">
        <v>364</v>
      </c>
      <c r="BF61" s="0" t="n">
        <v>104</v>
      </c>
      <c r="BG61" s="0" t="n">
        <v>0</v>
      </c>
      <c r="BH61" s="0" t="n">
        <v>0</v>
      </c>
      <c r="BI61" s="0" t="n">
        <v>9555</v>
      </c>
      <c r="BJ61" s="0" t="n">
        <v>910</v>
      </c>
      <c r="BK61" s="0" t="n">
        <v>520</v>
      </c>
      <c r="BL61" s="0" t="n">
        <v>0</v>
      </c>
      <c r="BM61" s="0" t="n">
        <v>19968</v>
      </c>
      <c r="BN61" s="0" t="n">
        <v>11674</v>
      </c>
      <c r="BO61" s="0" t="n">
        <v>4381</v>
      </c>
      <c r="BP61" s="0" t="n">
        <v>0</v>
      </c>
      <c r="BQ61" s="0" t="n">
        <v>0</v>
      </c>
      <c r="BR61" s="0" t="n">
        <v>65</v>
      </c>
      <c r="BS61" s="0" t="n">
        <v>0</v>
      </c>
      <c r="BT61" s="0" t="n">
        <v>182</v>
      </c>
      <c r="BU61" s="0" t="n">
        <v>0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689</v>
      </c>
      <c r="CH61" s="0" t="n">
        <v>49257</v>
      </c>
      <c r="CI61" s="0" t="n">
        <v>91</v>
      </c>
      <c r="CJ61" s="0" t="n">
        <v>0</v>
      </c>
      <c r="CK61" s="0" t="n">
        <f aca="false">SUM(B61:CJ61)</f>
        <v>100178</v>
      </c>
      <c r="CL61" s="0" t="n">
        <f aca="false">CH61/SUM(B61:CJ61)</f>
        <v>0.491694783285751</v>
      </c>
    </row>
    <row r="62" customFormat="false" ht="12.75" hidden="false" customHeight="false" outlineLevel="0" collapsed="false">
      <c r="A62" s="0" t="n">
        <v>61</v>
      </c>
      <c r="B62" s="0" t="n">
        <v>0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377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130</v>
      </c>
      <c r="AO62" s="0" t="n">
        <v>0</v>
      </c>
      <c r="AP62" s="0" t="n">
        <v>0</v>
      </c>
      <c r="AQ62" s="0" t="n">
        <v>52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65</v>
      </c>
      <c r="AW62" s="0" t="n">
        <v>247</v>
      </c>
      <c r="AX62" s="0" t="n">
        <v>0</v>
      </c>
      <c r="AY62" s="0" t="n">
        <v>0</v>
      </c>
      <c r="AZ62" s="0" t="n">
        <v>0</v>
      </c>
      <c r="BA62" s="0" t="n">
        <v>273</v>
      </c>
      <c r="BB62" s="0" t="n">
        <v>0</v>
      </c>
      <c r="BC62" s="0" t="n">
        <v>260</v>
      </c>
      <c r="BD62" s="0" t="n">
        <v>0</v>
      </c>
      <c r="BE62" s="0" t="n">
        <v>819</v>
      </c>
      <c r="BF62" s="0" t="n">
        <v>481</v>
      </c>
      <c r="BG62" s="0" t="n">
        <v>39</v>
      </c>
      <c r="BH62" s="0" t="n">
        <v>0</v>
      </c>
      <c r="BI62" s="0" t="n">
        <v>611</v>
      </c>
      <c r="BJ62" s="0" t="n">
        <v>8996</v>
      </c>
      <c r="BK62" s="0" t="n">
        <v>2925</v>
      </c>
      <c r="BL62" s="0" t="n">
        <v>429</v>
      </c>
      <c r="BM62" s="0" t="n">
        <v>13611</v>
      </c>
      <c r="BN62" s="0" t="n">
        <v>19682</v>
      </c>
      <c r="BO62" s="0" t="n">
        <v>1300</v>
      </c>
      <c r="BP62" s="0" t="n">
        <v>195</v>
      </c>
      <c r="BQ62" s="0" t="n">
        <v>0</v>
      </c>
      <c r="BR62" s="0" t="n">
        <v>156</v>
      </c>
      <c r="BS62" s="0" t="n">
        <v>0</v>
      </c>
      <c r="BT62" s="0" t="n">
        <v>299</v>
      </c>
      <c r="BU62" s="0" t="n">
        <v>0</v>
      </c>
      <c r="BV62" s="0" t="n">
        <v>0</v>
      </c>
      <c r="BW62" s="0" t="n">
        <v>0</v>
      </c>
      <c r="BX62" s="0" t="n">
        <v>0</v>
      </c>
      <c r="BY62" s="0" t="n">
        <v>0</v>
      </c>
      <c r="BZ62" s="0" t="n">
        <v>0</v>
      </c>
      <c r="CA62" s="0" t="n">
        <v>0</v>
      </c>
      <c r="CB62" s="0" t="n">
        <v>0</v>
      </c>
      <c r="CC62" s="0" t="n">
        <v>0</v>
      </c>
      <c r="CD62" s="0" t="n">
        <v>117</v>
      </c>
      <c r="CE62" s="0" t="n">
        <v>0</v>
      </c>
      <c r="CF62" s="0" t="n">
        <v>0</v>
      </c>
      <c r="CG62" s="0" t="n">
        <v>117</v>
      </c>
      <c r="CH62" s="0" t="n">
        <v>56628</v>
      </c>
      <c r="CI62" s="0" t="n">
        <v>0</v>
      </c>
      <c r="CJ62" s="0" t="n">
        <v>0</v>
      </c>
      <c r="CK62" s="0" t="n">
        <f aca="false">SUM(B62:CJ62)</f>
        <v>107809</v>
      </c>
      <c r="CL62" s="0" t="n">
        <f aca="false">CH62/SUM(B62:CJ62)</f>
        <v>0.525262269383818</v>
      </c>
    </row>
    <row r="63" customFormat="false" ht="12.75" hidden="false" customHeight="false" outlineLevel="0" collapsed="false">
      <c r="A63" s="0" t="n">
        <v>62</v>
      </c>
      <c r="B63" s="0" t="n">
        <v>156</v>
      </c>
      <c r="C63" s="0" t="n">
        <v>104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117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143</v>
      </c>
      <c r="AV63" s="0" t="n">
        <v>0</v>
      </c>
      <c r="AW63" s="0" t="n">
        <v>650</v>
      </c>
      <c r="AX63" s="0" t="n">
        <v>0</v>
      </c>
      <c r="AY63" s="0" t="n">
        <v>0</v>
      </c>
      <c r="AZ63" s="0" t="n">
        <v>0</v>
      </c>
      <c r="BA63" s="0" t="n">
        <v>1560</v>
      </c>
      <c r="BB63" s="0" t="n">
        <v>143</v>
      </c>
      <c r="BC63" s="0" t="n">
        <v>65</v>
      </c>
      <c r="BD63" s="0" t="n">
        <v>0</v>
      </c>
      <c r="BE63" s="0" t="n">
        <v>104</v>
      </c>
      <c r="BF63" s="0" t="n">
        <v>195</v>
      </c>
      <c r="BG63" s="0" t="n">
        <v>117</v>
      </c>
      <c r="BH63" s="0" t="n">
        <v>260</v>
      </c>
      <c r="BI63" s="0" t="n">
        <v>338</v>
      </c>
      <c r="BJ63" s="0" t="n">
        <v>806</v>
      </c>
      <c r="BK63" s="0" t="n">
        <v>19799</v>
      </c>
      <c r="BL63" s="0" t="n">
        <v>312</v>
      </c>
      <c r="BM63" s="0" t="n">
        <v>9711</v>
      </c>
      <c r="BN63" s="0" t="n">
        <v>38376</v>
      </c>
      <c r="BO63" s="0" t="n">
        <v>377</v>
      </c>
      <c r="BP63" s="0" t="n">
        <v>39</v>
      </c>
      <c r="BQ63" s="0" t="n">
        <v>0</v>
      </c>
      <c r="BR63" s="0" t="n">
        <v>0</v>
      </c>
      <c r="BS63" s="0" t="n">
        <v>0</v>
      </c>
      <c r="BT63" s="0" t="n">
        <v>0</v>
      </c>
      <c r="BU63" s="0" t="n">
        <v>0</v>
      </c>
      <c r="BV63" s="0" t="n">
        <v>0</v>
      </c>
      <c r="BW63" s="0" t="n">
        <v>0</v>
      </c>
      <c r="BX63" s="0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56004</v>
      </c>
      <c r="CI63" s="0" t="n">
        <v>104</v>
      </c>
      <c r="CJ63" s="0" t="n">
        <v>0</v>
      </c>
      <c r="CK63" s="0" t="n">
        <f aca="false">SUM(B63:CJ63)</f>
        <v>129480</v>
      </c>
      <c r="CL63" s="0" t="n">
        <f aca="false">CH63/SUM(B63:CJ63)</f>
        <v>0.432530120481928</v>
      </c>
    </row>
    <row r="64" customFormat="false" ht="12.75" hidden="false" customHeight="false" outlineLevel="0" collapsed="false">
      <c r="A64" s="0" t="n">
        <v>63</v>
      </c>
      <c r="B64" s="0" t="n">
        <v>0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39</v>
      </c>
      <c r="AI64" s="0" t="n">
        <v>0</v>
      </c>
      <c r="AJ64" s="0" t="n">
        <v>0</v>
      </c>
      <c r="AK64" s="0" t="n">
        <v>0</v>
      </c>
      <c r="AL64" s="0" t="n">
        <v>143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156</v>
      </c>
      <c r="AW64" s="0" t="n">
        <v>247</v>
      </c>
      <c r="AX64" s="0" t="n">
        <v>0</v>
      </c>
      <c r="AY64" s="0" t="n">
        <v>0</v>
      </c>
      <c r="AZ64" s="0" t="n">
        <v>0</v>
      </c>
      <c r="BA64" s="0" t="n">
        <v>936</v>
      </c>
      <c r="BB64" s="0" t="n">
        <v>2652</v>
      </c>
      <c r="BC64" s="0" t="n">
        <v>624</v>
      </c>
      <c r="BD64" s="0" t="n">
        <v>221</v>
      </c>
      <c r="BE64" s="0" t="n">
        <v>104</v>
      </c>
      <c r="BF64" s="0" t="n">
        <v>0</v>
      </c>
      <c r="BG64" s="0" t="n">
        <v>572</v>
      </c>
      <c r="BH64" s="0" t="n">
        <v>195</v>
      </c>
      <c r="BI64" s="0" t="n">
        <v>65</v>
      </c>
      <c r="BJ64" s="0" t="n">
        <v>0</v>
      </c>
      <c r="BK64" s="0" t="n">
        <v>286</v>
      </c>
      <c r="BL64" s="0" t="n">
        <v>23192</v>
      </c>
      <c r="BM64" s="0" t="n">
        <v>13468</v>
      </c>
      <c r="BN64" s="0" t="n">
        <v>17498</v>
      </c>
      <c r="BO64" s="0" t="n">
        <v>182</v>
      </c>
      <c r="BP64" s="0" t="n">
        <v>0</v>
      </c>
      <c r="BQ64" s="0" t="n">
        <v>0</v>
      </c>
      <c r="BR64" s="0" t="n">
        <v>0</v>
      </c>
      <c r="BS64" s="0" t="n">
        <v>0</v>
      </c>
      <c r="BT64" s="0" t="n">
        <v>0</v>
      </c>
      <c r="BU64" s="0" t="n">
        <v>299</v>
      </c>
      <c r="BV64" s="0" t="n">
        <v>0</v>
      </c>
      <c r="BW64" s="0" t="n">
        <v>0</v>
      </c>
      <c r="BX64" s="0" t="n">
        <v>0</v>
      </c>
      <c r="BY64" s="0" t="n">
        <v>0</v>
      </c>
      <c r="BZ64" s="0" t="n">
        <v>0</v>
      </c>
      <c r="CA64" s="0" t="n">
        <v>0</v>
      </c>
      <c r="CB64" s="0" t="n">
        <v>0</v>
      </c>
      <c r="CC64" s="0" t="n">
        <v>0</v>
      </c>
      <c r="CD64" s="0" t="n">
        <v>0</v>
      </c>
      <c r="CE64" s="0" t="n">
        <v>0</v>
      </c>
      <c r="CF64" s="0" t="n">
        <v>104</v>
      </c>
      <c r="CG64" s="0" t="n">
        <v>52</v>
      </c>
      <c r="CH64" s="0" t="n">
        <v>67782</v>
      </c>
      <c r="CI64" s="0" t="n">
        <v>78</v>
      </c>
      <c r="CJ64" s="0" t="n">
        <v>0</v>
      </c>
      <c r="CK64" s="0" t="n">
        <f aca="false">SUM(B64:CJ64)</f>
        <v>128895</v>
      </c>
      <c r="CL64" s="0" t="n">
        <f aca="false">CH64/SUM(B64:CJ64)</f>
        <v>0.525869894099849</v>
      </c>
    </row>
    <row r="65" customFormat="false" ht="12.75" hidden="false" customHeight="false" outlineLevel="0" collapsed="false">
      <c r="A65" s="0" t="n">
        <v>64</v>
      </c>
      <c r="B65" s="0" t="n">
        <v>1040</v>
      </c>
      <c r="C65" s="0" t="n">
        <v>884</v>
      </c>
      <c r="D65" s="0" t="n">
        <v>728</v>
      </c>
      <c r="E65" s="0" t="n">
        <v>208</v>
      </c>
      <c r="F65" s="0" t="n">
        <v>156</v>
      </c>
      <c r="G65" s="0" t="n">
        <v>143</v>
      </c>
      <c r="H65" s="0" t="n">
        <v>208</v>
      </c>
      <c r="I65" s="0" t="n">
        <v>0</v>
      </c>
      <c r="J65" s="0" t="n">
        <v>0</v>
      </c>
      <c r="K65" s="0" t="n">
        <v>156</v>
      </c>
      <c r="L65" s="0" t="n">
        <v>286</v>
      </c>
      <c r="M65" s="0" t="n">
        <v>91</v>
      </c>
      <c r="N65" s="0" t="n">
        <v>0</v>
      </c>
      <c r="O65" s="0" t="n">
        <v>0</v>
      </c>
      <c r="P65" s="0" t="n">
        <v>65</v>
      </c>
      <c r="Q65" s="0" t="n">
        <v>143</v>
      </c>
      <c r="R65" s="0" t="n">
        <v>130</v>
      </c>
      <c r="S65" s="0" t="n">
        <v>351</v>
      </c>
      <c r="T65" s="0" t="n">
        <v>442</v>
      </c>
      <c r="U65" s="0" t="n">
        <v>0</v>
      </c>
      <c r="V65" s="0" t="n">
        <v>585</v>
      </c>
      <c r="W65" s="0" t="n">
        <v>286</v>
      </c>
      <c r="X65" s="0" t="n">
        <v>156</v>
      </c>
      <c r="Y65" s="0" t="n">
        <v>0</v>
      </c>
      <c r="Z65" s="0" t="n">
        <v>78</v>
      </c>
      <c r="AA65" s="0" t="n">
        <v>182</v>
      </c>
      <c r="AB65" s="0" t="n">
        <v>91</v>
      </c>
      <c r="AC65" s="0" t="n">
        <v>65</v>
      </c>
      <c r="AD65" s="0" t="n">
        <v>299</v>
      </c>
      <c r="AE65" s="0" t="n">
        <v>0</v>
      </c>
      <c r="AF65" s="0" t="n">
        <v>624</v>
      </c>
      <c r="AG65" s="0" t="n">
        <v>299</v>
      </c>
      <c r="AH65" s="0" t="n">
        <v>689</v>
      </c>
      <c r="AI65" s="0" t="n">
        <v>0</v>
      </c>
      <c r="AJ65" s="0" t="n">
        <v>52</v>
      </c>
      <c r="AK65" s="0" t="n">
        <v>0</v>
      </c>
      <c r="AL65" s="0" t="n">
        <v>273</v>
      </c>
      <c r="AM65" s="0" t="n">
        <v>0</v>
      </c>
      <c r="AN65" s="0" t="n">
        <v>117</v>
      </c>
      <c r="AO65" s="0" t="n">
        <v>221</v>
      </c>
      <c r="AP65" s="0" t="n">
        <v>65</v>
      </c>
      <c r="AQ65" s="0" t="n">
        <v>4524</v>
      </c>
      <c r="AR65" s="0" t="n">
        <v>1118</v>
      </c>
      <c r="AS65" s="0" t="n">
        <v>429</v>
      </c>
      <c r="AT65" s="0" t="n">
        <v>91</v>
      </c>
      <c r="AU65" s="0" t="n">
        <v>1937</v>
      </c>
      <c r="AV65" s="0" t="n">
        <v>4095</v>
      </c>
      <c r="AW65" s="0" t="n">
        <v>50973</v>
      </c>
      <c r="AX65" s="0" t="n">
        <v>65</v>
      </c>
      <c r="AY65" s="0" t="n">
        <v>65</v>
      </c>
      <c r="AZ65" s="0" t="n">
        <v>169</v>
      </c>
      <c r="BA65" s="0" t="n">
        <v>17498</v>
      </c>
      <c r="BB65" s="0" t="n">
        <v>15054</v>
      </c>
      <c r="BC65" s="0" t="n">
        <v>19383</v>
      </c>
      <c r="BD65" s="0" t="n">
        <v>6604</v>
      </c>
      <c r="BE65" s="0" t="n">
        <v>6721</v>
      </c>
      <c r="BF65" s="0" t="n">
        <v>13234</v>
      </c>
      <c r="BG65" s="0" t="n">
        <v>14352</v>
      </c>
      <c r="BH65" s="0" t="n">
        <v>13780</v>
      </c>
      <c r="BI65" s="0" t="n">
        <v>18629</v>
      </c>
      <c r="BJ65" s="0" t="n">
        <v>11219</v>
      </c>
      <c r="BK65" s="0" t="n">
        <v>17758</v>
      </c>
      <c r="BL65" s="0" t="n">
        <v>38259</v>
      </c>
      <c r="BM65" s="0" t="n">
        <v>885469</v>
      </c>
      <c r="BN65" s="0" t="n">
        <v>337857</v>
      </c>
      <c r="BO65" s="0" t="n">
        <v>49153</v>
      </c>
      <c r="BP65" s="0" t="n">
        <v>5174</v>
      </c>
      <c r="BQ65" s="0" t="n">
        <v>221</v>
      </c>
      <c r="BR65" s="0" t="n">
        <v>1807</v>
      </c>
      <c r="BS65" s="0" t="n">
        <v>1053</v>
      </c>
      <c r="BT65" s="0" t="n">
        <v>4095</v>
      </c>
      <c r="BU65" s="0" t="n">
        <v>9750</v>
      </c>
      <c r="BV65" s="0" t="n">
        <v>65</v>
      </c>
      <c r="BW65" s="0" t="n">
        <v>0</v>
      </c>
      <c r="BX65" s="0" t="n">
        <v>0</v>
      </c>
      <c r="BY65" s="0" t="n">
        <v>0</v>
      </c>
      <c r="BZ65" s="0" t="n">
        <v>117</v>
      </c>
      <c r="CA65" s="0" t="n">
        <v>650</v>
      </c>
      <c r="CB65" s="0" t="n">
        <v>8060</v>
      </c>
      <c r="CC65" s="0" t="n">
        <v>182</v>
      </c>
      <c r="CD65" s="0" t="n">
        <v>1365</v>
      </c>
      <c r="CE65" s="0" t="n">
        <v>884</v>
      </c>
      <c r="CF65" s="0" t="n">
        <v>338</v>
      </c>
      <c r="CG65" s="0" t="n">
        <v>13793</v>
      </c>
      <c r="CH65" s="0" t="n">
        <v>1797110</v>
      </c>
      <c r="CI65" s="0" t="n">
        <v>663</v>
      </c>
      <c r="CJ65" s="0" t="n">
        <v>0</v>
      </c>
      <c r="CK65" s="0" t="n">
        <f aca="false">SUM(B65:CJ65)</f>
        <v>3382876</v>
      </c>
      <c r="CL65" s="0" t="n">
        <f aca="false">CH65/SUM(B65:CJ65)</f>
        <v>0.531237325873015</v>
      </c>
    </row>
    <row r="66" customFormat="false" ht="12.75" hidden="false" customHeight="false" outlineLevel="0" collapsed="false">
      <c r="A66" s="0" t="n">
        <v>65</v>
      </c>
      <c r="B66" s="0" t="n">
        <v>299</v>
      </c>
      <c r="C66" s="0" t="n">
        <v>1235</v>
      </c>
      <c r="D66" s="0" t="n">
        <v>351</v>
      </c>
      <c r="E66" s="0" t="n">
        <v>65</v>
      </c>
      <c r="F66" s="0" t="n">
        <v>156</v>
      </c>
      <c r="G66" s="0" t="n">
        <v>130</v>
      </c>
      <c r="H66" s="0" t="n">
        <v>65</v>
      </c>
      <c r="I66" s="0" t="n">
        <v>364</v>
      </c>
      <c r="J66" s="0" t="n">
        <v>156</v>
      </c>
      <c r="K66" s="0" t="n">
        <v>0</v>
      </c>
      <c r="L66" s="0" t="n">
        <v>234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247</v>
      </c>
      <c r="R66" s="0" t="n">
        <v>91</v>
      </c>
      <c r="S66" s="0" t="n">
        <v>559</v>
      </c>
      <c r="T66" s="0" t="n">
        <v>806</v>
      </c>
      <c r="U66" s="0" t="n">
        <v>0</v>
      </c>
      <c r="V66" s="0" t="n">
        <v>455</v>
      </c>
      <c r="W66" s="0" t="n">
        <v>1508</v>
      </c>
      <c r="X66" s="0" t="n">
        <v>0</v>
      </c>
      <c r="Y66" s="0" t="n">
        <v>0</v>
      </c>
      <c r="Z66" s="0" t="n">
        <v>0</v>
      </c>
      <c r="AA66" s="0" t="n">
        <v>507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78</v>
      </c>
      <c r="AG66" s="0" t="n">
        <v>754</v>
      </c>
      <c r="AH66" s="0" t="n">
        <v>676</v>
      </c>
      <c r="AI66" s="0" t="n">
        <v>0</v>
      </c>
      <c r="AJ66" s="0" t="n">
        <v>130</v>
      </c>
      <c r="AK66" s="0" t="n">
        <v>104</v>
      </c>
      <c r="AL66" s="0" t="n">
        <v>507</v>
      </c>
      <c r="AM66" s="0" t="n">
        <v>0</v>
      </c>
      <c r="AN66" s="0" t="n">
        <v>390</v>
      </c>
      <c r="AO66" s="0" t="n">
        <v>143</v>
      </c>
      <c r="AP66" s="0" t="n">
        <v>0</v>
      </c>
      <c r="AQ66" s="0" t="n">
        <v>598</v>
      </c>
      <c r="AR66" s="0" t="n">
        <v>117</v>
      </c>
      <c r="AS66" s="0" t="n">
        <v>0</v>
      </c>
      <c r="AT66" s="0" t="n">
        <v>65</v>
      </c>
      <c r="AU66" s="0" t="n">
        <v>1209</v>
      </c>
      <c r="AV66" s="0" t="n">
        <v>65</v>
      </c>
      <c r="AW66" s="0" t="n">
        <v>9841</v>
      </c>
      <c r="AX66" s="0" t="n">
        <v>0</v>
      </c>
      <c r="AY66" s="0" t="n">
        <v>104</v>
      </c>
      <c r="AZ66" s="0" t="n">
        <v>117</v>
      </c>
      <c r="BA66" s="0" t="n">
        <v>53742</v>
      </c>
      <c r="BB66" s="0" t="n">
        <v>27274</v>
      </c>
      <c r="BC66" s="0" t="n">
        <v>4355</v>
      </c>
      <c r="BD66" s="0" t="n">
        <v>6903</v>
      </c>
      <c r="BE66" s="0" t="n">
        <v>5122</v>
      </c>
      <c r="BF66" s="0" t="n">
        <v>4030</v>
      </c>
      <c r="BG66" s="0" t="n">
        <v>2054</v>
      </c>
      <c r="BH66" s="0" t="n">
        <v>2054</v>
      </c>
      <c r="BI66" s="0" t="n">
        <v>13494</v>
      </c>
      <c r="BJ66" s="0" t="n">
        <v>10283</v>
      </c>
      <c r="BK66" s="0" t="n">
        <v>67041</v>
      </c>
      <c r="BL66" s="0" t="n">
        <v>15015</v>
      </c>
      <c r="BM66" s="0" t="n">
        <v>230763</v>
      </c>
      <c r="BN66" s="0" t="n">
        <v>1126294</v>
      </c>
      <c r="BO66" s="0" t="n">
        <v>16029</v>
      </c>
      <c r="BP66" s="0" t="n">
        <v>14222</v>
      </c>
      <c r="BQ66" s="0" t="n">
        <v>0</v>
      </c>
      <c r="BR66" s="0" t="n">
        <v>442</v>
      </c>
      <c r="BS66" s="0" t="n">
        <v>0</v>
      </c>
      <c r="BT66" s="0" t="n">
        <v>1456</v>
      </c>
      <c r="BU66" s="0" t="n">
        <v>1820</v>
      </c>
      <c r="BV66" s="0" t="n">
        <v>0</v>
      </c>
      <c r="BW66" s="0" t="n">
        <v>0</v>
      </c>
      <c r="BX66" s="0" t="n">
        <v>0</v>
      </c>
      <c r="BY66" s="0" t="n">
        <v>0</v>
      </c>
      <c r="BZ66" s="0" t="n">
        <v>91</v>
      </c>
      <c r="CA66" s="0" t="n">
        <v>0</v>
      </c>
      <c r="CB66" s="0" t="n">
        <v>793</v>
      </c>
      <c r="CC66" s="0" t="n">
        <v>247</v>
      </c>
      <c r="CD66" s="0" t="n">
        <v>247</v>
      </c>
      <c r="CE66" s="0" t="n">
        <v>52</v>
      </c>
      <c r="CF66" s="0" t="n">
        <v>429</v>
      </c>
      <c r="CG66" s="0" t="n">
        <v>1625</v>
      </c>
      <c r="CH66" s="0" t="n">
        <v>1845064</v>
      </c>
      <c r="CI66" s="0" t="n">
        <v>1209</v>
      </c>
      <c r="CJ66" s="0" t="n">
        <v>0</v>
      </c>
      <c r="CK66" s="0" t="n">
        <f aca="false">SUM(B66:CJ66)</f>
        <v>3474276</v>
      </c>
      <c r="CL66" s="0" t="n">
        <f aca="false">CH66/SUM(B66:CJ66)</f>
        <v>0.531064313831141</v>
      </c>
    </row>
    <row r="67" customFormat="false" ht="12.75" hidden="false" customHeight="false" outlineLevel="0" collapsed="false">
      <c r="A67" s="0" t="n">
        <v>66</v>
      </c>
      <c r="B67" s="0" t="n">
        <v>78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169</v>
      </c>
      <c r="T67" s="0" t="n">
        <v>208</v>
      </c>
      <c r="U67" s="0" t="n">
        <v>0</v>
      </c>
      <c r="V67" s="0" t="n">
        <v>0</v>
      </c>
      <c r="W67" s="0" t="n">
        <v>182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78</v>
      </c>
      <c r="AH67" s="0" t="n">
        <v>221</v>
      </c>
      <c r="AI67" s="0" t="n">
        <v>0</v>
      </c>
      <c r="AJ67" s="0" t="n">
        <v>0</v>
      </c>
      <c r="AK67" s="0" t="n">
        <v>0</v>
      </c>
      <c r="AL67" s="0" t="n">
        <v>91</v>
      </c>
      <c r="AM67" s="0" t="n">
        <v>0</v>
      </c>
      <c r="AN67" s="0" t="n">
        <v>0</v>
      </c>
      <c r="AO67" s="0" t="n">
        <v>130</v>
      </c>
      <c r="AP67" s="0" t="n">
        <v>0</v>
      </c>
      <c r="AQ67" s="0" t="n">
        <v>2717</v>
      </c>
      <c r="AR67" s="0" t="n">
        <v>468</v>
      </c>
      <c r="AS67" s="0" t="n">
        <v>546</v>
      </c>
      <c r="AT67" s="0" t="n">
        <v>0</v>
      </c>
      <c r="AU67" s="0" t="n">
        <v>1235</v>
      </c>
      <c r="AV67" s="0" t="n">
        <v>2613</v>
      </c>
      <c r="AW67" s="0" t="n">
        <v>18304</v>
      </c>
      <c r="AX67" s="0" t="n">
        <v>0</v>
      </c>
      <c r="AY67" s="0" t="n">
        <v>0</v>
      </c>
      <c r="AZ67" s="0" t="n">
        <v>0</v>
      </c>
      <c r="BA67" s="0" t="n">
        <v>1183</v>
      </c>
      <c r="BB67" s="0" t="n">
        <v>663</v>
      </c>
      <c r="BC67" s="0" t="n">
        <v>325</v>
      </c>
      <c r="BD67" s="0" t="n">
        <v>247</v>
      </c>
      <c r="BE67" s="0" t="n">
        <v>1118</v>
      </c>
      <c r="BF67" s="0" t="n">
        <v>1781</v>
      </c>
      <c r="BG67" s="0" t="n">
        <v>143</v>
      </c>
      <c r="BH67" s="0" t="n">
        <v>234</v>
      </c>
      <c r="BI67" s="0" t="n">
        <v>8814</v>
      </c>
      <c r="BJ67" s="0" t="n">
        <v>429</v>
      </c>
      <c r="BK67" s="0" t="n">
        <v>442</v>
      </c>
      <c r="BL67" s="0" t="n">
        <v>910</v>
      </c>
      <c r="BM67" s="0" t="n">
        <v>53183</v>
      </c>
      <c r="BN67" s="0" t="n">
        <v>23673</v>
      </c>
      <c r="BO67" s="0" t="n">
        <v>86619</v>
      </c>
      <c r="BP67" s="0" t="n">
        <v>273</v>
      </c>
      <c r="BQ67" s="0" t="n">
        <v>0</v>
      </c>
      <c r="BR67" s="0" t="n">
        <v>234</v>
      </c>
      <c r="BS67" s="0" t="n">
        <v>0</v>
      </c>
      <c r="BT67" s="0" t="n">
        <v>117</v>
      </c>
      <c r="BU67" s="0" t="n">
        <v>143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273</v>
      </c>
      <c r="CG67" s="0" t="n">
        <v>2275</v>
      </c>
      <c r="CH67" s="0" t="n">
        <v>225030</v>
      </c>
      <c r="CI67" s="0" t="n">
        <v>156</v>
      </c>
      <c r="CJ67" s="0" t="n">
        <v>0</v>
      </c>
      <c r="CK67" s="0" t="n">
        <f aca="false">SUM(B67:CJ67)</f>
        <v>435305</v>
      </c>
      <c r="CL67" s="0" t="n">
        <f aca="false">CH67/SUM(B67:CJ67)</f>
        <v>0.516947887113633</v>
      </c>
    </row>
    <row r="68" customFormat="false" ht="12.75" hidden="false" customHeight="false" outlineLevel="0" collapsed="false">
      <c r="A68" s="0" t="n">
        <v>67</v>
      </c>
      <c r="B68" s="0" t="n">
        <v>65</v>
      </c>
      <c r="C68" s="0" t="n">
        <v>0</v>
      </c>
      <c r="D68" s="0" t="n">
        <v>52</v>
      </c>
      <c r="E68" s="0" t="n">
        <v>117</v>
      </c>
      <c r="F68" s="0" t="n">
        <v>0</v>
      </c>
      <c r="G68" s="0" t="n">
        <v>104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91</v>
      </c>
      <c r="Q68" s="0" t="n">
        <v>0</v>
      </c>
      <c r="R68" s="0" t="n">
        <v>0</v>
      </c>
      <c r="S68" s="0" t="n">
        <v>221</v>
      </c>
      <c r="T68" s="0" t="n">
        <v>117</v>
      </c>
      <c r="U68" s="0" t="n">
        <v>0</v>
      </c>
      <c r="V68" s="0" t="n">
        <v>117</v>
      </c>
      <c r="W68" s="0" t="n">
        <v>1716</v>
      </c>
      <c r="X68" s="0" t="n">
        <v>91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104</v>
      </c>
      <c r="AE68" s="0" t="n">
        <v>0</v>
      </c>
      <c r="AF68" s="0" t="n">
        <v>0</v>
      </c>
      <c r="AG68" s="0" t="n">
        <v>3861</v>
      </c>
      <c r="AH68" s="0" t="n">
        <v>338</v>
      </c>
      <c r="AI68" s="0" t="n">
        <v>0</v>
      </c>
      <c r="AJ68" s="0" t="n">
        <v>0</v>
      </c>
      <c r="AK68" s="0" t="n">
        <v>0</v>
      </c>
      <c r="AL68" s="0" t="n">
        <v>104</v>
      </c>
      <c r="AM68" s="0" t="n">
        <v>0</v>
      </c>
      <c r="AN68" s="0" t="n">
        <v>169</v>
      </c>
      <c r="AO68" s="0" t="n">
        <v>0</v>
      </c>
      <c r="AP68" s="0" t="n">
        <v>0</v>
      </c>
      <c r="AQ68" s="0" t="n">
        <v>78</v>
      </c>
      <c r="AR68" s="0" t="n">
        <v>0</v>
      </c>
      <c r="AS68" s="0" t="n">
        <v>0</v>
      </c>
      <c r="AT68" s="0" t="n">
        <v>0</v>
      </c>
      <c r="AU68" s="0" t="n">
        <v>104</v>
      </c>
      <c r="AV68" s="0" t="n">
        <v>0</v>
      </c>
      <c r="AW68" s="0" t="n">
        <v>0</v>
      </c>
      <c r="AX68" s="0" t="n">
        <v>0</v>
      </c>
      <c r="AY68" s="0" t="n">
        <v>65</v>
      </c>
      <c r="AZ68" s="0" t="n">
        <v>0</v>
      </c>
      <c r="BA68" s="0" t="n">
        <v>2899</v>
      </c>
      <c r="BB68" s="0" t="n">
        <v>1014</v>
      </c>
      <c r="BC68" s="0" t="n">
        <v>91</v>
      </c>
      <c r="BD68" s="0" t="n">
        <v>91</v>
      </c>
      <c r="BE68" s="0" t="n">
        <v>0</v>
      </c>
      <c r="BF68" s="0" t="n">
        <v>78</v>
      </c>
      <c r="BG68" s="0" t="n">
        <v>0</v>
      </c>
      <c r="BH68" s="0" t="n">
        <v>208</v>
      </c>
      <c r="BI68" s="0" t="n">
        <v>0</v>
      </c>
      <c r="BJ68" s="0" t="n">
        <v>130</v>
      </c>
      <c r="BK68" s="0" t="n">
        <v>1560</v>
      </c>
      <c r="BL68" s="0" t="n">
        <v>351</v>
      </c>
      <c r="BM68" s="0" t="n">
        <v>20527</v>
      </c>
      <c r="BN68" s="0" t="n">
        <v>45084</v>
      </c>
      <c r="BO68" s="0" t="n">
        <v>325</v>
      </c>
      <c r="BP68" s="0" t="n">
        <v>171535</v>
      </c>
      <c r="BQ68" s="0" t="n">
        <v>0</v>
      </c>
      <c r="BR68" s="0" t="n">
        <v>52</v>
      </c>
      <c r="BS68" s="0" t="n">
        <v>0</v>
      </c>
      <c r="BT68" s="0" t="n">
        <v>221</v>
      </c>
      <c r="BU68" s="0" t="n">
        <v>195</v>
      </c>
      <c r="BV68" s="0" t="n">
        <v>0</v>
      </c>
      <c r="BW68" s="0" t="n">
        <v>0</v>
      </c>
      <c r="BX68" s="0" t="n">
        <v>0</v>
      </c>
      <c r="BY68" s="0" t="n">
        <v>0</v>
      </c>
      <c r="BZ68" s="0" t="n">
        <v>0</v>
      </c>
      <c r="CA68" s="0" t="n">
        <v>286</v>
      </c>
      <c r="CB68" s="0" t="n">
        <v>195</v>
      </c>
      <c r="CC68" s="0" t="n">
        <v>338</v>
      </c>
      <c r="CD68" s="0" t="n">
        <v>91</v>
      </c>
      <c r="CE68" s="0" t="n">
        <v>0</v>
      </c>
      <c r="CF68" s="0" t="n">
        <v>17602</v>
      </c>
      <c r="CG68" s="0" t="n">
        <v>0</v>
      </c>
      <c r="CH68" s="0" t="n">
        <v>254098</v>
      </c>
      <c r="CI68" s="0" t="n">
        <v>0</v>
      </c>
      <c r="CJ68" s="0" t="n">
        <v>0</v>
      </c>
      <c r="CK68" s="0" t="n">
        <f aca="false">SUM(B68:CJ68)</f>
        <v>524485</v>
      </c>
      <c r="CL68" s="0" t="n">
        <f aca="false">CH68/SUM(B68:CJ68)</f>
        <v>0.484471433882761</v>
      </c>
    </row>
    <row r="69" customFormat="false" ht="12.75" hidden="false" customHeight="false" outlineLevel="0" collapsed="false">
      <c r="A69" s="0" t="n">
        <v>68</v>
      </c>
      <c r="B69" s="0" t="n">
        <v>0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91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611</v>
      </c>
      <c r="AR69" s="0" t="n">
        <v>0</v>
      </c>
      <c r="AS69" s="0" t="n">
        <v>0</v>
      </c>
      <c r="AT69" s="0" t="n">
        <v>0</v>
      </c>
      <c r="AU69" s="0" t="n">
        <v>130</v>
      </c>
      <c r="AV69" s="0" t="n">
        <v>0</v>
      </c>
      <c r="AW69" s="0" t="n">
        <v>3718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117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455</v>
      </c>
      <c r="BI69" s="0" t="n">
        <v>247</v>
      </c>
      <c r="BJ69" s="0" t="n">
        <v>0</v>
      </c>
      <c r="BK69" s="0" t="n">
        <v>247</v>
      </c>
      <c r="BL69" s="0" t="n">
        <v>0</v>
      </c>
      <c r="BM69" s="0" t="n">
        <v>3120</v>
      </c>
      <c r="BN69" s="0" t="n">
        <v>1885</v>
      </c>
      <c r="BO69" s="0" t="n">
        <v>1495</v>
      </c>
      <c r="BP69" s="0" t="n">
        <v>0</v>
      </c>
      <c r="BQ69" s="0" t="n">
        <v>12935</v>
      </c>
      <c r="BR69" s="0" t="n">
        <v>8320</v>
      </c>
      <c r="BS69" s="0" t="n">
        <v>338</v>
      </c>
      <c r="BT69" s="0" t="n">
        <v>1222</v>
      </c>
      <c r="BU69" s="0" t="n">
        <v>3796</v>
      </c>
      <c r="BV69" s="0" t="n">
        <v>0</v>
      </c>
      <c r="BW69" s="0" t="n">
        <v>0</v>
      </c>
      <c r="BX69" s="0" t="n">
        <v>0</v>
      </c>
      <c r="BY69" s="0" t="n">
        <v>0</v>
      </c>
      <c r="BZ69" s="0" t="n">
        <v>0</v>
      </c>
      <c r="CA69" s="0" t="n">
        <v>0</v>
      </c>
      <c r="CB69" s="0" t="n">
        <v>0</v>
      </c>
      <c r="CC69" s="0" t="n">
        <v>0</v>
      </c>
      <c r="CD69" s="0" t="n">
        <v>8450</v>
      </c>
      <c r="CE69" s="0" t="n">
        <v>2301</v>
      </c>
      <c r="CF69" s="0" t="n">
        <v>0</v>
      </c>
      <c r="CG69" s="0" t="n">
        <v>962</v>
      </c>
      <c r="CH69" s="0" t="n">
        <v>67470</v>
      </c>
      <c r="CI69" s="0" t="n">
        <v>117</v>
      </c>
      <c r="CJ69" s="0" t="n">
        <v>0</v>
      </c>
      <c r="CK69" s="0" t="n">
        <f aca="false">SUM(B69:CJ69)</f>
        <v>118027</v>
      </c>
      <c r="CL69" s="0" t="n">
        <f aca="false">CH69/SUM(B69:CJ69)</f>
        <v>0.571648860006609</v>
      </c>
    </row>
    <row r="70" customFormat="false" ht="12.75" hidden="false" customHeight="false" outlineLevel="0" collapsed="false">
      <c r="A70" s="0" t="n">
        <v>69</v>
      </c>
      <c r="B70" s="0" t="n">
        <v>247</v>
      </c>
      <c r="C70" s="0" t="n">
        <v>247</v>
      </c>
      <c r="D70" s="0" t="n">
        <v>260</v>
      </c>
      <c r="E70" s="0" t="n">
        <v>39</v>
      </c>
      <c r="F70" s="0" t="n">
        <v>0</v>
      </c>
      <c r="G70" s="0" t="n">
        <v>0</v>
      </c>
      <c r="H70" s="0" t="n">
        <v>104</v>
      </c>
      <c r="I70" s="0" t="n">
        <v>0</v>
      </c>
      <c r="J70" s="0" t="n">
        <v>104</v>
      </c>
      <c r="K70" s="0" t="n">
        <v>130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143</v>
      </c>
      <c r="W70" s="0" t="n">
        <v>104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104</v>
      </c>
      <c r="AE70" s="0" t="n">
        <v>0</v>
      </c>
      <c r="AF70" s="0" t="n">
        <v>104</v>
      </c>
      <c r="AG70" s="0" t="n">
        <v>104</v>
      </c>
      <c r="AH70" s="0" t="n">
        <v>2678</v>
      </c>
      <c r="AI70" s="0" t="n">
        <v>403</v>
      </c>
      <c r="AJ70" s="0" t="n">
        <v>611</v>
      </c>
      <c r="AK70" s="0" t="n">
        <v>0</v>
      </c>
      <c r="AL70" s="0" t="n">
        <v>3315</v>
      </c>
      <c r="AM70" s="0" t="n">
        <v>0</v>
      </c>
      <c r="AN70" s="0" t="n">
        <v>156</v>
      </c>
      <c r="AO70" s="0" t="n">
        <v>0</v>
      </c>
      <c r="AP70" s="0" t="n">
        <v>91</v>
      </c>
      <c r="AQ70" s="0" t="n">
        <v>3809</v>
      </c>
      <c r="AR70" s="0" t="n">
        <v>260</v>
      </c>
      <c r="AS70" s="0" t="n">
        <v>559</v>
      </c>
      <c r="AT70" s="0" t="n">
        <v>897</v>
      </c>
      <c r="AU70" s="0" t="n">
        <v>1131</v>
      </c>
      <c r="AV70" s="0" t="n">
        <v>806</v>
      </c>
      <c r="AW70" s="0" t="n">
        <v>16822</v>
      </c>
      <c r="AX70" s="0" t="n">
        <v>0</v>
      </c>
      <c r="AY70" s="0" t="n">
        <v>0</v>
      </c>
      <c r="AZ70" s="0" t="n">
        <v>0</v>
      </c>
      <c r="BA70" s="0" t="n">
        <v>247</v>
      </c>
      <c r="BB70" s="0" t="n">
        <v>520</v>
      </c>
      <c r="BC70" s="0" t="n">
        <v>0</v>
      </c>
      <c r="BD70" s="0" t="n">
        <v>182</v>
      </c>
      <c r="BE70" s="0" t="n">
        <v>65</v>
      </c>
      <c r="BF70" s="0" t="n">
        <v>481</v>
      </c>
      <c r="BG70" s="0" t="n">
        <v>247</v>
      </c>
      <c r="BH70" s="0" t="n">
        <v>1469</v>
      </c>
      <c r="BI70" s="0" t="n">
        <v>728</v>
      </c>
      <c r="BJ70" s="0" t="n">
        <v>143</v>
      </c>
      <c r="BK70" s="0" t="n">
        <v>455</v>
      </c>
      <c r="BL70" s="0" t="n">
        <v>637</v>
      </c>
      <c r="BM70" s="0" t="n">
        <v>11141</v>
      </c>
      <c r="BN70" s="0" t="n">
        <v>4927</v>
      </c>
      <c r="BO70" s="0" t="n">
        <v>2496</v>
      </c>
      <c r="BP70" s="0" t="n">
        <v>117</v>
      </c>
      <c r="BQ70" s="0" t="n">
        <v>3302</v>
      </c>
      <c r="BR70" s="0" t="n">
        <v>216515</v>
      </c>
      <c r="BS70" s="0" t="n">
        <v>1287</v>
      </c>
      <c r="BT70" s="0" t="n">
        <v>3172</v>
      </c>
      <c r="BU70" s="0" t="n">
        <v>12818</v>
      </c>
      <c r="BV70" s="0" t="n">
        <v>0</v>
      </c>
      <c r="BW70" s="0" t="n">
        <v>0</v>
      </c>
      <c r="BX70" s="0" t="n">
        <v>0</v>
      </c>
      <c r="BY70" s="0" t="n">
        <v>104</v>
      </c>
      <c r="BZ70" s="0" t="n">
        <v>143</v>
      </c>
      <c r="CA70" s="0" t="n">
        <v>0</v>
      </c>
      <c r="CB70" s="0" t="n">
        <v>0</v>
      </c>
      <c r="CC70" s="0" t="n">
        <v>104</v>
      </c>
      <c r="CD70" s="0" t="n">
        <v>23660</v>
      </c>
      <c r="CE70" s="0" t="n">
        <v>4095</v>
      </c>
      <c r="CF70" s="0" t="n">
        <v>0</v>
      </c>
      <c r="CG70" s="0" t="n">
        <v>8879</v>
      </c>
      <c r="CH70" s="0" t="n">
        <v>497731</v>
      </c>
      <c r="CI70" s="0" t="n">
        <v>0</v>
      </c>
      <c r="CJ70" s="0" t="n">
        <v>0</v>
      </c>
      <c r="CK70" s="0" t="n">
        <f aca="false">SUM(B70:CJ70)</f>
        <v>828893</v>
      </c>
      <c r="CL70" s="0" t="n">
        <f aca="false">CH70/SUM(B70:CJ70)</f>
        <v>0.600476780477094</v>
      </c>
    </row>
    <row r="71" customFormat="false" ht="12.75" hidden="false" customHeight="false" outlineLevel="0" collapsed="false">
      <c r="A71" s="0" t="n">
        <v>70</v>
      </c>
      <c r="B71" s="0" t="n">
        <v>0</v>
      </c>
      <c r="C71" s="0" t="n">
        <v>104</v>
      </c>
      <c r="D71" s="0" t="n">
        <v>117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52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78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1625</v>
      </c>
      <c r="AX71" s="0" t="n">
        <v>0</v>
      </c>
      <c r="AY71" s="0" t="n">
        <v>0</v>
      </c>
      <c r="AZ71" s="0" t="n">
        <v>0</v>
      </c>
      <c r="BA71" s="0" t="n">
        <v>91</v>
      </c>
      <c r="BB71" s="0" t="n">
        <v>286</v>
      </c>
      <c r="BC71" s="0" t="n">
        <v>507</v>
      </c>
      <c r="BD71" s="0" t="n">
        <v>234</v>
      </c>
      <c r="BE71" s="0" t="n">
        <v>0</v>
      </c>
      <c r="BF71" s="0" t="n">
        <v>0</v>
      </c>
      <c r="BG71" s="0" t="n">
        <v>780</v>
      </c>
      <c r="BH71" s="0" t="n">
        <v>3120</v>
      </c>
      <c r="BI71" s="0" t="n">
        <v>0</v>
      </c>
      <c r="BJ71" s="0" t="n">
        <v>286</v>
      </c>
      <c r="BK71" s="0" t="n">
        <v>260</v>
      </c>
      <c r="BL71" s="0" t="n">
        <v>936</v>
      </c>
      <c r="BM71" s="0" t="n">
        <v>7852</v>
      </c>
      <c r="BN71" s="0" t="n">
        <v>2574</v>
      </c>
      <c r="BO71" s="0" t="n">
        <v>104</v>
      </c>
      <c r="BP71" s="0" t="n">
        <v>0</v>
      </c>
      <c r="BQ71" s="0" t="n">
        <v>0</v>
      </c>
      <c r="BR71" s="0" t="n">
        <v>1456</v>
      </c>
      <c r="BS71" s="0" t="n">
        <v>10049</v>
      </c>
      <c r="BT71" s="0" t="n">
        <v>4628</v>
      </c>
      <c r="BU71" s="0" t="n">
        <v>10933</v>
      </c>
      <c r="BV71" s="0" t="n">
        <v>0</v>
      </c>
      <c r="BW71" s="0" t="n">
        <v>0</v>
      </c>
      <c r="BX71" s="0" t="n">
        <v>0</v>
      </c>
      <c r="BY71" s="0" t="n">
        <v>0</v>
      </c>
      <c r="BZ71" s="0" t="n">
        <v>0</v>
      </c>
      <c r="CA71" s="0" t="n">
        <v>0</v>
      </c>
      <c r="CB71" s="0" t="n">
        <v>0</v>
      </c>
      <c r="CC71" s="0" t="n">
        <v>0</v>
      </c>
      <c r="CD71" s="0" t="n">
        <v>663</v>
      </c>
      <c r="CE71" s="0" t="n">
        <v>845</v>
      </c>
      <c r="CF71" s="0" t="n">
        <v>0</v>
      </c>
      <c r="CG71" s="0" t="n">
        <v>78</v>
      </c>
      <c r="CH71" s="0" t="n">
        <v>52624</v>
      </c>
      <c r="CI71" s="0" t="n">
        <v>0</v>
      </c>
      <c r="CJ71" s="0" t="n">
        <v>0</v>
      </c>
      <c r="CK71" s="0" t="n">
        <f aca="false">SUM(B71:CJ71)</f>
        <v>100282</v>
      </c>
      <c r="CL71" s="0" t="n">
        <f aca="false">CH71/SUM(B71:CJ71)</f>
        <v>0.524760176302826</v>
      </c>
    </row>
    <row r="72" customFormat="false" ht="12.75" hidden="false" customHeight="false" outlineLevel="0" collapsed="false">
      <c r="A72" s="0" t="n">
        <v>71</v>
      </c>
      <c r="B72" s="0" t="n">
        <v>0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156</v>
      </c>
      <c r="Q72" s="0" t="n">
        <v>0</v>
      </c>
      <c r="R72" s="0" t="n">
        <v>0</v>
      </c>
      <c r="S72" s="0" t="n">
        <v>0</v>
      </c>
      <c r="T72" s="0" t="n">
        <v>247</v>
      </c>
      <c r="U72" s="0" t="n">
        <v>0</v>
      </c>
      <c r="V72" s="0" t="n">
        <v>0</v>
      </c>
      <c r="W72" s="0" t="n">
        <v>0</v>
      </c>
      <c r="X72" s="0" t="n">
        <v>130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494</v>
      </c>
      <c r="AR72" s="0" t="n">
        <v>143</v>
      </c>
      <c r="AS72" s="0" t="n">
        <v>221</v>
      </c>
      <c r="AT72" s="0" t="n">
        <v>0</v>
      </c>
      <c r="AU72" s="0" t="n">
        <v>78</v>
      </c>
      <c r="AV72" s="0" t="n">
        <v>0</v>
      </c>
      <c r="AW72" s="0" t="n">
        <v>3198</v>
      </c>
      <c r="AX72" s="0" t="n">
        <v>0</v>
      </c>
      <c r="AY72" s="0" t="n">
        <v>0</v>
      </c>
      <c r="AZ72" s="0" t="n">
        <v>0</v>
      </c>
      <c r="BA72" s="0" t="n">
        <v>91</v>
      </c>
      <c r="BB72" s="0" t="n">
        <v>0</v>
      </c>
      <c r="BC72" s="0" t="n">
        <v>663</v>
      </c>
      <c r="BD72" s="0" t="n">
        <v>65</v>
      </c>
      <c r="BE72" s="0" t="n">
        <v>143</v>
      </c>
      <c r="BF72" s="0" t="n">
        <v>0</v>
      </c>
      <c r="BG72" s="0" t="n">
        <v>546</v>
      </c>
      <c r="BH72" s="0" t="n">
        <v>3289</v>
      </c>
      <c r="BI72" s="0" t="n">
        <v>91</v>
      </c>
      <c r="BJ72" s="0" t="n">
        <v>0</v>
      </c>
      <c r="BK72" s="0" t="n">
        <v>0</v>
      </c>
      <c r="BL72" s="0" t="n">
        <v>143</v>
      </c>
      <c r="BM72" s="0" t="n">
        <v>9672</v>
      </c>
      <c r="BN72" s="0" t="n">
        <v>2990</v>
      </c>
      <c r="BO72" s="0" t="n">
        <v>312</v>
      </c>
      <c r="BP72" s="0" t="n">
        <v>0</v>
      </c>
      <c r="BQ72" s="0" t="n">
        <v>0</v>
      </c>
      <c r="BR72" s="0" t="n">
        <v>1729</v>
      </c>
      <c r="BS72" s="0" t="n">
        <v>3341</v>
      </c>
      <c r="BT72" s="0" t="n">
        <v>13234</v>
      </c>
      <c r="BU72" s="0" t="n">
        <v>15366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0</v>
      </c>
      <c r="CA72" s="0" t="n">
        <v>0</v>
      </c>
      <c r="CB72" s="0" t="n">
        <v>0</v>
      </c>
      <c r="CC72" s="0" t="n">
        <v>0</v>
      </c>
      <c r="CD72" s="0" t="n">
        <v>1001</v>
      </c>
      <c r="CE72" s="0" t="n">
        <v>234</v>
      </c>
      <c r="CF72" s="0" t="n">
        <v>0</v>
      </c>
      <c r="CG72" s="0" t="n">
        <v>455</v>
      </c>
      <c r="CH72" s="0" t="n">
        <v>77246</v>
      </c>
      <c r="CI72" s="0" t="n">
        <v>0</v>
      </c>
      <c r="CJ72" s="0" t="n">
        <v>0</v>
      </c>
      <c r="CK72" s="0" t="n">
        <f aca="false">SUM(B72:CJ72)</f>
        <v>135278</v>
      </c>
      <c r="CL72" s="0" t="n">
        <f aca="false">CH72/SUM(B72:CJ72)</f>
        <v>0.571016721122429</v>
      </c>
    </row>
    <row r="73" customFormat="false" ht="12.75" hidden="false" customHeight="false" outlineLevel="0" collapsed="false">
      <c r="A73" s="0" t="n">
        <v>72</v>
      </c>
      <c r="B73" s="0" t="n">
        <v>195</v>
      </c>
      <c r="C73" s="0" t="n">
        <v>442</v>
      </c>
      <c r="D73" s="0" t="n">
        <v>338</v>
      </c>
      <c r="E73" s="0" t="n">
        <v>208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104</v>
      </c>
      <c r="L73" s="0" t="n">
        <v>78</v>
      </c>
      <c r="M73" s="0" t="n">
        <v>260</v>
      </c>
      <c r="N73" s="0" t="n">
        <v>0</v>
      </c>
      <c r="O73" s="0" t="n">
        <v>117</v>
      </c>
      <c r="P73" s="0" t="n">
        <v>0</v>
      </c>
      <c r="Q73" s="0" t="n">
        <v>0</v>
      </c>
      <c r="R73" s="0" t="n">
        <v>0</v>
      </c>
      <c r="S73" s="0" t="n">
        <v>52</v>
      </c>
      <c r="T73" s="0" t="n">
        <v>26</v>
      </c>
      <c r="U73" s="0" t="n">
        <v>0</v>
      </c>
      <c r="V73" s="0" t="n">
        <v>78</v>
      </c>
      <c r="W73" s="0" t="n">
        <v>0</v>
      </c>
      <c r="X73" s="0" t="n">
        <v>0</v>
      </c>
      <c r="Y73" s="0" t="n">
        <v>65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117</v>
      </c>
      <c r="AF73" s="0" t="n">
        <v>0</v>
      </c>
      <c r="AG73" s="0" t="n">
        <v>221</v>
      </c>
      <c r="AH73" s="0" t="n">
        <v>273</v>
      </c>
      <c r="AI73" s="0" t="n">
        <v>0</v>
      </c>
      <c r="AJ73" s="0" t="n">
        <v>0</v>
      </c>
      <c r="AK73" s="0" t="n">
        <v>351</v>
      </c>
      <c r="AL73" s="0" t="n">
        <v>91</v>
      </c>
      <c r="AM73" s="0" t="n">
        <v>0</v>
      </c>
      <c r="AN73" s="0" t="n">
        <v>208</v>
      </c>
      <c r="AO73" s="0" t="n">
        <v>0</v>
      </c>
      <c r="AP73" s="0" t="n">
        <v>0</v>
      </c>
      <c r="AQ73" s="0" t="n">
        <v>1521</v>
      </c>
      <c r="AR73" s="0" t="n">
        <v>351</v>
      </c>
      <c r="AS73" s="0" t="n">
        <v>403</v>
      </c>
      <c r="AT73" s="0" t="n">
        <v>0</v>
      </c>
      <c r="AU73" s="0" t="n">
        <v>767</v>
      </c>
      <c r="AV73" s="0" t="n">
        <v>247</v>
      </c>
      <c r="AW73" s="0" t="n">
        <v>13858</v>
      </c>
      <c r="AX73" s="0" t="n">
        <v>65</v>
      </c>
      <c r="AY73" s="0" t="n">
        <v>0</v>
      </c>
      <c r="AZ73" s="0" t="n">
        <v>0</v>
      </c>
      <c r="BA73" s="0" t="n">
        <v>793</v>
      </c>
      <c r="BB73" s="0" t="n">
        <v>1625</v>
      </c>
      <c r="BC73" s="0" t="n">
        <v>1820</v>
      </c>
      <c r="BD73" s="0" t="n">
        <v>949</v>
      </c>
      <c r="BE73" s="0" t="n">
        <v>351</v>
      </c>
      <c r="BF73" s="0" t="n">
        <v>624</v>
      </c>
      <c r="BG73" s="0" t="n">
        <v>1924</v>
      </c>
      <c r="BH73" s="0" t="n">
        <v>9815</v>
      </c>
      <c r="BI73" s="0" t="n">
        <v>598</v>
      </c>
      <c r="BJ73" s="0" t="n">
        <v>0</v>
      </c>
      <c r="BK73" s="0" t="n">
        <v>390</v>
      </c>
      <c r="BL73" s="0" t="n">
        <v>1599</v>
      </c>
      <c r="BM73" s="0" t="n">
        <v>40924</v>
      </c>
      <c r="BN73" s="0" t="n">
        <v>16939</v>
      </c>
      <c r="BO73" s="0" t="n">
        <v>2301</v>
      </c>
      <c r="BP73" s="0" t="n">
        <v>221</v>
      </c>
      <c r="BQ73" s="0" t="n">
        <v>1027</v>
      </c>
      <c r="BR73" s="0" t="n">
        <v>13910</v>
      </c>
      <c r="BS73" s="0" t="n">
        <v>11947</v>
      </c>
      <c r="BT73" s="0" t="n">
        <v>19747</v>
      </c>
      <c r="BU73" s="0" t="n">
        <v>228774</v>
      </c>
      <c r="BV73" s="0" t="n">
        <v>0</v>
      </c>
      <c r="BW73" s="0" t="n">
        <v>0</v>
      </c>
      <c r="BX73" s="0" t="n">
        <v>0</v>
      </c>
      <c r="BY73" s="0" t="n">
        <v>0</v>
      </c>
      <c r="BZ73" s="0" t="n">
        <v>312</v>
      </c>
      <c r="CA73" s="0" t="n">
        <v>247</v>
      </c>
      <c r="CB73" s="0" t="n">
        <v>1391</v>
      </c>
      <c r="CC73" s="0" t="n">
        <v>0</v>
      </c>
      <c r="CD73" s="0" t="n">
        <v>12220</v>
      </c>
      <c r="CE73" s="0" t="n">
        <v>41964</v>
      </c>
      <c r="CF73" s="0" t="n">
        <v>104</v>
      </c>
      <c r="CG73" s="0" t="n">
        <v>4017</v>
      </c>
      <c r="CH73" s="0" t="n">
        <v>595062</v>
      </c>
      <c r="CI73" s="0" t="n">
        <v>0</v>
      </c>
      <c r="CJ73" s="0" t="n">
        <v>0</v>
      </c>
      <c r="CK73" s="0" t="n">
        <f aca="false">SUM(B73:CJ73)</f>
        <v>1032031</v>
      </c>
      <c r="CL73" s="0" t="n">
        <f aca="false">CH73/SUM(B73:CJ73)</f>
        <v>0.576593144973358</v>
      </c>
    </row>
    <row r="74" customFormat="false" ht="12.75" hidden="false" customHeight="false" outlineLevel="0" collapsed="false">
      <c r="A74" s="0" t="n">
        <v>73</v>
      </c>
      <c r="B74" s="0" t="n">
        <v>39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1521</v>
      </c>
      <c r="K74" s="0" t="n">
        <v>0</v>
      </c>
      <c r="L74" s="0" t="n">
        <v>0</v>
      </c>
      <c r="M74" s="0" t="n">
        <v>91</v>
      </c>
      <c r="N74" s="0" t="n">
        <v>0</v>
      </c>
      <c r="O74" s="0" t="n">
        <v>598</v>
      </c>
      <c r="P74" s="0" t="n">
        <v>585</v>
      </c>
      <c r="Q74" s="0" t="n">
        <v>5122</v>
      </c>
      <c r="R74" s="0" t="n">
        <v>2327</v>
      </c>
      <c r="S74" s="0" t="n">
        <v>6435</v>
      </c>
      <c r="T74" s="0" t="n">
        <v>4433</v>
      </c>
      <c r="U74" s="0" t="n">
        <v>1326</v>
      </c>
      <c r="V74" s="0" t="n">
        <v>3913</v>
      </c>
      <c r="W74" s="0" t="n">
        <v>1040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52</v>
      </c>
      <c r="AD74" s="0" t="n">
        <v>104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169</v>
      </c>
      <c r="AX74" s="0" t="n">
        <v>117</v>
      </c>
      <c r="AY74" s="0" t="n">
        <v>91</v>
      </c>
      <c r="AZ74" s="0" t="n">
        <v>286</v>
      </c>
      <c r="BA74" s="0" t="n">
        <v>0</v>
      </c>
      <c r="BB74" s="0" t="n">
        <v>0</v>
      </c>
      <c r="BC74" s="0" t="n">
        <v>0</v>
      </c>
      <c r="BD74" s="0" t="n">
        <v>78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0</v>
      </c>
      <c r="BO74" s="0" t="n">
        <v>0</v>
      </c>
      <c r="BP74" s="0" t="n">
        <v>0</v>
      </c>
      <c r="BQ74" s="0" t="n">
        <v>0</v>
      </c>
      <c r="BR74" s="0" t="n">
        <v>0</v>
      </c>
      <c r="BS74" s="0" t="n">
        <v>0</v>
      </c>
      <c r="BT74" s="0" t="n">
        <v>0</v>
      </c>
      <c r="BU74" s="0" t="n">
        <v>0</v>
      </c>
      <c r="BV74" s="0" t="n">
        <v>21268</v>
      </c>
      <c r="BW74" s="0" t="n">
        <v>0</v>
      </c>
      <c r="BX74" s="0" t="n">
        <v>0</v>
      </c>
      <c r="BY74" s="0" t="n">
        <v>0</v>
      </c>
      <c r="BZ74" s="0" t="n">
        <v>0</v>
      </c>
      <c r="CA74" s="0" t="n">
        <v>0</v>
      </c>
      <c r="CB74" s="0" t="n">
        <v>0</v>
      </c>
      <c r="CC74" s="0" t="n">
        <v>0</v>
      </c>
      <c r="CD74" s="0" t="n">
        <v>0</v>
      </c>
      <c r="CE74" s="0" t="n">
        <v>0</v>
      </c>
      <c r="CF74" s="0" t="n">
        <v>0</v>
      </c>
      <c r="CG74" s="0" t="n">
        <v>0</v>
      </c>
      <c r="CH74" s="0" t="n">
        <v>58201</v>
      </c>
      <c r="CI74" s="0" t="n">
        <v>299</v>
      </c>
      <c r="CJ74" s="0" t="n">
        <v>0</v>
      </c>
      <c r="CK74" s="0" t="n">
        <f aca="false">SUM(B74:CJ74)</f>
        <v>108095</v>
      </c>
      <c r="CL74" s="0" t="n">
        <f aca="false">CH74/SUM(B74:CJ74)</f>
        <v>0.538424533974744</v>
      </c>
    </row>
    <row r="75" customFormat="false" ht="12.75" hidden="false" customHeight="false" outlineLevel="0" collapsed="false">
      <c r="A75" s="0" t="n">
        <v>74</v>
      </c>
      <c r="B75" s="0" t="n">
        <v>0</v>
      </c>
      <c r="C75" s="0" t="n">
        <v>78</v>
      </c>
      <c r="D75" s="0" t="n">
        <v>0</v>
      </c>
      <c r="E75" s="0" t="n">
        <v>0</v>
      </c>
      <c r="F75" s="0" t="n">
        <v>0</v>
      </c>
      <c r="G75" s="0" t="n">
        <v>65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117</v>
      </c>
      <c r="M75" s="0" t="n">
        <v>78</v>
      </c>
      <c r="N75" s="0" t="n">
        <v>117</v>
      </c>
      <c r="O75" s="0" t="n">
        <v>169</v>
      </c>
      <c r="P75" s="0" t="n">
        <v>962</v>
      </c>
      <c r="Q75" s="0" t="n">
        <v>208</v>
      </c>
      <c r="R75" s="0" t="n">
        <v>1638</v>
      </c>
      <c r="S75" s="0" t="n">
        <v>8060</v>
      </c>
      <c r="T75" s="0" t="n">
        <v>26858</v>
      </c>
      <c r="U75" s="0" t="n">
        <v>18343</v>
      </c>
      <c r="V75" s="0" t="n">
        <v>96408</v>
      </c>
      <c r="W75" s="0" t="n">
        <v>4303</v>
      </c>
      <c r="X75" s="0" t="n">
        <v>234</v>
      </c>
      <c r="Y75" s="0" t="n">
        <v>78</v>
      </c>
      <c r="Z75" s="0" t="n">
        <v>0</v>
      </c>
      <c r="AA75" s="0" t="n">
        <v>0</v>
      </c>
      <c r="AB75" s="0" t="n">
        <v>0</v>
      </c>
      <c r="AC75" s="0" t="n">
        <v>169</v>
      </c>
      <c r="AD75" s="0" t="n">
        <v>130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858</v>
      </c>
      <c r="AY75" s="0" t="n">
        <v>325</v>
      </c>
      <c r="AZ75" s="0" t="n">
        <v>845</v>
      </c>
      <c r="BA75" s="0" t="n">
        <v>0</v>
      </c>
      <c r="BB75" s="0" t="n">
        <v>0</v>
      </c>
      <c r="BC75" s="0" t="n">
        <v>0</v>
      </c>
      <c r="BD75" s="0" t="n">
        <v>78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0</v>
      </c>
      <c r="BM75" s="0" t="n">
        <v>0</v>
      </c>
      <c r="BN75" s="0" t="n">
        <v>234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0</v>
      </c>
      <c r="BU75" s="0" t="n">
        <v>0</v>
      </c>
      <c r="BV75" s="0" t="n">
        <v>338</v>
      </c>
      <c r="BW75" s="0" t="n">
        <v>0</v>
      </c>
      <c r="BX75" s="0" t="n">
        <v>0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201604</v>
      </c>
      <c r="CI75" s="0" t="n">
        <v>0</v>
      </c>
      <c r="CJ75" s="0" t="n">
        <v>0</v>
      </c>
      <c r="CK75" s="0" t="n">
        <f aca="false">SUM(B75:CJ75)</f>
        <v>362297</v>
      </c>
      <c r="CL75" s="0" t="n">
        <f aca="false">CH75/SUM(B75:CJ75)</f>
        <v>0.55646058344397</v>
      </c>
    </row>
    <row r="76" customFormat="false" ht="12.75" hidden="false" customHeight="false" outlineLevel="0" collapsed="false">
      <c r="A76" s="0" t="n">
        <v>75</v>
      </c>
      <c r="B76" s="0" t="n">
        <v>0</v>
      </c>
      <c r="C76" s="0" t="n">
        <v>104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91</v>
      </c>
      <c r="T76" s="0" t="n">
        <v>91</v>
      </c>
      <c r="U76" s="0" t="n">
        <v>0</v>
      </c>
      <c r="V76" s="0" t="n">
        <v>0</v>
      </c>
      <c r="W76" s="0" t="n">
        <v>0</v>
      </c>
      <c r="X76" s="0" t="n">
        <v>117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2210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65</v>
      </c>
      <c r="AN76" s="0" t="n">
        <v>0</v>
      </c>
      <c r="AO76" s="0" t="n">
        <v>1300</v>
      </c>
      <c r="AP76" s="0" t="n">
        <v>4329</v>
      </c>
      <c r="AQ76" s="0" t="n">
        <v>0</v>
      </c>
      <c r="AR76" s="0" t="n">
        <v>130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91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234</v>
      </c>
      <c r="BN76" s="0" t="n">
        <v>260</v>
      </c>
      <c r="BO76" s="0" t="n">
        <v>0</v>
      </c>
      <c r="BP76" s="0" t="n">
        <v>0</v>
      </c>
      <c r="BQ76" s="0" t="n">
        <v>0</v>
      </c>
      <c r="BR76" s="0" t="n">
        <v>130</v>
      </c>
      <c r="BS76" s="0" t="n">
        <v>0</v>
      </c>
      <c r="BT76" s="0" t="n">
        <v>0</v>
      </c>
      <c r="BU76" s="0" t="n">
        <v>0</v>
      </c>
      <c r="BV76" s="0" t="n">
        <v>0</v>
      </c>
      <c r="BW76" s="0" t="n">
        <v>0</v>
      </c>
      <c r="BX76" s="0" t="n">
        <v>106184</v>
      </c>
      <c r="BY76" s="0" t="n">
        <v>0</v>
      </c>
      <c r="BZ76" s="0" t="n">
        <v>0</v>
      </c>
      <c r="CA76" s="0" t="n">
        <v>91</v>
      </c>
      <c r="CB76" s="0" t="n">
        <v>2535</v>
      </c>
      <c r="CC76" s="0" t="n">
        <v>65</v>
      </c>
      <c r="CD76" s="0" t="n">
        <v>0</v>
      </c>
      <c r="CE76" s="0" t="n">
        <v>0</v>
      </c>
      <c r="CF76" s="0" t="n">
        <v>0</v>
      </c>
      <c r="CG76" s="0" t="n">
        <v>143</v>
      </c>
      <c r="CH76" s="0" t="n">
        <v>192426</v>
      </c>
      <c r="CI76" s="0" t="n">
        <v>91</v>
      </c>
      <c r="CJ76" s="0" t="n">
        <v>0</v>
      </c>
      <c r="CK76" s="0" t="n">
        <f aca="false">SUM(B76:CJ76)</f>
        <v>310687</v>
      </c>
      <c r="CL76" s="0" t="n">
        <f aca="false">CH76/SUM(B76:CJ76)</f>
        <v>0.619356458429223</v>
      </c>
    </row>
    <row r="77" customFormat="false" ht="12.75" hidden="false" customHeight="false" outlineLevel="0" collapsed="false">
      <c r="A77" s="0" t="n">
        <v>76</v>
      </c>
      <c r="B77" s="0" t="n">
        <v>0</v>
      </c>
      <c r="C77" s="0" t="n">
        <v>0</v>
      </c>
      <c r="D77" s="0" t="n">
        <v>0</v>
      </c>
      <c r="E77" s="0" t="n">
        <v>143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182</v>
      </c>
      <c r="T77" s="0" t="n">
        <v>572</v>
      </c>
      <c r="U77" s="0" t="n">
        <v>91</v>
      </c>
      <c r="V77" s="0" t="n">
        <v>780</v>
      </c>
      <c r="W77" s="0" t="n">
        <v>1534</v>
      </c>
      <c r="X77" s="0" t="n">
        <v>0</v>
      </c>
      <c r="Y77" s="0" t="n">
        <v>0</v>
      </c>
      <c r="Z77" s="0" t="n">
        <v>104</v>
      </c>
      <c r="AA77" s="0" t="n">
        <v>0</v>
      </c>
      <c r="AB77" s="0" t="n">
        <v>104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91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1157</v>
      </c>
      <c r="AN77" s="0" t="n">
        <v>3263</v>
      </c>
      <c r="AO77" s="0" t="n">
        <v>0</v>
      </c>
      <c r="AP77" s="0" t="n">
        <v>52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7371</v>
      </c>
      <c r="AY77" s="0" t="n">
        <v>1482</v>
      </c>
      <c r="AZ77" s="0" t="n">
        <v>6591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0</v>
      </c>
      <c r="BI77" s="0" t="n">
        <v>0</v>
      </c>
      <c r="BJ77" s="0" t="n">
        <v>0</v>
      </c>
      <c r="BK77" s="0" t="n">
        <v>0</v>
      </c>
      <c r="BL77" s="0" t="n">
        <v>0</v>
      </c>
      <c r="BM77" s="0" t="n">
        <v>0</v>
      </c>
      <c r="BN77" s="0" t="n">
        <v>247</v>
      </c>
      <c r="BO77" s="0" t="n">
        <v>0</v>
      </c>
      <c r="BP77" s="0" t="n">
        <v>0</v>
      </c>
      <c r="BQ77" s="0" t="n">
        <v>0</v>
      </c>
      <c r="BR77" s="0" t="n">
        <v>0</v>
      </c>
      <c r="BS77" s="0" t="n">
        <v>0</v>
      </c>
      <c r="BT77" s="0" t="n">
        <v>0</v>
      </c>
      <c r="BU77" s="0" t="n">
        <v>0</v>
      </c>
      <c r="BV77" s="0" t="n">
        <v>0</v>
      </c>
      <c r="BW77" s="0" t="n">
        <v>0</v>
      </c>
      <c r="BX77" s="0" t="n">
        <v>0</v>
      </c>
      <c r="BY77" s="0" t="n">
        <v>88868</v>
      </c>
      <c r="BZ77" s="0" t="n">
        <v>0</v>
      </c>
      <c r="CA77" s="0" t="n">
        <v>65</v>
      </c>
      <c r="CB77" s="0" t="n">
        <v>208</v>
      </c>
      <c r="CC77" s="0" t="n">
        <v>0</v>
      </c>
      <c r="CD77" s="0" t="n">
        <v>0</v>
      </c>
      <c r="CE77" s="0" t="n">
        <v>0</v>
      </c>
      <c r="CF77" s="0" t="n">
        <v>91</v>
      </c>
      <c r="CG77" s="0" t="n">
        <v>0</v>
      </c>
      <c r="CH77" s="0" t="n">
        <v>116324</v>
      </c>
      <c r="CI77" s="0" t="n">
        <v>208</v>
      </c>
      <c r="CJ77" s="0" t="n">
        <v>0</v>
      </c>
      <c r="CK77" s="0" t="n">
        <f aca="false">SUM(B77:CJ77)</f>
        <v>229528</v>
      </c>
      <c r="CL77" s="0" t="n">
        <f aca="false">CH77/SUM(B77:CJ77)</f>
        <v>0.506796556411418</v>
      </c>
    </row>
    <row r="78" customFormat="false" ht="12.75" hidden="false" customHeight="false" outlineLevel="0" collapsed="false">
      <c r="A78" s="0" t="n">
        <v>77</v>
      </c>
      <c r="B78" s="0" t="n">
        <v>0</v>
      </c>
      <c r="C78" s="0" t="n">
        <v>0</v>
      </c>
      <c r="D78" s="0" t="n">
        <v>0</v>
      </c>
      <c r="E78" s="0" t="n">
        <v>377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39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78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78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143</v>
      </c>
      <c r="AI78" s="0" t="n">
        <v>0</v>
      </c>
      <c r="AJ78" s="0" t="n">
        <v>0</v>
      </c>
      <c r="AK78" s="0" t="n">
        <v>0</v>
      </c>
      <c r="AL78" s="0" t="n">
        <v>52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156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624</v>
      </c>
      <c r="BS78" s="0" t="n">
        <v>0</v>
      </c>
      <c r="BT78" s="0" t="n">
        <v>0</v>
      </c>
      <c r="BU78" s="0" t="n">
        <v>0</v>
      </c>
      <c r="BV78" s="0" t="n">
        <v>0</v>
      </c>
      <c r="BW78" s="0" t="n">
        <v>0</v>
      </c>
      <c r="BX78" s="0" t="n">
        <v>0</v>
      </c>
      <c r="BY78" s="0" t="n">
        <v>0</v>
      </c>
      <c r="BZ78" s="0" t="n">
        <v>33397</v>
      </c>
      <c r="CA78" s="0" t="n">
        <v>0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73463</v>
      </c>
      <c r="CI78" s="0" t="n">
        <v>65</v>
      </c>
      <c r="CJ78" s="0" t="n">
        <v>0</v>
      </c>
      <c r="CK78" s="0" t="n">
        <f aca="false">SUM(B78:CJ78)</f>
        <v>108472</v>
      </c>
      <c r="CL78" s="0" t="n">
        <f aca="false">CH78/SUM(B78:CJ78)</f>
        <v>0.677253116011505</v>
      </c>
    </row>
    <row r="79" customFormat="false" ht="12.75" hidden="false" customHeight="false" outlineLevel="0" collapsed="false">
      <c r="A79" s="0" t="n">
        <v>78</v>
      </c>
      <c r="B79" s="0" t="n">
        <v>104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91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104</v>
      </c>
      <c r="V79" s="0" t="n">
        <v>0</v>
      </c>
      <c r="W79" s="0" t="n">
        <v>0</v>
      </c>
      <c r="X79" s="0" t="n">
        <v>91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104</v>
      </c>
      <c r="AG79" s="0" t="n">
        <v>143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91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0</v>
      </c>
      <c r="BM79" s="0" t="n">
        <v>585</v>
      </c>
      <c r="BN79" s="0" t="n">
        <v>234</v>
      </c>
      <c r="BO79" s="0" t="n">
        <v>0</v>
      </c>
      <c r="BP79" s="0" t="n">
        <v>91</v>
      </c>
      <c r="BQ79" s="0" t="n">
        <v>0</v>
      </c>
      <c r="BR79" s="0" t="n">
        <v>0</v>
      </c>
      <c r="BS79" s="0" t="n">
        <v>0</v>
      </c>
      <c r="BT79" s="0" t="n">
        <v>0</v>
      </c>
      <c r="BU79" s="0" t="n">
        <v>247</v>
      </c>
      <c r="BV79" s="0" t="n">
        <v>0</v>
      </c>
      <c r="BW79" s="0" t="n">
        <v>0</v>
      </c>
      <c r="BX79" s="0" t="n">
        <v>0</v>
      </c>
      <c r="BY79" s="0" t="n">
        <v>0</v>
      </c>
      <c r="BZ79" s="0" t="n">
        <v>143</v>
      </c>
      <c r="CA79" s="0" t="n">
        <v>56394</v>
      </c>
      <c r="CB79" s="0" t="n">
        <v>19071</v>
      </c>
      <c r="CC79" s="0" t="n">
        <v>0</v>
      </c>
      <c r="CD79" s="0" t="n">
        <v>0</v>
      </c>
      <c r="CE79" s="0" t="n">
        <v>0</v>
      </c>
      <c r="CF79" s="0" t="n">
        <v>0</v>
      </c>
      <c r="CG79" s="0" t="n">
        <v>0</v>
      </c>
      <c r="CH79" s="0" t="n">
        <v>100061</v>
      </c>
      <c r="CI79" s="0" t="n">
        <v>0</v>
      </c>
      <c r="CJ79" s="0" t="n">
        <v>0</v>
      </c>
      <c r="CK79" s="0" t="n">
        <f aca="false">SUM(B79:CJ79)</f>
        <v>177554</v>
      </c>
      <c r="CL79" s="0" t="n">
        <f aca="false">CH79/SUM(B79:CJ79)</f>
        <v>0.563552496705228</v>
      </c>
    </row>
    <row r="80" customFormat="false" ht="12.75" hidden="false" customHeight="false" outlineLevel="0" collapsed="false">
      <c r="A80" s="0" t="n">
        <v>79</v>
      </c>
      <c r="B80" s="0" t="n">
        <v>0</v>
      </c>
      <c r="C80" s="0" t="n">
        <v>0</v>
      </c>
      <c r="D80" s="0" t="n">
        <v>0</v>
      </c>
      <c r="E80" s="0" t="n">
        <v>182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78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299</v>
      </c>
      <c r="AB80" s="0" t="n">
        <v>208</v>
      </c>
      <c r="AC80" s="0" t="n">
        <v>0</v>
      </c>
      <c r="AD80" s="0" t="n">
        <v>0</v>
      </c>
      <c r="AE80" s="0" t="n">
        <v>0</v>
      </c>
      <c r="AF80" s="0" t="n">
        <v>78</v>
      </c>
      <c r="AG80" s="0" t="n">
        <v>208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117</v>
      </c>
      <c r="AN80" s="0" t="n">
        <v>91</v>
      </c>
      <c r="AO80" s="0" t="n">
        <v>0</v>
      </c>
      <c r="AP80" s="0" t="n">
        <v>65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169</v>
      </c>
      <c r="AX80" s="0" t="n">
        <v>0</v>
      </c>
      <c r="AY80" s="0" t="n">
        <v>0</v>
      </c>
      <c r="AZ80" s="0" t="n">
        <v>0</v>
      </c>
      <c r="BA80" s="0" t="n">
        <v>650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  <c r="BJ80" s="0" t="n">
        <v>0</v>
      </c>
      <c r="BK80" s="0" t="n">
        <v>0</v>
      </c>
      <c r="BL80" s="0" t="n">
        <v>0</v>
      </c>
      <c r="BM80" s="0" t="n">
        <v>5018</v>
      </c>
      <c r="BN80" s="0" t="n">
        <v>1131</v>
      </c>
      <c r="BO80" s="0" t="n">
        <v>0</v>
      </c>
      <c r="BP80" s="0" t="n">
        <v>117</v>
      </c>
      <c r="BQ80" s="0" t="n">
        <v>0</v>
      </c>
      <c r="BR80" s="0" t="n">
        <v>91</v>
      </c>
      <c r="BS80" s="0" t="n">
        <v>0</v>
      </c>
      <c r="BT80" s="0" t="n">
        <v>0</v>
      </c>
      <c r="BU80" s="0" t="n">
        <v>1417</v>
      </c>
      <c r="BV80" s="0" t="n">
        <v>0</v>
      </c>
      <c r="BW80" s="0" t="n">
        <v>0</v>
      </c>
      <c r="BX80" s="0" t="n">
        <v>1469</v>
      </c>
      <c r="BY80" s="0" t="n">
        <v>0</v>
      </c>
      <c r="BZ80" s="0" t="n">
        <v>0</v>
      </c>
      <c r="CA80" s="0" t="n">
        <v>36257</v>
      </c>
      <c r="CB80" s="0" t="n">
        <v>96213</v>
      </c>
      <c r="CC80" s="0" t="n">
        <v>208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220766</v>
      </c>
      <c r="CI80" s="0" t="n">
        <v>0</v>
      </c>
      <c r="CJ80" s="0" t="n">
        <v>0</v>
      </c>
      <c r="CK80" s="0" t="n">
        <f aca="false">SUM(B80:CJ80)</f>
        <v>364832</v>
      </c>
      <c r="CL80" s="0" t="n">
        <f aca="false">CH80/SUM(B80:CJ80)</f>
        <v>0.605116875712657</v>
      </c>
    </row>
    <row r="81" customFormat="false" ht="12.75" hidden="false" customHeight="false" outlineLevel="0" collapsed="false">
      <c r="A81" s="0" t="n">
        <v>80</v>
      </c>
      <c r="B81" s="0" t="n">
        <v>0</v>
      </c>
      <c r="C81" s="0" t="n">
        <v>247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78</v>
      </c>
      <c r="T81" s="0" t="n">
        <v>104</v>
      </c>
      <c r="U81" s="0" t="n">
        <v>0</v>
      </c>
      <c r="V81" s="0" t="n">
        <v>0</v>
      </c>
      <c r="W81" s="0" t="n">
        <v>91</v>
      </c>
      <c r="X81" s="0" t="n">
        <v>0</v>
      </c>
      <c r="Y81" s="0" t="n">
        <v>0</v>
      </c>
      <c r="Z81" s="0" t="n">
        <v>91</v>
      </c>
      <c r="AA81" s="0" t="n">
        <v>0</v>
      </c>
      <c r="AB81" s="0" t="n">
        <v>0</v>
      </c>
      <c r="AC81" s="0" t="n">
        <v>104</v>
      </c>
      <c r="AD81" s="0" t="n">
        <v>117</v>
      </c>
      <c r="AE81" s="0" t="n">
        <v>0</v>
      </c>
      <c r="AF81" s="0" t="n">
        <v>169</v>
      </c>
      <c r="AG81" s="0" t="n">
        <v>5980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169</v>
      </c>
      <c r="AM81" s="0" t="n">
        <v>104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247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494</v>
      </c>
      <c r="BN81" s="0" t="n">
        <v>104</v>
      </c>
      <c r="BO81" s="0" t="n">
        <v>0</v>
      </c>
      <c r="BP81" s="0" t="n">
        <v>182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91</v>
      </c>
      <c r="CB81" s="0" t="n">
        <v>169</v>
      </c>
      <c r="CC81" s="0" t="n">
        <v>82537</v>
      </c>
      <c r="CD81" s="0" t="n">
        <v>0</v>
      </c>
      <c r="CE81" s="0" t="n">
        <v>0</v>
      </c>
      <c r="CF81" s="0" t="n">
        <v>130</v>
      </c>
      <c r="CG81" s="0" t="n">
        <v>0</v>
      </c>
      <c r="CH81" s="0" t="n">
        <v>118885</v>
      </c>
      <c r="CI81" s="0" t="n">
        <v>0</v>
      </c>
      <c r="CJ81" s="0" t="n">
        <v>0</v>
      </c>
      <c r="CK81" s="0" t="n">
        <f aca="false">SUM(B81:CJ81)</f>
        <v>210093</v>
      </c>
      <c r="CL81" s="0" t="n">
        <f aca="false">CH81/SUM(B81:CJ81)</f>
        <v>0.565868448734608</v>
      </c>
    </row>
    <row r="82" customFormat="false" ht="12.75" hidden="false" customHeight="false" outlineLevel="0" collapsed="false">
      <c r="A82" s="0" t="n">
        <v>81</v>
      </c>
      <c r="B82" s="0" t="n">
        <v>117</v>
      </c>
      <c r="C82" s="0" t="n">
        <v>104</v>
      </c>
      <c r="D82" s="0" t="n">
        <v>0</v>
      </c>
      <c r="E82" s="0" t="n">
        <v>0</v>
      </c>
      <c r="F82" s="0" t="n">
        <v>0</v>
      </c>
      <c r="G82" s="0" t="n">
        <v>117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130</v>
      </c>
      <c r="U82" s="0" t="n">
        <v>0</v>
      </c>
      <c r="V82" s="0" t="n">
        <v>104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143</v>
      </c>
      <c r="AJ82" s="0" t="n">
        <v>0</v>
      </c>
      <c r="AK82" s="0" t="n">
        <v>0</v>
      </c>
      <c r="AL82" s="0" t="n">
        <v>0</v>
      </c>
      <c r="AM82" s="0" t="n">
        <v>78</v>
      </c>
      <c r="AN82" s="0" t="n">
        <v>0</v>
      </c>
      <c r="AO82" s="0" t="n">
        <v>0</v>
      </c>
      <c r="AP82" s="0" t="n">
        <v>0</v>
      </c>
      <c r="AQ82" s="0" t="n">
        <v>1469</v>
      </c>
      <c r="AR82" s="0" t="n">
        <v>156</v>
      </c>
      <c r="AS82" s="0" t="n">
        <v>0</v>
      </c>
      <c r="AT82" s="0" t="n">
        <v>143</v>
      </c>
      <c r="AU82" s="0" t="n">
        <v>325</v>
      </c>
      <c r="AV82" s="0" t="n">
        <v>637</v>
      </c>
      <c r="AW82" s="0" t="n">
        <v>4225</v>
      </c>
      <c r="AX82" s="0" t="n">
        <v>0</v>
      </c>
      <c r="AY82" s="0" t="n">
        <v>0</v>
      </c>
      <c r="AZ82" s="0" t="n">
        <v>0</v>
      </c>
      <c r="BA82" s="0" t="n">
        <v>104</v>
      </c>
      <c r="BB82" s="0" t="n">
        <v>130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0</v>
      </c>
      <c r="BH82" s="0" t="n">
        <v>91</v>
      </c>
      <c r="BI82" s="0" t="n">
        <v>0</v>
      </c>
      <c r="BJ82" s="0" t="n">
        <v>0</v>
      </c>
      <c r="BK82" s="0" t="n">
        <v>0</v>
      </c>
      <c r="BL82" s="0" t="n">
        <v>143</v>
      </c>
      <c r="BM82" s="0" t="n">
        <v>4238</v>
      </c>
      <c r="BN82" s="0" t="n">
        <v>975</v>
      </c>
      <c r="BO82" s="0" t="n">
        <v>416</v>
      </c>
      <c r="BP82" s="0" t="n">
        <v>0</v>
      </c>
      <c r="BQ82" s="0" t="n">
        <v>2444</v>
      </c>
      <c r="BR82" s="0" t="n">
        <v>16055</v>
      </c>
      <c r="BS82" s="0" t="n">
        <v>416</v>
      </c>
      <c r="BT82" s="0" t="n">
        <v>1586</v>
      </c>
      <c r="BU82" s="0" t="n">
        <v>5980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104</v>
      </c>
      <c r="CD82" s="0" t="n">
        <v>53495</v>
      </c>
      <c r="CE82" s="0" t="n">
        <v>3835</v>
      </c>
      <c r="CF82" s="0" t="n">
        <v>0</v>
      </c>
      <c r="CG82" s="0" t="n">
        <v>3289</v>
      </c>
      <c r="CH82" s="0" t="n">
        <v>122642</v>
      </c>
      <c r="CI82" s="0" t="n">
        <v>0</v>
      </c>
      <c r="CJ82" s="0" t="n">
        <v>0</v>
      </c>
      <c r="CK82" s="0" t="n">
        <f aca="false">SUM(B82:CJ82)</f>
        <v>223691</v>
      </c>
      <c r="CL82" s="0" t="n">
        <f aca="false">CH82/SUM(B82:CJ82)</f>
        <v>0.548265240890335</v>
      </c>
    </row>
    <row r="83" customFormat="false" ht="12.75" hidden="false" customHeight="false" outlineLevel="0" collapsed="false">
      <c r="A83" s="0" t="n">
        <v>82</v>
      </c>
      <c r="B83" s="0" t="n">
        <v>195</v>
      </c>
      <c r="C83" s="0" t="n">
        <v>130</v>
      </c>
      <c r="D83" s="0" t="n">
        <v>91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91</v>
      </c>
      <c r="AO83" s="0" t="n">
        <v>0</v>
      </c>
      <c r="AP83" s="0" t="n">
        <v>0</v>
      </c>
      <c r="AQ83" s="0" t="n">
        <v>299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104</v>
      </c>
      <c r="AW83" s="0" t="n">
        <v>1287</v>
      </c>
      <c r="AX83" s="0" t="n">
        <v>156</v>
      </c>
      <c r="AY83" s="0" t="n">
        <v>0</v>
      </c>
      <c r="AZ83" s="0" t="n">
        <v>0</v>
      </c>
      <c r="BA83" s="0" t="n">
        <v>364</v>
      </c>
      <c r="BB83" s="0" t="n">
        <v>143</v>
      </c>
      <c r="BC83" s="0" t="n">
        <v>0</v>
      </c>
      <c r="BD83" s="0" t="n">
        <v>143</v>
      </c>
      <c r="BE83" s="0" t="n">
        <v>0</v>
      </c>
      <c r="BF83" s="0" t="n">
        <v>0</v>
      </c>
      <c r="BG83" s="0" t="n">
        <v>0</v>
      </c>
      <c r="BH83" s="0" t="n">
        <v>585</v>
      </c>
      <c r="BI83" s="0" t="n">
        <v>0</v>
      </c>
      <c r="BJ83" s="0" t="n">
        <v>0</v>
      </c>
      <c r="BK83" s="0" t="n">
        <v>78</v>
      </c>
      <c r="BL83" s="0" t="n">
        <v>208</v>
      </c>
      <c r="BM83" s="0" t="n">
        <v>1521</v>
      </c>
      <c r="BN83" s="0" t="n">
        <v>949</v>
      </c>
      <c r="BO83" s="0" t="n">
        <v>208</v>
      </c>
      <c r="BP83" s="0" t="n">
        <v>0</v>
      </c>
      <c r="BQ83" s="0" t="n">
        <v>468</v>
      </c>
      <c r="BR83" s="0" t="n">
        <v>1742</v>
      </c>
      <c r="BS83" s="0" t="n">
        <v>1105</v>
      </c>
      <c r="BT83" s="0" t="n">
        <v>1742</v>
      </c>
      <c r="BU83" s="0" t="n">
        <v>16406</v>
      </c>
      <c r="BV83" s="0" t="n">
        <v>0</v>
      </c>
      <c r="BW83" s="0" t="n">
        <v>0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2886</v>
      </c>
      <c r="CE83" s="0" t="n">
        <v>33917</v>
      </c>
      <c r="CF83" s="0" t="n">
        <v>0</v>
      </c>
      <c r="CG83" s="0" t="n">
        <v>455</v>
      </c>
      <c r="CH83" s="0" t="n">
        <v>97097</v>
      </c>
      <c r="CI83" s="0" t="n">
        <v>117</v>
      </c>
      <c r="CJ83" s="0" t="n">
        <v>0</v>
      </c>
      <c r="CK83" s="0" t="n">
        <f aca="false">SUM(B83:CJ83)</f>
        <v>162487</v>
      </c>
      <c r="CL83" s="0" t="n">
        <f aca="false">CH83/SUM(B83:CJ83)</f>
        <v>0.597567805424434</v>
      </c>
    </row>
    <row r="84" customFormat="false" ht="12.75" hidden="false" customHeight="false" outlineLevel="0" collapsed="false">
      <c r="A84" s="0" t="n">
        <v>83</v>
      </c>
      <c r="B84" s="0" t="n">
        <v>0</v>
      </c>
      <c r="C84" s="0" t="n">
        <v>117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78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520</v>
      </c>
      <c r="AH84" s="0" t="n">
        <v>91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0</v>
      </c>
      <c r="BJ84" s="0" t="n">
        <v>0</v>
      </c>
      <c r="BK84" s="0" t="n">
        <v>0</v>
      </c>
      <c r="BL84" s="0" t="n">
        <v>65</v>
      </c>
      <c r="BM84" s="0" t="n">
        <v>2041</v>
      </c>
      <c r="BN84" s="0" t="n">
        <v>1677</v>
      </c>
      <c r="BO84" s="0" t="n">
        <v>234</v>
      </c>
      <c r="BP84" s="0" t="n">
        <v>33371</v>
      </c>
      <c r="BQ84" s="0" t="n">
        <v>0</v>
      </c>
      <c r="BR84" s="0" t="n">
        <v>0</v>
      </c>
      <c r="BS84" s="0" t="n">
        <v>0</v>
      </c>
      <c r="BT84" s="0" t="n">
        <v>0</v>
      </c>
      <c r="BU84" s="0" t="n">
        <v>117</v>
      </c>
      <c r="BV84" s="0" t="n">
        <v>0</v>
      </c>
      <c r="BW84" s="0" t="n">
        <v>0</v>
      </c>
      <c r="BX84" s="0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91</v>
      </c>
      <c r="CD84" s="0" t="n">
        <v>0</v>
      </c>
      <c r="CE84" s="0" t="n">
        <v>0</v>
      </c>
      <c r="CF84" s="0" t="n">
        <v>26650</v>
      </c>
      <c r="CG84" s="0" t="n">
        <v>117</v>
      </c>
      <c r="CH84" s="0" t="n">
        <v>77454</v>
      </c>
      <c r="CI84" s="0" t="n">
        <v>0</v>
      </c>
      <c r="CJ84" s="0" t="n">
        <v>0</v>
      </c>
      <c r="CK84" s="0" t="n">
        <f aca="false">SUM(B84:CJ84)</f>
        <v>142623</v>
      </c>
      <c r="CL84" s="0" t="n">
        <f aca="false">CH84/SUM(B84:CJ84)</f>
        <v>0.543068088597211</v>
      </c>
    </row>
    <row r="85" customFormat="false" ht="12.75" hidden="false" customHeight="false" outlineLevel="0" collapsed="false">
      <c r="A85" s="0" t="n">
        <v>84</v>
      </c>
      <c r="B85" s="0" t="n">
        <v>78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78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104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91</v>
      </c>
      <c r="AI85" s="0" t="n">
        <v>221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10348</v>
      </c>
      <c r="AR85" s="0" t="n">
        <v>455</v>
      </c>
      <c r="AS85" s="0" t="n">
        <v>559</v>
      </c>
      <c r="AT85" s="0" t="n">
        <v>676</v>
      </c>
      <c r="AU85" s="0" t="n">
        <v>1300</v>
      </c>
      <c r="AV85" s="0" t="n">
        <v>4719</v>
      </c>
      <c r="AW85" s="0" t="n">
        <v>52455</v>
      </c>
      <c r="AX85" s="0" t="n">
        <v>0</v>
      </c>
      <c r="AY85" s="0" t="n">
        <v>0</v>
      </c>
      <c r="AZ85" s="0" t="n">
        <v>0</v>
      </c>
      <c r="BA85" s="0" t="n">
        <v>65</v>
      </c>
      <c r="BB85" s="0" t="n">
        <v>91</v>
      </c>
      <c r="BC85" s="0" t="n">
        <v>247</v>
      </c>
      <c r="BD85" s="0" t="n">
        <v>520</v>
      </c>
      <c r="BE85" s="0" t="n">
        <v>104</v>
      </c>
      <c r="BF85" s="0" t="n">
        <v>325</v>
      </c>
      <c r="BG85" s="0" t="n">
        <v>78</v>
      </c>
      <c r="BH85" s="0" t="n">
        <v>234</v>
      </c>
      <c r="BI85" s="0" t="n">
        <v>351</v>
      </c>
      <c r="BJ85" s="0" t="n">
        <v>182</v>
      </c>
      <c r="BK85" s="0" t="n">
        <v>0</v>
      </c>
      <c r="BL85" s="0" t="n">
        <v>0</v>
      </c>
      <c r="BM85" s="0" t="n">
        <v>11219</v>
      </c>
      <c r="BN85" s="0" t="n">
        <v>3952</v>
      </c>
      <c r="BO85" s="0" t="n">
        <v>3120</v>
      </c>
      <c r="BP85" s="0" t="n">
        <v>143</v>
      </c>
      <c r="BQ85" s="0" t="n">
        <v>0</v>
      </c>
      <c r="BR85" s="0" t="n">
        <v>611</v>
      </c>
      <c r="BS85" s="0" t="n">
        <v>0</v>
      </c>
      <c r="BT85" s="0" t="n">
        <v>442</v>
      </c>
      <c r="BU85" s="0" t="n">
        <v>663</v>
      </c>
      <c r="BV85" s="0" t="n">
        <v>0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429</v>
      </c>
      <c r="CE85" s="0" t="n">
        <v>247</v>
      </c>
      <c r="CF85" s="0" t="n">
        <v>0</v>
      </c>
      <c r="CG85" s="0" t="n">
        <v>46176</v>
      </c>
      <c r="CH85" s="0" t="n">
        <v>129155</v>
      </c>
      <c r="CI85" s="0" t="n">
        <v>143</v>
      </c>
      <c r="CJ85" s="0" t="n">
        <v>0</v>
      </c>
      <c r="CK85" s="0" t="n">
        <f aca="false">SUM(B85:CJ85)</f>
        <v>269581</v>
      </c>
      <c r="CL85" s="0" t="n">
        <f aca="false">CH85/SUM(B85:CJ85)</f>
        <v>0.479095336837537</v>
      </c>
    </row>
    <row r="86" customFormat="false" ht="12.75" hidden="false" customHeight="false" outlineLevel="0" collapsed="false">
      <c r="A86" s="0" t="s">
        <v>155</v>
      </c>
      <c r="B86" s="0" t="n">
        <f aca="false">SUM(B2:B85)</f>
        <v>39637</v>
      </c>
      <c r="C86" s="0" t="n">
        <f aca="false">SUM(C2:C85)</f>
        <v>56186</v>
      </c>
      <c r="D86" s="0" t="n">
        <f aca="false">SUM(D2:D85)</f>
        <v>63999</v>
      </c>
      <c r="E86" s="0" t="n">
        <f aca="false">SUM(E2:E85)</f>
        <v>54210</v>
      </c>
      <c r="F86" s="0" t="n">
        <f aca="false">SUM(F2:F85)</f>
        <v>39559</v>
      </c>
      <c r="G86" s="0" t="n">
        <f aca="false">SUM(G2:G85)</f>
        <v>66534</v>
      </c>
      <c r="H86" s="0" t="n">
        <f aca="false">SUM(H2:H85)</f>
        <v>37271</v>
      </c>
      <c r="I86" s="0" t="n">
        <f aca="false">SUM(I2:I85)</f>
        <v>43238</v>
      </c>
      <c r="J86" s="0" t="n">
        <f aca="false">SUM(J2:J85)</f>
        <v>45994</v>
      </c>
      <c r="K86" s="0" t="n">
        <f aca="false">SUM(K2:K85)</f>
        <v>70187</v>
      </c>
      <c r="L86" s="0" t="n">
        <f aca="false">SUM(L2:L85)</f>
        <v>72345</v>
      </c>
      <c r="M86" s="0" t="n">
        <f aca="false">SUM(M2:M85)</f>
        <v>35269</v>
      </c>
      <c r="N86" s="0" t="n">
        <f aca="false">SUM(N2:N85)</f>
        <v>63999</v>
      </c>
      <c r="O86" s="0" t="n">
        <f aca="false">SUM(O2:O85)</f>
        <v>93184</v>
      </c>
      <c r="P86" s="0" t="n">
        <f aca="false">SUM(P2:P85)</f>
        <v>104546</v>
      </c>
      <c r="Q86" s="0" t="n">
        <f aca="false">SUM(Q2:Q85)</f>
        <v>84383</v>
      </c>
      <c r="R86" s="0" t="n">
        <f aca="false">SUM(R2:R85)</f>
        <v>42874</v>
      </c>
      <c r="S86" s="0" t="n">
        <f aca="false">SUM(S2:S85)</f>
        <v>299052</v>
      </c>
      <c r="T86" s="0" t="n">
        <f aca="false">SUM(T2:T85)</f>
        <v>569400</v>
      </c>
      <c r="U86" s="0" t="n">
        <f aca="false">SUM(U2:U85)</f>
        <v>98774</v>
      </c>
      <c r="V86" s="0" t="n">
        <f aca="false">SUM(V2:V85)</f>
        <v>531687</v>
      </c>
      <c r="W86" s="0" t="n">
        <f aca="false">SUM(W2:W85)</f>
        <v>315003</v>
      </c>
      <c r="X86" s="0" t="n">
        <f aca="false">SUM(X2:X85)</f>
        <v>75075</v>
      </c>
      <c r="Y86" s="0" t="n">
        <f aca="false">SUM(Y2:Y85)</f>
        <v>66898</v>
      </c>
      <c r="Z86" s="0" t="n">
        <f aca="false">SUM(Z2:Z85)</f>
        <v>66859</v>
      </c>
      <c r="AA86" s="0" t="n">
        <f aca="false">SUM(AA2:AA85)</f>
        <v>54067</v>
      </c>
      <c r="AB86" s="0" t="n">
        <f aca="false">SUM(AB2:AB85)</f>
        <v>42991</v>
      </c>
      <c r="AC86" s="0" t="n">
        <f aca="false">SUM(AC2:AC85)</f>
        <v>260273</v>
      </c>
      <c r="AD86" s="0" t="n">
        <f aca="false">SUM(AD2:AD85)</f>
        <v>239265</v>
      </c>
      <c r="AE86" s="0" t="n">
        <f aca="false">SUM(AE2:AE85)</f>
        <v>66638</v>
      </c>
      <c r="AF86" s="0" t="n">
        <f aca="false">SUM(AF2:AF85)</f>
        <v>37869</v>
      </c>
      <c r="AG86" s="0" t="n">
        <f aca="false">SUM(AG2:AG85)</f>
        <v>183118</v>
      </c>
      <c r="AH86" s="0" t="n">
        <f aca="false">SUM(AH2:AH85)</f>
        <v>688181</v>
      </c>
      <c r="AI86" s="0" t="n">
        <f aca="false">SUM(AI2:AI85)</f>
        <v>30277</v>
      </c>
      <c r="AJ86" s="0" t="n">
        <f aca="false">SUM(AJ2:AJ85)</f>
        <v>44863</v>
      </c>
      <c r="AK86" s="0" t="n">
        <f aca="false">SUM(AK2:AK85)</f>
        <v>47515</v>
      </c>
      <c r="AL86" s="0" t="n">
        <f aca="false">SUM(AL2:AL85)</f>
        <v>395616</v>
      </c>
      <c r="AM86" s="0" t="n">
        <f aca="false">SUM(AM2:AM85)</f>
        <v>47593</v>
      </c>
      <c r="AN86" s="0" t="n">
        <f aca="false">SUM(AN2:AN85)</f>
        <v>115284</v>
      </c>
      <c r="AO86" s="0" t="n">
        <f aca="false">SUM(AO2:AO85)</f>
        <v>175630</v>
      </c>
      <c r="AP86" s="0" t="n">
        <f aca="false">SUM(AP2:AP85)</f>
        <v>94133</v>
      </c>
      <c r="AQ86" s="0" t="n">
        <f aca="false">SUM(AQ2:AQ85)</f>
        <v>147251</v>
      </c>
      <c r="AR86" s="0" t="n">
        <f aca="false">SUM(AR2:AR85)</f>
        <v>46020</v>
      </c>
      <c r="AS86" s="0" t="n">
        <f aca="false">SUM(AS2:AS85)</f>
        <v>43069</v>
      </c>
      <c r="AT86" s="0" t="n">
        <f aca="false">SUM(AT2:AT85)</f>
        <v>38233</v>
      </c>
      <c r="AU86" s="0" t="n">
        <f aca="false">SUM(AU2:AU85)</f>
        <v>48347</v>
      </c>
      <c r="AV86" s="0" t="n">
        <f aca="false">SUM(AV2:AV85)</f>
        <v>57590</v>
      </c>
      <c r="AW86" s="0" t="n">
        <f aca="false">SUM(AW2:AW85)</f>
        <v>735423</v>
      </c>
      <c r="AX86" s="0" t="n">
        <f aca="false">SUM(AX2:AX85)</f>
        <v>417547</v>
      </c>
      <c r="AY86" s="0" t="n">
        <f aca="false">SUM(AY2:AY85)</f>
        <v>113412</v>
      </c>
      <c r="AZ86" s="0" t="n">
        <f aca="false">SUM(AZ2:AZ85)</f>
        <v>332995</v>
      </c>
      <c r="BA86" s="0" t="n">
        <f aca="false">SUM(BA2:BA85)</f>
        <v>110864</v>
      </c>
      <c r="BB86" s="0" t="n">
        <f aca="false">SUM(BB2:BB85)</f>
        <v>85163</v>
      </c>
      <c r="BC86" s="0" t="n">
        <f aca="false">SUM(BC2:BC85)</f>
        <v>41977</v>
      </c>
      <c r="BD86" s="0" t="n">
        <f aca="false">SUM(BD2:BD85)</f>
        <v>27287</v>
      </c>
      <c r="BE86" s="0" t="n">
        <f aca="false">SUM(BE2:BE85)</f>
        <v>25532</v>
      </c>
      <c r="BF86" s="0" t="n">
        <f aca="false">SUM(BF2:BF85)</f>
        <v>34736</v>
      </c>
      <c r="BG86" s="0" t="n">
        <f aca="false">SUM(BG2:BG85)</f>
        <v>33072</v>
      </c>
      <c r="BH86" s="0" t="n">
        <f aca="false">SUM(BH2:BH85)</f>
        <v>50570</v>
      </c>
      <c r="BI86" s="0" t="n">
        <f aca="false">SUM(BI2:BI85)</f>
        <v>62257</v>
      </c>
      <c r="BJ86" s="0" t="n">
        <f aca="false">SUM(BJ2:BJ85)</f>
        <v>35529</v>
      </c>
      <c r="BK86" s="0" t="n">
        <f aca="false">SUM(BK2:BK85)</f>
        <v>119080</v>
      </c>
      <c r="BL86" s="0" t="n">
        <f aca="false">SUM(BL2:BL85)</f>
        <v>92105</v>
      </c>
      <c r="BM86" s="0" t="n">
        <f aca="false">SUM(BM2:BM85)</f>
        <v>1554865</v>
      </c>
      <c r="BN86" s="0" t="n">
        <f aca="false">SUM(BN2:BN85)</f>
        <v>1832558</v>
      </c>
      <c r="BO86" s="0" t="n">
        <f aca="false">SUM(BO2:BO85)</f>
        <v>212381</v>
      </c>
      <c r="BP86" s="0" t="n">
        <f aca="false">SUM(BP2:BP85)</f>
        <v>229658</v>
      </c>
      <c r="BQ86" s="0" t="n">
        <f aca="false">SUM(BQ2:BQ85)</f>
        <v>20813</v>
      </c>
      <c r="BR86" s="0" t="n">
        <f aca="false">SUM(BR2:BR85)</f>
        <v>277420</v>
      </c>
      <c r="BS86" s="0" t="n">
        <f aca="false">SUM(BS2:BS85)</f>
        <v>30771</v>
      </c>
      <c r="BT86" s="0" t="n">
        <f aca="false">SUM(BT2:BT85)</f>
        <v>56537</v>
      </c>
      <c r="BU86" s="0" t="n">
        <f aca="false">SUM(BU2:BU85)</f>
        <v>325091</v>
      </c>
      <c r="BV86" s="0" t="n">
        <f aca="false">SUM(BV2:BV85)</f>
        <v>39884</v>
      </c>
      <c r="BW86" s="0" t="n">
        <f aca="false">SUM(BW2:BW85)</f>
        <v>0</v>
      </c>
      <c r="BX86" s="0" t="n">
        <f aca="false">SUM(BX2:BX85)</f>
        <v>112515</v>
      </c>
      <c r="BY86" s="0" t="n">
        <f aca="false">SUM(BY2:BY85)</f>
        <v>102440</v>
      </c>
      <c r="BZ86" s="0" t="n">
        <f aca="false">SUM(BZ2:BZ85)</f>
        <v>34840</v>
      </c>
      <c r="CA86" s="0" t="n">
        <f aca="false">SUM(CA2:CA85)</f>
        <v>94302</v>
      </c>
      <c r="CB86" s="0" t="n">
        <f aca="false">SUM(CB2:CB85)</f>
        <v>129831</v>
      </c>
      <c r="CC86" s="0" t="n">
        <f aca="false">SUM(CC2:CC85)</f>
        <v>90922</v>
      </c>
      <c r="CD86" s="0" t="n">
        <f aca="false">SUM(CD2:CD85)</f>
        <v>107328</v>
      </c>
      <c r="CE86" s="0" t="n">
        <f aca="false">SUM(CE2:CE85)</f>
        <v>89479</v>
      </c>
      <c r="CF86" s="0" t="n">
        <f aca="false">SUM(CF2:CF85)</f>
        <v>46150</v>
      </c>
      <c r="CG86" s="0" t="n">
        <f aca="false">SUM(CG2:CG85)</f>
        <v>161577</v>
      </c>
      <c r="CH86" s="0" t="n">
        <f aca="false">SUM(CH2:CH85)</f>
        <v>15631931</v>
      </c>
      <c r="CI86" s="0" t="n">
        <f aca="false">SUM(CI2:CI85)</f>
        <v>11050</v>
      </c>
      <c r="CJ86" s="0" t="n">
        <f aca="false">SUM(CJ2:CJ85)</f>
        <v>0</v>
      </c>
      <c r="CK86" s="0" t="n">
        <f aca="false">SUM(B86:CJ86)</f>
        <v>29449878</v>
      </c>
    </row>
    <row r="97" customFormat="false" ht="12.75" hidden="false" customHeight="false" outlineLevel="0" collapsed="false">
      <c r="A97" s="0" t="n">
        <f aca="false">SUM(B2:CJ85)</f>
        <v>29449878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J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B1" s="0" t="n">
        <v>1</v>
      </c>
      <c r="C1" s="0" t="n">
        <v>2</v>
      </c>
      <c r="D1" s="0" t="n">
        <v>3</v>
      </c>
      <c r="E1" s="0" t="n">
        <v>4</v>
      </c>
      <c r="F1" s="0" t="n">
        <v>5</v>
      </c>
      <c r="G1" s="0" t="n">
        <v>6</v>
      </c>
      <c r="H1" s="0" t="n">
        <v>7</v>
      </c>
      <c r="I1" s="0" t="n">
        <v>8</v>
      </c>
      <c r="J1" s="0" t="n">
        <v>9</v>
      </c>
      <c r="K1" s="0" t="n">
        <v>10</v>
      </c>
      <c r="L1" s="0" t="n">
        <v>11</v>
      </c>
      <c r="M1" s="0" t="n">
        <v>12</v>
      </c>
      <c r="N1" s="0" t="n">
        <v>13</v>
      </c>
      <c r="O1" s="0" t="n">
        <v>14</v>
      </c>
      <c r="P1" s="0" t="n">
        <v>15</v>
      </c>
      <c r="Q1" s="0" t="n">
        <v>16</v>
      </c>
      <c r="R1" s="0" t="n">
        <v>17</v>
      </c>
      <c r="S1" s="0" t="n">
        <v>18</v>
      </c>
      <c r="T1" s="0" t="n">
        <v>19</v>
      </c>
      <c r="U1" s="0" t="n">
        <v>20</v>
      </c>
      <c r="V1" s="0" t="n">
        <v>21</v>
      </c>
      <c r="W1" s="0" t="n">
        <v>22</v>
      </c>
      <c r="X1" s="0" t="n">
        <v>23</v>
      </c>
      <c r="Y1" s="0" t="n">
        <v>24</v>
      </c>
      <c r="Z1" s="0" t="n">
        <v>25</v>
      </c>
      <c r="AA1" s="0" t="n">
        <v>26</v>
      </c>
      <c r="AB1" s="0" t="n">
        <v>27</v>
      </c>
      <c r="AC1" s="0" t="n">
        <v>28</v>
      </c>
      <c r="AD1" s="0" t="n">
        <v>29</v>
      </c>
      <c r="AE1" s="0" t="n">
        <v>30</v>
      </c>
      <c r="AF1" s="0" t="n">
        <v>31</v>
      </c>
      <c r="AG1" s="0" t="n">
        <v>32</v>
      </c>
      <c r="AH1" s="0" t="n">
        <v>33</v>
      </c>
      <c r="AI1" s="0" t="n">
        <v>34</v>
      </c>
      <c r="AJ1" s="0" t="n">
        <v>35</v>
      </c>
      <c r="AK1" s="0" t="n">
        <v>36</v>
      </c>
      <c r="AL1" s="0" t="n">
        <v>37</v>
      </c>
      <c r="AM1" s="0" t="n">
        <v>38</v>
      </c>
      <c r="AN1" s="0" t="n">
        <v>39</v>
      </c>
      <c r="AO1" s="0" t="n">
        <v>40</v>
      </c>
      <c r="AP1" s="0" t="n">
        <v>41</v>
      </c>
      <c r="AQ1" s="0" t="n">
        <v>42</v>
      </c>
      <c r="AR1" s="0" t="n">
        <v>43</v>
      </c>
      <c r="AS1" s="0" t="n">
        <v>44</v>
      </c>
      <c r="AT1" s="0" t="n">
        <v>45</v>
      </c>
      <c r="AU1" s="0" t="n">
        <v>46</v>
      </c>
      <c r="AV1" s="0" t="n">
        <v>47</v>
      </c>
      <c r="AW1" s="0" t="n">
        <v>48</v>
      </c>
      <c r="AX1" s="0" t="n">
        <v>49</v>
      </c>
      <c r="AY1" s="0" t="n">
        <v>50</v>
      </c>
      <c r="AZ1" s="0" t="n">
        <v>51</v>
      </c>
      <c r="BA1" s="0" t="n">
        <v>52</v>
      </c>
      <c r="BB1" s="0" t="n">
        <v>53</v>
      </c>
      <c r="BC1" s="0" t="n">
        <v>54</v>
      </c>
      <c r="BD1" s="0" t="n">
        <v>55</v>
      </c>
      <c r="BE1" s="0" t="n">
        <v>56</v>
      </c>
      <c r="BF1" s="0" t="n">
        <v>57</v>
      </c>
      <c r="BG1" s="0" t="n">
        <v>58</v>
      </c>
      <c r="BH1" s="0" t="n">
        <v>59</v>
      </c>
      <c r="BI1" s="0" t="n">
        <v>60</v>
      </c>
      <c r="BJ1" s="0" t="n">
        <v>61</v>
      </c>
      <c r="BK1" s="0" t="n">
        <v>62</v>
      </c>
      <c r="BL1" s="0" t="n">
        <v>63</v>
      </c>
      <c r="BM1" s="0" t="n">
        <v>64</v>
      </c>
      <c r="BN1" s="0" t="n">
        <v>65</v>
      </c>
      <c r="BO1" s="0" t="n">
        <v>66</v>
      </c>
      <c r="BP1" s="0" t="n">
        <v>67</v>
      </c>
      <c r="BQ1" s="0" t="n">
        <v>68</v>
      </c>
      <c r="BR1" s="0" t="n">
        <v>69</v>
      </c>
      <c r="BS1" s="0" t="n">
        <v>70</v>
      </c>
      <c r="BT1" s="0" t="n">
        <v>71</v>
      </c>
      <c r="BU1" s="0" t="n">
        <v>72</v>
      </c>
      <c r="BV1" s="0" t="n">
        <v>73</v>
      </c>
      <c r="BW1" s="0" t="n">
        <v>74</v>
      </c>
      <c r="BX1" s="0" t="n">
        <v>75</v>
      </c>
      <c r="BY1" s="0" t="n">
        <v>76</v>
      </c>
      <c r="BZ1" s="0" t="n">
        <v>77</v>
      </c>
      <c r="CA1" s="0" t="n">
        <v>78</v>
      </c>
      <c r="CB1" s="0" t="n">
        <v>79</v>
      </c>
      <c r="CC1" s="0" t="n">
        <v>80</v>
      </c>
      <c r="CD1" s="0" t="n">
        <v>81</v>
      </c>
      <c r="CE1" s="0" t="n">
        <v>82</v>
      </c>
      <c r="CF1" s="0" t="n">
        <v>83</v>
      </c>
      <c r="CG1" s="0" t="n">
        <v>84</v>
      </c>
      <c r="CH1" s="0" t="n">
        <v>0</v>
      </c>
      <c r="CI1" s="0" t="n">
        <v>999</v>
      </c>
      <c r="CJ1" s="0" t="n">
        <v>998</v>
      </c>
    </row>
    <row r="2" customFormat="false" ht="12.75" hidden="false" customHeight="false" outlineLevel="0" collapsed="false">
      <c r="A2" s="0" t="n">
        <v>1</v>
      </c>
      <c r="B2" s="0" t="n">
        <f aca="false">VLOOKUP(B$1+1000*$A2,MASTER6!$A$2:$D$8001,4,FALSE())</f>
        <v>32903</v>
      </c>
      <c r="C2" s="0" t="n">
        <f aca="false">VLOOKUP(C$1+1000*$A2,MASTER6!$A$2:$D$8001,4,FALSE())</f>
        <v>221</v>
      </c>
      <c r="D2" s="0" t="n">
        <f aca="false">VLOOKUP(D$1+1000*$A2,MASTER6!$A$2:$D$8001,4,FALSE())</f>
        <v>780</v>
      </c>
      <c r="E2" s="0" t="n">
        <f aca="false">VLOOKUP(E$1+1000*$A2,MASTER6!$A$2:$D$8001,4,FALSE())</f>
        <v>104</v>
      </c>
      <c r="F2" s="0" t="n">
        <f aca="false">VLOOKUP(F$1+1000*$A2,MASTER6!$A$2:$D$8001,4,FALSE())</f>
        <v>65</v>
      </c>
      <c r="G2" s="0" t="n">
        <f aca="false">VLOOKUP(G$1+1000*$A2,MASTER6!$A$2:$D$8001,4,FALSE())</f>
        <v>117</v>
      </c>
      <c r="H2" s="0" t="n">
        <f aca="false">VLOOKUP(H$1+1000*$A2,MASTER6!$A$2:$D$8001,4,FALSE())</f>
        <v>403</v>
      </c>
      <c r="I2" s="0" t="e">
        <f aca="false">VLOOKUP(I$1+1000*$A2,MASTER6!$A$2:$D$8001,4,FALSE())</f>
        <v>#N/A</v>
      </c>
      <c r="J2" s="0" t="e">
        <f aca="false">VLOOKUP(J$1+1000*$A2,MASTER6!$A$2:$D$8001,4,FALSE())</f>
        <v>#N/A</v>
      </c>
      <c r="K2" s="0" t="e">
        <f aca="false">VLOOKUP(K$1+1000*$A2,MASTER6!$A$2:$D$8001,4,FALSE())</f>
        <v>#N/A</v>
      </c>
      <c r="L2" s="0" t="e">
        <f aca="false">VLOOKUP(L$1+1000*$A2,MASTER6!$A$2:$D$8001,4,FALSE())</f>
        <v>#N/A</v>
      </c>
      <c r="M2" s="0" t="e">
        <f aca="false">VLOOKUP(M$1+1000*$A2,MASTER6!$A$2:$D$8001,4,FALSE())</f>
        <v>#N/A</v>
      </c>
      <c r="N2" s="0" t="e">
        <f aca="false">VLOOKUP(N$1+1000*$A2,MASTER6!$A$2:$D$8001,4,FALSE())</f>
        <v>#N/A</v>
      </c>
      <c r="O2" s="0" t="n">
        <f aca="false">VLOOKUP(O$1+1000*$A2,MASTER6!$A$2:$D$8001,4,FALSE())</f>
        <v>65</v>
      </c>
      <c r="P2" s="0" t="e">
        <f aca="false">VLOOKUP(P$1+1000*$A2,MASTER6!$A$2:$D$8001,4,FALSE())</f>
        <v>#N/A</v>
      </c>
      <c r="Q2" s="0" t="n">
        <f aca="false">VLOOKUP(Q$1+1000*$A2,MASTER6!$A$2:$D$8001,4,FALSE())</f>
        <v>273</v>
      </c>
      <c r="R2" s="0" t="e">
        <f aca="false">VLOOKUP(R$1+1000*$A2,MASTER6!$A$2:$D$8001,4,FALSE())</f>
        <v>#N/A</v>
      </c>
      <c r="S2" s="0" t="e">
        <f aca="false">VLOOKUP(S$1+1000*$A2,MASTER6!$A$2:$D$8001,4,FALSE())</f>
        <v>#N/A</v>
      </c>
      <c r="T2" s="0" t="n">
        <f aca="false">VLOOKUP(T$1+1000*$A2,MASTER6!$A$2:$D$8001,4,FALSE())</f>
        <v>26</v>
      </c>
      <c r="U2" s="0" t="e">
        <f aca="false">VLOOKUP(U$1+1000*$A2,MASTER6!$A$2:$D$8001,4,FALSE())</f>
        <v>#N/A</v>
      </c>
      <c r="V2" s="0" t="e">
        <f aca="false">VLOOKUP(V$1+1000*$A2,MASTER6!$A$2:$D$8001,4,FALSE())</f>
        <v>#N/A</v>
      </c>
      <c r="W2" s="0" t="e">
        <f aca="false">VLOOKUP(W$1+1000*$A2,MASTER6!$A$2:$D$8001,4,FALSE())</f>
        <v>#N/A</v>
      </c>
      <c r="X2" s="0" t="e">
        <f aca="false">VLOOKUP(X$1+1000*$A2,MASTER6!$A$2:$D$8001,4,FALSE())</f>
        <v>#N/A</v>
      </c>
      <c r="Y2" s="0" t="e">
        <f aca="false">VLOOKUP(Y$1+1000*$A2,MASTER6!$A$2:$D$8001,4,FALSE())</f>
        <v>#N/A</v>
      </c>
      <c r="Z2" s="0" t="e">
        <f aca="false">VLOOKUP(Z$1+1000*$A2,MASTER6!$A$2:$D$8001,4,FALSE())</f>
        <v>#N/A</v>
      </c>
      <c r="AA2" s="0" t="n">
        <f aca="false">VLOOKUP(AA$1+1000*$A2,MASTER6!$A$2:$D$8001,4,FALSE())</f>
        <v>104</v>
      </c>
      <c r="AB2" s="0" t="e">
        <f aca="false">VLOOKUP(AB$1+1000*$A2,MASTER6!$A$2:$D$8001,4,FALSE())</f>
        <v>#N/A</v>
      </c>
      <c r="AC2" s="0" t="n">
        <f aca="false">VLOOKUP(AC$1+1000*$A2,MASTER6!$A$2:$D$8001,4,FALSE())</f>
        <v>117</v>
      </c>
      <c r="AD2" s="0" t="e">
        <f aca="false">VLOOKUP(AD$1+1000*$A2,MASTER6!$A$2:$D$8001,4,FALSE())</f>
        <v>#N/A</v>
      </c>
      <c r="AE2" s="0" t="e">
        <f aca="false">VLOOKUP(AE$1+1000*$A2,MASTER6!$A$2:$D$8001,4,FALSE())</f>
        <v>#N/A</v>
      </c>
      <c r="AF2" s="0" t="e">
        <f aca="false">VLOOKUP(AF$1+1000*$A2,MASTER6!$A$2:$D$8001,4,FALSE())</f>
        <v>#N/A</v>
      </c>
      <c r="AG2" s="0" t="e">
        <f aca="false">VLOOKUP(AG$1+1000*$A2,MASTER6!$A$2:$D$8001,4,FALSE())</f>
        <v>#N/A</v>
      </c>
      <c r="AH2" s="0" t="e">
        <f aca="false">VLOOKUP(AH$1+1000*$A2,MASTER6!$A$2:$D$8001,4,FALSE())</f>
        <v>#N/A</v>
      </c>
      <c r="AI2" s="0" t="e">
        <f aca="false">VLOOKUP(AI$1+1000*$A2,MASTER6!$A$2:$D$8001,4,FALSE())</f>
        <v>#N/A</v>
      </c>
      <c r="AJ2" s="0" t="e">
        <f aca="false">VLOOKUP(AJ$1+1000*$A2,MASTER6!$A$2:$D$8001,4,FALSE())</f>
        <v>#N/A</v>
      </c>
      <c r="AK2" s="0" t="e">
        <f aca="false">VLOOKUP(AK$1+1000*$A2,MASTER6!$A$2:$D$8001,4,FALSE())</f>
        <v>#N/A</v>
      </c>
      <c r="AL2" s="0" t="e">
        <f aca="false">VLOOKUP(AL$1+1000*$A2,MASTER6!$A$2:$D$8001,4,FALSE())</f>
        <v>#N/A</v>
      </c>
      <c r="AM2" s="0" t="e">
        <f aca="false">VLOOKUP(AM$1+1000*$A2,MASTER6!$A$2:$D$8001,4,FALSE())</f>
        <v>#N/A</v>
      </c>
      <c r="AN2" s="0" t="e">
        <f aca="false">VLOOKUP(AN$1+1000*$A2,MASTER6!$A$2:$D$8001,4,FALSE())</f>
        <v>#N/A</v>
      </c>
      <c r="AO2" s="0" t="n">
        <f aca="false">VLOOKUP(AO$1+1000*$A2,MASTER6!$A$2:$D$8001,4,FALSE())</f>
        <v>91</v>
      </c>
      <c r="AP2" s="0" t="e">
        <f aca="false">VLOOKUP(AP$1+1000*$A2,MASTER6!$A$2:$D$8001,4,FALSE())</f>
        <v>#N/A</v>
      </c>
      <c r="AQ2" s="0" t="e">
        <f aca="false">VLOOKUP(AQ$1+1000*$A2,MASTER6!$A$2:$D$8001,4,FALSE())</f>
        <v>#N/A</v>
      </c>
      <c r="AR2" s="0" t="e">
        <f aca="false">VLOOKUP(AR$1+1000*$A2,MASTER6!$A$2:$D$8001,4,FALSE())</f>
        <v>#N/A</v>
      </c>
      <c r="AS2" s="0" t="e">
        <f aca="false">VLOOKUP(AS$1+1000*$A2,MASTER6!$A$2:$D$8001,4,FALSE())</f>
        <v>#N/A</v>
      </c>
      <c r="AT2" s="0" t="e">
        <f aca="false">VLOOKUP(AT$1+1000*$A2,MASTER6!$A$2:$D$8001,4,FALSE())</f>
        <v>#N/A</v>
      </c>
      <c r="AU2" s="0" t="e">
        <f aca="false">VLOOKUP(AU$1+1000*$A2,MASTER6!$A$2:$D$8001,4,FALSE())</f>
        <v>#N/A</v>
      </c>
      <c r="AV2" s="0" t="e">
        <f aca="false">VLOOKUP(AV$1+1000*$A2,MASTER6!$A$2:$D$8001,4,FALSE())</f>
        <v>#N/A</v>
      </c>
      <c r="AW2" s="0" t="e">
        <f aca="false">VLOOKUP(AW$1+1000*$A2,MASTER6!$A$2:$D$8001,4,FALSE())</f>
        <v>#N/A</v>
      </c>
      <c r="AX2" s="0" t="n">
        <f aca="false">VLOOKUP(AX$1+1000*$A2,MASTER6!$A$2:$D$8001,4,FALSE())</f>
        <v>52</v>
      </c>
      <c r="AY2" s="0" t="e">
        <f aca="false">VLOOKUP(AY$1+1000*$A2,MASTER6!$A$2:$D$8001,4,FALSE())</f>
        <v>#N/A</v>
      </c>
      <c r="AZ2" s="0" t="e">
        <f aca="false">VLOOKUP(AZ$1+1000*$A2,MASTER6!$A$2:$D$8001,4,FALSE())</f>
        <v>#N/A</v>
      </c>
      <c r="BA2" s="0" t="e">
        <f aca="false">VLOOKUP(BA$1+1000*$A2,MASTER6!$A$2:$D$8001,4,FALSE())</f>
        <v>#N/A</v>
      </c>
      <c r="BB2" s="0" t="e">
        <f aca="false">VLOOKUP(BB$1+1000*$A2,MASTER6!$A$2:$D$8001,4,FALSE())</f>
        <v>#N/A</v>
      </c>
      <c r="BC2" s="0" t="e">
        <f aca="false">VLOOKUP(BC$1+1000*$A2,MASTER6!$A$2:$D$8001,4,FALSE())</f>
        <v>#N/A</v>
      </c>
      <c r="BD2" s="0" t="e">
        <f aca="false">VLOOKUP(BD$1+1000*$A2,MASTER6!$A$2:$D$8001,4,FALSE())</f>
        <v>#N/A</v>
      </c>
      <c r="BE2" s="0" t="e">
        <f aca="false">VLOOKUP(BE$1+1000*$A2,MASTER6!$A$2:$D$8001,4,FALSE())</f>
        <v>#N/A</v>
      </c>
      <c r="BF2" s="0" t="e">
        <f aca="false">VLOOKUP(BF$1+1000*$A2,MASTER6!$A$2:$D$8001,4,FALSE())</f>
        <v>#N/A</v>
      </c>
      <c r="BG2" s="0" t="e">
        <f aca="false">VLOOKUP(BG$1+1000*$A2,MASTER6!$A$2:$D$8001,4,FALSE())</f>
        <v>#N/A</v>
      </c>
      <c r="BH2" s="0" t="e">
        <f aca="false">VLOOKUP(BH$1+1000*$A2,MASTER6!$A$2:$D$8001,4,FALSE())</f>
        <v>#N/A</v>
      </c>
      <c r="BI2" s="0" t="e">
        <f aca="false">VLOOKUP(BI$1+1000*$A2,MASTER6!$A$2:$D$8001,4,FALSE())</f>
        <v>#N/A</v>
      </c>
      <c r="BJ2" s="0" t="e">
        <f aca="false">VLOOKUP(BJ$1+1000*$A2,MASTER6!$A$2:$D$8001,4,FALSE())</f>
        <v>#N/A</v>
      </c>
      <c r="BK2" s="0" t="e">
        <f aca="false">VLOOKUP(BK$1+1000*$A2,MASTER6!$A$2:$D$8001,4,FALSE())</f>
        <v>#N/A</v>
      </c>
      <c r="BL2" s="0" t="e">
        <f aca="false">VLOOKUP(BL$1+1000*$A2,MASTER6!$A$2:$D$8001,4,FALSE())</f>
        <v>#N/A</v>
      </c>
      <c r="BM2" s="0" t="e">
        <f aca="false">VLOOKUP(BM$1+1000*$A2,MASTER6!$A$2:$D$8001,4,FALSE())</f>
        <v>#N/A</v>
      </c>
      <c r="BN2" s="0" t="e">
        <f aca="false">VLOOKUP(BN$1+1000*$A2,MASTER6!$A$2:$D$8001,4,FALSE())</f>
        <v>#N/A</v>
      </c>
      <c r="BO2" s="0" t="e">
        <f aca="false">VLOOKUP(BO$1+1000*$A2,MASTER6!$A$2:$D$8001,4,FALSE())</f>
        <v>#N/A</v>
      </c>
      <c r="BP2" s="0" t="e">
        <f aca="false">VLOOKUP(BP$1+1000*$A2,MASTER6!$A$2:$D$8001,4,FALSE())</f>
        <v>#N/A</v>
      </c>
      <c r="BQ2" s="0" t="e">
        <f aca="false">VLOOKUP(BQ$1+1000*$A2,MASTER6!$A$2:$D$8001,4,FALSE())</f>
        <v>#N/A</v>
      </c>
      <c r="BR2" s="0" t="n">
        <f aca="false">VLOOKUP(BR$1+1000*$A2,MASTER6!$A$2:$D$8001,4,FALSE())</f>
        <v>39</v>
      </c>
      <c r="BS2" s="0" t="e">
        <f aca="false">VLOOKUP(BS$1+1000*$A2,MASTER6!$A$2:$D$8001,4,FALSE())</f>
        <v>#N/A</v>
      </c>
      <c r="BT2" s="0" t="e">
        <f aca="false">VLOOKUP(BT$1+1000*$A2,MASTER6!$A$2:$D$8001,4,FALSE())</f>
        <v>#N/A</v>
      </c>
      <c r="BU2" s="0" t="e">
        <f aca="false">VLOOKUP(BU$1+1000*$A2,MASTER6!$A$2:$D$8001,4,FALSE())</f>
        <v>#N/A</v>
      </c>
      <c r="BV2" s="0" t="e">
        <f aca="false">VLOOKUP(BV$1+1000*$A2,MASTER6!$A$2:$D$8001,4,FALSE())</f>
        <v>#N/A</v>
      </c>
      <c r="BW2" s="0" t="e">
        <f aca="false">VLOOKUP(BW$1+1000*$A2,MASTER6!$A$2:$D$8001,4,FALSE())</f>
        <v>#N/A</v>
      </c>
      <c r="BX2" s="0" t="n">
        <f aca="false">VLOOKUP(BX$1+1000*$A2,MASTER6!$A$2:$D$8001,4,FALSE())</f>
        <v>52</v>
      </c>
      <c r="BY2" s="0" t="e">
        <f aca="false">VLOOKUP(BY$1+1000*$A2,MASTER6!$A$2:$D$8001,4,FALSE())</f>
        <v>#N/A</v>
      </c>
      <c r="BZ2" s="0" t="e">
        <f aca="false">VLOOKUP(BZ$1+1000*$A2,MASTER6!$A$2:$D$8001,4,FALSE())</f>
        <v>#N/A</v>
      </c>
      <c r="CA2" s="0" t="e">
        <f aca="false">VLOOKUP(CA$1+1000*$A2,MASTER6!$A$2:$D$8001,4,FALSE())</f>
        <v>#N/A</v>
      </c>
      <c r="CB2" s="0" t="e">
        <f aca="false">VLOOKUP(CB$1+1000*$A2,MASTER6!$A$2:$D$8001,4,FALSE())</f>
        <v>#N/A</v>
      </c>
      <c r="CC2" s="0" t="e">
        <f aca="false">VLOOKUP(CC$1+1000*$A2,MASTER6!$A$2:$D$8001,4,FALSE())</f>
        <v>#N/A</v>
      </c>
      <c r="CD2" s="0" t="e">
        <f aca="false">VLOOKUP(CD$1+1000*$A2,MASTER6!$A$2:$D$8001,4,FALSE())</f>
        <v>#N/A</v>
      </c>
      <c r="CE2" s="0" t="e">
        <f aca="false">VLOOKUP(CE$1+1000*$A2,MASTER6!$A$2:$D$8001,4,FALSE())</f>
        <v>#N/A</v>
      </c>
      <c r="CF2" s="0" t="e">
        <f aca="false">VLOOKUP(CF$1+1000*$A2,MASTER6!$A$2:$D$8001,4,FALSE())</f>
        <v>#N/A</v>
      </c>
      <c r="CG2" s="0" t="e">
        <f aca="false">VLOOKUP(CG$1+1000*$A2,MASTER6!$A$2:$D$8001,4,FALSE())</f>
        <v>#N/A</v>
      </c>
      <c r="CH2" s="0" t="n">
        <f aca="false">VLOOKUP(CH$1+1000*$A2,MASTER6!$A$2:$D$8001,4,FALSE())</f>
        <v>70434</v>
      </c>
      <c r="CI2" s="0" t="e">
        <f aca="false">VLOOKUP(CI$1+1000*$A2,MASTER6!$A$2:$D$8001,4,FALSE())</f>
        <v>#N/A</v>
      </c>
      <c r="CJ2" s="0" t="e">
        <f aca="false">VLOOKUP(CJ$1+1000*$A2,MASTER6!$A$2:$D$8001,4,FALSE())</f>
        <v>#N/A</v>
      </c>
    </row>
    <row r="3" customFormat="false" ht="12.75" hidden="false" customHeight="false" outlineLevel="0" collapsed="false">
      <c r="A3" s="0" t="n">
        <v>2</v>
      </c>
      <c r="B3" s="0" t="n">
        <f aca="false">VLOOKUP(B$1+1000*$A3,MASTER6!$A$2:$D$8001,4,FALSE())</f>
        <v>273</v>
      </c>
      <c r="C3" s="0" t="n">
        <f aca="false">VLOOKUP(C$1+1000*$A3,MASTER6!$A$2:$D$8001,4,FALSE())</f>
        <v>49764</v>
      </c>
      <c r="D3" s="0" t="n">
        <f aca="false">VLOOKUP(D$1+1000*$A3,MASTER6!$A$2:$D$8001,4,FALSE())</f>
        <v>0</v>
      </c>
      <c r="E3" s="0" t="n">
        <f aca="false">VLOOKUP(E$1+1000*$A3,MASTER6!$A$2:$D$8001,4,FALSE())</f>
        <v>273</v>
      </c>
      <c r="F3" s="0" t="n">
        <f aca="false">VLOOKUP(F$1+1000*$A3,MASTER6!$A$2:$D$8001,4,FALSE())</f>
        <v>0</v>
      </c>
      <c r="G3" s="0" t="n">
        <f aca="false">VLOOKUP(G$1+1000*$A3,MASTER6!$A$2:$D$8001,4,FALSE())</f>
        <v>0</v>
      </c>
      <c r="H3" s="0" t="n">
        <f aca="false">VLOOKUP(H$1+1000*$A3,MASTER6!$A$2:$D$8001,4,FALSE())</f>
        <v>0</v>
      </c>
      <c r="I3" s="0" t="e">
        <f aca="false">VLOOKUP(I$1+1000*$A3,MASTER6!$A$2:$D$8001,4,FALSE())</f>
        <v>#N/A</v>
      </c>
      <c r="J3" s="0" t="e">
        <f aca="false">VLOOKUP(J$1+1000*$A3,MASTER6!$A$2:$D$8001,4,FALSE())</f>
        <v>#N/A</v>
      </c>
      <c r="K3" s="0" t="e">
        <f aca="false">VLOOKUP(K$1+1000*$A3,MASTER6!$A$2:$D$8001,4,FALSE())</f>
        <v>#N/A</v>
      </c>
      <c r="L3" s="0" t="e">
        <f aca="false">VLOOKUP(L$1+1000*$A3,MASTER6!$A$2:$D$8001,4,FALSE())</f>
        <v>#N/A</v>
      </c>
      <c r="M3" s="0" t="e">
        <f aca="false">VLOOKUP(M$1+1000*$A3,MASTER6!$A$2:$D$8001,4,FALSE())</f>
        <v>#N/A</v>
      </c>
      <c r="N3" s="0" t="e">
        <f aca="false">VLOOKUP(N$1+1000*$A3,MASTER6!$A$2:$D$8001,4,FALSE())</f>
        <v>#N/A</v>
      </c>
      <c r="O3" s="0" t="n">
        <f aca="false">VLOOKUP(O$1+1000*$A3,MASTER6!$A$2:$D$8001,4,FALSE())</f>
        <v>0</v>
      </c>
      <c r="P3" s="0" t="n">
        <f aca="false">VLOOKUP(P$1+1000*$A3,MASTER6!$A$2:$D$8001,4,FALSE())</f>
        <v>78</v>
      </c>
      <c r="Q3" s="0" t="n">
        <f aca="false">VLOOKUP(Q$1+1000*$A3,MASTER6!$A$2:$D$8001,4,FALSE())</f>
        <v>0</v>
      </c>
      <c r="R3" s="0" t="e">
        <f aca="false">VLOOKUP(R$1+1000*$A3,MASTER6!$A$2:$D$8001,4,FALSE())</f>
        <v>#N/A</v>
      </c>
      <c r="S3" s="0" t="e">
        <f aca="false">VLOOKUP(S$1+1000*$A3,MASTER6!$A$2:$D$8001,4,FALSE())</f>
        <v>#N/A</v>
      </c>
      <c r="T3" s="0" t="n">
        <f aca="false">VLOOKUP(T$1+1000*$A3,MASTER6!$A$2:$D$8001,4,FALSE())</f>
        <v>0</v>
      </c>
      <c r="U3" s="0" t="e">
        <f aca="false">VLOOKUP(U$1+1000*$A3,MASTER6!$A$2:$D$8001,4,FALSE())</f>
        <v>#N/A</v>
      </c>
      <c r="V3" s="0" t="e">
        <f aca="false">VLOOKUP(V$1+1000*$A3,MASTER6!$A$2:$D$8001,4,FALSE())</f>
        <v>#N/A</v>
      </c>
      <c r="W3" s="0" t="e">
        <f aca="false">VLOOKUP(W$1+1000*$A3,MASTER6!$A$2:$D$8001,4,FALSE())</f>
        <v>#N/A</v>
      </c>
      <c r="X3" s="0" t="e">
        <f aca="false">VLOOKUP(X$1+1000*$A3,MASTER6!$A$2:$D$8001,4,FALSE())</f>
        <v>#N/A</v>
      </c>
      <c r="Y3" s="0" t="e">
        <f aca="false">VLOOKUP(Y$1+1000*$A3,MASTER6!$A$2:$D$8001,4,FALSE())</f>
        <v>#N/A</v>
      </c>
      <c r="Z3" s="0" t="e">
        <f aca="false">VLOOKUP(Z$1+1000*$A3,MASTER6!$A$2:$D$8001,4,FALSE())</f>
        <v>#N/A</v>
      </c>
      <c r="AA3" s="0" t="n">
        <f aca="false">VLOOKUP(AA$1+1000*$A3,MASTER6!$A$2:$D$8001,4,FALSE())</f>
        <v>0</v>
      </c>
      <c r="AB3" s="0" t="e">
        <f aca="false">VLOOKUP(AB$1+1000*$A3,MASTER6!$A$2:$D$8001,4,FALSE())</f>
        <v>#N/A</v>
      </c>
      <c r="AC3" s="0" t="n">
        <f aca="false">VLOOKUP(AC$1+1000*$A3,MASTER6!$A$2:$D$8001,4,FALSE())</f>
        <v>0</v>
      </c>
      <c r="AD3" s="0" t="e">
        <f aca="false">VLOOKUP(AD$1+1000*$A3,MASTER6!$A$2:$D$8001,4,FALSE())</f>
        <v>#N/A</v>
      </c>
      <c r="AE3" s="0" t="e">
        <f aca="false">VLOOKUP(AE$1+1000*$A3,MASTER6!$A$2:$D$8001,4,FALSE())</f>
        <v>#N/A</v>
      </c>
      <c r="AF3" s="0" t="e">
        <f aca="false">VLOOKUP(AF$1+1000*$A3,MASTER6!$A$2:$D$8001,4,FALSE())</f>
        <v>#N/A</v>
      </c>
      <c r="AG3" s="0" t="e">
        <f aca="false">VLOOKUP(AG$1+1000*$A3,MASTER6!$A$2:$D$8001,4,FALSE())</f>
        <v>#N/A</v>
      </c>
      <c r="AH3" s="0" t="e">
        <f aca="false">VLOOKUP(AH$1+1000*$A3,MASTER6!$A$2:$D$8001,4,FALSE())</f>
        <v>#N/A</v>
      </c>
      <c r="AI3" s="0" t="e">
        <f aca="false">VLOOKUP(AI$1+1000*$A3,MASTER6!$A$2:$D$8001,4,FALSE())</f>
        <v>#N/A</v>
      </c>
      <c r="AJ3" s="0" t="e">
        <f aca="false">VLOOKUP(AJ$1+1000*$A3,MASTER6!$A$2:$D$8001,4,FALSE())</f>
        <v>#N/A</v>
      </c>
      <c r="AK3" s="0" t="e">
        <f aca="false">VLOOKUP(AK$1+1000*$A3,MASTER6!$A$2:$D$8001,4,FALSE())</f>
        <v>#N/A</v>
      </c>
      <c r="AL3" s="0" t="e">
        <f aca="false">VLOOKUP(AL$1+1000*$A3,MASTER6!$A$2:$D$8001,4,FALSE())</f>
        <v>#N/A</v>
      </c>
      <c r="AM3" s="0" t="e">
        <f aca="false">VLOOKUP(AM$1+1000*$A3,MASTER6!$A$2:$D$8001,4,FALSE())</f>
        <v>#N/A</v>
      </c>
      <c r="AN3" s="0" t="e">
        <f aca="false">VLOOKUP(AN$1+1000*$A3,MASTER6!$A$2:$D$8001,4,FALSE())</f>
        <v>#N/A</v>
      </c>
      <c r="AO3" s="0" t="n">
        <f aca="false">VLOOKUP(AO$1+1000*$A3,MASTER6!$A$2:$D$8001,4,FALSE())</f>
        <v>0</v>
      </c>
      <c r="AP3" s="0" t="e">
        <f aca="false">VLOOKUP(AP$1+1000*$A3,MASTER6!$A$2:$D$8001,4,FALSE())</f>
        <v>#N/A</v>
      </c>
      <c r="AQ3" s="0" t="e">
        <f aca="false">VLOOKUP(AQ$1+1000*$A3,MASTER6!$A$2:$D$8001,4,FALSE())</f>
        <v>#N/A</v>
      </c>
      <c r="AR3" s="0" t="e">
        <f aca="false">VLOOKUP(AR$1+1000*$A3,MASTER6!$A$2:$D$8001,4,FALSE())</f>
        <v>#N/A</v>
      </c>
      <c r="AS3" s="0" t="e">
        <f aca="false">VLOOKUP(AS$1+1000*$A3,MASTER6!$A$2:$D$8001,4,FALSE())</f>
        <v>#N/A</v>
      </c>
      <c r="AT3" s="0" t="e">
        <f aca="false">VLOOKUP(AT$1+1000*$A3,MASTER6!$A$2:$D$8001,4,FALSE())</f>
        <v>#N/A</v>
      </c>
      <c r="AU3" s="0" t="e">
        <f aca="false">VLOOKUP(AU$1+1000*$A3,MASTER6!$A$2:$D$8001,4,FALSE())</f>
        <v>#N/A</v>
      </c>
      <c r="AV3" s="0" t="e">
        <f aca="false">VLOOKUP(AV$1+1000*$A3,MASTER6!$A$2:$D$8001,4,FALSE())</f>
        <v>#N/A</v>
      </c>
      <c r="AW3" s="0" t="e">
        <f aca="false">VLOOKUP(AW$1+1000*$A3,MASTER6!$A$2:$D$8001,4,FALSE())</f>
        <v>#N/A</v>
      </c>
      <c r="AX3" s="0" t="n">
        <f aca="false">VLOOKUP(AX$1+1000*$A3,MASTER6!$A$2:$D$8001,4,FALSE())</f>
        <v>0</v>
      </c>
      <c r="AY3" s="0" t="e">
        <f aca="false">VLOOKUP(AY$1+1000*$A3,MASTER6!$A$2:$D$8001,4,FALSE())</f>
        <v>#N/A</v>
      </c>
      <c r="AZ3" s="0" t="e">
        <f aca="false">VLOOKUP(AZ$1+1000*$A3,MASTER6!$A$2:$D$8001,4,FALSE())</f>
        <v>#N/A</v>
      </c>
      <c r="BA3" s="0" t="e">
        <f aca="false">VLOOKUP(BA$1+1000*$A3,MASTER6!$A$2:$D$8001,4,FALSE())</f>
        <v>#N/A</v>
      </c>
      <c r="BB3" s="0" t="e">
        <f aca="false">VLOOKUP(BB$1+1000*$A3,MASTER6!$A$2:$D$8001,4,FALSE())</f>
        <v>#N/A</v>
      </c>
      <c r="BC3" s="0" t="e">
        <f aca="false">VLOOKUP(BC$1+1000*$A3,MASTER6!$A$2:$D$8001,4,FALSE())</f>
        <v>#N/A</v>
      </c>
      <c r="BD3" s="0" t="e">
        <f aca="false">VLOOKUP(BD$1+1000*$A3,MASTER6!$A$2:$D$8001,4,FALSE())</f>
        <v>#N/A</v>
      </c>
      <c r="BE3" s="0" t="e">
        <f aca="false">VLOOKUP(BE$1+1000*$A3,MASTER6!$A$2:$D$8001,4,FALSE())</f>
        <v>#N/A</v>
      </c>
      <c r="BF3" s="0" t="e">
        <f aca="false">VLOOKUP(BF$1+1000*$A3,MASTER6!$A$2:$D$8001,4,FALSE())</f>
        <v>#N/A</v>
      </c>
      <c r="BG3" s="0" t="e">
        <f aca="false">VLOOKUP(BG$1+1000*$A3,MASTER6!$A$2:$D$8001,4,FALSE())</f>
        <v>#N/A</v>
      </c>
      <c r="BH3" s="0" t="e">
        <f aca="false">VLOOKUP(BH$1+1000*$A3,MASTER6!$A$2:$D$8001,4,FALSE())</f>
        <v>#N/A</v>
      </c>
      <c r="BI3" s="0" t="e">
        <f aca="false">VLOOKUP(BI$1+1000*$A3,MASTER6!$A$2:$D$8001,4,FALSE())</f>
        <v>#N/A</v>
      </c>
      <c r="BJ3" s="0" t="e">
        <f aca="false">VLOOKUP(BJ$1+1000*$A3,MASTER6!$A$2:$D$8001,4,FALSE())</f>
        <v>#N/A</v>
      </c>
      <c r="BK3" s="0" t="e">
        <f aca="false">VLOOKUP(BK$1+1000*$A3,MASTER6!$A$2:$D$8001,4,FALSE())</f>
        <v>#N/A</v>
      </c>
      <c r="BL3" s="0" t="e">
        <f aca="false">VLOOKUP(BL$1+1000*$A3,MASTER6!$A$2:$D$8001,4,FALSE())</f>
        <v>#N/A</v>
      </c>
      <c r="BM3" s="0" t="e">
        <f aca="false">VLOOKUP(BM$1+1000*$A3,MASTER6!$A$2:$D$8001,4,FALSE())</f>
        <v>#N/A</v>
      </c>
      <c r="BN3" s="0" t="n">
        <f aca="false">VLOOKUP(BN$1+1000*$A3,MASTER6!$A$2:$D$8001,4,FALSE())</f>
        <v>104</v>
      </c>
      <c r="BO3" s="0" t="e">
        <f aca="false">VLOOKUP(BO$1+1000*$A3,MASTER6!$A$2:$D$8001,4,FALSE())</f>
        <v>#N/A</v>
      </c>
      <c r="BP3" s="0" t="e">
        <f aca="false">VLOOKUP(BP$1+1000*$A3,MASTER6!$A$2:$D$8001,4,FALSE())</f>
        <v>#N/A</v>
      </c>
      <c r="BQ3" s="0" t="e">
        <f aca="false">VLOOKUP(BQ$1+1000*$A3,MASTER6!$A$2:$D$8001,4,FALSE())</f>
        <v>#N/A</v>
      </c>
      <c r="BR3" s="0" t="n">
        <f aca="false">VLOOKUP(BR$1+1000*$A3,MASTER6!$A$2:$D$8001,4,FALSE())</f>
        <v>0</v>
      </c>
      <c r="BS3" s="0" t="e">
        <f aca="false">VLOOKUP(BS$1+1000*$A3,MASTER6!$A$2:$D$8001,4,FALSE())</f>
        <v>#N/A</v>
      </c>
      <c r="BT3" s="0" t="e">
        <f aca="false">VLOOKUP(BT$1+1000*$A3,MASTER6!$A$2:$D$8001,4,FALSE())</f>
        <v>#N/A</v>
      </c>
      <c r="BU3" s="0" t="e">
        <f aca="false">VLOOKUP(BU$1+1000*$A3,MASTER6!$A$2:$D$8001,4,FALSE())</f>
        <v>#N/A</v>
      </c>
      <c r="BV3" s="0" t="e">
        <f aca="false">VLOOKUP(BV$1+1000*$A3,MASTER6!$A$2:$D$8001,4,FALSE())</f>
        <v>#N/A</v>
      </c>
      <c r="BW3" s="0" t="e">
        <f aca="false">VLOOKUP(BW$1+1000*$A3,MASTER6!$A$2:$D$8001,4,FALSE())</f>
        <v>#N/A</v>
      </c>
      <c r="BX3" s="0" t="n">
        <f aca="false">VLOOKUP(BX$1+1000*$A3,MASTER6!$A$2:$D$8001,4,FALSE())</f>
        <v>0</v>
      </c>
      <c r="BY3" s="0" t="e">
        <f aca="false">VLOOKUP(BY$1+1000*$A3,MASTER6!$A$2:$D$8001,4,FALSE())</f>
        <v>#N/A</v>
      </c>
      <c r="BZ3" s="0" t="e">
        <f aca="false">VLOOKUP(BZ$1+1000*$A3,MASTER6!$A$2:$D$8001,4,FALSE())</f>
        <v>#N/A</v>
      </c>
      <c r="CA3" s="0" t="e">
        <f aca="false">VLOOKUP(CA$1+1000*$A3,MASTER6!$A$2:$D$8001,4,FALSE())</f>
        <v>#N/A</v>
      </c>
      <c r="CB3" s="0" t="e">
        <f aca="false">VLOOKUP(CB$1+1000*$A3,MASTER6!$A$2:$D$8001,4,FALSE())</f>
        <v>#N/A</v>
      </c>
      <c r="CC3" s="0" t="e">
        <f aca="false">VLOOKUP(CC$1+1000*$A3,MASTER6!$A$2:$D$8001,4,FALSE())</f>
        <v>#N/A</v>
      </c>
      <c r="CD3" s="0" t="e">
        <f aca="false">VLOOKUP(CD$1+1000*$A3,MASTER6!$A$2:$D$8001,4,FALSE())</f>
        <v>#N/A</v>
      </c>
      <c r="CE3" s="0" t="e">
        <f aca="false">VLOOKUP(CE$1+1000*$A3,MASTER6!$A$2:$D$8001,4,FALSE())</f>
        <v>#N/A</v>
      </c>
      <c r="CF3" s="0" t="e">
        <f aca="false">VLOOKUP(CF$1+1000*$A3,MASTER6!$A$2:$D$8001,4,FALSE())</f>
        <v>#N/A</v>
      </c>
      <c r="CG3" s="0" t="e">
        <f aca="false">VLOOKUP(CG$1+1000*$A3,MASTER6!$A$2:$D$8001,4,FALSE())</f>
        <v>#N/A</v>
      </c>
      <c r="CH3" s="0" t="n">
        <f aca="false">VLOOKUP(CH$1+1000*$A3,MASTER6!$A$2:$D$8001,4,FALSE())</f>
        <v>70551</v>
      </c>
      <c r="CI3" s="0" t="e">
        <f aca="false">VLOOKUP(CI$1+1000*$A3,MASTER6!$A$2:$D$8001,4,FALSE())</f>
        <v>#N/A</v>
      </c>
      <c r="CJ3" s="0" t="e">
        <f aca="false">VLOOKUP(CJ$1+1000*$A3,MASTER6!$A$2:$D$8001,4,FALSE())</f>
        <v>#N/A</v>
      </c>
    </row>
    <row r="4" customFormat="false" ht="12.75" hidden="false" customHeight="false" outlineLevel="0" collapsed="false">
      <c r="A4" s="0" t="n">
        <v>3</v>
      </c>
      <c r="B4" s="0" t="n">
        <f aca="false">VLOOKUP(B$1+1000*$A4,MASTER6!$A$2:$D$8001,4,FALSE())</f>
        <v>650</v>
      </c>
      <c r="C4" s="0" t="n">
        <f aca="false">VLOOKUP(C$1+1000*$A4,MASTER6!$A$2:$D$8001,4,FALSE())</f>
        <v>117</v>
      </c>
      <c r="D4" s="0" t="n">
        <f aca="false">VLOOKUP(D$1+1000*$A4,MASTER6!$A$2:$D$8001,4,FALSE())</f>
        <v>55562</v>
      </c>
      <c r="E4" s="0" t="n">
        <f aca="false">VLOOKUP(E$1+1000*$A4,MASTER6!$A$2:$D$8001,4,FALSE())</f>
        <v>52</v>
      </c>
      <c r="F4" s="0" t="n">
        <f aca="false">VLOOKUP(F$1+1000*$A4,MASTER6!$A$2:$D$8001,4,FALSE())</f>
        <v>1235</v>
      </c>
      <c r="G4" s="0" t="n">
        <f aca="false">VLOOKUP(G$1+1000*$A4,MASTER6!$A$2:$D$8001,4,FALSE())</f>
        <v>91</v>
      </c>
      <c r="H4" s="0" t="n">
        <f aca="false">VLOOKUP(H$1+1000*$A4,MASTER6!$A$2:$D$8001,4,FALSE())</f>
        <v>0</v>
      </c>
      <c r="I4" s="0" t="e">
        <f aca="false">VLOOKUP(I$1+1000*$A4,MASTER6!$A$2:$D$8001,4,FALSE())</f>
        <v>#N/A</v>
      </c>
      <c r="J4" s="0" t="e">
        <f aca="false">VLOOKUP(J$1+1000*$A4,MASTER6!$A$2:$D$8001,4,FALSE())</f>
        <v>#N/A</v>
      </c>
      <c r="K4" s="0" t="n">
        <f aca="false">VLOOKUP(K$1+1000*$A4,MASTER6!$A$2:$D$8001,4,FALSE())</f>
        <v>91</v>
      </c>
      <c r="L4" s="0" t="e">
        <f aca="false">VLOOKUP(L$1+1000*$A4,MASTER6!$A$2:$D$8001,4,FALSE())</f>
        <v>#N/A</v>
      </c>
      <c r="M4" s="0" t="e">
        <f aca="false">VLOOKUP(M$1+1000*$A4,MASTER6!$A$2:$D$8001,4,FALSE())</f>
        <v>#N/A</v>
      </c>
      <c r="N4" s="0" t="e">
        <f aca="false">VLOOKUP(N$1+1000*$A4,MASTER6!$A$2:$D$8001,4,FALSE())</f>
        <v>#N/A</v>
      </c>
      <c r="O4" s="0" t="n">
        <f aca="false">VLOOKUP(O$1+1000*$A4,MASTER6!$A$2:$D$8001,4,FALSE())</f>
        <v>52</v>
      </c>
      <c r="P4" s="0" t="n">
        <f aca="false">VLOOKUP(P$1+1000*$A4,MASTER6!$A$2:$D$8001,4,FALSE())</f>
        <v>0</v>
      </c>
      <c r="Q4" s="0" t="n">
        <f aca="false">VLOOKUP(Q$1+1000*$A4,MASTER6!$A$2:$D$8001,4,FALSE())</f>
        <v>0</v>
      </c>
      <c r="R4" s="0" t="n">
        <f aca="false">VLOOKUP(R$1+1000*$A4,MASTER6!$A$2:$D$8001,4,FALSE())</f>
        <v>91</v>
      </c>
      <c r="S4" s="0" t="n">
        <f aca="false">VLOOKUP(S$1+1000*$A4,MASTER6!$A$2:$D$8001,4,FALSE())</f>
        <v>130</v>
      </c>
      <c r="T4" s="0" t="n">
        <f aca="false">VLOOKUP(T$1+1000*$A4,MASTER6!$A$2:$D$8001,4,FALSE())</f>
        <v>91</v>
      </c>
      <c r="U4" s="0" t="e">
        <f aca="false">VLOOKUP(U$1+1000*$A4,MASTER6!$A$2:$D$8001,4,FALSE())</f>
        <v>#N/A</v>
      </c>
      <c r="V4" s="0" t="n">
        <f aca="false">VLOOKUP(V$1+1000*$A4,MASTER6!$A$2:$D$8001,4,FALSE())</f>
        <v>299</v>
      </c>
      <c r="W4" s="0" t="e">
        <f aca="false">VLOOKUP(W$1+1000*$A4,MASTER6!$A$2:$D$8001,4,FALSE())</f>
        <v>#N/A</v>
      </c>
      <c r="X4" s="0" t="e">
        <f aca="false">VLOOKUP(X$1+1000*$A4,MASTER6!$A$2:$D$8001,4,FALSE())</f>
        <v>#N/A</v>
      </c>
      <c r="Y4" s="0" t="e">
        <f aca="false">VLOOKUP(Y$1+1000*$A4,MASTER6!$A$2:$D$8001,4,FALSE())</f>
        <v>#N/A</v>
      </c>
      <c r="Z4" s="0" t="e">
        <f aca="false">VLOOKUP(Z$1+1000*$A4,MASTER6!$A$2:$D$8001,4,FALSE())</f>
        <v>#N/A</v>
      </c>
      <c r="AA4" s="0" t="n">
        <f aca="false">VLOOKUP(AA$1+1000*$A4,MASTER6!$A$2:$D$8001,4,FALSE())</f>
        <v>0</v>
      </c>
      <c r="AB4" s="0" t="e">
        <f aca="false">VLOOKUP(AB$1+1000*$A4,MASTER6!$A$2:$D$8001,4,FALSE())</f>
        <v>#N/A</v>
      </c>
      <c r="AC4" s="0" t="n">
        <f aca="false">VLOOKUP(AC$1+1000*$A4,MASTER6!$A$2:$D$8001,4,FALSE())</f>
        <v>169</v>
      </c>
      <c r="AD4" s="0" t="e">
        <f aca="false">VLOOKUP(AD$1+1000*$A4,MASTER6!$A$2:$D$8001,4,FALSE())</f>
        <v>#N/A</v>
      </c>
      <c r="AE4" s="0" t="e">
        <f aca="false">VLOOKUP(AE$1+1000*$A4,MASTER6!$A$2:$D$8001,4,FALSE())</f>
        <v>#N/A</v>
      </c>
      <c r="AF4" s="0" t="e">
        <f aca="false">VLOOKUP(AF$1+1000*$A4,MASTER6!$A$2:$D$8001,4,FALSE())</f>
        <v>#N/A</v>
      </c>
      <c r="AG4" s="0" t="e">
        <f aca="false">VLOOKUP(AG$1+1000*$A4,MASTER6!$A$2:$D$8001,4,FALSE())</f>
        <v>#N/A</v>
      </c>
      <c r="AH4" s="0" t="e">
        <f aca="false">VLOOKUP(AH$1+1000*$A4,MASTER6!$A$2:$D$8001,4,FALSE())</f>
        <v>#N/A</v>
      </c>
      <c r="AI4" s="0" t="e">
        <f aca="false">VLOOKUP(AI$1+1000*$A4,MASTER6!$A$2:$D$8001,4,FALSE())</f>
        <v>#N/A</v>
      </c>
      <c r="AJ4" s="0" t="n">
        <f aca="false">VLOOKUP(AJ$1+1000*$A4,MASTER6!$A$2:$D$8001,4,FALSE())</f>
        <v>52</v>
      </c>
      <c r="AK4" s="0" t="e">
        <f aca="false">VLOOKUP(AK$1+1000*$A4,MASTER6!$A$2:$D$8001,4,FALSE())</f>
        <v>#N/A</v>
      </c>
      <c r="AL4" s="0" t="e">
        <f aca="false">VLOOKUP(AL$1+1000*$A4,MASTER6!$A$2:$D$8001,4,FALSE())</f>
        <v>#N/A</v>
      </c>
      <c r="AM4" s="0" t="e">
        <f aca="false">VLOOKUP(AM$1+1000*$A4,MASTER6!$A$2:$D$8001,4,FALSE())</f>
        <v>#N/A</v>
      </c>
      <c r="AN4" s="0" t="e">
        <f aca="false">VLOOKUP(AN$1+1000*$A4,MASTER6!$A$2:$D$8001,4,FALSE())</f>
        <v>#N/A</v>
      </c>
      <c r="AO4" s="0" t="n">
        <f aca="false">VLOOKUP(AO$1+1000*$A4,MASTER6!$A$2:$D$8001,4,FALSE())</f>
        <v>0</v>
      </c>
      <c r="AP4" s="0" t="e">
        <f aca="false">VLOOKUP(AP$1+1000*$A4,MASTER6!$A$2:$D$8001,4,FALSE())</f>
        <v>#N/A</v>
      </c>
      <c r="AQ4" s="0" t="e">
        <f aca="false">VLOOKUP(AQ$1+1000*$A4,MASTER6!$A$2:$D$8001,4,FALSE())</f>
        <v>#N/A</v>
      </c>
      <c r="AR4" s="0" t="e">
        <f aca="false">VLOOKUP(AR$1+1000*$A4,MASTER6!$A$2:$D$8001,4,FALSE())</f>
        <v>#N/A</v>
      </c>
      <c r="AS4" s="0" t="e">
        <f aca="false">VLOOKUP(AS$1+1000*$A4,MASTER6!$A$2:$D$8001,4,FALSE())</f>
        <v>#N/A</v>
      </c>
      <c r="AT4" s="0" t="e">
        <f aca="false">VLOOKUP(AT$1+1000*$A4,MASTER6!$A$2:$D$8001,4,FALSE())</f>
        <v>#N/A</v>
      </c>
      <c r="AU4" s="0" t="e">
        <f aca="false">VLOOKUP(AU$1+1000*$A4,MASTER6!$A$2:$D$8001,4,FALSE())</f>
        <v>#N/A</v>
      </c>
      <c r="AV4" s="0" t="e">
        <f aca="false">VLOOKUP(AV$1+1000*$A4,MASTER6!$A$2:$D$8001,4,FALSE())</f>
        <v>#N/A</v>
      </c>
      <c r="AW4" s="0" t="e">
        <f aca="false">VLOOKUP(AW$1+1000*$A4,MASTER6!$A$2:$D$8001,4,FALSE())</f>
        <v>#N/A</v>
      </c>
      <c r="AX4" s="0" t="n">
        <f aca="false">VLOOKUP(AX$1+1000*$A4,MASTER6!$A$2:$D$8001,4,FALSE())</f>
        <v>182</v>
      </c>
      <c r="AY4" s="0" t="e">
        <f aca="false">VLOOKUP(AY$1+1000*$A4,MASTER6!$A$2:$D$8001,4,FALSE())</f>
        <v>#N/A</v>
      </c>
      <c r="AZ4" s="0" t="n">
        <f aca="false">VLOOKUP(AZ$1+1000*$A4,MASTER6!$A$2:$D$8001,4,FALSE())</f>
        <v>104</v>
      </c>
      <c r="BA4" s="0" t="e">
        <f aca="false">VLOOKUP(BA$1+1000*$A4,MASTER6!$A$2:$D$8001,4,FALSE())</f>
        <v>#N/A</v>
      </c>
      <c r="BB4" s="0" t="e">
        <f aca="false">VLOOKUP(BB$1+1000*$A4,MASTER6!$A$2:$D$8001,4,FALSE())</f>
        <v>#N/A</v>
      </c>
      <c r="BC4" s="0" t="e">
        <f aca="false">VLOOKUP(BC$1+1000*$A4,MASTER6!$A$2:$D$8001,4,FALSE())</f>
        <v>#N/A</v>
      </c>
      <c r="BD4" s="0" t="e">
        <f aca="false">VLOOKUP(BD$1+1000*$A4,MASTER6!$A$2:$D$8001,4,FALSE())</f>
        <v>#N/A</v>
      </c>
      <c r="BE4" s="0" t="e">
        <f aca="false">VLOOKUP(BE$1+1000*$A4,MASTER6!$A$2:$D$8001,4,FALSE())</f>
        <v>#N/A</v>
      </c>
      <c r="BF4" s="0" t="e">
        <f aca="false">VLOOKUP(BF$1+1000*$A4,MASTER6!$A$2:$D$8001,4,FALSE())</f>
        <v>#N/A</v>
      </c>
      <c r="BG4" s="0" t="e">
        <f aca="false">VLOOKUP(BG$1+1000*$A4,MASTER6!$A$2:$D$8001,4,FALSE())</f>
        <v>#N/A</v>
      </c>
      <c r="BH4" s="0" t="e">
        <f aca="false">VLOOKUP(BH$1+1000*$A4,MASTER6!$A$2:$D$8001,4,FALSE())</f>
        <v>#N/A</v>
      </c>
      <c r="BI4" s="0" t="e">
        <f aca="false">VLOOKUP(BI$1+1000*$A4,MASTER6!$A$2:$D$8001,4,FALSE())</f>
        <v>#N/A</v>
      </c>
      <c r="BJ4" s="0" t="e">
        <f aca="false">VLOOKUP(BJ$1+1000*$A4,MASTER6!$A$2:$D$8001,4,FALSE())</f>
        <v>#N/A</v>
      </c>
      <c r="BK4" s="0" t="e">
        <f aca="false">VLOOKUP(BK$1+1000*$A4,MASTER6!$A$2:$D$8001,4,FALSE())</f>
        <v>#N/A</v>
      </c>
      <c r="BL4" s="0" t="e">
        <f aca="false">VLOOKUP(BL$1+1000*$A4,MASTER6!$A$2:$D$8001,4,FALSE())</f>
        <v>#N/A</v>
      </c>
      <c r="BM4" s="0" t="e">
        <f aca="false">VLOOKUP(BM$1+1000*$A4,MASTER6!$A$2:$D$8001,4,FALSE())</f>
        <v>#N/A</v>
      </c>
      <c r="BN4" s="0" t="n">
        <f aca="false">VLOOKUP(BN$1+1000*$A4,MASTER6!$A$2:$D$8001,4,FALSE())</f>
        <v>0</v>
      </c>
      <c r="BO4" s="0" t="e">
        <f aca="false">VLOOKUP(BO$1+1000*$A4,MASTER6!$A$2:$D$8001,4,FALSE())</f>
        <v>#N/A</v>
      </c>
      <c r="BP4" s="0" t="e">
        <f aca="false">VLOOKUP(BP$1+1000*$A4,MASTER6!$A$2:$D$8001,4,FALSE())</f>
        <v>#N/A</v>
      </c>
      <c r="BQ4" s="0" t="e">
        <f aca="false">VLOOKUP(BQ$1+1000*$A4,MASTER6!$A$2:$D$8001,4,FALSE())</f>
        <v>#N/A</v>
      </c>
      <c r="BR4" s="0" t="n">
        <f aca="false">VLOOKUP(BR$1+1000*$A4,MASTER6!$A$2:$D$8001,4,FALSE())</f>
        <v>0</v>
      </c>
      <c r="BS4" s="0" t="e">
        <f aca="false">VLOOKUP(BS$1+1000*$A4,MASTER6!$A$2:$D$8001,4,FALSE())</f>
        <v>#N/A</v>
      </c>
      <c r="BT4" s="0" t="e">
        <f aca="false">VLOOKUP(BT$1+1000*$A4,MASTER6!$A$2:$D$8001,4,FALSE())</f>
        <v>#N/A</v>
      </c>
      <c r="BU4" s="0" t="n">
        <f aca="false">VLOOKUP(BU$1+1000*$A4,MASTER6!$A$2:$D$8001,4,FALSE())</f>
        <v>78</v>
      </c>
      <c r="BV4" s="0" t="e">
        <f aca="false">VLOOKUP(BV$1+1000*$A4,MASTER6!$A$2:$D$8001,4,FALSE())</f>
        <v>#N/A</v>
      </c>
      <c r="BW4" s="0" t="e">
        <f aca="false">VLOOKUP(BW$1+1000*$A4,MASTER6!$A$2:$D$8001,4,FALSE())</f>
        <v>#N/A</v>
      </c>
      <c r="BX4" s="0" t="n">
        <f aca="false">VLOOKUP(BX$1+1000*$A4,MASTER6!$A$2:$D$8001,4,FALSE())</f>
        <v>0</v>
      </c>
      <c r="BY4" s="0" t="e">
        <f aca="false">VLOOKUP(BY$1+1000*$A4,MASTER6!$A$2:$D$8001,4,FALSE())</f>
        <v>#N/A</v>
      </c>
      <c r="BZ4" s="0" t="e">
        <f aca="false">VLOOKUP(BZ$1+1000*$A4,MASTER6!$A$2:$D$8001,4,FALSE())</f>
        <v>#N/A</v>
      </c>
      <c r="CA4" s="0" t="e">
        <f aca="false">VLOOKUP(CA$1+1000*$A4,MASTER6!$A$2:$D$8001,4,FALSE())</f>
        <v>#N/A</v>
      </c>
      <c r="CB4" s="0" t="n">
        <f aca="false">VLOOKUP(CB$1+1000*$A4,MASTER6!$A$2:$D$8001,4,FALSE())</f>
        <v>117</v>
      </c>
      <c r="CC4" s="0" t="e">
        <f aca="false">VLOOKUP(CC$1+1000*$A4,MASTER6!$A$2:$D$8001,4,FALSE())</f>
        <v>#N/A</v>
      </c>
      <c r="CD4" s="0" t="e">
        <f aca="false">VLOOKUP(CD$1+1000*$A4,MASTER6!$A$2:$D$8001,4,FALSE())</f>
        <v>#N/A</v>
      </c>
      <c r="CE4" s="0" t="e">
        <f aca="false">VLOOKUP(CE$1+1000*$A4,MASTER6!$A$2:$D$8001,4,FALSE())</f>
        <v>#N/A</v>
      </c>
      <c r="CF4" s="0" t="e">
        <f aca="false">VLOOKUP(CF$1+1000*$A4,MASTER6!$A$2:$D$8001,4,FALSE())</f>
        <v>#N/A</v>
      </c>
      <c r="CG4" s="0" t="e">
        <f aca="false">VLOOKUP(CG$1+1000*$A4,MASTER6!$A$2:$D$8001,4,FALSE())</f>
        <v>#N/A</v>
      </c>
      <c r="CH4" s="0" t="n">
        <f aca="false">VLOOKUP(CH$1+1000*$A4,MASTER6!$A$2:$D$8001,4,FALSE())</f>
        <v>93327</v>
      </c>
      <c r="CI4" s="0" t="e">
        <f aca="false">VLOOKUP(CI$1+1000*$A4,MASTER6!$A$2:$D$8001,4,FALSE())</f>
        <v>#N/A</v>
      </c>
      <c r="CJ4" s="0" t="e">
        <f aca="false">VLOOKUP(CJ$1+1000*$A4,MASTER6!$A$2:$D$8001,4,FALSE())</f>
        <v>#N/A</v>
      </c>
    </row>
    <row r="5" customFormat="false" ht="12.75" hidden="false" customHeight="false" outlineLevel="0" collapsed="false">
      <c r="A5" s="0" t="n">
        <v>4</v>
      </c>
      <c r="B5" s="0" t="n">
        <f aca="false">VLOOKUP(B$1+1000*$A5,MASTER6!$A$2:$D$8001,4,FALSE())</f>
        <v>0</v>
      </c>
      <c r="C5" s="0" t="n">
        <f aca="false">VLOOKUP(C$1+1000*$A5,MASTER6!$A$2:$D$8001,4,FALSE())</f>
        <v>0</v>
      </c>
      <c r="D5" s="0" t="n">
        <f aca="false">VLOOKUP(D$1+1000*$A5,MASTER6!$A$2:$D$8001,4,FALSE())</f>
        <v>0</v>
      </c>
      <c r="E5" s="0" t="n">
        <f aca="false">VLOOKUP(E$1+1000*$A5,MASTER6!$A$2:$D$8001,4,FALSE())</f>
        <v>47697</v>
      </c>
      <c r="F5" s="0" t="n">
        <f aca="false">VLOOKUP(F$1+1000*$A5,MASTER6!$A$2:$D$8001,4,FALSE())</f>
        <v>39</v>
      </c>
      <c r="G5" s="0" t="n">
        <f aca="false">VLOOKUP(G$1+1000*$A5,MASTER6!$A$2:$D$8001,4,FALSE())</f>
        <v>0</v>
      </c>
      <c r="H5" s="0" t="n">
        <f aca="false">VLOOKUP(H$1+1000*$A5,MASTER6!$A$2:$D$8001,4,FALSE())</f>
        <v>182</v>
      </c>
      <c r="I5" s="0" t="n">
        <f aca="false">VLOOKUP(I$1+1000*$A5,MASTER6!$A$2:$D$8001,4,FALSE())</f>
        <v>117</v>
      </c>
      <c r="J5" s="0" t="n">
        <f aca="false">VLOOKUP(J$1+1000*$A5,MASTER6!$A$2:$D$8001,4,FALSE())</f>
        <v>65</v>
      </c>
      <c r="K5" s="0" t="n">
        <f aca="false">VLOOKUP(K$1+1000*$A5,MASTER6!$A$2:$D$8001,4,FALSE())</f>
        <v>0</v>
      </c>
      <c r="L5" s="0" t="e">
        <f aca="false">VLOOKUP(L$1+1000*$A5,MASTER6!$A$2:$D$8001,4,FALSE())</f>
        <v>#N/A</v>
      </c>
      <c r="M5" s="0" t="e">
        <f aca="false">VLOOKUP(M$1+1000*$A5,MASTER6!$A$2:$D$8001,4,FALSE())</f>
        <v>#N/A</v>
      </c>
      <c r="N5" s="0" t="n">
        <f aca="false">VLOOKUP(N$1+1000*$A5,MASTER6!$A$2:$D$8001,4,FALSE())</f>
        <v>260</v>
      </c>
      <c r="O5" s="0" t="n">
        <f aca="false">VLOOKUP(O$1+1000*$A5,MASTER6!$A$2:$D$8001,4,FALSE())</f>
        <v>1209</v>
      </c>
      <c r="P5" s="0" t="n">
        <f aca="false">VLOOKUP(P$1+1000*$A5,MASTER6!$A$2:$D$8001,4,FALSE())</f>
        <v>312</v>
      </c>
      <c r="Q5" s="0" t="n">
        <f aca="false">VLOOKUP(Q$1+1000*$A5,MASTER6!$A$2:$D$8001,4,FALSE())</f>
        <v>0</v>
      </c>
      <c r="R5" s="0" t="n">
        <f aca="false">VLOOKUP(R$1+1000*$A5,MASTER6!$A$2:$D$8001,4,FALSE())</f>
        <v>0</v>
      </c>
      <c r="S5" s="0" t="n">
        <f aca="false">VLOOKUP(S$1+1000*$A5,MASTER6!$A$2:$D$8001,4,FALSE())</f>
        <v>0</v>
      </c>
      <c r="T5" s="0" t="n">
        <f aca="false">VLOOKUP(T$1+1000*$A5,MASTER6!$A$2:$D$8001,4,FALSE())</f>
        <v>429</v>
      </c>
      <c r="U5" s="0" t="e">
        <f aca="false">VLOOKUP(U$1+1000*$A5,MASTER6!$A$2:$D$8001,4,FALSE())</f>
        <v>#N/A</v>
      </c>
      <c r="V5" s="0" t="n">
        <f aca="false">VLOOKUP(V$1+1000*$A5,MASTER6!$A$2:$D$8001,4,FALSE())</f>
        <v>195</v>
      </c>
      <c r="W5" s="0" t="n">
        <f aca="false">VLOOKUP(W$1+1000*$A5,MASTER6!$A$2:$D$8001,4,FALSE())</f>
        <v>117</v>
      </c>
      <c r="X5" s="0" t="e">
        <f aca="false">VLOOKUP(X$1+1000*$A5,MASTER6!$A$2:$D$8001,4,FALSE())</f>
        <v>#N/A</v>
      </c>
      <c r="Y5" s="0" t="e">
        <f aca="false">VLOOKUP(Y$1+1000*$A5,MASTER6!$A$2:$D$8001,4,FALSE())</f>
        <v>#N/A</v>
      </c>
      <c r="Z5" s="0" t="e">
        <f aca="false">VLOOKUP(Z$1+1000*$A5,MASTER6!$A$2:$D$8001,4,FALSE())</f>
        <v>#N/A</v>
      </c>
      <c r="AA5" s="0" t="n">
        <f aca="false">VLOOKUP(AA$1+1000*$A5,MASTER6!$A$2:$D$8001,4,FALSE())</f>
        <v>0</v>
      </c>
      <c r="AB5" s="0" t="e">
        <f aca="false">VLOOKUP(AB$1+1000*$A5,MASTER6!$A$2:$D$8001,4,FALSE())</f>
        <v>#N/A</v>
      </c>
      <c r="AC5" s="0" t="n">
        <f aca="false">VLOOKUP(AC$1+1000*$A5,MASTER6!$A$2:$D$8001,4,FALSE())</f>
        <v>0</v>
      </c>
      <c r="AD5" s="0" t="e">
        <f aca="false">VLOOKUP(AD$1+1000*$A5,MASTER6!$A$2:$D$8001,4,FALSE())</f>
        <v>#N/A</v>
      </c>
      <c r="AE5" s="0" t="e">
        <f aca="false">VLOOKUP(AE$1+1000*$A5,MASTER6!$A$2:$D$8001,4,FALSE())</f>
        <v>#N/A</v>
      </c>
      <c r="AF5" s="0" t="e">
        <f aca="false">VLOOKUP(AF$1+1000*$A5,MASTER6!$A$2:$D$8001,4,FALSE())</f>
        <v>#N/A</v>
      </c>
      <c r="AG5" s="0" t="e">
        <f aca="false">VLOOKUP(AG$1+1000*$A5,MASTER6!$A$2:$D$8001,4,FALSE())</f>
        <v>#N/A</v>
      </c>
      <c r="AH5" s="0" t="e">
        <f aca="false">VLOOKUP(AH$1+1000*$A5,MASTER6!$A$2:$D$8001,4,FALSE())</f>
        <v>#N/A</v>
      </c>
      <c r="AI5" s="0" t="n">
        <f aca="false">VLOOKUP(AI$1+1000*$A5,MASTER6!$A$2:$D$8001,4,FALSE())</f>
        <v>91</v>
      </c>
      <c r="AJ5" s="0" t="n">
        <f aca="false">VLOOKUP(AJ$1+1000*$A5,MASTER6!$A$2:$D$8001,4,FALSE())</f>
        <v>0</v>
      </c>
      <c r="AK5" s="0" t="e">
        <f aca="false">VLOOKUP(AK$1+1000*$A5,MASTER6!$A$2:$D$8001,4,FALSE())</f>
        <v>#N/A</v>
      </c>
      <c r="AL5" s="0" t="e">
        <f aca="false">VLOOKUP(AL$1+1000*$A5,MASTER6!$A$2:$D$8001,4,FALSE())</f>
        <v>#N/A</v>
      </c>
      <c r="AM5" s="0" t="e">
        <f aca="false">VLOOKUP(AM$1+1000*$A5,MASTER6!$A$2:$D$8001,4,FALSE())</f>
        <v>#N/A</v>
      </c>
      <c r="AN5" s="0" t="e">
        <f aca="false">VLOOKUP(AN$1+1000*$A5,MASTER6!$A$2:$D$8001,4,FALSE())</f>
        <v>#N/A</v>
      </c>
      <c r="AO5" s="0" t="n">
        <f aca="false">VLOOKUP(AO$1+1000*$A5,MASTER6!$A$2:$D$8001,4,FALSE())</f>
        <v>0</v>
      </c>
      <c r="AP5" s="0" t="e">
        <f aca="false">VLOOKUP(AP$1+1000*$A5,MASTER6!$A$2:$D$8001,4,FALSE())</f>
        <v>#N/A</v>
      </c>
      <c r="AQ5" s="0" t="e">
        <f aca="false">VLOOKUP(AQ$1+1000*$A5,MASTER6!$A$2:$D$8001,4,FALSE())</f>
        <v>#N/A</v>
      </c>
      <c r="AR5" s="0" t="e">
        <f aca="false">VLOOKUP(AR$1+1000*$A5,MASTER6!$A$2:$D$8001,4,FALSE())</f>
        <v>#N/A</v>
      </c>
      <c r="AS5" s="0" t="e">
        <f aca="false">VLOOKUP(AS$1+1000*$A5,MASTER6!$A$2:$D$8001,4,FALSE())</f>
        <v>#N/A</v>
      </c>
      <c r="AT5" s="0" t="e">
        <f aca="false">VLOOKUP(AT$1+1000*$A5,MASTER6!$A$2:$D$8001,4,FALSE())</f>
        <v>#N/A</v>
      </c>
      <c r="AU5" s="0" t="e">
        <f aca="false">VLOOKUP(AU$1+1000*$A5,MASTER6!$A$2:$D$8001,4,FALSE())</f>
        <v>#N/A</v>
      </c>
      <c r="AV5" s="0" t="e">
        <f aca="false">VLOOKUP(AV$1+1000*$A5,MASTER6!$A$2:$D$8001,4,FALSE())</f>
        <v>#N/A</v>
      </c>
      <c r="AW5" s="0" t="e">
        <f aca="false">VLOOKUP(AW$1+1000*$A5,MASTER6!$A$2:$D$8001,4,FALSE())</f>
        <v>#N/A</v>
      </c>
      <c r="AX5" s="0" t="n">
        <f aca="false">VLOOKUP(AX$1+1000*$A5,MASTER6!$A$2:$D$8001,4,FALSE())</f>
        <v>0</v>
      </c>
      <c r="AY5" s="0" t="n">
        <f aca="false">VLOOKUP(AY$1+1000*$A5,MASTER6!$A$2:$D$8001,4,FALSE())</f>
        <v>130</v>
      </c>
      <c r="AZ5" s="0" t="n">
        <f aca="false">VLOOKUP(AZ$1+1000*$A5,MASTER6!$A$2:$D$8001,4,FALSE())</f>
        <v>52</v>
      </c>
      <c r="BA5" s="0" t="e">
        <f aca="false">VLOOKUP(BA$1+1000*$A5,MASTER6!$A$2:$D$8001,4,FALSE())</f>
        <v>#N/A</v>
      </c>
      <c r="BB5" s="0" t="e">
        <f aca="false">VLOOKUP(BB$1+1000*$A5,MASTER6!$A$2:$D$8001,4,FALSE())</f>
        <v>#N/A</v>
      </c>
      <c r="BC5" s="0" t="e">
        <f aca="false">VLOOKUP(BC$1+1000*$A5,MASTER6!$A$2:$D$8001,4,FALSE())</f>
        <v>#N/A</v>
      </c>
      <c r="BD5" s="0" t="e">
        <f aca="false">VLOOKUP(BD$1+1000*$A5,MASTER6!$A$2:$D$8001,4,FALSE())</f>
        <v>#N/A</v>
      </c>
      <c r="BE5" s="0" t="e">
        <f aca="false">VLOOKUP(BE$1+1000*$A5,MASTER6!$A$2:$D$8001,4,FALSE())</f>
        <v>#N/A</v>
      </c>
      <c r="BF5" s="0" t="e">
        <f aca="false">VLOOKUP(BF$1+1000*$A5,MASTER6!$A$2:$D$8001,4,FALSE())</f>
        <v>#N/A</v>
      </c>
      <c r="BG5" s="0" t="e">
        <f aca="false">VLOOKUP(BG$1+1000*$A5,MASTER6!$A$2:$D$8001,4,FALSE())</f>
        <v>#N/A</v>
      </c>
      <c r="BH5" s="0" t="e">
        <f aca="false">VLOOKUP(BH$1+1000*$A5,MASTER6!$A$2:$D$8001,4,FALSE())</f>
        <v>#N/A</v>
      </c>
      <c r="BI5" s="0" t="e">
        <f aca="false">VLOOKUP(BI$1+1000*$A5,MASTER6!$A$2:$D$8001,4,FALSE())</f>
        <v>#N/A</v>
      </c>
      <c r="BJ5" s="0" t="e">
        <f aca="false">VLOOKUP(BJ$1+1000*$A5,MASTER6!$A$2:$D$8001,4,FALSE())</f>
        <v>#N/A</v>
      </c>
      <c r="BK5" s="0" t="e">
        <f aca="false">VLOOKUP(BK$1+1000*$A5,MASTER6!$A$2:$D$8001,4,FALSE())</f>
        <v>#N/A</v>
      </c>
      <c r="BL5" s="0" t="e">
        <f aca="false">VLOOKUP(BL$1+1000*$A5,MASTER6!$A$2:$D$8001,4,FALSE())</f>
        <v>#N/A</v>
      </c>
      <c r="BM5" s="0" t="e">
        <f aca="false">VLOOKUP(BM$1+1000*$A5,MASTER6!$A$2:$D$8001,4,FALSE())</f>
        <v>#N/A</v>
      </c>
      <c r="BN5" s="0" t="n">
        <f aca="false">VLOOKUP(BN$1+1000*$A5,MASTER6!$A$2:$D$8001,4,FALSE())</f>
        <v>117</v>
      </c>
      <c r="BO5" s="0" t="e">
        <f aca="false">VLOOKUP(BO$1+1000*$A5,MASTER6!$A$2:$D$8001,4,FALSE())</f>
        <v>#N/A</v>
      </c>
      <c r="BP5" s="0" t="e">
        <f aca="false">VLOOKUP(BP$1+1000*$A5,MASTER6!$A$2:$D$8001,4,FALSE())</f>
        <v>#N/A</v>
      </c>
      <c r="BQ5" s="0" t="e">
        <f aca="false">VLOOKUP(BQ$1+1000*$A5,MASTER6!$A$2:$D$8001,4,FALSE())</f>
        <v>#N/A</v>
      </c>
      <c r="BR5" s="0" t="n">
        <f aca="false">VLOOKUP(BR$1+1000*$A5,MASTER6!$A$2:$D$8001,4,FALSE())</f>
        <v>0</v>
      </c>
      <c r="BS5" s="0" t="e">
        <f aca="false">VLOOKUP(BS$1+1000*$A5,MASTER6!$A$2:$D$8001,4,FALSE())</f>
        <v>#N/A</v>
      </c>
      <c r="BT5" s="0" t="e">
        <f aca="false">VLOOKUP(BT$1+1000*$A5,MASTER6!$A$2:$D$8001,4,FALSE())</f>
        <v>#N/A</v>
      </c>
      <c r="BU5" s="0" t="n">
        <f aca="false">VLOOKUP(BU$1+1000*$A5,MASTER6!$A$2:$D$8001,4,FALSE())</f>
        <v>0</v>
      </c>
      <c r="BV5" s="0" t="e">
        <f aca="false">VLOOKUP(BV$1+1000*$A5,MASTER6!$A$2:$D$8001,4,FALSE())</f>
        <v>#N/A</v>
      </c>
      <c r="BW5" s="0" t="e">
        <f aca="false">VLOOKUP(BW$1+1000*$A5,MASTER6!$A$2:$D$8001,4,FALSE())</f>
        <v>#N/A</v>
      </c>
      <c r="BX5" s="0" t="n">
        <f aca="false">VLOOKUP(BX$1+1000*$A5,MASTER6!$A$2:$D$8001,4,FALSE())</f>
        <v>0</v>
      </c>
      <c r="BY5" s="0" t="e">
        <f aca="false">VLOOKUP(BY$1+1000*$A5,MASTER6!$A$2:$D$8001,4,FALSE())</f>
        <v>#N/A</v>
      </c>
      <c r="BZ5" s="0" t="e">
        <f aca="false">VLOOKUP(BZ$1+1000*$A5,MASTER6!$A$2:$D$8001,4,FALSE())</f>
        <v>#N/A</v>
      </c>
      <c r="CA5" s="0" t="e">
        <f aca="false">VLOOKUP(CA$1+1000*$A5,MASTER6!$A$2:$D$8001,4,FALSE())</f>
        <v>#N/A</v>
      </c>
      <c r="CB5" s="0" t="n">
        <f aca="false">VLOOKUP(CB$1+1000*$A5,MASTER6!$A$2:$D$8001,4,FALSE())</f>
        <v>0</v>
      </c>
      <c r="CC5" s="0" t="e">
        <f aca="false">VLOOKUP(CC$1+1000*$A5,MASTER6!$A$2:$D$8001,4,FALSE())</f>
        <v>#N/A</v>
      </c>
      <c r="CD5" s="0" t="e">
        <f aca="false">VLOOKUP(CD$1+1000*$A5,MASTER6!$A$2:$D$8001,4,FALSE())</f>
        <v>#N/A</v>
      </c>
      <c r="CE5" s="0" t="e">
        <f aca="false">VLOOKUP(CE$1+1000*$A5,MASTER6!$A$2:$D$8001,4,FALSE())</f>
        <v>#N/A</v>
      </c>
      <c r="CF5" s="0" t="e">
        <f aca="false">VLOOKUP(CF$1+1000*$A5,MASTER6!$A$2:$D$8001,4,FALSE())</f>
        <v>#N/A</v>
      </c>
      <c r="CG5" s="0" t="e">
        <f aca="false">VLOOKUP(CG$1+1000*$A5,MASTER6!$A$2:$D$8001,4,FALSE())</f>
        <v>#N/A</v>
      </c>
      <c r="CH5" s="0" t="n">
        <f aca="false">VLOOKUP(CH$1+1000*$A5,MASTER6!$A$2:$D$8001,4,FALSE())</f>
        <v>79183</v>
      </c>
      <c r="CI5" s="0" t="n">
        <f aca="false">VLOOKUP(CI$1+1000*$A5,MASTER6!$A$2:$D$8001,4,FALSE())</f>
        <v>78</v>
      </c>
      <c r="CJ5" s="0" t="e">
        <f aca="false">VLOOKUP(CJ$1+1000*$A5,MASTER6!$A$2:$D$8001,4,FALSE())</f>
        <v>#N/A</v>
      </c>
    </row>
    <row r="6" customFormat="false" ht="12.75" hidden="false" customHeight="false" outlineLevel="0" collapsed="false">
      <c r="A6" s="0" t="n">
        <v>5</v>
      </c>
      <c r="B6" s="0" t="n">
        <f aca="false">VLOOKUP(B$1+1000*$A6,MASTER6!$A$2:$D$8001,4,FALSE())</f>
        <v>0</v>
      </c>
      <c r="C6" s="0" t="n">
        <f aca="false">VLOOKUP(C$1+1000*$A6,MASTER6!$A$2:$D$8001,4,FALSE())</f>
        <v>533</v>
      </c>
      <c r="D6" s="0" t="n">
        <f aca="false">VLOOKUP(D$1+1000*$A6,MASTER6!$A$2:$D$8001,4,FALSE())</f>
        <v>2275</v>
      </c>
      <c r="E6" s="0" t="n">
        <f aca="false">VLOOKUP(E$1+1000*$A6,MASTER6!$A$2:$D$8001,4,FALSE())</f>
        <v>65</v>
      </c>
      <c r="F6" s="0" t="n">
        <f aca="false">VLOOKUP(F$1+1000*$A6,MASTER6!$A$2:$D$8001,4,FALSE())</f>
        <v>28613</v>
      </c>
      <c r="G6" s="0" t="n">
        <f aca="false">VLOOKUP(G$1+1000*$A6,MASTER6!$A$2:$D$8001,4,FALSE())</f>
        <v>1105</v>
      </c>
      <c r="H6" s="0" t="n">
        <f aca="false">VLOOKUP(H$1+1000*$A6,MASTER6!$A$2:$D$8001,4,FALSE())</f>
        <v>572</v>
      </c>
      <c r="I6" s="0" t="n">
        <f aca="false">VLOOKUP(I$1+1000*$A6,MASTER6!$A$2:$D$8001,4,FALSE())</f>
        <v>0</v>
      </c>
      <c r="J6" s="0" t="n">
        <f aca="false">VLOOKUP(J$1+1000*$A6,MASTER6!$A$2:$D$8001,4,FALSE())</f>
        <v>0</v>
      </c>
      <c r="K6" s="0" t="n">
        <f aca="false">VLOOKUP(K$1+1000*$A6,MASTER6!$A$2:$D$8001,4,FALSE())</f>
        <v>0</v>
      </c>
      <c r="L6" s="0" t="n">
        <f aca="false">VLOOKUP(L$1+1000*$A6,MASTER6!$A$2:$D$8001,4,FALSE())</f>
        <v>143</v>
      </c>
      <c r="M6" s="0" t="e">
        <f aca="false">VLOOKUP(M$1+1000*$A6,MASTER6!$A$2:$D$8001,4,FALSE())</f>
        <v>#N/A</v>
      </c>
      <c r="N6" s="0" t="n">
        <f aca="false">VLOOKUP(N$1+1000*$A6,MASTER6!$A$2:$D$8001,4,FALSE())</f>
        <v>0</v>
      </c>
      <c r="O6" s="0" t="n">
        <f aca="false">VLOOKUP(O$1+1000*$A6,MASTER6!$A$2:$D$8001,4,FALSE())</f>
        <v>0</v>
      </c>
      <c r="P6" s="0" t="n">
        <f aca="false">VLOOKUP(P$1+1000*$A6,MASTER6!$A$2:$D$8001,4,FALSE())</f>
        <v>0</v>
      </c>
      <c r="Q6" s="0" t="n">
        <f aca="false">VLOOKUP(Q$1+1000*$A6,MASTER6!$A$2:$D$8001,4,FALSE())</f>
        <v>286</v>
      </c>
      <c r="R6" s="0" t="n">
        <f aca="false">VLOOKUP(R$1+1000*$A6,MASTER6!$A$2:$D$8001,4,FALSE())</f>
        <v>0</v>
      </c>
      <c r="S6" s="0" t="n">
        <f aca="false">VLOOKUP(S$1+1000*$A6,MASTER6!$A$2:$D$8001,4,FALSE())</f>
        <v>182</v>
      </c>
      <c r="T6" s="0" t="n">
        <f aca="false">VLOOKUP(T$1+1000*$A6,MASTER6!$A$2:$D$8001,4,FALSE())</f>
        <v>169</v>
      </c>
      <c r="U6" s="0" t="e">
        <f aca="false">VLOOKUP(U$1+1000*$A6,MASTER6!$A$2:$D$8001,4,FALSE())</f>
        <v>#N/A</v>
      </c>
      <c r="V6" s="0" t="n">
        <f aca="false">VLOOKUP(V$1+1000*$A6,MASTER6!$A$2:$D$8001,4,FALSE())</f>
        <v>0</v>
      </c>
      <c r="W6" s="0" t="n">
        <f aca="false">VLOOKUP(W$1+1000*$A6,MASTER6!$A$2:$D$8001,4,FALSE())</f>
        <v>0</v>
      </c>
      <c r="X6" s="0" t="e">
        <f aca="false">VLOOKUP(X$1+1000*$A6,MASTER6!$A$2:$D$8001,4,FALSE())</f>
        <v>#N/A</v>
      </c>
      <c r="Y6" s="0" t="e">
        <f aca="false">VLOOKUP(Y$1+1000*$A6,MASTER6!$A$2:$D$8001,4,FALSE())</f>
        <v>#N/A</v>
      </c>
      <c r="Z6" s="0" t="e">
        <f aca="false">VLOOKUP(Z$1+1000*$A6,MASTER6!$A$2:$D$8001,4,FALSE())</f>
        <v>#N/A</v>
      </c>
      <c r="AA6" s="0" t="n">
        <f aca="false">VLOOKUP(AA$1+1000*$A6,MASTER6!$A$2:$D$8001,4,FALSE())</f>
        <v>0</v>
      </c>
      <c r="AB6" s="0" t="e">
        <f aca="false">VLOOKUP(AB$1+1000*$A6,MASTER6!$A$2:$D$8001,4,FALSE())</f>
        <v>#N/A</v>
      </c>
      <c r="AC6" s="0" t="n">
        <f aca="false">VLOOKUP(AC$1+1000*$A6,MASTER6!$A$2:$D$8001,4,FALSE())</f>
        <v>0</v>
      </c>
      <c r="AD6" s="0" t="e">
        <f aca="false">VLOOKUP(AD$1+1000*$A6,MASTER6!$A$2:$D$8001,4,FALSE())</f>
        <v>#N/A</v>
      </c>
      <c r="AE6" s="0" t="e">
        <f aca="false">VLOOKUP(AE$1+1000*$A6,MASTER6!$A$2:$D$8001,4,FALSE())</f>
        <v>#N/A</v>
      </c>
      <c r="AF6" s="0" t="e">
        <f aca="false">VLOOKUP(AF$1+1000*$A6,MASTER6!$A$2:$D$8001,4,FALSE())</f>
        <v>#N/A</v>
      </c>
      <c r="AG6" s="0" t="e">
        <f aca="false">VLOOKUP(AG$1+1000*$A6,MASTER6!$A$2:$D$8001,4,FALSE())</f>
        <v>#N/A</v>
      </c>
      <c r="AH6" s="0" t="e">
        <f aca="false">VLOOKUP(AH$1+1000*$A6,MASTER6!$A$2:$D$8001,4,FALSE())</f>
        <v>#N/A</v>
      </c>
      <c r="AI6" s="0" t="n">
        <f aca="false">VLOOKUP(AI$1+1000*$A6,MASTER6!$A$2:$D$8001,4,FALSE())</f>
        <v>0</v>
      </c>
      <c r="AJ6" s="0" t="n">
        <f aca="false">VLOOKUP(AJ$1+1000*$A6,MASTER6!$A$2:$D$8001,4,FALSE())</f>
        <v>0</v>
      </c>
      <c r="AK6" s="0" t="e">
        <f aca="false">VLOOKUP(AK$1+1000*$A6,MASTER6!$A$2:$D$8001,4,FALSE())</f>
        <v>#N/A</v>
      </c>
      <c r="AL6" s="0" t="e">
        <f aca="false">VLOOKUP(AL$1+1000*$A6,MASTER6!$A$2:$D$8001,4,FALSE())</f>
        <v>#N/A</v>
      </c>
      <c r="AM6" s="0" t="e">
        <f aca="false">VLOOKUP(AM$1+1000*$A6,MASTER6!$A$2:$D$8001,4,FALSE())</f>
        <v>#N/A</v>
      </c>
      <c r="AN6" s="0" t="e">
        <f aca="false">VLOOKUP(AN$1+1000*$A6,MASTER6!$A$2:$D$8001,4,FALSE())</f>
        <v>#N/A</v>
      </c>
      <c r="AO6" s="0" t="n">
        <f aca="false">VLOOKUP(AO$1+1000*$A6,MASTER6!$A$2:$D$8001,4,FALSE())</f>
        <v>0</v>
      </c>
      <c r="AP6" s="0" t="e">
        <f aca="false">VLOOKUP(AP$1+1000*$A6,MASTER6!$A$2:$D$8001,4,FALSE())</f>
        <v>#N/A</v>
      </c>
      <c r="AQ6" s="0" t="e">
        <f aca="false">VLOOKUP(AQ$1+1000*$A6,MASTER6!$A$2:$D$8001,4,FALSE())</f>
        <v>#N/A</v>
      </c>
      <c r="AR6" s="0" t="e">
        <f aca="false">VLOOKUP(AR$1+1000*$A6,MASTER6!$A$2:$D$8001,4,FALSE())</f>
        <v>#N/A</v>
      </c>
      <c r="AS6" s="0" t="e">
        <f aca="false">VLOOKUP(AS$1+1000*$A6,MASTER6!$A$2:$D$8001,4,FALSE())</f>
        <v>#N/A</v>
      </c>
      <c r="AT6" s="0" t="e">
        <f aca="false">VLOOKUP(AT$1+1000*$A6,MASTER6!$A$2:$D$8001,4,FALSE())</f>
        <v>#N/A</v>
      </c>
      <c r="AU6" s="0" t="e">
        <f aca="false">VLOOKUP(AU$1+1000*$A6,MASTER6!$A$2:$D$8001,4,FALSE())</f>
        <v>#N/A</v>
      </c>
      <c r="AV6" s="0" t="e">
        <f aca="false">VLOOKUP(AV$1+1000*$A6,MASTER6!$A$2:$D$8001,4,FALSE())</f>
        <v>#N/A</v>
      </c>
      <c r="AW6" s="0" t="e">
        <f aca="false">VLOOKUP(AW$1+1000*$A6,MASTER6!$A$2:$D$8001,4,FALSE())</f>
        <v>#N/A</v>
      </c>
      <c r="AX6" s="0" t="n">
        <f aca="false">VLOOKUP(AX$1+1000*$A6,MASTER6!$A$2:$D$8001,4,FALSE())</f>
        <v>143</v>
      </c>
      <c r="AY6" s="0" t="n">
        <f aca="false">VLOOKUP(AY$1+1000*$A6,MASTER6!$A$2:$D$8001,4,FALSE())</f>
        <v>0</v>
      </c>
      <c r="AZ6" s="0" t="n">
        <f aca="false">VLOOKUP(AZ$1+1000*$A6,MASTER6!$A$2:$D$8001,4,FALSE())</f>
        <v>0</v>
      </c>
      <c r="BA6" s="0" t="e">
        <f aca="false">VLOOKUP(BA$1+1000*$A6,MASTER6!$A$2:$D$8001,4,FALSE())</f>
        <v>#N/A</v>
      </c>
      <c r="BB6" s="0" t="e">
        <f aca="false">VLOOKUP(BB$1+1000*$A6,MASTER6!$A$2:$D$8001,4,FALSE())</f>
        <v>#N/A</v>
      </c>
      <c r="BC6" s="0" t="e">
        <f aca="false">VLOOKUP(BC$1+1000*$A6,MASTER6!$A$2:$D$8001,4,FALSE())</f>
        <v>#N/A</v>
      </c>
      <c r="BD6" s="0" t="e">
        <f aca="false">VLOOKUP(BD$1+1000*$A6,MASTER6!$A$2:$D$8001,4,FALSE())</f>
        <v>#N/A</v>
      </c>
      <c r="BE6" s="0" t="e">
        <f aca="false">VLOOKUP(BE$1+1000*$A6,MASTER6!$A$2:$D$8001,4,FALSE())</f>
        <v>#N/A</v>
      </c>
      <c r="BF6" s="0" t="e">
        <f aca="false">VLOOKUP(BF$1+1000*$A6,MASTER6!$A$2:$D$8001,4,FALSE())</f>
        <v>#N/A</v>
      </c>
      <c r="BG6" s="0" t="e">
        <f aca="false">VLOOKUP(BG$1+1000*$A6,MASTER6!$A$2:$D$8001,4,FALSE())</f>
        <v>#N/A</v>
      </c>
      <c r="BH6" s="0" t="e">
        <f aca="false">VLOOKUP(BH$1+1000*$A6,MASTER6!$A$2:$D$8001,4,FALSE())</f>
        <v>#N/A</v>
      </c>
      <c r="BI6" s="0" t="e">
        <f aca="false">VLOOKUP(BI$1+1000*$A6,MASTER6!$A$2:$D$8001,4,FALSE())</f>
        <v>#N/A</v>
      </c>
      <c r="BJ6" s="0" t="e">
        <f aca="false">VLOOKUP(BJ$1+1000*$A6,MASTER6!$A$2:$D$8001,4,FALSE())</f>
        <v>#N/A</v>
      </c>
      <c r="BK6" s="0" t="e">
        <f aca="false">VLOOKUP(BK$1+1000*$A6,MASTER6!$A$2:$D$8001,4,FALSE())</f>
        <v>#N/A</v>
      </c>
      <c r="BL6" s="0" t="e">
        <f aca="false">VLOOKUP(BL$1+1000*$A6,MASTER6!$A$2:$D$8001,4,FALSE())</f>
        <v>#N/A</v>
      </c>
      <c r="BM6" s="0" t="e">
        <f aca="false">VLOOKUP(BM$1+1000*$A6,MASTER6!$A$2:$D$8001,4,FALSE())</f>
        <v>#N/A</v>
      </c>
      <c r="BN6" s="0" t="n">
        <f aca="false">VLOOKUP(BN$1+1000*$A6,MASTER6!$A$2:$D$8001,4,FALSE())</f>
        <v>0</v>
      </c>
      <c r="BO6" s="0" t="e">
        <f aca="false">VLOOKUP(BO$1+1000*$A6,MASTER6!$A$2:$D$8001,4,FALSE())</f>
        <v>#N/A</v>
      </c>
      <c r="BP6" s="0" t="e">
        <f aca="false">VLOOKUP(BP$1+1000*$A6,MASTER6!$A$2:$D$8001,4,FALSE())</f>
        <v>#N/A</v>
      </c>
      <c r="BQ6" s="0" t="e">
        <f aca="false">VLOOKUP(BQ$1+1000*$A6,MASTER6!$A$2:$D$8001,4,FALSE())</f>
        <v>#N/A</v>
      </c>
      <c r="BR6" s="0" t="n">
        <f aca="false">VLOOKUP(BR$1+1000*$A6,MASTER6!$A$2:$D$8001,4,FALSE())</f>
        <v>0</v>
      </c>
      <c r="BS6" s="0" t="e">
        <f aca="false">VLOOKUP(BS$1+1000*$A6,MASTER6!$A$2:$D$8001,4,FALSE())</f>
        <v>#N/A</v>
      </c>
      <c r="BT6" s="0" t="e">
        <f aca="false">VLOOKUP(BT$1+1000*$A6,MASTER6!$A$2:$D$8001,4,FALSE())</f>
        <v>#N/A</v>
      </c>
      <c r="BU6" s="0" t="n">
        <f aca="false">VLOOKUP(BU$1+1000*$A6,MASTER6!$A$2:$D$8001,4,FALSE())</f>
        <v>78</v>
      </c>
      <c r="BV6" s="0" t="e">
        <f aca="false">VLOOKUP(BV$1+1000*$A6,MASTER6!$A$2:$D$8001,4,FALSE())</f>
        <v>#N/A</v>
      </c>
      <c r="BW6" s="0" t="e">
        <f aca="false">VLOOKUP(BW$1+1000*$A6,MASTER6!$A$2:$D$8001,4,FALSE())</f>
        <v>#N/A</v>
      </c>
      <c r="BX6" s="0" t="n">
        <f aca="false">VLOOKUP(BX$1+1000*$A6,MASTER6!$A$2:$D$8001,4,FALSE())</f>
        <v>0</v>
      </c>
      <c r="BY6" s="0" t="e">
        <f aca="false">VLOOKUP(BY$1+1000*$A6,MASTER6!$A$2:$D$8001,4,FALSE())</f>
        <v>#N/A</v>
      </c>
      <c r="BZ6" s="0" t="e">
        <f aca="false">VLOOKUP(BZ$1+1000*$A6,MASTER6!$A$2:$D$8001,4,FALSE())</f>
        <v>#N/A</v>
      </c>
      <c r="CA6" s="0" t="e">
        <f aca="false">VLOOKUP(CA$1+1000*$A6,MASTER6!$A$2:$D$8001,4,FALSE())</f>
        <v>#N/A</v>
      </c>
      <c r="CB6" s="0" t="n">
        <f aca="false">VLOOKUP(CB$1+1000*$A6,MASTER6!$A$2:$D$8001,4,FALSE())</f>
        <v>0</v>
      </c>
      <c r="CC6" s="0" t="e">
        <f aca="false">VLOOKUP(CC$1+1000*$A6,MASTER6!$A$2:$D$8001,4,FALSE())</f>
        <v>#N/A</v>
      </c>
      <c r="CD6" s="0" t="e">
        <f aca="false">VLOOKUP(CD$1+1000*$A6,MASTER6!$A$2:$D$8001,4,FALSE())</f>
        <v>#N/A</v>
      </c>
      <c r="CE6" s="0" t="e">
        <f aca="false">VLOOKUP(CE$1+1000*$A6,MASTER6!$A$2:$D$8001,4,FALSE())</f>
        <v>#N/A</v>
      </c>
      <c r="CF6" s="0" t="e">
        <f aca="false">VLOOKUP(CF$1+1000*$A6,MASTER6!$A$2:$D$8001,4,FALSE())</f>
        <v>#N/A</v>
      </c>
      <c r="CG6" s="0" t="e">
        <f aca="false">VLOOKUP(CG$1+1000*$A6,MASTER6!$A$2:$D$8001,4,FALSE())</f>
        <v>#N/A</v>
      </c>
      <c r="CH6" s="0" t="n">
        <f aca="false">VLOOKUP(CH$1+1000*$A6,MASTER6!$A$2:$D$8001,4,FALSE())</f>
        <v>66183</v>
      </c>
      <c r="CI6" s="0" t="n">
        <f aca="false">VLOOKUP(CI$1+1000*$A6,MASTER6!$A$2:$D$8001,4,FALSE())</f>
        <v>0</v>
      </c>
      <c r="CJ6" s="0" t="e">
        <f aca="false">VLOOKUP(CJ$1+1000*$A6,MASTER6!$A$2:$D$8001,4,FALSE())</f>
        <v>#N/A</v>
      </c>
    </row>
    <row r="7" customFormat="false" ht="12.75" hidden="false" customHeight="false" outlineLevel="0" collapsed="false">
      <c r="A7" s="0" t="n">
        <v>6</v>
      </c>
      <c r="B7" s="0" t="n">
        <f aca="false">VLOOKUP(B$1+1000*$A7,MASTER6!$A$2:$D$8001,4,FALSE())</f>
        <v>299</v>
      </c>
      <c r="C7" s="0" t="n">
        <f aca="false">VLOOKUP(C$1+1000*$A7,MASTER6!$A$2:$D$8001,4,FALSE())</f>
        <v>0</v>
      </c>
      <c r="D7" s="0" t="n">
        <f aca="false">VLOOKUP(D$1+1000*$A7,MASTER6!$A$2:$D$8001,4,FALSE())</f>
        <v>65</v>
      </c>
      <c r="E7" s="0" t="n">
        <f aca="false">VLOOKUP(E$1+1000*$A7,MASTER6!$A$2:$D$8001,4,FALSE())</f>
        <v>0</v>
      </c>
      <c r="F7" s="0" t="n">
        <f aca="false">VLOOKUP(F$1+1000*$A7,MASTER6!$A$2:$D$8001,4,FALSE())</f>
        <v>1391</v>
      </c>
      <c r="G7" s="0" t="n">
        <f aca="false">VLOOKUP(G$1+1000*$A7,MASTER6!$A$2:$D$8001,4,FALSE())</f>
        <v>62647</v>
      </c>
      <c r="H7" s="0" t="n">
        <f aca="false">VLOOKUP(H$1+1000*$A7,MASTER6!$A$2:$D$8001,4,FALSE())</f>
        <v>260</v>
      </c>
      <c r="I7" s="0" t="n">
        <f aca="false">VLOOKUP(I$1+1000*$A7,MASTER6!$A$2:$D$8001,4,FALSE())</f>
        <v>1651</v>
      </c>
      <c r="J7" s="0" t="n">
        <f aca="false">VLOOKUP(J$1+1000*$A7,MASTER6!$A$2:$D$8001,4,FALSE())</f>
        <v>117</v>
      </c>
      <c r="K7" s="0" t="n">
        <f aca="false">VLOOKUP(K$1+1000*$A7,MASTER6!$A$2:$D$8001,4,FALSE())</f>
        <v>0</v>
      </c>
      <c r="L7" s="0" t="n">
        <f aca="false">VLOOKUP(L$1+1000*$A7,MASTER6!$A$2:$D$8001,4,FALSE())</f>
        <v>117</v>
      </c>
      <c r="M7" s="0" t="e">
        <f aca="false">VLOOKUP(M$1+1000*$A7,MASTER6!$A$2:$D$8001,4,FALSE())</f>
        <v>#N/A</v>
      </c>
      <c r="N7" s="0" t="n">
        <f aca="false">VLOOKUP(N$1+1000*$A7,MASTER6!$A$2:$D$8001,4,FALSE())</f>
        <v>0</v>
      </c>
      <c r="O7" s="0" t="n">
        <f aca="false">VLOOKUP(O$1+1000*$A7,MASTER6!$A$2:$D$8001,4,FALSE())</f>
        <v>0</v>
      </c>
      <c r="P7" s="0" t="n">
        <f aca="false">VLOOKUP(P$1+1000*$A7,MASTER6!$A$2:$D$8001,4,FALSE())</f>
        <v>0</v>
      </c>
      <c r="Q7" s="0" t="n">
        <f aca="false">VLOOKUP(Q$1+1000*$A7,MASTER6!$A$2:$D$8001,4,FALSE())</f>
        <v>117</v>
      </c>
      <c r="R7" s="0" t="n">
        <f aca="false">VLOOKUP(R$1+1000*$A7,MASTER6!$A$2:$D$8001,4,FALSE())</f>
        <v>0</v>
      </c>
      <c r="S7" s="0" t="n">
        <f aca="false">VLOOKUP(S$1+1000*$A7,MASTER6!$A$2:$D$8001,4,FALSE())</f>
        <v>0</v>
      </c>
      <c r="T7" s="0" t="n">
        <f aca="false">VLOOKUP(T$1+1000*$A7,MASTER6!$A$2:$D$8001,4,FALSE())</f>
        <v>0</v>
      </c>
      <c r="U7" s="0" t="e">
        <f aca="false">VLOOKUP(U$1+1000*$A7,MASTER6!$A$2:$D$8001,4,FALSE())</f>
        <v>#N/A</v>
      </c>
      <c r="V7" s="0" t="n">
        <f aca="false">VLOOKUP(V$1+1000*$A7,MASTER6!$A$2:$D$8001,4,FALSE())</f>
        <v>0</v>
      </c>
      <c r="W7" s="0" t="n">
        <f aca="false">VLOOKUP(W$1+1000*$A7,MASTER6!$A$2:$D$8001,4,FALSE())</f>
        <v>0</v>
      </c>
      <c r="X7" s="0" t="e">
        <f aca="false">VLOOKUP(X$1+1000*$A7,MASTER6!$A$2:$D$8001,4,FALSE())</f>
        <v>#N/A</v>
      </c>
      <c r="Y7" s="0" t="e">
        <f aca="false">VLOOKUP(Y$1+1000*$A7,MASTER6!$A$2:$D$8001,4,FALSE())</f>
        <v>#N/A</v>
      </c>
      <c r="Z7" s="0" t="e">
        <f aca="false">VLOOKUP(Z$1+1000*$A7,MASTER6!$A$2:$D$8001,4,FALSE())</f>
        <v>#N/A</v>
      </c>
      <c r="AA7" s="0" t="n">
        <f aca="false">VLOOKUP(AA$1+1000*$A7,MASTER6!$A$2:$D$8001,4,FALSE())</f>
        <v>260</v>
      </c>
      <c r="AB7" s="0" t="e">
        <f aca="false">VLOOKUP(AB$1+1000*$A7,MASTER6!$A$2:$D$8001,4,FALSE())</f>
        <v>#N/A</v>
      </c>
      <c r="AC7" s="0" t="n">
        <f aca="false">VLOOKUP(AC$1+1000*$A7,MASTER6!$A$2:$D$8001,4,FALSE())</f>
        <v>130</v>
      </c>
      <c r="AD7" s="0" t="e">
        <f aca="false">VLOOKUP(AD$1+1000*$A7,MASTER6!$A$2:$D$8001,4,FALSE())</f>
        <v>#N/A</v>
      </c>
      <c r="AE7" s="0" t="e">
        <f aca="false">VLOOKUP(AE$1+1000*$A7,MASTER6!$A$2:$D$8001,4,FALSE())</f>
        <v>#N/A</v>
      </c>
      <c r="AF7" s="0" t="e">
        <f aca="false">VLOOKUP(AF$1+1000*$A7,MASTER6!$A$2:$D$8001,4,FALSE())</f>
        <v>#N/A</v>
      </c>
      <c r="AG7" s="0" t="e">
        <f aca="false">VLOOKUP(AG$1+1000*$A7,MASTER6!$A$2:$D$8001,4,FALSE())</f>
        <v>#N/A</v>
      </c>
      <c r="AH7" s="0" t="e">
        <f aca="false">VLOOKUP(AH$1+1000*$A7,MASTER6!$A$2:$D$8001,4,FALSE())</f>
        <v>#N/A</v>
      </c>
      <c r="AI7" s="0" t="n">
        <f aca="false">VLOOKUP(AI$1+1000*$A7,MASTER6!$A$2:$D$8001,4,FALSE())</f>
        <v>117</v>
      </c>
      <c r="AJ7" s="0" t="n">
        <f aca="false">VLOOKUP(AJ$1+1000*$A7,MASTER6!$A$2:$D$8001,4,FALSE())</f>
        <v>0</v>
      </c>
      <c r="AK7" s="0" t="e">
        <f aca="false">VLOOKUP(AK$1+1000*$A7,MASTER6!$A$2:$D$8001,4,FALSE())</f>
        <v>#N/A</v>
      </c>
      <c r="AL7" s="0" t="e">
        <f aca="false">VLOOKUP(AL$1+1000*$A7,MASTER6!$A$2:$D$8001,4,FALSE())</f>
        <v>#N/A</v>
      </c>
      <c r="AM7" s="0" t="e">
        <f aca="false">VLOOKUP(AM$1+1000*$A7,MASTER6!$A$2:$D$8001,4,FALSE())</f>
        <v>#N/A</v>
      </c>
      <c r="AN7" s="0" t="n">
        <f aca="false">VLOOKUP(AN$1+1000*$A7,MASTER6!$A$2:$D$8001,4,FALSE())</f>
        <v>117</v>
      </c>
      <c r="AO7" s="0" t="n">
        <f aca="false">VLOOKUP(AO$1+1000*$A7,MASTER6!$A$2:$D$8001,4,FALSE())</f>
        <v>78</v>
      </c>
      <c r="AP7" s="0" t="e">
        <f aca="false">VLOOKUP(AP$1+1000*$A7,MASTER6!$A$2:$D$8001,4,FALSE())</f>
        <v>#N/A</v>
      </c>
      <c r="AQ7" s="0" t="e">
        <f aca="false">VLOOKUP(AQ$1+1000*$A7,MASTER6!$A$2:$D$8001,4,FALSE())</f>
        <v>#N/A</v>
      </c>
      <c r="AR7" s="0" t="e">
        <f aca="false">VLOOKUP(AR$1+1000*$A7,MASTER6!$A$2:$D$8001,4,FALSE())</f>
        <v>#N/A</v>
      </c>
      <c r="AS7" s="0" t="e">
        <f aca="false">VLOOKUP(AS$1+1000*$A7,MASTER6!$A$2:$D$8001,4,FALSE())</f>
        <v>#N/A</v>
      </c>
      <c r="AT7" s="0" t="e">
        <f aca="false">VLOOKUP(AT$1+1000*$A7,MASTER6!$A$2:$D$8001,4,FALSE())</f>
        <v>#N/A</v>
      </c>
      <c r="AU7" s="0" t="e">
        <f aca="false">VLOOKUP(AU$1+1000*$A7,MASTER6!$A$2:$D$8001,4,FALSE())</f>
        <v>#N/A</v>
      </c>
      <c r="AV7" s="0" t="e">
        <f aca="false">VLOOKUP(AV$1+1000*$A7,MASTER6!$A$2:$D$8001,4,FALSE())</f>
        <v>#N/A</v>
      </c>
      <c r="AW7" s="0" t="e">
        <f aca="false">VLOOKUP(AW$1+1000*$A7,MASTER6!$A$2:$D$8001,4,FALSE())</f>
        <v>#N/A</v>
      </c>
      <c r="AX7" s="0" t="n">
        <f aca="false">VLOOKUP(AX$1+1000*$A7,MASTER6!$A$2:$D$8001,4,FALSE())</f>
        <v>78</v>
      </c>
      <c r="AY7" s="0" t="n">
        <f aca="false">VLOOKUP(AY$1+1000*$A7,MASTER6!$A$2:$D$8001,4,FALSE())</f>
        <v>78</v>
      </c>
      <c r="AZ7" s="0" t="n">
        <f aca="false">VLOOKUP(AZ$1+1000*$A7,MASTER6!$A$2:$D$8001,4,FALSE())</f>
        <v>0</v>
      </c>
      <c r="BA7" s="0" t="e">
        <f aca="false">VLOOKUP(BA$1+1000*$A7,MASTER6!$A$2:$D$8001,4,FALSE())</f>
        <v>#N/A</v>
      </c>
      <c r="BB7" s="0" t="e">
        <f aca="false">VLOOKUP(BB$1+1000*$A7,MASTER6!$A$2:$D$8001,4,FALSE())</f>
        <v>#N/A</v>
      </c>
      <c r="BC7" s="0" t="e">
        <f aca="false">VLOOKUP(BC$1+1000*$A7,MASTER6!$A$2:$D$8001,4,FALSE())</f>
        <v>#N/A</v>
      </c>
      <c r="BD7" s="0" t="e">
        <f aca="false">VLOOKUP(BD$1+1000*$A7,MASTER6!$A$2:$D$8001,4,FALSE())</f>
        <v>#N/A</v>
      </c>
      <c r="BE7" s="0" t="e">
        <f aca="false">VLOOKUP(BE$1+1000*$A7,MASTER6!$A$2:$D$8001,4,FALSE())</f>
        <v>#N/A</v>
      </c>
      <c r="BF7" s="0" t="e">
        <f aca="false">VLOOKUP(BF$1+1000*$A7,MASTER6!$A$2:$D$8001,4,FALSE())</f>
        <v>#N/A</v>
      </c>
      <c r="BG7" s="0" t="e">
        <f aca="false">VLOOKUP(BG$1+1000*$A7,MASTER6!$A$2:$D$8001,4,FALSE())</f>
        <v>#N/A</v>
      </c>
      <c r="BH7" s="0" t="e">
        <f aca="false">VLOOKUP(BH$1+1000*$A7,MASTER6!$A$2:$D$8001,4,FALSE())</f>
        <v>#N/A</v>
      </c>
      <c r="BI7" s="0" t="e">
        <f aca="false">VLOOKUP(BI$1+1000*$A7,MASTER6!$A$2:$D$8001,4,FALSE())</f>
        <v>#N/A</v>
      </c>
      <c r="BJ7" s="0" t="e">
        <f aca="false">VLOOKUP(BJ$1+1000*$A7,MASTER6!$A$2:$D$8001,4,FALSE())</f>
        <v>#N/A</v>
      </c>
      <c r="BK7" s="0" t="e">
        <f aca="false">VLOOKUP(BK$1+1000*$A7,MASTER6!$A$2:$D$8001,4,FALSE())</f>
        <v>#N/A</v>
      </c>
      <c r="BL7" s="0" t="e">
        <f aca="false">VLOOKUP(BL$1+1000*$A7,MASTER6!$A$2:$D$8001,4,FALSE())</f>
        <v>#N/A</v>
      </c>
      <c r="BM7" s="0" t="e">
        <f aca="false">VLOOKUP(BM$1+1000*$A7,MASTER6!$A$2:$D$8001,4,FALSE())</f>
        <v>#N/A</v>
      </c>
      <c r="BN7" s="0" t="n">
        <f aca="false">VLOOKUP(BN$1+1000*$A7,MASTER6!$A$2:$D$8001,4,FALSE())</f>
        <v>0</v>
      </c>
      <c r="BO7" s="0" t="e">
        <f aca="false">VLOOKUP(BO$1+1000*$A7,MASTER6!$A$2:$D$8001,4,FALSE())</f>
        <v>#N/A</v>
      </c>
      <c r="BP7" s="0" t="e">
        <f aca="false">VLOOKUP(BP$1+1000*$A7,MASTER6!$A$2:$D$8001,4,FALSE())</f>
        <v>#N/A</v>
      </c>
      <c r="BQ7" s="0" t="e">
        <f aca="false">VLOOKUP(BQ$1+1000*$A7,MASTER6!$A$2:$D$8001,4,FALSE())</f>
        <v>#N/A</v>
      </c>
      <c r="BR7" s="0" t="n">
        <f aca="false">VLOOKUP(BR$1+1000*$A7,MASTER6!$A$2:$D$8001,4,FALSE())</f>
        <v>0</v>
      </c>
      <c r="BS7" s="0" t="e">
        <f aca="false">VLOOKUP(BS$1+1000*$A7,MASTER6!$A$2:$D$8001,4,FALSE())</f>
        <v>#N/A</v>
      </c>
      <c r="BT7" s="0" t="e">
        <f aca="false">VLOOKUP(BT$1+1000*$A7,MASTER6!$A$2:$D$8001,4,FALSE())</f>
        <v>#N/A</v>
      </c>
      <c r="BU7" s="0" t="n">
        <f aca="false">VLOOKUP(BU$1+1000*$A7,MASTER6!$A$2:$D$8001,4,FALSE())</f>
        <v>0</v>
      </c>
      <c r="BV7" s="0" t="e">
        <f aca="false">VLOOKUP(BV$1+1000*$A7,MASTER6!$A$2:$D$8001,4,FALSE())</f>
        <v>#N/A</v>
      </c>
      <c r="BW7" s="0" t="e">
        <f aca="false">VLOOKUP(BW$1+1000*$A7,MASTER6!$A$2:$D$8001,4,FALSE())</f>
        <v>#N/A</v>
      </c>
      <c r="BX7" s="0" t="n">
        <f aca="false">VLOOKUP(BX$1+1000*$A7,MASTER6!$A$2:$D$8001,4,FALSE())</f>
        <v>0</v>
      </c>
      <c r="BY7" s="0" t="e">
        <f aca="false">VLOOKUP(BY$1+1000*$A7,MASTER6!$A$2:$D$8001,4,FALSE())</f>
        <v>#N/A</v>
      </c>
      <c r="BZ7" s="0" t="e">
        <f aca="false">VLOOKUP(BZ$1+1000*$A7,MASTER6!$A$2:$D$8001,4,FALSE())</f>
        <v>#N/A</v>
      </c>
      <c r="CA7" s="0" t="e">
        <f aca="false">VLOOKUP(CA$1+1000*$A7,MASTER6!$A$2:$D$8001,4,FALSE())</f>
        <v>#N/A</v>
      </c>
      <c r="CB7" s="0" t="n">
        <f aca="false">VLOOKUP(CB$1+1000*$A7,MASTER6!$A$2:$D$8001,4,FALSE())</f>
        <v>0</v>
      </c>
      <c r="CC7" s="0" t="e">
        <f aca="false">VLOOKUP(CC$1+1000*$A7,MASTER6!$A$2:$D$8001,4,FALSE())</f>
        <v>#N/A</v>
      </c>
      <c r="CD7" s="0" t="e">
        <f aca="false">VLOOKUP(CD$1+1000*$A7,MASTER6!$A$2:$D$8001,4,FALSE())</f>
        <v>#N/A</v>
      </c>
      <c r="CE7" s="0" t="e">
        <f aca="false">VLOOKUP(CE$1+1000*$A7,MASTER6!$A$2:$D$8001,4,FALSE())</f>
        <v>#N/A</v>
      </c>
      <c r="CF7" s="0" t="e">
        <f aca="false">VLOOKUP(CF$1+1000*$A7,MASTER6!$A$2:$D$8001,4,FALSE())</f>
        <v>#N/A</v>
      </c>
      <c r="CG7" s="0" t="e">
        <f aca="false">VLOOKUP(CG$1+1000*$A7,MASTER6!$A$2:$D$8001,4,FALSE())</f>
        <v>#N/A</v>
      </c>
      <c r="CH7" s="0" t="n">
        <f aca="false">VLOOKUP(CH$1+1000*$A7,MASTER6!$A$2:$D$8001,4,FALSE())</f>
        <v>111722</v>
      </c>
      <c r="CI7" s="0" t="n">
        <f aca="false">VLOOKUP(CI$1+1000*$A7,MASTER6!$A$2:$D$8001,4,FALSE())</f>
        <v>78</v>
      </c>
      <c r="CJ7" s="0" t="e">
        <f aca="false">VLOOKUP(CJ$1+1000*$A7,MASTER6!$A$2:$D$8001,4,FALSE())</f>
        <v>#N/A</v>
      </c>
    </row>
    <row r="8" customFormat="false" ht="12.75" hidden="false" customHeight="false" outlineLevel="0" collapsed="false">
      <c r="A8" s="0" t="n">
        <v>7</v>
      </c>
      <c r="B8" s="0" t="n">
        <f aca="false">VLOOKUP(B$1+1000*$A8,MASTER6!$A$2:$D$8001,4,FALSE())</f>
        <v>104</v>
      </c>
      <c r="C8" s="0" t="n">
        <f aca="false">VLOOKUP(C$1+1000*$A8,MASTER6!$A$2:$D$8001,4,FALSE())</f>
        <v>0</v>
      </c>
      <c r="D8" s="0" t="n">
        <f aca="false">VLOOKUP(D$1+1000*$A8,MASTER6!$A$2:$D$8001,4,FALSE())</f>
        <v>624</v>
      </c>
      <c r="E8" s="0" t="n">
        <f aca="false">VLOOKUP(E$1+1000*$A8,MASTER6!$A$2:$D$8001,4,FALSE())</f>
        <v>377</v>
      </c>
      <c r="F8" s="0" t="n">
        <f aca="false">VLOOKUP(F$1+1000*$A8,MASTER6!$A$2:$D$8001,4,FALSE())</f>
        <v>78</v>
      </c>
      <c r="G8" s="0" t="n">
        <f aca="false">VLOOKUP(G$1+1000*$A8,MASTER6!$A$2:$D$8001,4,FALSE())</f>
        <v>208</v>
      </c>
      <c r="H8" s="0" t="n">
        <f aca="false">VLOOKUP(H$1+1000*$A8,MASTER6!$A$2:$D$8001,4,FALSE())</f>
        <v>32396</v>
      </c>
      <c r="I8" s="0" t="n">
        <f aca="false">VLOOKUP(I$1+1000*$A8,MASTER6!$A$2:$D$8001,4,FALSE())</f>
        <v>650</v>
      </c>
      <c r="J8" s="0" t="n">
        <f aca="false">VLOOKUP(J$1+1000*$A8,MASTER6!$A$2:$D$8001,4,FALSE())</f>
        <v>78</v>
      </c>
      <c r="K8" s="0" t="n">
        <f aca="false">VLOOKUP(K$1+1000*$A8,MASTER6!$A$2:$D$8001,4,FALSE())</f>
        <v>0</v>
      </c>
      <c r="L8" s="0" t="n">
        <f aca="false">VLOOKUP(L$1+1000*$A8,MASTER6!$A$2:$D$8001,4,FALSE())</f>
        <v>3822</v>
      </c>
      <c r="M8" s="0" t="e">
        <f aca="false">VLOOKUP(M$1+1000*$A8,MASTER6!$A$2:$D$8001,4,FALSE())</f>
        <v>#N/A</v>
      </c>
      <c r="N8" s="0" t="n">
        <f aca="false">VLOOKUP(N$1+1000*$A8,MASTER6!$A$2:$D$8001,4,FALSE())</f>
        <v>0</v>
      </c>
      <c r="O8" s="0" t="n">
        <f aca="false">VLOOKUP(O$1+1000*$A8,MASTER6!$A$2:$D$8001,4,FALSE())</f>
        <v>156</v>
      </c>
      <c r="P8" s="0" t="n">
        <f aca="false">VLOOKUP(P$1+1000*$A8,MASTER6!$A$2:$D$8001,4,FALSE())</f>
        <v>0</v>
      </c>
      <c r="Q8" s="0" t="n">
        <f aca="false">VLOOKUP(Q$1+1000*$A8,MASTER6!$A$2:$D$8001,4,FALSE())</f>
        <v>0</v>
      </c>
      <c r="R8" s="0" t="n">
        <f aca="false">VLOOKUP(R$1+1000*$A8,MASTER6!$A$2:$D$8001,4,FALSE())</f>
        <v>0</v>
      </c>
      <c r="S8" s="0" t="n">
        <f aca="false">VLOOKUP(S$1+1000*$A8,MASTER6!$A$2:$D$8001,4,FALSE())</f>
        <v>91</v>
      </c>
      <c r="T8" s="0" t="n">
        <f aca="false">VLOOKUP(T$1+1000*$A8,MASTER6!$A$2:$D$8001,4,FALSE())</f>
        <v>117</v>
      </c>
      <c r="U8" s="0" t="n">
        <f aca="false">VLOOKUP(U$1+1000*$A8,MASTER6!$A$2:$D$8001,4,FALSE())</f>
        <v>221</v>
      </c>
      <c r="V8" s="0" t="n">
        <f aca="false">VLOOKUP(V$1+1000*$A8,MASTER6!$A$2:$D$8001,4,FALSE())</f>
        <v>0</v>
      </c>
      <c r="W8" s="0" t="n">
        <f aca="false">VLOOKUP(W$1+1000*$A8,MASTER6!$A$2:$D$8001,4,FALSE())</f>
        <v>117</v>
      </c>
      <c r="X8" s="0" t="n">
        <f aca="false">VLOOKUP(X$1+1000*$A8,MASTER6!$A$2:$D$8001,4,FALSE())</f>
        <v>143</v>
      </c>
      <c r="Y8" s="0" t="n">
        <f aca="false">VLOOKUP(Y$1+1000*$A8,MASTER6!$A$2:$D$8001,4,FALSE())</f>
        <v>143</v>
      </c>
      <c r="Z8" s="0" t="e">
        <f aca="false">VLOOKUP(Z$1+1000*$A8,MASTER6!$A$2:$D$8001,4,FALSE())</f>
        <v>#N/A</v>
      </c>
      <c r="AA8" s="0" t="n">
        <f aca="false">VLOOKUP(AA$1+1000*$A8,MASTER6!$A$2:$D$8001,4,FALSE())</f>
        <v>91</v>
      </c>
      <c r="AB8" s="0" t="e">
        <f aca="false">VLOOKUP(AB$1+1000*$A8,MASTER6!$A$2:$D$8001,4,FALSE())</f>
        <v>#N/A</v>
      </c>
      <c r="AC8" s="0" t="n">
        <f aca="false">VLOOKUP(AC$1+1000*$A8,MASTER6!$A$2:$D$8001,4,FALSE())</f>
        <v>689</v>
      </c>
      <c r="AD8" s="0" t="n">
        <f aca="false">VLOOKUP(AD$1+1000*$A8,MASTER6!$A$2:$D$8001,4,FALSE())</f>
        <v>546</v>
      </c>
      <c r="AE8" s="0" t="e">
        <f aca="false">VLOOKUP(AE$1+1000*$A8,MASTER6!$A$2:$D$8001,4,FALSE())</f>
        <v>#N/A</v>
      </c>
      <c r="AF8" s="0" t="e">
        <f aca="false">VLOOKUP(AF$1+1000*$A8,MASTER6!$A$2:$D$8001,4,FALSE())</f>
        <v>#N/A</v>
      </c>
      <c r="AG8" s="0" t="e">
        <f aca="false">VLOOKUP(AG$1+1000*$A8,MASTER6!$A$2:$D$8001,4,FALSE())</f>
        <v>#N/A</v>
      </c>
      <c r="AH8" s="0" t="n">
        <f aca="false">VLOOKUP(AH$1+1000*$A8,MASTER6!$A$2:$D$8001,4,FALSE())</f>
        <v>130</v>
      </c>
      <c r="AI8" s="0" t="n">
        <f aca="false">VLOOKUP(AI$1+1000*$A8,MASTER6!$A$2:$D$8001,4,FALSE())</f>
        <v>0</v>
      </c>
      <c r="AJ8" s="0" t="n">
        <f aca="false">VLOOKUP(AJ$1+1000*$A8,MASTER6!$A$2:$D$8001,4,FALSE())</f>
        <v>0</v>
      </c>
      <c r="AK8" s="0" t="e">
        <f aca="false">VLOOKUP(AK$1+1000*$A8,MASTER6!$A$2:$D$8001,4,FALSE())</f>
        <v>#N/A</v>
      </c>
      <c r="AL8" s="0" t="n">
        <f aca="false">VLOOKUP(AL$1+1000*$A8,MASTER6!$A$2:$D$8001,4,FALSE())</f>
        <v>52</v>
      </c>
      <c r="AM8" s="0" t="e">
        <f aca="false">VLOOKUP(AM$1+1000*$A8,MASTER6!$A$2:$D$8001,4,FALSE())</f>
        <v>#N/A</v>
      </c>
      <c r="AN8" s="0" t="n">
        <f aca="false">VLOOKUP(AN$1+1000*$A8,MASTER6!$A$2:$D$8001,4,FALSE())</f>
        <v>0</v>
      </c>
      <c r="AO8" s="0" t="n">
        <f aca="false">VLOOKUP(AO$1+1000*$A8,MASTER6!$A$2:$D$8001,4,FALSE())</f>
        <v>0</v>
      </c>
      <c r="AP8" s="0" t="n">
        <f aca="false">VLOOKUP(AP$1+1000*$A8,MASTER6!$A$2:$D$8001,4,FALSE())</f>
        <v>26</v>
      </c>
      <c r="AQ8" s="0" t="e">
        <f aca="false">VLOOKUP(AQ$1+1000*$A8,MASTER6!$A$2:$D$8001,4,FALSE())</f>
        <v>#N/A</v>
      </c>
      <c r="AR8" s="0" t="e">
        <f aca="false">VLOOKUP(AR$1+1000*$A8,MASTER6!$A$2:$D$8001,4,FALSE())</f>
        <v>#N/A</v>
      </c>
      <c r="AS8" s="0" t="e">
        <f aca="false">VLOOKUP(AS$1+1000*$A8,MASTER6!$A$2:$D$8001,4,FALSE())</f>
        <v>#N/A</v>
      </c>
      <c r="AT8" s="0" t="e">
        <f aca="false">VLOOKUP(AT$1+1000*$A8,MASTER6!$A$2:$D$8001,4,FALSE())</f>
        <v>#N/A</v>
      </c>
      <c r="AU8" s="0" t="e">
        <f aca="false">VLOOKUP(AU$1+1000*$A8,MASTER6!$A$2:$D$8001,4,FALSE())</f>
        <v>#N/A</v>
      </c>
      <c r="AV8" s="0" t="e">
        <f aca="false">VLOOKUP(AV$1+1000*$A8,MASTER6!$A$2:$D$8001,4,FALSE())</f>
        <v>#N/A</v>
      </c>
      <c r="AW8" s="0" t="e">
        <f aca="false">VLOOKUP(AW$1+1000*$A8,MASTER6!$A$2:$D$8001,4,FALSE())</f>
        <v>#N/A</v>
      </c>
      <c r="AX8" s="0" t="n">
        <f aca="false">VLOOKUP(AX$1+1000*$A8,MASTER6!$A$2:$D$8001,4,FALSE())</f>
        <v>104</v>
      </c>
      <c r="AY8" s="0" t="n">
        <f aca="false">VLOOKUP(AY$1+1000*$A8,MASTER6!$A$2:$D$8001,4,FALSE())</f>
        <v>0</v>
      </c>
      <c r="AZ8" s="0" t="n">
        <f aca="false">VLOOKUP(AZ$1+1000*$A8,MASTER6!$A$2:$D$8001,4,FALSE())</f>
        <v>0</v>
      </c>
      <c r="BA8" s="0" t="e">
        <f aca="false">VLOOKUP(BA$1+1000*$A8,MASTER6!$A$2:$D$8001,4,FALSE())</f>
        <v>#N/A</v>
      </c>
      <c r="BB8" s="0" t="n">
        <f aca="false">VLOOKUP(BB$1+1000*$A8,MASTER6!$A$2:$D$8001,4,FALSE())</f>
        <v>104</v>
      </c>
      <c r="BC8" s="0" t="e">
        <f aca="false">VLOOKUP(BC$1+1000*$A8,MASTER6!$A$2:$D$8001,4,FALSE())</f>
        <v>#N/A</v>
      </c>
      <c r="BD8" s="0" t="e">
        <f aca="false">VLOOKUP(BD$1+1000*$A8,MASTER6!$A$2:$D$8001,4,FALSE())</f>
        <v>#N/A</v>
      </c>
      <c r="BE8" s="0" t="e">
        <f aca="false">VLOOKUP(BE$1+1000*$A8,MASTER6!$A$2:$D$8001,4,FALSE())</f>
        <v>#N/A</v>
      </c>
      <c r="BF8" s="0" t="e">
        <f aca="false">VLOOKUP(BF$1+1000*$A8,MASTER6!$A$2:$D$8001,4,FALSE())</f>
        <v>#N/A</v>
      </c>
      <c r="BG8" s="0" t="e">
        <f aca="false">VLOOKUP(BG$1+1000*$A8,MASTER6!$A$2:$D$8001,4,FALSE())</f>
        <v>#N/A</v>
      </c>
      <c r="BH8" s="0" t="e">
        <f aca="false">VLOOKUP(BH$1+1000*$A8,MASTER6!$A$2:$D$8001,4,FALSE())</f>
        <v>#N/A</v>
      </c>
      <c r="BI8" s="0" t="e">
        <f aca="false">VLOOKUP(BI$1+1000*$A8,MASTER6!$A$2:$D$8001,4,FALSE())</f>
        <v>#N/A</v>
      </c>
      <c r="BJ8" s="0" t="e">
        <f aca="false">VLOOKUP(BJ$1+1000*$A8,MASTER6!$A$2:$D$8001,4,FALSE())</f>
        <v>#N/A</v>
      </c>
      <c r="BK8" s="0" t="e">
        <f aca="false">VLOOKUP(BK$1+1000*$A8,MASTER6!$A$2:$D$8001,4,FALSE())</f>
        <v>#N/A</v>
      </c>
      <c r="BL8" s="0" t="e">
        <f aca="false">VLOOKUP(BL$1+1000*$A8,MASTER6!$A$2:$D$8001,4,FALSE())</f>
        <v>#N/A</v>
      </c>
      <c r="BM8" s="0" t="e">
        <f aca="false">VLOOKUP(BM$1+1000*$A8,MASTER6!$A$2:$D$8001,4,FALSE())</f>
        <v>#N/A</v>
      </c>
      <c r="BN8" s="0" t="n">
        <f aca="false">VLOOKUP(BN$1+1000*$A8,MASTER6!$A$2:$D$8001,4,FALSE())</f>
        <v>0</v>
      </c>
      <c r="BO8" s="0" t="e">
        <f aca="false">VLOOKUP(BO$1+1000*$A8,MASTER6!$A$2:$D$8001,4,FALSE())</f>
        <v>#N/A</v>
      </c>
      <c r="BP8" s="0" t="e">
        <f aca="false">VLOOKUP(BP$1+1000*$A8,MASTER6!$A$2:$D$8001,4,FALSE())</f>
        <v>#N/A</v>
      </c>
      <c r="BQ8" s="0" t="e">
        <f aca="false">VLOOKUP(BQ$1+1000*$A8,MASTER6!$A$2:$D$8001,4,FALSE())</f>
        <v>#N/A</v>
      </c>
      <c r="BR8" s="0" t="n">
        <f aca="false">VLOOKUP(BR$1+1000*$A8,MASTER6!$A$2:$D$8001,4,FALSE())</f>
        <v>0</v>
      </c>
      <c r="BS8" s="0" t="e">
        <f aca="false">VLOOKUP(BS$1+1000*$A8,MASTER6!$A$2:$D$8001,4,FALSE())</f>
        <v>#N/A</v>
      </c>
      <c r="BT8" s="0" t="e">
        <f aca="false">VLOOKUP(BT$1+1000*$A8,MASTER6!$A$2:$D$8001,4,FALSE())</f>
        <v>#N/A</v>
      </c>
      <c r="BU8" s="0" t="n">
        <f aca="false">VLOOKUP(BU$1+1000*$A8,MASTER6!$A$2:$D$8001,4,FALSE())</f>
        <v>0</v>
      </c>
      <c r="BV8" s="0" t="e">
        <f aca="false">VLOOKUP(BV$1+1000*$A8,MASTER6!$A$2:$D$8001,4,FALSE())</f>
        <v>#N/A</v>
      </c>
      <c r="BW8" s="0" t="e">
        <f aca="false">VLOOKUP(BW$1+1000*$A8,MASTER6!$A$2:$D$8001,4,FALSE())</f>
        <v>#N/A</v>
      </c>
      <c r="BX8" s="0" t="n">
        <f aca="false">VLOOKUP(BX$1+1000*$A8,MASTER6!$A$2:$D$8001,4,FALSE())</f>
        <v>0</v>
      </c>
      <c r="BY8" s="0" t="e">
        <f aca="false">VLOOKUP(BY$1+1000*$A8,MASTER6!$A$2:$D$8001,4,FALSE())</f>
        <v>#N/A</v>
      </c>
      <c r="BZ8" s="0" t="e">
        <f aca="false">VLOOKUP(BZ$1+1000*$A8,MASTER6!$A$2:$D$8001,4,FALSE())</f>
        <v>#N/A</v>
      </c>
      <c r="CA8" s="0" t="e">
        <f aca="false">VLOOKUP(CA$1+1000*$A8,MASTER6!$A$2:$D$8001,4,FALSE())</f>
        <v>#N/A</v>
      </c>
      <c r="CB8" s="0" t="n">
        <f aca="false">VLOOKUP(CB$1+1000*$A8,MASTER6!$A$2:$D$8001,4,FALSE())</f>
        <v>0</v>
      </c>
      <c r="CC8" s="0" t="e">
        <f aca="false">VLOOKUP(CC$1+1000*$A8,MASTER6!$A$2:$D$8001,4,FALSE())</f>
        <v>#N/A</v>
      </c>
      <c r="CD8" s="0" t="e">
        <f aca="false">VLOOKUP(CD$1+1000*$A8,MASTER6!$A$2:$D$8001,4,FALSE())</f>
        <v>#N/A</v>
      </c>
      <c r="CE8" s="0" t="e">
        <f aca="false">VLOOKUP(CE$1+1000*$A8,MASTER6!$A$2:$D$8001,4,FALSE())</f>
        <v>#N/A</v>
      </c>
      <c r="CF8" s="0" t="e">
        <f aca="false">VLOOKUP(CF$1+1000*$A8,MASTER6!$A$2:$D$8001,4,FALSE())</f>
        <v>#N/A</v>
      </c>
      <c r="CG8" s="0" t="e">
        <f aca="false">VLOOKUP(CG$1+1000*$A8,MASTER6!$A$2:$D$8001,4,FALSE())</f>
        <v>#N/A</v>
      </c>
      <c r="CH8" s="0" t="n">
        <f aca="false">VLOOKUP(CH$1+1000*$A8,MASTER6!$A$2:$D$8001,4,FALSE())</f>
        <v>61087</v>
      </c>
      <c r="CI8" s="0" t="n">
        <f aca="false">VLOOKUP(CI$1+1000*$A8,MASTER6!$A$2:$D$8001,4,FALSE())</f>
        <v>0</v>
      </c>
      <c r="CJ8" s="0" t="e">
        <f aca="false">VLOOKUP(CJ$1+1000*$A8,MASTER6!$A$2:$D$8001,4,FALSE())</f>
        <v>#N/A</v>
      </c>
    </row>
    <row r="9" customFormat="false" ht="12.75" hidden="false" customHeight="false" outlineLevel="0" collapsed="false">
      <c r="A9" s="0" t="n">
        <v>8</v>
      </c>
      <c r="B9" s="0" t="n">
        <f aca="false">VLOOKUP(B$1+1000*$A9,MASTER6!$A$2:$D$8001,4,FALSE())</f>
        <v>0</v>
      </c>
      <c r="C9" s="0" t="n">
        <f aca="false">VLOOKUP(C$1+1000*$A9,MASTER6!$A$2:$D$8001,4,FALSE())</f>
        <v>0</v>
      </c>
      <c r="D9" s="0" t="n">
        <f aca="false">VLOOKUP(D$1+1000*$A9,MASTER6!$A$2:$D$8001,4,FALSE())</f>
        <v>0</v>
      </c>
      <c r="E9" s="0" t="n">
        <f aca="false">VLOOKUP(E$1+1000*$A9,MASTER6!$A$2:$D$8001,4,FALSE())</f>
        <v>0</v>
      </c>
      <c r="F9" s="0" t="n">
        <f aca="false">VLOOKUP(F$1+1000*$A9,MASTER6!$A$2:$D$8001,4,FALSE())</f>
        <v>403</v>
      </c>
      <c r="G9" s="0" t="n">
        <f aca="false">VLOOKUP(G$1+1000*$A9,MASTER6!$A$2:$D$8001,4,FALSE())</f>
        <v>663</v>
      </c>
      <c r="H9" s="0" t="n">
        <f aca="false">VLOOKUP(H$1+1000*$A9,MASTER6!$A$2:$D$8001,4,FALSE())</f>
        <v>312</v>
      </c>
      <c r="I9" s="0" t="n">
        <f aca="false">VLOOKUP(I$1+1000*$A9,MASTER6!$A$2:$D$8001,4,FALSE())</f>
        <v>38493</v>
      </c>
      <c r="J9" s="0" t="n">
        <f aca="false">VLOOKUP(J$1+1000*$A9,MASTER6!$A$2:$D$8001,4,FALSE())</f>
        <v>0</v>
      </c>
      <c r="K9" s="0" t="n">
        <f aca="false">VLOOKUP(K$1+1000*$A9,MASTER6!$A$2:$D$8001,4,FALSE())</f>
        <v>1521</v>
      </c>
      <c r="L9" s="0" t="n">
        <f aca="false">VLOOKUP(L$1+1000*$A9,MASTER6!$A$2:$D$8001,4,FALSE())</f>
        <v>1196</v>
      </c>
      <c r="M9" s="0" t="e">
        <f aca="false">VLOOKUP(M$1+1000*$A9,MASTER6!$A$2:$D$8001,4,FALSE())</f>
        <v>#N/A</v>
      </c>
      <c r="N9" s="0" t="n">
        <f aca="false">VLOOKUP(N$1+1000*$A9,MASTER6!$A$2:$D$8001,4,FALSE())</f>
        <v>0</v>
      </c>
      <c r="O9" s="0" t="n">
        <f aca="false">VLOOKUP(O$1+1000*$A9,MASTER6!$A$2:$D$8001,4,FALSE())</f>
        <v>0</v>
      </c>
      <c r="P9" s="0" t="n">
        <f aca="false">VLOOKUP(P$1+1000*$A9,MASTER6!$A$2:$D$8001,4,FALSE())</f>
        <v>0</v>
      </c>
      <c r="Q9" s="0" t="n">
        <f aca="false">VLOOKUP(Q$1+1000*$A9,MASTER6!$A$2:$D$8001,4,FALSE())</f>
        <v>364</v>
      </c>
      <c r="R9" s="0" t="n">
        <f aca="false">VLOOKUP(R$1+1000*$A9,MASTER6!$A$2:$D$8001,4,FALSE())</f>
        <v>0</v>
      </c>
      <c r="S9" s="0" t="n">
        <f aca="false">VLOOKUP(S$1+1000*$A9,MASTER6!$A$2:$D$8001,4,FALSE())</f>
        <v>0</v>
      </c>
      <c r="T9" s="0" t="n">
        <f aca="false">VLOOKUP(T$1+1000*$A9,MASTER6!$A$2:$D$8001,4,FALSE())</f>
        <v>0</v>
      </c>
      <c r="U9" s="0" t="n">
        <f aca="false">VLOOKUP(U$1+1000*$A9,MASTER6!$A$2:$D$8001,4,FALSE())</f>
        <v>0</v>
      </c>
      <c r="V9" s="0" t="n">
        <f aca="false">VLOOKUP(V$1+1000*$A9,MASTER6!$A$2:$D$8001,4,FALSE())</f>
        <v>91</v>
      </c>
      <c r="W9" s="0" t="n">
        <f aca="false">VLOOKUP(W$1+1000*$A9,MASTER6!$A$2:$D$8001,4,FALSE())</f>
        <v>0</v>
      </c>
      <c r="X9" s="0" t="n">
        <f aca="false">VLOOKUP(X$1+1000*$A9,MASTER6!$A$2:$D$8001,4,FALSE())</f>
        <v>0</v>
      </c>
      <c r="Y9" s="0" t="n">
        <f aca="false">VLOOKUP(Y$1+1000*$A9,MASTER6!$A$2:$D$8001,4,FALSE())</f>
        <v>0</v>
      </c>
      <c r="Z9" s="0" t="n">
        <f aca="false">VLOOKUP(Z$1+1000*$A9,MASTER6!$A$2:$D$8001,4,FALSE())</f>
        <v>78</v>
      </c>
      <c r="AA9" s="0" t="n">
        <f aca="false">VLOOKUP(AA$1+1000*$A9,MASTER6!$A$2:$D$8001,4,FALSE())</f>
        <v>0</v>
      </c>
      <c r="AB9" s="0" t="e">
        <f aca="false">VLOOKUP(AB$1+1000*$A9,MASTER6!$A$2:$D$8001,4,FALSE())</f>
        <v>#N/A</v>
      </c>
      <c r="AC9" s="0" t="n">
        <f aca="false">VLOOKUP(AC$1+1000*$A9,MASTER6!$A$2:$D$8001,4,FALSE())</f>
        <v>1456</v>
      </c>
      <c r="AD9" s="0" t="n">
        <f aca="false">VLOOKUP(AD$1+1000*$A9,MASTER6!$A$2:$D$8001,4,FALSE())</f>
        <v>2184</v>
      </c>
      <c r="AE9" s="0" t="e">
        <f aca="false">VLOOKUP(AE$1+1000*$A9,MASTER6!$A$2:$D$8001,4,FALSE())</f>
        <v>#N/A</v>
      </c>
      <c r="AF9" s="0" t="e">
        <f aca="false">VLOOKUP(AF$1+1000*$A9,MASTER6!$A$2:$D$8001,4,FALSE())</f>
        <v>#N/A</v>
      </c>
      <c r="AG9" s="0" t="e">
        <f aca="false">VLOOKUP(AG$1+1000*$A9,MASTER6!$A$2:$D$8001,4,FALSE())</f>
        <v>#N/A</v>
      </c>
      <c r="AH9" s="0" t="n">
        <f aca="false">VLOOKUP(AH$1+1000*$A9,MASTER6!$A$2:$D$8001,4,FALSE())</f>
        <v>0</v>
      </c>
      <c r="AI9" s="0" t="n">
        <f aca="false">VLOOKUP(AI$1+1000*$A9,MASTER6!$A$2:$D$8001,4,FALSE())</f>
        <v>0</v>
      </c>
      <c r="AJ9" s="0" t="n">
        <f aca="false">VLOOKUP(AJ$1+1000*$A9,MASTER6!$A$2:$D$8001,4,FALSE())</f>
        <v>0</v>
      </c>
      <c r="AK9" s="0" t="e">
        <f aca="false">VLOOKUP(AK$1+1000*$A9,MASTER6!$A$2:$D$8001,4,FALSE())</f>
        <v>#N/A</v>
      </c>
      <c r="AL9" s="0" t="n">
        <f aca="false">VLOOKUP(AL$1+1000*$A9,MASTER6!$A$2:$D$8001,4,FALSE())</f>
        <v>0</v>
      </c>
      <c r="AM9" s="0" t="e">
        <f aca="false">VLOOKUP(AM$1+1000*$A9,MASTER6!$A$2:$D$8001,4,FALSE())</f>
        <v>#N/A</v>
      </c>
      <c r="AN9" s="0" t="n">
        <f aca="false">VLOOKUP(AN$1+1000*$A9,MASTER6!$A$2:$D$8001,4,FALSE())</f>
        <v>0</v>
      </c>
      <c r="AO9" s="0" t="n">
        <f aca="false">VLOOKUP(AO$1+1000*$A9,MASTER6!$A$2:$D$8001,4,FALSE())</f>
        <v>0</v>
      </c>
      <c r="AP9" s="0" t="n">
        <f aca="false">VLOOKUP(AP$1+1000*$A9,MASTER6!$A$2:$D$8001,4,FALSE())</f>
        <v>0</v>
      </c>
      <c r="AQ9" s="0" t="e">
        <f aca="false">VLOOKUP(AQ$1+1000*$A9,MASTER6!$A$2:$D$8001,4,FALSE())</f>
        <v>#N/A</v>
      </c>
      <c r="AR9" s="0" t="e">
        <f aca="false">VLOOKUP(AR$1+1000*$A9,MASTER6!$A$2:$D$8001,4,FALSE())</f>
        <v>#N/A</v>
      </c>
      <c r="AS9" s="0" t="e">
        <f aca="false">VLOOKUP(AS$1+1000*$A9,MASTER6!$A$2:$D$8001,4,FALSE())</f>
        <v>#N/A</v>
      </c>
      <c r="AT9" s="0" t="e">
        <f aca="false">VLOOKUP(AT$1+1000*$A9,MASTER6!$A$2:$D$8001,4,FALSE())</f>
        <v>#N/A</v>
      </c>
      <c r="AU9" s="0" t="e">
        <f aca="false">VLOOKUP(AU$1+1000*$A9,MASTER6!$A$2:$D$8001,4,FALSE())</f>
        <v>#N/A</v>
      </c>
      <c r="AV9" s="0" t="e">
        <f aca="false">VLOOKUP(AV$1+1000*$A9,MASTER6!$A$2:$D$8001,4,FALSE())</f>
        <v>#N/A</v>
      </c>
      <c r="AW9" s="0" t="e">
        <f aca="false">VLOOKUP(AW$1+1000*$A9,MASTER6!$A$2:$D$8001,4,FALSE())</f>
        <v>#N/A</v>
      </c>
      <c r="AX9" s="0" t="n">
        <f aca="false">VLOOKUP(AX$1+1000*$A9,MASTER6!$A$2:$D$8001,4,FALSE())</f>
        <v>0</v>
      </c>
      <c r="AY9" s="0" t="n">
        <f aca="false">VLOOKUP(AY$1+1000*$A9,MASTER6!$A$2:$D$8001,4,FALSE())</f>
        <v>0</v>
      </c>
      <c r="AZ9" s="0" t="n">
        <f aca="false">VLOOKUP(AZ$1+1000*$A9,MASTER6!$A$2:$D$8001,4,FALSE())</f>
        <v>0</v>
      </c>
      <c r="BA9" s="0" t="e">
        <f aca="false">VLOOKUP(BA$1+1000*$A9,MASTER6!$A$2:$D$8001,4,FALSE())</f>
        <v>#N/A</v>
      </c>
      <c r="BB9" s="0" t="n">
        <f aca="false">VLOOKUP(BB$1+1000*$A9,MASTER6!$A$2:$D$8001,4,FALSE())</f>
        <v>0</v>
      </c>
      <c r="BC9" s="0" t="e">
        <f aca="false">VLOOKUP(BC$1+1000*$A9,MASTER6!$A$2:$D$8001,4,FALSE())</f>
        <v>#N/A</v>
      </c>
      <c r="BD9" s="0" t="e">
        <f aca="false">VLOOKUP(BD$1+1000*$A9,MASTER6!$A$2:$D$8001,4,FALSE())</f>
        <v>#N/A</v>
      </c>
      <c r="BE9" s="0" t="e">
        <f aca="false">VLOOKUP(BE$1+1000*$A9,MASTER6!$A$2:$D$8001,4,FALSE())</f>
        <v>#N/A</v>
      </c>
      <c r="BF9" s="0" t="e">
        <f aca="false">VLOOKUP(BF$1+1000*$A9,MASTER6!$A$2:$D$8001,4,FALSE())</f>
        <v>#N/A</v>
      </c>
      <c r="BG9" s="0" t="e">
        <f aca="false">VLOOKUP(BG$1+1000*$A9,MASTER6!$A$2:$D$8001,4,FALSE())</f>
        <v>#N/A</v>
      </c>
      <c r="BH9" s="0" t="e">
        <f aca="false">VLOOKUP(BH$1+1000*$A9,MASTER6!$A$2:$D$8001,4,FALSE())</f>
        <v>#N/A</v>
      </c>
      <c r="BI9" s="0" t="e">
        <f aca="false">VLOOKUP(BI$1+1000*$A9,MASTER6!$A$2:$D$8001,4,FALSE())</f>
        <v>#N/A</v>
      </c>
      <c r="BJ9" s="0" t="e">
        <f aca="false">VLOOKUP(BJ$1+1000*$A9,MASTER6!$A$2:$D$8001,4,FALSE())</f>
        <v>#N/A</v>
      </c>
      <c r="BK9" s="0" t="e">
        <f aca="false">VLOOKUP(BK$1+1000*$A9,MASTER6!$A$2:$D$8001,4,FALSE())</f>
        <v>#N/A</v>
      </c>
      <c r="BL9" s="0" t="e">
        <f aca="false">VLOOKUP(BL$1+1000*$A9,MASTER6!$A$2:$D$8001,4,FALSE())</f>
        <v>#N/A</v>
      </c>
      <c r="BM9" s="0" t="e">
        <f aca="false">VLOOKUP(BM$1+1000*$A9,MASTER6!$A$2:$D$8001,4,FALSE())</f>
        <v>#N/A</v>
      </c>
      <c r="BN9" s="0" t="n">
        <f aca="false">VLOOKUP(BN$1+1000*$A9,MASTER6!$A$2:$D$8001,4,FALSE())</f>
        <v>0</v>
      </c>
      <c r="BO9" s="0" t="e">
        <f aca="false">VLOOKUP(BO$1+1000*$A9,MASTER6!$A$2:$D$8001,4,FALSE())</f>
        <v>#N/A</v>
      </c>
      <c r="BP9" s="0" t="e">
        <f aca="false">VLOOKUP(BP$1+1000*$A9,MASTER6!$A$2:$D$8001,4,FALSE())</f>
        <v>#N/A</v>
      </c>
      <c r="BQ9" s="0" t="e">
        <f aca="false">VLOOKUP(BQ$1+1000*$A9,MASTER6!$A$2:$D$8001,4,FALSE())</f>
        <v>#N/A</v>
      </c>
      <c r="BR9" s="0" t="n">
        <f aca="false">VLOOKUP(BR$1+1000*$A9,MASTER6!$A$2:$D$8001,4,FALSE())</f>
        <v>0</v>
      </c>
      <c r="BS9" s="0" t="e">
        <f aca="false">VLOOKUP(BS$1+1000*$A9,MASTER6!$A$2:$D$8001,4,FALSE())</f>
        <v>#N/A</v>
      </c>
      <c r="BT9" s="0" t="e">
        <f aca="false">VLOOKUP(BT$1+1000*$A9,MASTER6!$A$2:$D$8001,4,FALSE())</f>
        <v>#N/A</v>
      </c>
      <c r="BU9" s="0" t="n">
        <f aca="false">VLOOKUP(BU$1+1000*$A9,MASTER6!$A$2:$D$8001,4,FALSE())</f>
        <v>0</v>
      </c>
      <c r="BV9" s="0" t="e">
        <f aca="false">VLOOKUP(BV$1+1000*$A9,MASTER6!$A$2:$D$8001,4,FALSE())</f>
        <v>#N/A</v>
      </c>
      <c r="BW9" s="0" t="e">
        <f aca="false">VLOOKUP(BW$1+1000*$A9,MASTER6!$A$2:$D$8001,4,FALSE())</f>
        <v>#N/A</v>
      </c>
      <c r="BX9" s="0" t="n">
        <f aca="false">VLOOKUP(BX$1+1000*$A9,MASTER6!$A$2:$D$8001,4,FALSE())</f>
        <v>0</v>
      </c>
      <c r="BY9" s="0" t="e">
        <f aca="false">VLOOKUP(BY$1+1000*$A9,MASTER6!$A$2:$D$8001,4,FALSE())</f>
        <v>#N/A</v>
      </c>
      <c r="BZ9" s="0" t="e">
        <f aca="false">VLOOKUP(BZ$1+1000*$A9,MASTER6!$A$2:$D$8001,4,FALSE())</f>
        <v>#N/A</v>
      </c>
      <c r="CA9" s="0" t="e">
        <f aca="false">VLOOKUP(CA$1+1000*$A9,MASTER6!$A$2:$D$8001,4,FALSE())</f>
        <v>#N/A</v>
      </c>
      <c r="CB9" s="0" t="n">
        <f aca="false">VLOOKUP(CB$1+1000*$A9,MASTER6!$A$2:$D$8001,4,FALSE())</f>
        <v>0</v>
      </c>
      <c r="CC9" s="0" t="e">
        <f aca="false">VLOOKUP(CC$1+1000*$A9,MASTER6!$A$2:$D$8001,4,FALSE())</f>
        <v>#N/A</v>
      </c>
      <c r="CD9" s="0" t="e">
        <f aca="false">VLOOKUP(CD$1+1000*$A9,MASTER6!$A$2:$D$8001,4,FALSE())</f>
        <v>#N/A</v>
      </c>
      <c r="CE9" s="0" t="e">
        <f aca="false">VLOOKUP(CE$1+1000*$A9,MASTER6!$A$2:$D$8001,4,FALSE())</f>
        <v>#N/A</v>
      </c>
      <c r="CF9" s="0" t="e">
        <f aca="false">VLOOKUP(CF$1+1000*$A9,MASTER6!$A$2:$D$8001,4,FALSE())</f>
        <v>#N/A</v>
      </c>
      <c r="CG9" s="0" t="e">
        <f aca="false">VLOOKUP(CG$1+1000*$A9,MASTER6!$A$2:$D$8001,4,FALSE())</f>
        <v>#N/A</v>
      </c>
      <c r="CH9" s="0" t="n">
        <f aca="false">VLOOKUP(CH$1+1000*$A9,MASTER6!$A$2:$D$8001,4,FALSE())</f>
        <v>74074</v>
      </c>
      <c r="CI9" s="0" t="n">
        <f aca="false">VLOOKUP(CI$1+1000*$A9,MASTER6!$A$2:$D$8001,4,FALSE())</f>
        <v>0</v>
      </c>
      <c r="CJ9" s="0" t="e">
        <f aca="false">VLOOKUP(CJ$1+1000*$A9,MASTER6!$A$2:$D$8001,4,FALSE())</f>
        <v>#N/A</v>
      </c>
    </row>
    <row r="10" customFormat="false" ht="12.75" hidden="false" customHeight="false" outlineLevel="0" collapsed="false">
      <c r="A10" s="0" t="n">
        <v>9</v>
      </c>
      <c r="B10" s="0" t="n">
        <f aca="false">VLOOKUP(B$1+1000*$A10,MASTER6!$A$2:$D$8001,4,FALSE())</f>
        <v>143</v>
      </c>
      <c r="C10" s="0" t="n">
        <f aca="false">VLOOKUP(C$1+1000*$A10,MASTER6!$A$2:$D$8001,4,FALSE())</f>
        <v>0</v>
      </c>
      <c r="D10" s="0" t="n">
        <f aca="false">VLOOKUP(D$1+1000*$A10,MASTER6!$A$2:$D$8001,4,FALSE())</f>
        <v>0</v>
      </c>
      <c r="E10" s="0" t="n">
        <f aca="false">VLOOKUP(E$1+1000*$A10,MASTER6!$A$2:$D$8001,4,FALSE())</f>
        <v>208</v>
      </c>
      <c r="F10" s="0" t="n">
        <f aca="false">VLOOKUP(F$1+1000*$A10,MASTER6!$A$2:$D$8001,4,FALSE())</f>
        <v>0</v>
      </c>
      <c r="G10" s="0" t="n">
        <f aca="false">VLOOKUP(G$1+1000*$A10,MASTER6!$A$2:$D$8001,4,FALSE())</f>
        <v>0</v>
      </c>
      <c r="H10" s="0" t="n">
        <f aca="false">VLOOKUP(H$1+1000*$A10,MASTER6!$A$2:$D$8001,4,FALSE())</f>
        <v>0</v>
      </c>
      <c r="I10" s="0" t="n">
        <f aca="false">VLOOKUP(I$1+1000*$A10,MASTER6!$A$2:$D$8001,4,FALSE())</f>
        <v>0</v>
      </c>
      <c r="J10" s="0" t="n">
        <f aca="false">VLOOKUP(J$1+1000*$A10,MASTER6!$A$2:$D$8001,4,FALSE())</f>
        <v>37791</v>
      </c>
      <c r="K10" s="0" t="n">
        <f aca="false">VLOOKUP(K$1+1000*$A10,MASTER6!$A$2:$D$8001,4,FALSE())</f>
        <v>104</v>
      </c>
      <c r="L10" s="0" t="n">
        <f aca="false">VLOOKUP(L$1+1000*$A10,MASTER6!$A$2:$D$8001,4,FALSE())</f>
        <v>0</v>
      </c>
      <c r="M10" s="0" t="e">
        <f aca="false">VLOOKUP(M$1+1000*$A10,MASTER6!$A$2:$D$8001,4,FALSE())</f>
        <v>#N/A</v>
      </c>
      <c r="N10" s="0" t="n">
        <f aca="false">VLOOKUP(N$1+1000*$A10,MASTER6!$A$2:$D$8001,4,FALSE())</f>
        <v>559</v>
      </c>
      <c r="O10" s="0" t="n">
        <f aca="false">VLOOKUP(O$1+1000*$A10,MASTER6!$A$2:$D$8001,4,FALSE())</f>
        <v>1222</v>
      </c>
      <c r="P10" s="0" t="n">
        <f aca="false">VLOOKUP(P$1+1000*$A10,MASTER6!$A$2:$D$8001,4,FALSE())</f>
        <v>429</v>
      </c>
      <c r="Q10" s="0" t="n">
        <f aca="false">VLOOKUP(Q$1+1000*$A10,MASTER6!$A$2:$D$8001,4,FALSE())</f>
        <v>1781</v>
      </c>
      <c r="R10" s="0" t="n">
        <f aca="false">VLOOKUP(R$1+1000*$A10,MASTER6!$A$2:$D$8001,4,FALSE())</f>
        <v>208</v>
      </c>
      <c r="S10" s="0" t="n">
        <f aca="false">VLOOKUP(S$1+1000*$A10,MASTER6!$A$2:$D$8001,4,FALSE())</f>
        <v>1703</v>
      </c>
      <c r="T10" s="0" t="n">
        <f aca="false">VLOOKUP(T$1+1000*$A10,MASTER6!$A$2:$D$8001,4,FALSE())</f>
        <v>897</v>
      </c>
      <c r="U10" s="0" t="n">
        <f aca="false">VLOOKUP(U$1+1000*$A10,MASTER6!$A$2:$D$8001,4,FALSE())</f>
        <v>325</v>
      </c>
      <c r="V10" s="0" t="n">
        <f aca="false">VLOOKUP(V$1+1000*$A10,MASTER6!$A$2:$D$8001,4,FALSE())</f>
        <v>572</v>
      </c>
      <c r="W10" s="0" t="n">
        <f aca="false">VLOOKUP(W$1+1000*$A10,MASTER6!$A$2:$D$8001,4,FALSE())</f>
        <v>195</v>
      </c>
      <c r="X10" s="0" t="n">
        <f aca="false">VLOOKUP(X$1+1000*$A10,MASTER6!$A$2:$D$8001,4,FALSE())</f>
        <v>0</v>
      </c>
      <c r="Y10" s="0" t="n">
        <f aca="false">VLOOKUP(Y$1+1000*$A10,MASTER6!$A$2:$D$8001,4,FALSE())</f>
        <v>0</v>
      </c>
      <c r="Z10" s="0" t="n">
        <f aca="false">VLOOKUP(Z$1+1000*$A10,MASTER6!$A$2:$D$8001,4,FALSE())</f>
        <v>0</v>
      </c>
      <c r="AA10" s="0" t="n">
        <f aca="false">VLOOKUP(AA$1+1000*$A10,MASTER6!$A$2:$D$8001,4,FALSE())</f>
        <v>0</v>
      </c>
      <c r="AB10" s="0" t="e">
        <f aca="false">VLOOKUP(AB$1+1000*$A10,MASTER6!$A$2:$D$8001,4,FALSE())</f>
        <v>#N/A</v>
      </c>
      <c r="AC10" s="0" t="n">
        <f aca="false">VLOOKUP(AC$1+1000*$A10,MASTER6!$A$2:$D$8001,4,FALSE())</f>
        <v>286</v>
      </c>
      <c r="AD10" s="0" t="n">
        <f aca="false">VLOOKUP(AD$1+1000*$A10,MASTER6!$A$2:$D$8001,4,FALSE())</f>
        <v>0</v>
      </c>
      <c r="AE10" s="0" t="e">
        <f aca="false">VLOOKUP(AE$1+1000*$A10,MASTER6!$A$2:$D$8001,4,FALSE())</f>
        <v>#N/A</v>
      </c>
      <c r="AF10" s="0" t="e">
        <f aca="false">VLOOKUP(AF$1+1000*$A10,MASTER6!$A$2:$D$8001,4,FALSE())</f>
        <v>#N/A</v>
      </c>
      <c r="AG10" s="0" t="e">
        <f aca="false">VLOOKUP(AG$1+1000*$A10,MASTER6!$A$2:$D$8001,4,FALSE())</f>
        <v>#N/A</v>
      </c>
      <c r="AH10" s="0" t="n">
        <f aca="false">VLOOKUP(AH$1+1000*$A10,MASTER6!$A$2:$D$8001,4,FALSE())</f>
        <v>0</v>
      </c>
      <c r="AI10" s="0" t="n">
        <f aca="false">VLOOKUP(AI$1+1000*$A10,MASTER6!$A$2:$D$8001,4,FALSE())</f>
        <v>0</v>
      </c>
      <c r="AJ10" s="0" t="n">
        <f aca="false">VLOOKUP(AJ$1+1000*$A10,MASTER6!$A$2:$D$8001,4,FALSE())</f>
        <v>0</v>
      </c>
      <c r="AK10" s="0" t="e">
        <f aca="false">VLOOKUP(AK$1+1000*$A10,MASTER6!$A$2:$D$8001,4,FALSE())</f>
        <v>#N/A</v>
      </c>
      <c r="AL10" s="0" t="n">
        <f aca="false">VLOOKUP(AL$1+1000*$A10,MASTER6!$A$2:$D$8001,4,FALSE())</f>
        <v>91</v>
      </c>
      <c r="AM10" s="0" t="e">
        <f aca="false">VLOOKUP(AM$1+1000*$A10,MASTER6!$A$2:$D$8001,4,FALSE())</f>
        <v>#N/A</v>
      </c>
      <c r="AN10" s="0" t="n">
        <f aca="false">VLOOKUP(AN$1+1000*$A10,MASTER6!$A$2:$D$8001,4,FALSE())</f>
        <v>0</v>
      </c>
      <c r="AO10" s="0" t="n">
        <f aca="false">VLOOKUP(AO$1+1000*$A10,MASTER6!$A$2:$D$8001,4,FALSE())</f>
        <v>0</v>
      </c>
      <c r="AP10" s="0" t="n">
        <f aca="false">VLOOKUP(AP$1+1000*$A10,MASTER6!$A$2:$D$8001,4,FALSE())</f>
        <v>0</v>
      </c>
      <c r="AQ10" s="0" t="e">
        <f aca="false">VLOOKUP(AQ$1+1000*$A10,MASTER6!$A$2:$D$8001,4,FALSE())</f>
        <v>#N/A</v>
      </c>
      <c r="AR10" s="0" t="e">
        <f aca="false">VLOOKUP(AR$1+1000*$A10,MASTER6!$A$2:$D$8001,4,FALSE())</f>
        <v>#N/A</v>
      </c>
      <c r="AS10" s="0" t="e">
        <f aca="false">VLOOKUP(AS$1+1000*$A10,MASTER6!$A$2:$D$8001,4,FALSE())</f>
        <v>#N/A</v>
      </c>
      <c r="AT10" s="0" t="e">
        <f aca="false">VLOOKUP(AT$1+1000*$A10,MASTER6!$A$2:$D$8001,4,FALSE())</f>
        <v>#N/A</v>
      </c>
      <c r="AU10" s="0" t="e">
        <f aca="false">VLOOKUP(AU$1+1000*$A10,MASTER6!$A$2:$D$8001,4,FALSE())</f>
        <v>#N/A</v>
      </c>
      <c r="AV10" s="0" t="e">
        <f aca="false">VLOOKUP(AV$1+1000*$A10,MASTER6!$A$2:$D$8001,4,FALSE())</f>
        <v>#N/A</v>
      </c>
      <c r="AW10" s="0" t="e">
        <f aca="false">VLOOKUP(AW$1+1000*$A10,MASTER6!$A$2:$D$8001,4,FALSE())</f>
        <v>#N/A</v>
      </c>
      <c r="AX10" s="0" t="n">
        <f aca="false">VLOOKUP(AX$1+1000*$A10,MASTER6!$A$2:$D$8001,4,FALSE())</f>
        <v>117</v>
      </c>
      <c r="AY10" s="0" t="n">
        <f aca="false">VLOOKUP(AY$1+1000*$A10,MASTER6!$A$2:$D$8001,4,FALSE())</f>
        <v>0</v>
      </c>
      <c r="AZ10" s="0" t="n">
        <f aca="false">VLOOKUP(AZ$1+1000*$A10,MASTER6!$A$2:$D$8001,4,FALSE())</f>
        <v>273</v>
      </c>
      <c r="BA10" s="0" t="e">
        <f aca="false">VLOOKUP(BA$1+1000*$A10,MASTER6!$A$2:$D$8001,4,FALSE())</f>
        <v>#N/A</v>
      </c>
      <c r="BB10" s="0" t="n">
        <f aca="false">VLOOKUP(BB$1+1000*$A10,MASTER6!$A$2:$D$8001,4,FALSE())</f>
        <v>0</v>
      </c>
      <c r="BC10" s="0" t="e">
        <f aca="false">VLOOKUP(BC$1+1000*$A10,MASTER6!$A$2:$D$8001,4,FALSE())</f>
        <v>#N/A</v>
      </c>
      <c r="BD10" s="0" t="e">
        <f aca="false">VLOOKUP(BD$1+1000*$A10,MASTER6!$A$2:$D$8001,4,FALSE())</f>
        <v>#N/A</v>
      </c>
      <c r="BE10" s="0" t="e">
        <f aca="false">VLOOKUP(BE$1+1000*$A10,MASTER6!$A$2:$D$8001,4,FALSE())</f>
        <v>#N/A</v>
      </c>
      <c r="BF10" s="0" t="e">
        <f aca="false">VLOOKUP(BF$1+1000*$A10,MASTER6!$A$2:$D$8001,4,FALSE())</f>
        <v>#N/A</v>
      </c>
      <c r="BG10" s="0" t="e">
        <f aca="false">VLOOKUP(BG$1+1000*$A10,MASTER6!$A$2:$D$8001,4,FALSE())</f>
        <v>#N/A</v>
      </c>
      <c r="BH10" s="0" t="e">
        <f aca="false">VLOOKUP(BH$1+1000*$A10,MASTER6!$A$2:$D$8001,4,FALSE())</f>
        <v>#N/A</v>
      </c>
      <c r="BI10" s="0" t="e">
        <f aca="false">VLOOKUP(BI$1+1000*$A10,MASTER6!$A$2:$D$8001,4,FALSE())</f>
        <v>#N/A</v>
      </c>
      <c r="BJ10" s="0" t="e">
        <f aca="false">VLOOKUP(BJ$1+1000*$A10,MASTER6!$A$2:$D$8001,4,FALSE())</f>
        <v>#N/A</v>
      </c>
      <c r="BK10" s="0" t="e">
        <f aca="false">VLOOKUP(BK$1+1000*$A10,MASTER6!$A$2:$D$8001,4,FALSE())</f>
        <v>#N/A</v>
      </c>
      <c r="BL10" s="0" t="e">
        <f aca="false">VLOOKUP(BL$1+1000*$A10,MASTER6!$A$2:$D$8001,4,FALSE())</f>
        <v>#N/A</v>
      </c>
      <c r="BM10" s="0" t="n">
        <f aca="false">VLOOKUP(BM$1+1000*$A10,MASTER6!$A$2:$D$8001,4,FALSE())</f>
        <v>104</v>
      </c>
      <c r="BN10" s="0" t="n">
        <f aca="false">VLOOKUP(BN$1+1000*$A10,MASTER6!$A$2:$D$8001,4,FALSE())</f>
        <v>0</v>
      </c>
      <c r="BO10" s="0" t="e">
        <f aca="false">VLOOKUP(BO$1+1000*$A10,MASTER6!$A$2:$D$8001,4,FALSE())</f>
        <v>#N/A</v>
      </c>
      <c r="BP10" s="0" t="e">
        <f aca="false">VLOOKUP(BP$1+1000*$A10,MASTER6!$A$2:$D$8001,4,FALSE())</f>
        <v>#N/A</v>
      </c>
      <c r="BQ10" s="0" t="e">
        <f aca="false">VLOOKUP(BQ$1+1000*$A10,MASTER6!$A$2:$D$8001,4,FALSE())</f>
        <v>#N/A</v>
      </c>
      <c r="BR10" s="0" t="n">
        <f aca="false">VLOOKUP(BR$1+1000*$A10,MASTER6!$A$2:$D$8001,4,FALSE())</f>
        <v>0</v>
      </c>
      <c r="BS10" s="0" t="e">
        <f aca="false">VLOOKUP(BS$1+1000*$A10,MASTER6!$A$2:$D$8001,4,FALSE())</f>
        <v>#N/A</v>
      </c>
      <c r="BT10" s="0" t="e">
        <f aca="false">VLOOKUP(BT$1+1000*$A10,MASTER6!$A$2:$D$8001,4,FALSE())</f>
        <v>#N/A</v>
      </c>
      <c r="BU10" s="0" t="n">
        <f aca="false">VLOOKUP(BU$1+1000*$A10,MASTER6!$A$2:$D$8001,4,FALSE())</f>
        <v>0</v>
      </c>
      <c r="BV10" s="0" t="n">
        <f aca="false">VLOOKUP(BV$1+1000*$A10,MASTER6!$A$2:$D$8001,4,FALSE())</f>
        <v>4901</v>
      </c>
      <c r="BW10" s="0" t="e">
        <f aca="false">VLOOKUP(BW$1+1000*$A10,MASTER6!$A$2:$D$8001,4,FALSE())</f>
        <v>#N/A</v>
      </c>
      <c r="BX10" s="0" t="n">
        <f aca="false">VLOOKUP(BX$1+1000*$A10,MASTER6!$A$2:$D$8001,4,FALSE())</f>
        <v>0</v>
      </c>
      <c r="BY10" s="0" t="e">
        <f aca="false">VLOOKUP(BY$1+1000*$A10,MASTER6!$A$2:$D$8001,4,FALSE())</f>
        <v>#N/A</v>
      </c>
      <c r="BZ10" s="0" t="e">
        <f aca="false">VLOOKUP(BZ$1+1000*$A10,MASTER6!$A$2:$D$8001,4,FALSE())</f>
        <v>#N/A</v>
      </c>
      <c r="CA10" s="0" t="e">
        <f aca="false">VLOOKUP(CA$1+1000*$A10,MASTER6!$A$2:$D$8001,4,FALSE())</f>
        <v>#N/A</v>
      </c>
      <c r="CB10" s="0" t="n">
        <f aca="false">VLOOKUP(CB$1+1000*$A10,MASTER6!$A$2:$D$8001,4,FALSE())</f>
        <v>0</v>
      </c>
      <c r="CC10" s="0" t="e">
        <f aca="false">VLOOKUP(CC$1+1000*$A10,MASTER6!$A$2:$D$8001,4,FALSE())</f>
        <v>#N/A</v>
      </c>
      <c r="CD10" s="0" t="e">
        <f aca="false">VLOOKUP(CD$1+1000*$A10,MASTER6!$A$2:$D$8001,4,FALSE())</f>
        <v>#N/A</v>
      </c>
      <c r="CE10" s="0" t="e">
        <f aca="false">VLOOKUP(CE$1+1000*$A10,MASTER6!$A$2:$D$8001,4,FALSE())</f>
        <v>#N/A</v>
      </c>
      <c r="CF10" s="0" t="e">
        <f aca="false">VLOOKUP(CF$1+1000*$A10,MASTER6!$A$2:$D$8001,4,FALSE())</f>
        <v>#N/A</v>
      </c>
      <c r="CG10" s="0" t="e">
        <f aca="false">VLOOKUP(CG$1+1000*$A10,MASTER6!$A$2:$D$8001,4,FALSE())</f>
        <v>#N/A</v>
      </c>
      <c r="CH10" s="0" t="n">
        <f aca="false">VLOOKUP(CH$1+1000*$A10,MASTER6!$A$2:$D$8001,4,FALSE())</f>
        <v>57291</v>
      </c>
      <c r="CI10" s="0" t="n">
        <f aca="false">VLOOKUP(CI$1+1000*$A10,MASTER6!$A$2:$D$8001,4,FALSE())</f>
        <v>0</v>
      </c>
      <c r="CJ10" s="0" t="e">
        <f aca="false">VLOOKUP(CJ$1+1000*$A10,MASTER6!$A$2:$D$8001,4,FALSE())</f>
        <v>#N/A</v>
      </c>
    </row>
    <row r="11" customFormat="false" ht="12.75" hidden="false" customHeight="false" outlineLevel="0" collapsed="false">
      <c r="A11" s="0" t="n">
        <v>10</v>
      </c>
      <c r="B11" s="0" t="n">
        <f aca="false">VLOOKUP(B$1+1000*$A11,MASTER6!$A$2:$D$8001,4,FALSE())</f>
        <v>65</v>
      </c>
      <c r="C11" s="0" t="n">
        <f aca="false">VLOOKUP(C$1+1000*$A11,MASTER6!$A$2:$D$8001,4,FALSE())</f>
        <v>0</v>
      </c>
      <c r="D11" s="0" t="n">
        <f aca="false">VLOOKUP(D$1+1000*$A11,MASTER6!$A$2:$D$8001,4,FALSE())</f>
        <v>221</v>
      </c>
      <c r="E11" s="0" t="n">
        <f aca="false">VLOOKUP(E$1+1000*$A11,MASTER6!$A$2:$D$8001,4,FALSE())</f>
        <v>0</v>
      </c>
      <c r="F11" s="0" t="n">
        <f aca="false">VLOOKUP(F$1+1000*$A11,MASTER6!$A$2:$D$8001,4,FALSE())</f>
        <v>182</v>
      </c>
      <c r="G11" s="0" t="n">
        <f aca="false">VLOOKUP(G$1+1000*$A11,MASTER6!$A$2:$D$8001,4,FALSE())</f>
        <v>221</v>
      </c>
      <c r="H11" s="0" t="n">
        <f aca="false">VLOOKUP(H$1+1000*$A11,MASTER6!$A$2:$D$8001,4,FALSE())</f>
        <v>0</v>
      </c>
      <c r="I11" s="0" t="n">
        <f aca="false">VLOOKUP(I$1+1000*$A11,MASTER6!$A$2:$D$8001,4,FALSE())</f>
        <v>507</v>
      </c>
      <c r="J11" s="0" t="n">
        <f aca="false">VLOOKUP(J$1+1000*$A11,MASTER6!$A$2:$D$8001,4,FALSE())</f>
        <v>169</v>
      </c>
      <c r="K11" s="0" t="n">
        <f aca="false">VLOOKUP(K$1+1000*$A11,MASTER6!$A$2:$D$8001,4,FALSE())</f>
        <v>44408</v>
      </c>
      <c r="L11" s="0" t="n">
        <f aca="false">VLOOKUP(L$1+1000*$A11,MASTER6!$A$2:$D$8001,4,FALSE())</f>
        <v>208</v>
      </c>
      <c r="M11" s="0" t="n">
        <f aca="false">VLOOKUP(M$1+1000*$A11,MASTER6!$A$2:$D$8001,4,FALSE())</f>
        <v>195</v>
      </c>
      <c r="N11" s="0" t="n">
        <f aca="false">VLOOKUP(N$1+1000*$A11,MASTER6!$A$2:$D$8001,4,FALSE())</f>
        <v>0</v>
      </c>
      <c r="O11" s="0" t="n">
        <f aca="false">VLOOKUP(O$1+1000*$A11,MASTER6!$A$2:$D$8001,4,FALSE())</f>
        <v>0</v>
      </c>
      <c r="P11" s="0" t="n">
        <f aca="false">VLOOKUP(P$1+1000*$A11,MASTER6!$A$2:$D$8001,4,FALSE())</f>
        <v>0</v>
      </c>
      <c r="Q11" s="0" t="n">
        <f aca="false">VLOOKUP(Q$1+1000*$A11,MASTER6!$A$2:$D$8001,4,FALSE())</f>
        <v>2015</v>
      </c>
      <c r="R11" s="0" t="n">
        <f aca="false">VLOOKUP(R$1+1000*$A11,MASTER6!$A$2:$D$8001,4,FALSE())</f>
        <v>0</v>
      </c>
      <c r="S11" s="0" t="n">
        <f aca="false">VLOOKUP(S$1+1000*$A11,MASTER6!$A$2:$D$8001,4,FALSE())</f>
        <v>299</v>
      </c>
      <c r="T11" s="0" t="n">
        <f aca="false">VLOOKUP(T$1+1000*$A11,MASTER6!$A$2:$D$8001,4,FALSE())</f>
        <v>0</v>
      </c>
      <c r="U11" s="0" t="n">
        <f aca="false">VLOOKUP(U$1+1000*$A11,MASTER6!$A$2:$D$8001,4,FALSE())</f>
        <v>221</v>
      </c>
      <c r="V11" s="0" t="n">
        <f aca="false">VLOOKUP(V$1+1000*$A11,MASTER6!$A$2:$D$8001,4,FALSE())</f>
        <v>91</v>
      </c>
      <c r="W11" s="0" t="n">
        <f aca="false">VLOOKUP(W$1+1000*$A11,MASTER6!$A$2:$D$8001,4,FALSE())</f>
        <v>78</v>
      </c>
      <c r="X11" s="0" t="n">
        <f aca="false">VLOOKUP(X$1+1000*$A11,MASTER6!$A$2:$D$8001,4,FALSE())</f>
        <v>351</v>
      </c>
      <c r="Y11" s="0" t="n">
        <f aca="false">VLOOKUP(Y$1+1000*$A11,MASTER6!$A$2:$D$8001,4,FALSE())</f>
        <v>117</v>
      </c>
      <c r="Z11" s="0" t="n">
        <f aca="false">VLOOKUP(Z$1+1000*$A11,MASTER6!$A$2:$D$8001,4,FALSE())</f>
        <v>0</v>
      </c>
      <c r="AA11" s="0" t="n">
        <f aca="false">VLOOKUP(AA$1+1000*$A11,MASTER6!$A$2:$D$8001,4,FALSE())</f>
        <v>117</v>
      </c>
      <c r="AB11" s="0" t="e">
        <f aca="false">VLOOKUP(AB$1+1000*$A11,MASTER6!$A$2:$D$8001,4,FALSE())</f>
        <v>#N/A</v>
      </c>
      <c r="AC11" s="0" t="n">
        <f aca="false">VLOOKUP(AC$1+1000*$A11,MASTER6!$A$2:$D$8001,4,FALSE())</f>
        <v>13039</v>
      </c>
      <c r="AD11" s="0" t="n">
        <f aca="false">VLOOKUP(AD$1+1000*$A11,MASTER6!$A$2:$D$8001,4,FALSE())</f>
        <v>4069</v>
      </c>
      <c r="AE11" s="0" t="e">
        <f aca="false">VLOOKUP(AE$1+1000*$A11,MASTER6!$A$2:$D$8001,4,FALSE())</f>
        <v>#N/A</v>
      </c>
      <c r="AF11" s="0" t="e">
        <f aca="false">VLOOKUP(AF$1+1000*$A11,MASTER6!$A$2:$D$8001,4,FALSE())</f>
        <v>#N/A</v>
      </c>
      <c r="AG11" s="0" t="e">
        <f aca="false">VLOOKUP(AG$1+1000*$A11,MASTER6!$A$2:$D$8001,4,FALSE())</f>
        <v>#N/A</v>
      </c>
      <c r="AH11" s="0" t="n">
        <f aca="false">VLOOKUP(AH$1+1000*$A11,MASTER6!$A$2:$D$8001,4,FALSE())</f>
        <v>0</v>
      </c>
      <c r="AI11" s="0" t="n">
        <f aca="false">VLOOKUP(AI$1+1000*$A11,MASTER6!$A$2:$D$8001,4,FALSE())</f>
        <v>0</v>
      </c>
      <c r="AJ11" s="0" t="n">
        <f aca="false">VLOOKUP(AJ$1+1000*$A11,MASTER6!$A$2:$D$8001,4,FALSE())</f>
        <v>0</v>
      </c>
      <c r="AK11" s="0" t="e">
        <f aca="false">VLOOKUP(AK$1+1000*$A11,MASTER6!$A$2:$D$8001,4,FALSE())</f>
        <v>#N/A</v>
      </c>
      <c r="AL11" s="0" t="n">
        <f aca="false">VLOOKUP(AL$1+1000*$A11,MASTER6!$A$2:$D$8001,4,FALSE())</f>
        <v>0</v>
      </c>
      <c r="AM11" s="0" t="e">
        <f aca="false">VLOOKUP(AM$1+1000*$A11,MASTER6!$A$2:$D$8001,4,FALSE())</f>
        <v>#N/A</v>
      </c>
      <c r="AN11" s="0" t="n">
        <f aca="false">VLOOKUP(AN$1+1000*$A11,MASTER6!$A$2:$D$8001,4,FALSE())</f>
        <v>0</v>
      </c>
      <c r="AO11" s="0" t="n">
        <f aca="false">VLOOKUP(AO$1+1000*$A11,MASTER6!$A$2:$D$8001,4,FALSE())</f>
        <v>0</v>
      </c>
      <c r="AP11" s="0" t="n">
        <f aca="false">VLOOKUP(AP$1+1000*$A11,MASTER6!$A$2:$D$8001,4,FALSE())</f>
        <v>0</v>
      </c>
      <c r="AQ11" s="0" t="e">
        <f aca="false">VLOOKUP(AQ$1+1000*$A11,MASTER6!$A$2:$D$8001,4,FALSE())</f>
        <v>#N/A</v>
      </c>
      <c r="AR11" s="0" t="e">
        <f aca="false">VLOOKUP(AR$1+1000*$A11,MASTER6!$A$2:$D$8001,4,FALSE())</f>
        <v>#N/A</v>
      </c>
      <c r="AS11" s="0" t="e">
        <f aca="false">VLOOKUP(AS$1+1000*$A11,MASTER6!$A$2:$D$8001,4,FALSE())</f>
        <v>#N/A</v>
      </c>
      <c r="AT11" s="0" t="e">
        <f aca="false">VLOOKUP(AT$1+1000*$A11,MASTER6!$A$2:$D$8001,4,FALSE())</f>
        <v>#N/A</v>
      </c>
      <c r="AU11" s="0" t="e">
        <f aca="false">VLOOKUP(AU$1+1000*$A11,MASTER6!$A$2:$D$8001,4,FALSE())</f>
        <v>#N/A</v>
      </c>
      <c r="AV11" s="0" t="e">
        <f aca="false">VLOOKUP(AV$1+1000*$A11,MASTER6!$A$2:$D$8001,4,FALSE())</f>
        <v>#N/A</v>
      </c>
      <c r="AW11" s="0" t="e">
        <f aca="false">VLOOKUP(AW$1+1000*$A11,MASTER6!$A$2:$D$8001,4,FALSE())</f>
        <v>#N/A</v>
      </c>
      <c r="AX11" s="0" t="n">
        <f aca="false">VLOOKUP(AX$1+1000*$A11,MASTER6!$A$2:$D$8001,4,FALSE())</f>
        <v>65</v>
      </c>
      <c r="AY11" s="0" t="n">
        <f aca="false">VLOOKUP(AY$1+1000*$A11,MASTER6!$A$2:$D$8001,4,FALSE())</f>
        <v>0</v>
      </c>
      <c r="AZ11" s="0" t="n">
        <f aca="false">VLOOKUP(AZ$1+1000*$A11,MASTER6!$A$2:$D$8001,4,FALSE())</f>
        <v>0</v>
      </c>
      <c r="BA11" s="0" t="e">
        <f aca="false">VLOOKUP(BA$1+1000*$A11,MASTER6!$A$2:$D$8001,4,FALSE())</f>
        <v>#N/A</v>
      </c>
      <c r="BB11" s="0" t="n">
        <f aca="false">VLOOKUP(BB$1+1000*$A11,MASTER6!$A$2:$D$8001,4,FALSE())</f>
        <v>0</v>
      </c>
      <c r="BC11" s="0" t="e">
        <f aca="false">VLOOKUP(BC$1+1000*$A11,MASTER6!$A$2:$D$8001,4,FALSE())</f>
        <v>#N/A</v>
      </c>
      <c r="BD11" s="0" t="e">
        <f aca="false">VLOOKUP(BD$1+1000*$A11,MASTER6!$A$2:$D$8001,4,FALSE())</f>
        <v>#N/A</v>
      </c>
      <c r="BE11" s="0" t="e">
        <f aca="false">VLOOKUP(BE$1+1000*$A11,MASTER6!$A$2:$D$8001,4,FALSE())</f>
        <v>#N/A</v>
      </c>
      <c r="BF11" s="0" t="e">
        <f aca="false">VLOOKUP(BF$1+1000*$A11,MASTER6!$A$2:$D$8001,4,FALSE())</f>
        <v>#N/A</v>
      </c>
      <c r="BG11" s="0" t="e">
        <f aca="false">VLOOKUP(BG$1+1000*$A11,MASTER6!$A$2:$D$8001,4,FALSE())</f>
        <v>#N/A</v>
      </c>
      <c r="BH11" s="0" t="e">
        <f aca="false">VLOOKUP(BH$1+1000*$A11,MASTER6!$A$2:$D$8001,4,FALSE())</f>
        <v>#N/A</v>
      </c>
      <c r="BI11" s="0" t="e">
        <f aca="false">VLOOKUP(BI$1+1000*$A11,MASTER6!$A$2:$D$8001,4,FALSE())</f>
        <v>#N/A</v>
      </c>
      <c r="BJ11" s="0" t="e">
        <f aca="false">VLOOKUP(BJ$1+1000*$A11,MASTER6!$A$2:$D$8001,4,FALSE())</f>
        <v>#N/A</v>
      </c>
      <c r="BK11" s="0" t="e">
        <f aca="false">VLOOKUP(BK$1+1000*$A11,MASTER6!$A$2:$D$8001,4,FALSE())</f>
        <v>#N/A</v>
      </c>
      <c r="BL11" s="0" t="e">
        <f aca="false">VLOOKUP(BL$1+1000*$A11,MASTER6!$A$2:$D$8001,4,FALSE())</f>
        <v>#N/A</v>
      </c>
      <c r="BM11" s="0" t="n">
        <f aca="false">VLOOKUP(BM$1+1000*$A11,MASTER6!$A$2:$D$8001,4,FALSE())</f>
        <v>0</v>
      </c>
      <c r="BN11" s="0" t="n">
        <f aca="false">VLOOKUP(BN$1+1000*$A11,MASTER6!$A$2:$D$8001,4,FALSE())</f>
        <v>78</v>
      </c>
      <c r="BO11" s="0" t="e">
        <f aca="false">VLOOKUP(BO$1+1000*$A11,MASTER6!$A$2:$D$8001,4,FALSE())</f>
        <v>#N/A</v>
      </c>
      <c r="BP11" s="0" t="e">
        <f aca="false">VLOOKUP(BP$1+1000*$A11,MASTER6!$A$2:$D$8001,4,FALSE())</f>
        <v>#N/A</v>
      </c>
      <c r="BQ11" s="0" t="e">
        <f aca="false">VLOOKUP(BQ$1+1000*$A11,MASTER6!$A$2:$D$8001,4,FALSE())</f>
        <v>#N/A</v>
      </c>
      <c r="BR11" s="0" t="n">
        <f aca="false">VLOOKUP(BR$1+1000*$A11,MASTER6!$A$2:$D$8001,4,FALSE())</f>
        <v>0</v>
      </c>
      <c r="BS11" s="0" t="e">
        <f aca="false">VLOOKUP(BS$1+1000*$A11,MASTER6!$A$2:$D$8001,4,FALSE())</f>
        <v>#N/A</v>
      </c>
      <c r="BT11" s="0" t="e">
        <f aca="false">VLOOKUP(BT$1+1000*$A11,MASTER6!$A$2:$D$8001,4,FALSE())</f>
        <v>#N/A</v>
      </c>
      <c r="BU11" s="0" t="n">
        <f aca="false">VLOOKUP(BU$1+1000*$A11,MASTER6!$A$2:$D$8001,4,FALSE())</f>
        <v>0</v>
      </c>
      <c r="BV11" s="0" t="n">
        <f aca="false">VLOOKUP(BV$1+1000*$A11,MASTER6!$A$2:$D$8001,4,FALSE())</f>
        <v>169</v>
      </c>
      <c r="BW11" s="0" t="e">
        <f aca="false">VLOOKUP(BW$1+1000*$A11,MASTER6!$A$2:$D$8001,4,FALSE())</f>
        <v>#N/A</v>
      </c>
      <c r="BX11" s="0" t="n">
        <f aca="false">VLOOKUP(BX$1+1000*$A11,MASTER6!$A$2:$D$8001,4,FALSE())</f>
        <v>0</v>
      </c>
      <c r="BY11" s="0" t="e">
        <f aca="false">VLOOKUP(BY$1+1000*$A11,MASTER6!$A$2:$D$8001,4,FALSE())</f>
        <v>#N/A</v>
      </c>
      <c r="BZ11" s="0" t="e">
        <f aca="false">VLOOKUP(BZ$1+1000*$A11,MASTER6!$A$2:$D$8001,4,FALSE())</f>
        <v>#N/A</v>
      </c>
      <c r="CA11" s="0" t="e">
        <f aca="false">VLOOKUP(CA$1+1000*$A11,MASTER6!$A$2:$D$8001,4,FALSE())</f>
        <v>#N/A</v>
      </c>
      <c r="CB11" s="0" t="n">
        <f aca="false">VLOOKUP(CB$1+1000*$A11,MASTER6!$A$2:$D$8001,4,FALSE())</f>
        <v>0</v>
      </c>
      <c r="CC11" s="0" t="e">
        <f aca="false">VLOOKUP(CC$1+1000*$A11,MASTER6!$A$2:$D$8001,4,FALSE())</f>
        <v>#N/A</v>
      </c>
      <c r="CD11" s="0" t="e">
        <f aca="false">VLOOKUP(CD$1+1000*$A11,MASTER6!$A$2:$D$8001,4,FALSE())</f>
        <v>#N/A</v>
      </c>
      <c r="CE11" s="0" t="e">
        <f aca="false">VLOOKUP(CE$1+1000*$A11,MASTER6!$A$2:$D$8001,4,FALSE())</f>
        <v>#N/A</v>
      </c>
      <c r="CF11" s="0" t="e">
        <f aca="false">VLOOKUP(CF$1+1000*$A11,MASTER6!$A$2:$D$8001,4,FALSE())</f>
        <v>#N/A</v>
      </c>
      <c r="CG11" s="0" t="e">
        <f aca="false">VLOOKUP(CG$1+1000*$A11,MASTER6!$A$2:$D$8001,4,FALSE())</f>
        <v>#N/A</v>
      </c>
      <c r="CH11" s="0" t="n">
        <f aca="false">VLOOKUP(CH$1+1000*$A11,MASTER6!$A$2:$D$8001,4,FALSE())</f>
        <v>75231</v>
      </c>
      <c r="CI11" s="0" t="n">
        <f aca="false">VLOOKUP(CI$1+1000*$A11,MASTER6!$A$2:$D$8001,4,FALSE())</f>
        <v>0</v>
      </c>
      <c r="CJ11" s="0" t="e">
        <f aca="false">VLOOKUP(CJ$1+1000*$A11,MASTER6!$A$2:$D$8001,4,FALSE())</f>
        <v>#N/A</v>
      </c>
    </row>
    <row r="12" customFormat="false" ht="12.75" hidden="false" customHeight="false" outlineLevel="0" collapsed="false">
      <c r="A12" s="0" t="n">
        <v>11</v>
      </c>
      <c r="B12" s="0" t="n">
        <f aca="false">VLOOKUP(B$1+1000*$A12,MASTER6!$A$2:$D$8001,4,FALSE())</f>
        <v>0</v>
      </c>
      <c r="C12" s="0" t="n">
        <f aca="false">VLOOKUP(C$1+1000*$A12,MASTER6!$A$2:$D$8001,4,FALSE())</f>
        <v>0</v>
      </c>
      <c r="D12" s="0" t="n">
        <f aca="false">VLOOKUP(D$1+1000*$A12,MASTER6!$A$2:$D$8001,4,FALSE())</f>
        <v>429</v>
      </c>
      <c r="E12" s="0" t="n">
        <f aca="false">VLOOKUP(E$1+1000*$A12,MASTER6!$A$2:$D$8001,4,FALSE())</f>
        <v>1456</v>
      </c>
      <c r="F12" s="0" t="n">
        <f aca="false">VLOOKUP(F$1+1000*$A12,MASTER6!$A$2:$D$8001,4,FALSE())</f>
        <v>416</v>
      </c>
      <c r="G12" s="0" t="n">
        <f aca="false">VLOOKUP(G$1+1000*$A12,MASTER6!$A$2:$D$8001,4,FALSE())</f>
        <v>0</v>
      </c>
      <c r="H12" s="0" t="n">
        <f aca="false">VLOOKUP(H$1+1000*$A12,MASTER6!$A$2:$D$8001,4,FALSE())</f>
        <v>1872</v>
      </c>
      <c r="I12" s="0" t="n">
        <f aca="false">VLOOKUP(I$1+1000*$A12,MASTER6!$A$2:$D$8001,4,FALSE())</f>
        <v>247</v>
      </c>
      <c r="J12" s="0" t="n">
        <f aca="false">VLOOKUP(J$1+1000*$A12,MASTER6!$A$2:$D$8001,4,FALSE())</f>
        <v>0</v>
      </c>
      <c r="K12" s="0" t="n">
        <f aca="false">VLOOKUP(K$1+1000*$A12,MASTER6!$A$2:$D$8001,4,FALSE())</f>
        <v>1131</v>
      </c>
      <c r="L12" s="0" t="n">
        <f aca="false">VLOOKUP(L$1+1000*$A12,MASTER6!$A$2:$D$8001,4,FALSE())</f>
        <v>46007</v>
      </c>
      <c r="M12" s="0" t="n">
        <f aca="false">VLOOKUP(M$1+1000*$A12,MASTER6!$A$2:$D$8001,4,FALSE())</f>
        <v>104</v>
      </c>
      <c r="N12" s="0" t="n">
        <f aca="false">VLOOKUP(N$1+1000*$A12,MASTER6!$A$2:$D$8001,4,FALSE())</f>
        <v>0</v>
      </c>
      <c r="O12" s="0" t="n">
        <f aca="false">VLOOKUP(O$1+1000*$A12,MASTER6!$A$2:$D$8001,4,FALSE())</f>
        <v>26</v>
      </c>
      <c r="P12" s="0" t="n">
        <f aca="false">VLOOKUP(P$1+1000*$A12,MASTER6!$A$2:$D$8001,4,FALSE())</f>
        <v>0</v>
      </c>
      <c r="Q12" s="0" t="n">
        <f aca="false">VLOOKUP(Q$1+1000*$A12,MASTER6!$A$2:$D$8001,4,FALSE())</f>
        <v>377</v>
      </c>
      <c r="R12" s="0" t="n">
        <f aca="false">VLOOKUP(R$1+1000*$A12,MASTER6!$A$2:$D$8001,4,FALSE())</f>
        <v>0</v>
      </c>
      <c r="S12" s="0" t="n">
        <f aca="false">VLOOKUP(S$1+1000*$A12,MASTER6!$A$2:$D$8001,4,FALSE())</f>
        <v>624</v>
      </c>
      <c r="T12" s="0" t="n">
        <f aca="false">VLOOKUP(T$1+1000*$A12,MASTER6!$A$2:$D$8001,4,FALSE())</f>
        <v>91</v>
      </c>
      <c r="U12" s="0" t="n">
        <f aca="false">VLOOKUP(U$1+1000*$A12,MASTER6!$A$2:$D$8001,4,FALSE())</f>
        <v>104</v>
      </c>
      <c r="V12" s="0" t="n">
        <f aca="false">VLOOKUP(V$1+1000*$A12,MASTER6!$A$2:$D$8001,4,FALSE())</f>
        <v>0</v>
      </c>
      <c r="W12" s="0" t="n">
        <f aca="false">VLOOKUP(W$1+1000*$A12,MASTER6!$A$2:$D$8001,4,FALSE())</f>
        <v>26</v>
      </c>
      <c r="X12" s="0" t="n">
        <f aca="false">VLOOKUP(X$1+1000*$A12,MASTER6!$A$2:$D$8001,4,FALSE())</f>
        <v>0</v>
      </c>
      <c r="Y12" s="0" t="n">
        <f aca="false">VLOOKUP(Y$1+1000*$A12,MASTER6!$A$2:$D$8001,4,FALSE())</f>
        <v>0</v>
      </c>
      <c r="Z12" s="0" t="n">
        <f aca="false">VLOOKUP(Z$1+1000*$A12,MASTER6!$A$2:$D$8001,4,FALSE())</f>
        <v>195</v>
      </c>
      <c r="AA12" s="0" t="n">
        <f aca="false">VLOOKUP(AA$1+1000*$A12,MASTER6!$A$2:$D$8001,4,FALSE())</f>
        <v>312</v>
      </c>
      <c r="AB12" s="0" t="e">
        <f aca="false">VLOOKUP(AB$1+1000*$A12,MASTER6!$A$2:$D$8001,4,FALSE())</f>
        <v>#N/A</v>
      </c>
      <c r="AC12" s="0" t="n">
        <f aca="false">VLOOKUP(AC$1+1000*$A12,MASTER6!$A$2:$D$8001,4,FALSE())</f>
        <v>11089</v>
      </c>
      <c r="AD12" s="0" t="n">
        <f aca="false">VLOOKUP(AD$1+1000*$A12,MASTER6!$A$2:$D$8001,4,FALSE())</f>
        <v>14482</v>
      </c>
      <c r="AE12" s="0" t="e">
        <f aca="false">VLOOKUP(AE$1+1000*$A12,MASTER6!$A$2:$D$8001,4,FALSE())</f>
        <v>#N/A</v>
      </c>
      <c r="AF12" s="0" t="e">
        <f aca="false">VLOOKUP(AF$1+1000*$A12,MASTER6!$A$2:$D$8001,4,FALSE())</f>
        <v>#N/A</v>
      </c>
      <c r="AG12" s="0" t="e">
        <f aca="false">VLOOKUP(AG$1+1000*$A12,MASTER6!$A$2:$D$8001,4,FALSE())</f>
        <v>#N/A</v>
      </c>
      <c r="AH12" s="0" t="n">
        <f aca="false">VLOOKUP(AH$1+1000*$A12,MASTER6!$A$2:$D$8001,4,FALSE())</f>
        <v>0</v>
      </c>
      <c r="AI12" s="0" t="n">
        <f aca="false">VLOOKUP(AI$1+1000*$A12,MASTER6!$A$2:$D$8001,4,FALSE())</f>
        <v>0</v>
      </c>
      <c r="AJ12" s="0" t="n">
        <f aca="false">VLOOKUP(AJ$1+1000*$A12,MASTER6!$A$2:$D$8001,4,FALSE())</f>
        <v>0</v>
      </c>
      <c r="AK12" s="0" t="e">
        <f aca="false">VLOOKUP(AK$1+1000*$A12,MASTER6!$A$2:$D$8001,4,FALSE())</f>
        <v>#N/A</v>
      </c>
      <c r="AL12" s="0" t="n">
        <f aca="false">VLOOKUP(AL$1+1000*$A12,MASTER6!$A$2:$D$8001,4,FALSE())</f>
        <v>143</v>
      </c>
      <c r="AM12" s="0" t="e">
        <f aca="false">VLOOKUP(AM$1+1000*$A12,MASTER6!$A$2:$D$8001,4,FALSE())</f>
        <v>#N/A</v>
      </c>
      <c r="AN12" s="0" t="n">
        <f aca="false">VLOOKUP(AN$1+1000*$A12,MASTER6!$A$2:$D$8001,4,FALSE())</f>
        <v>0</v>
      </c>
      <c r="AO12" s="0" t="n">
        <f aca="false">VLOOKUP(AO$1+1000*$A12,MASTER6!$A$2:$D$8001,4,FALSE())</f>
        <v>0</v>
      </c>
      <c r="AP12" s="0" t="n">
        <f aca="false">VLOOKUP(AP$1+1000*$A12,MASTER6!$A$2:$D$8001,4,FALSE())</f>
        <v>117</v>
      </c>
      <c r="AQ12" s="0" t="e">
        <f aca="false">VLOOKUP(AQ$1+1000*$A12,MASTER6!$A$2:$D$8001,4,FALSE())</f>
        <v>#N/A</v>
      </c>
      <c r="AR12" s="0" t="e">
        <f aca="false">VLOOKUP(AR$1+1000*$A12,MASTER6!$A$2:$D$8001,4,FALSE())</f>
        <v>#N/A</v>
      </c>
      <c r="AS12" s="0" t="e">
        <f aca="false">VLOOKUP(AS$1+1000*$A12,MASTER6!$A$2:$D$8001,4,FALSE())</f>
        <v>#N/A</v>
      </c>
      <c r="AT12" s="0" t="e">
        <f aca="false">VLOOKUP(AT$1+1000*$A12,MASTER6!$A$2:$D$8001,4,FALSE())</f>
        <v>#N/A</v>
      </c>
      <c r="AU12" s="0" t="e">
        <f aca="false">VLOOKUP(AU$1+1000*$A12,MASTER6!$A$2:$D$8001,4,FALSE())</f>
        <v>#N/A</v>
      </c>
      <c r="AV12" s="0" t="e">
        <f aca="false">VLOOKUP(AV$1+1000*$A12,MASTER6!$A$2:$D$8001,4,FALSE())</f>
        <v>#N/A</v>
      </c>
      <c r="AW12" s="0" t="n">
        <f aca="false">VLOOKUP(AW$1+1000*$A12,MASTER6!$A$2:$D$8001,4,FALSE())</f>
        <v>182</v>
      </c>
      <c r="AX12" s="0" t="n">
        <f aca="false">VLOOKUP(AX$1+1000*$A12,MASTER6!$A$2:$D$8001,4,FALSE())</f>
        <v>442</v>
      </c>
      <c r="AY12" s="0" t="n">
        <f aca="false">VLOOKUP(AY$1+1000*$A12,MASTER6!$A$2:$D$8001,4,FALSE())</f>
        <v>0</v>
      </c>
      <c r="AZ12" s="0" t="n">
        <f aca="false">VLOOKUP(AZ$1+1000*$A12,MASTER6!$A$2:$D$8001,4,FALSE())</f>
        <v>0</v>
      </c>
      <c r="BA12" s="0" t="e">
        <f aca="false">VLOOKUP(BA$1+1000*$A12,MASTER6!$A$2:$D$8001,4,FALSE())</f>
        <v>#N/A</v>
      </c>
      <c r="BB12" s="0" t="n">
        <f aca="false">VLOOKUP(BB$1+1000*$A12,MASTER6!$A$2:$D$8001,4,FALSE())</f>
        <v>0</v>
      </c>
      <c r="BC12" s="0" t="e">
        <f aca="false">VLOOKUP(BC$1+1000*$A12,MASTER6!$A$2:$D$8001,4,FALSE())</f>
        <v>#N/A</v>
      </c>
      <c r="BD12" s="0" t="e">
        <f aca="false">VLOOKUP(BD$1+1000*$A12,MASTER6!$A$2:$D$8001,4,FALSE())</f>
        <v>#N/A</v>
      </c>
      <c r="BE12" s="0" t="e">
        <f aca="false">VLOOKUP(BE$1+1000*$A12,MASTER6!$A$2:$D$8001,4,FALSE())</f>
        <v>#N/A</v>
      </c>
      <c r="BF12" s="0" t="e">
        <f aca="false">VLOOKUP(BF$1+1000*$A12,MASTER6!$A$2:$D$8001,4,FALSE())</f>
        <v>#N/A</v>
      </c>
      <c r="BG12" s="0" t="e">
        <f aca="false">VLOOKUP(BG$1+1000*$A12,MASTER6!$A$2:$D$8001,4,FALSE())</f>
        <v>#N/A</v>
      </c>
      <c r="BH12" s="0" t="e">
        <f aca="false">VLOOKUP(BH$1+1000*$A12,MASTER6!$A$2:$D$8001,4,FALSE())</f>
        <v>#N/A</v>
      </c>
      <c r="BI12" s="0" t="n">
        <f aca="false">VLOOKUP(BI$1+1000*$A12,MASTER6!$A$2:$D$8001,4,FALSE())</f>
        <v>78</v>
      </c>
      <c r="BJ12" s="0" t="e">
        <f aca="false">VLOOKUP(BJ$1+1000*$A12,MASTER6!$A$2:$D$8001,4,FALSE())</f>
        <v>#N/A</v>
      </c>
      <c r="BK12" s="0" t="e">
        <f aca="false">VLOOKUP(BK$1+1000*$A12,MASTER6!$A$2:$D$8001,4,FALSE())</f>
        <v>#N/A</v>
      </c>
      <c r="BL12" s="0" t="e">
        <f aca="false">VLOOKUP(BL$1+1000*$A12,MASTER6!$A$2:$D$8001,4,FALSE())</f>
        <v>#N/A</v>
      </c>
      <c r="BM12" s="0" t="n">
        <f aca="false">VLOOKUP(BM$1+1000*$A12,MASTER6!$A$2:$D$8001,4,FALSE())</f>
        <v>0</v>
      </c>
      <c r="BN12" s="0" t="n">
        <f aca="false">VLOOKUP(BN$1+1000*$A12,MASTER6!$A$2:$D$8001,4,FALSE())</f>
        <v>143</v>
      </c>
      <c r="BO12" s="0" t="e">
        <f aca="false">VLOOKUP(BO$1+1000*$A12,MASTER6!$A$2:$D$8001,4,FALSE())</f>
        <v>#N/A</v>
      </c>
      <c r="BP12" s="0" t="n">
        <f aca="false">VLOOKUP(BP$1+1000*$A12,MASTER6!$A$2:$D$8001,4,FALSE())</f>
        <v>156</v>
      </c>
      <c r="BQ12" s="0" t="e">
        <f aca="false">VLOOKUP(BQ$1+1000*$A12,MASTER6!$A$2:$D$8001,4,FALSE())</f>
        <v>#N/A</v>
      </c>
      <c r="BR12" s="0" t="n">
        <f aca="false">VLOOKUP(BR$1+1000*$A12,MASTER6!$A$2:$D$8001,4,FALSE())</f>
        <v>169</v>
      </c>
      <c r="BS12" s="0" t="e">
        <f aca="false">VLOOKUP(BS$1+1000*$A12,MASTER6!$A$2:$D$8001,4,FALSE())</f>
        <v>#N/A</v>
      </c>
      <c r="BT12" s="0" t="e">
        <f aca="false">VLOOKUP(BT$1+1000*$A12,MASTER6!$A$2:$D$8001,4,FALSE())</f>
        <v>#N/A</v>
      </c>
      <c r="BU12" s="0" t="n">
        <f aca="false">VLOOKUP(BU$1+1000*$A12,MASTER6!$A$2:$D$8001,4,FALSE())</f>
        <v>0</v>
      </c>
      <c r="BV12" s="0" t="n">
        <f aca="false">VLOOKUP(BV$1+1000*$A12,MASTER6!$A$2:$D$8001,4,FALSE())</f>
        <v>0</v>
      </c>
      <c r="BW12" s="0" t="e">
        <f aca="false">VLOOKUP(BW$1+1000*$A12,MASTER6!$A$2:$D$8001,4,FALSE())</f>
        <v>#N/A</v>
      </c>
      <c r="BX12" s="0" t="n">
        <f aca="false">VLOOKUP(BX$1+1000*$A12,MASTER6!$A$2:$D$8001,4,FALSE())</f>
        <v>0</v>
      </c>
      <c r="BY12" s="0" t="e">
        <f aca="false">VLOOKUP(BY$1+1000*$A12,MASTER6!$A$2:$D$8001,4,FALSE())</f>
        <v>#N/A</v>
      </c>
      <c r="BZ12" s="0" t="e">
        <f aca="false">VLOOKUP(BZ$1+1000*$A12,MASTER6!$A$2:$D$8001,4,FALSE())</f>
        <v>#N/A</v>
      </c>
      <c r="CA12" s="0" t="e">
        <f aca="false">VLOOKUP(CA$1+1000*$A12,MASTER6!$A$2:$D$8001,4,FALSE())</f>
        <v>#N/A</v>
      </c>
      <c r="CB12" s="0" t="n">
        <f aca="false">VLOOKUP(CB$1+1000*$A12,MASTER6!$A$2:$D$8001,4,FALSE())</f>
        <v>0</v>
      </c>
      <c r="CC12" s="0" t="e">
        <f aca="false">VLOOKUP(CC$1+1000*$A12,MASTER6!$A$2:$D$8001,4,FALSE())</f>
        <v>#N/A</v>
      </c>
      <c r="CD12" s="0" t="e">
        <f aca="false">VLOOKUP(CD$1+1000*$A12,MASTER6!$A$2:$D$8001,4,FALSE())</f>
        <v>#N/A</v>
      </c>
      <c r="CE12" s="0" t="e">
        <f aca="false">VLOOKUP(CE$1+1000*$A12,MASTER6!$A$2:$D$8001,4,FALSE())</f>
        <v>#N/A</v>
      </c>
      <c r="CF12" s="0" t="e">
        <f aca="false">VLOOKUP(CF$1+1000*$A12,MASTER6!$A$2:$D$8001,4,FALSE())</f>
        <v>#N/A</v>
      </c>
      <c r="CG12" s="0" t="e">
        <f aca="false">VLOOKUP(CG$1+1000*$A12,MASTER6!$A$2:$D$8001,4,FALSE())</f>
        <v>#N/A</v>
      </c>
      <c r="CH12" s="0" t="n">
        <f aca="false">VLOOKUP(CH$1+1000*$A12,MASTER6!$A$2:$D$8001,4,FALSE())</f>
        <v>90948</v>
      </c>
      <c r="CI12" s="0" t="n">
        <f aca="false">VLOOKUP(CI$1+1000*$A12,MASTER6!$A$2:$D$8001,4,FALSE())</f>
        <v>117</v>
      </c>
      <c r="CJ12" s="0" t="e">
        <f aca="false">VLOOKUP(CJ$1+1000*$A12,MASTER6!$A$2:$D$8001,4,FALSE())</f>
        <v>#N/A</v>
      </c>
    </row>
    <row r="13" customFormat="false" ht="12.75" hidden="false" customHeight="false" outlineLevel="0" collapsed="false">
      <c r="A13" s="0" t="n">
        <v>12</v>
      </c>
      <c r="B13" s="0" t="n">
        <f aca="false">VLOOKUP(B$1+1000*$A13,MASTER6!$A$2:$D$8001,4,FALSE())</f>
        <v>0</v>
      </c>
      <c r="C13" s="0" t="n">
        <f aca="false">VLOOKUP(C$1+1000*$A13,MASTER6!$A$2:$D$8001,4,FALSE())</f>
        <v>143</v>
      </c>
      <c r="D13" s="0" t="n">
        <f aca="false">VLOOKUP(D$1+1000*$A13,MASTER6!$A$2:$D$8001,4,FALSE())</f>
        <v>299</v>
      </c>
      <c r="E13" s="0" t="n">
        <f aca="false">VLOOKUP(E$1+1000*$A13,MASTER6!$A$2:$D$8001,4,FALSE())</f>
        <v>0</v>
      </c>
      <c r="F13" s="0" t="n">
        <f aca="false">VLOOKUP(F$1+1000*$A13,MASTER6!$A$2:$D$8001,4,FALSE())</f>
        <v>5811</v>
      </c>
      <c r="G13" s="0" t="n">
        <f aca="false">VLOOKUP(G$1+1000*$A13,MASTER6!$A$2:$D$8001,4,FALSE())</f>
        <v>143</v>
      </c>
      <c r="H13" s="0" t="n">
        <f aca="false">VLOOKUP(H$1+1000*$A13,MASTER6!$A$2:$D$8001,4,FALSE())</f>
        <v>130</v>
      </c>
      <c r="I13" s="0" t="n">
        <f aca="false">VLOOKUP(I$1+1000*$A13,MASTER6!$A$2:$D$8001,4,FALSE())</f>
        <v>0</v>
      </c>
      <c r="J13" s="0" t="n">
        <f aca="false">VLOOKUP(J$1+1000*$A13,MASTER6!$A$2:$D$8001,4,FALSE())</f>
        <v>0</v>
      </c>
      <c r="K13" s="0" t="n">
        <f aca="false">VLOOKUP(K$1+1000*$A13,MASTER6!$A$2:$D$8001,4,FALSE())</f>
        <v>494</v>
      </c>
      <c r="L13" s="0" t="n">
        <f aca="false">VLOOKUP(L$1+1000*$A13,MASTER6!$A$2:$D$8001,4,FALSE())</f>
        <v>1651</v>
      </c>
      <c r="M13" s="0" t="n">
        <f aca="false">VLOOKUP(M$1+1000*$A13,MASTER6!$A$2:$D$8001,4,FALSE())</f>
        <v>30693</v>
      </c>
      <c r="N13" s="0" t="n">
        <f aca="false">VLOOKUP(N$1+1000*$A13,MASTER6!$A$2:$D$8001,4,FALSE())</f>
        <v>0</v>
      </c>
      <c r="O13" s="0" t="n">
        <f aca="false">VLOOKUP(O$1+1000*$A13,MASTER6!$A$2:$D$8001,4,FALSE())</f>
        <v>91</v>
      </c>
      <c r="P13" s="0" t="n">
        <f aca="false">VLOOKUP(P$1+1000*$A13,MASTER6!$A$2:$D$8001,4,FALSE())</f>
        <v>0</v>
      </c>
      <c r="Q13" s="0" t="n">
        <f aca="false">VLOOKUP(Q$1+1000*$A13,MASTER6!$A$2:$D$8001,4,FALSE())</f>
        <v>117</v>
      </c>
      <c r="R13" s="0" t="n">
        <f aca="false">VLOOKUP(R$1+1000*$A13,MASTER6!$A$2:$D$8001,4,FALSE())</f>
        <v>0</v>
      </c>
      <c r="S13" s="0" t="n">
        <f aca="false">VLOOKUP(S$1+1000*$A13,MASTER6!$A$2:$D$8001,4,FALSE())</f>
        <v>91</v>
      </c>
      <c r="T13" s="0" t="n">
        <f aca="false">VLOOKUP(T$1+1000*$A13,MASTER6!$A$2:$D$8001,4,FALSE())</f>
        <v>156</v>
      </c>
      <c r="U13" s="0" t="n">
        <f aca="false">VLOOKUP(U$1+1000*$A13,MASTER6!$A$2:$D$8001,4,FALSE())</f>
        <v>0</v>
      </c>
      <c r="V13" s="0" t="n">
        <f aca="false">VLOOKUP(V$1+1000*$A13,MASTER6!$A$2:$D$8001,4,FALSE())</f>
        <v>26</v>
      </c>
      <c r="W13" s="0" t="n">
        <f aca="false">VLOOKUP(W$1+1000*$A13,MASTER6!$A$2:$D$8001,4,FALSE())</f>
        <v>182</v>
      </c>
      <c r="X13" s="0" t="n">
        <f aca="false">VLOOKUP(X$1+1000*$A13,MASTER6!$A$2:$D$8001,4,FALSE())</f>
        <v>182</v>
      </c>
      <c r="Y13" s="0" t="n">
        <f aca="false">VLOOKUP(Y$1+1000*$A13,MASTER6!$A$2:$D$8001,4,FALSE())</f>
        <v>0</v>
      </c>
      <c r="Z13" s="0" t="n">
        <f aca="false">VLOOKUP(Z$1+1000*$A13,MASTER6!$A$2:$D$8001,4,FALSE())</f>
        <v>0</v>
      </c>
      <c r="AA13" s="0" t="n">
        <f aca="false">VLOOKUP(AA$1+1000*$A13,MASTER6!$A$2:$D$8001,4,FALSE())</f>
        <v>312</v>
      </c>
      <c r="AB13" s="0" t="e">
        <f aca="false">VLOOKUP(AB$1+1000*$A13,MASTER6!$A$2:$D$8001,4,FALSE())</f>
        <v>#N/A</v>
      </c>
      <c r="AC13" s="0" t="n">
        <f aca="false">VLOOKUP(AC$1+1000*$A13,MASTER6!$A$2:$D$8001,4,FALSE())</f>
        <v>6903</v>
      </c>
      <c r="AD13" s="0" t="n">
        <f aca="false">VLOOKUP(AD$1+1000*$A13,MASTER6!$A$2:$D$8001,4,FALSE())</f>
        <v>8125</v>
      </c>
      <c r="AE13" s="0" t="e">
        <f aca="false">VLOOKUP(AE$1+1000*$A13,MASTER6!$A$2:$D$8001,4,FALSE())</f>
        <v>#N/A</v>
      </c>
      <c r="AF13" s="0" t="e">
        <f aca="false">VLOOKUP(AF$1+1000*$A13,MASTER6!$A$2:$D$8001,4,FALSE())</f>
        <v>#N/A</v>
      </c>
      <c r="AG13" s="0" t="e">
        <f aca="false">VLOOKUP(AG$1+1000*$A13,MASTER6!$A$2:$D$8001,4,FALSE())</f>
        <v>#N/A</v>
      </c>
      <c r="AH13" s="0" t="n">
        <f aca="false">VLOOKUP(AH$1+1000*$A13,MASTER6!$A$2:$D$8001,4,FALSE())</f>
        <v>117</v>
      </c>
      <c r="AI13" s="0" t="n">
        <f aca="false">VLOOKUP(AI$1+1000*$A13,MASTER6!$A$2:$D$8001,4,FALSE())</f>
        <v>0</v>
      </c>
      <c r="AJ13" s="0" t="n">
        <f aca="false">VLOOKUP(AJ$1+1000*$A13,MASTER6!$A$2:$D$8001,4,FALSE())</f>
        <v>0</v>
      </c>
      <c r="AK13" s="0" t="e">
        <f aca="false">VLOOKUP(AK$1+1000*$A13,MASTER6!$A$2:$D$8001,4,FALSE())</f>
        <v>#N/A</v>
      </c>
      <c r="AL13" s="0" t="n">
        <f aca="false">VLOOKUP(AL$1+1000*$A13,MASTER6!$A$2:$D$8001,4,FALSE())</f>
        <v>0</v>
      </c>
      <c r="AM13" s="0" t="e">
        <f aca="false">VLOOKUP(AM$1+1000*$A13,MASTER6!$A$2:$D$8001,4,FALSE())</f>
        <v>#N/A</v>
      </c>
      <c r="AN13" s="0" t="n">
        <f aca="false">VLOOKUP(AN$1+1000*$A13,MASTER6!$A$2:$D$8001,4,FALSE())</f>
        <v>0</v>
      </c>
      <c r="AO13" s="0" t="n">
        <f aca="false">VLOOKUP(AO$1+1000*$A13,MASTER6!$A$2:$D$8001,4,FALSE())</f>
        <v>0</v>
      </c>
      <c r="AP13" s="0" t="n">
        <f aca="false">VLOOKUP(AP$1+1000*$A13,MASTER6!$A$2:$D$8001,4,FALSE())</f>
        <v>0</v>
      </c>
      <c r="AQ13" s="0" t="n">
        <f aca="false">VLOOKUP(AQ$1+1000*$A13,MASTER6!$A$2:$D$8001,4,FALSE())</f>
        <v>130</v>
      </c>
      <c r="AR13" s="0" t="e">
        <f aca="false">VLOOKUP(AR$1+1000*$A13,MASTER6!$A$2:$D$8001,4,FALSE())</f>
        <v>#N/A</v>
      </c>
      <c r="AS13" s="0" t="e">
        <f aca="false">VLOOKUP(AS$1+1000*$A13,MASTER6!$A$2:$D$8001,4,FALSE())</f>
        <v>#N/A</v>
      </c>
      <c r="AT13" s="0" t="e">
        <f aca="false">VLOOKUP(AT$1+1000*$A13,MASTER6!$A$2:$D$8001,4,FALSE())</f>
        <v>#N/A</v>
      </c>
      <c r="AU13" s="0" t="e">
        <f aca="false">VLOOKUP(AU$1+1000*$A13,MASTER6!$A$2:$D$8001,4,FALSE())</f>
        <v>#N/A</v>
      </c>
      <c r="AV13" s="0" t="e">
        <f aca="false">VLOOKUP(AV$1+1000*$A13,MASTER6!$A$2:$D$8001,4,FALSE())</f>
        <v>#N/A</v>
      </c>
      <c r="AW13" s="0" t="n">
        <f aca="false">VLOOKUP(AW$1+1000*$A13,MASTER6!$A$2:$D$8001,4,FALSE())</f>
        <v>39</v>
      </c>
      <c r="AX13" s="0" t="n">
        <f aca="false">VLOOKUP(AX$1+1000*$A13,MASTER6!$A$2:$D$8001,4,FALSE())</f>
        <v>0</v>
      </c>
      <c r="AY13" s="0" t="n">
        <f aca="false">VLOOKUP(AY$1+1000*$A13,MASTER6!$A$2:$D$8001,4,FALSE())</f>
        <v>91</v>
      </c>
      <c r="AZ13" s="0" t="n">
        <f aca="false">VLOOKUP(AZ$1+1000*$A13,MASTER6!$A$2:$D$8001,4,FALSE())</f>
        <v>0</v>
      </c>
      <c r="BA13" s="0" t="e">
        <f aca="false">VLOOKUP(BA$1+1000*$A13,MASTER6!$A$2:$D$8001,4,FALSE())</f>
        <v>#N/A</v>
      </c>
      <c r="BB13" s="0" t="n">
        <f aca="false">VLOOKUP(BB$1+1000*$A13,MASTER6!$A$2:$D$8001,4,FALSE())</f>
        <v>0</v>
      </c>
      <c r="BC13" s="0" t="e">
        <f aca="false">VLOOKUP(BC$1+1000*$A13,MASTER6!$A$2:$D$8001,4,FALSE())</f>
        <v>#N/A</v>
      </c>
      <c r="BD13" s="0" t="e">
        <f aca="false">VLOOKUP(BD$1+1000*$A13,MASTER6!$A$2:$D$8001,4,FALSE())</f>
        <v>#N/A</v>
      </c>
      <c r="BE13" s="0" t="e">
        <f aca="false">VLOOKUP(BE$1+1000*$A13,MASTER6!$A$2:$D$8001,4,FALSE())</f>
        <v>#N/A</v>
      </c>
      <c r="BF13" s="0" t="e">
        <f aca="false">VLOOKUP(BF$1+1000*$A13,MASTER6!$A$2:$D$8001,4,FALSE())</f>
        <v>#N/A</v>
      </c>
      <c r="BG13" s="0" t="e">
        <f aca="false">VLOOKUP(BG$1+1000*$A13,MASTER6!$A$2:$D$8001,4,FALSE())</f>
        <v>#N/A</v>
      </c>
      <c r="BH13" s="0" t="e">
        <f aca="false">VLOOKUP(BH$1+1000*$A13,MASTER6!$A$2:$D$8001,4,FALSE())</f>
        <v>#N/A</v>
      </c>
      <c r="BI13" s="0" t="n">
        <f aca="false">VLOOKUP(BI$1+1000*$A13,MASTER6!$A$2:$D$8001,4,FALSE())</f>
        <v>0</v>
      </c>
      <c r="BJ13" s="0" t="e">
        <f aca="false">VLOOKUP(BJ$1+1000*$A13,MASTER6!$A$2:$D$8001,4,FALSE())</f>
        <v>#N/A</v>
      </c>
      <c r="BK13" s="0" t="e">
        <f aca="false">VLOOKUP(BK$1+1000*$A13,MASTER6!$A$2:$D$8001,4,FALSE())</f>
        <v>#N/A</v>
      </c>
      <c r="BL13" s="0" t="e">
        <f aca="false">VLOOKUP(BL$1+1000*$A13,MASTER6!$A$2:$D$8001,4,FALSE())</f>
        <v>#N/A</v>
      </c>
      <c r="BM13" s="0" t="n">
        <f aca="false">VLOOKUP(BM$1+1000*$A13,MASTER6!$A$2:$D$8001,4,FALSE())</f>
        <v>0</v>
      </c>
      <c r="BN13" s="0" t="n">
        <f aca="false">VLOOKUP(BN$1+1000*$A13,MASTER6!$A$2:$D$8001,4,FALSE())</f>
        <v>78</v>
      </c>
      <c r="BO13" s="0" t="e">
        <f aca="false">VLOOKUP(BO$1+1000*$A13,MASTER6!$A$2:$D$8001,4,FALSE())</f>
        <v>#N/A</v>
      </c>
      <c r="BP13" s="0" t="n">
        <f aca="false">VLOOKUP(BP$1+1000*$A13,MASTER6!$A$2:$D$8001,4,FALSE())</f>
        <v>78</v>
      </c>
      <c r="BQ13" s="0" t="e">
        <f aca="false">VLOOKUP(BQ$1+1000*$A13,MASTER6!$A$2:$D$8001,4,FALSE())</f>
        <v>#N/A</v>
      </c>
      <c r="BR13" s="0" t="n">
        <f aca="false">VLOOKUP(BR$1+1000*$A13,MASTER6!$A$2:$D$8001,4,FALSE())</f>
        <v>0</v>
      </c>
      <c r="BS13" s="0" t="e">
        <f aca="false">VLOOKUP(BS$1+1000*$A13,MASTER6!$A$2:$D$8001,4,FALSE())</f>
        <v>#N/A</v>
      </c>
      <c r="BT13" s="0" t="e">
        <f aca="false">VLOOKUP(BT$1+1000*$A13,MASTER6!$A$2:$D$8001,4,FALSE())</f>
        <v>#N/A</v>
      </c>
      <c r="BU13" s="0" t="n">
        <f aca="false">VLOOKUP(BU$1+1000*$A13,MASTER6!$A$2:$D$8001,4,FALSE())</f>
        <v>0</v>
      </c>
      <c r="BV13" s="0" t="n">
        <f aca="false">VLOOKUP(BV$1+1000*$A13,MASTER6!$A$2:$D$8001,4,FALSE())</f>
        <v>0</v>
      </c>
      <c r="BW13" s="0" t="e">
        <f aca="false">VLOOKUP(BW$1+1000*$A13,MASTER6!$A$2:$D$8001,4,FALSE())</f>
        <v>#N/A</v>
      </c>
      <c r="BX13" s="0" t="n">
        <f aca="false">VLOOKUP(BX$1+1000*$A13,MASTER6!$A$2:$D$8001,4,FALSE())</f>
        <v>0</v>
      </c>
      <c r="BY13" s="0" t="e">
        <f aca="false">VLOOKUP(BY$1+1000*$A13,MASTER6!$A$2:$D$8001,4,FALSE())</f>
        <v>#N/A</v>
      </c>
      <c r="BZ13" s="0" t="e">
        <f aca="false">VLOOKUP(BZ$1+1000*$A13,MASTER6!$A$2:$D$8001,4,FALSE())</f>
        <v>#N/A</v>
      </c>
      <c r="CA13" s="0" t="e">
        <f aca="false">VLOOKUP(CA$1+1000*$A13,MASTER6!$A$2:$D$8001,4,FALSE())</f>
        <v>#N/A</v>
      </c>
      <c r="CB13" s="0" t="n">
        <f aca="false">VLOOKUP(CB$1+1000*$A13,MASTER6!$A$2:$D$8001,4,FALSE())</f>
        <v>0</v>
      </c>
      <c r="CC13" s="0" t="e">
        <f aca="false">VLOOKUP(CC$1+1000*$A13,MASTER6!$A$2:$D$8001,4,FALSE())</f>
        <v>#N/A</v>
      </c>
      <c r="CD13" s="0" t="e">
        <f aca="false">VLOOKUP(CD$1+1000*$A13,MASTER6!$A$2:$D$8001,4,FALSE())</f>
        <v>#N/A</v>
      </c>
      <c r="CE13" s="0" t="e">
        <f aca="false">VLOOKUP(CE$1+1000*$A13,MASTER6!$A$2:$D$8001,4,FALSE())</f>
        <v>#N/A</v>
      </c>
      <c r="CF13" s="0" t="e">
        <f aca="false">VLOOKUP(CF$1+1000*$A13,MASTER6!$A$2:$D$8001,4,FALSE())</f>
        <v>#N/A</v>
      </c>
      <c r="CG13" s="0" t="e">
        <f aca="false">VLOOKUP(CG$1+1000*$A13,MASTER6!$A$2:$D$8001,4,FALSE())</f>
        <v>#N/A</v>
      </c>
      <c r="CH13" s="0" t="n">
        <f aca="false">VLOOKUP(CH$1+1000*$A13,MASTER6!$A$2:$D$8001,4,FALSE())</f>
        <v>66781</v>
      </c>
      <c r="CI13" s="0" t="n">
        <f aca="false">VLOOKUP(CI$1+1000*$A13,MASTER6!$A$2:$D$8001,4,FALSE())</f>
        <v>0</v>
      </c>
      <c r="CJ13" s="0" t="e">
        <f aca="false">VLOOKUP(CJ$1+1000*$A13,MASTER6!$A$2:$D$8001,4,FALSE())</f>
        <v>#N/A</v>
      </c>
    </row>
    <row r="14" customFormat="false" ht="12.75" hidden="false" customHeight="false" outlineLevel="0" collapsed="false">
      <c r="A14" s="0" t="n">
        <v>13</v>
      </c>
      <c r="B14" s="0" t="n">
        <f aca="false">VLOOKUP(B$1+1000*$A14,MASTER6!$A$2:$D$8001,4,FALSE())</f>
        <v>0</v>
      </c>
      <c r="C14" s="0" t="n">
        <f aca="false">VLOOKUP(C$1+1000*$A14,MASTER6!$A$2:$D$8001,4,FALSE())</f>
        <v>91</v>
      </c>
      <c r="D14" s="0" t="n">
        <f aca="false">VLOOKUP(D$1+1000*$A14,MASTER6!$A$2:$D$8001,4,FALSE())</f>
        <v>0</v>
      </c>
      <c r="E14" s="0" t="n">
        <f aca="false">VLOOKUP(E$1+1000*$A14,MASTER6!$A$2:$D$8001,4,FALSE())</f>
        <v>0</v>
      </c>
      <c r="F14" s="0" t="n">
        <f aca="false">VLOOKUP(F$1+1000*$A14,MASTER6!$A$2:$D$8001,4,FALSE())</f>
        <v>0</v>
      </c>
      <c r="G14" s="0" t="n">
        <f aca="false">VLOOKUP(G$1+1000*$A14,MASTER6!$A$2:$D$8001,4,FALSE())</f>
        <v>0</v>
      </c>
      <c r="H14" s="0" t="n">
        <f aca="false">VLOOKUP(H$1+1000*$A14,MASTER6!$A$2:$D$8001,4,FALSE())</f>
        <v>0</v>
      </c>
      <c r="I14" s="0" t="n">
        <f aca="false">VLOOKUP(I$1+1000*$A14,MASTER6!$A$2:$D$8001,4,FALSE())</f>
        <v>0</v>
      </c>
      <c r="J14" s="0" t="n">
        <f aca="false">VLOOKUP(J$1+1000*$A14,MASTER6!$A$2:$D$8001,4,FALSE())</f>
        <v>221</v>
      </c>
      <c r="K14" s="0" t="n">
        <f aca="false">VLOOKUP(K$1+1000*$A14,MASTER6!$A$2:$D$8001,4,FALSE())</f>
        <v>0</v>
      </c>
      <c r="L14" s="0" t="n">
        <f aca="false">VLOOKUP(L$1+1000*$A14,MASTER6!$A$2:$D$8001,4,FALSE())</f>
        <v>0</v>
      </c>
      <c r="M14" s="0" t="n">
        <f aca="false">VLOOKUP(M$1+1000*$A14,MASTER6!$A$2:$D$8001,4,FALSE())</f>
        <v>0</v>
      </c>
      <c r="N14" s="0" t="n">
        <f aca="false">VLOOKUP(N$1+1000*$A14,MASTER6!$A$2:$D$8001,4,FALSE())</f>
        <v>34944</v>
      </c>
      <c r="O14" s="0" t="n">
        <f aca="false">VLOOKUP(O$1+1000*$A14,MASTER6!$A$2:$D$8001,4,FALSE())</f>
        <v>13546</v>
      </c>
      <c r="P14" s="0" t="n">
        <f aca="false">VLOOKUP(P$1+1000*$A14,MASTER6!$A$2:$D$8001,4,FALSE())</f>
        <v>2145</v>
      </c>
      <c r="Q14" s="0" t="n">
        <f aca="false">VLOOKUP(Q$1+1000*$A14,MASTER6!$A$2:$D$8001,4,FALSE())</f>
        <v>195</v>
      </c>
      <c r="R14" s="0" t="n">
        <f aca="false">VLOOKUP(R$1+1000*$A14,MASTER6!$A$2:$D$8001,4,FALSE())</f>
        <v>104</v>
      </c>
      <c r="S14" s="0" t="n">
        <f aca="false">VLOOKUP(S$1+1000*$A14,MASTER6!$A$2:$D$8001,4,FALSE())</f>
        <v>312</v>
      </c>
      <c r="T14" s="0" t="n">
        <f aca="false">VLOOKUP(T$1+1000*$A14,MASTER6!$A$2:$D$8001,4,FALSE())</f>
        <v>988</v>
      </c>
      <c r="U14" s="0" t="n">
        <f aca="false">VLOOKUP(U$1+1000*$A14,MASTER6!$A$2:$D$8001,4,FALSE())</f>
        <v>0</v>
      </c>
      <c r="V14" s="0" t="n">
        <f aca="false">VLOOKUP(V$1+1000*$A14,MASTER6!$A$2:$D$8001,4,FALSE())</f>
        <v>286</v>
      </c>
      <c r="W14" s="0" t="n">
        <f aca="false">VLOOKUP(W$1+1000*$A14,MASTER6!$A$2:$D$8001,4,FALSE())</f>
        <v>234</v>
      </c>
      <c r="X14" s="0" t="n">
        <f aca="false">VLOOKUP(X$1+1000*$A14,MASTER6!$A$2:$D$8001,4,FALSE())</f>
        <v>0</v>
      </c>
      <c r="Y14" s="0" t="n">
        <f aca="false">VLOOKUP(Y$1+1000*$A14,MASTER6!$A$2:$D$8001,4,FALSE())</f>
        <v>0</v>
      </c>
      <c r="Z14" s="0" t="n">
        <f aca="false">VLOOKUP(Z$1+1000*$A14,MASTER6!$A$2:$D$8001,4,FALSE())</f>
        <v>0</v>
      </c>
      <c r="AA14" s="0" t="n">
        <f aca="false">VLOOKUP(AA$1+1000*$A14,MASTER6!$A$2:$D$8001,4,FALSE())</f>
        <v>0</v>
      </c>
      <c r="AB14" s="0" t="e">
        <f aca="false">VLOOKUP(AB$1+1000*$A14,MASTER6!$A$2:$D$8001,4,FALSE())</f>
        <v>#N/A</v>
      </c>
      <c r="AC14" s="0" t="n">
        <f aca="false">VLOOKUP(AC$1+1000*$A14,MASTER6!$A$2:$D$8001,4,FALSE())</f>
        <v>0</v>
      </c>
      <c r="AD14" s="0" t="n">
        <f aca="false">VLOOKUP(AD$1+1000*$A14,MASTER6!$A$2:$D$8001,4,FALSE())</f>
        <v>0</v>
      </c>
      <c r="AE14" s="0" t="e">
        <f aca="false">VLOOKUP(AE$1+1000*$A14,MASTER6!$A$2:$D$8001,4,FALSE())</f>
        <v>#N/A</v>
      </c>
      <c r="AF14" s="0" t="e">
        <f aca="false">VLOOKUP(AF$1+1000*$A14,MASTER6!$A$2:$D$8001,4,FALSE())</f>
        <v>#N/A</v>
      </c>
      <c r="AG14" s="0" t="e">
        <f aca="false">VLOOKUP(AG$1+1000*$A14,MASTER6!$A$2:$D$8001,4,FALSE())</f>
        <v>#N/A</v>
      </c>
      <c r="AH14" s="0" t="n">
        <f aca="false">VLOOKUP(AH$1+1000*$A14,MASTER6!$A$2:$D$8001,4,FALSE())</f>
        <v>117</v>
      </c>
      <c r="AI14" s="0" t="n">
        <f aca="false">VLOOKUP(AI$1+1000*$A14,MASTER6!$A$2:$D$8001,4,FALSE())</f>
        <v>0</v>
      </c>
      <c r="AJ14" s="0" t="n">
        <f aca="false">VLOOKUP(AJ$1+1000*$A14,MASTER6!$A$2:$D$8001,4,FALSE())</f>
        <v>0</v>
      </c>
      <c r="AK14" s="0" t="e">
        <f aca="false">VLOOKUP(AK$1+1000*$A14,MASTER6!$A$2:$D$8001,4,FALSE())</f>
        <v>#N/A</v>
      </c>
      <c r="AL14" s="0" t="n">
        <f aca="false">VLOOKUP(AL$1+1000*$A14,MASTER6!$A$2:$D$8001,4,FALSE())</f>
        <v>0</v>
      </c>
      <c r="AM14" s="0" t="e">
        <f aca="false">VLOOKUP(AM$1+1000*$A14,MASTER6!$A$2:$D$8001,4,FALSE())</f>
        <v>#N/A</v>
      </c>
      <c r="AN14" s="0" t="n">
        <f aca="false">VLOOKUP(AN$1+1000*$A14,MASTER6!$A$2:$D$8001,4,FALSE())</f>
        <v>0</v>
      </c>
      <c r="AO14" s="0" t="n">
        <f aca="false">VLOOKUP(AO$1+1000*$A14,MASTER6!$A$2:$D$8001,4,FALSE())</f>
        <v>0</v>
      </c>
      <c r="AP14" s="0" t="n">
        <f aca="false">VLOOKUP(AP$1+1000*$A14,MASTER6!$A$2:$D$8001,4,FALSE())</f>
        <v>0</v>
      </c>
      <c r="AQ14" s="0" t="n">
        <f aca="false">VLOOKUP(AQ$1+1000*$A14,MASTER6!$A$2:$D$8001,4,FALSE())</f>
        <v>0</v>
      </c>
      <c r="AR14" s="0" t="e">
        <f aca="false">VLOOKUP(AR$1+1000*$A14,MASTER6!$A$2:$D$8001,4,FALSE())</f>
        <v>#N/A</v>
      </c>
      <c r="AS14" s="0" t="e">
        <f aca="false">VLOOKUP(AS$1+1000*$A14,MASTER6!$A$2:$D$8001,4,FALSE())</f>
        <v>#N/A</v>
      </c>
      <c r="AT14" s="0" t="e">
        <f aca="false">VLOOKUP(AT$1+1000*$A14,MASTER6!$A$2:$D$8001,4,FALSE())</f>
        <v>#N/A</v>
      </c>
      <c r="AU14" s="0" t="e">
        <f aca="false">VLOOKUP(AU$1+1000*$A14,MASTER6!$A$2:$D$8001,4,FALSE())</f>
        <v>#N/A</v>
      </c>
      <c r="AV14" s="0" t="e">
        <f aca="false">VLOOKUP(AV$1+1000*$A14,MASTER6!$A$2:$D$8001,4,FALSE())</f>
        <v>#N/A</v>
      </c>
      <c r="AW14" s="0" t="n">
        <f aca="false">VLOOKUP(AW$1+1000*$A14,MASTER6!$A$2:$D$8001,4,FALSE())</f>
        <v>0</v>
      </c>
      <c r="AX14" s="0" t="n">
        <f aca="false">VLOOKUP(AX$1+1000*$A14,MASTER6!$A$2:$D$8001,4,FALSE())</f>
        <v>0</v>
      </c>
      <c r="AY14" s="0" t="n">
        <f aca="false">VLOOKUP(AY$1+1000*$A14,MASTER6!$A$2:$D$8001,4,FALSE())</f>
        <v>0</v>
      </c>
      <c r="AZ14" s="0" t="n">
        <f aca="false">VLOOKUP(AZ$1+1000*$A14,MASTER6!$A$2:$D$8001,4,FALSE())</f>
        <v>0</v>
      </c>
      <c r="BA14" s="0" t="n">
        <f aca="false">VLOOKUP(BA$1+1000*$A14,MASTER6!$A$2:$D$8001,4,FALSE())</f>
        <v>91</v>
      </c>
      <c r="BB14" s="0" t="n">
        <f aca="false">VLOOKUP(BB$1+1000*$A14,MASTER6!$A$2:$D$8001,4,FALSE())</f>
        <v>0</v>
      </c>
      <c r="BC14" s="0" t="e">
        <f aca="false">VLOOKUP(BC$1+1000*$A14,MASTER6!$A$2:$D$8001,4,FALSE())</f>
        <v>#N/A</v>
      </c>
      <c r="BD14" s="0" t="e">
        <f aca="false">VLOOKUP(BD$1+1000*$A14,MASTER6!$A$2:$D$8001,4,FALSE())</f>
        <v>#N/A</v>
      </c>
      <c r="BE14" s="0" t="e">
        <f aca="false">VLOOKUP(BE$1+1000*$A14,MASTER6!$A$2:$D$8001,4,FALSE())</f>
        <v>#N/A</v>
      </c>
      <c r="BF14" s="0" t="e">
        <f aca="false">VLOOKUP(BF$1+1000*$A14,MASTER6!$A$2:$D$8001,4,FALSE())</f>
        <v>#N/A</v>
      </c>
      <c r="BG14" s="0" t="e">
        <f aca="false">VLOOKUP(BG$1+1000*$A14,MASTER6!$A$2:$D$8001,4,FALSE())</f>
        <v>#N/A</v>
      </c>
      <c r="BH14" s="0" t="e">
        <f aca="false">VLOOKUP(BH$1+1000*$A14,MASTER6!$A$2:$D$8001,4,FALSE())</f>
        <v>#N/A</v>
      </c>
      <c r="BI14" s="0" t="n">
        <f aca="false">VLOOKUP(BI$1+1000*$A14,MASTER6!$A$2:$D$8001,4,FALSE())</f>
        <v>0</v>
      </c>
      <c r="BJ14" s="0" t="e">
        <f aca="false">VLOOKUP(BJ$1+1000*$A14,MASTER6!$A$2:$D$8001,4,FALSE())</f>
        <v>#N/A</v>
      </c>
      <c r="BK14" s="0" t="e">
        <f aca="false">VLOOKUP(BK$1+1000*$A14,MASTER6!$A$2:$D$8001,4,FALSE())</f>
        <v>#N/A</v>
      </c>
      <c r="BL14" s="0" t="e">
        <f aca="false">VLOOKUP(BL$1+1000*$A14,MASTER6!$A$2:$D$8001,4,FALSE())</f>
        <v>#N/A</v>
      </c>
      <c r="BM14" s="0" t="n">
        <f aca="false">VLOOKUP(BM$1+1000*$A14,MASTER6!$A$2:$D$8001,4,FALSE())</f>
        <v>0</v>
      </c>
      <c r="BN14" s="0" t="n">
        <f aca="false">VLOOKUP(BN$1+1000*$A14,MASTER6!$A$2:$D$8001,4,FALSE())</f>
        <v>0</v>
      </c>
      <c r="BO14" s="0" t="e">
        <f aca="false">VLOOKUP(BO$1+1000*$A14,MASTER6!$A$2:$D$8001,4,FALSE())</f>
        <v>#N/A</v>
      </c>
      <c r="BP14" s="0" t="n">
        <f aca="false">VLOOKUP(BP$1+1000*$A14,MASTER6!$A$2:$D$8001,4,FALSE())</f>
        <v>0</v>
      </c>
      <c r="BQ14" s="0" t="e">
        <f aca="false">VLOOKUP(BQ$1+1000*$A14,MASTER6!$A$2:$D$8001,4,FALSE())</f>
        <v>#N/A</v>
      </c>
      <c r="BR14" s="0" t="n">
        <f aca="false">VLOOKUP(BR$1+1000*$A14,MASTER6!$A$2:$D$8001,4,FALSE())</f>
        <v>0</v>
      </c>
      <c r="BS14" s="0" t="e">
        <f aca="false">VLOOKUP(BS$1+1000*$A14,MASTER6!$A$2:$D$8001,4,FALSE())</f>
        <v>#N/A</v>
      </c>
      <c r="BT14" s="0" t="e">
        <f aca="false">VLOOKUP(BT$1+1000*$A14,MASTER6!$A$2:$D$8001,4,FALSE())</f>
        <v>#N/A</v>
      </c>
      <c r="BU14" s="0" t="n">
        <f aca="false">VLOOKUP(BU$1+1000*$A14,MASTER6!$A$2:$D$8001,4,FALSE())</f>
        <v>0</v>
      </c>
      <c r="BV14" s="0" t="n">
        <f aca="false">VLOOKUP(BV$1+1000*$A14,MASTER6!$A$2:$D$8001,4,FALSE())</f>
        <v>299</v>
      </c>
      <c r="BW14" s="0" t="e">
        <f aca="false">VLOOKUP(BW$1+1000*$A14,MASTER6!$A$2:$D$8001,4,FALSE())</f>
        <v>#N/A</v>
      </c>
      <c r="BX14" s="0" t="n">
        <f aca="false">VLOOKUP(BX$1+1000*$A14,MASTER6!$A$2:$D$8001,4,FALSE())</f>
        <v>0</v>
      </c>
      <c r="BY14" s="0" t="e">
        <f aca="false">VLOOKUP(BY$1+1000*$A14,MASTER6!$A$2:$D$8001,4,FALSE())</f>
        <v>#N/A</v>
      </c>
      <c r="BZ14" s="0" t="e">
        <f aca="false">VLOOKUP(BZ$1+1000*$A14,MASTER6!$A$2:$D$8001,4,FALSE())</f>
        <v>#N/A</v>
      </c>
      <c r="CA14" s="0" t="e">
        <f aca="false">VLOOKUP(CA$1+1000*$A14,MASTER6!$A$2:$D$8001,4,FALSE())</f>
        <v>#N/A</v>
      </c>
      <c r="CB14" s="0" t="n">
        <f aca="false">VLOOKUP(CB$1+1000*$A14,MASTER6!$A$2:$D$8001,4,FALSE())</f>
        <v>0</v>
      </c>
      <c r="CC14" s="0" t="n">
        <f aca="false">VLOOKUP(CC$1+1000*$A14,MASTER6!$A$2:$D$8001,4,FALSE())</f>
        <v>91</v>
      </c>
      <c r="CD14" s="0" t="e">
        <f aca="false">VLOOKUP(CD$1+1000*$A14,MASTER6!$A$2:$D$8001,4,FALSE())</f>
        <v>#N/A</v>
      </c>
      <c r="CE14" s="0" t="e">
        <f aca="false">VLOOKUP(CE$1+1000*$A14,MASTER6!$A$2:$D$8001,4,FALSE())</f>
        <v>#N/A</v>
      </c>
      <c r="CF14" s="0" t="e">
        <f aca="false">VLOOKUP(CF$1+1000*$A14,MASTER6!$A$2:$D$8001,4,FALSE())</f>
        <v>#N/A</v>
      </c>
      <c r="CG14" s="0" t="e">
        <f aca="false">VLOOKUP(CG$1+1000*$A14,MASTER6!$A$2:$D$8001,4,FALSE())</f>
        <v>#N/A</v>
      </c>
      <c r="CH14" s="0" t="n">
        <f aca="false">VLOOKUP(CH$1+1000*$A14,MASTER6!$A$2:$D$8001,4,FALSE())</f>
        <v>56823</v>
      </c>
      <c r="CI14" s="0" t="n">
        <f aca="false">VLOOKUP(CI$1+1000*$A14,MASTER6!$A$2:$D$8001,4,FALSE())</f>
        <v>0</v>
      </c>
      <c r="CJ14" s="0" t="e">
        <f aca="false">VLOOKUP(CJ$1+1000*$A14,MASTER6!$A$2:$D$8001,4,FALSE())</f>
        <v>#N/A</v>
      </c>
    </row>
    <row r="15" customFormat="false" ht="12.75" hidden="false" customHeight="false" outlineLevel="0" collapsed="false">
      <c r="A15" s="0" t="n">
        <v>14</v>
      </c>
      <c r="B15" s="0" t="n">
        <f aca="false">VLOOKUP(B$1+1000*$A15,MASTER6!$A$2:$D$8001,4,FALSE())</f>
        <v>156</v>
      </c>
      <c r="C15" s="0" t="n">
        <f aca="false">VLOOKUP(C$1+1000*$A15,MASTER6!$A$2:$D$8001,4,FALSE())</f>
        <v>0</v>
      </c>
      <c r="D15" s="0" t="n">
        <f aca="false">VLOOKUP(D$1+1000*$A15,MASTER6!$A$2:$D$8001,4,FALSE())</f>
        <v>130</v>
      </c>
      <c r="E15" s="0" t="n">
        <f aca="false">VLOOKUP(E$1+1000*$A15,MASTER6!$A$2:$D$8001,4,FALSE())</f>
        <v>598</v>
      </c>
      <c r="F15" s="0" t="n">
        <f aca="false">VLOOKUP(F$1+1000*$A15,MASTER6!$A$2:$D$8001,4,FALSE())</f>
        <v>0</v>
      </c>
      <c r="G15" s="0" t="n">
        <f aca="false">VLOOKUP(G$1+1000*$A15,MASTER6!$A$2:$D$8001,4,FALSE())</f>
        <v>0</v>
      </c>
      <c r="H15" s="0" t="n">
        <f aca="false">VLOOKUP(H$1+1000*$A15,MASTER6!$A$2:$D$8001,4,FALSE())</f>
        <v>0</v>
      </c>
      <c r="I15" s="0" t="n">
        <f aca="false">VLOOKUP(I$1+1000*$A15,MASTER6!$A$2:$D$8001,4,FALSE())</f>
        <v>0</v>
      </c>
      <c r="J15" s="0" t="n">
        <f aca="false">VLOOKUP(J$1+1000*$A15,MASTER6!$A$2:$D$8001,4,FALSE())</f>
        <v>1404</v>
      </c>
      <c r="K15" s="0" t="n">
        <f aca="false">VLOOKUP(K$1+1000*$A15,MASTER6!$A$2:$D$8001,4,FALSE())</f>
        <v>130</v>
      </c>
      <c r="L15" s="0" t="n">
        <f aca="false">VLOOKUP(L$1+1000*$A15,MASTER6!$A$2:$D$8001,4,FALSE())</f>
        <v>0</v>
      </c>
      <c r="M15" s="0" t="n">
        <f aca="false">VLOOKUP(M$1+1000*$A15,MASTER6!$A$2:$D$8001,4,FALSE())</f>
        <v>78</v>
      </c>
      <c r="N15" s="0" t="n">
        <f aca="false">VLOOKUP(N$1+1000*$A15,MASTER6!$A$2:$D$8001,4,FALSE())</f>
        <v>26650</v>
      </c>
      <c r="O15" s="0" t="n">
        <f aca="false">VLOOKUP(O$1+1000*$A15,MASTER6!$A$2:$D$8001,4,FALSE())</f>
        <v>70980</v>
      </c>
      <c r="P15" s="0" t="n">
        <f aca="false">VLOOKUP(P$1+1000*$A15,MASTER6!$A$2:$D$8001,4,FALSE())</f>
        <v>15145</v>
      </c>
      <c r="Q15" s="0" t="n">
        <f aca="false">VLOOKUP(Q$1+1000*$A15,MASTER6!$A$2:$D$8001,4,FALSE())</f>
        <v>286</v>
      </c>
      <c r="R15" s="0" t="n">
        <f aca="false">VLOOKUP(R$1+1000*$A15,MASTER6!$A$2:$D$8001,4,FALSE())</f>
        <v>338</v>
      </c>
      <c r="S15" s="0" t="n">
        <f aca="false">VLOOKUP(S$1+1000*$A15,MASTER6!$A$2:$D$8001,4,FALSE())</f>
        <v>611</v>
      </c>
      <c r="T15" s="0" t="n">
        <f aca="false">VLOOKUP(T$1+1000*$A15,MASTER6!$A$2:$D$8001,4,FALSE())</f>
        <v>7631</v>
      </c>
      <c r="U15" s="0" t="n">
        <f aca="false">VLOOKUP(U$1+1000*$A15,MASTER6!$A$2:$D$8001,4,FALSE())</f>
        <v>416</v>
      </c>
      <c r="V15" s="0" t="n">
        <f aca="false">VLOOKUP(V$1+1000*$A15,MASTER6!$A$2:$D$8001,4,FALSE())</f>
        <v>1469</v>
      </c>
      <c r="W15" s="0" t="n">
        <f aca="false">VLOOKUP(W$1+1000*$A15,MASTER6!$A$2:$D$8001,4,FALSE())</f>
        <v>1079</v>
      </c>
      <c r="X15" s="0" t="n">
        <f aca="false">VLOOKUP(X$1+1000*$A15,MASTER6!$A$2:$D$8001,4,FALSE())</f>
        <v>0</v>
      </c>
      <c r="Y15" s="0" t="n">
        <f aca="false">VLOOKUP(Y$1+1000*$A15,MASTER6!$A$2:$D$8001,4,FALSE())</f>
        <v>0</v>
      </c>
      <c r="Z15" s="0" t="n">
        <f aca="false">VLOOKUP(Z$1+1000*$A15,MASTER6!$A$2:$D$8001,4,FALSE())</f>
        <v>0</v>
      </c>
      <c r="AA15" s="0" t="n">
        <f aca="false">VLOOKUP(AA$1+1000*$A15,MASTER6!$A$2:$D$8001,4,FALSE())</f>
        <v>0</v>
      </c>
      <c r="AB15" s="0" t="e">
        <f aca="false">VLOOKUP(AB$1+1000*$A15,MASTER6!$A$2:$D$8001,4,FALSE())</f>
        <v>#N/A</v>
      </c>
      <c r="AC15" s="0" t="n">
        <f aca="false">VLOOKUP(AC$1+1000*$A15,MASTER6!$A$2:$D$8001,4,FALSE())</f>
        <v>117</v>
      </c>
      <c r="AD15" s="0" t="n">
        <f aca="false">VLOOKUP(AD$1+1000*$A15,MASTER6!$A$2:$D$8001,4,FALSE())</f>
        <v>0</v>
      </c>
      <c r="AE15" s="0" t="e">
        <f aca="false">VLOOKUP(AE$1+1000*$A15,MASTER6!$A$2:$D$8001,4,FALSE())</f>
        <v>#N/A</v>
      </c>
      <c r="AF15" s="0" t="e">
        <f aca="false">VLOOKUP(AF$1+1000*$A15,MASTER6!$A$2:$D$8001,4,FALSE())</f>
        <v>#N/A</v>
      </c>
      <c r="AG15" s="0" t="e">
        <f aca="false">VLOOKUP(AG$1+1000*$A15,MASTER6!$A$2:$D$8001,4,FALSE())</f>
        <v>#N/A</v>
      </c>
      <c r="AH15" s="0" t="n">
        <f aca="false">VLOOKUP(AH$1+1000*$A15,MASTER6!$A$2:$D$8001,4,FALSE())</f>
        <v>0</v>
      </c>
      <c r="AI15" s="0" t="n">
        <f aca="false">VLOOKUP(AI$1+1000*$A15,MASTER6!$A$2:$D$8001,4,FALSE())</f>
        <v>0</v>
      </c>
      <c r="AJ15" s="0" t="n">
        <f aca="false">VLOOKUP(AJ$1+1000*$A15,MASTER6!$A$2:$D$8001,4,FALSE())</f>
        <v>156</v>
      </c>
      <c r="AK15" s="0" t="e">
        <f aca="false">VLOOKUP(AK$1+1000*$A15,MASTER6!$A$2:$D$8001,4,FALSE())</f>
        <v>#N/A</v>
      </c>
      <c r="AL15" s="0" t="n">
        <f aca="false">VLOOKUP(AL$1+1000*$A15,MASTER6!$A$2:$D$8001,4,FALSE())</f>
        <v>0</v>
      </c>
      <c r="AM15" s="0" t="e">
        <f aca="false">VLOOKUP(AM$1+1000*$A15,MASTER6!$A$2:$D$8001,4,FALSE())</f>
        <v>#N/A</v>
      </c>
      <c r="AN15" s="0" t="n">
        <f aca="false">VLOOKUP(AN$1+1000*$A15,MASTER6!$A$2:$D$8001,4,FALSE())</f>
        <v>0</v>
      </c>
      <c r="AO15" s="0" t="n">
        <f aca="false">VLOOKUP(AO$1+1000*$A15,MASTER6!$A$2:$D$8001,4,FALSE())</f>
        <v>0</v>
      </c>
      <c r="AP15" s="0" t="n">
        <f aca="false">VLOOKUP(AP$1+1000*$A15,MASTER6!$A$2:$D$8001,4,FALSE())</f>
        <v>0</v>
      </c>
      <c r="AQ15" s="0" t="n">
        <f aca="false">VLOOKUP(AQ$1+1000*$A15,MASTER6!$A$2:$D$8001,4,FALSE())</f>
        <v>0</v>
      </c>
      <c r="AR15" s="0" t="e">
        <f aca="false">VLOOKUP(AR$1+1000*$A15,MASTER6!$A$2:$D$8001,4,FALSE())</f>
        <v>#N/A</v>
      </c>
      <c r="AS15" s="0" t="e">
        <f aca="false">VLOOKUP(AS$1+1000*$A15,MASTER6!$A$2:$D$8001,4,FALSE())</f>
        <v>#N/A</v>
      </c>
      <c r="AT15" s="0" t="e">
        <f aca="false">VLOOKUP(AT$1+1000*$A15,MASTER6!$A$2:$D$8001,4,FALSE())</f>
        <v>#N/A</v>
      </c>
      <c r="AU15" s="0" t="e">
        <f aca="false">VLOOKUP(AU$1+1000*$A15,MASTER6!$A$2:$D$8001,4,FALSE())</f>
        <v>#N/A</v>
      </c>
      <c r="AV15" s="0" t="e">
        <f aca="false">VLOOKUP(AV$1+1000*$A15,MASTER6!$A$2:$D$8001,4,FALSE())</f>
        <v>#N/A</v>
      </c>
      <c r="AW15" s="0" t="n">
        <f aca="false">VLOOKUP(AW$1+1000*$A15,MASTER6!$A$2:$D$8001,4,FALSE())</f>
        <v>0</v>
      </c>
      <c r="AX15" s="0" t="n">
        <f aca="false">VLOOKUP(AX$1+1000*$A15,MASTER6!$A$2:$D$8001,4,FALSE())</f>
        <v>91</v>
      </c>
      <c r="AY15" s="0" t="n">
        <f aca="false">VLOOKUP(AY$1+1000*$A15,MASTER6!$A$2:$D$8001,4,FALSE())</f>
        <v>0</v>
      </c>
      <c r="AZ15" s="0" t="n">
        <f aca="false">VLOOKUP(AZ$1+1000*$A15,MASTER6!$A$2:$D$8001,4,FALSE())</f>
        <v>260</v>
      </c>
      <c r="BA15" s="0" t="n">
        <f aca="false">VLOOKUP(BA$1+1000*$A15,MASTER6!$A$2:$D$8001,4,FALSE())</f>
        <v>65</v>
      </c>
      <c r="BB15" s="0" t="n">
        <f aca="false">VLOOKUP(BB$1+1000*$A15,MASTER6!$A$2:$D$8001,4,FALSE())</f>
        <v>0</v>
      </c>
      <c r="BC15" s="0" t="e">
        <f aca="false">VLOOKUP(BC$1+1000*$A15,MASTER6!$A$2:$D$8001,4,FALSE())</f>
        <v>#N/A</v>
      </c>
      <c r="BD15" s="0" t="e">
        <f aca="false">VLOOKUP(BD$1+1000*$A15,MASTER6!$A$2:$D$8001,4,FALSE())</f>
        <v>#N/A</v>
      </c>
      <c r="BE15" s="0" t="e">
        <f aca="false">VLOOKUP(BE$1+1000*$A15,MASTER6!$A$2:$D$8001,4,FALSE())</f>
        <v>#N/A</v>
      </c>
      <c r="BF15" s="0" t="e">
        <f aca="false">VLOOKUP(BF$1+1000*$A15,MASTER6!$A$2:$D$8001,4,FALSE())</f>
        <v>#N/A</v>
      </c>
      <c r="BG15" s="0" t="e">
        <f aca="false">VLOOKUP(BG$1+1000*$A15,MASTER6!$A$2:$D$8001,4,FALSE())</f>
        <v>#N/A</v>
      </c>
      <c r="BH15" s="0" t="e">
        <f aca="false">VLOOKUP(BH$1+1000*$A15,MASTER6!$A$2:$D$8001,4,FALSE())</f>
        <v>#N/A</v>
      </c>
      <c r="BI15" s="0" t="n">
        <f aca="false">VLOOKUP(BI$1+1000*$A15,MASTER6!$A$2:$D$8001,4,FALSE())</f>
        <v>0</v>
      </c>
      <c r="BJ15" s="0" t="e">
        <f aca="false">VLOOKUP(BJ$1+1000*$A15,MASTER6!$A$2:$D$8001,4,FALSE())</f>
        <v>#N/A</v>
      </c>
      <c r="BK15" s="0" t="e">
        <f aca="false">VLOOKUP(BK$1+1000*$A15,MASTER6!$A$2:$D$8001,4,FALSE())</f>
        <v>#N/A</v>
      </c>
      <c r="BL15" s="0" t="e">
        <f aca="false">VLOOKUP(BL$1+1000*$A15,MASTER6!$A$2:$D$8001,4,FALSE())</f>
        <v>#N/A</v>
      </c>
      <c r="BM15" s="0" t="n">
        <f aca="false">VLOOKUP(BM$1+1000*$A15,MASTER6!$A$2:$D$8001,4,FALSE())</f>
        <v>0</v>
      </c>
      <c r="BN15" s="0" t="n">
        <f aca="false">VLOOKUP(BN$1+1000*$A15,MASTER6!$A$2:$D$8001,4,FALSE())</f>
        <v>0</v>
      </c>
      <c r="BO15" s="0" t="e">
        <f aca="false">VLOOKUP(BO$1+1000*$A15,MASTER6!$A$2:$D$8001,4,FALSE())</f>
        <v>#N/A</v>
      </c>
      <c r="BP15" s="0" t="n">
        <f aca="false">VLOOKUP(BP$1+1000*$A15,MASTER6!$A$2:$D$8001,4,FALSE())</f>
        <v>0</v>
      </c>
      <c r="BQ15" s="0" t="e">
        <f aca="false">VLOOKUP(BQ$1+1000*$A15,MASTER6!$A$2:$D$8001,4,FALSE())</f>
        <v>#N/A</v>
      </c>
      <c r="BR15" s="0" t="n">
        <f aca="false">VLOOKUP(BR$1+1000*$A15,MASTER6!$A$2:$D$8001,4,FALSE())</f>
        <v>130</v>
      </c>
      <c r="BS15" s="0" t="e">
        <f aca="false">VLOOKUP(BS$1+1000*$A15,MASTER6!$A$2:$D$8001,4,FALSE())</f>
        <v>#N/A</v>
      </c>
      <c r="BT15" s="0" t="e">
        <f aca="false">VLOOKUP(BT$1+1000*$A15,MASTER6!$A$2:$D$8001,4,FALSE())</f>
        <v>#N/A</v>
      </c>
      <c r="BU15" s="0" t="n">
        <f aca="false">VLOOKUP(BU$1+1000*$A15,MASTER6!$A$2:$D$8001,4,FALSE())</f>
        <v>0</v>
      </c>
      <c r="BV15" s="0" t="n">
        <f aca="false">VLOOKUP(BV$1+1000*$A15,MASTER6!$A$2:$D$8001,4,FALSE())</f>
        <v>988</v>
      </c>
      <c r="BW15" s="0" t="e">
        <f aca="false">VLOOKUP(BW$1+1000*$A15,MASTER6!$A$2:$D$8001,4,FALSE())</f>
        <v>#N/A</v>
      </c>
      <c r="BX15" s="0" t="n">
        <f aca="false">VLOOKUP(BX$1+1000*$A15,MASTER6!$A$2:$D$8001,4,FALSE())</f>
        <v>0</v>
      </c>
      <c r="BY15" s="0" t="e">
        <f aca="false">VLOOKUP(BY$1+1000*$A15,MASTER6!$A$2:$D$8001,4,FALSE())</f>
        <v>#N/A</v>
      </c>
      <c r="BZ15" s="0" t="e">
        <f aca="false">VLOOKUP(BZ$1+1000*$A15,MASTER6!$A$2:$D$8001,4,FALSE())</f>
        <v>#N/A</v>
      </c>
      <c r="CA15" s="0" t="e">
        <f aca="false">VLOOKUP(CA$1+1000*$A15,MASTER6!$A$2:$D$8001,4,FALSE())</f>
        <v>#N/A</v>
      </c>
      <c r="CB15" s="0" t="n">
        <f aca="false">VLOOKUP(CB$1+1000*$A15,MASTER6!$A$2:$D$8001,4,FALSE())</f>
        <v>0</v>
      </c>
      <c r="CC15" s="0" t="n">
        <f aca="false">VLOOKUP(CC$1+1000*$A15,MASTER6!$A$2:$D$8001,4,FALSE())</f>
        <v>0</v>
      </c>
      <c r="CD15" s="0" t="e">
        <f aca="false">VLOOKUP(CD$1+1000*$A15,MASTER6!$A$2:$D$8001,4,FALSE())</f>
        <v>#N/A</v>
      </c>
      <c r="CE15" s="0" t="e">
        <f aca="false">VLOOKUP(CE$1+1000*$A15,MASTER6!$A$2:$D$8001,4,FALSE())</f>
        <v>#N/A</v>
      </c>
      <c r="CF15" s="0" t="e">
        <f aca="false">VLOOKUP(CF$1+1000*$A15,MASTER6!$A$2:$D$8001,4,FALSE())</f>
        <v>#N/A</v>
      </c>
      <c r="CG15" s="0" t="e">
        <f aca="false">VLOOKUP(CG$1+1000*$A15,MASTER6!$A$2:$D$8001,4,FALSE())</f>
        <v>#N/A</v>
      </c>
      <c r="CH15" s="0" t="n">
        <f aca="false">VLOOKUP(CH$1+1000*$A15,MASTER6!$A$2:$D$8001,4,FALSE())</f>
        <v>139113</v>
      </c>
      <c r="CI15" s="0" t="n">
        <f aca="false">VLOOKUP(CI$1+1000*$A15,MASTER6!$A$2:$D$8001,4,FALSE())</f>
        <v>0</v>
      </c>
      <c r="CJ15" s="0" t="e">
        <f aca="false">VLOOKUP(CJ$1+1000*$A15,MASTER6!$A$2:$D$8001,4,FALSE())</f>
        <v>#N/A</v>
      </c>
    </row>
    <row r="16" customFormat="false" ht="12.75" hidden="false" customHeight="false" outlineLevel="0" collapsed="false">
      <c r="A16" s="0" t="n">
        <v>15</v>
      </c>
      <c r="B16" s="0" t="n">
        <f aca="false">VLOOKUP(B$1+1000*$A16,MASTER6!$A$2:$D$8001,4,FALSE())</f>
        <v>0</v>
      </c>
      <c r="C16" s="0" t="n">
        <f aca="false">VLOOKUP(C$1+1000*$A16,MASTER6!$A$2:$D$8001,4,FALSE())</f>
        <v>0</v>
      </c>
      <c r="D16" s="0" t="n">
        <f aca="false">VLOOKUP(D$1+1000*$A16,MASTER6!$A$2:$D$8001,4,FALSE())</f>
        <v>104</v>
      </c>
      <c r="E16" s="0" t="n">
        <f aca="false">VLOOKUP(E$1+1000*$A16,MASTER6!$A$2:$D$8001,4,FALSE())</f>
        <v>130</v>
      </c>
      <c r="F16" s="0" t="n">
        <f aca="false">VLOOKUP(F$1+1000*$A16,MASTER6!$A$2:$D$8001,4,FALSE())</f>
        <v>0</v>
      </c>
      <c r="G16" s="0" t="n">
        <f aca="false">VLOOKUP(G$1+1000*$A16,MASTER6!$A$2:$D$8001,4,FALSE())</f>
        <v>0</v>
      </c>
      <c r="H16" s="0" t="n">
        <f aca="false">VLOOKUP(H$1+1000*$A16,MASTER6!$A$2:$D$8001,4,FALSE())</f>
        <v>0</v>
      </c>
      <c r="I16" s="0" t="n">
        <f aca="false">VLOOKUP(I$1+1000*$A16,MASTER6!$A$2:$D$8001,4,FALSE())</f>
        <v>195</v>
      </c>
      <c r="J16" s="0" t="n">
        <f aca="false">VLOOKUP(J$1+1000*$A16,MASTER6!$A$2:$D$8001,4,FALSE())</f>
        <v>104</v>
      </c>
      <c r="K16" s="0" t="n">
        <f aca="false">VLOOKUP(K$1+1000*$A16,MASTER6!$A$2:$D$8001,4,FALSE())</f>
        <v>65</v>
      </c>
      <c r="L16" s="0" t="n">
        <f aca="false">VLOOKUP(L$1+1000*$A16,MASTER6!$A$2:$D$8001,4,FALSE())</f>
        <v>0</v>
      </c>
      <c r="M16" s="0" t="n">
        <f aca="false">VLOOKUP(M$1+1000*$A16,MASTER6!$A$2:$D$8001,4,FALSE())</f>
        <v>0</v>
      </c>
      <c r="N16" s="0" t="n">
        <f aca="false">VLOOKUP(N$1+1000*$A16,MASTER6!$A$2:$D$8001,4,FALSE())</f>
        <v>494</v>
      </c>
      <c r="O16" s="0" t="n">
        <f aca="false">VLOOKUP(O$1+1000*$A16,MASTER6!$A$2:$D$8001,4,FALSE())</f>
        <v>2535</v>
      </c>
      <c r="P16" s="0" t="n">
        <f aca="false">VLOOKUP(P$1+1000*$A16,MASTER6!$A$2:$D$8001,4,FALSE())</f>
        <v>72592</v>
      </c>
      <c r="Q16" s="0" t="n">
        <f aca="false">VLOOKUP(Q$1+1000*$A16,MASTER6!$A$2:$D$8001,4,FALSE())</f>
        <v>364</v>
      </c>
      <c r="R16" s="0" t="n">
        <f aca="false">VLOOKUP(R$1+1000*$A16,MASTER6!$A$2:$D$8001,4,FALSE())</f>
        <v>1469</v>
      </c>
      <c r="S16" s="0" t="n">
        <f aca="false">VLOOKUP(S$1+1000*$A16,MASTER6!$A$2:$D$8001,4,FALSE())</f>
        <v>2925</v>
      </c>
      <c r="T16" s="0" t="n">
        <f aca="false">VLOOKUP(T$1+1000*$A16,MASTER6!$A$2:$D$8001,4,FALSE())</f>
        <v>33098</v>
      </c>
      <c r="U16" s="0" t="n">
        <f aca="false">VLOOKUP(U$1+1000*$A16,MASTER6!$A$2:$D$8001,4,FALSE())</f>
        <v>1456</v>
      </c>
      <c r="V16" s="0" t="n">
        <f aca="false">VLOOKUP(V$1+1000*$A16,MASTER6!$A$2:$D$8001,4,FALSE())</f>
        <v>3666</v>
      </c>
      <c r="W16" s="0" t="n">
        <f aca="false">VLOOKUP(W$1+1000*$A16,MASTER6!$A$2:$D$8001,4,FALSE())</f>
        <v>3744</v>
      </c>
      <c r="X16" s="0" t="n">
        <f aca="false">VLOOKUP(X$1+1000*$A16,MASTER6!$A$2:$D$8001,4,FALSE())</f>
        <v>0</v>
      </c>
      <c r="Y16" s="0" t="n">
        <f aca="false">VLOOKUP(Y$1+1000*$A16,MASTER6!$A$2:$D$8001,4,FALSE())</f>
        <v>104</v>
      </c>
      <c r="Z16" s="0" t="n">
        <f aca="false">VLOOKUP(Z$1+1000*$A16,MASTER6!$A$2:$D$8001,4,FALSE())</f>
        <v>0</v>
      </c>
      <c r="AA16" s="0" t="n">
        <f aca="false">VLOOKUP(AA$1+1000*$A16,MASTER6!$A$2:$D$8001,4,FALSE())</f>
        <v>0</v>
      </c>
      <c r="AB16" s="0" t="e">
        <f aca="false">VLOOKUP(AB$1+1000*$A16,MASTER6!$A$2:$D$8001,4,FALSE())</f>
        <v>#N/A</v>
      </c>
      <c r="AC16" s="0" t="n">
        <f aca="false">VLOOKUP(AC$1+1000*$A16,MASTER6!$A$2:$D$8001,4,FALSE())</f>
        <v>325</v>
      </c>
      <c r="AD16" s="0" t="n">
        <f aca="false">VLOOKUP(AD$1+1000*$A16,MASTER6!$A$2:$D$8001,4,FALSE())</f>
        <v>0</v>
      </c>
      <c r="AE16" s="0" t="e">
        <f aca="false">VLOOKUP(AE$1+1000*$A16,MASTER6!$A$2:$D$8001,4,FALSE())</f>
        <v>#N/A</v>
      </c>
      <c r="AF16" s="0" t="e">
        <f aca="false">VLOOKUP(AF$1+1000*$A16,MASTER6!$A$2:$D$8001,4,FALSE())</f>
        <v>#N/A</v>
      </c>
      <c r="AG16" s="0" t="e">
        <f aca="false">VLOOKUP(AG$1+1000*$A16,MASTER6!$A$2:$D$8001,4,FALSE())</f>
        <v>#N/A</v>
      </c>
      <c r="AH16" s="0" t="n">
        <f aca="false">VLOOKUP(AH$1+1000*$A16,MASTER6!$A$2:$D$8001,4,FALSE())</f>
        <v>0</v>
      </c>
      <c r="AI16" s="0" t="n">
        <f aca="false">VLOOKUP(AI$1+1000*$A16,MASTER6!$A$2:$D$8001,4,FALSE())</f>
        <v>0</v>
      </c>
      <c r="AJ16" s="0" t="n">
        <f aca="false">VLOOKUP(AJ$1+1000*$A16,MASTER6!$A$2:$D$8001,4,FALSE())</f>
        <v>0</v>
      </c>
      <c r="AK16" s="0" t="e">
        <f aca="false">VLOOKUP(AK$1+1000*$A16,MASTER6!$A$2:$D$8001,4,FALSE())</f>
        <v>#N/A</v>
      </c>
      <c r="AL16" s="0" t="n">
        <f aca="false">VLOOKUP(AL$1+1000*$A16,MASTER6!$A$2:$D$8001,4,FALSE())</f>
        <v>156</v>
      </c>
      <c r="AM16" s="0" t="e">
        <f aca="false">VLOOKUP(AM$1+1000*$A16,MASTER6!$A$2:$D$8001,4,FALSE())</f>
        <v>#N/A</v>
      </c>
      <c r="AN16" s="0" t="n">
        <f aca="false">VLOOKUP(AN$1+1000*$A16,MASTER6!$A$2:$D$8001,4,FALSE())</f>
        <v>0</v>
      </c>
      <c r="AO16" s="0" t="n">
        <f aca="false">VLOOKUP(AO$1+1000*$A16,MASTER6!$A$2:$D$8001,4,FALSE())</f>
        <v>0</v>
      </c>
      <c r="AP16" s="0" t="n">
        <f aca="false">VLOOKUP(AP$1+1000*$A16,MASTER6!$A$2:$D$8001,4,FALSE())</f>
        <v>91</v>
      </c>
      <c r="AQ16" s="0" t="n">
        <f aca="false">VLOOKUP(AQ$1+1000*$A16,MASTER6!$A$2:$D$8001,4,FALSE())</f>
        <v>0</v>
      </c>
      <c r="AR16" s="0" t="e">
        <f aca="false">VLOOKUP(AR$1+1000*$A16,MASTER6!$A$2:$D$8001,4,FALSE())</f>
        <v>#N/A</v>
      </c>
      <c r="AS16" s="0" t="e">
        <f aca="false">VLOOKUP(AS$1+1000*$A16,MASTER6!$A$2:$D$8001,4,FALSE())</f>
        <v>#N/A</v>
      </c>
      <c r="AT16" s="0" t="e">
        <f aca="false">VLOOKUP(AT$1+1000*$A16,MASTER6!$A$2:$D$8001,4,FALSE())</f>
        <v>#N/A</v>
      </c>
      <c r="AU16" s="0" t="e">
        <f aca="false">VLOOKUP(AU$1+1000*$A16,MASTER6!$A$2:$D$8001,4,FALSE())</f>
        <v>#N/A</v>
      </c>
      <c r="AV16" s="0" t="e">
        <f aca="false">VLOOKUP(AV$1+1000*$A16,MASTER6!$A$2:$D$8001,4,FALSE())</f>
        <v>#N/A</v>
      </c>
      <c r="AW16" s="0" t="n">
        <f aca="false">VLOOKUP(AW$1+1000*$A16,MASTER6!$A$2:$D$8001,4,FALSE())</f>
        <v>0</v>
      </c>
      <c r="AX16" s="0" t="n">
        <f aca="false">VLOOKUP(AX$1+1000*$A16,MASTER6!$A$2:$D$8001,4,FALSE())</f>
        <v>143</v>
      </c>
      <c r="AY16" s="0" t="n">
        <f aca="false">VLOOKUP(AY$1+1000*$A16,MASTER6!$A$2:$D$8001,4,FALSE())</f>
        <v>208</v>
      </c>
      <c r="AZ16" s="0" t="n">
        <f aca="false">VLOOKUP(AZ$1+1000*$A16,MASTER6!$A$2:$D$8001,4,FALSE())</f>
        <v>0</v>
      </c>
      <c r="BA16" s="0" t="n">
        <f aca="false">VLOOKUP(BA$1+1000*$A16,MASTER6!$A$2:$D$8001,4,FALSE())</f>
        <v>0</v>
      </c>
      <c r="BB16" s="0" t="n">
        <f aca="false">VLOOKUP(BB$1+1000*$A16,MASTER6!$A$2:$D$8001,4,FALSE())</f>
        <v>0</v>
      </c>
      <c r="BC16" s="0" t="e">
        <f aca="false">VLOOKUP(BC$1+1000*$A16,MASTER6!$A$2:$D$8001,4,FALSE())</f>
        <v>#N/A</v>
      </c>
      <c r="BD16" s="0" t="e">
        <f aca="false">VLOOKUP(BD$1+1000*$A16,MASTER6!$A$2:$D$8001,4,FALSE())</f>
        <v>#N/A</v>
      </c>
      <c r="BE16" s="0" t="e">
        <f aca="false">VLOOKUP(BE$1+1000*$A16,MASTER6!$A$2:$D$8001,4,FALSE())</f>
        <v>#N/A</v>
      </c>
      <c r="BF16" s="0" t="e">
        <f aca="false">VLOOKUP(BF$1+1000*$A16,MASTER6!$A$2:$D$8001,4,FALSE())</f>
        <v>#N/A</v>
      </c>
      <c r="BG16" s="0" t="e">
        <f aca="false">VLOOKUP(BG$1+1000*$A16,MASTER6!$A$2:$D$8001,4,FALSE())</f>
        <v>#N/A</v>
      </c>
      <c r="BH16" s="0" t="e">
        <f aca="false">VLOOKUP(BH$1+1000*$A16,MASTER6!$A$2:$D$8001,4,FALSE())</f>
        <v>#N/A</v>
      </c>
      <c r="BI16" s="0" t="n">
        <f aca="false">VLOOKUP(BI$1+1000*$A16,MASTER6!$A$2:$D$8001,4,FALSE())</f>
        <v>0</v>
      </c>
      <c r="BJ16" s="0" t="e">
        <f aca="false">VLOOKUP(BJ$1+1000*$A16,MASTER6!$A$2:$D$8001,4,FALSE())</f>
        <v>#N/A</v>
      </c>
      <c r="BK16" s="0" t="e">
        <f aca="false">VLOOKUP(BK$1+1000*$A16,MASTER6!$A$2:$D$8001,4,FALSE())</f>
        <v>#N/A</v>
      </c>
      <c r="BL16" s="0" t="e">
        <f aca="false">VLOOKUP(BL$1+1000*$A16,MASTER6!$A$2:$D$8001,4,FALSE())</f>
        <v>#N/A</v>
      </c>
      <c r="BM16" s="0" t="n">
        <f aca="false">VLOOKUP(BM$1+1000*$A16,MASTER6!$A$2:$D$8001,4,FALSE())</f>
        <v>104</v>
      </c>
      <c r="BN16" s="0" t="n">
        <f aca="false">VLOOKUP(BN$1+1000*$A16,MASTER6!$A$2:$D$8001,4,FALSE())</f>
        <v>143</v>
      </c>
      <c r="BO16" s="0" t="e">
        <f aca="false">VLOOKUP(BO$1+1000*$A16,MASTER6!$A$2:$D$8001,4,FALSE())</f>
        <v>#N/A</v>
      </c>
      <c r="BP16" s="0" t="n">
        <f aca="false">VLOOKUP(BP$1+1000*$A16,MASTER6!$A$2:$D$8001,4,FALSE())</f>
        <v>0</v>
      </c>
      <c r="BQ16" s="0" t="e">
        <f aca="false">VLOOKUP(BQ$1+1000*$A16,MASTER6!$A$2:$D$8001,4,FALSE())</f>
        <v>#N/A</v>
      </c>
      <c r="BR16" s="0" t="n">
        <f aca="false">VLOOKUP(BR$1+1000*$A16,MASTER6!$A$2:$D$8001,4,FALSE())</f>
        <v>0</v>
      </c>
      <c r="BS16" s="0" t="e">
        <f aca="false">VLOOKUP(BS$1+1000*$A16,MASTER6!$A$2:$D$8001,4,FALSE())</f>
        <v>#N/A</v>
      </c>
      <c r="BT16" s="0" t="e">
        <f aca="false">VLOOKUP(BT$1+1000*$A16,MASTER6!$A$2:$D$8001,4,FALSE())</f>
        <v>#N/A</v>
      </c>
      <c r="BU16" s="0" t="n">
        <f aca="false">VLOOKUP(BU$1+1000*$A16,MASTER6!$A$2:$D$8001,4,FALSE())</f>
        <v>0</v>
      </c>
      <c r="BV16" s="0" t="n">
        <f aca="false">VLOOKUP(BV$1+1000*$A16,MASTER6!$A$2:$D$8001,4,FALSE())</f>
        <v>663</v>
      </c>
      <c r="BW16" s="0" t="e">
        <f aca="false">VLOOKUP(BW$1+1000*$A16,MASTER6!$A$2:$D$8001,4,FALSE())</f>
        <v>#N/A</v>
      </c>
      <c r="BX16" s="0" t="n">
        <f aca="false">VLOOKUP(BX$1+1000*$A16,MASTER6!$A$2:$D$8001,4,FALSE())</f>
        <v>0</v>
      </c>
      <c r="BY16" s="0" t="e">
        <f aca="false">VLOOKUP(BY$1+1000*$A16,MASTER6!$A$2:$D$8001,4,FALSE())</f>
        <v>#N/A</v>
      </c>
      <c r="BZ16" s="0" t="e">
        <f aca="false">VLOOKUP(BZ$1+1000*$A16,MASTER6!$A$2:$D$8001,4,FALSE())</f>
        <v>#N/A</v>
      </c>
      <c r="CA16" s="0" t="e">
        <f aca="false">VLOOKUP(CA$1+1000*$A16,MASTER6!$A$2:$D$8001,4,FALSE())</f>
        <v>#N/A</v>
      </c>
      <c r="CB16" s="0" t="n">
        <f aca="false">VLOOKUP(CB$1+1000*$A16,MASTER6!$A$2:$D$8001,4,FALSE())</f>
        <v>0</v>
      </c>
      <c r="CC16" s="0" t="n">
        <f aca="false">VLOOKUP(CC$1+1000*$A16,MASTER6!$A$2:$D$8001,4,FALSE())</f>
        <v>0</v>
      </c>
      <c r="CD16" s="0" t="e">
        <f aca="false">VLOOKUP(CD$1+1000*$A16,MASTER6!$A$2:$D$8001,4,FALSE())</f>
        <v>#N/A</v>
      </c>
      <c r="CE16" s="0" t="e">
        <f aca="false">VLOOKUP(CE$1+1000*$A16,MASTER6!$A$2:$D$8001,4,FALSE())</f>
        <v>#N/A</v>
      </c>
      <c r="CF16" s="0" t="e">
        <f aca="false">VLOOKUP(CF$1+1000*$A16,MASTER6!$A$2:$D$8001,4,FALSE())</f>
        <v>#N/A</v>
      </c>
      <c r="CG16" s="0" t="e">
        <f aca="false">VLOOKUP(CG$1+1000*$A16,MASTER6!$A$2:$D$8001,4,FALSE())</f>
        <v>#N/A</v>
      </c>
      <c r="CH16" s="0" t="n">
        <f aca="false">VLOOKUP(CH$1+1000*$A16,MASTER6!$A$2:$D$8001,4,FALSE())</f>
        <v>103519</v>
      </c>
      <c r="CI16" s="0" t="n">
        <f aca="false">VLOOKUP(CI$1+1000*$A16,MASTER6!$A$2:$D$8001,4,FALSE())</f>
        <v>533</v>
      </c>
      <c r="CJ16" s="0" t="e">
        <f aca="false">VLOOKUP(CJ$1+1000*$A16,MASTER6!$A$2:$D$8001,4,FALSE())</f>
        <v>#N/A</v>
      </c>
    </row>
    <row r="17" customFormat="false" ht="12.75" hidden="false" customHeight="false" outlineLevel="0" collapsed="false">
      <c r="A17" s="0" t="n">
        <v>16</v>
      </c>
      <c r="B17" s="0" t="n">
        <f aca="false">VLOOKUP(B$1+1000*$A17,MASTER6!$A$2:$D$8001,4,FALSE())</f>
        <v>91</v>
      </c>
      <c r="C17" s="0" t="n">
        <f aca="false">VLOOKUP(C$1+1000*$A17,MASTER6!$A$2:$D$8001,4,FALSE())</f>
        <v>0</v>
      </c>
      <c r="D17" s="0" t="n">
        <f aca="false">VLOOKUP(D$1+1000*$A17,MASTER6!$A$2:$D$8001,4,FALSE())</f>
        <v>0</v>
      </c>
      <c r="E17" s="0" t="n">
        <f aca="false">VLOOKUP(E$1+1000*$A17,MASTER6!$A$2:$D$8001,4,FALSE())</f>
        <v>0</v>
      </c>
      <c r="F17" s="0" t="n">
        <f aca="false">VLOOKUP(F$1+1000*$A17,MASTER6!$A$2:$D$8001,4,FALSE())</f>
        <v>0</v>
      </c>
      <c r="G17" s="0" t="n">
        <f aca="false">VLOOKUP(G$1+1000*$A17,MASTER6!$A$2:$D$8001,4,FALSE())</f>
        <v>0</v>
      </c>
      <c r="H17" s="0" t="n">
        <f aca="false">VLOOKUP(H$1+1000*$A17,MASTER6!$A$2:$D$8001,4,FALSE())</f>
        <v>0</v>
      </c>
      <c r="I17" s="0" t="n">
        <f aca="false">VLOOKUP(I$1+1000*$A17,MASTER6!$A$2:$D$8001,4,FALSE())</f>
        <v>104</v>
      </c>
      <c r="J17" s="0" t="n">
        <f aca="false">VLOOKUP(J$1+1000*$A17,MASTER6!$A$2:$D$8001,4,FALSE())</f>
        <v>2691</v>
      </c>
      <c r="K17" s="0" t="n">
        <f aca="false">VLOOKUP(K$1+1000*$A17,MASTER6!$A$2:$D$8001,4,FALSE())</f>
        <v>2691</v>
      </c>
      <c r="L17" s="0" t="n">
        <f aca="false">VLOOKUP(L$1+1000*$A17,MASTER6!$A$2:$D$8001,4,FALSE())</f>
        <v>260</v>
      </c>
      <c r="M17" s="0" t="n">
        <f aca="false">VLOOKUP(M$1+1000*$A17,MASTER6!$A$2:$D$8001,4,FALSE())</f>
        <v>0</v>
      </c>
      <c r="N17" s="0" t="n">
        <f aca="false">VLOOKUP(N$1+1000*$A17,MASTER6!$A$2:$D$8001,4,FALSE())</f>
        <v>0</v>
      </c>
      <c r="O17" s="0" t="n">
        <f aca="false">VLOOKUP(O$1+1000*$A17,MASTER6!$A$2:$D$8001,4,FALSE())</f>
        <v>520</v>
      </c>
      <c r="P17" s="0" t="n">
        <f aca="false">VLOOKUP(P$1+1000*$A17,MASTER6!$A$2:$D$8001,4,FALSE())</f>
        <v>923</v>
      </c>
      <c r="Q17" s="0" t="n">
        <f aca="false">VLOOKUP(Q$1+1000*$A17,MASTER6!$A$2:$D$8001,4,FALSE())</f>
        <v>64883</v>
      </c>
      <c r="R17" s="0" t="n">
        <f aca="false">VLOOKUP(R$1+1000*$A17,MASTER6!$A$2:$D$8001,4,FALSE())</f>
        <v>2600</v>
      </c>
      <c r="S17" s="0" t="n">
        <f aca="false">VLOOKUP(S$1+1000*$A17,MASTER6!$A$2:$D$8001,4,FALSE())</f>
        <v>12350</v>
      </c>
      <c r="T17" s="0" t="n">
        <f aca="false">VLOOKUP(T$1+1000*$A17,MASTER6!$A$2:$D$8001,4,FALSE())</f>
        <v>3835</v>
      </c>
      <c r="U17" s="0" t="n">
        <f aca="false">VLOOKUP(U$1+1000*$A17,MASTER6!$A$2:$D$8001,4,FALSE())</f>
        <v>1196</v>
      </c>
      <c r="V17" s="0" t="n">
        <f aca="false">VLOOKUP(V$1+1000*$A17,MASTER6!$A$2:$D$8001,4,FALSE())</f>
        <v>3107</v>
      </c>
      <c r="W17" s="0" t="n">
        <f aca="false">VLOOKUP(W$1+1000*$A17,MASTER6!$A$2:$D$8001,4,FALSE())</f>
        <v>1495</v>
      </c>
      <c r="X17" s="0" t="n">
        <f aca="false">VLOOKUP(X$1+1000*$A17,MASTER6!$A$2:$D$8001,4,FALSE())</f>
        <v>91</v>
      </c>
      <c r="Y17" s="0" t="n">
        <f aca="false">VLOOKUP(Y$1+1000*$A17,MASTER6!$A$2:$D$8001,4,FALSE())</f>
        <v>91</v>
      </c>
      <c r="Z17" s="0" t="n">
        <f aca="false">VLOOKUP(Z$1+1000*$A17,MASTER6!$A$2:$D$8001,4,FALSE())</f>
        <v>0</v>
      </c>
      <c r="AA17" s="0" t="n">
        <f aca="false">VLOOKUP(AA$1+1000*$A17,MASTER6!$A$2:$D$8001,4,FALSE())</f>
        <v>0</v>
      </c>
      <c r="AB17" s="0" t="n">
        <f aca="false">VLOOKUP(AB$1+1000*$A17,MASTER6!$A$2:$D$8001,4,FALSE())</f>
        <v>65</v>
      </c>
      <c r="AC17" s="0" t="n">
        <f aca="false">VLOOKUP(AC$1+1000*$A17,MASTER6!$A$2:$D$8001,4,FALSE())</f>
        <v>3081</v>
      </c>
      <c r="AD17" s="0" t="n">
        <f aca="false">VLOOKUP(AD$1+1000*$A17,MASTER6!$A$2:$D$8001,4,FALSE())</f>
        <v>546</v>
      </c>
      <c r="AE17" s="0" t="n">
        <f aca="false">VLOOKUP(AE$1+1000*$A17,MASTER6!$A$2:$D$8001,4,FALSE())</f>
        <v>52</v>
      </c>
      <c r="AF17" s="0" t="e">
        <f aca="false">VLOOKUP(AF$1+1000*$A17,MASTER6!$A$2:$D$8001,4,FALSE())</f>
        <v>#N/A</v>
      </c>
      <c r="AG17" s="0" t="e">
        <f aca="false">VLOOKUP(AG$1+1000*$A17,MASTER6!$A$2:$D$8001,4,FALSE())</f>
        <v>#N/A</v>
      </c>
      <c r="AH17" s="0" t="n">
        <f aca="false">VLOOKUP(AH$1+1000*$A17,MASTER6!$A$2:$D$8001,4,FALSE())</f>
        <v>0</v>
      </c>
      <c r="AI17" s="0" t="n">
        <f aca="false">VLOOKUP(AI$1+1000*$A17,MASTER6!$A$2:$D$8001,4,FALSE())</f>
        <v>0</v>
      </c>
      <c r="AJ17" s="0" t="n">
        <f aca="false">VLOOKUP(AJ$1+1000*$A17,MASTER6!$A$2:$D$8001,4,FALSE())</f>
        <v>0</v>
      </c>
      <c r="AK17" s="0" t="e">
        <f aca="false">VLOOKUP(AK$1+1000*$A17,MASTER6!$A$2:$D$8001,4,FALSE())</f>
        <v>#N/A</v>
      </c>
      <c r="AL17" s="0" t="n">
        <f aca="false">VLOOKUP(AL$1+1000*$A17,MASTER6!$A$2:$D$8001,4,FALSE())</f>
        <v>0</v>
      </c>
      <c r="AM17" s="0" t="e">
        <f aca="false">VLOOKUP(AM$1+1000*$A17,MASTER6!$A$2:$D$8001,4,FALSE())</f>
        <v>#N/A</v>
      </c>
      <c r="AN17" s="0" t="n">
        <f aca="false">VLOOKUP(AN$1+1000*$A17,MASTER6!$A$2:$D$8001,4,FALSE())</f>
        <v>78</v>
      </c>
      <c r="AO17" s="0" t="n">
        <f aca="false">VLOOKUP(AO$1+1000*$A17,MASTER6!$A$2:$D$8001,4,FALSE())</f>
        <v>0</v>
      </c>
      <c r="AP17" s="0" t="n">
        <f aca="false">VLOOKUP(AP$1+1000*$A17,MASTER6!$A$2:$D$8001,4,FALSE())</f>
        <v>0</v>
      </c>
      <c r="AQ17" s="0" t="n">
        <f aca="false">VLOOKUP(AQ$1+1000*$A17,MASTER6!$A$2:$D$8001,4,FALSE())</f>
        <v>0</v>
      </c>
      <c r="AR17" s="0" t="e">
        <f aca="false">VLOOKUP(AR$1+1000*$A17,MASTER6!$A$2:$D$8001,4,FALSE())</f>
        <v>#N/A</v>
      </c>
      <c r="AS17" s="0" t="e">
        <f aca="false">VLOOKUP(AS$1+1000*$A17,MASTER6!$A$2:$D$8001,4,FALSE())</f>
        <v>#N/A</v>
      </c>
      <c r="AT17" s="0" t="e">
        <f aca="false">VLOOKUP(AT$1+1000*$A17,MASTER6!$A$2:$D$8001,4,FALSE())</f>
        <v>#N/A</v>
      </c>
      <c r="AU17" s="0" t="e">
        <f aca="false">VLOOKUP(AU$1+1000*$A17,MASTER6!$A$2:$D$8001,4,FALSE())</f>
        <v>#N/A</v>
      </c>
      <c r="AV17" s="0" t="e">
        <f aca="false">VLOOKUP(AV$1+1000*$A17,MASTER6!$A$2:$D$8001,4,FALSE())</f>
        <v>#N/A</v>
      </c>
      <c r="AW17" s="0" t="n">
        <f aca="false">VLOOKUP(AW$1+1000*$A17,MASTER6!$A$2:$D$8001,4,FALSE())</f>
        <v>0</v>
      </c>
      <c r="AX17" s="0" t="n">
        <f aca="false">VLOOKUP(AX$1+1000*$A17,MASTER6!$A$2:$D$8001,4,FALSE())</f>
        <v>273</v>
      </c>
      <c r="AY17" s="0" t="n">
        <f aca="false">VLOOKUP(AY$1+1000*$A17,MASTER6!$A$2:$D$8001,4,FALSE())</f>
        <v>0</v>
      </c>
      <c r="AZ17" s="0" t="n">
        <f aca="false">VLOOKUP(AZ$1+1000*$A17,MASTER6!$A$2:$D$8001,4,FALSE())</f>
        <v>169</v>
      </c>
      <c r="BA17" s="0" t="n">
        <f aca="false">VLOOKUP(BA$1+1000*$A17,MASTER6!$A$2:$D$8001,4,FALSE())</f>
        <v>0</v>
      </c>
      <c r="BB17" s="0" t="n">
        <f aca="false">VLOOKUP(BB$1+1000*$A17,MASTER6!$A$2:$D$8001,4,FALSE())</f>
        <v>0</v>
      </c>
      <c r="BC17" s="0" t="e">
        <f aca="false">VLOOKUP(BC$1+1000*$A17,MASTER6!$A$2:$D$8001,4,FALSE())</f>
        <v>#N/A</v>
      </c>
      <c r="BD17" s="0" t="e">
        <f aca="false">VLOOKUP(BD$1+1000*$A17,MASTER6!$A$2:$D$8001,4,FALSE())</f>
        <v>#N/A</v>
      </c>
      <c r="BE17" s="0" t="e">
        <f aca="false">VLOOKUP(BE$1+1000*$A17,MASTER6!$A$2:$D$8001,4,FALSE())</f>
        <v>#N/A</v>
      </c>
      <c r="BF17" s="0" t="e">
        <f aca="false">VLOOKUP(BF$1+1000*$A17,MASTER6!$A$2:$D$8001,4,FALSE())</f>
        <v>#N/A</v>
      </c>
      <c r="BG17" s="0" t="e">
        <f aca="false">VLOOKUP(BG$1+1000*$A17,MASTER6!$A$2:$D$8001,4,FALSE())</f>
        <v>#N/A</v>
      </c>
      <c r="BH17" s="0" t="e">
        <f aca="false">VLOOKUP(BH$1+1000*$A17,MASTER6!$A$2:$D$8001,4,FALSE())</f>
        <v>#N/A</v>
      </c>
      <c r="BI17" s="0" t="n">
        <f aca="false">VLOOKUP(BI$1+1000*$A17,MASTER6!$A$2:$D$8001,4,FALSE())</f>
        <v>0</v>
      </c>
      <c r="BJ17" s="0" t="e">
        <f aca="false">VLOOKUP(BJ$1+1000*$A17,MASTER6!$A$2:$D$8001,4,FALSE())</f>
        <v>#N/A</v>
      </c>
      <c r="BK17" s="0" t="e">
        <f aca="false">VLOOKUP(BK$1+1000*$A17,MASTER6!$A$2:$D$8001,4,FALSE())</f>
        <v>#N/A</v>
      </c>
      <c r="BL17" s="0" t="e">
        <f aca="false">VLOOKUP(BL$1+1000*$A17,MASTER6!$A$2:$D$8001,4,FALSE())</f>
        <v>#N/A</v>
      </c>
      <c r="BM17" s="0" t="n">
        <f aca="false">VLOOKUP(BM$1+1000*$A17,MASTER6!$A$2:$D$8001,4,FALSE())</f>
        <v>0</v>
      </c>
      <c r="BN17" s="0" t="n">
        <f aca="false">VLOOKUP(BN$1+1000*$A17,MASTER6!$A$2:$D$8001,4,FALSE())</f>
        <v>0</v>
      </c>
      <c r="BO17" s="0" t="e">
        <f aca="false">VLOOKUP(BO$1+1000*$A17,MASTER6!$A$2:$D$8001,4,FALSE())</f>
        <v>#N/A</v>
      </c>
      <c r="BP17" s="0" t="n">
        <f aca="false">VLOOKUP(BP$1+1000*$A17,MASTER6!$A$2:$D$8001,4,FALSE())</f>
        <v>0</v>
      </c>
      <c r="BQ17" s="0" t="e">
        <f aca="false">VLOOKUP(BQ$1+1000*$A17,MASTER6!$A$2:$D$8001,4,FALSE())</f>
        <v>#N/A</v>
      </c>
      <c r="BR17" s="0" t="n">
        <f aca="false">VLOOKUP(BR$1+1000*$A17,MASTER6!$A$2:$D$8001,4,FALSE())</f>
        <v>0</v>
      </c>
      <c r="BS17" s="0" t="e">
        <f aca="false">VLOOKUP(BS$1+1000*$A17,MASTER6!$A$2:$D$8001,4,FALSE())</f>
        <v>#N/A</v>
      </c>
      <c r="BT17" s="0" t="e">
        <f aca="false">VLOOKUP(BT$1+1000*$A17,MASTER6!$A$2:$D$8001,4,FALSE())</f>
        <v>#N/A</v>
      </c>
      <c r="BU17" s="0" t="n">
        <f aca="false">VLOOKUP(BU$1+1000*$A17,MASTER6!$A$2:$D$8001,4,FALSE())</f>
        <v>0</v>
      </c>
      <c r="BV17" s="0" t="n">
        <f aca="false">VLOOKUP(BV$1+1000*$A17,MASTER6!$A$2:$D$8001,4,FALSE())</f>
        <v>7982</v>
      </c>
      <c r="BW17" s="0" t="e">
        <f aca="false">VLOOKUP(BW$1+1000*$A17,MASTER6!$A$2:$D$8001,4,FALSE())</f>
        <v>#N/A</v>
      </c>
      <c r="BX17" s="0" t="n">
        <f aca="false">VLOOKUP(BX$1+1000*$A17,MASTER6!$A$2:$D$8001,4,FALSE())</f>
        <v>0</v>
      </c>
      <c r="BY17" s="0" t="e">
        <f aca="false">VLOOKUP(BY$1+1000*$A17,MASTER6!$A$2:$D$8001,4,FALSE())</f>
        <v>#N/A</v>
      </c>
      <c r="BZ17" s="0" t="e">
        <f aca="false">VLOOKUP(BZ$1+1000*$A17,MASTER6!$A$2:$D$8001,4,FALSE())</f>
        <v>#N/A</v>
      </c>
      <c r="CA17" s="0" t="e">
        <f aca="false">VLOOKUP(CA$1+1000*$A17,MASTER6!$A$2:$D$8001,4,FALSE())</f>
        <v>#N/A</v>
      </c>
      <c r="CB17" s="0" t="n">
        <f aca="false">VLOOKUP(CB$1+1000*$A17,MASTER6!$A$2:$D$8001,4,FALSE())</f>
        <v>0</v>
      </c>
      <c r="CC17" s="0" t="n">
        <f aca="false">VLOOKUP(CC$1+1000*$A17,MASTER6!$A$2:$D$8001,4,FALSE())</f>
        <v>104</v>
      </c>
      <c r="CD17" s="0" t="e">
        <f aca="false">VLOOKUP(CD$1+1000*$A17,MASTER6!$A$2:$D$8001,4,FALSE())</f>
        <v>#N/A</v>
      </c>
      <c r="CE17" s="0" t="e">
        <f aca="false">VLOOKUP(CE$1+1000*$A17,MASTER6!$A$2:$D$8001,4,FALSE())</f>
        <v>#N/A</v>
      </c>
      <c r="CF17" s="0" t="e">
        <f aca="false">VLOOKUP(CF$1+1000*$A17,MASTER6!$A$2:$D$8001,4,FALSE())</f>
        <v>#N/A</v>
      </c>
      <c r="CG17" s="0" t="e">
        <f aca="false">VLOOKUP(CG$1+1000*$A17,MASTER6!$A$2:$D$8001,4,FALSE())</f>
        <v>#N/A</v>
      </c>
      <c r="CH17" s="0" t="n">
        <f aca="false">VLOOKUP(CH$1+1000*$A17,MASTER6!$A$2:$D$8001,4,FALSE())</f>
        <v>125190</v>
      </c>
      <c r="CI17" s="0" t="n">
        <f aca="false">VLOOKUP(CI$1+1000*$A17,MASTER6!$A$2:$D$8001,4,FALSE())</f>
        <v>195</v>
      </c>
      <c r="CJ17" s="0" t="e">
        <f aca="false">VLOOKUP(CJ$1+1000*$A17,MASTER6!$A$2:$D$8001,4,FALSE())</f>
        <v>#N/A</v>
      </c>
    </row>
    <row r="18" customFormat="false" ht="12.75" hidden="false" customHeight="false" outlineLevel="0" collapsed="false">
      <c r="A18" s="0" t="n">
        <v>17</v>
      </c>
      <c r="B18" s="0" t="n">
        <f aca="false">VLOOKUP(B$1+1000*$A18,MASTER6!$A$2:$D$8001,4,FALSE())</f>
        <v>0</v>
      </c>
      <c r="C18" s="0" t="n">
        <f aca="false">VLOOKUP(C$1+1000*$A18,MASTER6!$A$2:$D$8001,4,FALSE())</f>
        <v>0</v>
      </c>
      <c r="D18" s="0" t="n">
        <f aca="false">VLOOKUP(D$1+1000*$A18,MASTER6!$A$2:$D$8001,4,FALSE())</f>
        <v>0</v>
      </c>
      <c r="E18" s="0" t="n">
        <f aca="false">VLOOKUP(E$1+1000*$A18,MASTER6!$A$2:$D$8001,4,FALSE())</f>
        <v>0</v>
      </c>
      <c r="F18" s="0" t="n">
        <f aca="false">VLOOKUP(F$1+1000*$A18,MASTER6!$A$2:$D$8001,4,FALSE())</f>
        <v>0</v>
      </c>
      <c r="G18" s="0" t="n">
        <f aca="false">VLOOKUP(G$1+1000*$A18,MASTER6!$A$2:$D$8001,4,FALSE())</f>
        <v>0</v>
      </c>
      <c r="H18" s="0" t="n">
        <f aca="false">VLOOKUP(H$1+1000*$A18,MASTER6!$A$2:$D$8001,4,FALSE())</f>
        <v>0</v>
      </c>
      <c r="I18" s="0" t="n">
        <f aca="false">VLOOKUP(I$1+1000*$A18,MASTER6!$A$2:$D$8001,4,FALSE())</f>
        <v>0</v>
      </c>
      <c r="J18" s="0" t="n">
        <f aca="false">VLOOKUP(J$1+1000*$A18,MASTER6!$A$2:$D$8001,4,FALSE())</f>
        <v>0</v>
      </c>
      <c r="K18" s="0" t="n">
        <f aca="false">VLOOKUP(K$1+1000*$A18,MASTER6!$A$2:$D$8001,4,FALSE())</f>
        <v>91</v>
      </c>
      <c r="L18" s="0" t="n">
        <f aca="false">VLOOKUP(L$1+1000*$A18,MASTER6!$A$2:$D$8001,4,FALSE())</f>
        <v>0</v>
      </c>
      <c r="M18" s="0" t="n">
        <f aca="false">VLOOKUP(M$1+1000*$A18,MASTER6!$A$2:$D$8001,4,FALSE())</f>
        <v>0</v>
      </c>
      <c r="N18" s="0" t="n">
        <f aca="false">VLOOKUP(N$1+1000*$A18,MASTER6!$A$2:$D$8001,4,FALSE())</f>
        <v>0</v>
      </c>
      <c r="O18" s="0" t="n">
        <f aca="false">VLOOKUP(O$1+1000*$A18,MASTER6!$A$2:$D$8001,4,FALSE())</f>
        <v>0</v>
      </c>
      <c r="P18" s="0" t="n">
        <f aca="false">VLOOKUP(P$1+1000*$A18,MASTER6!$A$2:$D$8001,4,FALSE())</f>
        <v>1794</v>
      </c>
      <c r="Q18" s="0" t="n">
        <f aca="false">VLOOKUP(Q$1+1000*$A18,MASTER6!$A$2:$D$8001,4,FALSE())</f>
        <v>585</v>
      </c>
      <c r="R18" s="0" t="n">
        <f aca="false">VLOOKUP(R$1+1000*$A18,MASTER6!$A$2:$D$8001,4,FALSE())</f>
        <v>13533</v>
      </c>
      <c r="S18" s="0" t="n">
        <f aca="false">VLOOKUP(S$1+1000*$A18,MASTER6!$A$2:$D$8001,4,FALSE())</f>
        <v>7527</v>
      </c>
      <c r="T18" s="0" t="n">
        <f aca="false">VLOOKUP(T$1+1000*$A18,MASTER6!$A$2:$D$8001,4,FALSE())</f>
        <v>7852</v>
      </c>
      <c r="U18" s="0" t="n">
        <f aca="false">VLOOKUP(U$1+1000*$A18,MASTER6!$A$2:$D$8001,4,FALSE())</f>
        <v>5707</v>
      </c>
      <c r="V18" s="0" t="n">
        <f aca="false">VLOOKUP(V$1+1000*$A18,MASTER6!$A$2:$D$8001,4,FALSE())</f>
        <v>8619</v>
      </c>
      <c r="W18" s="0" t="n">
        <f aca="false">VLOOKUP(W$1+1000*$A18,MASTER6!$A$2:$D$8001,4,FALSE())</f>
        <v>507</v>
      </c>
      <c r="X18" s="0" t="n">
        <f aca="false">VLOOKUP(X$1+1000*$A18,MASTER6!$A$2:$D$8001,4,FALSE())</f>
        <v>0</v>
      </c>
      <c r="Y18" s="0" t="n">
        <f aca="false">VLOOKUP(Y$1+1000*$A18,MASTER6!$A$2:$D$8001,4,FALSE())</f>
        <v>0</v>
      </c>
      <c r="Z18" s="0" t="n">
        <f aca="false">VLOOKUP(Z$1+1000*$A18,MASTER6!$A$2:$D$8001,4,FALSE())</f>
        <v>0</v>
      </c>
      <c r="AA18" s="0" t="n">
        <f aca="false">VLOOKUP(AA$1+1000*$A18,MASTER6!$A$2:$D$8001,4,FALSE())</f>
        <v>0</v>
      </c>
      <c r="AB18" s="0" t="n">
        <f aca="false">VLOOKUP(AB$1+1000*$A18,MASTER6!$A$2:$D$8001,4,FALSE())</f>
        <v>0</v>
      </c>
      <c r="AC18" s="0" t="n">
        <f aca="false">VLOOKUP(AC$1+1000*$A18,MASTER6!$A$2:$D$8001,4,FALSE())</f>
        <v>0</v>
      </c>
      <c r="AD18" s="0" t="n">
        <f aca="false">VLOOKUP(AD$1+1000*$A18,MASTER6!$A$2:$D$8001,4,FALSE())</f>
        <v>0</v>
      </c>
      <c r="AE18" s="0" t="n">
        <f aca="false">VLOOKUP(AE$1+1000*$A18,MASTER6!$A$2:$D$8001,4,FALSE())</f>
        <v>0</v>
      </c>
      <c r="AF18" s="0" t="e">
        <f aca="false">VLOOKUP(AF$1+1000*$A18,MASTER6!$A$2:$D$8001,4,FALSE())</f>
        <v>#N/A</v>
      </c>
      <c r="AG18" s="0" t="e">
        <f aca="false">VLOOKUP(AG$1+1000*$A18,MASTER6!$A$2:$D$8001,4,FALSE())</f>
        <v>#N/A</v>
      </c>
      <c r="AH18" s="0" t="n">
        <f aca="false">VLOOKUP(AH$1+1000*$A18,MASTER6!$A$2:$D$8001,4,FALSE())</f>
        <v>0</v>
      </c>
      <c r="AI18" s="0" t="n">
        <f aca="false">VLOOKUP(AI$1+1000*$A18,MASTER6!$A$2:$D$8001,4,FALSE())</f>
        <v>0</v>
      </c>
      <c r="AJ18" s="0" t="n">
        <f aca="false">VLOOKUP(AJ$1+1000*$A18,MASTER6!$A$2:$D$8001,4,FALSE())</f>
        <v>0</v>
      </c>
      <c r="AK18" s="0" t="e">
        <f aca="false">VLOOKUP(AK$1+1000*$A18,MASTER6!$A$2:$D$8001,4,FALSE())</f>
        <v>#N/A</v>
      </c>
      <c r="AL18" s="0" t="n">
        <f aca="false">VLOOKUP(AL$1+1000*$A18,MASTER6!$A$2:$D$8001,4,FALSE())</f>
        <v>0</v>
      </c>
      <c r="AM18" s="0" t="e">
        <f aca="false">VLOOKUP(AM$1+1000*$A18,MASTER6!$A$2:$D$8001,4,FALSE())</f>
        <v>#N/A</v>
      </c>
      <c r="AN18" s="0" t="n">
        <f aca="false">VLOOKUP(AN$1+1000*$A18,MASTER6!$A$2:$D$8001,4,FALSE())</f>
        <v>0</v>
      </c>
      <c r="AO18" s="0" t="n">
        <f aca="false">VLOOKUP(AO$1+1000*$A18,MASTER6!$A$2:$D$8001,4,FALSE())</f>
        <v>0</v>
      </c>
      <c r="AP18" s="0" t="n">
        <f aca="false">VLOOKUP(AP$1+1000*$A18,MASTER6!$A$2:$D$8001,4,FALSE())</f>
        <v>0</v>
      </c>
      <c r="AQ18" s="0" t="n">
        <f aca="false">VLOOKUP(AQ$1+1000*$A18,MASTER6!$A$2:$D$8001,4,FALSE())</f>
        <v>0</v>
      </c>
      <c r="AR18" s="0" t="e">
        <f aca="false">VLOOKUP(AR$1+1000*$A18,MASTER6!$A$2:$D$8001,4,FALSE())</f>
        <v>#N/A</v>
      </c>
      <c r="AS18" s="0" t="e">
        <f aca="false">VLOOKUP(AS$1+1000*$A18,MASTER6!$A$2:$D$8001,4,FALSE())</f>
        <v>#N/A</v>
      </c>
      <c r="AT18" s="0" t="e">
        <f aca="false">VLOOKUP(AT$1+1000*$A18,MASTER6!$A$2:$D$8001,4,FALSE())</f>
        <v>#N/A</v>
      </c>
      <c r="AU18" s="0" t="e">
        <f aca="false">VLOOKUP(AU$1+1000*$A18,MASTER6!$A$2:$D$8001,4,FALSE())</f>
        <v>#N/A</v>
      </c>
      <c r="AV18" s="0" t="e">
        <f aca="false">VLOOKUP(AV$1+1000*$A18,MASTER6!$A$2:$D$8001,4,FALSE())</f>
        <v>#N/A</v>
      </c>
      <c r="AW18" s="0" t="n">
        <f aca="false">VLOOKUP(AW$1+1000*$A18,MASTER6!$A$2:$D$8001,4,FALSE())</f>
        <v>0</v>
      </c>
      <c r="AX18" s="0" t="n">
        <f aca="false">VLOOKUP(AX$1+1000*$A18,MASTER6!$A$2:$D$8001,4,FALSE())</f>
        <v>0</v>
      </c>
      <c r="AY18" s="0" t="n">
        <f aca="false">VLOOKUP(AY$1+1000*$A18,MASTER6!$A$2:$D$8001,4,FALSE())</f>
        <v>0</v>
      </c>
      <c r="AZ18" s="0" t="n">
        <f aca="false">VLOOKUP(AZ$1+1000*$A18,MASTER6!$A$2:$D$8001,4,FALSE())</f>
        <v>0</v>
      </c>
      <c r="BA18" s="0" t="n">
        <f aca="false">VLOOKUP(BA$1+1000*$A18,MASTER6!$A$2:$D$8001,4,FALSE())</f>
        <v>0</v>
      </c>
      <c r="BB18" s="0" t="n">
        <f aca="false">VLOOKUP(BB$1+1000*$A18,MASTER6!$A$2:$D$8001,4,FALSE())</f>
        <v>0</v>
      </c>
      <c r="BC18" s="0" t="e">
        <f aca="false">VLOOKUP(BC$1+1000*$A18,MASTER6!$A$2:$D$8001,4,FALSE())</f>
        <v>#N/A</v>
      </c>
      <c r="BD18" s="0" t="e">
        <f aca="false">VLOOKUP(BD$1+1000*$A18,MASTER6!$A$2:$D$8001,4,FALSE())</f>
        <v>#N/A</v>
      </c>
      <c r="BE18" s="0" t="e">
        <f aca="false">VLOOKUP(BE$1+1000*$A18,MASTER6!$A$2:$D$8001,4,FALSE())</f>
        <v>#N/A</v>
      </c>
      <c r="BF18" s="0" t="e">
        <f aca="false">VLOOKUP(BF$1+1000*$A18,MASTER6!$A$2:$D$8001,4,FALSE())</f>
        <v>#N/A</v>
      </c>
      <c r="BG18" s="0" t="e">
        <f aca="false">VLOOKUP(BG$1+1000*$A18,MASTER6!$A$2:$D$8001,4,FALSE())</f>
        <v>#N/A</v>
      </c>
      <c r="BH18" s="0" t="e">
        <f aca="false">VLOOKUP(BH$1+1000*$A18,MASTER6!$A$2:$D$8001,4,FALSE())</f>
        <v>#N/A</v>
      </c>
      <c r="BI18" s="0" t="n">
        <f aca="false">VLOOKUP(BI$1+1000*$A18,MASTER6!$A$2:$D$8001,4,FALSE())</f>
        <v>0</v>
      </c>
      <c r="BJ18" s="0" t="e">
        <f aca="false">VLOOKUP(BJ$1+1000*$A18,MASTER6!$A$2:$D$8001,4,FALSE())</f>
        <v>#N/A</v>
      </c>
      <c r="BK18" s="0" t="e">
        <f aca="false">VLOOKUP(BK$1+1000*$A18,MASTER6!$A$2:$D$8001,4,FALSE())</f>
        <v>#N/A</v>
      </c>
      <c r="BL18" s="0" t="e">
        <f aca="false">VLOOKUP(BL$1+1000*$A18,MASTER6!$A$2:$D$8001,4,FALSE())</f>
        <v>#N/A</v>
      </c>
      <c r="BM18" s="0" t="n">
        <f aca="false">VLOOKUP(BM$1+1000*$A18,MASTER6!$A$2:$D$8001,4,FALSE())</f>
        <v>0</v>
      </c>
      <c r="BN18" s="0" t="n">
        <f aca="false">VLOOKUP(BN$1+1000*$A18,MASTER6!$A$2:$D$8001,4,FALSE())</f>
        <v>0</v>
      </c>
      <c r="BO18" s="0" t="e">
        <f aca="false">VLOOKUP(BO$1+1000*$A18,MASTER6!$A$2:$D$8001,4,FALSE())</f>
        <v>#N/A</v>
      </c>
      <c r="BP18" s="0" t="n">
        <f aca="false">VLOOKUP(BP$1+1000*$A18,MASTER6!$A$2:$D$8001,4,FALSE())</f>
        <v>0</v>
      </c>
      <c r="BQ18" s="0" t="e">
        <f aca="false">VLOOKUP(BQ$1+1000*$A18,MASTER6!$A$2:$D$8001,4,FALSE())</f>
        <v>#N/A</v>
      </c>
      <c r="BR18" s="0" t="n">
        <f aca="false">VLOOKUP(BR$1+1000*$A18,MASTER6!$A$2:$D$8001,4,FALSE())</f>
        <v>0</v>
      </c>
      <c r="BS18" s="0" t="e">
        <f aca="false">VLOOKUP(BS$1+1000*$A18,MASTER6!$A$2:$D$8001,4,FALSE())</f>
        <v>#N/A</v>
      </c>
      <c r="BT18" s="0" t="e">
        <f aca="false">VLOOKUP(BT$1+1000*$A18,MASTER6!$A$2:$D$8001,4,FALSE())</f>
        <v>#N/A</v>
      </c>
      <c r="BU18" s="0" t="n">
        <f aca="false">VLOOKUP(BU$1+1000*$A18,MASTER6!$A$2:$D$8001,4,FALSE())</f>
        <v>0</v>
      </c>
      <c r="BV18" s="0" t="n">
        <f aca="false">VLOOKUP(BV$1+1000*$A18,MASTER6!$A$2:$D$8001,4,FALSE())</f>
        <v>481</v>
      </c>
      <c r="BW18" s="0" t="e">
        <f aca="false">VLOOKUP(BW$1+1000*$A18,MASTER6!$A$2:$D$8001,4,FALSE())</f>
        <v>#N/A</v>
      </c>
      <c r="BX18" s="0" t="n">
        <f aca="false">VLOOKUP(BX$1+1000*$A18,MASTER6!$A$2:$D$8001,4,FALSE())</f>
        <v>0</v>
      </c>
      <c r="BY18" s="0" t="e">
        <f aca="false">VLOOKUP(BY$1+1000*$A18,MASTER6!$A$2:$D$8001,4,FALSE())</f>
        <v>#N/A</v>
      </c>
      <c r="BZ18" s="0" t="e">
        <f aca="false">VLOOKUP(BZ$1+1000*$A18,MASTER6!$A$2:$D$8001,4,FALSE())</f>
        <v>#N/A</v>
      </c>
      <c r="CA18" s="0" t="e">
        <f aca="false">VLOOKUP(CA$1+1000*$A18,MASTER6!$A$2:$D$8001,4,FALSE())</f>
        <v>#N/A</v>
      </c>
      <c r="CB18" s="0" t="n">
        <f aca="false">VLOOKUP(CB$1+1000*$A18,MASTER6!$A$2:$D$8001,4,FALSE())</f>
        <v>0</v>
      </c>
      <c r="CC18" s="0" t="n">
        <f aca="false">VLOOKUP(CC$1+1000*$A18,MASTER6!$A$2:$D$8001,4,FALSE())</f>
        <v>0</v>
      </c>
      <c r="CD18" s="0" t="e">
        <f aca="false">VLOOKUP(CD$1+1000*$A18,MASTER6!$A$2:$D$8001,4,FALSE())</f>
        <v>#N/A</v>
      </c>
      <c r="CE18" s="0" t="e">
        <f aca="false">VLOOKUP(CE$1+1000*$A18,MASTER6!$A$2:$D$8001,4,FALSE())</f>
        <v>#N/A</v>
      </c>
      <c r="CF18" s="0" t="e">
        <f aca="false">VLOOKUP(CF$1+1000*$A18,MASTER6!$A$2:$D$8001,4,FALSE())</f>
        <v>#N/A</v>
      </c>
      <c r="CG18" s="0" t="e">
        <f aca="false">VLOOKUP(CG$1+1000*$A18,MASTER6!$A$2:$D$8001,4,FALSE())</f>
        <v>#N/A</v>
      </c>
      <c r="CH18" s="0" t="n">
        <f aca="false">VLOOKUP(CH$1+1000*$A18,MASTER6!$A$2:$D$8001,4,FALSE())</f>
        <v>61399</v>
      </c>
      <c r="CI18" s="0" t="n">
        <f aca="false">VLOOKUP(CI$1+1000*$A18,MASTER6!$A$2:$D$8001,4,FALSE())</f>
        <v>0</v>
      </c>
      <c r="CJ18" s="0" t="e">
        <f aca="false">VLOOKUP(CJ$1+1000*$A18,MASTER6!$A$2:$D$8001,4,FALSE())</f>
        <v>#N/A</v>
      </c>
    </row>
    <row r="19" customFormat="false" ht="12.75" hidden="false" customHeight="false" outlineLevel="0" collapsed="false">
      <c r="A19" s="0" t="n">
        <v>18</v>
      </c>
      <c r="B19" s="0" t="n">
        <f aca="false">VLOOKUP(B$1+1000*$A19,MASTER6!$A$2:$D$8001,4,FALSE())</f>
        <v>273</v>
      </c>
      <c r="C19" s="0" t="n">
        <f aca="false">VLOOKUP(C$1+1000*$A19,MASTER6!$A$2:$D$8001,4,FALSE())</f>
        <v>117</v>
      </c>
      <c r="D19" s="0" t="n">
        <f aca="false">VLOOKUP(D$1+1000*$A19,MASTER6!$A$2:$D$8001,4,FALSE())</f>
        <v>0</v>
      </c>
      <c r="E19" s="0" t="n">
        <f aca="false">VLOOKUP(E$1+1000*$A19,MASTER6!$A$2:$D$8001,4,FALSE())</f>
        <v>182</v>
      </c>
      <c r="F19" s="0" t="n">
        <f aca="false">VLOOKUP(F$1+1000*$A19,MASTER6!$A$2:$D$8001,4,FALSE())</f>
        <v>0</v>
      </c>
      <c r="G19" s="0" t="n">
        <f aca="false">VLOOKUP(G$1+1000*$A19,MASTER6!$A$2:$D$8001,4,FALSE())</f>
        <v>143</v>
      </c>
      <c r="H19" s="0" t="n">
        <f aca="false">VLOOKUP(H$1+1000*$A19,MASTER6!$A$2:$D$8001,4,FALSE())</f>
        <v>0</v>
      </c>
      <c r="I19" s="0" t="n">
        <f aca="false">VLOOKUP(I$1+1000*$A19,MASTER6!$A$2:$D$8001,4,FALSE())</f>
        <v>0</v>
      </c>
      <c r="J19" s="0" t="n">
        <f aca="false">VLOOKUP(J$1+1000*$A19,MASTER6!$A$2:$D$8001,4,FALSE())</f>
        <v>533</v>
      </c>
      <c r="K19" s="0" t="n">
        <f aca="false">VLOOKUP(K$1+1000*$A19,MASTER6!$A$2:$D$8001,4,FALSE())</f>
        <v>65</v>
      </c>
      <c r="L19" s="0" t="n">
        <f aca="false">VLOOKUP(L$1+1000*$A19,MASTER6!$A$2:$D$8001,4,FALSE())</f>
        <v>338</v>
      </c>
      <c r="M19" s="0" t="n">
        <f aca="false">VLOOKUP(M$1+1000*$A19,MASTER6!$A$2:$D$8001,4,FALSE())</f>
        <v>234</v>
      </c>
      <c r="N19" s="0" t="n">
        <f aca="false">VLOOKUP(N$1+1000*$A19,MASTER6!$A$2:$D$8001,4,FALSE())</f>
        <v>104</v>
      </c>
      <c r="O19" s="0" t="n">
        <f aca="false">VLOOKUP(O$1+1000*$A19,MASTER6!$A$2:$D$8001,4,FALSE())</f>
        <v>338</v>
      </c>
      <c r="P19" s="0" t="n">
        <f aca="false">VLOOKUP(P$1+1000*$A19,MASTER6!$A$2:$D$8001,4,FALSE())</f>
        <v>1859</v>
      </c>
      <c r="Q19" s="0" t="n">
        <f aca="false">VLOOKUP(Q$1+1000*$A19,MASTER6!$A$2:$D$8001,4,FALSE())</f>
        <v>3549</v>
      </c>
      <c r="R19" s="0" t="n">
        <f aca="false">VLOOKUP(R$1+1000*$A19,MASTER6!$A$2:$D$8001,4,FALSE())</f>
        <v>13598</v>
      </c>
      <c r="S19" s="0" t="n">
        <f aca="false">VLOOKUP(S$1+1000*$A19,MASTER6!$A$2:$D$8001,4,FALSE())</f>
        <v>209313</v>
      </c>
      <c r="T19" s="0" t="n">
        <f aca="false">VLOOKUP(T$1+1000*$A19,MASTER6!$A$2:$D$8001,4,FALSE())</f>
        <v>37583</v>
      </c>
      <c r="U19" s="0" t="n">
        <f aca="false">VLOOKUP(U$1+1000*$A19,MASTER6!$A$2:$D$8001,4,FALSE())</f>
        <v>15041</v>
      </c>
      <c r="V19" s="0" t="n">
        <f aca="false">VLOOKUP(V$1+1000*$A19,MASTER6!$A$2:$D$8001,4,FALSE())</f>
        <v>53898</v>
      </c>
      <c r="W19" s="0" t="n">
        <f aca="false">VLOOKUP(W$1+1000*$A19,MASTER6!$A$2:$D$8001,4,FALSE())</f>
        <v>6708</v>
      </c>
      <c r="X19" s="0" t="n">
        <f aca="false">VLOOKUP(X$1+1000*$A19,MASTER6!$A$2:$D$8001,4,FALSE())</f>
        <v>351</v>
      </c>
      <c r="Y19" s="0" t="n">
        <f aca="false">VLOOKUP(Y$1+1000*$A19,MASTER6!$A$2:$D$8001,4,FALSE())</f>
        <v>0</v>
      </c>
      <c r="Z19" s="0" t="n">
        <f aca="false">VLOOKUP(Z$1+1000*$A19,MASTER6!$A$2:$D$8001,4,FALSE())</f>
        <v>0</v>
      </c>
      <c r="AA19" s="0" t="n">
        <f aca="false">VLOOKUP(AA$1+1000*$A19,MASTER6!$A$2:$D$8001,4,FALSE())</f>
        <v>130</v>
      </c>
      <c r="AB19" s="0" t="n">
        <f aca="false">VLOOKUP(AB$1+1000*$A19,MASTER6!$A$2:$D$8001,4,FALSE())</f>
        <v>0</v>
      </c>
      <c r="AC19" s="0" t="n">
        <f aca="false">VLOOKUP(AC$1+1000*$A19,MASTER6!$A$2:$D$8001,4,FALSE())</f>
        <v>468</v>
      </c>
      <c r="AD19" s="0" t="n">
        <f aca="false">VLOOKUP(AD$1+1000*$A19,MASTER6!$A$2:$D$8001,4,FALSE())</f>
        <v>91</v>
      </c>
      <c r="AE19" s="0" t="n">
        <f aca="false">VLOOKUP(AE$1+1000*$A19,MASTER6!$A$2:$D$8001,4,FALSE())</f>
        <v>0</v>
      </c>
      <c r="AF19" s="0" t="n">
        <f aca="false">VLOOKUP(AF$1+1000*$A19,MASTER6!$A$2:$D$8001,4,FALSE())</f>
        <v>117</v>
      </c>
      <c r="AG19" s="0" t="n">
        <f aca="false">VLOOKUP(AG$1+1000*$A19,MASTER6!$A$2:$D$8001,4,FALSE())</f>
        <v>104</v>
      </c>
      <c r="AH19" s="0" t="n">
        <f aca="false">VLOOKUP(AH$1+1000*$A19,MASTER6!$A$2:$D$8001,4,FALSE())</f>
        <v>325</v>
      </c>
      <c r="AI19" s="0" t="n">
        <f aca="false">VLOOKUP(AI$1+1000*$A19,MASTER6!$A$2:$D$8001,4,FALSE())</f>
        <v>0</v>
      </c>
      <c r="AJ19" s="0" t="n">
        <f aca="false">VLOOKUP(AJ$1+1000*$A19,MASTER6!$A$2:$D$8001,4,FALSE())</f>
        <v>0</v>
      </c>
      <c r="AK19" s="0" t="e">
        <f aca="false">VLOOKUP(AK$1+1000*$A19,MASTER6!$A$2:$D$8001,4,FALSE())</f>
        <v>#N/A</v>
      </c>
      <c r="AL19" s="0" t="n">
        <f aca="false">VLOOKUP(AL$1+1000*$A19,MASTER6!$A$2:$D$8001,4,FALSE())</f>
        <v>169</v>
      </c>
      <c r="AM19" s="0" t="e">
        <f aca="false">VLOOKUP(AM$1+1000*$A19,MASTER6!$A$2:$D$8001,4,FALSE())</f>
        <v>#N/A</v>
      </c>
      <c r="AN19" s="0" t="n">
        <f aca="false">VLOOKUP(AN$1+1000*$A19,MASTER6!$A$2:$D$8001,4,FALSE())</f>
        <v>0</v>
      </c>
      <c r="AO19" s="0" t="n">
        <f aca="false">VLOOKUP(AO$1+1000*$A19,MASTER6!$A$2:$D$8001,4,FALSE())</f>
        <v>104</v>
      </c>
      <c r="AP19" s="0" t="n">
        <f aca="false">VLOOKUP(AP$1+1000*$A19,MASTER6!$A$2:$D$8001,4,FALSE())</f>
        <v>0</v>
      </c>
      <c r="AQ19" s="0" t="n">
        <f aca="false">VLOOKUP(AQ$1+1000*$A19,MASTER6!$A$2:$D$8001,4,FALSE())</f>
        <v>65</v>
      </c>
      <c r="AR19" s="0" t="e">
        <f aca="false">VLOOKUP(AR$1+1000*$A19,MASTER6!$A$2:$D$8001,4,FALSE())</f>
        <v>#N/A</v>
      </c>
      <c r="AS19" s="0" t="e">
        <f aca="false">VLOOKUP(AS$1+1000*$A19,MASTER6!$A$2:$D$8001,4,FALSE())</f>
        <v>#N/A</v>
      </c>
      <c r="AT19" s="0" t="e">
        <f aca="false">VLOOKUP(AT$1+1000*$A19,MASTER6!$A$2:$D$8001,4,FALSE())</f>
        <v>#N/A</v>
      </c>
      <c r="AU19" s="0" t="e">
        <f aca="false">VLOOKUP(AU$1+1000*$A19,MASTER6!$A$2:$D$8001,4,FALSE())</f>
        <v>#N/A</v>
      </c>
      <c r="AV19" s="0" t="e">
        <f aca="false">VLOOKUP(AV$1+1000*$A19,MASTER6!$A$2:$D$8001,4,FALSE())</f>
        <v>#N/A</v>
      </c>
      <c r="AW19" s="0" t="n">
        <f aca="false">VLOOKUP(AW$1+1000*$A19,MASTER6!$A$2:$D$8001,4,FALSE())</f>
        <v>143</v>
      </c>
      <c r="AX19" s="0" t="n">
        <f aca="false">VLOOKUP(AX$1+1000*$A19,MASTER6!$A$2:$D$8001,4,FALSE())</f>
        <v>2938</v>
      </c>
      <c r="AY19" s="0" t="n">
        <f aca="false">VLOOKUP(AY$1+1000*$A19,MASTER6!$A$2:$D$8001,4,FALSE())</f>
        <v>806</v>
      </c>
      <c r="AZ19" s="0" t="n">
        <f aca="false">VLOOKUP(AZ$1+1000*$A19,MASTER6!$A$2:$D$8001,4,FALSE())</f>
        <v>1924</v>
      </c>
      <c r="BA19" s="0" t="n">
        <f aca="false">VLOOKUP(BA$1+1000*$A19,MASTER6!$A$2:$D$8001,4,FALSE())</f>
        <v>0</v>
      </c>
      <c r="BB19" s="0" t="n">
        <f aca="false">VLOOKUP(BB$1+1000*$A19,MASTER6!$A$2:$D$8001,4,FALSE())</f>
        <v>143</v>
      </c>
      <c r="BC19" s="0" t="e">
        <f aca="false">VLOOKUP(BC$1+1000*$A19,MASTER6!$A$2:$D$8001,4,FALSE())</f>
        <v>#N/A</v>
      </c>
      <c r="BD19" s="0" t="n">
        <f aca="false">VLOOKUP(BD$1+1000*$A19,MASTER6!$A$2:$D$8001,4,FALSE())</f>
        <v>130</v>
      </c>
      <c r="BE19" s="0" t="e">
        <f aca="false">VLOOKUP(BE$1+1000*$A19,MASTER6!$A$2:$D$8001,4,FALSE())</f>
        <v>#N/A</v>
      </c>
      <c r="BF19" s="0" t="n">
        <f aca="false">VLOOKUP(BF$1+1000*$A19,MASTER6!$A$2:$D$8001,4,FALSE())</f>
        <v>52</v>
      </c>
      <c r="BG19" s="0" t="e">
        <f aca="false">VLOOKUP(BG$1+1000*$A19,MASTER6!$A$2:$D$8001,4,FALSE())</f>
        <v>#N/A</v>
      </c>
      <c r="BH19" s="0" t="e">
        <f aca="false">VLOOKUP(BH$1+1000*$A19,MASTER6!$A$2:$D$8001,4,FALSE())</f>
        <v>#N/A</v>
      </c>
      <c r="BI19" s="0" t="n">
        <f aca="false">VLOOKUP(BI$1+1000*$A19,MASTER6!$A$2:$D$8001,4,FALSE())</f>
        <v>0</v>
      </c>
      <c r="BJ19" s="0" t="e">
        <f aca="false">VLOOKUP(BJ$1+1000*$A19,MASTER6!$A$2:$D$8001,4,FALSE())</f>
        <v>#N/A</v>
      </c>
      <c r="BK19" s="0" t="n">
        <f aca="false">VLOOKUP(BK$1+1000*$A19,MASTER6!$A$2:$D$8001,4,FALSE())</f>
        <v>104</v>
      </c>
      <c r="BL19" s="0" t="e">
        <f aca="false">VLOOKUP(BL$1+1000*$A19,MASTER6!$A$2:$D$8001,4,FALSE())</f>
        <v>#N/A</v>
      </c>
      <c r="BM19" s="0" t="n">
        <f aca="false">VLOOKUP(BM$1+1000*$A19,MASTER6!$A$2:$D$8001,4,FALSE())</f>
        <v>247</v>
      </c>
      <c r="BN19" s="0" t="n">
        <f aca="false">VLOOKUP(BN$1+1000*$A19,MASTER6!$A$2:$D$8001,4,FALSE())</f>
        <v>130</v>
      </c>
      <c r="BO19" s="0" t="e">
        <f aca="false">VLOOKUP(BO$1+1000*$A19,MASTER6!$A$2:$D$8001,4,FALSE())</f>
        <v>#N/A</v>
      </c>
      <c r="BP19" s="0" t="n">
        <f aca="false">VLOOKUP(BP$1+1000*$A19,MASTER6!$A$2:$D$8001,4,FALSE())</f>
        <v>0</v>
      </c>
      <c r="BQ19" s="0" t="e">
        <f aca="false">VLOOKUP(BQ$1+1000*$A19,MASTER6!$A$2:$D$8001,4,FALSE())</f>
        <v>#N/A</v>
      </c>
      <c r="BR19" s="0" t="n">
        <f aca="false">VLOOKUP(BR$1+1000*$A19,MASTER6!$A$2:$D$8001,4,FALSE())</f>
        <v>0</v>
      </c>
      <c r="BS19" s="0" t="e">
        <f aca="false">VLOOKUP(BS$1+1000*$A19,MASTER6!$A$2:$D$8001,4,FALSE())</f>
        <v>#N/A</v>
      </c>
      <c r="BT19" s="0" t="n">
        <f aca="false">VLOOKUP(BT$1+1000*$A19,MASTER6!$A$2:$D$8001,4,FALSE())</f>
        <v>91</v>
      </c>
      <c r="BU19" s="0" t="n">
        <f aca="false">VLOOKUP(BU$1+1000*$A19,MASTER6!$A$2:$D$8001,4,FALSE())</f>
        <v>78</v>
      </c>
      <c r="BV19" s="0" t="n">
        <f aca="false">VLOOKUP(BV$1+1000*$A19,MASTER6!$A$2:$D$8001,4,FALSE())</f>
        <v>1443</v>
      </c>
      <c r="BW19" s="0" t="e">
        <f aca="false">VLOOKUP(BW$1+1000*$A19,MASTER6!$A$2:$D$8001,4,FALSE())</f>
        <v>#N/A</v>
      </c>
      <c r="BX19" s="0" t="n">
        <f aca="false">VLOOKUP(BX$1+1000*$A19,MASTER6!$A$2:$D$8001,4,FALSE())</f>
        <v>117</v>
      </c>
      <c r="BY19" s="0" t="n">
        <f aca="false">VLOOKUP(BY$1+1000*$A19,MASTER6!$A$2:$D$8001,4,FALSE())</f>
        <v>52</v>
      </c>
      <c r="BZ19" s="0" t="e">
        <f aca="false">VLOOKUP(BZ$1+1000*$A19,MASTER6!$A$2:$D$8001,4,FALSE())</f>
        <v>#N/A</v>
      </c>
      <c r="CA19" s="0" t="e">
        <f aca="false">VLOOKUP(CA$1+1000*$A19,MASTER6!$A$2:$D$8001,4,FALSE())</f>
        <v>#N/A</v>
      </c>
      <c r="CB19" s="0" t="n">
        <f aca="false">VLOOKUP(CB$1+1000*$A19,MASTER6!$A$2:$D$8001,4,FALSE())</f>
        <v>0</v>
      </c>
      <c r="CC19" s="0" t="n">
        <f aca="false">VLOOKUP(CC$1+1000*$A19,MASTER6!$A$2:$D$8001,4,FALSE())</f>
        <v>52</v>
      </c>
      <c r="CD19" s="0" t="e">
        <f aca="false">VLOOKUP(CD$1+1000*$A19,MASTER6!$A$2:$D$8001,4,FALSE())</f>
        <v>#N/A</v>
      </c>
      <c r="CE19" s="0" t="e">
        <f aca="false">VLOOKUP(CE$1+1000*$A19,MASTER6!$A$2:$D$8001,4,FALSE())</f>
        <v>#N/A</v>
      </c>
      <c r="CF19" s="0" t="e">
        <f aca="false">VLOOKUP(CF$1+1000*$A19,MASTER6!$A$2:$D$8001,4,FALSE())</f>
        <v>#N/A</v>
      </c>
      <c r="CG19" s="0" t="e">
        <f aca="false">VLOOKUP(CG$1+1000*$A19,MASTER6!$A$2:$D$8001,4,FALSE())</f>
        <v>#N/A</v>
      </c>
      <c r="CH19" s="0" t="n">
        <f aca="false">VLOOKUP(CH$1+1000*$A19,MASTER6!$A$2:$D$8001,4,FALSE())</f>
        <v>340483</v>
      </c>
      <c r="CI19" s="0" t="n">
        <f aca="false">VLOOKUP(CI$1+1000*$A19,MASTER6!$A$2:$D$8001,4,FALSE())</f>
        <v>351</v>
      </c>
      <c r="CJ19" s="0" t="e">
        <f aca="false">VLOOKUP(CJ$1+1000*$A19,MASTER6!$A$2:$D$8001,4,FALSE())</f>
        <v>#N/A</v>
      </c>
    </row>
    <row r="20" customFormat="false" ht="12.75" hidden="false" customHeight="false" outlineLevel="0" collapsed="false">
      <c r="A20" s="0" t="n">
        <v>19</v>
      </c>
      <c r="B20" s="0" t="n">
        <f aca="false">VLOOKUP(B$1+1000*$A20,MASTER6!$A$2:$D$8001,4,FALSE())</f>
        <v>143</v>
      </c>
      <c r="C20" s="0" t="n">
        <f aca="false">VLOOKUP(C$1+1000*$A20,MASTER6!$A$2:$D$8001,4,FALSE())</f>
        <v>78</v>
      </c>
      <c r="D20" s="0" t="n">
        <f aca="false">VLOOKUP(D$1+1000*$A20,MASTER6!$A$2:$D$8001,4,FALSE())</f>
        <v>156</v>
      </c>
      <c r="E20" s="0" t="n">
        <f aca="false">VLOOKUP(E$1+1000*$A20,MASTER6!$A$2:$D$8001,4,FALSE())</f>
        <v>182</v>
      </c>
      <c r="F20" s="0" t="n">
        <f aca="false">VLOOKUP(F$1+1000*$A20,MASTER6!$A$2:$D$8001,4,FALSE())</f>
        <v>0</v>
      </c>
      <c r="G20" s="0" t="n">
        <f aca="false">VLOOKUP(G$1+1000*$A20,MASTER6!$A$2:$D$8001,4,FALSE())</f>
        <v>0</v>
      </c>
      <c r="H20" s="0" t="n">
        <f aca="false">VLOOKUP(H$1+1000*$A20,MASTER6!$A$2:$D$8001,4,FALSE())</f>
        <v>78</v>
      </c>
      <c r="I20" s="0" t="n">
        <f aca="false">VLOOKUP(I$1+1000*$A20,MASTER6!$A$2:$D$8001,4,FALSE())</f>
        <v>0</v>
      </c>
      <c r="J20" s="0" t="n">
        <f aca="false">VLOOKUP(J$1+1000*$A20,MASTER6!$A$2:$D$8001,4,FALSE())</f>
        <v>130</v>
      </c>
      <c r="K20" s="0" t="n">
        <f aca="false">VLOOKUP(K$1+1000*$A20,MASTER6!$A$2:$D$8001,4,FALSE())</f>
        <v>0</v>
      </c>
      <c r="L20" s="0" t="n">
        <f aca="false">VLOOKUP(L$1+1000*$A20,MASTER6!$A$2:$D$8001,4,FALSE())</f>
        <v>117</v>
      </c>
      <c r="M20" s="0" t="n">
        <f aca="false">VLOOKUP(M$1+1000*$A20,MASTER6!$A$2:$D$8001,4,FALSE())</f>
        <v>0</v>
      </c>
      <c r="N20" s="0" t="n">
        <f aca="false">VLOOKUP(N$1+1000*$A20,MASTER6!$A$2:$D$8001,4,FALSE())</f>
        <v>143</v>
      </c>
      <c r="O20" s="0" t="n">
        <f aca="false">VLOOKUP(O$1+1000*$A20,MASTER6!$A$2:$D$8001,4,FALSE())</f>
        <v>494</v>
      </c>
      <c r="P20" s="0" t="n">
        <f aca="false">VLOOKUP(P$1+1000*$A20,MASTER6!$A$2:$D$8001,4,FALSE())</f>
        <v>4095</v>
      </c>
      <c r="Q20" s="0" t="n">
        <f aca="false">VLOOKUP(Q$1+1000*$A20,MASTER6!$A$2:$D$8001,4,FALSE())</f>
        <v>143</v>
      </c>
      <c r="R20" s="0" t="n">
        <f aca="false">VLOOKUP(R$1+1000*$A20,MASTER6!$A$2:$D$8001,4,FALSE())</f>
        <v>975</v>
      </c>
      <c r="S20" s="0" t="n">
        <f aca="false">VLOOKUP(S$1+1000*$A20,MASTER6!$A$2:$D$8001,4,FALSE())</f>
        <v>5174</v>
      </c>
      <c r="T20" s="0" t="n">
        <f aca="false">VLOOKUP(T$1+1000*$A20,MASTER6!$A$2:$D$8001,4,FALSE())</f>
        <v>313768</v>
      </c>
      <c r="U20" s="0" t="n">
        <f aca="false">VLOOKUP(U$1+1000*$A20,MASTER6!$A$2:$D$8001,4,FALSE())</f>
        <v>5512</v>
      </c>
      <c r="V20" s="0" t="n">
        <f aca="false">VLOOKUP(V$1+1000*$A20,MASTER6!$A$2:$D$8001,4,FALSE())</f>
        <v>14248</v>
      </c>
      <c r="W20" s="0" t="n">
        <f aca="false">VLOOKUP(W$1+1000*$A20,MASTER6!$A$2:$D$8001,4,FALSE())</f>
        <v>29393</v>
      </c>
      <c r="X20" s="0" t="n">
        <f aca="false">VLOOKUP(X$1+1000*$A20,MASTER6!$A$2:$D$8001,4,FALSE())</f>
        <v>117</v>
      </c>
      <c r="Y20" s="0" t="n">
        <f aca="false">VLOOKUP(Y$1+1000*$A20,MASTER6!$A$2:$D$8001,4,FALSE())</f>
        <v>91</v>
      </c>
      <c r="Z20" s="0" t="n">
        <f aca="false">VLOOKUP(Z$1+1000*$A20,MASTER6!$A$2:$D$8001,4,FALSE())</f>
        <v>143</v>
      </c>
      <c r="AA20" s="0" t="n">
        <f aca="false">VLOOKUP(AA$1+1000*$A20,MASTER6!$A$2:$D$8001,4,FALSE())</f>
        <v>0</v>
      </c>
      <c r="AB20" s="0" t="n">
        <f aca="false">VLOOKUP(AB$1+1000*$A20,MASTER6!$A$2:$D$8001,4,FALSE())</f>
        <v>0</v>
      </c>
      <c r="AC20" s="0" t="n">
        <f aca="false">VLOOKUP(AC$1+1000*$A20,MASTER6!$A$2:$D$8001,4,FALSE())</f>
        <v>104</v>
      </c>
      <c r="AD20" s="0" t="n">
        <f aca="false">VLOOKUP(AD$1+1000*$A20,MASTER6!$A$2:$D$8001,4,FALSE())</f>
        <v>0</v>
      </c>
      <c r="AE20" s="0" t="n">
        <f aca="false">VLOOKUP(AE$1+1000*$A20,MASTER6!$A$2:$D$8001,4,FALSE())</f>
        <v>0</v>
      </c>
      <c r="AF20" s="0" t="n">
        <f aca="false">VLOOKUP(AF$1+1000*$A20,MASTER6!$A$2:$D$8001,4,FALSE())</f>
        <v>0</v>
      </c>
      <c r="AG20" s="0" t="n">
        <f aca="false">VLOOKUP(AG$1+1000*$A20,MASTER6!$A$2:$D$8001,4,FALSE())</f>
        <v>104</v>
      </c>
      <c r="AH20" s="0" t="n">
        <f aca="false">VLOOKUP(AH$1+1000*$A20,MASTER6!$A$2:$D$8001,4,FALSE())</f>
        <v>0</v>
      </c>
      <c r="AI20" s="0" t="n">
        <f aca="false">VLOOKUP(AI$1+1000*$A20,MASTER6!$A$2:$D$8001,4,FALSE())</f>
        <v>0</v>
      </c>
      <c r="AJ20" s="0" t="n">
        <f aca="false">VLOOKUP(AJ$1+1000*$A20,MASTER6!$A$2:$D$8001,4,FALSE())</f>
        <v>0</v>
      </c>
      <c r="AK20" s="0" t="e">
        <f aca="false">VLOOKUP(AK$1+1000*$A20,MASTER6!$A$2:$D$8001,4,FALSE())</f>
        <v>#N/A</v>
      </c>
      <c r="AL20" s="0" t="n">
        <f aca="false">VLOOKUP(AL$1+1000*$A20,MASTER6!$A$2:$D$8001,4,FALSE())</f>
        <v>104</v>
      </c>
      <c r="AM20" s="0" t="n">
        <f aca="false">VLOOKUP(AM$1+1000*$A20,MASTER6!$A$2:$D$8001,4,FALSE())</f>
        <v>143</v>
      </c>
      <c r="AN20" s="0" t="n">
        <f aca="false">VLOOKUP(AN$1+1000*$A20,MASTER6!$A$2:$D$8001,4,FALSE())</f>
        <v>104</v>
      </c>
      <c r="AO20" s="0" t="n">
        <f aca="false">VLOOKUP(AO$1+1000*$A20,MASTER6!$A$2:$D$8001,4,FALSE())</f>
        <v>0</v>
      </c>
      <c r="AP20" s="0" t="n">
        <f aca="false">VLOOKUP(AP$1+1000*$A20,MASTER6!$A$2:$D$8001,4,FALSE())</f>
        <v>0</v>
      </c>
      <c r="AQ20" s="0" t="n">
        <f aca="false">VLOOKUP(AQ$1+1000*$A20,MASTER6!$A$2:$D$8001,4,FALSE())</f>
        <v>0</v>
      </c>
      <c r="AR20" s="0" t="e">
        <f aca="false">VLOOKUP(AR$1+1000*$A20,MASTER6!$A$2:$D$8001,4,FALSE())</f>
        <v>#N/A</v>
      </c>
      <c r="AS20" s="0" t="e">
        <f aca="false">VLOOKUP(AS$1+1000*$A20,MASTER6!$A$2:$D$8001,4,FALSE())</f>
        <v>#N/A</v>
      </c>
      <c r="AT20" s="0" t="e">
        <f aca="false">VLOOKUP(AT$1+1000*$A20,MASTER6!$A$2:$D$8001,4,FALSE())</f>
        <v>#N/A</v>
      </c>
      <c r="AU20" s="0" t="e">
        <f aca="false">VLOOKUP(AU$1+1000*$A20,MASTER6!$A$2:$D$8001,4,FALSE())</f>
        <v>#N/A</v>
      </c>
      <c r="AV20" s="0" t="e">
        <f aca="false">VLOOKUP(AV$1+1000*$A20,MASTER6!$A$2:$D$8001,4,FALSE())</f>
        <v>#N/A</v>
      </c>
      <c r="AW20" s="0" t="n">
        <f aca="false">VLOOKUP(AW$1+1000*$A20,MASTER6!$A$2:$D$8001,4,FALSE())</f>
        <v>0</v>
      </c>
      <c r="AX20" s="0" t="n">
        <f aca="false">VLOOKUP(AX$1+1000*$A20,MASTER6!$A$2:$D$8001,4,FALSE())</f>
        <v>6214</v>
      </c>
      <c r="AY20" s="0" t="n">
        <f aca="false">VLOOKUP(AY$1+1000*$A20,MASTER6!$A$2:$D$8001,4,FALSE())</f>
        <v>975</v>
      </c>
      <c r="AZ20" s="0" t="n">
        <f aca="false">VLOOKUP(AZ$1+1000*$A20,MASTER6!$A$2:$D$8001,4,FALSE())</f>
        <v>1170</v>
      </c>
      <c r="BA20" s="0" t="n">
        <f aca="false">VLOOKUP(BA$1+1000*$A20,MASTER6!$A$2:$D$8001,4,FALSE())</f>
        <v>0</v>
      </c>
      <c r="BB20" s="0" t="n">
        <f aca="false">VLOOKUP(BB$1+1000*$A20,MASTER6!$A$2:$D$8001,4,FALSE())</f>
        <v>0</v>
      </c>
      <c r="BC20" s="0" t="e">
        <f aca="false">VLOOKUP(BC$1+1000*$A20,MASTER6!$A$2:$D$8001,4,FALSE())</f>
        <v>#N/A</v>
      </c>
      <c r="BD20" s="0" t="n">
        <f aca="false">VLOOKUP(BD$1+1000*$A20,MASTER6!$A$2:$D$8001,4,FALSE())</f>
        <v>91</v>
      </c>
      <c r="BE20" s="0" t="e">
        <f aca="false">VLOOKUP(BE$1+1000*$A20,MASTER6!$A$2:$D$8001,4,FALSE())</f>
        <v>#N/A</v>
      </c>
      <c r="BF20" s="0" t="n">
        <f aca="false">VLOOKUP(BF$1+1000*$A20,MASTER6!$A$2:$D$8001,4,FALSE())</f>
        <v>0</v>
      </c>
      <c r="BG20" s="0" t="e">
        <f aca="false">VLOOKUP(BG$1+1000*$A20,MASTER6!$A$2:$D$8001,4,FALSE())</f>
        <v>#N/A</v>
      </c>
      <c r="BH20" s="0" t="e">
        <f aca="false">VLOOKUP(BH$1+1000*$A20,MASTER6!$A$2:$D$8001,4,FALSE())</f>
        <v>#N/A</v>
      </c>
      <c r="BI20" s="0" t="n">
        <f aca="false">VLOOKUP(BI$1+1000*$A20,MASTER6!$A$2:$D$8001,4,FALSE())</f>
        <v>0</v>
      </c>
      <c r="BJ20" s="0" t="e">
        <f aca="false">VLOOKUP(BJ$1+1000*$A20,MASTER6!$A$2:$D$8001,4,FALSE())</f>
        <v>#N/A</v>
      </c>
      <c r="BK20" s="0" t="n">
        <f aca="false">VLOOKUP(BK$1+1000*$A20,MASTER6!$A$2:$D$8001,4,FALSE())</f>
        <v>182</v>
      </c>
      <c r="BL20" s="0" t="e">
        <f aca="false">VLOOKUP(BL$1+1000*$A20,MASTER6!$A$2:$D$8001,4,FALSE())</f>
        <v>#N/A</v>
      </c>
      <c r="BM20" s="0" t="n">
        <f aca="false">VLOOKUP(BM$1+1000*$A20,MASTER6!$A$2:$D$8001,4,FALSE())</f>
        <v>91</v>
      </c>
      <c r="BN20" s="0" t="n">
        <f aca="false">VLOOKUP(BN$1+1000*$A20,MASTER6!$A$2:$D$8001,4,FALSE())</f>
        <v>273</v>
      </c>
      <c r="BO20" s="0" t="n">
        <f aca="false">VLOOKUP(BO$1+1000*$A20,MASTER6!$A$2:$D$8001,4,FALSE())</f>
        <v>130</v>
      </c>
      <c r="BP20" s="0" t="n">
        <f aca="false">VLOOKUP(BP$1+1000*$A20,MASTER6!$A$2:$D$8001,4,FALSE())</f>
        <v>0</v>
      </c>
      <c r="BQ20" s="0" t="e">
        <f aca="false">VLOOKUP(BQ$1+1000*$A20,MASTER6!$A$2:$D$8001,4,FALSE())</f>
        <v>#N/A</v>
      </c>
      <c r="BR20" s="0" t="n">
        <f aca="false">VLOOKUP(BR$1+1000*$A20,MASTER6!$A$2:$D$8001,4,FALSE())</f>
        <v>0</v>
      </c>
      <c r="BS20" s="0" t="e">
        <f aca="false">VLOOKUP(BS$1+1000*$A20,MASTER6!$A$2:$D$8001,4,FALSE())</f>
        <v>#N/A</v>
      </c>
      <c r="BT20" s="0" t="n">
        <f aca="false">VLOOKUP(BT$1+1000*$A20,MASTER6!$A$2:$D$8001,4,FALSE())</f>
        <v>0</v>
      </c>
      <c r="BU20" s="0" t="n">
        <f aca="false">VLOOKUP(BU$1+1000*$A20,MASTER6!$A$2:$D$8001,4,FALSE())</f>
        <v>0</v>
      </c>
      <c r="BV20" s="0" t="n">
        <f aca="false">VLOOKUP(BV$1+1000*$A20,MASTER6!$A$2:$D$8001,4,FALSE())</f>
        <v>299</v>
      </c>
      <c r="BW20" s="0" t="e">
        <f aca="false">VLOOKUP(BW$1+1000*$A20,MASTER6!$A$2:$D$8001,4,FALSE())</f>
        <v>#N/A</v>
      </c>
      <c r="BX20" s="0" t="n">
        <f aca="false">VLOOKUP(BX$1+1000*$A20,MASTER6!$A$2:$D$8001,4,FALSE())</f>
        <v>0</v>
      </c>
      <c r="BY20" s="0" t="n">
        <f aca="false">VLOOKUP(BY$1+1000*$A20,MASTER6!$A$2:$D$8001,4,FALSE())</f>
        <v>299</v>
      </c>
      <c r="BZ20" s="0" t="e">
        <f aca="false">VLOOKUP(BZ$1+1000*$A20,MASTER6!$A$2:$D$8001,4,FALSE())</f>
        <v>#N/A</v>
      </c>
      <c r="CA20" s="0" t="e">
        <f aca="false">VLOOKUP(CA$1+1000*$A20,MASTER6!$A$2:$D$8001,4,FALSE())</f>
        <v>#N/A</v>
      </c>
      <c r="CB20" s="0" t="n">
        <f aca="false">VLOOKUP(CB$1+1000*$A20,MASTER6!$A$2:$D$8001,4,FALSE())</f>
        <v>0</v>
      </c>
      <c r="CC20" s="0" t="n">
        <f aca="false">VLOOKUP(CC$1+1000*$A20,MASTER6!$A$2:$D$8001,4,FALSE())</f>
        <v>0</v>
      </c>
      <c r="CD20" s="0" t="e">
        <f aca="false">VLOOKUP(CD$1+1000*$A20,MASTER6!$A$2:$D$8001,4,FALSE())</f>
        <v>#N/A</v>
      </c>
      <c r="CE20" s="0" t="n">
        <f aca="false">VLOOKUP(CE$1+1000*$A20,MASTER6!$A$2:$D$8001,4,FALSE())</f>
        <v>117</v>
      </c>
      <c r="CF20" s="0" t="e">
        <f aca="false">VLOOKUP(CF$1+1000*$A20,MASTER6!$A$2:$D$8001,4,FALSE())</f>
        <v>#N/A</v>
      </c>
      <c r="CG20" s="0" t="e">
        <f aca="false">VLOOKUP(CG$1+1000*$A20,MASTER6!$A$2:$D$8001,4,FALSE())</f>
        <v>#N/A</v>
      </c>
      <c r="CH20" s="0" t="n">
        <f aca="false">VLOOKUP(CH$1+1000*$A20,MASTER6!$A$2:$D$8001,4,FALSE())</f>
        <v>347230</v>
      </c>
      <c r="CI20" s="0" t="n">
        <f aca="false">VLOOKUP(CI$1+1000*$A20,MASTER6!$A$2:$D$8001,4,FALSE())</f>
        <v>351</v>
      </c>
      <c r="CJ20" s="0" t="e">
        <f aca="false">VLOOKUP(CJ$1+1000*$A20,MASTER6!$A$2:$D$8001,4,FALSE())</f>
        <v>#N/A</v>
      </c>
    </row>
    <row r="21" customFormat="false" ht="12.75" hidden="false" customHeight="false" outlineLevel="0" collapsed="false">
      <c r="A21" s="0" t="n">
        <v>20</v>
      </c>
      <c r="B21" s="0" t="n">
        <f aca="false">VLOOKUP(B$1+1000*$A21,MASTER6!$A$2:$D$8001,4,FALSE())</f>
        <v>0</v>
      </c>
      <c r="C21" s="0" t="n">
        <f aca="false">VLOOKUP(C$1+1000*$A21,MASTER6!$A$2:$D$8001,4,FALSE())</f>
        <v>0</v>
      </c>
      <c r="D21" s="0" t="n">
        <f aca="false">VLOOKUP(D$1+1000*$A21,MASTER6!$A$2:$D$8001,4,FALSE())</f>
        <v>0</v>
      </c>
      <c r="E21" s="0" t="n">
        <f aca="false">VLOOKUP(E$1+1000*$A21,MASTER6!$A$2:$D$8001,4,FALSE())</f>
        <v>0</v>
      </c>
      <c r="F21" s="0" t="n">
        <f aca="false">VLOOKUP(F$1+1000*$A21,MASTER6!$A$2:$D$8001,4,FALSE())</f>
        <v>0</v>
      </c>
      <c r="G21" s="0" t="n">
        <f aca="false">VLOOKUP(G$1+1000*$A21,MASTER6!$A$2:$D$8001,4,FALSE())</f>
        <v>78</v>
      </c>
      <c r="H21" s="0" t="n">
        <f aca="false">VLOOKUP(H$1+1000*$A21,MASTER6!$A$2:$D$8001,4,FALSE())</f>
        <v>0</v>
      </c>
      <c r="I21" s="0" t="n">
        <f aca="false">VLOOKUP(I$1+1000*$A21,MASTER6!$A$2:$D$8001,4,FALSE())</f>
        <v>0</v>
      </c>
      <c r="J21" s="0" t="n">
        <f aca="false">VLOOKUP(J$1+1000*$A21,MASTER6!$A$2:$D$8001,4,FALSE())</f>
        <v>78</v>
      </c>
      <c r="K21" s="0" t="n">
        <f aca="false">VLOOKUP(K$1+1000*$A21,MASTER6!$A$2:$D$8001,4,FALSE())</f>
        <v>91</v>
      </c>
      <c r="L21" s="0" t="n">
        <f aca="false">VLOOKUP(L$1+1000*$A21,MASTER6!$A$2:$D$8001,4,FALSE())</f>
        <v>0</v>
      </c>
      <c r="M21" s="0" t="n">
        <f aca="false">VLOOKUP(M$1+1000*$A21,MASTER6!$A$2:$D$8001,4,FALSE())</f>
        <v>0</v>
      </c>
      <c r="N21" s="0" t="n">
        <f aca="false">VLOOKUP(N$1+1000*$A21,MASTER6!$A$2:$D$8001,4,FALSE())</f>
        <v>130</v>
      </c>
      <c r="O21" s="0" t="n">
        <f aca="false">VLOOKUP(O$1+1000*$A21,MASTER6!$A$2:$D$8001,4,FALSE())</f>
        <v>247</v>
      </c>
      <c r="P21" s="0" t="n">
        <f aca="false">VLOOKUP(P$1+1000*$A21,MASTER6!$A$2:$D$8001,4,FALSE())</f>
        <v>559</v>
      </c>
      <c r="Q21" s="0" t="n">
        <f aca="false">VLOOKUP(Q$1+1000*$A21,MASTER6!$A$2:$D$8001,4,FALSE())</f>
        <v>0</v>
      </c>
      <c r="R21" s="0" t="n">
        <f aca="false">VLOOKUP(R$1+1000*$A21,MASTER6!$A$2:$D$8001,4,FALSE())</f>
        <v>2574</v>
      </c>
      <c r="S21" s="0" t="n">
        <f aca="false">VLOOKUP(S$1+1000*$A21,MASTER6!$A$2:$D$8001,4,FALSE())</f>
        <v>3705</v>
      </c>
      <c r="T21" s="0" t="n">
        <f aca="false">VLOOKUP(T$1+1000*$A21,MASTER6!$A$2:$D$8001,4,FALSE())</f>
        <v>7085</v>
      </c>
      <c r="U21" s="0" t="n">
        <f aca="false">VLOOKUP(U$1+1000*$A21,MASTER6!$A$2:$D$8001,4,FALSE())</f>
        <v>36374</v>
      </c>
      <c r="V21" s="0" t="n">
        <f aca="false">VLOOKUP(V$1+1000*$A21,MASTER6!$A$2:$D$8001,4,FALSE())</f>
        <v>13780</v>
      </c>
      <c r="W21" s="0" t="n">
        <f aca="false">VLOOKUP(W$1+1000*$A21,MASTER6!$A$2:$D$8001,4,FALSE())</f>
        <v>1014</v>
      </c>
      <c r="X21" s="0" t="n">
        <f aca="false">VLOOKUP(X$1+1000*$A21,MASTER6!$A$2:$D$8001,4,FALSE())</f>
        <v>0</v>
      </c>
      <c r="Y21" s="0" t="n">
        <f aca="false">VLOOKUP(Y$1+1000*$A21,MASTER6!$A$2:$D$8001,4,FALSE())</f>
        <v>0</v>
      </c>
      <c r="Z21" s="0" t="n">
        <f aca="false">VLOOKUP(Z$1+1000*$A21,MASTER6!$A$2:$D$8001,4,FALSE())</f>
        <v>0</v>
      </c>
      <c r="AA21" s="0" t="n">
        <f aca="false">VLOOKUP(AA$1+1000*$A21,MASTER6!$A$2:$D$8001,4,FALSE())</f>
        <v>0</v>
      </c>
      <c r="AB21" s="0" t="n">
        <f aca="false">VLOOKUP(AB$1+1000*$A21,MASTER6!$A$2:$D$8001,4,FALSE())</f>
        <v>0</v>
      </c>
      <c r="AC21" s="0" t="n">
        <f aca="false">VLOOKUP(AC$1+1000*$A21,MASTER6!$A$2:$D$8001,4,FALSE())</f>
        <v>0</v>
      </c>
      <c r="AD21" s="0" t="n">
        <f aca="false">VLOOKUP(AD$1+1000*$A21,MASTER6!$A$2:$D$8001,4,FALSE())</f>
        <v>0</v>
      </c>
      <c r="AE21" s="0" t="n">
        <f aca="false">VLOOKUP(AE$1+1000*$A21,MASTER6!$A$2:$D$8001,4,FALSE())</f>
        <v>0</v>
      </c>
      <c r="AF21" s="0" t="n">
        <f aca="false">VLOOKUP(AF$1+1000*$A21,MASTER6!$A$2:$D$8001,4,FALSE())</f>
        <v>0</v>
      </c>
      <c r="AG21" s="0" t="n">
        <f aca="false">VLOOKUP(AG$1+1000*$A21,MASTER6!$A$2:$D$8001,4,FALSE())</f>
        <v>0</v>
      </c>
      <c r="AH21" s="0" t="n">
        <f aca="false">VLOOKUP(AH$1+1000*$A21,MASTER6!$A$2:$D$8001,4,FALSE())</f>
        <v>0</v>
      </c>
      <c r="AI21" s="0" t="n">
        <f aca="false">VLOOKUP(AI$1+1000*$A21,MASTER6!$A$2:$D$8001,4,FALSE())</f>
        <v>0</v>
      </c>
      <c r="AJ21" s="0" t="n">
        <f aca="false">VLOOKUP(AJ$1+1000*$A21,MASTER6!$A$2:$D$8001,4,FALSE())</f>
        <v>0</v>
      </c>
      <c r="AK21" s="0" t="e">
        <f aca="false">VLOOKUP(AK$1+1000*$A21,MASTER6!$A$2:$D$8001,4,FALSE())</f>
        <v>#N/A</v>
      </c>
      <c r="AL21" s="0" t="n">
        <f aca="false">VLOOKUP(AL$1+1000*$A21,MASTER6!$A$2:$D$8001,4,FALSE())</f>
        <v>0</v>
      </c>
      <c r="AM21" s="0" t="n">
        <f aca="false">VLOOKUP(AM$1+1000*$A21,MASTER6!$A$2:$D$8001,4,FALSE())</f>
        <v>0</v>
      </c>
      <c r="AN21" s="0" t="n">
        <f aca="false">VLOOKUP(AN$1+1000*$A21,MASTER6!$A$2:$D$8001,4,FALSE())</f>
        <v>0</v>
      </c>
      <c r="AO21" s="0" t="n">
        <f aca="false">VLOOKUP(AO$1+1000*$A21,MASTER6!$A$2:$D$8001,4,FALSE())</f>
        <v>0</v>
      </c>
      <c r="AP21" s="0" t="n">
        <f aca="false">VLOOKUP(AP$1+1000*$A21,MASTER6!$A$2:$D$8001,4,FALSE())</f>
        <v>0</v>
      </c>
      <c r="AQ21" s="0" t="n">
        <f aca="false">VLOOKUP(AQ$1+1000*$A21,MASTER6!$A$2:$D$8001,4,FALSE())</f>
        <v>0</v>
      </c>
      <c r="AR21" s="0" t="e">
        <f aca="false">VLOOKUP(AR$1+1000*$A21,MASTER6!$A$2:$D$8001,4,FALSE())</f>
        <v>#N/A</v>
      </c>
      <c r="AS21" s="0" t="e">
        <f aca="false">VLOOKUP(AS$1+1000*$A21,MASTER6!$A$2:$D$8001,4,FALSE())</f>
        <v>#N/A</v>
      </c>
      <c r="AT21" s="0" t="e">
        <f aca="false">VLOOKUP(AT$1+1000*$A21,MASTER6!$A$2:$D$8001,4,FALSE())</f>
        <v>#N/A</v>
      </c>
      <c r="AU21" s="0" t="e">
        <f aca="false">VLOOKUP(AU$1+1000*$A21,MASTER6!$A$2:$D$8001,4,FALSE())</f>
        <v>#N/A</v>
      </c>
      <c r="AV21" s="0" t="e">
        <f aca="false">VLOOKUP(AV$1+1000*$A21,MASTER6!$A$2:$D$8001,4,FALSE())</f>
        <v>#N/A</v>
      </c>
      <c r="AW21" s="0" t="n">
        <f aca="false">VLOOKUP(AW$1+1000*$A21,MASTER6!$A$2:$D$8001,4,FALSE())</f>
        <v>0</v>
      </c>
      <c r="AX21" s="0" t="n">
        <f aca="false">VLOOKUP(AX$1+1000*$A21,MASTER6!$A$2:$D$8001,4,FALSE())</f>
        <v>390</v>
      </c>
      <c r="AY21" s="0" t="n">
        <f aca="false">VLOOKUP(AY$1+1000*$A21,MASTER6!$A$2:$D$8001,4,FALSE())</f>
        <v>0</v>
      </c>
      <c r="AZ21" s="0" t="n">
        <f aca="false">VLOOKUP(AZ$1+1000*$A21,MASTER6!$A$2:$D$8001,4,FALSE())</f>
        <v>377</v>
      </c>
      <c r="BA21" s="0" t="n">
        <f aca="false">VLOOKUP(BA$1+1000*$A21,MASTER6!$A$2:$D$8001,4,FALSE())</f>
        <v>65</v>
      </c>
      <c r="BB21" s="0" t="n">
        <f aca="false">VLOOKUP(BB$1+1000*$A21,MASTER6!$A$2:$D$8001,4,FALSE())</f>
        <v>0</v>
      </c>
      <c r="BC21" s="0" t="e">
        <f aca="false">VLOOKUP(BC$1+1000*$A21,MASTER6!$A$2:$D$8001,4,FALSE())</f>
        <v>#N/A</v>
      </c>
      <c r="BD21" s="0" t="n">
        <f aca="false">VLOOKUP(BD$1+1000*$A21,MASTER6!$A$2:$D$8001,4,FALSE())</f>
        <v>0</v>
      </c>
      <c r="BE21" s="0" t="e">
        <f aca="false">VLOOKUP(BE$1+1000*$A21,MASTER6!$A$2:$D$8001,4,FALSE())</f>
        <v>#N/A</v>
      </c>
      <c r="BF21" s="0" t="n">
        <f aca="false">VLOOKUP(BF$1+1000*$A21,MASTER6!$A$2:$D$8001,4,FALSE())</f>
        <v>0</v>
      </c>
      <c r="BG21" s="0" t="e">
        <f aca="false">VLOOKUP(BG$1+1000*$A21,MASTER6!$A$2:$D$8001,4,FALSE())</f>
        <v>#N/A</v>
      </c>
      <c r="BH21" s="0" t="e">
        <f aca="false">VLOOKUP(BH$1+1000*$A21,MASTER6!$A$2:$D$8001,4,FALSE())</f>
        <v>#N/A</v>
      </c>
      <c r="BI21" s="0" t="n">
        <f aca="false">VLOOKUP(BI$1+1000*$A21,MASTER6!$A$2:$D$8001,4,FALSE())</f>
        <v>0</v>
      </c>
      <c r="BJ21" s="0" t="e">
        <f aca="false">VLOOKUP(BJ$1+1000*$A21,MASTER6!$A$2:$D$8001,4,FALSE())</f>
        <v>#N/A</v>
      </c>
      <c r="BK21" s="0" t="n">
        <f aca="false">VLOOKUP(BK$1+1000*$A21,MASTER6!$A$2:$D$8001,4,FALSE())</f>
        <v>0</v>
      </c>
      <c r="BL21" s="0" t="e">
        <f aca="false">VLOOKUP(BL$1+1000*$A21,MASTER6!$A$2:$D$8001,4,FALSE())</f>
        <v>#N/A</v>
      </c>
      <c r="BM21" s="0" t="n">
        <f aca="false">VLOOKUP(BM$1+1000*$A21,MASTER6!$A$2:$D$8001,4,FALSE())</f>
        <v>78</v>
      </c>
      <c r="BN21" s="0" t="n">
        <f aca="false">VLOOKUP(BN$1+1000*$A21,MASTER6!$A$2:$D$8001,4,FALSE())</f>
        <v>143</v>
      </c>
      <c r="BO21" s="0" t="n">
        <f aca="false">VLOOKUP(BO$1+1000*$A21,MASTER6!$A$2:$D$8001,4,FALSE())</f>
        <v>0</v>
      </c>
      <c r="BP21" s="0" t="n">
        <f aca="false">VLOOKUP(BP$1+1000*$A21,MASTER6!$A$2:$D$8001,4,FALSE())</f>
        <v>0</v>
      </c>
      <c r="BQ21" s="0" t="e">
        <f aca="false">VLOOKUP(BQ$1+1000*$A21,MASTER6!$A$2:$D$8001,4,FALSE())</f>
        <v>#N/A</v>
      </c>
      <c r="BR21" s="0" t="n">
        <f aca="false">VLOOKUP(BR$1+1000*$A21,MASTER6!$A$2:$D$8001,4,FALSE())</f>
        <v>0</v>
      </c>
      <c r="BS21" s="0" t="e">
        <f aca="false">VLOOKUP(BS$1+1000*$A21,MASTER6!$A$2:$D$8001,4,FALSE())</f>
        <v>#N/A</v>
      </c>
      <c r="BT21" s="0" t="n">
        <f aca="false">VLOOKUP(BT$1+1000*$A21,MASTER6!$A$2:$D$8001,4,FALSE())</f>
        <v>0</v>
      </c>
      <c r="BU21" s="0" t="n">
        <f aca="false">VLOOKUP(BU$1+1000*$A21,MASTER6!$A$2:$D$8001,4,FALSE())</f>
        <v>0</v>
      </c>
      <c r="BV21" s="0" t="n">
        <f aca="false">VLOOKUP(BV$1+1000*$A21,MASTER6!$A$2:$D$8001,4,FALSE())</f>
        <v>117</v>
      </c>
      <c r="BW21" s="0" t="e">
        <f aca="false">VLOOKUP(BW$1+1000*$A21,MASTER6!$A$2:$D$8001,4,FALSE())</f>
        <v>#N/A</v>
      </c>
      <c r="BX21" s="0" t="n">
        <f aca="false">VLOOKUP(BX$1+1000*$A21,MASTER6!$A$2:$D$8001,4,FALSE())</f>
        <v>0</v>
      </c>
      <c r="BY21" s="0" t="n">
        <f aca="false">VLOOKUP(BY$1+1000*$A21,MASTER6!$A$2:$D$8001,4,FALSE())</f>
        <v>0</v>
      </c>
      <c r="BZ21" s="0" t="e">
        <f aca="false">VLOOKUP(BZ$1+1000*$A21,MASTER6!$A$2:$D$8001,4,FALSE())</f>
        <v>#N/A</v>
      </c>
      <c r="CA21" s="0" t="e">
        <f aca="false">VLOOKUP(CA$1+1000*$A21,MASTER6!$A$2:$D$8001,4,FALSE())</f>
        <v>#N/A</v>
      </c>
      <c r="CB21" s="0" t="n">
        <f aca="false">VLOOKUP(CB$1+1000*$A21,MASTER6!$A$2:$D$8001,4,FALSE())</f>
        <v>0</v>
      </c>
      <c r="CC21" s="0" t="n">
        <f aca="false">VLOOKUP(CC$1+1000*$A21,MASTER6!$A$2:$D$8001,4,FALSE())</f>
        <v>0</v>
      </c>
      <c r="CD21" s="0" t="e">
        <f aca="false">VLOOKUP(CD$1+1000*$A21,MASTER6!$A$2:$D$8001,4,FALSE())</f>
        <v>#N/A</v>
      </c>
      <c r="CE21" s="0" t="n">
        <f aca="false">VLOOKUP(CE$1+1000*$A21,MASTER6!$A$2:$D$8001,4,FALSE())</f>
        <v>0</v>
      </c>
      <c r="CF21" s="0" t="e">
        <f aca="false">VLOOKUP(CF$1+1000*$A21,MASTER6!$A$2:$D$8001,4,FALSE())</f>
        <v>#N/A</v>
      </c>
      <c r="CG21" s="0" t="e">
        <f aca="false">VLOOKUP(CG$1+1000*$A21,MASTER6!$A$2:$D$8001,4,FALSE())</f>
        <v>#N/A</v>
      </c>
      <c r="CH21" s="0" t="n">
        <f aca="false">VLOOKUP(CH$1+1000*$A21,MASTER6!$A$2:$D$8001,4,FALSE())</f>
        <v>56017</v>
      </c>
      <c r="CI21" s="0" t="n">
        <f aca="false">VLOOKUP(CI$1+1000*$A21,MASTER6!$A$2:$D$8001,4,FALSE())</f>
        <v>0</v>
      </c>
      <c r="CJ21" s="0" t="e">
        <f aca="false">VLOOKUP(CJ$1+1000*$A21,MASTER6!$A$2:$D$8001,4,FALSE())</f>
        <v>#N/A</v>
      </c>
    </row>
    <row r="22" customFormat="false" ht="12.75" hidden="false" customHeight="false" outlineLevel="0" collapsed="false">
      <c r="A22" s="0" t="n">
        <v>21</v>
      </c>
      <c r="B22" s="0" t="n">
        <f aca="false">VLOOKUP(B$1+1000*$A22,MASTER6!$A$2:$D$8001,4,FALSE())</f>
        <v>91</v>
      </c>
      <c r="C22" s="0" t="n">
        <f aca="false">VLOOKUP(C$1+1000*$A22,MASTER6!$A$2:$D$8001,4,FALSE())</f>
        <v>0</v>
      </c>
      <c r="D22" s="0" t="n">
        <f aca="false">VLOOKUP(D$1+1000*$A22,MASTER6!$A$2:$D$8001,4,FALSE())</f>
        <v>130</v>
      </c>
      <c r="E22" s="0" t="n">
        <f aca="false">VLOOKUP(E$1+1000*$A22,MASTER6!$A$2:$D$8001,4,FALSE())</f>
        <v>0</v>
      </c>
      <c r="F22" s="0" t="n">
        <f aca="false">VLOOKUP(F$1+1000*$A22,MASTER6!$A$2:$D$8001,4,FALSE())</f>
        <v>0</v>
      </c>
      <c r="G22" s="0" t="n">
        <f aca="false">VLOOKUP(G$1+1000*$A22,MASTER6!$A$2:$D$8001,4,FALSE())</f>
        <v>0</v>
      </c>
      <c r="H22" s="0" t="n">
        <f aca="false">VLOOKUP(H$1+1000*$A22,MASTER6!$A$2:$D$8001,4,FALSE())</f>
        <v>0</v>
      </c>
      <c r="I22" s="0" t="n">
        <f aca="false">VLOOKUP(I$1+1000*$A22,MASTER6!$A$2:$D$8001,4,FALSE())</f>
        <v>0</v>
      </c>
      <c r="J22" s="0" t="n">
        <f aca="false">VLOOKUP(J$1+1000*$A22,MASTER6!$A$2:$D$8001,4,FALSE())</f>
        <v>91</v>
      </c>
      <c r="K22" s="0" t="n">
        <f aca="false">VLOOKUP(K$1+1000*$A22,MASTER6!$A$2:$D$8001,4,FALSE())</f>
        <v>0</v>
      </c>
      <c r="L22" s="0" t="n">
        <f aca="false">VLOOKUP(L$1+1000*$A22,MASTER6!$A$2:$D$8001,4,FALSE())</f>
        <v>169</v>
      </c>
      <c r="M22" s="0" t="n">
        <f aca="false">VLOOKUP(M$1+1000*$A22,MASTER6!$A$2:$D$8001,4,FALSE())</f>
        <v>117</v>
      </c>
      <c r="N22" s="0" t="n">
        <f aca="false">VLOOKUP(N$1+1000*$A22,MASTER6!$A$2:$D$8001,4,FALSE())</f>
        <v>195</v>
      </c>
      <c r="O22" s="0" t="n">
        <f aca="false">VLOOKUP(O$1+1000*$A22,MASTER6!$A$2:$D$8001,4,FALSE())</f>
        <v>169</v>
      </c>
      <c r="P22" s="0" t="n">
        <f aca="false">VLOOKUP(P$1+1000*$A22,MASTER6!$A$2:$D$8001,4,FALSE())</f>
        <v>507</v>
      </c>
      <c r="Q22" s="0" t="n">
        <f aca="false">VLOOKUP(Q$1+1000*$A22,MASTER6!$A$2:$D$8001,4,FALSE())</f>
        <v>507</v>
      </c>
      <c r="R22" s="0" t="n">
        <f aca="false">VLOOKUP(R$1+1000*$A22,MASTER6!$A$2:$D$8001,4,FALSE())</f>
        <v>1937</v>
      </c>
      <c r="S22" s="0" t="n">
        <f aca="false">VLOOKUP(S$1+1000*$A22,MASTER6!$A$2:$D$8001,4,FALSE())</f>
        <v>17823</v>
      </c>
      <c r="T22" s="0" t="n">
        <f aca="false">VLOOKUP(T$1+1000*$A22,MASTER6!$A$2:$D$8001,4,FALSE())</f>
        <v>27664</v>
      </c>
      <c r="U22" s="0" t="n">
        <f aca="false">VLOOKUP(U$1+1000*$A22,MASTER6!$A$2:$D$8001,4,FALSE())</f>
        <v>8229</v>
      </c>
      <c r="V22" s="0" t="n">
        <f aca="false">VLOOKUP(V$1+1000*$A22,MASTER6!$A$2:$D$8001,4,FALSE())</f>
        <v>274924</v>
      </c>
      <c r="W22" s="0" t="n">
        <f aca="false">VLOOKUP(W$1+1000*$A22,MASTER6!$A$2:$D$8001,4,FALSE())</f>
        <v>19318</v>
      </c>
      <c r="X22" s="0" t="n">
        <f aca="false">VLOOKUP(X$1+1000*$A22,MASTER6!$A$2:$D$8001,4,FALSE())</f>
        <v>429</v>
      </c>
      <c r="Y22" s="0" t="n">
        <f aca="false">VLOOKUP(Y$1+1000*$A22,MASTER6!$A$2:$D$8001,4,FALSE())</f>
        <v>104</v>
      </c>
      <c r="Z22" s="0" t="n">
        <f aca="false">VLOOKUP(Z$1+1000*$A22,MASTER6!$A$2:$D$8001,4,FALSE())</f>
        <v>117</v>
      </c>
      <c r="AA22" s="0" t="n">
        <f aca="false">VLOOKUP(AA$1+1000*$A22,MASTER6!$A$2:$D$8001,4,FALSE())</f>
        <v>0</v>
      </c>
      <c r="AB22" s="0" t="n">
        <f aca="false">VLOOKUP(AB$1+1000*$A22,MASTER6!$A$2:$D$8001,4,FALSE())</f>
        <v>0</v>
      </c>
      <c r="AC22" s="0" t="n">
        <f aca="false">VLOOKUP(AC$1+1000*$A22,MASTER6!$A$2:$D$8001,4,FALSE())</f>
        <v>182</v>
      </c>
      <c r="AD22" s="0" t="n">
        <f aca="false">VLOOKUP(AD$1+1000*$A22,MASTER6!$A$2:$D$8001,4,FALSE())</f>
        <v>0</v>
      </c>
      <c r="AE22" s="0" t="n">
        <f aca="false">VLOOKUP(AE$1+1000*$A22,MASTER6!$A$2:$D$8001,4,FALSE())</f>
        <v>0</v>
      </c>
      <c r="AF22" s="0" t="n">
        <f aca="false">VLOOKUP(AF$1+1000*$A22,MASTER6!$A$2:$D$8001,4,FALSE())</f>
        <v>0</v>
      </c>
      <c r="AG22" s="0" t="n">
        <f aca="false">VLOOKUP(AG$1+1000*$A22,MASTER6!$A$2:$D$8001,4,FALSE())</f>
        <v>0</v>
      </c>
      <c r="AH22" s="0" t="n">
        <f aca="false">VLOOKUP(AH$1+1000*$A22,MASTER6!$A$2:$D$8001,4,FALSE())</f>
        <v>0</v>
      </c>
      <c r="AI22" s="0" t="n">
        <f aca="false">VLOOKUP(AI$1+1000*$A22,MASTER6!$A$2:$D$8001,4,FALSE())</f>
        <v>0</v>
      </c>
      <c r="AJ22" s="0" t="n">
        <f aca="false">VLOOKUP(AJ$1+1000*$A22,MASTER6!$A$2:$D$8001,4,FALSE())</f>
        <v>0</v>
      </c>
      <c r="AK22" s="0" t="e">
        <f aca="false">VLOOKUP(AK$1+1000*$A22,MASTER6!$A$2:$D$8001,4,FALSE())</f>
        <v>#N/A</v>
      </c>
      <c r="AL22" s="0" t="n">
        <f aca="false">VLOOKUP(AL$1+1000*$A22,MASTER6!$A$2:$D$8001,4,FALSE())</f>
        <v>0</v>
      </c>
      <c r="AM22" s="0" t="n">
        <f aca="false">VLOOKUP(AM$1+1000*$A22,MASTER6!$A$2:$D$8001,4,FALSE())</f>
        <v>0</v>
      </c>
      <c r="AN22" s="0" t="n">
        <f aca="false">VLOOKUP(AN$1+1000*$A22,MASTER6!$A$2:$D$8001,4,FALSE())</f>
        <v>0</v>
      </c>
      <c r="AO22" s="0" t="n">
        <f aca="false">VLOOKUP(AO$1+1000*$A22,MASTER6!$A$2:$D$8001,4,FALSE())</f>
        <v>65</v>
      </c>
      <c r="AP22" s="0" t="n">
        <f aca="false">VLOOKUP(AP$1+1000*$A22,MASTER6!$A$2:$D$8001,4,FALSE())</f>
        <v>0</v>
      </c>
      <c r="AQ22" s="0" t="n">
        <f aca="false">VLOOKUP(AQ$1+1000*$A22,MASTER6!$A$2:$D$8001,4,FALSE())</f>
        <v>0</v>
      </c>
      <c r="AR22" s="0" t="n">
        <f aca="false">VLOOKUP(AR$1+1000*$A22,MASTER6!$A$2:$D$8001,4,FALSE())</f>
        <v>65</v>
      </c>
      <c r="AS22" s="0" t="e">
        <f aca="false">VLOOKUP(AS$1+1000*$A22,MASTER6!$A$2:$D$8001,4,FALSE())</f>
        <v>#N/A</v>
      </c>
      <c r="AT22" s="0" t="e">
        <f aca="false">VLOOKUP(AT$1+1000*$A22,MASTER6!$A$2:$D$8001,4,FALSE())</f>
        <v>#N/A</v>
      </c>
      <c r="AU22" s="0" t="n">
        <f aca="false">VLOOKUP(AU$1+1000*$A22,MASTER6!$A$2:$D$8001,4,FALSE())</f>
        <v>91</v>
      </c>
      <c r="AV22" s="0" t="e">
        <f aca="false">VLOOKUP(AV$1+1000*$A22,MASTER6!$A$2:$D$8001,4,FALSE())</f>
        <v>#N/A</v>
      </c>
      <c r="AW22" s="0" t="n">
        <f aca="false">VLOOKUP(AW$1+1000*$A22,MASTER6!$A$2:$D$8001,4,FALSE())</f>
        <v>104</v>
      </c>
      <c r="AX22" s="0" t="n">
        <f aca="false">VLOOKUP(AX$1+1000*$A22,MASTER6!$A$2:$D$8001,4,FALSE())</f>
        <v>23803</v>
      </c>
      <c r="AY22" s="0" t="n">
        <f aca="false">VLOOKUP(AY$1+1000*$A22,MASTER6!$A$2:$D$8001,4,FALSE())</f>
        <v>8255</v>
      </c>
      <c r="AZ22" s="0" t="n">
        <f aca="false">VLOOKUP(AZ$1+1000*$A22,MASTER6!$A$2:$D$8001,4,FALSE())</f>
        <v>17420</v>
      </c>
      <c r="BA22" s="0" t="n">
        <f aca="false">VLOOKUP(BA$1+1000*$A22,MASTER6!$A$2:$D$8001,4,FALSE())</f>
        <v>65</v>
      </c>
      <c r="BB22" s="0" t="n">
        <f aca="false">VLOOKUP(BB$1+1000*$A22,MASTER6!$A$2:$D$8001,4,FALSE())</f>
        <v>117</v>
      </c>
      <c r="BC22" s="0" t="n">
        <f aca="false">VLOOKUP(BC$1+1000*$A22,MASTER6!$A$2:$D$8001,4,FALSE())</f>
        <v>104</v>
      </c>
      <c r="BD22" s="0" t="n">
        <f aca="false">VLOOKUP(BD$1+1000*$A22,MASTER6!$A$2:$D$8001,4,FALSE())</f>
        <v>0</v>
      </c>
      <c r="BE22" s="0" t="e">
        <f aca="false">VLOOKUP(BE$1+1000*$A22,MASTER6!$A$2:$D$8001,4,FALSE())</f>
        <v>#N/A</v>
      </c>
      <c r="BF22" s="0" t="n">
        <f aca="false">VLOOKUP(BF$1+1000*$A22,MASTER6!$A$2:$D$8001,4,FALSE())</f>
        <v>0</v>
      </c>
      <c r="BG22" s="0" t="e">
        <f aca="false">VLOOKUP(BG$1+1000*$A22,MASTER6!$A$2:$D$8001,4,FALSE())</f>
        <v>#N/A</v>
      </c>
      <c r="BH22" s="0" t="n">
        <f aca="false">VLOOKUP(BH$1+1000*$A22,MASTER6!$A$2:$D$8001,4,FALSE())</f>
        <v>91</v>
      </c>
      <c r="BI22" s="0" t="n">
        <f aca="false">VLOOKUP(BI$1+1000*$A22,MASTER6!$A$2:$D$8001,4,FALSE())</f>
        <v>0</v>
      </c>
      <c r="BJ22" s="0" t="e">
        <f aca="false">VLOOKUP(BJ$1+1000*$A22,MASTER6!$A$2:$D$8001,4,FALSE())</f>
        <v>#N/A</v>
      </c>
      <c r="BK22" s="0" t="n">
        <f aca="false">VLOOKUP(BK$1+1000*$A22,MASTER6!$A$2:$D$8001,4,FALSE())</f>
        <v>0</v>
      </c>
      <c r="BL22" s="0" t="e">
        <f aca="false">VLOOKUP(BL$1+1000*$A22,MASTER6!$A$2:$D$8001,4,FALSE())</f>
        <v>#N/A</v>
      </c>
      <c r="BM22" s="0" t="n">
        <f aca="false">VLOOKUP(BM$1+1000*$A22,MASTER6!$A$2:$D$8001,4,FALSE())</f>
        <v>546</v>
      </c>
      <c r="BN22" s="0" t="n">
        <f aca="false">VLOOKUP(BN$1+1000*$A22,MASTER6!$A$2:$D$8001,4,FALSE())</f>
        <v>247</v>
      </c>
      <c r="BO22" s="0" t="n">
        <f aca="false">VLOOKUP(BO$1+1000*$A22,MASTER6!$A$2:$D$8001,4,FALSE())</f>
        <v>0</v>
      </c>
      <c r="BP22" s="0" t="n">
        <f aca="false">VLOOKUP(BP$1+1000*$A22,MASTER6!$A$2:$D$8001,4,FALSE())</f>
        <v>0</v>
      </c>
      <c r="BQ22" s="0" t="e">
        <f aca="false">VLOOKUP(BQ$1+1000*$A22,MASTER6!$A$2:$D$8001,4,FALSE())</f>
        <v>#N/A</v>
      </c>
      <c r="BR22" s="0" t="n">
        <f aca="false">VLOOKUP(BR$1+1000*$A22,MASTER6!$A$2:$D$8001,4,FALSE())</f>
        <v>0</v>
      </c>
      <c r="BS22" s="0" t="e">
        <f aca="false">VLOOKUP(BS$1+1000*$A22,MASTER6!$A$2:$D$8001,4,FALSE())</f>
        <v>#N/A</v>
      </c>
      <c r="BT22" s="0" t="n">
        <f aca="false">VLOOKUP(BT$1+1000*$A22,MASTER6!$A$2:$D$8001,4,FALSE())</f>
        <v>0</v>
      </c>
      <c r="BU22" s="0" t="n">
        <f aca="false">VLOOKUP(BU$1+1000*$A22,MASTER6!$A$2:$D$8001,4,FALSE())</f>
        <v>0</v>
      </c>
      <c r="BV22" s="0" t="n">
        <f aca="false">VLOOKUP(BV$1+1000*$A22,MASTER6!$A$2:$D$8001,4,FALSE())</f>
        <v>234</v>
      </c>
      <c r="BW22" s="0" t="e">
        <f aca="false">VLOOKUP(BW$1+1000*$A22,MASTER6!$A$2:$D$8001,4,FALSE())</f>
        <v>#N/A</v>
      </c>
      <c r="BX22" s="0" t="n">
        <f aca="false">VLOOKUP(BX$1+1000*$A22,MASTER6!$A$2:$D$8001,4,FALSE())</f>
        <v>0</v>
      </c>
      <c r="BY22" s="0" t="n">
        <f aca="false">VLOOKUP(BY$1+1000*$A22,MASTER6!$A$2:$D$8001,4,FALSE())</f>
        <v>442</v>
      </c>
      <c r="BZ22" s="0" t="e">
        <f aca="false">VLOOKUP(BZ$1+1000*$A22,MASTER6!$A$2:$D$8001,4,FALSE())</f>
        <v>#N/A</v>
      </c>
      <c r="CA22" s="0" t="e">
        <f aca="false">VLOOKUP(CA$1+1000*$A22,MASTER6!$A$2:$D$8001,4,FALSE())</f>
        <v>#N/A</v>
      </c>
      <c r="CB22" s="0" t="n">
        <f aca="false">VLOOKUP(CB$1+1000*$A22,MASTER6!$A$2:$D$8001,4,FALSE())</f>
        <v>0</v>
      </c>
      <c r="CC22" s="0" t="n">
        <f aca="false">VLOOKUP(CC$1+1000*$A22,MASTER6!$A$2:$D$8001,4,FALSE())</f>
        <v>0</v>
      </c>
      <c r="CD22" s="0" t="e">
        <f aca="false">VLOOKUP(CD$1+1000*$A22,MASTER6!$A$2:$D$8001,4,FALSE())</f>
        <v>#N/A</v>
      </c>
      <c r="CE22" s="0" t="n">
        <f aca="false">VLOOKUP(CE$1+1000*$A22,MASTER6!$A$2:$D$8001,4,FALSE())</f>
        <v>0</v>
      </c>
      <c r="CF22" s="0" t="e">
        <f aca="false">VLOOKUP(CF$1+1000*$A22,MASTER6!$A$2:$D$8001,4,FALSE())</f>
        <v>#N/A</v>
      </c>
      <c r="CG22" s="0" t="e">
        <f aca="false">VLOOKUP(CG$1+1000*$A22,MASTER6!$A$2:$D$8001,4,FALSE())</f>
        <v>#N/A</v>
      </c>
      <c r="CH22" s="0" t="n">
        <f aca="false">VLOOKUP(CH$1+1000*$A22,MASTER6!$A$2:$D$8001,4,FALSE())</f>
        <v>377273</v>
      </c>
      <c r="CI22" s="0" t="n">
        <f aca="false">VLOOKUP(CI$1+1000*$A22,MASTER6!$A$2:$D$8001,4,FALSE())</f>
        <v>403</v>
      </c>
      <c r="CJ22" s="0" t="e">
        <f aca="false">VLOOKUP(CJ$1+1000*$A22,MASTER6!$A$2:$D$8001,4,FALSE())</f>
        <v>#N/A</v>
      </c>
    </row>
    <row r="23" customFormat="false" ht="12.75" hidden="false" customHeight="false" outlineLevel="0" collapsed="false">
      <c r="A23" s="0" t="n">
        <v>22</v>
      </c>
      <c r="B23" s="0" t="n">
        <f aca="false">VLOOKUP(B$1+1000*$A23,MASTER6!$A$2:$D$8001,4,FALSE())</f>
        <v>169</v>
      </c>
      <c r="C23" s="0" t="n">
        <f aca="false">VLOOKUP(C$1+1000*$A23,MASTER6!$A$2:$D$8001,4,FALSE())</f>
        <v>0</v>
      </c>
      <c r="D23" s="0" t="n">
        <f aca="false">VLOOKUP(D$1+1000*$A23,MASTER6!$A$2:$D$8001,4,FALSE())</f>
        <v>221</v>
      </c>
      <c r="E23" s="0" t="n">
        <f aca="false">VLOOKUP(E$1+1000*$A23,MASTER6!$A$2:$D$8001,4,FALSE())</f>
        <v>0</v>
      </c>
      <c r="F23" s="0" t="n">
        <f aca="false">VLOOKUP(F$1+1000*$A23,MASTER6!$A$2:$D$8001,4,FALSE())</f>
        <v>182</v>
      </c>
      <c r="G23" s="0" t="n">
        <f aca="false">VLOOKUP(G$1+1000*$A23,MASTER6!$A$2:$D$8001,4,FALSE())</f>
        <v>0</v>
      </c>
      <c r="H23" s="0" t="n">
        <f aca="false">VLOOKUP(H$1+1000*$A23,MASTER6!$A$2:$D$8001,4,FALSE())</f>
        <v>0</v>
      </c>
      <c r="I23" s="0" t="n">
        <f aca="false">VLOOKUP(I$1+1000*$A23,MASTER6!$A$2:$D$8001,4,FALSE())</f>
        <v>0</v>
      </c>
      <c r="J23" s="0" t="n">
        <f aca="false">VLOOKUP(J$1+1000*$A23,MASTER6!$A$2:$D$8001,4,FALSE())</f>
        <v>0</v>
      </c>
      <c r="K23" s="0" t="n">
        <f aca="false">VLOOKUP(K$1+1000*$A23,MASTER6!$A$2:$D$8001,4,FALSE())</f>
        <v>78</v>
      </c>
      <c r="L23" s="0" t="n">
        <f aca="false">VLOOKUP(L$1+1000*$A23,MASTER6!$A$2:$D$8001,4,FALSE())</f>
        <v>78</v>
      </c>
      <c r="M23" s="0" t="n">
        <f aca="false">VLOOKUP(M$1+1000*$A23,MASTER6!$A$2:$D$8001,4,FALSE())</f>
        <v>0</v>
      </c>
      <c r="N23" s="0" t="n">
        <f aca="false">VLOOKUP(N$1+1000*$A23,MASTER6!$A$2:$D$8001,4,FALSE())</f>
        <v>130</v>
      </c>
      <c r="O23" s="0" t="n">
        <f aca="false">VLOOKUP(O$1+1000*$A23,MASTER6!$A$2:$D$8001,4,FALSE())</f>
        <v>182</v>
      </c>
      <c r="P23" s="0" t="n">
        <f aca="false">VLOOKUP(P$1+1000*$A23,MASTER6!$A$2:$D$8001,4,FALSE())</f>
        <v>1196</v>
      </c>
      <c r="Q23" s="0" t="n">
        <f aca="false">VLOOKUP(Q$1+1000*$A23,MASTER6!$A$2:$D$8001,4,FALSE())</f>
        <v>65</v>
      </c>
      <c r="R23" s="0" t="n">
        <f aca="false">VLOOKUP(R$1+1000*$A23,MASTER6!$A$2:$D$8001,4,FALSE())</f>
        <v>260</v>
      </c>
      <c r="S23" s="0" t="n">
        <f aca="false">VLOOKUP(S$1+1000*$A23,MASTER6!$A$2:$D$8001,4,FALSE())</f>
        <v>3198</v>
      </c>
      <c r="T23" s="0" t="n">
        <f aca="false">VLOOKUP(T$1+1000*$A23,MASTER6!$A$2:$D$8001,4,FALSE())</f>
        <v>80925</v>
      </c>
      <c r="U23" s="0" t="n">
        <f aca="false">VLOOKUP(U$1+1000*$A23,MASTER6!$A$2:$D$8001,4,FALSE())</f>
        <v>2184</v>
      </c>
      <c r="V23" s="0" t="n">
        <f aca="false">VLOOKUP(V$1+1000*$A23,MASTER6!$A$2:$D$8001,4,FALSE())</f>
        <v>11505</v>
      </c>
      <c r="W23" s="0" t="n">
        <f aca="false">VLOOKUP(W$1+1000*$A23,MASTER6!$A$2:$D$8001,4,FALSE())</f>
        <v>203580</v>
      </c>
      <c r="X23" s="0" t="n">
        <f aca="false">VLOOKUP(X$1+1000*$A23,MASTER6!$A$2:$D$8001,4,FALSE())</f>
        <v>0</v>
      </c>
      <c r="Y23" s="0" t="n">
        <f aca="false">VLOOKUP(Y$1+1000*$A23,MASTER6!$A$2:$D$8001,4,FALSE())</f>
        <v>0</v>
      </c>
      <c r="Z23" s="0" t="n">
        <f aca="false">VLOOKUP(Z$1+1000*$A23,MASTER6!$A$2:$D$8001,4,FALSE())</f>
        <v>0</v>
      </c>
      <c r="AA23" s="0" t="n">
        <f aca="false">VLOOKUP(AA$1+1000*$A23,MASTER6!$A$2:$D$8001,4,FALSE())</f>
        <v>0</v>
      </c>
      <c r="AB23" s="0" t="n">
        <f aca="false">VLOOKUP(AB$1+1000*$A23,MASTER6!$A$2:$D$8001,4,FALSE())</f>
        <v>0</v>
      </c>
      <c r="AC23" s="0" t="n">
        <f aca="false">VLOOKUP(AC$1+1000*$A23,MASTER6!$A$2:$D$8001,4,FALSE())</f>
        <v>0</v>
      </c>
      <c r="AD23" s="0" t="n">
        <f aca="false">VLOOKUP(AD$1+1000*$A23,MASTER6!$A$2:$D$8001,4,FALSE())</f>
        <v>0</v>
      </c>
      <c r="AE23" s="0" t="n">
        <f aca="false">VLOOKUP(AE$1+1000*$A23,MASTER6!$A$2:$D$8001,4,FALSE())</f>
        <v>0</v>
      </c>
      <c r="AF23" s="0" t="n">
        <f aca="false">VLOOKUP(AF$1+1000*$A23,MASTER6!$A$2:$D$8001,4,FALSE())</f>
        <v>0</v>
      </c>
      <c r="AG23" s="0" t="n">
        <f aca="false">VLOOKUP(AG$1+1000*$A23,MASTER6!$A$2:$D$8001,4,FALSE())</f>
        <v>0</v>
      </c>
      <c r="AH23" s="0" t="n">
        <f aca="false">VLOOKUP(AH$1+1000*$A23,MASTER6!$A$2:$D$8001,4,FALSE())</f>
        <v>91</v>
      </c>
      <c r="AI23" s="0" t="n">
        <f aca="false">VLOOKUP(AI$1+1000*$A23,MASTER6!$A$2:$D$8001,4,FALSE())</f>
        <v>0</v>
      </c>
      <c r="AJ23" s="0" t="n">
        <f aca="false">VLOOKUP(AJ$1+1000*$A23,MASTER6!$A$2:$D$8001,4,FALSE())</f>
        <v>0</v>
      </c>
      <c r="AK23" s="0" t="e">
        <f aca="false">VLOOKUP(AK$1+1000*$A23,MASTER6!$A$2:$D$8001,4,FALSE())</f>
        <v>#N/A</v>
      </c>
      <c r="AL23" s="0" t="n">
        <f aca="false">VLOOKUP(AL$1+1000*$A23,MASTER6!$A$2:$D$8001,4,FALSE())</f>
        <v>0</v>
      </c>
      <c r="AM23" s="0" t="n">
        <f aca="false">VLOOKUP(AM$1+1000*$A23,MASTER6!$A$2:$D$8001,4,FALSE())</f>
        <v>0</v>
      </c>
      <c r="AN23" s="0" t="n">
        <f aca="false">VLOOKUP(AN$1+1000*$A23,MASTER6!$A$2:$D$8001,4,FALSE())</f>
        <v>0</v>
      </c>
      <c r="AO23" s="0" t="n">
        <f aca="false">VLOOKUP(AO$1+1000*$A23,MASTER6!$A$2:$D$8001,4,FALSE())</f>
        <v>104</v>
      </c>
      <c r="AP23" s="0" t="n">
        <f aca="false">VLOOKUP(AP$1+1000*$A23,MASTER6!$A$2:$D$8001,4,FALSE())</f>
        <v>0</v>
      </c>
      <c r="AQ23" s="0" t="n">
        <f aca="false">VLOOKUP(AQ$1+1000*$A23,MASTER6!$A$2:$D$8001,4,FALSE())</f>
        <v>0</v>
      </c>
      <c r="AR23" s="0" t="n">
        <f aca="false">VLOOKUP(AR$1+1000*$A23,MASTER6!$A$2:$D$8001,4,FALSE())</f>
        <v>0</v>
      </c>
      <c r="AS23" s="0" t="e">
        <f aca="false">VLOOKUP(AS$1+1000*$A23,MASTER6!$A$2:$D$8001,4,FALSE())</f>
        <v>#N/A</v>
      </c>
      <c r="AT23" s="0" t="e">
        <f aca="false">VLOOKUP(AT$1+1000*$A23,MASTER6!$A$2:$D$8001,4,FALSE())</f>
        <v>#N/A</v>
      </c>
      <c r="AU23" s="0" t="n">
        <f aca="false">VLOOKUP(AU$1+1000*$A23,MASTER6!$A$2:$D$8001,4,FALSE())</f>
        <v>0</v>
      </c>
      <c r="AV23" s="0" t="e">
        <f aca="false">VLOOKUP(AV$1+1000*$A23,MASTER6!$A$2:$D$8001,4,FALSE())</f>
        <v>#N/A</v>
      </c>
      <c r="AW23" s="0" t="n">
        <f aca="false">VLOOKUP(AW$1+1000*$A23,MASTER6!$A$2:$D$8001,4,FALSE())</f>
        <v>0</v>
      </c>
      <c r="AX23" s="0" t="n">
        <f aca="false">VLOOKUP(AX$1+1000*$A23,MASTER6!$A$2:$D$8001,4,FALSE())</f>
        <v>34372</v>
      </c>
      <c r="AY23" s="0" t="n">
        <f aca="false">VLOOKUP(AY$1+1000*$A23,MASTER6!$A$2:$D$8001,4,FALSE())</f>
        <v>5044</v>
      </c>
      <c r="AZ23" s="0" t="n">
        <f aca="false">VLOOKUP(AZ$1+1000*$A23,MASTER6!$A$2:$D$8001,4,FALSE())</f>
        <v>6305</v>
      </c>
      <c r="BA23" s="0" t="n">
        <f aca="false">VLOOKUP(BA$1+1000*$A23,MASTER6!$A$2:$D$8001,4,FALSE())</f>
        <v>91</v>
      </c>
      <c r="BB23" s="0" t="n">
        <f aca="false">VLOOKUP(BB$1+1000*$A23,MASTER6!$A$2:$D$8001,4,FALSE())</f>
        <v>0</v>
      </c>
      <c r="BC23" s="0" t="n">
        <f aca="false">VLOOKUP(BC$1+1000*$A23,MASTER6!$A$2:$D$8001,4,FALSE())</f>
        <v>0</v>
      </c>
      <c r="BD23" s="0" t="n">
        <f aca="false">VLOOKUP(BD$1+1000*$A23,MASTER6!$A$2:$D$8001,4,FALSE())</f>
        <v>130</v>
      </c>
      <c r="BE23" s="0" t="e">
        <f aca="false">VLOOKUP(BE$1+1000*$A23,MASTER6!$A$2:$D$8001,4,FALSE())</f>
        <v>#N/A</v>
      </c>
      <c r="BF23" s="0" t="n">
        <f aca="false">VLOOKUP(BF$1+1000*$A23,MASTER6!$A$2:$D$8001,4,FALSE())</f>
        <v>0</v>
      </c>
      <c r="BG23" s="0" t="e">
        <f aca="false">VLOOKUP(BG$1+1000*$A23,MASTER6!$A$2:$D$8001,4,FALSE())</f>
        <v>#N/A</v>
      </c>
      <c r="BH23" s="0" t="n">
        <f aca="false">VLOOKUP(BH$1+1000*$A23,MASTER6!$A$2:$D$8001,4,FALSE())</f>
        <v>0</v>
      </c>
      <c r="BI23" s="0" t="n">
        <f aca="false">VLOOKUP(BI$1+1000*$A23,MASTER6!$A$2:$D$8001,4,FALSE())</f>
        <v>0</v>
      </c>
      <c r="BJ23" s="0" t="e">
        <f aca="false">VLOOKUP(BJ$1+1000*$A23,MASTER6!$A$2:$D$8001,4,FALSE())</f>
        <v>#N/A</v>
      </c>
      <c r="BK23" s="0" t="n">
        <f aca="false">VLOOKUP(BK$1+1000*$A23,MASTER6!$A$2:$D$8001,4,FALSE())</f>
        <v>0</v>
      </c>
      <c r="BL23" s="0" t="e">
        <f aca="false">VLOOKUP(BL$1+1000*$A23,MASTER6!$A$2:$D$8001,4,FALSE())</f>
        <v>#N/A</v>
      </c>
      <c r="BM23" s="0" t="n">
        <f aca="false">VLOOKUP(BM$1+1000*$A23,MASTER6!$A$2:$D$8001,4,FALSE())</f>
        <v>0</v>
      </c>
      <c r="BN23" s="0" t="n">
        <f aca="false">VLOOKUP(BN$1+1000*$A23,MASTER6!$A$2:$D$8001,4,FALSE())</f>
        <v>78</v>
      </c>
      <c r="BO23" s="0" t="n">
        <f aca="false">VLOOKUP(BO$1+1000*$A23,MASTER6!$A$2:$D$8001,4,FALSE())</f>
        <v>182</v>
      </c>
      <c r="BP23" s="0" t="n">
        <f aca="false">VLOOKUP(BP$1+1000*$A23,MASTER6!$A$2:$D$8001,4,FALSE())</f>
        <v>0</v>
      </c>
      <c r="BQ23" s="0" t="e">
        <f aca="false">VLOOKUP(BQ$1+1000*$A23,MASTER6!$A$2:$D$8001,4,FALSE())</f>
        <v>#N/A</v>
      </c>
      <c r="BR23" s="0" t="n">
        <f aca="false">VLOOKUP(BR$1+1000*$A23,MASTER6!$A$2:$D$8001,4,FALSE())</f>
        <v>143</v>
      </c>
      <c r="BS23" s="0" t="e">
        <f aca="false">VLOOKUP(BS$1+1000*$A23,MASTER6!$A$2:$D$8001,4,FALSE())</f>
        <v>#N/A</v>
      </c>
      <c r="BT23" s="0" t="n">
        <f aca="false">VLOOKUP(BT$1+1000*$A23,MASTER6!$A$2:$D$8001,4,FALSE())</f>
        <v>0</v>
      </c>
      <c r="BU23" s="0" t="n">
        <f aca="false">VLOOKUP(BU$1+1000*$A23,MASTER6!$A$2:$D$8001,4,FALSE())</f>
        <v>0</v>
      </c>
      <c r="BV23" s="0" t="n">
        <f aca="false">VLOOKUP(BV$1+1000*$A23,MASTER6!$A$2:$D$8001,4,FALSE())</f>
        <v>0</v>
      </c>
      <c r="BW23" s="0" t="e">
        <f aca="false">VLOOKUP(BW$1+1000*$A23,MASTER6!$A$2:$D$8001,4,FALSE())</f>
        <v>#N/A</v>
      </c>
      <c r="BX23" s="0" t="n">
        <f aca="false">VLOOKUP(BX$1+1000*$A23,MASTER6!$A$2:$D$8001,4,FALSE())</f>
        <v>0</v>
      </c>
      <c r="BY23" s="0" t="n">
        <f aca="false">VLOOKUP(BY$1+1000*$A23,MASTER6!$A$2:$D$8001,4,FALSE())</f>
        <v>325</v>
      </c>
      <c r="BZ23" s="0" t="e">
        <f aca="false">VLOOKUP(BZ$1+1000*$A23,MASTER6!$A$2:$D$8001,4,FALSE())</f>
        <v>#N/A</v>
      </c>
      <c r="CA23" s="0" t="e">
        <f aca="false">VLOOKUP(CA$1+1000*$A23,MASTER6!$A$2:$D$8001,4,FALSE())</f>
        <v>#N/A</v>
      </c>
      <c r="CB23" s="0" t="n">
        <f aca="false">VLOOKUP(CB$1+1000*$A23,MASTER6!$A$2:$D$8001,4,FALSE())</f>
        <v>0</v>
      </c>
      <c r="CC23" s="0" t="n">
        <f aca="false">VLOOKUP(CC$1+1000*$A23,MASTER6!$A$2:$D$8001,4,FALSE())</f>
        <v>0</v>
      </c>
      <c r="CD23" s="0" t="e">
        <f aca="false">VLOOKUP(CD$1+1000*$A23,MASTER6!$A$2:$D$8001,4,FALSE())</f>
        <v>#N/A</v>
      </c>
      <c r="CE23" s="0" t="n">
        <f aca="false">VLOOKUP(CE$1+1000*$A23,MASTER6!$A$2:$D$8001,4,FALSE())</f>
        <v>0</v>
      </c>
      <c r="CF23" s="0" t="e">
        <f aca="false">VLOOKUP(CF$1+1000*$A23,MASTER6!$A$2:$D$8001,4,FALSE())</f>
        <v>#N/A</v>
      </c>
      <c r="CG23" s="0" t="e">
        <f aca="false">VLOOKUP(CG$1+1000*$A23,MASTER6!$A$2:$D$8001,4,FALSE())</f>
        <v>#N/A</v>
      </c>
      <c r="CH23" s="0" t="n">
        <f aca="false">VLOOKUP(CH$1+1000*$A23,MASTER6!$A$2:$D$8001,4,FALSE())</f>
        <v>313391</v>
      </c>
      <c r="CI23" s="0" t="n">
        <f aca="false">VLOOKUP(CI$1+1000*$A23,MASTER6!$A$2:$D$8001,4,FALSE())</f>
        <v>234</v>
      </c>
      <c r="CJ23" s="0" t="e">
        <f aca="false">VLOOKUP(CJ$1+1000*$A23,MASTER6!$A$2:$D$8001,4,FALSE())</f>
        <v>#N/A</v>
      </c>
    </row>
    <row r="24" customFormat="false" ht="12.75" hidden="false" customHeight="false" outlineLevel="0" collapsed="false">
      <c r="A24" s="0" t="n">
        <v>23</v>
      </c>
      <c r="B24" s="0" t="n">
        <f aca="false">VLOOKUP(B$1+1000*$A24,MASTER6!$A$2:$D$8001,4,FALSE())</f>
        <v>0</v>
      </c>
      <c r="C24" s="0" t="n">
        <f aca="false">VLOOKUP(C$1+1000*$A24,MASTER6!$A$2:$D$8001,4,FALSE())</f>
        <v>0</v>
      </c>
      <c r="D24" s="0" t="n">
        <f aca="false">VLOOKUP(D$1+1000*$A24,MASTER6!$A$2:$D$8001,4,FALSE())</f>
        <v>0</v>
      </c>
      <c r="E24" s="0" t="n">
        <f aca="false">VLOOKUP(E$1+1000*$A24,MASTER6!$A$2:$D$8001,4,FALSE())</f>
        <v>0</v>
      </c>
      <c r="F24" s="0" t="n">
        <f aca="false">VLOOKUP(F$1+1000*$A24,MASTER6!$A$2:$D$8001,4,FALSE())</f>
        <v>0</v>
      </c>
      <c r="G24" s="0" t="n">
        <f aca="false">VLOOKUP(G$1+1000*$A24,MASTER6!$A$2:$D$8001,4,FALSE())</f>
        <v>0</v>
      </c>
      <c r="H24" s="0" t="n">
        <f aca="false">VLOOKUP(H$1+1000*$A24,MASTER6!$A$2:$D$8001,4,FALSE())</f>
        <v>0</v>
      </c>
      <c r="I24" s="0" t="n">
        <f aca="false">VLOOKUP(I$1+1000*$A24,MASTER6!$A$2:$D$8001,4,FALSE())</f>
        <v>0</v>
      </c>
      <c r="J24" s="0" t="n">
        <f aca="false">VLOOKUP(J$1+1000*$A24,MASTER6!$A$2:$D$8001,4,FALSE())</f>
        <v>0</v>
      </c>
      <c r="K24" s="0" t="n">
        <f aca="false">VLOOKUP(K$1+1000*$A24,MASTER6!$A$2:$D$8001,4,FALSE())</f>
        <v>130</v>
      </c>
      <c r="L24" s="0" t="n">
        <f aca="false">VLOOKUP(L$1+1000*$A24,MASTER6!$A$2:$D$8001,4,FALSE())</f>
        <v>0</v>
      </c>
      <c r="M24" s="0" t="n">
        <f aca="false">VLOOKUP(M$1+1000*$A24,MASTER6!$A$2:$D$8001,4,FALSE())</f>
        <v>0</v>
      </c>
      <c r="N24" s="0" t="n">
        <f aca="false">VLOOKUP(N$1+1000*$A24,MASTER6!$A$2:$D$8001,4,FALSE())</f>
        <v>0</v>
      </c>
      <c r="O24" s="0" t="n">
        <f aca="false">VLOOKUP(O$1+1000*$A24,MASTER6!$A$2:$D$8001,4,FALSE())</f>
        <v>0</v>
      </c>
      <c r="P24" s="0" t="n">
        <f aca="false">VLOOKUP(P$1+1000*$A24,MASTER6!$A$2:$D$8001,4,FALSE())</f>
        <v>0</v>
      </c>
      <c r="Q24" s="0" t="n">
        <f aca="false">VLOOKUP(Q$1+1000*$A24,MASTER6!$A$2:$D$8001,4,FALSE())</f>
        <v>234</v>
      </c>
      <c r="R24" s="0" t="n">
        <f aca="false">VLOOKUP(R$1+1000*$A24,MASTER6!$A$2:$D$8001,4,FALSE())</f>
        <v>104</v>
      </c>
      <c r="S24" s="0" t="n">
        <f aca="false">VLOOKUP(S$1+1000*$A24,MASTER6!$A$2:$D$8001,4,FALSE())</f>
        <v>1911</v>
      </c>
      <c r="T24" s="0" t="n">
        <f aca="false">VLOOKUP(T$1+1000*$A24,MASTER6!$A$2:$D$8001,4,FALSE())</f>
        <v>585</v>
      </c>
      <c r="U24" s="0" t="n">
        <f aca="false">VLOOKUP(U$1+1000*$A24,MASTER6!$A$2:$D$8001,4,FALSE())</f>
        <v>65</v>
      </c>
      <c r="V24" s="0" t="n">
        <f aca="false">VLOOKUP(V$1+1000*$A24,MASTER6!$A$2:$D$8001,4,FALSE())</f>
        <v>9711</v>
      </c>
      <c r="W24" s="0" t="n">
        <f aca="false">VLOOKUP(W$1+1000*$A24,MASTER6!$A$2:$D$8001,4,FALSE())</f>
        <v>728</v>
      </c>
      <c r="X24" s="0" t="n">
        <f aca="false">VLOOKUP(X$1+1000*$A24,MASTER6!$A$2:$D$8001,4,FALSE())</f>
        <v>59839</v>
      </c>
      <c r="Y24" s="0" t="n">
        <f aca="false">VLOOKUP(Y$1+1000*$A24,MASTER6!$A$2:$D$8001,4,FALSE())</f>
        <v>2743</v>
      </c>
      <c r="Z24" s="0" t="n">
        <f aca="false">VLOOKUP(Z$1+1000*$A24,MASTER6!$A$2:$D$8001,4,FALSE())</f>
        <v>2184</v>
      </c>
      <c r="AA24" s="0" t="n">
        <f aca="false">VLOOKUP(AA$1+1000*$A24,MASTER6!$A$2:$D$8001,4,FALSE())</f>
        <v>91</v>
      </c>
      <c r="AB24" s="0" t="n">
        <f aca="false">VLOOKUP(AB$1+1000*$A24,MASTER6!$A$2:$D$8001,4,FALSE())</f>
        <v>0</v>
      </c>
      <c r="AC24" s="0" t="n">
        <f aca="false">VLOOKUP(AC$1+1000*$A24,MASTER6!$A$2:$D$8001,4,FALSE())</f>
        <v>1040</v>
      </c>
      <c r="AD24" s="0" t="n">
        <f aca="false">VLOOKUP(AD$1+1000*$A24,MASTER6!$A$2:$D$8001,4,FALSE())</f>
        <v>1131</v>
      </c>
      <c r="AE24" s="0" t="n">
        <f aca="false">VLOOKUP(AE$1+1000*$A24,MASTER6!$A$2:$D$8001,4,FALSE())</f>
        <v>91</v>
      </c>
      <c r="AF24" s="0" t="n">
        <f aca="false">VLOOKUP(AF$1+1000*$A24,MASTER6!$A$2:$D$8001,4,FALSE())</f>
        <v>0</v>
      </c>
      <c r="AG24" s="0" t="n">
        <f aca="false">VLOOKUP(AG$1+1000*$A24,MASTER6!$A$2:$D$8001,4,FALSE())</f>
        <v>65</v>
      </c>
      <c r="AH24" s="0" t="n">
        <f aca="false">VLOOKUP(AH$1+1000*$A24,MASTER6!$A$2:$D$8001,4,FALSE())</f>
        <v>0</v>
      </c>
      <c r="AI24" s="0" t="n">
        <f aca="false">VLOOKUP(AI$1+1000*$A24,MASTER6!$A$2:$D$8001,4,FALSE())</f>
        <v>0</v>
      </c>
      <c r="AJ24" s="0" t="n">
        <f aca="false">VLOOKUP(AJ$1+1000*$A24,MASTER6!$A$2:$D$8001,4,FALSE())</f>
        <v>0</v>
      </c>
      <c r="AK24" s="0" t="e">
        <f aca="false">VLOOKUP(AK$1+1000*$A24,MASTER6!$A$2:$D$8001,4,FALSE())</f>
        <v>#N/A</v>
      </c>
      <c r="AL24" s="0" t="n">
        <f aca="false">VLOOKUP(AL$1+1000*$A24,MASTER6!$A$2:$D$8001,4,FALSE())</f>
        <v>0</v>
      </c>
      <c r="AM24" s="0" t="n">
        <f aca="false">VLOOKUP(AM$1+1000*$A24,MASTER6!$A$2:$D$8001,4,FALSE())</f>
        <v>0</v>
      </c>
      <c r="AN24" s="0" t="n">
        <f aca="false">VLOOKUP(AN$1+1000*$A24,MASTER6!$A$2:$D$8001,4,FALSE())</f>
        <v>0</v>
      </c>
      <c r="AO24" s="0" t="n">
        <f aca="false">VLOOKUP(AO$1+1000*$A24,MASTER6!$A$2:$D$8001,4,FALSE())</f>
        <v>91</v>
      </c>
      <c r="AP24" s="0" t="n">
        <f aca="false">VLOOKUP(AP$1+1000*$A24,MASTER6!$A$2:$D$8001,4,FALSE())</f>
        <v>0</v>
      </c>
      <c r="AQ24" s="0" t="n">
        <f aca="false">VLOOKUP(AQ$1+1000*$A24,MASTER6!$A$2:$D$8001,4,FALSE())</f>
        <v>0</v>
      </c>
      <c r="AR24" s="0" t="n">
        <f aca="false">VLOOKUP(AR$1+1000*$A24,MASTER6!$A$2:$D$8001,4,FALSE())</f>
        <v>0</v>
      </c>
      <c r="AS24" s="0" t="e">
        <f aca="false">VLOOKUP(AS$1+1000*$A24,MASTER6!$A$2:$D$8001,4,FALSE())</f>
        <v>#N/A</v>
      </c>
      <c r="AT24" s="0" t="e">
        <f aca="false">VLOOKUP(AT$1+1000*$A24,MASTER6!$A$2:$D$8001,4,FALSE())</f>
        <v>#N/A</v>
      </c>
      <c r="AU24" s="0" t="n">
        <f aca="false">VLOOKUP(AU$1+1000*$A24,MASTER6!$A$2:$D$8001,4,FALSE())</f>
        <v>0</v>
      </c>
      <c r="AV24" s="0" t="e">
        <f aca="false">VLOOKUP(AV$1+1000*$A24,MASTER6!$A$2:$D$8001,4,FALSE())</f>
        <v>#N/A</v>
      </c>
      <c r="AW24" s="0" t="n">
        <f aca="false">VLOOKUP(AW$1+1000*$A24,MASTER6!$A$2:$D$8001,4,FALSE())</f>
        <v>0</v>
      </c>
      <c r="AX24" s="0" t="n">
        <f aca="false">VLOOKUP(AX$1+1000*$A24,MASTER6!$A$2:$D$8001,4,FALSE())</f>
        <v>1508</v>
      </c>
      <c r="AY24" s="0" t="n">
        <f aca="false">VLOOKUP(AY$1+1000*$A24,MASTER6!$A$2:$D$8001,4,FALSE())</f>
        <v>1001</v>
      </c>
      <c r="AZ24" s="0" t="n">
        <f aca="false">VLOOKUP(AZ$1+1000*$A24,MASTER6!$A$2:$D$8001,4,FALSE())</f>
        <v>650</v>
      </c>
      <c r="BA24" s="0" t="n">
        <f aca="false">VLOOKUP(BA$1+1000*$A24,MASTER6!$A$2:$D$8001,4,FALSE())</f>
        <v>0</v>
      </c>
      <c r="BB24" s="0" t="n">
        <f aca="false">VLOOKUP(BB$1+1000*$A24,MASTER6!$A$2:$D$8001,4,FALSE())</f>
        <v>0</v>
      </c>
      <c r="BC24" s="0" t="n">
        <f aca="false">VLOOKUP(BC$1+1000*$A24,MASTER6!$A$2:$D$8001,4,FALSE())</f>
        <v>0</v>
      </c>
      <c r="BD24" s="0" t="n">
        <f aca="false">VLOOKUP(BD$1+1000*$A24,MASTER6!$A$2:$D$8001,4,FALSE())</f>
        <v>0</v>
      </c>
      <c r="BE24" s="0" t="e">
        <f aca="false">VLOOKUP(BE$1+1000*$A24,MASTER6!$A$2:$D$8001,4,FALSE())</f>
        <v>#N/A</v>
      </c>
      <c r="BF24" s="0" t="n">
        <f aca="false">VLOOKUP(BF$1+1000*$A24,MASTER6!$A$2:$D$8001,4,FALSE())</f>
        <v>0</v>
      </c>
      <c r="BG24" s="0" t="e">
        <f aca="false">VLOOKUP(BG$1+1000*$A24,MASTER6!$A$2:$D$8001,4,FALSE())</f>
        <v>#N/A</v>
      </c>
      <c r="BH24" s="0" t="n">
        <f aca="false">VLOOKUP(BH$1+1000*$A24,MASTER6!$A$2:$D$8001,4,FALSE())</f>
        <v>0</v>
      </c>
      <c r="BI24" s="0" t="n">
        <f aca="false">VLOOKUP(BI$1+1000*$A24,MASTER6!$A$2:$D$8001,4,FALSE())</f>
        <v>0</v>
      </c>
      <c r="BJ24" s="0" t="e">
        <f aca="false">VLOOKUP(BJ$1+1000*$A24,MASTER6!$A$2:$D$8001,4,FALSE())</f>
        <v>#N/A</v>
      </c>
      <c r="BK24" s="0" t="n">
        <f aca="false">VLOOKUP(BK$1+1000*$A24,MASTER6!$A$2:$D$8001,4,FALSE())</f>
        <v>0</v>
      </c>
      <c r="BL24" s="0" t="e">
        <f aca="false">VLOOKUP(BL$1+1000*$A24,MASTER6!$A$2:$D$8001,4,FALSE())</f>
        <v>#N/A</v>
      </c>
      <c r="BM24" s="0" t="n">
        <f aca="false">VLOOKUP(BM$1+1000*$A24,MASTER6!$A$2:$D$8001,4,FALSE())</f>
        <v>0</v>
      </c>
      <c r="BN24" s="0" t="n">
        <f aca="false">VLOOKUP(BN$1+1000*$A24,MASTER6!$A$2:$D$8001,4,FALSE())</f>
        <v>65</v>
      </c>
      <c r="BO24" s="0" t="n">
        <f aca="false">VLOOKUP(BO$1+1000*$A24,MASTER6!$A$2:$D$8001,4,FALSE())</f>
        <v>0</v>
      </c>
      <c r="BP24" s="0" t="n">
        <f aca="false">VLOOKUP(BP$1+1000*$A24,MASTER6!$A$2:$D$8001,4,FALSE())</f>
        <v>0</v>
      </c>
      <c r="BQ24" s="0" t="e">
        <f aca="false">VLOOKUP(BQ$1+1000*$A24,MASTER6!$A$2:$D$8001,4,FALSE())</f>
        <v>#N/A</v>
      </c>
      <c r="BR24" s="0" t="n">
        <f aca="false">VLOOKUP(BR$1+1000*$A24,MASTER6!$A$2:$D$8001,4,FALSE())</f>
        <v>0</v>
      </c>
      <c r="BS24" s="0" t="e">
        <f aca="false">VLOOKUP(BS$1+1000*$A24,MASTER6!$A$2:$D$8001,4,FALSE())</f>
        <v>#N/A</v>
      </c>
      <c r="BT24" s="0" t="n">
        <f aca="false">VLOOKUP(BT$1+1000*$A24,MASTER6!$A$2:$D$8001,4,FALSE())</f>
        <v>0</v>
      </c>
      <c r="BU24" s="0" t="n">
        <f aca="false">VLOOKUP(BU$1+1000*$A24,MASTER6!$A$2:$D$8001,4,FALSE())</f>
        <v>0</v>
      </c>
      <c r="BV24" s="0" t="n">
        <f aca="false">VLOOKUP(BV$1+1000*$A24,MASTER6!$A$2:$D$8001,4,FALSE())</f>
        <v>0</v>
      </c>
      <c r="BW24" s="0" t="e">
        <f aca="false">VLOOKUP(BW$1+1000*$A24,MASTER6!$A$2:$D$8001,4,FALSE())</f>
        <v>#N/A</v>
      </c>
      <c r="BX24" s="0" t="n">
        <f aca="false">VLOOKUP(BX$1+1000*$A24,MASTER6!$A$2:$D$8001,4,FALSE())</f>
        <v>0</v>
      </c>
      <c r="BY24" s="0" t="n">
        <f aca="false">VLOOKUP(BY$1+1000*$A24,MASTER6!$A$2:$D$8001,4,FALSE())</f>
        <v>0</v>
      </c>
      <c r="BZ24" s="0" t="e">
        <f aca="false">VLOOKUP(BZ$1+1000*$A24,MASTER6!$A$2:$D$8001,4,FALSE())</f>
        <v>#N/A</v>
      </c>
      <c r="CA24" s="0" t="e">
        <f aca="false">VLOOKUP(CA$1+1000*$A24,MASTER6!$A$2:$D$8001,4,FALSE())</f>
        <v>#N/A</v>
      </c>
      <c r="CB24" s="0" t="n">
        <f aca="false">VLOOKUP(CB$1+1000*$A24,MASTER6!$A$2:$D$8001,4,FALSE())</f>
        <v>0</v>
      </c>
      <c r="CC24" s="0" t="n">
        <f aca="false">VLOOKUP(CC$1+1000*$A24,MASTER6!$A$2:$D$8001,4,FALSE())</f>
        <v>0</v>
      </c>
      <c r="CD24" s="0" t="e">
        <f aca="false">VLOOKUP(CD$1+1000*$A24,MASTER6!$A$2:$D$8001,4,FALSE())</f>
        <v>#N/A</v>
      </c>
      <c r="CE24" s="0" t="n">
        <f aca="false">VLOOKUP(CE$1+1000*$A24,MASTER6!$A$2:$D$8001,4,FALSE())</f>
        <v>0</v>
      </c>
      <c r="CF24" s="0" t="e">
        <f aca="false">VLOOKUP(CF$1+1000*$A24,MASTER6!$A$2:$D$8001,4,FALSE())</f>
        <v>#N/A</v>
      </c>
      <c r="CG24" s="0" t="e">
        <f aca="false">VLOOKUP(CG$1+1000*$A24,MASTER6!$A$2:$D$8001,4,FALSE())</f>
        <v>#N/A</v>
      </c>
      <c r="CH24" s="0" t="n">
        <f aca="false">VLOOKUP(CH$1+1000*$A24,MASTER6!$A$2:$D$8001,4,FALSE())</f>
        <v>154115</v>
      </c>
      <c r="CI24" s="0" t="n">
        <f aca="false">VLOOKUP(CI$1+1000*$A24,MASTER6!$A$2:$D$8001,4,FALSE())</f>
        <v>117</v>
      </c>
      <c r="CJ24" s="0" t="e">
        <f aca="false">VLOOKUP(CJ$1+1000*$A24,MASTER6!$A$2:$D$8001,4,FALSE())</f>
        <v>#N/A</v>
      </c>
    </row>
    <row r="25" customFormat="false" ht="12.75" hidden="false" customHeight="false" outlineLevel="0" collapsed="false">
      <c r="A25" s="0" t="n">
        <v>24</v>
      </c>
      <c r="B25" s="0" t="n">
        <f aca="false">VLOOKUP(B$1+1000*$A25,MASTER6!$A$2:$D$8001,4,FALSE())</f>
        <v>130</v>
      </c>
      <c r="C25" s="0" t="n">
        <f aca="false">VLOOKUP(C$1+1000*$A25,MASTER6!$A$2:$D$8001,4,FALSE())</f>
        <v>0</v>
      </c>
      <c r="D25" s="0" t="n">
        <f aca="false">VLOOKUP(D$1+1000*$A25,MASTER6!$A$2:$D$8001,4,FALSE())</f>
        <v>0</v>
      </c>
      <c r="E25" s="0" t="n">
        <f aca="false">VLOOKUP(E$1+1000*$A25,MASTER6!$A$2:$D$8001,4,FALSE())</f>
        <v>0</v>
      </c>
      <c r="F25" s="0" t="n">
        <f aca="false">VLOOKUP(F$1+1000*$A25,MASTER6!$A$2:$D$8001,4,FALSE())</f>
        <v>0</v>
      </c>
      <c r="G25" s="0" t="n">
        <f aca="false">VLOOKUP(G$1+1000*$A25,MASTER6!$A$2:$D$8001,4,FALSE())</f>
        <v>0</v>
      </c>
      <c r="H25" s="0" t="n">
        <f aca="false">VLOOKUP(H$1+1000*$A25,MASTER6!$A$2:$D$8001,4,FALSE())</f>
        <v>0</v>
      </c>
      <c r="I25" s="0" t="n">
        <f aca="false">VLOOKUP(I$1+1000*$A25,MASTER6!$A$2:$D$8001,4,FALSE())</f>
        <v>0</v>
      </c>
      <c r="J25" s="0" t="n">
        <f aca="false">VLOOKUP(J$1+1000*$A25,MASTER6!$A$2:$D$8001,4,FALSE())</f>
        <v>0</v>
      </c>
      <c r="K25" s="0" t="n">
        <f aca="false">VLOOKUP(K$1+1000*$A25,MASTER6!$A$2:$D$8001,4,FALSE())</f>
        <v>0</v>
      </c>
      <c r="L25" s="0" t="n">
        <f aca="false">VLOOKUP(L$1+1000*$A25,MASTER6!$A$2:$D$8001,4,FALSE())</f>
        <v>0</v>
      </c>
      <c r="M25" s="0" t="n">
        <f aca="false">VLOOKUP(M$1+1000*$A25,MASTER6!$A$2:$D$8001,4,FALSE())</f>
        <v>0</v>
      </c>
      <c r="N25" s="0" t="n">
        <f aca="false">VLOOKUP(N$1+1000*$A25,MASTER6!$A$2:$D$8001,4,FALSE())</f>
        <v>0</v>
      </c>
      <c r="O25" s="0" t="n">
        <f aca="false">VLOOKUP(O$1+1000*$A25,MASTER6!$A$2:$D$8001,4,FALSE())</f>
        <v>0</v>
      </c>
      <c r="P25" s="0" t="n">
        <f aca="false">VLOOKUP(P$1+1000*$A25,MASTER6!$A$2:$D$8001,4,FALSE())</f>
        <v>0</v>
      </c>
      <c r="Q25" s="0" t="n">
        <f aca="false">VLOOKUP(Q$1+1000*$A25,MASTER6!$A$2:$D$8001,4,FALSE())</f>
        <v>208</v>
      </c>
      <c r="R25" s="0" t="n">
        <f aca="false">VLOOKUP(R$1+1000*$A25,MASTER6!$A$2:$D$8001,4,FALSE())</f>
        <v>0</v>
      </c>
      <c r="S25" s="0" t="n">
        <f aca="false">VLOOKUP(S$1+1000*$A25,MASTER6!$A$2:$D$8001,4,FALSE())</f>
        <v>312</v>
      </c>
      <c r="T25" s="0" t="n">
        <f aca="false">VLOOKUP(T$1+1000*$A25,MASTER6!$A$2:$D$8001,4,FALSE())</f>
        <v>91</v>
      </c>
      <c r="U25" s="0" t="n">
        <f aca="false">VLOOKUP(U$1+1000*$A25,MASTER6!$A$2:$D$8001,4,FALSE())</f>
        <v>234</v>
      </c>
      <c r="V25" s="0" t="n">
        <f aca="false">VLOOKUP(V$1+1000*$A25,MASTER6!$A$2:$D$8001,4,FALSE())</f>
        <v>2990</v>
      </c>
      <c r="W25" s="0" t="n">
        <f aca="false">VLOOKUP(W$1+1000*$A25,MASTER6!$A$2:$D$8001,4,FALSE())</f>
        <v>143</v>
      </c>
      <c r="X25" s="0" t="n">
        <f aca="false">VLOOKUP(X$1+1000*$A25,MASTER6!$A$2:$D$8001,4,FALSE())</f>
        <v>3510</v>
      </c>
      <c r="Y25" s="0" t="n">
        <f aca="false">VLOOKUP(Y$1+1000*$A25,MASTER6!$A$2:$D$8001,4,FALSE())</f>
        <v>37934</v>
      </c>
      <c r="Z25" s="0" t="n">
        <f aca="false">VLOOKUP(Z$1+1000*$A25,MASTER6!$A$2:$D$8001,4,FALSE())</f>
        <v>16081</v>
      </c>
      <c r="AA25" s="0" t="n">
        <f aca="false">VLOOKUP(AA$1+1000*$A25,MASTER6!$A$2:$D$8001,4,FALSE())</f>
        <v>169</v>
      </c>
      <c r="AB25" s="0" t="n">
        <f aca="false">VLOOKUP(AB$1+1000*$A25,MASTER6!$A$2:$D$8001,4,FALSE())</f>
        <v>0</v>
      </c>
      <c r="AC25" s="0" t="n">
        <f aca="false">VLOOKUP(AC$1+1000*$A25,MASTER6!$A$2:$D$8001,4,FALSE())</f>
        <v>65</v>
      </c>
      <c r="AD25" s="0" t="n">
        <f aca="false">VLOOKUP(AD$1+1000*$A25,MASTER6!$A$2:$D$8001,4,FALSE())</f>
        <v>65</v>
      </c>
      <c r="AE25" s="0" t="n">
        <f aca="false">VLOOKUP(AE$1+1000*$A25,MASTER6!$A$2:$D$8001,4,FALSE())</f>
        <v>1196</v>
      </c>
      <c r="AF25" s="0" t="n">
        <f aca="false">VLOOKUP(AF$1+1000*$A25,MASTER6!$A$2:$D$8001,4,FALSE())</f>
        <v>0</v>
      </c>
      <c r="AG25" s="0" t="n">
        <f aca="false">VLOOKUP(AG$1+1000*$A25,MASTER6!$A$2:$D$8001,4,FALSE())</f>
        <v>0</v>
      </c>
      <c r="AH25" s="0" t="n">
        <f aca="false">VLOOKUP(AH$1+1000*$A25,MASTER6!$A$2:$D$8001,4,FALSE())</f>
        <v>0</v>
      </c>
      <c r="AI25" s="0" t="n">
        <f aca="false">VLOOKUP(AI$1+1000*$A25,MASTER6!$A$2:$D$8001,4,FALSE())</f>
        <v>0</v>
      </c>
      <c r="AJ25" s="0" t="n">
        <f aca="false">VLOOKUP(AJ$1+1000*$A25,MASTER6!$A$2:$D$8001,4,FALSE())</f>
        <v>0</v>
      </c>
      <c r="AK25" s="0" t="e">
        <f aca="false">VLOOKUP(AK$1+1000*$A25,MASTER6!$A$2:$D$8001,4,FALSE())</f>
        <v>#N/A</v>
      </c>
      <c r="AL25" s="0" t="n">
        <f aca="false">VLOOKUP(AL$1+1000*$A25,MASTER6!$A$2:$D$8001,4,FALSE())</f>
        <v>0</v>
      </c>
      <c r="AM25" s="0" t="n">
        <f aca="false">VLOOKUP(AM$1+1000*$A25,MASTER6!$A$2:$D$8001,4,FALSE())</f>
        <v>0</v>
      </c>
      <c r="AN25" s="0" t="n">
        <f aca="false">VLOOKUP(AN$1+1000*$A25,MASTER6!$A$2:$D$8001,4,FALSE())</f>
        <v>0</v>
      </c>
      <c r="AO25" s="0" t="n">
        <f aca="false">VLOOKUP(AO$1+1000*$A25,MASTER6!$A$2:$D$8001,4,FALSE())</f>
        <v>0</v>
      </c>
      <c r="AP25" s="0" t="n">
        <f aca="false">VLOOKUP(AP$1+1000*$A25,MASTER6!$A$2:$D$8001,4,FALSE())</f>
        <v>0</v>
      </c>
      <c r="AQ25" s="0" t="n">
        <f aca="false">VLOOKUP(AQ$1+1000*$A25,MASTER6!$A$2:$D$8001,4,FALSE())</f>
        <v>0</v>
      </c>
      <c r="AR25" s="0" t="n">
        <f aca="false">VLOOKUP(AR$1+1000*$A25,MASTER6!$A$2:$D$8001,4,FALSE())</f>
        <v>0</v>
      </c>
      <c r="AS25" s="0" t="e">
        <f aca="false">VLOOKUP(AS$1+1000*$A25,MASTER6!$A$2:$D$8001,4,FALSE())</f>
        <v>#N/A</v>
      </c>
      <c r="AT25" s="0" t="e">
        <f aca="false">VLOOKUP(AT$1+1000*$A25,MASTER6!$A$2:$D$8001,4,FALSE())</f>
        <v>#N/A</v>
      </c>
      <c r="AU25" s="0" t="n">
        <f aca="false">VLOOKUP(AU$1+1000*$A25,MASTER6!$A$2:$D$8001,4,FALSE())</f>
        <v>0</v>
      </c>
      <c r="AV25" s="0" t="e">
        <f aca="false">VLOOKUP(AV$1+1000*$A25,MASTER6!$A$2:$D$8001,4,FALSE())</f>
        <v>#N/A</v>
      </c>
      <c r="AW25" s="0" t="n">
        <f aca="false">VLOOKUP(AW$1+1000*$A25,MASTER6!$A$2:$D$8001,4,FALSE())</f>
        <v>0</v>
      </c>
      <c r="AX25" s="0" t="n">
        <f aca="false">VLOOKUP(AX$1+1000*$A25,MASTER6!$A$2:$D$8001,4,FALSE())</f>
        <v>1326</v>
      </c>
      <c r="AY25" s="0" t="n">
        <f aca="false">VLOOKUP(AY$1+1000*$A25,MASTER6!$A$2:$D$8001,4,FALSE())</f>
        <v>325</v>
      </c>
      <c r="AZ25" s="0" t="n">
        <f aca="false">VLOOKUP(AZ$1+1000*$A25,MASTER6!$A$2:$D$8001,4,FALSE())</f>
        <v>676</v>
      </c>
      <c r="BA25" s="0" t="n">
        <f aca="false">VLOOKUP(BA$1+1000*$A25,MASTER6!$A$2:$D$8001,4,FALSE())</f>
        <v>0</v>
      </c>
      <c r="BB25" s="0" t="n">
        <f aca="false">VLOOKUP(BB$1+1000*$A25,MASTER6!$A$2:$D$8001,4,FALSE())</f>
        <v>0</v>
      </c>
      <c r="BC25" s="0" t="n">
        <f aca="false">VLOOKUP(BC$1+1000*$A25,MASTER6!$A$2:$D$8001,4,FALSE())</f>
        <v>0</v>
      </c>
      <c r="BD25" s="0" t="n">
        <f aca="false">VLOOKUP(BD$1+1000*$A25,MASTER6!$A$2:$D$8001,4,FALSE())</f>
        <v>0</v>
      </c>
      <c r="BE25" s="0" t="e">
        <f aca="false">VLOOKUP(BE$1+1000*$A25,MASTER6!$A$2:$D$8001,4,FALSE())</f>
        <v>#N/A</v>
      </c>
      <c r="BF25" s="0" t="n">
        <f aca="false">VLOOKUP(BF$1+1000*$A25,MASTER6!$A$2:$D$8001,4,FALSE())</f>
        <v>0</v>
      </c>
      <c r="BG25" s="0" t="e">
        <f aca="false">VLOOKUP(BG$1+1000*$A25,MASTER6!$A$2:$D$8001,4,FALSE())</f>
        <v>#N/A</v>
      </c>
      <c r="BH25" s="0" t="n">
        <f aca="false">VLOOKUP(BH$1+1000*$A25,MASTER6!$A$2:$D$8001,4,FALSE())</f>
        <v>0</v>
      </c>
      <c r="BI25" s="0" t="n">
        <f aca="false">VLOOKUP(BI$1+1000*$A25,MASTER6!$A$2:$D$8001,4,FALSE())</f>
        <v>0</v>
      </c>
      <c r="BJ25" s="0" t="e">
        <f aca="false">VLOOKUP(BJ$1+1000*$A25,MASTER6!$A$2:$D$8001,4,FALSE())</f>
        <v>#N/A</v>
      </c>
      <c r="BK25" s="0" t="n">
        <f aca="false">VLOOKUP(BK$1+1000*$A25,MASTER6!$A$2:$D$8001,4,FALSE())</f>
        <v>0</v>
      </c>
      <c r="BL25" s="0" t="e">
        <f aca="false">VLOOKUP(BL$1+1000*$A25,MASTER6!$A$2:$D$8001,4,FALSE())</f>
        <v>#N/A</v>
      </c>
      <c r="BM25" s="0" t="n">
        <f aca="false">VLOOKUP(BM$1+1000*$A25,MASTER6!$A$2:$D$8001,4,FALSE())</f>
        <v>0</v>
      </c>
      <c r="BN25" s="0" t="n">
        <f aca="false">VLOOKUP(BN$1+1000*$A25,MASTER6!$A$2:$D$8001,4,FALSE())</f>
        <v>0</v>
      </c>
      <c r="BO25" s="0" t="n">
        <f aca="false">VLOOKUP(BO$1+1000*$A25,MASTER6!$A$2:$D$8001,4,FALSE())</f>
        <v>0</v>
      </c>
      <c r="BP25" s="0" t="n">
        <f aca="false">VLOOKUP(BP$1+1000*$A25,MASTER6!$A$2:$D$8001,4,FALSE())</f>
        <v>0</v>
      </c>
      <c r="BQ25" s="0" t="e">
        <f aca="false">VLOOKUP(BQ$1+1000*$A25,MASTER6!$A$2:$D$8001,4,FALSE())</f>
        <v>#N/A</v>
      </c>
      <c r="BR25" s="0" t="n">
        <f aca="false">VLOOKUP(BR$1+1000*$A25,MASTER6!$A$2:$D$8001,4,FALSE())</f>
        <v>0</v>
      </c>
      <c r="BS25" s="0" t="e">
        <f aca="false">VLOOKUP(BS$1+1000*$A25,MASTER6!$A$2:$D$8001,4,FALSE())</f>
        <v>#N/A</v>
      </c>
      <c r="BT25" s="0" t="n">
        <f aca="false">VLOOKUP(BT$1+1000*$A25,MASTER6!$A$2:$D$8001,4,FALSE())</f>
        <v>0</v>
      </c>
      <c r="BU25" s="0" t="n">
        <f aca="false">VLOOKUP(BU$1+1000*$A25,MASTER6!$A$2:$D$8001,4,FALSE())</f>
        <v>0</v>
      </c>
      <c r="BV25" s="0" t="n">
        <f aca="false">VLOOKUP(BV$1+1000*$A25,MASTER6!$A$2:$D$8001,4,FALSE())</f>
        <v>0</v>
      </c>
      <c r="BW25" s="0" t="e">
        <f aca="false">VLOOKUP(BW$1+1000*$A25,MASTER6!$A$2:$D$8001,4,FALSE())</f>
        <v>#N/A</v>
      </c>
      <c r="BX25" s="0" t="n">
        <f aca="false">VLOOKUP(BX$1+1000*$A25,MASTER6!$A$2:$D$8001,4,FALSE())</f>
        <v>0</v>
      </c>
      <c r="BY25" s="0" t="n">
        <f aca="false">VLOOKUP(BY$1+1000*$A25,MASTER6!$A$2:$D$8001,4,FALSE())</f>
        <v>234</v>
      </c>
      <c r="BZ25" s="0" t="e">
        <f aca="false">VLOOKUP(BZ$1+1000*$A25,MASTER6!$A$2:$D$8001,4,FALSE())</f>
        <v>#N/A</v>
      </c>
      <c r="CA25" s="0" t="e">
        <f aca="false">VLOOKUP(CA$1+1000*$A25,MASTER6!$A$2:$D$8001,4,FALSE())</f>
        <v>#N/A</v>
      </c>
      <c r="CB25" s="0" t="n">
        <f aca="false">VLOOKUP(CB$1+1000*$A25,MASTER6!$A$2:$D$8001,4,FALSE())</f>
        <v>0</v>
      </c>
      <c r="CC25" s="0" t="n">
        <f aca="false">VLOOKUP(CC$1+1000*$A25,MASTER6!$A$2:$D$8001,4,FALSE())</f>
        <v>0</v>
      </c>
      <c r="CD25" s="0" t="e">
        <f aca="false">VLOOKUP(CD$1+1000*$A25,MASTER6!$A$2:$D$8001,4,FALSE())</f>
        <v>#N/A</v>
      </c>
      <c r="CE25" s="0" t="n">
        <f aca="false">VLOOKUP(CE$1+1000*$A25,MASTER6!$A$2:$D$8001,4,FALSE())</f>
        <v>0</v>
      </c>
      <c r="CF25" s="0" t="e">
        <f aca="false">VLOOKUP(CF$1+1000*$A25,MASTER6!$A$2:$D$8001,4,FALSE())</f>
        <v>#N/A</v>
      </c>
      <c r="CG25" s="0" t="e">
        <f aca="false">VLOOKUP(CG$1+1000*$A25,MASTER6!$A$2:$D$8001,4,FALSE())</f>
        <v>#N/A</v>
      </c>
      <c r="CH25" s="0" t="n">
        <f aca="false">VLOOKUP(CH$1+1000*$A25,MASTER6!$A$2:$D$8001,4,FALSE())</f>
        <v>94055</v>
      </c>
      <c r="CI25" s="0" t="n">
        <f aca="false">VLOOKUP(CI$1+1000*$A25,MASTER6!$A$2:$D$8001,4,FALSE())</f>
        <v>0</v>
      </c>
      <c r="CJ25" s="0" t="e">
        <f aca="false">VLOOKUP(CJ$1+1000*$A25,MASTER6!$A$2:$D$8001,4,FALSE())</f>
        <v>#N/A</v>
      </c>
    </row>
    <row r="26" customFormat="false" ht="12.75" hidden="false" customHeight="false" outlineLevel="0" collapsed="false">
      <c r="A26" s="0" t="n">
        <v>25</v>
      </c>
      <c r="B26" s="0" t="n">
        <f aca="false">VLOOKUP(B$1+1000*$A26,MASTER6!$A$2:$D$8001,4,FALSE())</f>
        <v>78</v>
      </c>
      <c r="C26" s="0" t="n">
        <f aca="false">VLOOKUP(C$1+1000*$A26,MASTER6!$A$2:$D$8001,4,FALSE())</f>
        <v>0</v>
      </c>
      <c r="D26" s="0" t="n">
        <f aca="false">VLOOKUP(D$1+1000*$A26,MASTER6!$A$2:$D$8001,4,FALSE())</f>
        <v>0</v>
      </c>
      <c r="E26" s="0" t="n">
        <f aca="false">VLOOKUP(E$1+1000*$A26,MASTER6!$A$2:$D$8001,4,FALSE())</f>
        <v>0</v>
      </c>
      <c r="F26" s="0" t="n">
        <f aca="false">VLOOKUP(F$1+1000*$A26,MASTER6!$A$2:$D$8001,4,FALSE())</f>
        <v>0</v>
      </c>
      <c r="G26" s="0" t="n">
        <f aca="false">VLOOKUP(G$1+1000*$A26,MASTER6!$A$2:$D$8001,4,FALSE())</f>
        <v>0</v>
      </c>
      <c r="H26" s="0" t="n">
        <f aca="false">VLOOKUP(H$1+1000*$A26,MASTER6!$A$2:$D$8001,4,FALSE())</f>
        <v>0</v>
      </c>
      <c r="I26" s="0" t="n">
        <f aca="false">VLOOKUP(I$1+1000*$A26,MASTER6!$A$2:$D$8001,4,FALSE())</f>
        <v>0</v>
      </c>
      <c r="J26" s="0" t="n">
        <f aca="false">VLOOKUP(J$1+1000*$A26,MASTER6!$A$2:$D$8001,4,FALSE())</f>
        <v>0</v>
      </c>
      <c r="K26" s="0" t="n">
        <f aca="false">VLOOKUP(K$1+1000*$A26,MASTER6!$A$2:$D$8001,4,FALSE())</f>
        <v>0</v>
      </c>
      <c r="L26" s="0" t="n">
        <f aca="false">VLOOKUP(L$1+1000*$A26,MASTER6!$A$2:$D$8001,4,FALSE())</f>
        <v>0</v>
      </c>
      <c r="M26" s="0" t="n">
        <f aca="false">VLOOKUP(M$1+1000*$A26,MASTER6!$A$2:$D$8001,4,FALSE())</f>
        <v>156</v>
      </c>
      <c r="N26" s="0" t="n">
        <f aca="false">VLOOKUP(N$1+1000*$A26,MASTER6!$A$2:$D$8001,4,FALSE())</f>
        <v>0</v>
      </c>
      <c r="O26" s="0" t="n">
        <f aca="false">VLOOKUP(O$1+1000*$A26,MASTER6!$A$2:$D$8001,4,FALSE())</f>
        <v>0</v>
      </c>
      <c r="P26" s="0" t="n">
        <f aca="false">VLOOKUP(P$1+1000*$A26,MASTER6!$A$2:$D$8001,4,FALSE())</f>
        <v>0</v>
      </c>
      <c r="Q26" s="0" t="n">
        <f aca="false">VLOOKUP(Q$1+1000*$A26,MASTER6!$A$2:$D$8001,4,FALSE())</f>
        <v>0</v>
      </c>
      <c r="R26" s="0" t="n">
        <f aca="false">VLOOKUP(R$1+1000*$A26,MASTER6!$A$2:$D$8001,4,FALSE())</f>
        <v>0</v>
      </c>
      <c r="S26" s="0" t="n">
        <f aca="false">VLOOKUP(S$1+1000*$A26,MASTER6!$A$2:$D$8001,4,FALSE())</f>
        <v>364</v>
      </c>
      <c r="T26" s="0" t="n">
        <f aca="false">VLOOKUP(T$1+1000*$A26,MASTER6!$A$2:$D$8001,4,FALSE())</f>
        <v>78</v>
      </c>
      <c r="U26" s="0" t="n">
        <f aca="false">VLOOKUP(U$1+1000*$A26,MASTER6!$A$2:$D$8001,4,FALSE())</f>
        <v>299</v>
      </c>
      <c r="V26" s="0" t="n">
        <f aca="false">VLOOKUP(V$1+1000*$A26,MASTER6!$A$2:$D$8001,4,FALSE())</f>
        <v>1976</v>
      </c>
      <c r="W26" s="0" t="n">
        <f aca="false">VLOOKUP(W$1+1000*$A26,MASTER6!$A$2:$D$8001,4,FALSE())</f>
        <v>65</v>
      </c>
      <c r="X26" s="0" t="n">
        <f aca="false">VLOOKUP(X$1+1000*$A26,MASTER6!$A$2:$D$8001,4,FALSE())</f>
        <v>3029</v>
      </c>
      <c r="Y26" s="0" t="n">
        <f aca="false">VLOOKUP(Y$1+1000*$A26,MASTER6!$A$2:$D$8001,4,FALSE())</f>
        <v>22893</v>
      </c>
      <c r="Z26" s="0" t="n">
        <f aca="false">VLOOKUP(Z$1+1000*$A26,MASTER6!$A$2:$D$8001,4,FALSE())</f>
        <v>42302</v>
      </c>
      <c r="AA26" s="0" t="n">
        <f aca="false">VLOOKUP(AA$1+1000*$A26,MASTER6!$A$2:$D$8001,4,FALSE())</f>
        <v>325</v>
      </c>
      <c r="AB26" s="0" t="n">
        <f aca="false">VLOOKUP(AB$1+1000*$A26,MASTER6!$A$2:$D$8001,4,FALSE())</f>
        <v>117</v>
      </c>
      <c r="AC26" s="0" t="n">
        <f aca="false">VLOOKUP(AC$1+1000*$A26,MASTER6!$A$2:$D$8001,4,FALSE())</f>
        <v>104</v>
      </c>
      <c r="AD26" s="0" t="n">
        <f aca="false">VLOOKUP(AD$1+1000*$A26,MASTER6!$A$2:$D$8001,4,FALSE())</f>
        <v>0</v>
      </c>
      <c r="AE26" s="0" t="n">
        <f aca="false">VLOOKUP(AE$1+1000*$A26,MASTER6!$A$2:$D$8001,4,FALSE())</f>
        <v>2457</v>
      </c>
      <c r="AF26" s="0" t="n">
        <f aca="false">VLOOKUP(AF$1+1000*$A26,MASTER6!$A$2:$D$8001,4,FALSE())</f>
        <v>0</v>
      </c>
      <c r="AG26" s="0" t="n">
        <f aca="false">VLOOKUP(AG$1+1000*$A26,MASTER6!$A$2:$D$8001,4,FALSE())</f>
        <v>0</v>
      </c>
      <c r="AH26" s="0" t="n">
        <f aca="false">VLOOKUP(AH$1+1000*$A26,MASTER6!$A$2:$D$8001,4,FALSE())</f>
        <v>0</v>
      </c>
      <c r="AI26" s="0" t="n">
        <f aca="false">VLOOKUP(AI$1+1000*$A26,MASTER6!$A$2:$D$8001,4,FALSE())</f>
        <v>0</v>
      </c>
      <c r="AJ26" s="0" t="n">
        <f aca="false">VLOOKUP(AJ$1+1000*$A26,MASTER6!$A$2:$D$8001,4,FALSE())</f>
        <v>0</v>
      </c>
      <c r="AK26" s="0" t="e">
        <f aca="false">VLOOKUP(AK$1+1000*$A26,MASTER6!$A$2:$D$8001,4,FALSE())</f>
        <v>#N/A</v>
      </c>
      <c r="AL26" s="0" t="n">
        <f aca="false">VLOOKUP(AL$1+1000*$A26,MASTER6!$A$2:$D$8001,4,FALSE())</f>
        <v>0</v>
      </c>
      <c r="AM26" s="0" t="n">
        <f aca="false">VLOOKUP(AM$1+1000*$A26,MASTER6!$A$2:$D$8001,4,FALSE())</f>
        <v>0</v>
      </c>
      <c r="AN26" s="0" t="n">
        <f aca="false">VLOOKUP(AN$1+1000*$A26,MASTER6!$A$2:$D$8001,4,FALSE())</f>
        <v>0</v>
      </c>
      <c r="AO26" s="0" t="n">
        <f aca="false">VLOOKUP(AO$1+1000*$A26,MASTER6!$A$2:$D$8001,4,FALSE())</f>
        <v>182</v>
      </c>
      <c r="AP26" s="0" t="n">
        <f aca="false">VLOOKUP(AP$1+1000*$A26,MASTER6!$A$2:$D$8001,4,FALSE())</f>
        <v>0</v>
      </c>
      <c r="AQ26" s="0" t="n">
        <f aca="false">VLOOKUP(AQ$1+1000*$A26,MASTER6!$A$2:$D$8001,4,FALSE())</f>
        <v>0</v>
      </c>
      <c r="AR26" s="0" t="n">
        <f aca="false">VLOOKUP(AR$1+1000*$A26,MASTER6!$A$2:$D$8001,4,FALSE())</f>
        <v>0</v>
      </c>
      <c r="AS26" s="0" t="e">
        <f aca="false">VLOOKUP(AS$1+1000*$A26,MASTER6!$A$2:$D$8001,4,FALSE())</f>
        <v>#N/A</v>
      </c>
      <c r="AT26" s="0" t="e">
        <f aca="false">VLOOKUP(AT$1+1000*$A26,MASTER6!$A$2:$D$8001,4,FALSE())</f>
        <v>#N/A</v>
      </c>
      <c r="AU26" s="0" t="n">
        <f aca="false">VLOOKUP(AU$1+1000*$A26,MASTER6!$A$2:$D$8001,4,FALSE())</f>
        <v>0</v>
      </c>
      <c r="AV26" s="0" t="e">
        <f aca="false">VLOOKUP(AV$1+1000*$A26,MASTER6!$A$2:$D$8001,4,FALSE())</f>
        <v>#N/A</v>
      </c>
      <c r="AW26" s="0" t="n">
        <f aca="false">VLOOKUP(AW$1+1000*$A26,MASTER6!$A$2:$D$8001,4,FALSE())</f>
        <v>0</v>
      </c>
      <c r="AX26" s="0" t="n">
        <f aca="false">VLOOKUP(AX$1+1000*$A26,MASTER6!$A$2:$D$8001,4,FALSE())</f>
        <v>780</v>
      </c>
      <c r="AY26" s="0" t="n">
        <f aca="false">VLOOKUP(AY$1+1000*$A26,MASTER6!$A$2:$D$8001,4,FALSE())</f>
        <v>130</v>
      </c>
      <c r="AZ26" s="0" t="n">
        <f aca="false">VLOOKUP(AZ$1+1000*$A26,MASTER6!$A$2:$D$8001,4,FALSE())</f>
        <v>221</v>
      </c>
      <c r="BA26" s="0" t="n">
        <f aca="false">VLOOKUP(BA$1+1000*$A26,MASTER6!$A$2:$D$8001,4,FALSE())</f>
        <v>0</v>
      </c>
      <c r="BB26" s="0" t="n">
        <f aca="false">VLOOKUP(BB$1+1000*$A26,MASTER6!$A$2:$D$8001,4,FALSE())</f>
        <v>0</v>
      </c>
      <c r="BC26" s="0" t="n">
        <f aca="false">VLOOKUP(BC$1+1000*$A26,MASTER6!$A$2:$D$8001,4,FALSE())</f>
        <v>0</v>
      </c>
      <c r="BD26" s="0" t="n">
        <f aca="false">VLOOKUP(BD$1+1000*$A26,MASTER6!$A$2:$D$8001,4,FALSE())</f>
        <v>0</v>
      </c>
      <c r="BE26" s="0" t="e">
        <f aca="false">VLOOKUP(BE$1+1000*$A26,MASTER6!$A$2:$D$8001,4,FALSE())</f>
        <v>#N/A</v>
      </c>
      <c r="BF26" s="0" t="n">
        <f aca="false">VLOOKUP(BF$1+1000*$A26,MASTER6!$A$2:$D$8001,4,FALSE())</f>
        <v>0</v>
      </c>
      <c r="BG26" s="0" t="e">
        <f aca="false">VLOOKUP(BG$1+1000*$A26,MASTER6!$A$2:$D$8001,4,FALSE())</f>
        <v>#N/A</v>
      </c>
      <c r="BH26" s="0" t="n">
        <f aca="false">VLOOKUP(BH$1+1000*$A26,MASTER6!$A$2:$D$8001,4,FALSE())</f>
        <v>0</v>
      </c>
      <c r="BI26" s="0" t="n">
        <f aca="false">VLOOKUP(BI$1+1000*$A26,MASTER6!$A$2:$D$8001,4,FALSE())</f>
        <v>0</v>
      </c>
      <c r="BJ26" s="0" t="e">
        <f aca="false">VLOOKUP(BJ$1+1000*$A26,MASTER6!$A$2:$D$8001,4,FALSE())</f>
        <v>#N/A</v>
      </c>
      <c r="BK26" s="0" t="n">
        <f aca="false">VLOOKUP(BK$1+1000*$A26,MASTER6!$A$2:$D$8001,4,FALSE())</f>
        <v>0</v>
      </c>
      <c r="BL26" s="0" t="e">
        <f aca="false">VLOOKUP(BL$1+1000*$A26,MASTER6!$A$2:$D$8001,4,FALSE())</f>
        <v>#N/A</v>
      </c>
      <c r="BM26" s="0" t="n">
        <f aca="false">VLOOKUP(BM$1+1000*$A26,MASTER6!$A$2:$D$8001,4,FALSE())</f>
        <v>0</v>
      </c>
      <c r="BN26" s="0" t="n">
        <f aca="false">VLOOKUP(BN$1+1000*$A26,MASTER6!$A$2:$D$8001,4,FALSE())</f>
        <v>78</v>
      </c>
      <c r="BO26" s="0" t="n">
        <f aca="false">VLOOKUP(BO$1+1000*$A26,MASTER6!$A$2:$D$8001,4,FALSE())</f>
        <v>0</v>
      </c>
      <c r="BP26" s="0" t="n">
        <f aca="false">VLOOKUP(BP$1+1000*$A26,MASTER6!$A$2:$D$8001,4,FALSE())</f>
        <v>0</v>
      </c>
      <c r="BQ26" s="0" t="e">
        <f aca="false">VLOOKUP(BQ$1+1000*$A26,MASTER6!$A$2:$D$8001,4,FALSE())</f>
        <v>#N/A</v>
      </c>
      <c r="BR26" s="0" t="n">
        <f aca="false">VLOOKUP(BR$1+1000*$A26,MASTER6!$A$2:$D$8001,4,FALSE())</f>
        <v>78</v>
      </c>
      <c r="BS26" s="0" t="e">
        <f aca="false">VLOOKUP(BS$1+1000*$A26,MASTER6!$A$2:$D$8001,4,FALSE())</f>
        <v>#N/A</v>
      </c>
      <c r="BT26" s="0" t="n">
        <f aca="false">VLOOKUP(BT$1+1000*$A26,MASTER6!$A$2:$D$8001,4,FALSE())</f>
        <v>0</v>
      </c>
      <c r="BU26" s="0" t="n">
        <f aca="false">VLOOKUP(BU$1+1000*$A26,MASTER6!$A$2:$D$8001,4,FALSE())</f>
        <v>91</v>
      </c>
      <c r="BV26" s="0" t="n">
        <f aca="false">VLOOKUP(BV$1+1000*$A26,MASTER6!$A$2:$D$8001,4,FALSE())</f>
        <v>0</v>
      </c>
      <c r="BW26" s="0" t="e">
        <f aca="false">VLOOKUP(BW$1+1000*$A26,MASTER6!$A$2:$D$8001,4,FALSE())</f>
        <v>#N/A</v>
      </c>
      <c r="BX26" s="0" t="n">
        <f aca="false">VLOOKUP(BX$1+1000*$A26,MASTER6!$A$2:$D$8001,4,FALSE())</f>
        <v>0</v>
      </c>
      <c r="BY26" s="0" t="n">
        <f aca="false">VLOOKUP(BY$1+1000*$A26,MASTER6!$A$2:$D$8001,4,FALSE())</f>
        <v>0</v>
      </c>
      <c r="BZ26" s="0" t="e">
        <f aca="false">VLOOKUP(BZ$1+1000*$A26,MASTER6!$A$2:$D$8001,4,FALSE())</f>
        <v>#N/A</v>
      </c>
      <c r="CA26" s="0" t="e">
        <f aca="false">VLOOKUP(CA$1+1000*$A26,MASTER6!$A$2:$D$8001,4,FALSE())</f>
        <v>#N/A</v>
      </c>
      <c r="CB26" s="0" t="n">
        <f aca="false">VLOOKUP(CB$1+1000*$A26,MASTER6!$A$2:$D$8001,4,FALSE())</f>
        <v>0</v>
      </c>
      <c r="CC26" s="0" t="n">
        <f aca="false">VLOOKUP(CC$1+1000*$A26,MASTER6!$A$2:$D$8001,4,FALSE())</f>
        <v>0</v>
      </c>
      <c r="CD26" s="0" t="e">
        <f aca="false">VLOOKUP(CD$1+1000*$A26,MASTER6!$A$2:$D$8001,4,FALSE())</f>
        <v>#N/A</v>
      </c>
      <c r="CE26" s="0" t="n">
        <f aca="false">VLOOKUP(CE$1+1000*$A26,MASTER6!$A$2:$D$8001,4,FALSE())</f>
        <v>0</v>
      </c>
      <c r="CF26" s="0" t="e">
        <f aca="false">VLOOKUP(CF$1+1000*$A26,MASTER6!$A$2:$D$8001,4,FALSE())</f>
        <v>#N/A</v>
      </c>
      <c r="CG26" s="0" t="e">
        <f aca="false">VLOOKUP(CG$1+1000*$A26,MASTER6!$A$2:$D$8001,4,FALSE())</f>
        <v>#N/A</v>
      </c>
      <c r="CH26" s="0" t="n">
        <f aca="false">VLOOKUP(CH$1+1000*$A26,MASTER6!$A$2:$D$8001,4,FALSE())</f>
        <v>125554</v>
      </c>
      <c r="CI26" s="0" t="n">
        <f aca="false">VLOOKUP(CI$1+1000*$A26,MASTER6!$A$2:$D$8001,4,FALSE())</f>
        <v>0</v>
      </c>
      <c r="CJ26" s="0" t="e">
        <f aca="false">VLOOKUP(CJ$1+1000*$A26,MASTER6!$A$2:$D$8001,4,FALSE())</f>
        <v>#N/A</v>
      </c>
    </row>
    <row r="27" customFormat="false" ht="12.75" hidden="false" customHeight="false" outlineLevel="0" collapsed="false">
      <c r="A27" s="0" t="n">
        <v>26</v>
      </c>
      <c r="B27" s="0" t="n">
        <f aca="false">VLOOKUP(B$1+1000*$A27,MASTER6!$A$2:$D$8001,4,FALSE())</f>
        <v>0</v>
      </c>
      <c r="C27" s="0" t="n">
        <f aca="false">VLOOKUP(C$1+1000*$A27,MASTER6!$A$2:$D$8001,4,FALSE())</f>
        <v>0</v>
      </c>
      <c r="D27" s="0" t="n">
        <f aca="false">VLOOKUP(D$1+1000*$A27,MASTER6!$A$2:$D$8001,4,FALSE())</f>
        <v>26</v>
      </c>
      <c r="E27" s="0" t="n">
        <f aca="false">VLOOKUP(E$1+1000*$A27,MASTER6!$A$2:$D$8001,4,FALSE())</f>
        <v>0</v>
      </c>
      <c r="F27" s="0" t="n">
        <f aca="false">VLOOKUP(F$1+1000*$A27,MASTER6!$A$2:$D$8001,4,FALSE())</f>
        <v>208</v>
      </c>
      <c r="G27" s="0" t="n">
        <f aca="false">VLOOKUP(G$1+1000*$A27,MASTER6!$A$2:$D$8001,4,FALSE())</f>
        <v>0</v>
      </c>
      <c r="H27" s="0" t="n">
        <f aca="false">VLOOKUP(H$1+1000*$A27,MASTER6!$A$2:$D$8001,4,FALSE())</f>
        <v>0</v>
      </c>
      <c r="I27" s="0" t="n">
        <f aca="false">VLOOKUP(I$1+1000*$A27,MASTER6!$A$2:$D$8001,4,FALSE())</f>
        <v>0</v>
      </c>
      <c r="J27" s="0" t="n">
        <f aca="false">VLOOKUP(J$1+1000*$A27,MASTER6!$A$2:$D$8001,4,FALSE())</f>
        <v>0</v>
      </c>
      <c r="K27" s="0" t="n">
        <f aca="false">VLOOKUP(K$1+1000*$A27,MASTER6!$A$2:$D$8001,4,FALSE())</f>
        <v>0</v>
      </c>
      <c r="L27" s="0" t="n">
        <f aca="false">VLOOKUP(L$1+1000*$A27,MASTER6!$A$2:$D$8001,4,FALSE())</f>
        <v>169</v>
      </c>
      <c r="M27" s="0" t="n">
        <f aca="false">VLOOKUP(M$1+1000*$A27,MASTER6!$A$2:$D$8001,4,FALSE())</f>
        <v>208</v>
      </c>
      <c r="N27" s="0" t="n">
        <f aca="false">VLOOKUP(N$1+1000*$A27,MASTER6!$A$2:$D$8001,4,FALSE())</f>
        <v>0</v>
      </c>
      <c r="O27" s="0" t="n">
        <f aca="false">VLOOKUP(O$1+1000*$A27,MASTER6!$A$2:$D$8001,4,FALSE())</f>
        <v>299</v>
      </c>
      <c r="P27" s="0" t="n">
        <f aca="false">VLOOKUP(P$1+1000*$A27,MASTER6!$A$2:$D$8001,4,FALSE())</f>
        <v>0</v>
      </c>
      <c r="Q27" s="0" t="n">
        <f aca="false">VLOOKUP(Q$1+1000*$A27,MASTER6!$A$2:$D$8001,4,FALSE())</f>
        <v>65</v>
      </c>
      <c r="R27" s="0" t="n">
        <f aca="false">VLOOKUP(R$1+1000*$A27,MASTER6!$A$2:$D$8001,4,FALSE())</f>
        <v>0</v>
      </c>
      <c r="S27" s="0" t="n">
        <f aca="false">VLOOKUP(S$1+1000*$A27,MASTER6!$A$2:$D$8001,4,FALSE())</f>
        <v>247</v>
      </c>
      <c r="T27" s="0" t="n">
        <f aca="false">VLOOKUP(T$1+1000*$A27,MASTER6!$A$2:$D$8001,4,FALSE())</f>
        <v>0</v>
      </c>
      <c r="U27" s="0" t="n">
        <f aca="false">VLOOKUP(U$1+1000*$A27,MASTER6!$A$2:$D$8001,4,FALSE())</f>
        <v>52</v>
      </c>
      <c r="V27" s="0" t="n">
        <f aca="false">VLOOKUP(V$1+1000*$A27,MASTER6!$A$2:$D$8001,4,FALSE())</f>
        <v>429</v>
      </c>
      <c r="W27" s="0" t="n">
        <f aca="false">VLOOKUP(W$1+1000*$A27,MASTER6!$A$2:$D$8001,4,FALSE())</f>
        <v>299</v>
      </c>
      <c r="X27" s="0" t="n">
        <f aca="false">VLOOKUP(X$1+1000*$A27,MASTER6!$A$2:$D$8001,4,FALSE())</f>
        <v>1508</v>
      </c>
      <c r="Y27" s="0" t="n">
        <f aca="false">VLOOKUP(Y$1+1000*$A27,MASTER6!$A$2:$D$8001,4,FALSE())</f>
        <v>936</v>
      </c>
      <c r="Z27" s="0" t="n">
        <f aca="false">VLOOKUP(Z$1+1000*$A27,MASTER6!$A$2:$D$8001,4,FALSE())</f>
        <v>832</v>
      </c>
      <c r="AA27" s="0" t="n">
        <f aca="false">VLOOKUP(AA$1+1000*$A27,MASTER6!$A$2:$D$8001,4,FALSE())</f>
        <v>49543</v>
      </c>
      <c r="AB27" s="0" t="n">
        <f aca="false">VLOOKUP(AB$1+1000*$A27,MASTER6!$A$2:$D$8001,4,FALSE())</f>
        <v>520</v>
      </c>
      <c r="AC27" s="0" t="n">
        <f aca="false">VLOOKUP(AC$1+1000*$A27,MASTER6!$A$2:$D$8001,4,FALSE())</f>
        <v>676</v>
      </c>
      <c r="AD27" s="0" t="n">
        <f aca="false">VLOOKUP(AD$1+1000*$A27,MASTER6!$A$2:$D$8001,4,FALSE())</f>
        <v>598</v>
      </c>
      <c r="AE27" s="0" t="n">
        <f aca="false">VLOOKUP(AE$1+1000*$A27,MASTER6!$A$2:$D$8001,4,FALSE())</f>
        <v>130</v>
      </c>
      <c r="AF27" s="0" t="n">
        <f aca="false">VLOOKUP(AF$1+1000*$A27,MASTER6!$A$2:$D$8001,4,FALSE())</f>
        <v>0</v>
      </c>
      <c r="AG27" s="0" t="n">
        <f aca="false">VLOOKUP(AG$1+1000*$A27,MASTER6!$A$2:$D$8001,4,FALSE())</f>
        <v>0</v>
      </c>
      <c r="AH27" s="0" t="n">
        <f aca="false">VLOOKUP(AH$1+1000*$A27,MASTER6!$A$2:$D$8001,4,FALSE())</f>
        <v>0</v>
      </c>
      <c r="AI27" s="0" t="n">
        <f aca="false">VLOOKUP(AI$1+1000*$A27,MASTER6!$A$2:$D$8001,4,FALSE())</f>
        <v>0</v>
      </c>
      <c r="AJ27" s="0" t="n">
        <f aca="false">VLOOKUP(AJ$1+1000*$A27,MASTER6!$A$2:$D$8001,4,FALSE())</f>
        <v>0</v>
      </c>
      <c r="AK27" s="0" t="e">
        <f aca="false">VLOOKUP(AK$1+1000*$A27,MASTER6!$A$2:$D$8001,4,FALSE())</f>
        <v>#N/A</v>
      </c>
      <c r="AL27" s="0" t="n">
        <f aca="false">VLOOKUP(AL$1+1000*$A27,MASTER6!$A$2:$D$8001,4,FALSE())</f>
        <v>0</v>
      </c>
      <c r="AM27" s="0" t="n">
        <f aca="false">VLOOKUP(AM$1+1000*$A27,MASTER6!$A$2:$D$8001,4,FALSE())</f>
        <v>0</v>
      </c>
      <c r="AN27" s="0" t="n">
        <f aca="false">VLOOKUP(AN$1+1000*$A27,MASTER6!$A$2:$D$8001,4,FALSE())</f>
        <v>52</v>
      </c>
      <c r="AO27" s="0" t="n">
        <f aca="false">VLOOKUP(AO$1+1000*$A27,MASTER6!$A$2:$D$8001,4,FALSE())</f>
        <v>0</v>
      </c>
      <c r="AP27" s="0" t="n">
        <f aca="false">VLOOKUP(AP$1+1000*$A27,MASTER6!$A$2:$D$8001,4,FALSE())</f>
        <v>26</v>
      </c>
      <c r="AQ27" s="0" t="n">
        <f aca="false">VLOOKUP(AQ$1+1000*$A27,MASTER6!$A$2:$D$8001,4,FALSE())</f>
        <v>0</v>
      </c>
      <c r="AR27" s="0" t="n">
        <f aca="false">VLOOKUP(AR$1+1000*$A27,MASTER6!$A$2:$D$8001,4,FALSE())</f>
        <v>0</v>
      </c>
      <c r="AS27" s="0" t="e">
        <f aca="false">VLOOKUP(AS$1+1000*$A27,MASTER6!$A$2:$D$8001,4,FALSE())</f>
        <v>#N/A</v>
      </c>
      <c r="AT27" s="0" t="e">
        <f aca="false">VLOOKUP(AT$1+1000*$A27,MASTER6!$A$2:$D$8001,4,FALSE())</f>
        <v>#N/A</v>
      </c>
      <c r="AU27" s="0" t="n">
        <f aca="false">VLOOKUP(AU$1+1000*$A27,MASTER6!$A$2:$D$8001,4,FALSE())</f>
        <v>0</v>
      </c>
      <c r="AV27" s="0" t="e">
        <f aca="false">VLOOKUP(AV$1+1000*$A27,MASTER6!$A$2:$D$8001,4,FALSE())</f>
        <v>#N/A</v>
      </c>
      <c r="AW27" s="0" t="n">
        <f aca="false">VLOOKUP(AW$1+1000*$A27,MASTER6!$A$2:$D$8001,4,FALSE())</f>
        <v>0</v>
      </c>
      <c r="AX27" s="0" t="n">
        <f aca="false">VLOOKUP(AX$1+1000*$A27,MASTER6!$A$2:$D$8001,4,FALSE())</f>
        <v>351</v>
      </c>
      <c r="AY27" s="0" t="n">
        <f aca="false">VLOOKUP(AY$1+1000*$A27,MASTER6!$A$2:$D$8001,4,FALSE())</f>
        <v>0</v>
      </c>
      <c r="AZ27" s="0" t="n">
        <f aca="false">VLOOKUP(AZ$1+1000*$A27,MASTER6!$A$2:$D$8001,4,FALSE())</f>
        <v>208</v>
      </c>
      <c r="BA27" s="0" t="n">
        <f aca="false">VLOOKUP(BA$1+1000*$A27,MASTER6!$A$2:$D$8001,4,FALSE())</f>
        <v>0</v>
      </c>
      <c r="BB27" s="0" t="n">
        <f aca="false">VLOOKUP(BB$1+1000*$A27,MASTER6!$A$2:$D$8001,4,FALSE())</f>
        <v>0</v>
      </c>
      <c r="BC27" s="0" t="n">
        <f aca="false">VLOOKUP(BC$1+1000*$A27,MASTER6!$A$2:$D$8001,4,FALSE())</f>
        <v>0</v>
      </c>
      <c r="BD27" s="0" t="n">
        <f aca="false">VLOOKUP(BD$1+1000*$A27,MASTER6!$A$2:$D$8001,4,FALSE())</f>
        <v>0</v>
      </c>
      <c r="BE27" s="0" t="n">
        <f aca="false">VLOOKUP(BE$1+1000*$A27,MASTER6!$A$2:$D$8001,4,FALSE())</f>
        <v>78</v>
      </c>
      <c r="BF27" s="0" t="n">
        <f aca="false">VLOOKUP(BF$1+1000*$A27,MASTER6!$A$2:$D$8001,4,FALSE())</f>
        <v>0</v>
      </c>
      <c r="BG27" s="0" t="e">
        <f aca="false">VLOOKUP(BG$1+1000*$A27,MASTER6!$A$2:$D$8001,4,FALSE())</f>
        <v>#N/A</v>
      </c>
      <c r="BH27" s="0" t="n">
        <f aca="false">VLOOKUP(BH$1+1000*$A27,MASTER6!$A$2:$D$8001,4,FALSE())</f>
        <v>0</v>
      </c>
      <c r="BI27" s="0" t="n">
        <f aca="false">VLOOKUP(BI$1+1000*$A27,MASTER6!$A$2:$D$8001,4,FALSE())</f>
        <v>0</v>
      </c>
      <c r="BJ27" s="0" t="e">
        <f aca="false">VLOOKUP(BJ$1+1000*$A27,MASTER6!$A$2:$D$8001,4,FALSE())</f>
        <v>#N/A</v>
      </c>
      <c r="BK27" s="0" t="n">
        <f aca="false">VLOOKUP(BK$1+1000*$A27,MASTER6!$A$2:$D$8001,4,FALSE())</f>
        <v>0</v>
      </c>
      <c r="BL27" s="0" t="e">
        <f aca="false">VLOOKUP(BL$1+1000*$A27,MASTER6!$A$2:$D$8001,4,FALSE())</f>
        <v>#N/A</v>
      </c>
      <c r="BM27" s="0" t="n">
        <f aca="false">VLOOKUP(BM$1+1000*$A27,MASTER6!$A$2:$D$8001,4,FALSE())</f>
        <v>78</v>
      </c>
      <c r="BN27" s="0" t="n">
        <f aca="false">VLOOKUP(BN$1+1000*$A27,MASTER6!$A$2:$D$8001,4,FALSE())</f>
        <v>273</v>
      </c>
      <c r="BO27" s="0" t="n">
        <f aca="false">VLOOKUP(BO$1+1000*$A27,MASTER6!$A$2:$D$8001,4,FALSE())</f>
        <v>0</v>
      </c>
      <c r="BP27" s="0" t="n">
        <f aca="false">VLOOKUP(BP$1+1000*$A27,MASTER6!$A$2:$D$8001,4,FALSE())</f>
        <v>0</v>
      </c>
      <c r="BQ27" s="0" t="e">
        <f aca="false">VLOOKUP(BQ$1+1000*$A27,MASTER6!$A$2:$D$8001,4,FALSE())</f>
        <v>#N/A</v>
      </c>
      <c r="BR27" s="0" t="n">
        <f aca="false">VLOOKUP(BR$1+1000*$A27,MASTER6!$A$2:$D$8001,4,FALSE())</f>
        <v>65</v>
      </c>
      <c r="BS27" s="0" t="e">
        <f aca="false">VLOOKUP(BS$1+1000*$A27,MASTER6!$A$2:$D$8001,4,FALSE())</f>
        <v>#N/A</v>
      </c>
      <c r="BT27" s="0" t="n">
        <f aca="false">VLOOKUP(BT$1+1000*$A27,MASTER6!$A$2:$D$8001,4,FALSE())</f>
        <v>0</v>
      </c>
      <c r="BU27" s="0" t="n">
        <f aca="false">VLOOKUP(BU$1+1000*$A27,MASTER6!$A$2:$D$8001,4,FALSE())</f>
        <v>0</v>
      </c>
      <c r="BV27" s="0" t="n">
        <f aca="false">VLOOKUP(BV$1+1000*$A27,MASTER6!$A$2:$D$8001,4,FALSE())</f>
        <v>0</v>
      </c>
      <c r="BW27" s="0" t="e">
        <f aca="false">VLOOKUP(BW$1+1000*$A27,MASTER6!$A$2:$D$8001,4,FALSE())</f>
        <v>#N/A</v>
      </c>
      <c r="BX27" s="0" t="n">
        <f aca="false">VLOOKUP(BX$1+1000*$A27,MASTER6!$A$2:$D$8001,4,FALSE())</f>
        <v>0</v>
      </c>
      <c r="BY27" s="0" t="n">
        <f aca="false">VLOOKUP(BY$1+1000*$A27,MASTER6!$A$2:$D$8001,4,FALSE())</f>
        <v>0</v>
      </c>
      <c r="BZ27" s="0" t="e">
        <f aca="false">VLOOKUP(BZ$1+1000*$A27,MASTER6!$A$2:$D$8001,4,FALSE())</f>
        <v>#N/A</v>
      </c>
      <c r="CA27" s="0" t="e">
        <f aca="false">VLOOKUP(CA$1+1000*$A27,MASTER6!$A$2:$D$8001,4,FALSE())</f>
        <v>#N/A</v>
      </c>
      <c r="CB27" s="0" t="n">
        <f aca="false">VLOOKUP(CB$1+1000*$A27,MASTER6!$A$2:$D$8001,4,FALSE())</f>
        <v>0</v>
      </c>
      <c r="CC27" s="0" t="n">
        <f aca="false">VLOOKUP(CC$1+1000*$A27,MASTER6!$A$2:$D$8001,4,FALSE())</f>
        <v>0</v>
      </c>
      <c r="CD27" s="0" t="e">
        <f aca="false">VLOOKUP(CD$1+1000*$A27,MASTER6!$A$2:$D$8001,4,FALSE())</f>
        <v>#N/A</v>
      </c>
      <c r="CE27" s="0" t="n">
        <f aca="false">VLOOKUP(CE$1+1000*$A27,MASTER6!$A$2:$D$8001,4,FALSE())</f>
        <v>0</v>
      </c>
      <c r="CF27" s="0" t="e">
        <f aca="false">VLOOKUP(CF$1+1000*$A27,MASTER6!$A$2:$D$8001,4,FALSE())</f>
        <v>#N/A</v>
      </c>
      <c r="CG27" s="0" t="e">
        <f aca="false">VLOOKUP(CG$1+1000*$A27,MASTER6!$A$2:$D$8001,4,FALSE())</f>
        <v>#N/A</v>
      </c>
      <c r="CH27" s="0" t="n">
        <f aca="false">VLOOKUP(CH$1+1000*$A27,MASTER6!$A$2:$D$8001,4,FALSE())</f>
        <v>95186</v>
      </c>
      <c r="CI27" s="0" t="n">
        <f aca="false">VLOOKUP(CI$1+1000*$A27,MASTER6!$A$2:$D$8001,4,FALSE())</f>
        <v>0</v>
      </c>
      <c r="CJ27" s="0" t="e">
        <f aca="false">VLOOKUP(CJ$1+1000*$A27,MASTER6!$A$2:$D$8001,4,FALSE())</f>
        <v>#N/A</v>
      </c>
    </row>
    <row r="28" customFormat="false" ht="12.75" hidden="false" customHeight="false" outlineLevel="0" collapsed="false">
      <c r="A28" s="0" t="n">
        <v>27</v>
      </c>
      <c r="B28" s="0" t="n">
        <f aca="false">VLOOKUP(B$1+1000*$A28,MASTER6!$A$2:$D$8001,4,FALSE())</f>
        <v>0</v>
      </c>
      <c r="C28" s="0" t="n">
        <f aca="false">VLOOKUP(C$1+1000*$A28,MASTER6!$A$2:$D$8001,4,FALSE())</f>
        <v>0</v>
      </c>
      <c r="D28" s="0" t="n">
        <f aca="false">VLOOKUP(D$1+1000*$A28,MASTER6!$A$2:$D$8001,4,FALSE())</f>
        <v>0</v>
      </c>
      <c r="E28" s="0" t="n">
        <f aca="false">VLOOKUP(E$1+1000*$A28,MASTER6!$A$2:$D$8001,4,FALSE())</f>
        <v>0</v>
      </c>
      <c r="F28" s="0" t="n">
        <f aca="false">VLOOKUP(F$1+1000*$A28,MASTER6!$A$2:$D$8001,4,FALSE())</f>
        <v>0</v>
      </c>
      <c r="G28" s="0" t="n">
        <f aca="false">VLOOKUP(G$1+1000*$A28,MASTER6!$A$2:$D$8001,4,FALSE())</f>
        <v>0</v>
      </c>
      <c r="H28" s="0" t="n">
        <f aca="false">VLOOKUP(H$1+1000*$A28,MASTER6!$A$2:$D$8001,4,FALSE())</f>
        <v>0</v>
      </c>
      <c r="I28" s="0" t="n">
        <f aca="false">VLOOKUP(I$1+1000*$A28,MASTER6!$A$2:$D$8001,4,FALSE())</f>
        <v>0</v>
      </c>
      <c r="J28" s="0" t="n">
        <f aca="false">VLOOKUP(J$1+1000*$A28,MASTER6!$A$2:$D$8001,4,FALSE())</f>
        <v>143</v>
      </c>
      <c r="K28" s="0" t="n">
        <f aca="false">VLOOKUP(K$1+1000*$A28,MASTER6!$A$2:$D$8001,4,FALSE())</f>
        <v>0</v>
      </c>
      <c r="L28" s="0" t="n">
        <f aca="false">VLOOKUP(L$1+1000*$A28,MASTER6!$A$2:$D$8001,4,FALSE())</f>
        <v>0</v>
      </c>
      <c r="M28" s="0" t="n">
        <f aca="false">VLOOKUP(M$1+1000*$A28,MASTER6!$A$2:$D$8001,4,FALSE())</f>
        <v>0</v>
      </c>
      <c r="N28" s="0" t="n">
        <f aca="false">VLOOKUP(N$1+1000*$A28,MASTER6!$A$2:$D$8001,4,FALSE())</f>
        <v>0</v>
      </c>
      <c r="O28" s="0" t="n">
        <f aca="false">VLOOKUP(O$1+1000*$A28,MASTER6!$A$2:$D$8001,4,FALSE())</f>
        <v>0</v>
      </c>
      <c r="P28" s="0" t="n">
        <f aca="false">VLOOKUP(P$1+1000*$A28,MASTER6!$A$2:$D$8001,4,FALSE())</f>
        <v>0</v>
      </c>
      <c r="Q28" s="0" t="n">
        <f aca="false">VLOOKUP(Q$1+1000*$A28,MASTER6!$A$2:$D$8001,4,FALSE())</f>
        <v>0</v>
      </c>
      <c r="R28" s="0" t="n">
        <f aca="false">VLOOKUP(R$1+1000*$A28,MASTER6!$A$2:$D$8001,4,FALSE())</f>
        <v>0</v>
      </c>
      <c r="S28" s="0" t="n">
        <f aca="false">VLOOKUP(S$1+1000*$A28,MASTER6!$A$2:$D$8001,4,FALSE())</f>
        <v>91</v>
      </c>
      <c r="T28" s="0" t="n">
        <f aca="false">VLOOKUP(T$1+1000*$A28,MASTER6!$A$2:$D$8001,4,FALSE())</f>
        <v>0</v>
      </c>
      <c r="U28" s="0" t="n">
        <f aca="false">VLOOKUP(U$1+1000*$A28,MASTER6!$A$2:$D$8001,4,FALSE())</f>
        <v>0</v>
      </c>
      <c r="V28" s="0" t="n">
        <f aca="false">VLOOKUP(V$1+1000*$A28,MASTER6!$A$2:$D$8001,4,FALSE())</f>
        <v>91</v>
      </c>
      <c r="W28" s="0" t="n">
        <f aca="false">VLOOKUP(W$1+1000*$A28,MASTER6!$A$2:$D$8001,4,FALSE())</f>
        <v>0</v>
      </c>
      <c r="X28" s="0" t="n">
        <f aca="false">VLOOKUP(X$1+1000*$A28,MASTER6!$A$2:$D$8001,4,FALSE())</f>
        <v>91</v>
      </c>
      <c r="Y28" s="0" t="n">
        <f aca="false">VLOOKUP(Y$1+1000*$A28,MASTER6!$A$2:$D$8001,4,FALSE())</f>
        <v>260</v>
      </c>
      <c r="Z28" s="0" t="n">
        <f aca="false">VLOOKUP(Z$1+1000*$A28,MASTER6!$A$2:$D$8001,4,FALSE())</f>
        <v>0</v>
      </c>
      <c r="AA28" s="0" t="n">
        <f aca="false">VLOOKUP(AA$1+1000*$A28,MASTER6!$A$2:$D$8001,4,FALSE())</f>
        <v>429</v>
      </c>
      <c r="AB28" s="0" t="n">
        <f aca="false">VLOOKUP(AB$1+1000*$A28,MASTER6!$A$2:$D$8001,4,FALSE())</f>
        <v>34346</v>
      </c>
      <c r="AC28" s="0" t="n">
        <f aca="false">VLOOKUP(AC$1+1000*$A28,MASTER6!$A$2:$D$8001,4,FALSE())</f>
        <v>0</v>
      </c>
      <c r="AD28" s="0" t="n">
        <f aca="false">VLOOKUP(AD$1+1000*$A28,MASTER6!$A$2:$D$8001,4,FALSE())</f>
        <v>0</v>
      </c>
      <c r="AE28" s="0" t="n">
        <f aca="false">VLOOKUP(AE$1+1000*$A28,MASTER6!$A$2:$D$8001,4,FALSE())</f>
        <v>1105</v>
      </c>
      <c r="AF28" s="0" t="n">
        <f aca="false">VLOOKUP(AF$1+1000*$A28,MASTER6!$A$2:$D$8001,4,FALSE())</f>
        <v>156</v>
      </c>
      <c r="AG28" s="0" t="n">
        <f aca="false">VLOOKUP(AG$1+1000*$A28,MASTER6!$A$2:$D$8001,4,FALSE())</f>
        <v>78</v>
      </c>
      <c r="AH28" s="0" t="n">
        <f aca="false">VLOOKUP(AH$1+1000*$A28,MASTER6!$A$2:$D$8001,4,FALSE())</f>
        <v>0</v>
      </c>
      <c r="AI28" s="0" t="n">
        <f aca="false">VLOOKUP(AI$1+1000*$A28,MASTER6!$A$2:$D$8001,4,FALSE())</f>
        <v>0</v>
      </c>
      <c r="AJ28" s="0" t="n">
        <f aca="false">VLOOKUP(AJ$1+1000*$A28,MASTER6!$A$2:$D$8001,4,FALSE())</f>
        <v>0</v>
      </c>
      <c r="AK28" s="0" t="e">
        <f aca="false">VLOOKUP(AK$1+1000*$A28,MASTER6!$A$2:$D$8001,4,FALSE())</f>
        <v>#N/A</v>
      </c>
      <c r="AL28" s="0" t="n">
        <f aca="false">VLOOKUP(AL$1+1000*$A28,MASTER6!$A$2:$D$8001,4,FALSE())</f>
        <v>0</v>
      </c>
      <c r="AM28" s="0" t="n">
        <f aca="false">VLOOKUP(AM$1+1000*$A28,MASTER6!$A$2:$D$8001,4,FALSE())</f>
        <v>520</v>
      </c>
      <c r="AN28" s="0" t="n">
        <f aca="false">VLOOKUP(AN$1+1000*$A28,MASTER6!$A$2:$D$8001,4,FALSE())</f>
        <v>806</v>
      </c>
      <c r="AO28" s="0" t="n">
        <f aca="false">VLOOKUP(AO$1+1000*$A28,MASTER6!$A$2:$D$8001,4,FALSE())</f>
        <v>4810</v>
      </c>
      <c r="AP28" s="0" t="n">
        <f aca="false">VLOOKUP(AP$1+1000*$A28,MASTER6!$A$2:$D$8001,4,FALSE())</f>
        <v>2821</v>
      </c>
      <c r="AQ28" s="0" t="n">
        <f aca="false">VLOOKUP(AQ$1+1000*$A28,MASTER6!$A$2:$D$8001,4,FALSE())</f>
        <v>0</v>
      </c>
      <c r="AR28" s="0" t="n">
        <f aca="false">VLOOKUP(AR$1+1000*$A28,MASTER6!$A$2:$D$8001,4,FALSE())</f>
        <v>0</v>
      </c>
      <c r="AS28" s="0" t="e">
        <f aca="false">VLOOKUP(AS$1+1000*$A28,MASTER6!$A$2:$D$8001,4,FALSE())</f>
        <v>#N/A</v>
      </c>
      <c r="AT28" s="0" t="e">
        <f aca="false">VLOOKUP(AT$1+1000*$A28,MASTER6!$A$2:$D$8001,4,FALSE())</f>
        <v>#N/A</v>
      </c>
      <c r="AU28" s="0" t="n">
        <f aca="false">VLOOKUP(AU$1+1000*$A28,MASTER6!$A$2:$D$8001,4,FALSE())</f>
        <v>0</v>
      </c>
      <c r="AV28" s="0" t="e">
        <f aca="false">VLOOKUP(AV$1+1000*$A28,MASTER6!$A$2:$D$8001,4,FALSE())</f>
        <v>#N/A</v>
      </c>
      <c r="AW28" s="0" t="n">
        <f aca="false">VLOOKUP(AW$1+1000*$A28,MASTER6!$A$2:$D$8001,4,FALSE())</f>
        <v>0</v>
      </c>
      <c r="AX28" s="0" t="n">
        <f aca="false">VLOOKUP(AX$1+1000*$A28,MASTER6!$A$2:$D$8001,4,FALSE())</f>
        <v>2535</v>
      </c>
      <c r="AY28" s="0" t="n">
        <f aca="false">VLOOKUP(AY$1+1000*$A28,MASTER6!$A$2:$D$8001,4,FALSE())</f>
        <v>351</v>
      </c>
      <c r="AZ28" s="0" t="n">
        <f aca="false">VLOOKUP(AZ$1+1000*$A28,MASTER6!$A$2:$D$8001,4,FALSE())</f>
        <v>1222</v>
      </c>
      <c r="BA28" s="0" t="n">
        <f aca="false">VLOOKUP(BA$1+1000*$A28,MASTER6!$A$2:$D$8001,4,FALSE())</f>
        <v>0</v>
      </c>
      <c r="BB28" s="0" t="n">
        <f aca="false">VLOOKUP(BB$1+1000*$A28,MASTER6!$A$2:$D$8001,4,FALSE())</f>
        <v>0</v>
      </c>
      <c r="BC28" s="0" t="n">
        <f aca="false">VLOOKUP(BC$1+1000*$A28,MASTER6!$A$2:$D$8001,4,FALSE())</f>
        <v>0</v>
      </c>
      <c r="BD28" s="0" t="n">
        <f aca="false">VLOOKUP(BD$1+1000*$A28,MASTER6!$A$2:$D$8001,4,FALSE())</f>
        <v>0</v>
      </c>
      <c r="BE28" s="0" t="n">
        <f aca="false">VLOOKUP(BE$1+1000*$A28,MASTER6!$A$2:$D$8001,4,FALSE())</f>
        <v>0</v>
      </c>
      <c r="BF28" s="0" t="n">
        <f aca="false">VLOOKUP(BF$1+1000*$A28,MASTER6!$A$2:$D$8001,4,FALSE())</f>
        <v>0</v>
      </c>
      <c r="BG28" s="0" t="e">
        <f aca="false">VLOOKUP(BG$1+1000*$A28,MASTER6!$A$2:$D$8001,4,FALSE())</f>
        <v>#N/A</v>
      </c>
      <c r="BH28" s="0" t="n">
        <f aca="false">VLOOKUP(BH$1+1000*$A28,MASTER6!$A$2:$D$8001,4,FALSE())</f>
        <v>0</v>
      </c>
      <c r="BI28" s="0" t="n">
        <f aca="false">VLOOKUP(BI$1+1000*$A28,MASTER6!$A$2:$D$8001,4,FALSE())</f>
        <v>0</v>
      </c>
      <c r="BJ28" s="0" t="e">
        <f aca="false">VLOOKUP(BJ$1+1000*$A28,MASTER6!$A$2:$D$8001,4,FALSE())</f>
        <v>#N/A</v>
      </c>
      <c r="BK28" s="0" t="n">
        <f aca="false">VLOOKUP(BK$1+1000*$A28,MASTER6!$A$2:$D$8001,4,FALSE())</f>
        <v>0</v>
      </c>
      <c r="BL28" s="0" t="e">
        <f aca="false">VLOOKUP(BL$1+1000*$A28,MASTER6!$A$2:$D$8001,4,FALSE())</f>
        <v>#N/A</v>
      </c>
      <c r="BM28" s="0" t="n">
        <f aca="false">VLOOKUP(BM$1+1000*$A28,MASTER6!$A$2:$D$8001,4,FALSE())</f>
        <v>91</v>
      </c>
      <c r="BN28" s="0" t="n">
        <f aca="false">VLOOKUP(BN$1+1000*$A28,MASTER6!$A$2:$D$8001,4,FALSE())</f>
        <v>0</v>
      </c>
      <c r="BO28" s="0" t="n">
        <f aca="false">VLOOKUP(BO$1+1000*$A28,MASTER6!$A$2:$D$8001,4,FALSE())</f>
        <v>0</v>
      </c>
      <c r="BP28" s="0" t="n">
        <f aca="false">VLOOKUP(BP$1+1000*$A28,MASTER6!$A$2:$D$8001,4,FALSE())</f>
        <v>0</v>
      </c>
      <c r="BQ28" s="0" t="e">
        <f aca="false">VLOOKUP(BQ$1+1000*$A28,MASTER6!$A$2:$D$8001,4,FALSE())</f>
        <v>#N/A</v>
      </c>
      <c r="BR28" s="0" t="n">
        <f aca="false">VLOOKUP(BR$1+1000*$A28,MASTER6!$A$2:$D$8001,4,FALSE())</f>
        <v>0</v>
      </c>
      <c r="BS28" s="0" t="e">
        <f aca="false">VLOOKUP(BS$1+1000*$A28,MASTER6!$A$2:$D$8001,4,FALSE())</f>
        <v>#N/A</v>
      </c>
      <c r="BT28" s="0" t="n">
        <f aca="false">VLOOKUP(BT$1+1000*$A28,MASTER6!$A$2:$D$8001,4,FALSE())</f>
        <v>0</v>
      </c>
      <c r="BU28" s="0" t="n">
        <f aca="false">VLOOKUP(BU$1+1000*$A28,MASTER6!$A$2:$D$8001,4,FALSE())</f>
        <v>0</v>
      </c>
      <c r="BV28" s="0" t="n">
        <f aca="false">VLOOKUP(BV$1+1000*$A28,MASTER6!$A$2:$D$8001,4,FALSE())</f>
        <v>91</v>
      </c>
      <c r="BW28" s="0" t="e">
        <f aca="false">VLOOKUP(BW$1+1000*$A28,MASTER6!$A$2:$D$8001,4,FALSE())</f>
        <v>#N/A</v>
      </c>
      <c r="BX28" s="0" t="n">
        <f aca="false">VLOOKUP(BX$1+1000*$A28,MASTER6!$A$2:$D$8001,4,FALSE())</f>
        <v>130</v>
      </c>
      <c r="BY28" s="0" t="n">
        <f aca="false">VLOOKUP(BY$1+1000*$A28,MASTER6!$A$2:$D$8001,4,FALSE())</f>
        <v>351</v>
      </c>
      <c r="BZ28" s="0" t="n">
        <f aca="false">VLOOKUP(BZ$1+1000*$A28,MASTER6!$A$2:$D$8001,4,FALSE())</f>
        <v>13</v>
      </c>
      <c r="CA28" s="0" t="e">
        <f aca="false">VLOOKUP(CA$1+1000*$A28,MASTER6!$A$2:$D$8001,4,FALSE())</f>
        <v>#N/A</v>
      </c>
      <c r="CB28" s="0" t="n">
        <f aca="false">VLOOKUP(CB$1+1000*$A28,MASTER6!$A$2:$D$8001,4,FALSE())</f>
        <v>143</v>
      </c>
      <c r="CC28" s="0" t="n">
        <f aca="false">VLOOKUP(CC$1+1000*$A28,MASTER6!$A$2:$D$8001,4,FALSE())</f>
        <v>0</v>
      </c>
      <c r="CD28" s="0" t="e">
        <f aca="false">VLOOKUP(CD$1+1000*$A28,MASTER6!$A$2:$D$8001,4,FALSE())</f>
        <v>#N/A</v>
      </c>
      <c r="CE28" s="0" t="n">
        <f aca="false">VLOOKUP(CE$1+1000*$A28,MASTER6!$A$2:$D$8001,4,FALSE())</f>
        <v>0</v>
      </c>
      <c r="CF28" s="0" t="e">
        <f aca="false">VLOOKUP(CF$1+1000*$A28,MASTER6!$A$2:$D$8001,4,FALSE())</f>
        <v>#N/A</v>
      </c>
      <c r="CG28" s="0" t="e">
        <f aca="false">VLOOKUP(CG$1+1000*$A28,MASTER6!$A$2:$D$8001,4,FALSE())</f>
        <v>#N/A</v>
      </c>
      <c r="CH28" s="0" t="n">
        <f aca="false">VLOOKUP(CH$1+1000*$A28,MASTER6!$A$2:$D$8001,4,FALSE())</f>
        <v>78299</v>
      </c>
      <c r="CI28" s="0" t="n">
        <f aca="false">VLOOKUP(CI$1+1000*$A28,MASTER6!$A$2:$D$8001,4,FALSE())</f>
        <v>0</v>
      </c>
      <c r="CJ28" s="0" t="e">
        <f aca="false">VLOOKUP(CJ$1+1000*$A28,MASTER6!$A$2:$D$8001,4,FALSE())</f>
        <v>#N/A</v>
      </c>
    </row>
    <row r="29" customFormat="false" ht="12.75" hidden="false" customHeight="false" outlineLevel="0" collapsed="false">
      <c r="A29" s="0" t="n">
        <v>28</v>
      </c>
      <c r="B29" s="0" t="n">
        <f aca="false">VLOOKUP(B$1+1000*$A29,MASTER6!$A$2:$D$8001,4,FALSE())</f>
        <v>0</v>
      </c>
      <c r="C29" s="0" t="n">
        <f aca="false">VLOOKUP(C$1+1000*$A29,MASTER6!$A$2:$D$8001,4,FALSE())</f>
        <v>195</v>
      </c>
      <c r="D29" s="0" t="n">
        <f aca="false">VLOOKUP(D$1+1000*$A29,MASTER6!$A$2:$D$8001,4,FALSE())</f>
        <v>117</v>
      </c>
      <c r="E29" s="0" t="n">
        <f aca="false">VLOOKUP(E$1+1000*$A29,MASTER6!$A$2:$D$8001,4,FALSE())</f>
        <v>0</v>
      </c>
      <c r="F29" s="0" t="n">
        <f aca="false">VLOOKUP(F$1+1000*$A29,MASTER6!$A$2:$D$8001,4,FALSE())</f>
        <v>91</v>
      </c>
      <c r="G29" s="0" t="n">
        <f aca="false">VLOOKUP(G$1+1000*$A29,MASTER6!$A$2:$D$8001,4,FALSE())</f>
        <v>0</v>
      </c>
      <c r="H29" s="0" t="n">
        <f aca="false">VLOOKUP(H$1+1000*$A29,MASTER6!$A$2:$D$8001,4,FALSE())</f>
        <v>117</v>
      </c>
      <c r="I29" s="0" t="n">
        <f aca="false">VLOOKUP(I$1+1000*$A29,MASTER6!$A$2:$D$8001,4,FALSE())</f>
        <v>91</v>
      </c>
      <c r="J29" s="0" t="n">
        <f aca="false">VLOOKUP(J$1+1000*$A29,MASTER6!$A$2:$D$8001,4,FALSE())</f>
        <v>0</v>
      </c>
      <c r="K29" s="0" t="n">
        <f aca="false">VLOOKUP(K$1+1000*$A29,MASTER6!$A$2:$D$8001,4,FALSE())</f>
        <v>8320</v>
      </c>
      <c r="L29" s="0" t="n">
        <f aca="false">VLOOKUP(L$1+1000*$A29,MASTER6!$A$2:$D$8001,4,FALSE())</f>
        <v>1365</v>
      </c>
      <c r="M29" s="0" t="n">
        <f aca="false">VLOOKUP(M$1+1000*$A29,MASTER6!$A$2:$D$8001,4,FALSE())</f>
        <v>286</v>
      </c>
      <c r="N29" s="0" t="n">
        <f aca="false">VLOOKUP(N$1+1000*$A29,MASTER6!$A$2:$D$8001,4,FALSE())</f>
        <v>0</v>
      </c>
      <c r="O29" s="0" t="n">
        <f aca="false">VLOOKUP(O$1+1000*$A29,MASTER6!$A$2:$D$8001,4,FALSE())</f>
        <v>0</v>
      </c>
      <c r="P29" s="0" t="n">
        <f aca="false">VLOOKUP(P$1+1000*$A29,MASTER6!$A$2:$D$8001,4,FALSE())</f>
        <v>130</v>
      </c>
      <c r="Q29" s="0" t="n">
        <f aca="false">VLOOKUP(Q$1+1000*$A29,MASTER6!$A$2:$D$8001,4,FALSE())</f>
        <v>728</v>
      </c>
      <c r="R29" s="0" t="n">
        <f aca="false">VLOOKUP(R$1+1000*$A29,MASTER6!$A$2:$D$8001,4,FALSE())</f>
        <v>91</v>
      </c>
      <c r="S29" s="0" t="n">
        <f aca="false">VLOOKUP(S$1+1000*$A29,MASTER6!$A$2:$D$8001,4,FALSE())</f>
        <v>182</v>
      </c>
      <c r="T29" s="0" t="n">
        <f aca="false">VLOOKUP(T$1+1000*$A29,MASTER6!$A$2:$D$8001,4,FALSE())</f>
        <v>598</v>
      </c>
      <c r="U29" s="0" t="n">
        <f aca="false">VLOOKUP(U$1+1000*$A29,MASTER6!$A$2:$D$8001,4,FALSE())</f>
        <v>0</v>
      </c>
      <c r="V29" s="0" t="n">
        <f aca="false">VLOOKUP(V$1+1000*$A29,MASTER6!$A$2:$D$8001,4,FALSE())</f>
        <v>234</v>
      </c>
      <c r="W29" s="0" t="n">
        <f aca="false">VLOOKUP(W$1+1000*$A29,MASTER6!$A$2:$D$8001,4,FALSE())</f>
        <v>130</v>
      </c>
      <c r="X29" s="0" t="n">
        <f aca="false">VLOOKUP(X$1+1000*$A29,MASTER6!$A$2:$D$8001,4,FALSE())</f>
        <v>1014</v>
      </c>
      <c r="Y29" s="0" t="n">
        <f aca="false">VLOOKUP(Y$1+1000*$A29,MASTER6!$A$2:$D$8001,4,FALSE())</f>
        <v>0</v>
      </c>
      <c r="Z29" s="0" t="n">
        <f aca="false">VLOOKUP(Z$1+1000*$A29,MASTER6!$A$2:$D$8001,4,FALSE())</f>
        <v>0</v>
      </c>
      <c r="AA29" s="0" t="n">
        <f aca="false">VLOOKUP(AA$1+1000*$A29,MASTER6!$A$2:$D$8001,4,FALSE())</f>
        <v>403</v>
      </c>
      <c r="AB29" s="0" t="n">
        <f aca="false">VLOOKUP(AB$1+1000*$A29,MASTER6!$A$2:$D$8001,4,FALSE())</f>
        <v>0</v>
      </c>
      <c r="AC29" s="0" t="n">
        <f aca="false">VLOOKUP(AC$1+1000*$A29,MASTER6!$A$2:$D$8001,4,FALSE())</f>
        <v>107159</v>
      </c>
      <c r="AD29" s="0" t="n">
        <f aca="false">VLOOKUP(AD$1+1000*$A29,MASTER6!$A$2:$D$8001,4,FALSE())</f>
        <v>34047</v>
      </c>
      <c r="AE29" s="0" t="n">
        <f aca="false">VLOOKUP(AE$1+1000*$A29,MASTER6!$A$2:$D$8001,4,FALSE())</f>
        <v>0</v>
      </c>
      <c r="AF29" s="0" t="n">
        <f aca="false">VLOOKUP(AF$1+1000*$A29,MASTER6!$A$2:$D$8001,4,FALSE())</f>
        <v>0</v>
      </c>
      <c r="AG29" s="0" t="n">
        <f aca="false">VLOOKUP(AG$1+1000*$A29,MASTER6!$A$2:$D$8001,4,FALSE())</f>
        <v>0</v>
      </c>
      <c r="AH29" s="0" t="n">
        <f aca="false">VLOOKUP(AH$1+1000*$A29,MASTER6!$A$2:$D$8001,4,FALSE())</f>
        <v>0</v>
      </c>
      <c r="AI29" s="0" t="n">
        <f aca="false">VLOOKUP(AI$1+1000*$A29,MASTER6!$A$2:$D$8001,4,FALSE())</f>
        <v>0</v>
      </c>
      <c r="AJ29" s="0" t="n">
        <f aca="false">VLOOKUP(AJ$1+1000*$A29,MASTER6!$A$2:$D$8001,4,FALSE())</f>
        <v>0</v>
      </c>
      <c r="AK29" s="0" t="e">
        <f aca="false">VLOOKUP(AK$1+1000*$A29,MASTER6!$A$2:$D$8001,4,FALSE())</f>
        <v>#N/A</v>
      </c>
      <c r="AL29" s="0" t="n">
        <f aca="false">VLOOKUP(AL$1+1000*$A29,MASTER6!$A$2:$D$8001,4,FALSE())</f>
        <v>221</v>
      </c>
      <c r="AM29" s="0" t="n">
        <f aca="false">VLOOKUP(AM$1+1000*$A29,MASTER6!$A$2:$D$8001,4,FALSE())</f>
        <v>0</v>
      </c>
      <c r="AN29" s="0" t="n">
        <f aca="false">VLOOKUP(AN$1+1000*$A29,MASTER6!$A$2:$D$8001,4,FALSE())</f>
        <v>0</v>
      </c>
      <c r="AO29" s="0" t="n">
        <f aca="false">VLOOKUP(AO$1+1000*$A29,MASTER6!$A$2:$D$8001,4,FALSE())</f>
        <v>0</v>
      </c>
      <c r="AP29" s="0" t="n">
        <f aca="false">VLOOKUP(AP$1+1000*$A29,MASTER6!$A$2:$D$8001,4,FALSE())</f>
        <v>0</v>
      </c>
      <c r="AQ29" s="0" t="n">
        <f aca="false">VLOOKUP(AQ$1+1000*$A29,MASTER6!$A$2:$D$8001,4,FALSE())</f>
        <v>0</v>
      </c>
      <c r="AR29" s="0" t="n">
        <f aca="false">VLOOKUP(AR$1+1000*$A29,MASTER6!$A$2:$D$8001,4,FALSE())</f>
        <v>117</v>
      </c>
      <c r="AS29" s="0" t="e">
        <f aca="false">VLOOKUP(AS$1+1000*$A29,MASTER6!$A$2:$D$8001,4,FALSE())</f>
        <v>#N/A</v>
      </c>
      <c r="AT29" s="0" t="e">
        <f aca="false">VLOOKUP(AT$1+1000*$A29,MASTER6!$A$2:$D$8001,4,FALSE())</f>
        <v>#N/A</v>
      </c>
      <c r="AU29" s="0" t="n">
        <f aca="false">VLOOKUP(AU$1+1000*$A29,MASTER6!$A$2:$D$8001,4,FALSE())</f>
        <v>0</v>
      </c>
      <c r="AV29" s="0" t="e">
        <f aca="false">VLOOKUP(AV$1+1000*$A29,MASTER6!$A$2:$D$8001,4,FALSE())</f>
        <v>#N/A</v>
      </c>
      <c r="AW29" s="0" t="n">
        <f aca="false">VLOOKUP(AW$1+1000*$A29,MASTER6!$A$2:$D$8001,4,FALSE())</f>
        <v>0</v>
      </c>
      <c r="AX29" s="0" t="n">
        <f aca="false">VLOOKUP(AX$1+1000*$A29,MASTER6!$A$2:$D$8001,4,FALSE())</f>
        <v>130</v>
      </c>
      <c r="AY29" s="0" t="n">
        <f aca="false">VLOOKUP(AY$1+1000*$A29,MASTER6!$A$2:$D$8001,4,FALSE())</f>
        <v>312</v>
      </c>
      <c r="AZ29" s="0" t="n">
        <f aca="false">VLOOKUP(AZ$1+1000*$A29,MASTER6!$A$2:$D$8001,4,FALSE())</f>
        <v>117</v>
      </c>
      <c r="BA29" s="0" t="n">
        <f aca="false">VLOOKUP(BA$1+1000*$A29,MASTER6!$A$2:$D$8001,4,FALSE())</f>
        <v>0</v>
      </c>
      <c r="BB29" s="0" t="n">
        <f aca="false">VLOOKUP(BB$1+1000*$A29,MASTER6!$A$2:$D$8001,4,FALSE())</f>
        <v>0</v>
      </c>
      <c r="BC29" s="0" t="n">
        <f aca="false">VLOOKUP(BC$1+1000*$A29,MASTER6!$A$2:$D$8001,4,FALSE())</f>
        <v>0</v>
      </c>
      <c r="BD29" s="0" t="n">
        <f aca="false">VLOOKUP(BD$1+1000*$A29,MASTER6!$A$2:$D$8001,4,FALSE())</f>
        <v>0</v>
      </c>
      <c r="BE29" s="0" t="n">
        <f aca="false">VLOOKUP(BE$1+1000*$A29,MASTER6!$A$2:$D$8001,4,FALSE())</f>
        <v>65</v>
      </c>
      <c r="BF29" s="0" t="n">
        <f aca="false">VLOOKUP(BF$1+1000*$A29,MASTER6!$A$2:$D$8001,4,FALSE())</f>
        <v>0</v>
      </c>
      <c r="BG29" s="0" t="e">
        <f aca="false">VLOOKUP(BG$1+1000*$A29,MASTER6!$A$2:$D$8001,4,FALSE())</f>
        <v>#N/A</v>
      </c>
      <c r="BH29" s="0" t="n">
        <f aca="false">VLOOKUP(BH$1+1000*$A29,MASTER6!$A$2:$D$8001,4,FALSE())</f>
        <v>0</v>
      </c>
      <c r="BI29" s="0" t="n">
        <f aca="false">VLOOKUP(BI$1+1000*$A29,MASTER6!$A$2:$D$8001,4,FALSE())</f>
        <v>0</v>
      </c>
      <c r="BJ29" s="0" t="e">
        <f aca="false">VLOOKUP(BJ$1+1000*$A29,MASTER6!$A$2:$D$8001,4,FALSE())</f>
        <v>#N/A</v>
      </c>
      <c r="BK29" s="0" t="n">
        <f aca="false">VLOOKUP(BK$1+1000*$A29,MASTER6!$A$2:$D$8001,4,FALSE())</f>
        <v>0</v>
      </c>
      <c r="BL29" s="0" t="e">
        <f aca="false">VLOOKUP(BL$1+1000*$A29,MASTER6!$A$2:$D$8001,4,FALSE())</f>
        <v>#N/A</v>
      </c>
      <c r="BM29" s="0" t="n">
        <f aca="false">VLOOKUP(BM$1+1000*$A29,MASTER6!$A$2:$D$8001,4,FALSE())</f>
        <v>104</v>
      </c>
      <c r="BN29" s="0" t="n">
        <f aca="false">VLOOKUP(BN$1+1000*$A29,MASTER6!$A$2:$D$8001,4,FALSE())</f>
        <v>0</v>
      </c>
      <c r="BO29" s="0" t="n">
        <f aca="false">VLOOKUP(BO$1+1000*$A29,MASTER6!$A$2:$D$8001,4,FALSE())</f>
        <v>0</v>
      </c>
      <c r="BP29" s="0" t="n">
        <f aca="false">VLOOKUP(BP$1+1000*$A29,MASTER6!$A$2:$D$8001,4,FALSE())</f>
        <v>0</v>
      </c>
      <c r="BQ29" s="0" t="e">
        <f aca="false">VLOOKUP(BQ$1+1000*$A29,MASTER6!$A$2:$D$8001,4,FALSE())</f>
        <v>#N/A</v>
      </c>
      <c r="BR29" s="0" t="n">
        <f aca="false">VLOOKUP(BR$1+1000*$A29,MASTER6!$A$2:$D$8001,4,FALSE())</f>
        <v>0</v>
      </c>
      <c r="BS29" s="0" t="e">
        <f aca="false">VLOOKUP(BS$1+1000*$A29,MASTER6!$A$2:$D$8001,4,FALSE())</f>
        <v>#N/A</v>
      </c>
      <c r="BT29" s="0" t="n">
        <f aca="false">VLOOKUP(BT$1+1000*$A29,MASTER6!$A$2:$D$8001,4,FALSE())</f>
        <v>0</v>
      </c>
      <c r="BU29" s="0" t="n">
        <f aca="false">VLOOKUP(BU$1+1000*$A29,MASTER6!$A$2:$D$8001,4,FALSE())</f>
        <v>0</v>
      </c>
      <c r="BV29" s="0" t="n">
        <f aca="false">VLOOKUP(BV$1+1000*$A29,MASTER6!$A$2:$D$8001,4,FALSE())</f>
        <v>234</v>
      </c>
      <c r="BW29" s="0" t="e">
        <f aca="false">VLOOKUP(BW$1+1000*$A29,MASTER6!$A$2:$D$8001,4,FALSE())</f>
        <v>#N/A</v>
      </c>
      <c r="BX29" s="0" t="n">
        <f aca="false">VLOOKUP(BX$1+1000*$A29,MASTER6!$A$2:$D$8001,4,FALSE())</f>
        <v>0</v>
      </c>
      <c r="BY29" s="0" t="n">
        <f aca="false">VLOOKUP(BY$1+1000*$A29,MASTER6!$A$2:$D$8001,4,FALSE())</f>
        <v>0</v>
      </c>
      <c r="BZ29" s="0" t="n">
        <f aca="false">VLOOKUP(BZ$1+1000*$A29,MASTER6!$A$2:$D$8001,4,FALSE())</f>
        <v>0</v>
      </c>
      <c r="CA29" s="0" t="e">
        <f aca="false">VLOOKUP(CA$1+1000*$A29,MASTER6!$A$2:$D$8001,4,FALSE())</f>
        <v>#N/A</v>
      </c>
      <c r="CB29" s="0" t="n">
        <f aca="false">VLOOKUP(CB$1+1000*$A29,MASTER6!$A$2:$D$8001,4,FALSE())</f>
        <v>0</v>
      </c>
      <c r="CC29" s="0" t="n">
        <f aca="false">VLOOKUP(CC$1+1000*$A29,MASTER6!$A$2:$D$8001,4,FALSE())</f>
        <v>0</v>
      </c>
      <c r="CD29" s="0" t="e">
        <f aca="false">VLOOKUP(CD$1+1000*$A29,MASTER6!$A$2:$D$8001,4,FALSE())</f>
        <v>#N/A</v>
      </c>
      <c r="CE29" s="0" t="n">
        <f aca="false">VLOOKUP(CE$1+1000*$A29,MASTER6!$A$2:$D$8001,4,FALSE())</f>
        <v>0</v>
      </c>
      <c r="CF29" s="0" t="e">
        <f aca="false">VLOOKUP(CF$1+1000*$A29,MASTER6!$A$2:$D$8001,4,FALSE())</f>
        <v>#N/A</v>
      </c>
      <c r="CG29" s="0" t="e">
        <f aca="false">VLOOKUP(CG$1+1000*$A29,MASTER6!$A$2:$D$8001,4,FALSE())</f>
        <v>#N/A</v>
      </c>
      <c r="CH29" s="0" t="n">
        <f aca="false">VLOOKUP(CH$1+1000*$A29,MASTER6!$A$2:$D$8001,4,FALSE())</f>
        <v>215956</v>
      </c>
      <c r="CI29" s="0" t="n">
        <f aca="false">VLOOKUP(CI$1+1000*$A29,MASTER6!$A$2:$D$8001,4,FALSE())</f>
        <v>0</v>
      </c>
      <c r="CJ29" s="0" t="e">
        <f aca="false">VLOOKUP(CJ$1+1000*$A29,MASTER6!$A$2:$D$8001,4,FALSE())</f>
        <v>#N/A</v>
      </c>
    </row>
    <row r="30" customFormat="false" ht="12.75" hidden="false" customHeight="false" outlineLevel="0" collapsed="false">
      <c r="A30" s="0" t="n">
        <v>29</v>
      </c>
      <c r="B30" s="0" t="n">
        <f aca="false">VLOOKUP(B$1+1000*$A30,MASTER6!$A$2:$D$8001,4,FALSE())</f>
        <v>390</v>
      </c>
      <c r="C30" s="0" t="n">
        <f aca="false">VLOOKUP(C$1+1000*$A30,MASTER6!$A$2:$D$8001,4,FALSE())</f>
        <v>286</v>
      </c>
      <c r="D30" s="0" t="n">
        <f aca="false">VLOOKUP(D$1+1000*$A30,MASTER6!$A$2:$D$8001,4,FALSE())</f>
        <v>0</v>
      </c>
      <c r="E30" s="0" t="n">
        <f aca="false">VLOOKUP(E$1+1000*$A30,MASTER6!$A$2:$D$8001,4,FALSE())</f>
        <v>104</v>
      </c>
      <c r="F30" s="0" t="n">
        <f aca="false">VLOOKUP(F$1+1000*$A30,MASTER6!$A$2:$D$8001,4,FALSE())</f>
        <v>195</v>
      </c>
      <c r="G30" s="0" t="n">
        <f aca="false">VLOOKUP(G$1+1000*$A30,MASTER6!$A$2:$D$8001,4,FALSE())</f>
        <v>169</v>
      </c>
      <c r="H30" s="0" t="n">
        <f aca="false">VLOOKUP(H$1+1000*$A30,MASTER6!$A$2:$D$8001,4,FALSE())</f>
        <v>286</v>
      </c>
      <c r="I30" s="0" t="n">
        <f aca="false">VLOOKUP(I$1+1000*$A30,MASTER6!$A$2:$D$8001,4,FALSE())</f>
        <v>338</v>
      </c>
      <c r="J30" s="0" t="n">
        <f aca="false">VLOOKUP(J$1+1000*$A30,MASTER6!$A$2:$D$8001,4,FALSE())</f>
        <v>234</v>
      </c>
      <c r="K30" s="0" t="n">
        <f aca="false">VLOOKUP(K$1+1000*$A30,MASTER6!$A$2:$D$8001,4,FALSE())</f>
        <v>9724</v>
      </c>
      <c r="L30" s="0" t="n">
        <f aca="false">VLOOKUP(L$1+1000*$A30,MASTER6!$A$2:$D$8001,4,FALSE())</f>
        <v>14781</v>
      </c>
      <c r="M30" s="0" t="n">
        <f aca="false">VLOOKUP(M$1+1000*$A30,MASTER6!$A$2:$D$8001,4,FALSE())</f>
        <v>2288</v>
      </c>
      <c r="N30" s="0" t="n">
        <f aca="false">VLOOKUP(N$1+1000*$A30,MASTER6!$A$2:$D$8001,4,FALSE())</f>
        <v>0</v>
      </c>
      <c r="O30" s="0" t="n">
        <f aca="false">VLOOKUP(O$1+1000*$A30,MASTER6!$A$2:$D$8001,4,FALSE())</f>
        <v>0</v>
      </c>
      <c r="P30" s="0" t="n">
        <f aca="false">VLOOKUP(P$1+1000*$A30,MASTER6!$A$2:$D$8001,4,FALSE())</f>
        <v>182</v>
      </c>
      <c r="Q30" s="0" t="n">
        <f aca="false">VLOOKUP(Q$1+1000*$A30,MASTER6!$A$2:$D$8001,4,FALSE())</f>
        <v>1183</v>
      </c>
      <c r="R30" s="0" t="n">
        <f aca="false">VLOOKUP(R$1+1000*$A30,MASTER6!$A$2:$D$8001,4,FALSE())</f>
        <v>247</v>
      </c>
      <c r="S30" s="0" t="n">
        <f aca="false">VLOOKUP(S$1+1000*$A30,MASTER6!$A$2:$D$8001,4,FALSE())</f>
        <v>975</v>
      </c>
      <c r="T30" s="0" t="n">
        <f aca="false">VLOOKUP(T$1+1000*$A30,MASTER6!$A$2:$D$8001,4,FALSE())</f>
        <v>884</v>
      </c>
      <c r="U30" s="0" t="n">
        <f aca="false">VLOOKUP(U$1+1000*$A30,MASTER6!$A$2:$D$8001,4,FALSE())</f>
        <v>0</v>
      </c>
      <c r="V30" s="0" t="n">
        <f aca="false">VLOOKUP(V$1+1000*$A30,MASTER6!$A$2:$D$8001,4,FALSE())</f>
        <v>1443</v>
      </c>
      <c r="W30" s="0" t="n">
        <f aca="false">VLOOKUP(W$1+1000*$A30,MASTER6!$A$2:$D$8001,4,FALSE())</f>
        <v>351</v>
      </c>
      <c r="X30" s="0" t="n">
        <f aca="false">VLOOKUP(X$1+1000*$A30,MASTER6!$A$2:$D$8001,4,FALSE())</f>
        <v>2964</v>
      </c>
      <c r="Y30" s="0" t="n">
        <f aca="false">VLOOKUP(Y$1+1000*$A30,MASTER6!$A$2:$D$8001,4,FALSE())</f>
        <v>182</v>
      </c>
      <c r="Z30" s="0" t="n">
        <f aca="false">VLOOKUP(Z$1+1000*$A30,MASTER6!$A$2:$D$8001,4,FALSE())</f>
        <v>0</v>
      </c>
      <c r="AA30" s="0" t="n">
        <f aca="false">VLOOKUP(AA$1+1000*$A30,MASTER6!$A$2:$D$8001,4,FALSE())</f>
        <v>338</v>
      </c>
      <c r="AB30" s="0" t="n">
        <f aca="false">VLOOKUP(AB$1+1000*$A30,MASTER6!$A$2:$D$8001,4,FALSE())</f>
        <v>0</v>
      </c>
      <c r="AC30" s="0" t="n">
        <f aca="false">VLOOKUP(AC$1+1000*$A30,MASTER6!$A$2:$D$8001,4,FALSE())</f>
        <v>111956</v>
      </c>
      <c r="AD30" s="0" t="n">
        <f aca="false">VLOOKUP(AD$1+1000*$A30,MASTER6!$A$2:$D$8001,4,FALSE())</f>
        <v>171821</v>
      </c>
      <c r="AE30" s="0" t="n">
        <f aca="false">VLOOKUP(AE$1+1000*$A30,MASTER6!$A$2:$D$8001,4,FALSE())</f>
        <v>0</v>
      </c>
      <c r="AF30" s="0" t="n">
        <f aca="false">VLOOKUP(AF$1+1000*$A30,MASTER6!$A$2:$D$8001,4,FALSE())</f>
        <v>0</v>
      </c>
      <c r="AG30" s="0" t="n">
        <f aca="false">VLOOKUP(AG$1+1000*$A30,MASTER6!$A$2:$D$8001,4,FALSE())</f>
        <v>0</v>
      </c>
      <c r="AH30" s="0" t="n">
        <f aca="false">VLOOKUP(AH$1+1000*$A30,MASTER6!$A$2:$D$8001,4,FALSE())</f>
        <v>377</v>
      </c>
      <c r="AI30" s="0" t="n">
        <f aca="false">VLOOKUP(AI$1+1000*$A30,MASTER6!$A$2:$D$8001,4,FALSE())</f>
        <v>0</v>
      </c>
      <c r="AJ30" s="0" t="n">
        <f aca="false">VLOOKUP(AJ$1+1000*$A30,MASTER6!$A$2:$D$8001,4,FALSE())</f>
        <v>0</v>
      </c>
      <c r="AK30" s="0" t="e">
        <f aca="false">VLOOKUP(AK$1+1000*$A30,MASTER6!$A$2:$D$8001,4,FALSE())</f>
        <v>#N/A</v>
      </c>
      <c r="AL30" s="0" t="n">
        <f aca="false">VLOOKUP(AL$1+1000*$A30,MASTER6!$A$2:$D$8001,4,FALSE())</f>
        <v>91</v>
      </c>
      <c r="AM30" s="0" t="n">
        <f aca="false">VLOOKUP(AM$1+1000*$A30,MASTER6!$A$2:$D$8001,4,FALSE())</f>
        <v>0</v>
      </c>
      <c r="AN30" s="0" t="n">
        <f aca="false">VLOOKUP(AN$1+1000*$A30,MASTER6!$A$2:$D$8001,4,FALSE())</f>
        <v>221</v>
      </c>
      <c r="AO30" s="0" t="n">
        <f aca="false">VLOOKUP(AO$1+1000*$A30,MASTER6!$A$2:$D$8001,4,FALSE())</f>
        <v>0</v>
      </c>
      <c r="AP30" s="0" t="n">
        <f aca="false">VLOOKUP(AP$1+1000*$A30,MASTER6!$A$2:$D$8001,4,FALSE())</f>
        <v>117</v>
      </c>
      <c r="AQ30" s="0" t="n">
        <f aca="false">VLOOKUP(AQ$1+1000*$A30,MASTER6!$A$2:$D$8001,4,FALSE())</f>
        <v>52</v>
      </c>
      <c r="AR30" s="0" t="n">
        <f aca="false">VLOOKUP(AR$1+1000*$A30,MASTER6!$A$2:$D$8001,4,FALSE())</f>
        <v>0</v>
      </c>
      <c r="AS30" s="0" t="e">
        <f aca="false">VLOOKUP(AS$1+1000*$A30,MASTER6!$A$2:$D$8001,4,FALSE())</f>
        <v>#N/A</v>
      </c>
      <c r="AT30" s="0" t="e">
        <f aca="false">VLOOKUP(AT$1+1000*$A30,MASTER6!$A$2:$D$8001,4,FALSE())</f>
        <v>#N/A</v>
      </c>
      <c r="AU30" s="0" t="n">
        <f aca="false">VLOOKUP(AU$1+1000*$A30,MASTER6!$A$2:$D$8001,4,FALSE())</f>
        <v>0</v>
      </c>
      <c r="AV30" s="0" t="e">
        <f aca="false">VLOOKUP(AV$1+1000*$A30,MASTER6!$A$2:$D$8001,4,FALSE())</f>
        <v>#N/A</v>
      </c>
      <c r="AW30" s="0" t="n">
        <f aca="false">VLOOKUP(AW$1+1000*$A30,MASTER6!$A$2:$D$8001,4,FALSE())</f>
        <v>0</v>
      </c>
      <c r="AX30" s="0" t="n">
        <f aca="false">VLOOKUP(AX$1+1000*$A30,MASTER6!$A$2:$D$8001,4,FALSE())</f>
        <v>91</v>
      </c>
      <c r="AY30" s="0" t="n">
        <f aca="false">VLOOKUP(AY$1+1000*$A30,MASTER6!$A$2:$D$8001,4,FALSE())</f>
        <v>481</v>
      </c>
      <c r="AZ30" s="0" t="n">
        <f aca="false">VLOOKUP(AZ$1+1000*$A30,MASTER6!$A$2:$D$8001,4,FALSE())</f>
        <v>91</v>
      </c>
      <c r="BA30" s="0" t="n">
        <f aca="false">VLOOKUP(BA$1+1000*$A30,MASTER6!$A$2:$D$8001,4,FALSE())</f>
        <v>0</v>
      </c>
      <c r="BB30" s="0" t="n">
        <f aca="false">VLOOKUP(BB$1+1000*$A30,MASTER6!$A$2:$D$8001,4,FALSE())</f>
        <v>0</v>
      </c>
      <c r="BC30" s="0" t="n">
        <f aca="false">VLOOKUP(BC$1+1000*$A30,MASTER6!$A$2:$D$8001,4,FALSE())</f>
        <v>0</v>
      </c>
      <c r="BD30" s="0" t="n">
        <f aca="false">VLOOKUP(BD$1+1000*$A30,MASTER6!$A$2:$D$8001,4,FALSE())</f>
        <v>0</v>
      </c>
      <c r="BE30" s="0" t="n">
        <f aca="false">VLOOKUP(BE$1+1000*$A30,MASTER6!$A$2:$D$8001,4,FALSE())</f>
        <v>0</v>
      </c>
      <c r="BF30" s="0" t="n">
        <f aca="false">VLOOKUP(BF$1+1000*$A30,MASTER6!$A$2:$D$8001,4,FALSE())</f>
        <v>0</v>
      </c>
      <c r="BG30" s="0" t="e">
        <f aca="false">VLOOKUP(BG$1+1000*$A30,MASTER6!$A$2:$D$8001,4,FALSE())</f>
        <v>#N/A</v>
      </c>
      <c r="BH30" s="0" t="n">
        <f aca="false">VLOOKUP(BH$1+1000*$A30,MASTER6!$A$2:$D$8001,4,FALSE())</f>
        <v>0</v>
      </c>
      <c r="BI30" s="0" t="n">
        <f aca="false">VLOOKUP(BI$1+1000*$A30,MASTER6!$A$2:$D$8001,4,FALSE())</f>
        <v>0</v>
      </c>
      <c r="BJ30" s="0" t="e">
        <f aca="false">VLOOKUP(BJ$1+1000*$A30,MASTER6!$A$2:$D$8001,4,FALSE())</f>
        <v>#N/A</v>
      </c>
      <c r="BK30" s="0" t="n">
        <f aca="false">VLOOKUP(BK$1+1000*$A30,MASTER6!$A$2:$D$8001,4,FALSE())</f>
        <v>0</v>
      </c>
      <c r="BL30" s="0" t="e">
        <f aca="false">VLOOKUP(BL$1+1000*$A30,MASTER6!$A$2:$D$8001,4,FALSE())</f>
        <v>#N/A</v>
      </c>
      <c r="BM30" s="0" t="n">
        <f aca="false">VLOOKUP(BM$1+1000*$A30,MASTER6!$A$2:$D$8001,4,FALSE())</f>
        <v>0</v>
      </c>
      <c r="BN30" s="0" t="n">
        <f aca="false">VLOOKUP(BN$1+1000*$A30,MASTER6!$A$2:$D$8001,4,FALSE())</f>
        <v>182</v>
      </c>
      <c r="BO30" s="0" t="n">
        <f aca="false">VLOOKUP(BO$1+1000*$A30,MASTER6!$A$2:$D$8001,4,FALSE())</f>
        <v>0</v>
      </c>
      <c r="BP30" s="0" t="n">
        <f aca="false">VLOOKUP(BP$1+1000*$A30,MASTER6!$A$2:$D$8001,4,FALSE())</f>
        <v>0</v>
      </c>
      <c r="BQ30" s="0" t="e">
        <f aca="false">VLOOKUP(BQ$1+1000*$A30,MASTER6!$A$2:$D$8001,4,FALSE())</f>
        <v>#N/A</v>
      </c>
      <c r="BR30" s="0" t="n">
        <f aca="false">VLOOKUP(BR$1+1000*$A30,MASTER6!$A$2:$D$8001,4,FALSE())</f>
        <v>0</v>
      </c>
      <c r="BS30" s="0" t="e">
        <f aca="false">VLOOKUP(BS$1+1000*$A30,MASTER6!$A$2:$D$8001,4,FALSE())</f>
        <v>#N/A</v>
      </c>
      <c r="BT30" s="0" t="n">
        <f aca="false">VLOOKUP(BT$1+1000*$A30,MASTER6!$A$2:$D$8001,4,FALSE())</f>
        <v>0</v>
      </c>
      <c r="BU30" s="0" t="n">
        <f aca="false">VLOOKUP(BU$1+1000*$A30,MASTER6!$A$2:$D$8001,4,FALSE())</f>
        <v>0</v>
      </c>
      <c r="BV30" s="0" t="n">
        <f aca="false">VLOOKUP(BV$1+1000*$A30,MASTER6!$A$2:$D$8001,4,FALSE())</f>
        <v>182</v>
      </c>
      <c r="BW30" s="0" t="e">
        <f aca="false">VLOOKUP(BW$1+1000*$A30,MASTER6!$A$2:$D$8001,4,FALSE())</f>
        <v>#N/A</v>
      </c>
      <c r="BX30" s="0" t="n">
        <f aca="false">VLOOKUP(BX$1+1000*$A30,MASTER6!$A$2:$D$8001,4,FALSE())</f>
        <v>0</v>
      </c>
      <c r="BY30" s="0" t="n">
        <f aca="false">VLOOKUP(BY$1+1000*$A30,MASTER6!$A$2:$D$8001,4,FALSE())</f>
        <v>0</v>
      </c>
      <c r="BZ30" s="0" t="n">
        <f aca="false">VLOOKUP(BZ$1+1000*$A30,MASTER6!$A$2:$D$8001,4,FALSE())</f>
        <v>0</v>
      </c>
      <c r="CA30" s="0" t="e">
        <f aca="false">VLOOKUP(CA$1+1000*$A30,MASTER6!$A$2:$D$8001,4,FALSE())</f>
        <v>#N/A</v>
      </c>
      <c r="CB30" s="0" t="n">
        <f aca="false">VLOOKUP(CB$1+1000*$A30,MASTER6!$A$2:$D$8001,4,FALSE())</f>
        <v>0</v>
      </c>
      <c r="CC30" s="0" t="n">
        <f aca="false">VLOOKUP(CC$1+1000*$A30,MASTER6!$A$2:$D$8001,4,FALSE())</f>
        <v>52</v>
      </c>
      <c r="CD30" s="0" t="e">
        <f aca="false">VLOOKUP(CD$1+1000*$A30,MASTER6!$A$2:$D$8001,4,FALSE())</f>
        <v>#N/A</v>
      </c>
      <c r="CE30" s="0" t="n">
        <f aca="false">VLOOKUP(CE$1+1000*$A30,MASTER6!$A$2:$D$8001,4,FALSE())</f>
        <v>130</v>
      </c>
      <c r="CF30" s="0" t="e">
        <f aca="false">VLOOKUP(CF$1+1000*$A30,MASTER6!$A$2:$D$8001,4,FALSE())</f>
        <v>#N/A</v>
      </c>
      <c r="CG30" s="0" t="e">
        <f aca="false">VLOOKUP(CG$1+1000*$A30,MASTER6!$A$2:$D$8001,4,FALSE())</f>
        <v>#N/A</v>
      </c>
      <c r="CH30" s="0" t="n">
        <f aca="false">VLOOKUP(CH$1+1000*$A30,MASTER6!$A$2:$D$8001,4,FALSE())</f>
        <v>343122</v>
      </c>
      <c r="CI30" s="0" t="n">
        <f aca="false">VLOOKUP(CI$1+1000*$A30,MASTER6!$A$2:$D$8001,4,FALSE())</f>
        <v>130</v>
      </c>
      <c r="CJ30" s="0" t="e">
        <f aca="false">VLOOKUP(CJ$1+1000*$A30,MASTER6!$A$2:$D$8001,4,FALSE())</f>
        <v>#N/A</v>
      </c>
    </row>
    <row r="31" customFormat="false" ht="12.75" hidden="false" customHeight="false" outlineLevel="0" collapsed="false">
      <c r="A31" s="0" t="n">
        <v>30</v>
      </c>
      <c r="B31" s="0" t="n">
        <f aca="false">VLOOKUP(B$1+1000*$A31,MASTER6!$A$2:$D$8001,4,FALSE())</f>
        <v>0</v>
      </c>
      <c r="C31" s="0" t="n">
        <f aca="false">VLOOKUP(C$1+1000*$A31,MASTER6!$A$2:$D$8001,4,FALSE())</f>
        <v>0</v>
      </c>
      <c r="D31" s="0" t="n">
        <f aca="false">VLOOKUP(D$1+1000*$A31,MASTER6!$A$2:$D$8001,4,FALSE())</f>
        <v>0</v>
      </c>
      <c r="E31" s="0" t="n">
        <f aca="false">VLOOKUP(E$1+1000*$A31,MASTER6!$A$2:$D$8001,4,FALSE())</f>
        <v>0</v>
      </c>
      <c r="F31" s="0" t="n">
        <f aca="false">VLOOKUP(F$1+1000*$A31,MASTER6!$A$2:$D$8001,4,FALSE())</f>
        <v>0</v>
      </c>
      <c r="G31" s="0" t="n">
        <f aca="false">VLOOKUP(G$1+1000*$A31,MASTER6!$A$2:$D$8001,4,FALSE())</f>
        <v>0</v>
      </c>
      <c r="H31" s="0" t="n">
        <f aca="false">VLOOKUP(H$1+1000*$A31,MASTER6!$A$2:$D$8001,4,FALSE())</f>
        <v>0</v>
      </c>
      <c r="I31" s="0" t="n">
        <f aca="false">VLOOKUP(I$1+1000*$A31,MASTER6!$A$2:$D$8001,4,FALSE())</f>
        <v>0</v>
      </c>
      <c r="J31" s="0" t="n">
        <f aca="false">VLOOKUP(J$1+1000*$A31,MASTER6!$A$2:$D$8001,4,FALSE())</f>
        <v>0</v>
      </c>
      <c r="K31" s="0" t="n">
        <f aca="false">VLOOKUP(K$1+1000*$A31,MASTER6!$A$2:$D$8001,4,FALSE())</f>
        <v>0</v>
      </c>
      <c r="L31" s="0" t="n">
        <f aca="false">VLOOKUP(L$1+1000*$A31,MASTER6!$A$2:$D$8001,4,FALSE())</f>
        <v>0</v>
      </c>
      <c r="M31" s="0" t="n">
        <f aca="false">VLOOKUP(M$1+1000*$A31,MASTER6!$A$2:$D$8001,4,FALSE())</f>
        <v>0</v>
      </c>
      <c r="N31" s="0" t="n">
        <f aca="false">VLOOKUP(N$1+1000*$A31,MASTER6!$A$2:$D$8001,4,FALSE())</f>
        <v>0</v>
      </c>
      <c r="O31" s="0" t="n">
        <f aca="false">VLOOKUP(O$1+1000*$A31,MASTER6!$A$2:$D$8001,4,FALSE())</f>
        <v>0</v>
      </c>
      <c r="P31" s="0" t="n">
        <f aca="false">VLOOKUP(P$1+1000*$A31,MASTER6!$A$2:$D$8001,4,FALSE())</f>
        <v>0</v>
      </c>
      <c r="Q31" s="0" t="n">
        <f aca="false">VLOOKUP(Q$1+1000*$A31,MASTER6!$A$2:$D$8001,4,FALSE())</f>
        <v>0</v>
      </c>
      <c r="R31" s="0" t="n">
        <f aca="false">VLOOKUP(R$1+1000*$A31,MASTER6!$A$2:$D$8001,4,FALSE())</f>
        <v>0</v>
      </c>
      <c r="S31" s="0" t="n">
        <f aca="false">VLOOKUP(S$1+1000*$A31,MASTER6!$A$2:$D$8001,4,FALSE())</f>
        <v>0</v>
      </c>
      <c r="T31" s="0" t="n">
        <f aca="false">VLOOKUP(T$1+1000*$A31,MASTER6!$A$2:$D$8001,4,FALSE())</f>
        <v>182</v>
      </c>
      <c r="U31" s="0" t="n">
        <f aca="false">VLOOKUP(U$1+1000*$A31,MASTER6!$A$2:$D$8001,4,FALSE())</f>
        <v>0</v>
      </c>
      <c r="V31" s="0" t="n">
        <f aca="false">VLOOKUP(V$1+1000*$A31,MASTER6!$A$2:$D$8001,4,FALSE())</f>
        <v>52</v>
      </c>
      <c r="W31" s="0" t="n">
        <f aca="false">VLOOKUP(W$1+1000*$A31,MASTER6!$A$2:$D$8001,4,FALSE())</f>
        <v>0</v>
      </c>
      <c r="X31" s="0" t="n">
        <f aca="false">VLOOKUP(X$1+1000*$A31,MASTER6!$A$2:$D$8001,4,FALSE())</f>
        <v>117</v>
      </c>
      <c r="Y31" s="0" t="n">
        <f aca="false">VLOOKUP(Y$1+1000*$A31,MASTER6!$A$2:$D$8001,4,FALSE())</f>
        <v>1053</v>
      </c>
      <c r="Z31" s="0" t="n">
        <f aca="false">VLOOKUP(Z$1+1000*$A31,MASTER6!$A$2:$D$8001,4,FALSE())</f>
        <v>4095</v>
      </c>
      <c r="AA31" s="0" t="n">
        <f aca="false">VLOOKUP(AA$1+1000*$A31,MASTER6!$A$2:$D$8001,4,FALSE())</f>
        <v>0</v>
      </c>
      <c r="AB31" s="0" t="n">
        <f aca="false">VLOOKUP(AB$1+1000*$A31,MASTER6!$A$2:$D$8001,4,FALSE())</f>
        <v>1261</v>
      </c>
      <c r="AC31" s="0" t="n">
        <f aca="false">VLOOKUP(AC$1+1000*$A31,MASTER6!$A$2:$D$8001,4,FALSE())</f>
        <v>0</v>
      </c>
      <c r="AD31" s="0" t="n">
        <f aca="false">VLOOKUP(AD$1+1000*$A31,MASTER6!$A$2:$D$8001,4,FALSE())</f>
        <v>0</v>
      </c>
      <c r="AE31" s="0" t="n">
        <f aca="false">VLOOKUP(AE$1+1000*$A31,MASTER6!$A$2:$D$8001,4,FALSE())</f>
        <v>59956</v>
      </c>
      <c r="AF31" s="0" t="n">
        <f aca="false">VLOOKUP(AF$1+1000*$A31,MASTER6!$A$2:$D$8001,4,FALSE())</f>
        <v>195</v>
      </c>
      <c r="AG31" s="0" t="n">
        <f aca="false">VLOOKUP(AG$1+1000*$A31,MASTER6!$A$2:$D$8001,4,FALSE())</f>
        <v>0</v>
      </c>
      <c r="AH31" s="0" t="n">
        <f aca="false">VLOOKUP(AH$1+1000*$A31,MASTER6!$A$2:$D$8001,4,FALSE())</f>
        <v>0</v>
      </c>
      <c r="AI31" s="0" t="n">
        <f aca="false">VLOOKUP(AI$1+1000*$A31,MASTER6!$A$2:$D$8001,4,FALSE())</f>
        <v>0</v>
      </c>
      <c r="AJ31" s="0" t="n">
        <f aca="false">VLOOKUP(AJ$1+1000*$A31,MASTER6!$A$2:$D$8001,4,FALSE())</f>
        <v>0</v>
      </c>
      <c r="AK31" s="0" t="e">
        <f aca="false">VLOOKUP(AK$1+1000*$A31,MASTER6!$A$2:$D$8001,4,FALSE())</f>
        <v>#N/A</v>
      </c>
      <c r="AL31" s="0" t="n">
        <f aca="false">VLOOKUP(AL$1+1000*$A31,MASTER6!$A$2:$D$8001,4,FALSE())</f>
        <v>0</v>
      </c>
      <c r="AM31" s="0" t="n">
        <f aca="false">VLOOKUP(AM$1+1000*$A31,MASTER6!$A$2:$D$8001,4,FALSE())</f>
        <v>0</v>
      </c>
      <c r="AN31" s="0" t="n">
        <f aca="false">VLOOKUP(AN$1+1000*$A31,MASTER6!$A$2:$D$8001,4,FALSE())</f>
        <v>0</v>
      </c>
      <c r="AO31" s="0" t="n">
        <f aca="false">VLOOKUP(AO$1+1000*$A31,MASTER6!$A$2:$D$8001,4,FALSE())</f>
        <v>286</v>
      </c>
      <c r="AP31" s="0" t="n">
        <f aca="false">VLOOKUP(AP$1+1000*$A31,MASTER6!$A$2:$D$8001,4,FALSE())</f>
        <v>286</v>
      </c>
      <c r="AQ31" s="0" t="n">
        <f aca="false">VLOOKUP(AQ$1+1000*$A31,MASTER6!$A$2:$D$8001,4,FALSE())</f>
        <v>0</v>
      </c>
      <c r="AR31" s="0" t="n">
        <f aca="false">VLOOKUP(AR$1+1000*$A31,MASTER6!$A$2:$D$8001,4,FALSE())</f>
        <v>0</v>
      </c>
      <c r="AS31" s="0" t="e">
        <f aca="false">VLOOKUP(AS$1+1000*$A31,MASTER6!$A$2:$D$8001,4,FALSE())</f>
        <v>#N/A</v>
      </c>
      <c r="AT31" s="0" t="e">
        <f aca="false">VLOOKUP(AT$1+1000*$A31,MASTER6!$A$2:$D$8001,4,FALSE())</f>
        <v>#N/A</v>
      </c>
      <c r="AU31" s="0" t="n">
        <f aca="false">VLOOKUP(AU$1+1000*$A31,MASTER6!$A$2:$D$8001,4,FALSE())</f>
        <v>0</v>
      </c>
      <c r="AV31" s="0" t="e">
        <f aca="false">VLOOKUP(AV$1+1000*$A31,MASTER6!$A$2:$D$8001,4,FALSE())</f>
        <v>#N/A</v>
      </c>
      <c r="AW31" s="0" t="n">
        <f aca="false">VLOOKUP(AW$1+1000*$A31,MASTER6!$A$2:$D$8001,4,FALSE())</f>
        <v>0</v>
      </c>
      <c r="AX31" s="0" t="n">
        <f aca="false">VLOOKUP(AX$1+1000*$A31,MASTER6!$A$2:$D$8001,4,FALSE())</f>
        <v>559</v>
      </c>
      <c r="AY31" s="0" t="n">
        <f aca="false">VLOOKUP(AY$1+1000*$A31,MASTER6!$A$2:$D$8001,4,FALSE())</f>
        <v>0</v>
      </c>
      <c r="AZ31" s="0" t="n">
        <f aca="false">VLOOKUP(AZ$1+1000*$A31,MASTER6!$A$2:$D$8001,4,FALSE())</f>
        <v>390</v>
      </c>
      <c r="BA31" s="0" t="n">
        <f aca="false">VLOOKUP(BA$1+1000*$A31,MASTER6!$A$2:$D$8001,4,FALSE())</f>
        <v>0</v>
      </c>
      <c r="BB31" s="0" t="n">
        <f aca="false">VLOOKUP(BB$1+1000*$A31,MASTER6!$A$2:$D$8001,4,FALSE())</f>
        <v>0</v>
      </c>
      <c r="BC31" s="0" t="n">
        <f aca="false">VLOOKUP(BC$1+1000*$A31,MASTER6!$A$2:$D$8001,4,FALSE())</f>
        <v>0</v>
      </c>
      <c r="BD31" s="0" t="n">
        <f aca="false">VLOOKUP(BD$1+1000*$A31,MASTER6!$A$2:$D$8001,4,FALSE())</f>
        <v>0</v>
      </c>
      <c r="BE31" s="0" t="n">
        <f aca="false">VLOOKUP(BE$1+1000*$A31,MASTER6!$A$2:$D$8001,4,FALSE())</f>
        <v>0</v>
      </c>
      <c r="BF31" s="0" t="n">
        <f aca="false">VLOOKUP(BF$1+1000*$A31,MASTER6!$A$2:$D$8001,4,FALSE())</f>
        <v>0</v>
      </c>
      <c r="BG31" s="0" t="e">
        <f aca="false">VLOOKUP(BG$1+1000*$A31,MASTER6!$A$2:$D$8001,4,FALSE())</f>
        <v>#N/A</v>
      </c>
      <c r="BH31" s="0" t="n">
        <f aca="false">VLOOKUP(BH$1+1000*$A31,MASTER6!$A$2:$D$8001,4,FALSE())</f>
        <v>0</v>
      </c>
      <c r="BI31" s="0" t="n">
        <f aca="false">VLOOKUP(BI$1+1000*$A31,MASTER6!$A$2:$D$8001,4,FALSE())</f>
        <v>0</v>
      </c>
      <c r="BJ31" s="0" t="e">
        <f aca="false">VLOOKUP(BJ$1+1000*$A31,MASTER6!$A$2:$D$8001,4,FALSE())</f>
        <v>#N/A</v>
      </c>
      <c r="BK31" s="0" t="n">
        <f aca="false">VLOOKUP(BK$1+1000*$A31,MASTER6!$A$2:$D$8001,4,FALSE())</f>
        <v>0</v>
      </c>
      <c r="BL31" s="0" t="e">
        <f aca="false">VLOOKUP(BL$1+1000*$A31,MASTER6!$A$2:$D$8001,4,FALSE())</f>
        <v>#N/A</v>
      </c>
      <c r="BM31" s="0" t="n">
        <f aca="false">VLOOKUP(BM$1+1000*$A31,MASTER6!$A$2:$D$8001,4,FALSE())</f>
        <v>0</v>
      </c>
      <c r="BN31" s="0" t="n">
        <f aca="false">VLOOKUP(BN$1+1000*$A31,MASTER6!$A$2:$D$8001,4,FALSE())</f>
        <v>0</v>
      </c>
      <c r="BO31" s="0" t="n">
        <f aca="false">VLOOKUP(BO$1+1000*$A31,MASTER6!$A$2:$D$8001,4,FALSE())</f>
        <v>0</v>
      </c>
      <c r="BP31" s="0" t="n">
        <f aca="false">VLOOKUP(BP$1+1000*$A31,MASTER6!$A$2:$D$8001,4,FALSE())</f>
        <v>0</v>
      </c>
      <c r="BQ31" s="0" t="e">
        <f aca="false">VLOOKUP(BQ$1+1000*$A31,MASTER6!$A$2:$D$8001,4,FALSE())</f>
        <v>#N/A</v>
      </c>
      <c r="BR31" s="0" t="n">
        <f aca="false">VLOOKUP(BR$1+1000*$A31,MASTER6!$A$2:$D$8001,4,FALSE())</f>
        <v>0</v>
      </c>
      <c r="BS31" s="0" t="e">
        <f aca="false">VLOOKUP(BS$1+1000*$A31,MASTER6!$A$2:$D$8001,4,FALSE())</f>
        <v>#N/A</v>
      </c>
      <c r="BT31" s="0" t="n">
        <f aca="false">VLOOKUP(BT$1+1000*$A31,MASTER6!$A$2:$D$8001,4,FALSE())</f>
        <v>0</v>
      </c>
      <c r="BU31" s="0" t="n">
        <f aca="false">VLOOKUP(BU$1+1000*$A31,MASTER6!$A$2:$D$8001,4,FALSE())</f>
        <v>0</v>
      </c>
      <c r="BV31" s="0" t="n">
        <f aca="false">VLOOKUP(BV$1+1000*$A31,MASTER6!$A$2:$D$8001,4,FALSE())</f>
        <v>0</v>
      </c>
      <c r="BW31" s="0" t="e">
        <f aca="false">VLOOKUP(BW$1+1000*$A31,MASTER6!$A$2:$D$8001,4,FALSE())</f>
        <v>#N/A</v>
      </c>
      <c r="BX31" s="0" t="n">
        <f aca="false">VLOOKUP(BX$1+1000*$A31,MASTER6!$A$2:$D$8001,4,FALSE())</f>
        <v>0</v>
      </c>
      <c r="BY31" s="0" t="n">
        <f aca="false">VLOOKUP(BY$1+1000*$A31,MASTER6!$A$2:$D$8001,4,FALSE())</f>
        <v>0</v>
      </c>
      <c r="BZ31" s="0" t="n">
        <f aca="false">VLOOKUP(BZ$1+1000*$A31,MASTER6!$A$2:$D$8001,4,FALSE())</f>
        <v>0</v>
      </c>
      <c r="CA31" s="0" t="e">
        <f aca="false">VLOOKUP(CA$1+1000*$A31,MASTER6!$A$2:$D$8001,4,FALSE())</f>
        <v>#N/A</v>
      </c>
      <c r="CB31" s="0" t="n">
        <f aca="false">VLOOKUP(CB$1+1000*$A31,MASTER6!$A$2:$D$8001,4,FALSE())</f>
        <v>0</v>
      </c>
      <c r="CC31" s="0" t="n">
        <f aca="false">VLOOKUP(CC$1+1000*$A31,MASTER6!$A$2:$D$8001,4,FALSE())</f>
        <v>0</v>
      </c>
      <c r="CD31" s="0" t="e">
        <f aca="false">VLOOKUP(CD$1+1000*$A31,MASTER6!$A$2:$D$8001,4,FALSE())</f>
        <v>#N/A</v>
      </c>
      <c r="CE31" s="0" t="n">
        <f aca="false">VLOOKUP(CE$1+1000*$A31,MASTER6!$A$2:$D$8001,4,FALSE())</f>
        <v>0</v>
      </c>
      <c r="CF31" s="0" t="e">
        <f aca="false">VLOOKUP(CF$1+1000*$A31,MASTER6!$A$2:$D$8001,4,FALSE())</f>
        <v>#N/A</v>
      </c>
      <c r="CG31" s="0" t="e">
        <f aca="false">VLOOKUP(CG$1+1000*$A31,MASTER6!$A$2:$D$8001,4,FALSE())</f>
        <v>#N/A</v>
      </c>
      <c r="CH31" s="0" t="n">
        <f aca="false">VLOOKUP(CH$1+1000*$A31,MASTER6!$A$2:$D$8001,4,FALSE())</f>
        <v>108225</v>
      </c>
      <c r="CI31" s="0" t="n">
        <f aca="false">VLOOKUP(CI$1+1000*$A31,MASTER6!$A$2:$D$8001,4,FALSE())</f>
        <v>0</v>
      </c>
      <c r="CJ31" s="0" t="e">
        <f aca="false">VLOOKUP(CJ$1+1000*$A31,MASTER6!$A$2:$D$8001,4,FALSE())</f>
        <v>#N/A</v>
      </c>
    </row>
    <row r="32" customFormat="false" ht="12.75" hidden="false" customHeight="false" outlineLevel="0" collapsed="false">
      <c r="A32" s="0" t="n">
        <v>31</v>
      </c>
      <c r="B32" s="0" t="n">
        <f aca="false">VLOOKUP(B$1+1000*$A32,MASTER6!$A$2:$D$8001,4,FALSE())</f>
        <v>0</v>
      </c>
      <c r="C32" s="0" t="n">
        <f aca="false">VLOOKUP(C$1+1000*$A32,MASTER6!$A$2:$D$8001,4,FALSE())</f>
        <v>0</v>
      </c>
      <c r="D32" s="0" t="n">
        <f aca="false">VLOOKUP(D$1+1000*$A32,MASTER6!$A$2:$D$8001,4,FALSE())</f>
        <v>0</v>
      </c>
      <c r="E32" s="0" t="n">
        <f aca="false">VLOOKUP(E$1+1000*$A32,MASTER6!$A$2:$D$8001,4,FALSE())</f>
        <v>0</v>
      </c>
      <c r="F32" s="0" t="n">
        <f aca="false">VLOOKUP(F$1+1000*$A32,MASTER6!$A$2:$D$8001,4,FALSE())</f>
        <v>0</v>
      </c>
      <c r="G32" s="0" t="n">
        <f aca="false">VLOOKUP(G$1+1000*$A32,MASTER6!$A$2:$D$8001,4,FALSE())</f>
        <v>0</v>
      </c>
      <c r="H32" s="0" t="n">
        <f aca="false">VLOOKUP(H$1+1000*$A32,MASTER6!$A$2:$D$8001,4,FALSE())</f>
        <v>0</v>
      </c>
      <c r="I32" s="0" t="n">
        <f aca="false">VLOOKUP(I$1+1000*$A32,MASTER6!$A$2:$D$8001,4,FALSE())</f>
        <v>0</v>
      </c>
      <c r="J32" s="0" t="n">
        <f aca="false">VLOOKUP(J$1+1000*$A32,MASTER6!$A$2:$D$8001,4,FALSE())</f>
        <v>0</v>
      </c>
      <c r="K32" s="0" t="n">
        <f aca="false">VLOOKUP(K$1+1000*$A32,MASTER6!$A$2:$D$8001,4,FALSE())</f>
        <v>0</v>
      </c>
      <c r="L32" s="0" t="n">
        <f aca="false">VLOOKUP(L$1+1000*$A32,MASTER6!$A$2:$D$8001,4,FALSE())</f>
        <v>0</v>
      </c>
      <c r="M32" s="0" t="n">
        <f aca="false">VLOOKUP(M$1+1000*$A32,MASTER6!$A$2:$D$8001,4,FALSE())</f>
        <v>0</v>
      </c>
      <c r="N32" s="0" t="n">
        <f aca="false">VLOOKUP(N$1+1000*$A32,MASTER6!$A$2:$D$8001,4,FALSE())</f>
        <v>0</v>
      </c>
      <c r="O32" s="0" t="n">
        <f aca="false">VLOOKUP(O$1+1000*$A32,MASTER6!$A$2:$D$8001,4,FALSE())</f>
        <v>0</v>
      </c>
      <c r="P32" s="0" t="n">
        <f aca="false">VLOOKUP(P$1+1000*$A32,MASTER6!$A$2:$D$8001,4,FALSE())</f>
        <v>0</v>
      </c>
      <c r="Q32" s="0" t="n">
        <f aca="false">VLOOKUP(Q$1+1000*$A32,MASTER6!$A$2:$D$8001,4,FALSE())</f>
        <v>0</v>
      </c>
      <c r="R32" s="0" t="n">
        <f aca="false">VLOOKUP(R$1+1000*$A32,MASTER6!$A$2:$D$8001,4,FALSE())</f>
        <v>0</v>
      </c>
      <c r="S32" s="0" t="n">
        <f aca="false">VLOOKUP(S$1+1000*$A32,MASTER6!$A$2:$D$8001,4,FALSE())</f>
        <v>0</v>
      </c>
      <c r="T32" s="0" t="n">
        <f aca="false">VLOOKUP(T$1+1000*$A32,MASTER6!$A$2:$D$8001,4,FALSE())</f>
        <v>0</v>
      </c>
      <c r="U32" s="0" t="n">
        <f aca="false">VLOOKUP(U$1+1000*$A32,MASTER6!$A$2:$D$8001,4,FALSE())</f>
        <v>0</v>
      </c>
      <c r="V32" s="0" t="n">
        <f aca="false">VLOOKUP(V$1+1000*$A32,MASTER6!$A$2:$D$8001,4,FALSE())</f>
        <v>169</v>
      </c>
      <c r="W32" s="0" t="n">
        <f aca="false">VLOOKUP(W$1+1000*$A32,MASTER6!$A$2:$D$8001,4,FALSE())</f>
        <v>0</v>
      </c>
      <c r="X32" s="0" t="n">
        <f aca="false">VLOOKUP(X$1+1000*$A32,MASTER6!$A$2:$D$8001,4,FALSE())</f>
        <v>0</v>
      </c>
      <c r="Y32" s="0" t="n">
        <f aca="false">VLOOKUP(Y$1+1000*$A32,MASTER6!$A$2:$D$8001,4,FALSE())</f>
        <v>0</v>
      </c>
      <c r="Z32" s="0" t="n">
        <f aca="false">VLOOKUP(Z$1+1000*$A32,MASTER6!$A$2:$D$8001,4,FALSE())</f>
        <v>0</v>
      </c>
      <c r="AA32" s="0" t="n">
        <f aca="false">VLOOKUP(AA$1+1000*$A32,MASTER6!$A$2:$D$8001,4,FALSE())</f>
        <v>0</v>
      </c>
      <c r="AB32" s="0" t="n">
        <f aca="false">VLOOKUP(AB$1+1000*$A32,MASTER6!$A$2:$D$8001,4,FALSE())</f>
        <v>0</v>
      </c>
      <c r="AC32" s="0" t="n">
        <f aca="false">VLOOKUP(AC$1+1000*$A32,MASTER6!$A$2:$D$8001,4,FALSE())</f>
        <v>0</v>
      </c>
      <c r="AD32" s="0" t="n">
        <f aca="false">VLOOKUP(AD$1+1000*$A32,MASTER6!$A$2:$D$8001,4,FALSE())</f>
        <v>0</v>
      </c>
      <c r="AE32" s="0" t="n">
        <f aca="false">VLOOKUP(AE$1+1000*$A32,MASTER6!$A$2:$D$8001,4,FALSE())</f>
        <v>0</v>
      </c>
      <c r="AF32" s="0" t="n">
        <f aca="false">VLOOKUP(AF$1+1000*$A32,MASTER6!$A$2:$D$8001,4,FALSE())</f>
        <v>30563</v>
      </c>
      <c r="AG32" s="0" t="n">
        <f aca="false">VLOOKUP(AG$1+1000*$A32,MASTER6!$A$2:$D$8001,4,FALSE())</f>
        <v>117</v>
      </c>
      <c r="AH32" s="0" t="n">
        <f aca="false">VLOOKUP(AH$1+1000*$A32,MASTER6!$A$2:$D$8001,4,FALSE())</f>
        <v>0</v>
      </c>
      <c r="AI32" s="0" t="n">
        <f aca="false">VLOOKUP(AI$1+1000*$A32,MASTER6!$A$2:$D$8001,4,FALSE())</f>
        <v>0</v>
      </c>
      <c r="AJ32" s="0" t="n">
        <f aca="false">VLOOKUP(AJ$1+1000*$A32,MASTER6!$A$2:$D$8001,4,FALSE())</f>
        <v>0</v>
      </c>
      <c r="AK32" s="0" t="e">
        <f aca="false">VLOOKUP(AK$1+1000*$A32,MASTER6!$A$2:$D$8001,4,FALSE())</f>
        <v>#N/A</v>
      </c>
      <c r="AL32" s="0" t="n">
        <f aca="false">VLOOKUP(AL$1+1000*$A32,MASTER6!$A$2:$D$8001,4,FALSE())</f>
        <v>0</v>
      </c>
      <c r="AM32" s="0" t="n">
        <f aca="false">VLOOKUP(AM$1+1000*$A32,MASTER6!$A$2:$D$8001,4,FALSE())</f>
        <v>0</v>
      </c>
      <c r="AN32" s="0" t="n">
        <f aca="false">VLOOKUP(AN$1+1000*$A32,MASTER6!$A$2:$D$8001,4,FALSE())</f>
        <v>0</v>
      </c>
      <c r="AO32" s="0" t="n">
        <f aca="false">VLOOKUP(AO$1+1000*$A32,MASTER6!$A$2:$D$8001,4,FALSE())</f>
        <v>871</v>
      </c>
      <c r="AP32" s="0" t="n">
        <f aca="false">VLOOKUP(AP$1+1000*$A32,MASTER6!$A$2:$D$8001,4,FALSE())</f>
        <v>1612</v>
      </c>
      <c r="AQ32" s="0" t="n">
        <f aca="false">VLOOKUP(AQ$1+1000*$A32,MASTER6!$A$2:$D$8001,4,FALSE())</f>
        <v>0</v>
      </c>
      <c r="AR32" s="0" t="n">
        <f aca="false">VLOOKUP(AR$1+1000*$A32,MASTER6!$A$2:$D$8001,4,FALSE())</f>
        <v>0</v>
      </c>
      <c r="AS32" s="0" t="e">
        <f aca="false">VLOOKUP(AS$1+1000*$A32,MASTER6!$A$2:$D$8001,4,FALSE())</f>
        <v>#N/A</v>
      </c>
      <c r="AT32" s="0" t="e">
        <f aca="false">VLOOKUP(AT$1+1000*$A32,MASTER6!$A$2:$D$8001,4,FALSE())</f>
        <v>#N/A</v>
      </c>
      <c r="AU32" s="0" t="n">
        <f aca="false">VLOOKUP(AU$1+1000*$A32,MASTER6!$A$2:$D$8001,4,FALSE())</f>
        <v>0</v>
      </c>
      <c r="AV32" s="0" t="e">
        <f aca="false">VLOOKUP(AV$1+1000*$A32,MASTER6!$A$2:$D$8001,4,FALSE())</f>
        <v>#N/A</v>
      </c>
      <c r="AW32" s="0" t="n">
        <f aca="false">VLOOKUP(AW$1+1000*$A32,MASTER6!$A$2:$D$8001,4,FALSE())</f>
        <v>0</v>
      </c>
      <c r="AX32" s="0" t="n">
        <f aca="false">VLOOKUP(AX$1+1000*$A32,MASTER6!$A$2:$D$8001,4,FALSE())</f>
        <v>104</v>
      </c>
      <c r="AY32" s="0" t="n">
        <f aca="false">VLOOKUP(AY$1+1000*$A32,MASTER6!$A$2:$D$8001,4,FALSE())</f>
        <v>0</v>
      </c>
      <c r="AZ32" s="0" t="n">
        <f aca="false">VLOOKUP(AZ$1+1000*$A32,MASTER6!$A$2:$D$8001,4,FALSE())</f>
        <v>0</v>
      </c>
      <c r="BA32" s="0" t="n">
        <f aca="false">VLOOKUP(BA$1+1000*$A32,MASTER6!$A$2:$D$8001,4,FALSE())</f>
        <v>0</v>
      </c>
      <c r="BB32" s="0" t="n">
        <f aca="false">VLOOKUP(BB$1+1000*$A32,MASTER6!$A$2:$D$8001,4,FALSE())</f>
        <v>0</v>
      </c>
      <c r="BC32" s="0" t="n">
        <f aca="false">VLOOKUP(BC$1+1000*$A32,MASTER6!$A$2:$D$8001,4,FALSE())</f>
        <v>0</v>
      </c>
      <c r="BD32" s="0" t="n">
        <f aca="false">VLOOKUP(BD$1+1000*$A32,MASTER6!$A$2:$D$8001,4,FALSE())</f>
        <v>0</v>
      </c>
      <c r="BE32" s="0" t="n">
        <f aca="false">VLOOKUP(BE$1+1000*$A32,MASTER6!$A$2:$D$8001,4,FALSE())</f>
        <v>0</v>
      </c>
      <c r="BF32" s="0" t="n">
        <f aca="false">VLOOKUP(BF$1+1000*$A32,MASTER6!$A$2:$D$8001,4,FALSE())</f>
        <v>0</v>
      </c>
      <c r="BG32" s="0" t="e">
        <f aca="false">VLOOKUP(BG$1+1000*$A32,MASTER6!$A$2:$D$8001,4,FALSE())</f>
        <v>#N/A</v>
      </c>
      <c r="BH32" s="0" t="n">
        <f aca="false">VLOOKUP(BH$1+1000*$A32,MASTER6!$A$2:$D$8001,4,FALSE())</f>
        <v>0</v>
      </c>
      <c r="BI32" s="0" t="n">
        <f aca="false">VLOOKUP(BI$1+1000*$A32,MASTER6!$A$2:$D$8001,4,FALSE())</f>
        <v>0</v>
      </c>
      <c r="BJ32" s="0" t="e">
        <f aca="false">VLOOKUP(BJ$1+1000*$A32,MASTER6!$A$2:$D$8001,4,FALSE())</f>
        <v>#N/A</v>
      </c>
      <c r="BK32" s="0" t="n">
        <f aca="false">VLOOKUP(BK$1+1000*$A32,MASTER6!$A$2:$D$8001,4,FALSE())</f>
        <v>0</v>
      </c>
      <c r="BL32" s="0" t="e">
        <f aca="false">VLOOKUP(BL$1+1000*$A32,MASTER6!$A$2:$D$8001,4,FALSE())</f>
        <v>#N/A</v>
      </c>
      <c r="BM32" s="0" t="n">
        <f aca="false">VLOOKUP(BM$1+1000*$A32,MASTER6!$A$2:$D$8001,4,FALSE())</f>
        <v>0</v>
      </c>
      <c r="BN32" s="0" t="n">
        <f aca="false">VLOOKUP(BN$1+1000*$A32,MASTER6!$A$2:$D$8001,4,FALSE())</f>
        <v>91</v>
      </c>
      <c r="BO32" s="0" t="n">
        <f aca="false">VLOOKUP(BO$1+1000*$A32,MASTER6!$A$2:$D$8001,4,FALSE())</f>
        <v>0</v>
      </c>
      <c r="BP32" s="0" t="n">
        <f aca="false">VLOOKUP(BP$1+1000*$A32,MASTER6!$A$2:$D$8001,4,FALSE())</f>
        <v>0</v>
      </c>
      <c r="BQ32" s="0" t="e">
        <f aca="false">VLOOKUP(BQ$1+1000*$A32,MASTER6!$A$2:$D$8001,4,FALSE())</f>
        <v>#N/A</v>
      </c>
      <c r="BR32" s="0" t="n">
        <f aca="false">VLOOKUP(BR$1+1000*$A32,MASTER6!$A$2:$D$8001,4,FALSE())</f>
        <v>0</v>
      </c>
      <c r="BS32" s="0" t="e">
        <f aca="false">VLOOKUP(BS$1+1000*$A32,MASTER6!$A$2:$D$8001,4,FALSE())</f>
        <v>#N/A</v>
      </c>
      <c r="BT32" s="0" t="n">
        <f aca="false">VLOOKUP(BT$1+1000*$A32,MASTER6!$A$2:$D$8001,4,FALSE())</f>
        <v>0</v>
      </c>
      <c r="BU32" s="0" t="n">
        <f aca="false">VLOOKUP(BU$1+1000*$A32,MASTER6!$A$2:$D$8001,4,FALSE())</f>
        <v>0</v>
      </c>
      <c r="BV32" s="0" t="n">
        <f aca="false">VLOOKUP(BV$1+1000*$A32,MASTER6!$A$2:$D$8001,4,FALSE())</f>
        <v>0</v>
      </c>
      <c r="BW32" s="0" t="e">
        <f aca="false">VLOOKUP(BW$1+1000*$A32,MASTER6!$A$2:$D$8001,4,FALSE())</f>
        <v>#N/A</v>
      </c>
      <c r="BX32" s="0" t="n">
        <f aca="false">VLOOKUP(BX$1+1000*$A32,MASTER6!$A$2:$D$8001,4,FALSE())</f>
        <v>1417</v>
      </c>
      <c r="BY32" s="0" t="n">
        <f aca="false">VLOOKUP(BY$1+1000*$A32,MASTER6!$A$2:$D$8001,4,FALSE())</f>
        <v>0</v>
      </c>
      <c r="BZ32" s="0" t="n">
        <f aca="false">VLOOKUP(BZ$1+1000*$A32,MASTER6!$A$2:$D$8001,4,FALSE())</f>
        <v>0</v>
      </c>
      <c r="CA32" s="0" t="e">
        <f aca="false">VLOOKUP(CA$1+1000*$A32,MASTER6!$A$2:$D$8001,4,FALSE())</f>
        <v>#N/A</v>
      </c>
      <c r="CB32" s="0" t="n">
        <f aca="false">VLOOKUP(CB$1+1000*$A32,MASTER6!$A$2:$D$8001,4,FALSE())</f>
        <v>247</v>
      </c>
      <c r="CC32" s="0" t="n">
        <f aca="false">VLOOKUP(CC$1+1000*$A32,MASTER6!$A$2:$D$8001,4,FALSE())</f>
        <v>507</v>
      </c>
      <c r="CD32" s="0" t="e">
        <f aca="false">VLOOKUP(CD$1+1000*$A32,MASTER6!$A$2:$D$8001,4,FALSE())</f>
        <v>#N/A</v>
      </c>
      <c r="CE32" s="0" t="n">
        <f aca="false">VLOOKUP(CE$1+1000*$A32,MASTER6!$A$2:$D$8001,4,FALSE())</f>
        <v>0</v>
      </c>
      <c r="CF32" s="0" t="e">
        <f aca="false">VLOOKUP(CF$1+1000*$A32,MASTER6!$A$2:$D$8001,4,FALSE())</f>
        <v>#N/A</v>
      </c>
      <c r="CG32" s="0" t="e">
        <f aca="false">VLOOKUP(CG$1+1000*$A32,MASTER6!$A$2:$D$8001,4,FALSE())</f>
        <v>#N/A</v>
      </c>
      <c r="CH32" s="0" t="n">
        <f aca="false">VLOOKUP(CH$1+1000*$A32,MASTER6!$A$2:$D$8001,4,FALSE())</f>
        <v>63609</v>
      </c>
      <c r="CI32" s="0" t="n">
        <f aca="false">VLOOKUP(CI$1+1000*$A32,MASTER6!$A$2:$D$8001,4,FALSE())</f>
        <v>0</v>
      </c>
      <c r="CJ32" s="0" t="e">
        <f aca="false">VLOOKUP(CJ$1+1000*$A32,MASTER6!$A$2:$D$8001,4,FALSE())</f>
        <v>#N/A</v>
      </c>
    </row>
    <row r="33" customFormat="false" ht="12.75" hidden="false" customHeight="false" outlineLevel="0" collapsed="false">
      <c r="A33" s="0" t="n">
        <v>32</v>
      </c>
      <c r="B33" s="0" t="n">
        <f aca="false">VLOOKUP(B$1+1000*$A33,MASTER6!$A$2:$D$8001,4,FALSE())</f>
        <v>0</v>
      </c>
      <c r="C33" s="0" t="n">
        <f aca="false">VLOOKUP(C$1+1000*$A33,MASTER6!$A$2:$D$8001,4,FALSE())</f>
        <v>0</v>
      </c>
      <c r="D33" s="0" t="n">
        <f aca="false">VLOOKUP(D$1+1000*$A33,MASTER6!$A$2:$D$8001,4,FALSE())</f>
        <v>65</v>
      </c>
      <c r="E33" s="0" t="n">
        <f aca="false">VLOOKUP(E$1+1000*$A33,MASTER6!$A$2:$D$8001,4,FALSE())</f>
        <v>0</v>
      </c>
      <c r="F33" s="0" t="n">
        <f aca="false">VLOOKUP(F$1+1000*$A33,MASTER6!$A$2:$D$8001,4,FALSE())</f>
        <v>0</v>
      </c>
      <c r="G33" s="0" t="n">
        <f aca="false">VLOOKUP(G$1+1000*$A33,MASTER6!$A$2:$D$8001,4,FALSE())</f>
        <v>0</v>
      </c>
      <c r="H33" s="0" t="n">
        <f aca="false">VLOOKUP(H$1+1000*$A33,MASTER6!$A$2:$D$8001,4,FALSE())</f>
        <v>0</v>
      </c>
      <c r="I33" s="0" t="n">
        <f aca="false">VLOOKUP(I$1+1000*$A33,MASTER6!$A$2:$D$8001,4,FALSE())</f>
        <v>0</v>
      </c>
      <c r="J33" s="0" t="n">
        <f aca="false">VLOOKUP(J$1+1000*$A33,MASTER6!$A$2:$D$8001,4,FALSE())</f>
        <v>0</v>
      </c>
      <c r="K33" s="0" t="n">
        <f aca="false">VLOOKUP(K$1+1000*$A33,MASTER6!$A$2:$D$8001,4,FALSE())</f>
        <v>0</v>
      </c>
      <c r="L33" s="0" t="n">
        <f aca="false">VLOOKUP(L$1+1000*$A33,MASTER6!$A$2:$D$8001,4,FALSE())</f>
        <v>0</v>
      </c>
      <c r="M33" s="0" t="n">
        <f aca="false">VLOOKUP(M$1+1000*$A33,MASTER6!$A$2:$D$8001,4,FALSE())</f>
        <v>0</v>
      </c>
      <c r="N33" s="0" t="n">
        <f aca="false">VLOOKUP(N$1+1000*$A33,MASTER6!$A$2:$D$8001,4,FALSE())</f>
        <v>0</v>
      </c>
      <c r="O33" s="0" t="n">
        <f aca="false">VLOOKUP(O$1+1000*$A33,MASTER6!$A$2:$D$8001,4,FALSE())</f>
        <v>0</v>
      </c>
      <c r="P33" s="0" t="n">
        <f aca="false">VLOOKUP(P$1+1000*$A33,MASTER6!$A$2:$D$8001,4,FALSE())</f>
        <v>0</v>
      </c>
      <c r="Q33" s="0" t="n">
        <f aca="false">VLOOKUP(Q$1+1000*$A33,MASTER6!$A$2:$D$8001,4,FALSE())</f>
        <v>0</v>
      </c>
      <c r="R33" s="0" t="n">
        <f aca="false">VLOOKUP(R$1+1000*$A33,MASTER6!$A$2:$D$8001,4,FALSE())</f>
        <v>0</v>
      </c>
      <c r="S33" s="0" t="n">
        <f aca="false">VLOOKUP(S$1+1000*$A33,MASTER6!$A$2:$D$8001,4,FALSE())</f>
        <v>0</v>
      </c>
      <c r="T33" s="0" t="n">
        <f aca="false">VLOOKUP(T$1+1000*$A33,MASTER6!$A$2:$D$8001,4,FALSE())</f>
        <v>0</v>
      </c>
      <c r="U33" s="0" t="n">
        <f aca="false">VLOOKUP(U$1+1000*$A33,MASTER6!$A$2:$D$8001,4,FALSE())</f>
        <v>78</v>
      </c>
      <c r="V33" s="0" t="n">
        <f aca="false">VLOOKUP(V$1+1000*$A33,MASTER6!$A$2:$D$8001,4,FALSE())</f>
        <v>78</v>
      </c>
      <c r="W33" s="0" t="n">
        <f aca="false">VLOOKUP(W$1+1000*$A33,MASTER6!$A$2:$D$8001,4,FALSE())</f>
        <v>377</v>
      </c>
      <c r="X33" s="0" t="n">
        <f aca="false">VLOOKUP(X$1+1000*$A33,MASTER6!$A$2:$D$8001,4,FALSE())</f>
        <v>0</v>
      </c>
      <c r="Y33" s="0" t="n">
        <f aca="false">VLOOKUP(Y$1+1000*$A33,MASTER6!$A$2:$D$8001,4,FALSE())</f>
        <v>0</v>
      </c>
      <c r="Z33" s="0" t="n">
        <f aca="false">VLOOKUP(Z$1+1000*$A33,MASTER6!$A$2:$D$8001,4,FALSE())</f>
        <v>0</v>
      </c>
      <c r="AA33" s="0" t="n">
        <f aca="false">VLOOKUP(AA$1+1000*$A33,MASTER6!$A$2:$D$8001,4,FALSE())</f>
        <v>0</v>
      </c>
      <c r="AB33" s="0" t="n">
        <f aca="false">VLOOKUP(AB$1+1000*$A33,MASTER6!$A$2:$D$8001,4,FALSE())</f>
        <v>0</v>
      </c>
      <c r="AC33" s="0" t="n">
        <f aca="false">VLOOKUP(AC$1+1000*$A33,MASTER6!$A$2:$D$8001,4,FALSE())</f>
        <v>0</v>
      </c>
      <c r="AD33" s="0" t="n">
        <f aca="false">VLOOKUP(AD$1+1000*$A33,MASTER6!$A$2:$D$8001,4,FALSE())</f>
        <v>0</v>
      </c>
      <c r="AE33" s="0" t="n">
        <f aca="false">VLOOKUP(AE$1+1000*$A33,MASTER6!$A$2:$D$8001,4,FALSE())</f>
        <v>13</v>
      </c>
      <c r="AF33" s="0" t="n">
        <f aca="false">VLOOKUP(AF$1+1000*$A33,MASTER6!$A$2:$D$8001,4,FALSE())</f>
        <v>0</v>
      </c>
      <c r="AG33" s="0" t="n">
        <f aca="false">VLOOKUP(AG$1+1000*$A33,MASTER6!$A$2:$D$8001,4,FALSE())</f>
        <v>169559</v>
      </c>
      <c r="AH33" s="0" t="n">
        <f aca="false">VLOOKUP(AH$1+1000*$A33,MASTER6!$A$2:$D$8001,4,FALSE())</f>
        <v>0</v>
      </c>
      <c r="AI33" s="0" t="n">
        <f aca="false">VLOOKUP(AI$1+1000*$A33,MASTER6!$A$2:$D$8001,4,FALSE())</f>
        <v>0</v>
      </c>
      <c r="AJ33" s="0" t="n">
        <f aca="false">VLOOKUP(AJ$1+1000*$A33,MASTER6!$A$2:$D$8001,4,FALSE())</f>
        <v>0</v>
      </c>
      <c r="AK33" s="0" t="e">
        <f aca="false">VLOOKUP(AK$1+1000*$A33,MASTER6!$A$2:$D$8001,4,FALSE())</f>
        <v>#N/A</v>
      </c>
      <c r="AL33" s="0" t="n">
        <f aca="false">VLOOKUP(AL$1+1000*$A33,MASTER6!$A$2:$D$8001,4,FALSE())</f>
        <v>65</v>
      </c>
      <c r="AM33" s="0" t="n">
        <f aca="false">VLOOKUP(AM$1+1000*$A33,MASTER6!$A$2:$D$8001,4,FALSE())</f>
        <v>0</v>
      </c>
      <c r="AN33" s="0" t="n">
        <f aca="false">VLOOKUP(AN$1+1000*$A33,MASTER6!$A$2:$D$8001,4,FALSE())</f>
        <v>208</v>
      </c>
      <c r="AO33" s="0" t="n">
        <f aca="false">VLOOKUP(AO$1+1000*$A33,MASTER6!$A$2:$D$8001,4,FALSE())</f>
        <v>78</v>
      </c>
      <c r="AP33" s="0" t="n">
        <f aca="false">VLOOKUP(AP$1+1000*$A33,MASTER6!$A$2:$D$8001,4,FALSE())</f>
        <v>65</v>
      </c>
      <c r="AQ33" s="0" t="n">
        <f aca="false">VLOOKUP(AQ$1+1000*$A33,MASTER6!$A$2:$D$8001,4,FALSE())</f>
        <v>91</v>
      </c>
      <c r="AR33" s="0" t="n">
        <f aca="false">VLOOKUP(AR$1+1000*$A33,MASTER6!$A$2:$D$8001,4,FALSE())</f>
        <v>0</v>
      </c>
      <c r="AS33" s="0" t="e">
        <f aca="false">VLOOKUP(AS$1+1000*$A33,MASTER6!$A$2:$D$8001,4,FALSE())</f>
        <v>#N/A</v>
      </c>
      <c r="AT33" s="0" t="e">
        <f aca="false">VLOOKUP(AT$1+1000*$A33,MASTER6!$A$2:$D$8001,4,FALSE())</f>
        <v>#N/A</v>
      </c>
      <c r="AU33" s="0" t="n">
        <f aca="false">VLOOKUP(AU$1+1000*$A33,MASTER6!$A$2:$D$8001,4,FALSE())</f>
        <v>0</v>
      </c>
      <c r="AV33" s="0" t="e">
        <f aca="false">VLOOKUP(AV$1+1000*$A33,MASTER6!$A$2:$D$8001,4,FALSE())</f>
        <v>#N/A</v>
      </c>
      <c r="AW33" s="0" t="n">
        <f aca="false">VLOOKUP(AW$1+1000*$A33,MASTER6!$A$2:$D$8001,4,FALSE())</f>
        <v>0</v>
      </c>
      <c r="AX33" s="0" t="n">
        <f aca="false">VLOOKUP(AX$1+1000*$A33,MASTER6!$A$2:$D$8001,4,FALSE())</f>
        <v>0</v>
      </c>
      <c r="AY33" s="0" t="n">
        <f aca="false">VLOOKUP(AY$1+1000*$A33,MASTER6!$A$2:$D$8001,4,FALSE())</f>
        <v>104</v>
      </c>
      <c r="AZ33" s="0" t="n">
        <f aca="false">VLOOKUP(AZ$1+1000*$A33,MASTER6!$A$2:$D$8001,4,FALSE())</f>
        <v>0</v>
      </c>
      <c r="BA33" s="0" t="n">
        <f aca="false">VLOOKUP(BA$1+1000*$A33,MASTER6!$A$2:$D$8001,4,FALSE())</f>
        <v>0</v>
      </c>
      <c r="BB33" s="0" t="n">
        <f aca="false">VLOOKUP(BB$1+1000*$A33,MASTER6!$A$2:$D$8001,4,FALSE())</f>
        <v>0</v>
      </c>
      <c r="BC33" s="0" t="n">
        <f aca="false">VLOOKUP(BC$1+1000*$A33,MASTER6!$A$2:$D$8001,4,FALSE())</f>
        <v>0</v>
      </c>
      <c r="BD33" s="0" t="n">
        <f aca="false">VLOOKUP(BD$1+1000*$A33,MASTER6!$A$2:$D$8001,4,FALSE())</f>
        <v>0</v>
      </c>
      <c r="BE33" s="0" t="n">
        <f aca="false">VLOOKUP(BE$1+1000*$A33,MASTER6!$A$2:$D$8001,4,FALSE())</f>
        <v>0</v>
      </c>
      <c r="BF33" s="0" t="n">
        <f aca="false">VLOOKUP(BF$1+1000*$A33,MASTER6!$A$2:$D$8001,4,FALSE())</f>
        <v>0</v>
      </c>
      <c r="BG33" s="0" t="e">
        <f aca="false">VLOOKUP(BG$1+1000*$A33,MASTER6!$A$2:$D$8001,4,FALSE())</f>
        <v>#N/A</v>
      </c>
      <c r="BH33" s="0" t="n">
        <f aca="false">VLOOKUP(BH$1+1000*$A33,MASTER6!$A$2:$D$8001,4,FALSE())</f>
        <v>0</v>
      </c>
      <c r="BI33" s="0" t="n">
        <f aca="false">VLOOKUP(BI$1+1000*$A33,MASTER6!$A$2:$D$8001,4,FALSE())</f>
        <v>0</v>
      </c>
      <c r="BJ33" s="0" t="e">
        <f aca="false">VLOOKUP(BJ$1+1000*$A33,MASTER6!$A$2:$D$8001,4,FALSE())</f>
        <v>#N/A</v>
      </c>
      <c r="BK33" s="0" t="n">
        <f aca="false">VLOOKUP(BK$1+1000*$A33,MASTER6!$A$2:$D$8001,4,FALSE())</f>
        <v>52</v>
      </c>
      <c r="BL33" s="0" t="e">
        <f aca="false">VLOOKUP(BL$1+1000*$A33,MASTER6!$A$2:$D$8001,4,FALSE())</f>
        <v>#N/A</v>
      </c>
      <c r="BM33" s="0" t="n">
        <f aca="false">VLOOKUP(BM$1+1000*$A33,MASTER6!$A$2:$D$8001,4,FALSE())</f>
        <v>598</v>
      </c>
      <c r="BN33" s="0" t="n">
        <f aca="false">VLOOKUP(BN$1+1000*$A33,MASTER6!$A$2:$D$8001,4,FALSE())</f>
        <v>949</v>
      </c>
      <c r="BO33" s="0" t="n">
        <f aca="false">VLOOKUP(BO$1+1000*$A33,MASTER6!$A$2:$D$8001,4,FALSE())</f>
        <v>0</v>
      </c>
      <c r="BP33" s="0" t="n">
        <f aca="false">VLOOKUP(BP$1+1000*$A33,MASTER6!$A$2:$D$8001,4,FALSE())</f>
        <v>1768</v>
      </c>
      <c r="BQ33" s="0" t="e">
        <f aca="false">VLOOKUP(BQ$1+1000*$A33,MASTER6!$A$2:$D$8001,4,FALSE())</f>
        <v>#N/A</v>
      </c>
      <c r="BR33" s="0" t="n">
        <f aca="false">VLOOKUP(BR$1+1000*$A33,MASTER6!$A$2:$D$8001,4,FALSE())</f>
        <v>156</v>
      </c>
      <c r="BS33" s="0" t="e">
        <f aca="false">VLOOKUP(BS$1+1000*$A33,MASTER6!$A$2:$D$8001,4,FALSE())</f>
        <v>#N/A</v>
      </c>
      <c r="BT33" s="0" t="n">
        <f aca="false">VLOOKUP(BT$1+1000*$A33,MASTER6!$A$2:$D$8001,4,FALSE())</f>
        <v>0</v>
      </c>
      <c r="BU33" s="0" t="n">
        <f aca="false">VLOOKUP(BU$1+1000*$A33,MASTER6!$A$2:$D$8001,4,FALSE())</f>
        <v>260</v>
      </c>
      <c r="BV33" s="0" t="n">
        <f aca="false">VLOOKUP(BV$1+1000*$A33,MASTER6!$A$2:$D$8001,4,FALSE())</f>
        <v>0</v>
      </c>
      <c r="BW33" s="0" t="e">
        <f aca="false">VLOOKUP(BW$1+1000*$A33,MASTER6!$A$2:$D$8001,4,FALSE())</f>
        <v>#N/A</v>
      </c>
      <c r="BX33" s="0" t="n">
        <f aca="false">VLOOKUP(BX$1+1000*$A33,MASTER6!$A$2:$D$8001,4,FALSE())</f>
        <v>0</v>
      </c>
      <c r="BY33" s="0" t="n">
        <f aca="false">VLOOKUP(BY$1+1000*$A33,MASTER6!$A$2:$D$8001,4,FALSE())</f>
        <v>0</v>
      </c>
      <c r="BZ33" s="0" t="n">
        <f aca="false">VLOOKUP(BZ$1+1000*$A33,MASTER6!$A$2:$D$8001,4,FALSE())</f>
        <v>0</v>
      </c>
      <c r="CA33" s="0" t="e">
        <f aca="false">VLOOKUP(CA$1+1000*$A33,MASTER6!$A$2:$D$8001,4,FALSE())</f>
        <v>#N/A</v>
      </c>
      <c r="CB33" s="0" t="n">
        <f aca="false">VLOOKUP(CB$1+1000*$A33,MASTER6!$A$2:$D$8001,4,FALSE())</f>
        <v>0</v>
      </c>
      <c r="CC33" s="0" t="n">
        <f aca="false">VLOOKUP(CC$1+1000*$A33,MASTER6!$A$2:$D$8001,4,FALSE())</f>
        <v>5109</v>
      </c>
      <c r="CD33" s="0" t="e">
        <f aca="false">VLOOKUP(CD$1+1000*$A33,MASTER6!$A$2:$D$8001,4,FALSE())</f>
        <v>#N/A</v>
      </c>
      <c r="CE33" s="0" t="n">
        <f aca="false">VLOOKUP(CE$1+1000*$A33,MASTER6!$A$2:$D$8001,4,FALSE())</f>
        <v>221</v>
      </c>
      <c r="CF33" s="0" t="n">
        <f aca="false">VLOOKUP(CF$1+1000*$A33,MASTER6!$A$2:$D$8001,4,FALSE())</f>
        <v>247</v>
      </c>
      <c r="CG33" s="0" t="e">
        <f aca="false">VLOOKUP(CG$1+1000*$A33,MASTER6!$A$2:$D$8001,4,FALSE())</f>
        <v>#N/A</v>
      </c>
      <c r="CH33" s="0" t="n">
        <f aca="false">VLOOKUP(CH$1+1000*$A33,MASTER6!$A$2:$D$8001,4,FALSE())</f>
        <v>187317</v>
      </c>
      <c r="CI33" s="0" t="n">
        <f aca="false">VLOOKUP(CI$1+1000*$A33,MASTER6!$A$2:$D$8001,4,FALSE())</f>
        <v>0</v>
      </c>
      <c r="CJ33" s="0" t="e">
        <f aca="false">VLOOKUP(CJ$1+1000*$A33,MASTER6!$A$2:$D$8001,4,FALSE())</f>
        <v>#N/A</v>
      </c>
    </row>
    <row r="34" customFormat="false" ht="12.75" hidden="false" customHeight="false" outlineLevel="0" collapsed="false">
      <c r="A34" s="0" t="n">
        <v>33</v>
      </c>
      <c r="B34" s="0" t="n">
        <f aca="false">VLOOKUP(B$1+1000*$A34,MASTER6!$A$2:$D$8001,4,FALSE())</f>
        <v>169</v>
      </c>
      <c r="C34" s="0" t="n">
        <f aca="false">VLOOKUP(C$1+1000*$A34,MASTER6!$A$2:$D$8001,4,FALSE())</f>
        <v>0</v>
      </c>
      <c r="D34" s="0" t="n">
        <f aca="false">VLOOKUP(D$1+1000*$A34,MASTER6!$A$2:$D$8001,4,FALSE())</f>
        <v>0</v>
      </c>
      <c r="E34" s="0" t="n">
        <f aca="false">VLOOKUP(E$1+1000*$A34,MASTER6!$A$2:$D$8001,4,FALSE())</f>
        <v>130</v>
      </c>
      <c r="F34" s="0" t="n">
        <f aca="false">VLOOKUP(F$1+1000*$A34,MASTER6!$A$2:$D$8001,4,FALSE())</f>
        <v>0</v>
      </c>
      <c r="G34" s="0" t="n">
        <f aca="false">VLOOKUP(G$1+1000*$A34,MASTER6!$A$2:$D$8001,4,FALSE())</f>
        <v>130</v>
      </c>
      <c r="H34" s="0" t="n">
        <f aca="false">VLOOKUP(H$1+1000*$A34,MASTER6!$A$2:$D$8001,4,FALSE())</f>
        <v>65</v>
      </c>
      <c r="I34" s="0" t="n">
        <f aca="false">VLOOKUP(I$1+1000*$A34,MASTER6!$A$2:$D$8001,4,FALSE())</f>
        <v>104</v>
      </c>
      <c r="J34" s="0" t="n">
        <f aca="false">VLOOKUP(J$1+1000*$A34,MASTER6!$A$2:$D$8001,4,FALSE())</f>
        <v>78</v>
      </c>
      <c r="K34" s="0" t="n">
        <f aca="false">VLOOKUP(K$1+1000*$A34,MASTER6!$A$2:$D$8001,4,FALSE())</f>
        <v>0</v>
      </c>
      <c r="L34" s="0" t="n">
        <f aca="false">VLOOKUP(L$1+1000*$A34,MASTER6!$A$2:$D$8001,4,FALSE())</f>
        <v>104</v>
      </c>
      <c r="M34" s="0" t="n">
        <f aca="false">VLOOKUP(M$1+1000*$A34,MASTER6!$A$2:$D$8001,4,FALSE())</f>
        <v>130</v>
      </c>
      <c r="N34" s="0" t="n">
        <f aca="false">VLOOKUP(N$1+1000*$A34,MASTER6!$A$2:$D$8001,4,FALSE())</f>
        <v>0</v>
      </c>
      <c r="O34" s="0" t="n">
        <f aca="false">VLOOKUP(O$1+1000*$A34,MASTER6!$A$2:$D$8001,4,FALSE())</f>
        <v>0</v>
      </c>
      <c r="P34" s="0" t="n">
        <f aca="false">VLOOKUP(P$1+1000*$A34,MASTER6!$A$2:$D$8001,4,FALSE())</f>
        <v>0</v>
      </c>
      <c r="Q34" s="0" t="n">
        <f aca="false">VLOOKUP(Q$1+1000*$A34,MASTER6!$A$2:$D$8001,4,FALSE())</f>
        <v>65</v>
      </c>
      <c r="R34" s="0" t="n">
        <f aca="false">VLOOKUP(R$1+1000*$A34,MASTER6!$A$2:$D$8001,4,FALSE())</f>
        <v>0</v>
      </c>
      <c r="S34" s="0" t="n">
        <f aca="false">VLOOKUP(S$1+1000*$A34,MASTER6!$A$2:$D$8001,4,FALSE())</f>
        <v>0</v>
      </c>
      <c r="T34" s="0" t="n">
        <f aca="false">VLOOKUP(T$1+1000*$A34,MASTER6!$A$2:$D$8001,4,FALSE())</f>
        <v>637</v>
      </c>
      <c r="U34" s="0" t="n">
        <f aca="false">VLOOKUP(U$1+1000*$A34,MASTER6!$A$2:$D$8001,4,FALSE())</f>
        <v>130</v>
      </c>
      <c r="V34" s="0" t="n">
        <f aca="false">VLOOKUP(V$1+1000*$A34,MASTER6!$A$2:$D$8001,4,FALSE())</f>
        <v>663</v>
      </c>
      <c r="W34" s="0" t="n">
        <f aca="false">VLOOKUP(W$1+1000*$A34,MASTER6!$A$2:$D$8001,4,FALSE())</f>
        <v>559</v>
      </c>
      <c r="X34" s="0" t="n">
        <f aca="false">VLOOKUP(X$1+1000*$A34,MASTER6!$A$2:$D$8001,4,FALSE())</f>
        <v>91</v>
      </c>
      <c r="Y34" s="0" t="n">
        <f aca="false">VLOOKUP(Y$1+1000*$A34,MASTER6!$A$2:$D$8001,4,FALSE())</f>
        <v>0</v>
      </c>
      <c r="Z34" s="0" t="n">
        <f aca="false">VLOOKUP(Z$1+1000*$A34,MASTER6!$A$2:$D$8001,4,FALSE())</f>
        <v>143</v>
      </c>
      <c r="AA34" s="0" t="n">
        <f aca="false">VLOOKUP(AA$1+1000*$A34,MASTER6!$A$2:$D$8001,4,FALSE())</f>
        <v>156</v>
      </c>
      <c r="AB34" s="0" t="n">
        <f aca="false">VLOOKUP(AB$1+1000*$A34,MASTER6!$A$2:$D$8001,4,FALSE())</f>
        <v>0</v>
      </c>
      <c r="AC34" s="0" t="n">
        <f aca="false">VLOOKUP(AC$1+1000*$A34,MASTER6!$A$2:$D$8001,4,FALSE())</f>
        <v>0</v>
      </c>
      <c r="AD34" s="0" t="n">
        <f aca="false">VLOOKUP(AD$1+1000*$A34,MASTER6!$A$2:$D$8001,4,FALSE())</f>
        <v>91</v>
      </c>
      <c r="AE34" s="0" t="n">
        <f aca="false">VLOOKUP(AE$1+1000*$A34,MASTER6!$A$2:$D$8001,4,FALSE())</f>
        <v>91</v>
      </c>
      <c r="AF34" s="0" t="n">
        <f aca="false">VLOOKUP(AF$1+1000*$A34,MASTER6!$A$2:$D$8001,4,FALSE())</f>
        <v>0</v>
      </c>
      <c r="AG34" s="0" t="n">
        <f aca="false">VLOOKUP(AG$1+1000*$A34,MASTER6!$A$2:$D$8001,4,FALSE())</f>
        <v>0</v>
      </c>
      <c r="AH34" s="0" t="n">
        <f aca="false">VLOOKUP(AH$1+1000*$A34,MASTER6!$A$2:$D$8001,4,FALSE())</f>
        <v>455325</v>
      </c>
      <c r="AI34" s="0" t="n">
        <f aca="false">VLOOKUP(AI$1+1000*$A34,MASTER6!$A$2:$D$8001,4,FALSE())</f>
        <v>1612</v>
      </c>
      <c r="AJ34" s="0" t="n">
        <f aca="false">VLOOKUP(AJ$1+1000*$A34,MASTER6!$A$2:$D$8001,4,FALSE())</f>
        <v>4030</v>
      </c>
      <c r="AK34" s="0" t="n">
        <f aca="false">VLOOKUP(AK$1+1000*$A34,MASTER6!$A$2:$D$8001,4,FALSE())</f>
        <v>14807</v>
      </c>
      <c r="AL34" s="0" t="n">
        <f aca="false">VLOOKUP(AL$1+1000*$A34,MASTER6!$A$2:$D$8001,4,FALSE())</f>
        <v>71305</v>
      </c>
      <c r="AM34" s="0" t="n">
        <f aca="false">VLOOKUP(AM$1+1000*$A34,MASTER6!$A$2:$D$8001,4,FALSE())</f>
        <v>0</v>
      </c>
      <c r="AN34" s="0" t="n">
        <f aca="false">VLOOKUP(AN$1+1000*$A34,MASTER6!$A$2:$D$8001,4,FALSE())</f>
        <v>78</v>
      </c>
      <c r="AO34" s="0" t="n">
        <f aca="false">VLOOKUP(AO$1+1000*$A34,MASTER6!$A$2:$D$8001,4,FALSE())</f>
        <v>143</v>
      </c>
      <c r="AP34" s="0" t="n">
        <f aca="false">VLOOKUP(AP$1+1000*$A34,MASTER6!$A$2:$D$8001,4,FALSE())</f>
        <v>0</v>
      </c>
      <c r="AQ34" s="0" t="n">
        <f aca="false">VLOOKUP(AQ$1+1000*$A34,MASTER6!$A$2:$D$8001,4,FALSE())</f>
        <v>221</v>
      </c>
      <c r="AR34" s="0" t="n">
        <f aca="false">VLOOKUP(AR$1+1000*$A34,MASTER6!$A$2:$D$8001,4,FALSE())</f>
        <v>585</v>
      </c>
      <c r="AS34" s="0" t="e">
        <f aca="false">VLOOKUP(AS$1+1000*$A34,MASTER6!$A$2:$D$8001,4,FALSE())</f>
        <v>#N/A</v>
      </c>
      <c r="AT34" s="0" t="n">
        <f aca="false">VLOOKUP(AT$1+1000*$A34,MASTER6!$A$2:$D$8001,4,FALSE())</f>
        <v>130</v>
      </c>
      <c r="AU34" s="0" t="n">
        <f aca="false">VLOOKUP(AU$1+1000*$A34,MASTER6!$A$2:$D$8001,4,FALSE())</f>
        <v>117</v>
      </c>
      <c r="AV34" s="0" t="e">
        <f aca="false">VLOOKUP(AV$1+1000*$A34,MASTER6!$A$2:$D$8001,4,FALSE())</f>
        <v>#N/A</v>
      </c>
      <c r="AW34" s="0" t="n">
        <f aca="false">VLOOKUP(AW$1+1000*$A34,MASTER6!$A$2:$D$8001,4,FALSE())</f>
        <v>1365</v>
      </c>
      <c r="AX34" s="0" t="n">
        <f aca="false">VLOOKUP(AX$1+1000*$A34,MASTER6!$A$2:$D$8001,4,FALSE())</f>
        <v>130</v>
      </c>
      <c r="AY34" s="0" t="n">
        <f aca="false">VLOOKUP(AY$1+1000*$A34,MASTER6!$A$2:$D$8001,4,FALSE())</f>
        <v>273</v>
      </c>
      <c r="AZ34" s="0" t="n">
        <f aca="false">VLOOKUP(AZ$1+1000*$A34,MASTER6!$A$2:$D$8001,4,FALSE())</f>
        <v>0</v>
      </c>
      <c r="BA34" s="0" t="n">
        <f aca="false">VLOOKUP(BA$1+1000*$A34,MASTER6!$A$2:$D$8001,4,FALSE())</f>
        <v>130</v>
      </c>
      <c r="BB34" s="0" t="n">
        <f aca="false">VLOOKUP(BB$1+1000*$A34,MASTER6!$A$2:$D$8001,4,FALSE())</f>
        <v>0</v>
      </c>
      <c r="BC34" s="0" t="n">
        <f aca="false">VLOOKUP(BC$1+1000*$A34,MASTER6!$A$2:$D$8001,4,FALSE())</f>
        <v>0</v>
      </c>
      <c r="BD34" s="0" t="n">
        <f aca="false">VLOOKUP(BD$1+1000*$A34,MASTER6!$A$2:$D$8001,4,FALSE())</f>
        <v>0</v>
      </c>
      <c r="BE34" s="0" t="n">
        <f aca="false">VLOOKUP(BE$1+1000*$A34,MASTER6!$A$2:$D$8001,4,FALSE())</f>
        <v>0</v>
      </c>
      <c r="BF34" s="0" t="n">
        <f aca="false">VLOOKUP(BF$1+1000*$A34,MASTER6!$A$2:$D$8001,4,FALSE())</f>
        <v>0</v>
      </c>
      <c r="BG34" s="0" t="e">
        <f aca="false">VLOOKUP(BG$1+1000*$A34,MASTER6!$A$2:$D$8001,4,FALSE())</f>
        <v>#N/A</v>
      </c>
      <c r="BH34" s="0" t="n">
        <f aca="false">VLOOKUP(BH$1+1000*$A34,MASTER6!$A$2:$D$8001,4,FALSE())</f>
        <v>0</v>
      </c>
      <c r="BI34" s="0" t="n">
        <f aca="false">VLOOKUP(BI$1+1000*$A34,MASTER6!$A$2:$D$8001,4,FALSE())</f>
        <v>0</v>
      </c>
      <c r="BJ34" s="0" t="e">
        <f aca="false">VLOOKUP(BJ$1+1000*$A34,MASTER6!$A$2:$D$8001,4,FALSE())</f>
        <v>#N/A</v>
      </c>
      <c r="BK34" s="0" t="n">
        <f aca="false">VLOOKUP(BK$1+1000*$A34,MASTER6!$A$2:$D$8001,4,FALSE())</f>
        <v>0</v>
      </c>
      <c r="BL34" s="0" t="n">
        <f aca="false">VLOOKUP(BL$1+1000*$A34,MASTER6!$A$2:$D$8001,4,FALSE())</f>
        <v>247</v>
      </c>
      <c r="BM34" s="0" t="n">
        <f aca="false">VLOOKUP(BM$1+1000*$A34,MASTER6!$A$2:$D$8001,4,FALSE())</f>
        <v>1001</v>
      </c>
      <c r="BN34" s="0" t="n">
        <f aca="false">VLOOKUP(BN$1+1000*$A34,MASTER6!$A$2:$D$8001,4,FALSE())</f>
        <v>663</v>
      </c>
      <c r="BO34" s="0" t="n">
        <f aca="false">VLOOKUP(BO$1+1000*$A34,MASTER6!$A$2:$D$8001,4,FALSE())</f>
        <v>91</v>
      </c>
      <c r="BP34" s="0" t="n">
        <f aca="false">VLOOKUP(BP$1+1000*$A34,MASTER6!$A$2:$D$8001,4,FALSE())</f>
        <v>182</v>
      </c>
      <c r="BQ34" s="0" t="e">
        <f aca="false">VLOOKUP(BQ$1+1000*$A34,MASTER6!$A$2:$D$8001,4,FALSE())</f>
        <v>#N/A</v>
      </c>
      <c r="BR34" s="0" t="n">
        <f aca="false">VLOOKUP(BR$1+1000*$A34,MASTER6!$A$2:$D$8001,4,FALSE())</f>
        <v>910</v>
      </c>
      <c r="BS34" s="0" t="e">
        <f aca="false">VLOOKUP(BS$1+1000*$A34,MASTER6!$A$2:$D$8001,4,FALSE())</f>
        <v>#N/A</v>
      </c>
      <c r="BT34" s="0" t="n">
        <f aca="false">VLOOKUP(BT$1+1000*$A34,MASTER6!$A$2:$D$8001,4,FALSE())</f>
        <v>0</v>
      </c>
      <c r="BU34" s="0" t="n">
        <f aca="false">VLOOKUP(BU$1+1000*$A34,MASTER6!$A$2:$D$8001,4,FALSE())</f>
        <v>260</v>
      </c>
      <c r="BV34" s="0" t="n">
        <f aca="false">VLOOKUP(BV$1+1000*$A34,MASTER6!$A$2:$D$8001,4,FALSE())</f>
        <v>0</v>
      </c>
      <c r="BW34" s="0" t="e">
        <f aca="false">VLOOKUP(BW$1+1000*$A34,MASTER6!$A$2:$D$8001,4,FALSE())</f>
        <v>#N/A</v>
      </c>
      <c r="BX34" s="0" t="n">
        <f aca="false">VLOOKUP(BX$1+1000*$A34,MASTER6!$A$2:$D$8001,4,FALSE())</f>
        <v>0</v>
      </c>
      <c r="BY34" s="0" t="n">
        <f aca="false">VLOOKUP(BY$1+1000*$A34,MASTER6!$A$2:$D$8001,4,FALSE())</f>
        <v>169</v>
      </c>
      <c r="BZ34" s="0" t="n">
        <f aca="false">VLOOKUP(BZ$1+1000*$A34,MASTER6!$A$2:$D$8001,4,FALSE())</f>
        <v>0</v>
      </c>
      <c r="CA34" s="0" t="e">
        <f aca="false">VLOOKUP(CA$1+1000*$A34,MASTER6!$A$2:$D$8001,4,FALSE())</f>
        <v>#N/A</v>
      </c>
      <c r="CB34" s="0" t="n">
        <f aca="false">VLOOKUP(CB$1+1000*$A34,MASTER6!$A$2:$D$8001,4,FALSE())</f>
        <v>390</v>
      </c>
      <c r="CC34" s="0" t="n">
        <f aca="false">VLOOKUP(CC$1+1000*$A34,MASTER6!$A$2:$D$8001,4,FALSE())</f>
        <v>0</v>
      </c>
      <c r="CD34" s="0" t="e">
        <f aca="false">VLOOKUP(CD$1+1000*$A34,MASTER6!$A$2:$D$8001,4,FALSE())</f>
        <v>#N/A</v>
      </c>
      <c r="CE34" s="0" t="n">
        <f aca="false">VLOOKUP(CE$1+1000*$A34,MASTER6!$A$2:$D$8001,4,FALSE())</f>
        <v>130</v>
      </c>
      <c r="CF34" s="0" t="n">
        <f aca="false">VLOOKUP(CF$1+1000*$A34,MASTER6!$A$2:$D$8001,4,FALSE())</f>
        <v>104</v>
      </c>
      <c r="CG34" s="0" t="n">
        <f aca="false">VLOOKUP(CG$1+1000*$A34,MASTER6!$A$2:$D$8001,4,FALSE())</f>
        <v>429</v>
      </c>
      <c r="CH34" s="0" t="n">
        <f aca="false">VLOOKUP(CH$1+1000*$A34,MASTER6!$A$2:$D$8001,4,FALSE())</f>
        <v>543075</v>
      </c>
      <c r="CI34" s="0" t="n">
        <f aca="false">VLOOKUP(CI$1+1000*$A34,MASTER6!$A$2:$D$8001,4,FALSE())</f>
        <v>2262</v>
      </c>
      <c r="CJ34" s="0" t="e">
        <f aca="false">VLOOKUP(CJ$1+1000*$A34,MASTER6!$A$2:$D$8001,4,FALSE())</f>
        <v>#N/A</v>
      </c>
    </row>
    <row r="35" customFormat="false" ht="12.75" hidden="false" customHeight="false" outlineLevel="0" collapsed="false">
      <c r="A35" s="0" t="n">
        <v>34</v>
      </c>
      <c r="B35" s="0" t="n">
        <f aca="false">VLOOKUP(B$1+1000*$A35,MASTER6!$A$2:$D$8001,4,FALSE())</f>
        <v>0</v>
      </c>
      <c r="C35" s="0" t="n">
        <f aca="false">VLOOKUP(C$1+1000*$A35,MASTER6!$A$2:$D$8001,4,FALSE())</f>
        <v>0</v>
      </c>
      <c r="D35" s="0" t="n">
        <f aca="false">VLOOKUP(D$1+1000*$A35,MASTER6!$A$2:$D$8001,4,FALSE())</f>
        <v>0</v>
      </c>
      <c r="E35" s="0" t="n">
        <f aca="false">VLOOKUP(E$1+1000*$A35,MASTER6!$A$2:$D$8001,4,FALSE())</f>
        <v>0</v>
      </c>
      <c r="F35" s="0" t="n">
        <f aca="false">VLOOKUP(F$1+1000*$A35,MASTER6!$A$2:$D$8001,4,FALSE())</f>
        <v>0</v>
      </c>
      <c r="G35" s="0" t="n">
        <f aca="false">VLOOKUP(G$1+1000*$A35,MASTER6!$A$2:$D$8001,4,FALSE())</f>
        <v>0</v>
      </c>
      <c r="H35" s="0" t="n">
        <f aca="false">VLOOKUP(H$1+1000*$A35,MASTER6!$A$2:$D$8001,4,FALSE())</f>
        <v>0</v>
      </c>
      <c r="I35" s="0" t="n">
        <f aca="false">VLOOKUP(I$1+1000*$A35,MASTER6!$A$2:$D$8001,4,FALSE())</f>
        <v>0</v>
      </c>
      <c r="J35" s="0" t="n">
        <f aca="false">VLOOKUP(J$1+1000*$A35,MASTER6!$A$2:$D$8001,4,FALSE())</f>
        <v>0</v>
      </c>
      <c r="K35" s="0" t="n">
        <f aca="false">VLOOKUP(K$1+1000*$A35,MASTER6!$A$2:$D$8001,4,FALSE())</f>
        <v>0</v>
      </c>
      <c r="L35" s="0" t="n">
        <f aca="false">VLOOKUP(L$1+1000*$A35,MASTER6!$A$2:$D$8001,4,FALSE())</f>
        <v>0</v>
      </c>
      <c r="M35" s="0" t="n">
        <f aca="false">VLOOKUP(M$1+1000*$A35,MASTER6!$A$2:$D$8001,4,FALSE())</f>
        <v>130</v>
      </c>
      <c r="N35" s="0" t="n">
        <f aca="false">VLOOKUP(N$1+1000*$A35,MASTER6!$A$2:$D$8001,4,FALSE())</f>
        <v>0</v>
      </c>
      <c r="O35" s="0" t="n">
        <f aca="false">VLOOKUP(O$1+1000*$A35,MASTER6!$A$2:$D$8001,4,FALSE())</f>
        <v>91</v>
      </c>
      <c r="P35" s="0" t="n">
        <f aca="false">VLOOKUP(P$1+1000*$A35,MASTER6!$A$2:$D$8001,4,FALSE())</f>
        <v>0</v>
      </c>
      <c r="Q35" s="0" t="n">
        <f aca="false">VLOOKUP(Q$1+1000*$A35,MASTER6!$A$2:$D$8001,4,FALSE())</f>
        <v>0</v>
      </c>
      <c r="R35" s="0" t="n">
        <f aca="false">VLOOKUP(R$1+1000*$A35,MASTER6!$A$2:$D$8001,4,FALSE())</f>
        <v>0</v>
      </c>
      <c r="S35" s="0" t="n">
        <f aca="false">VLOOKUP(S$1+1000*$A35,MASTER6!$A$2:$D$8001,4,FALSE())</f>
        <v>0</v>
      </c>
      <c r="T35" s="0" t="n">
        <f aca="false">VLOOKUP(T$1+1000*$A35,MASTER6!$A$2:$D$8001,4,FALSE())</f>
        <v>169</v>
      </c>
      <c r="U35" s="0" t="n">
        <f aca="false">VLOOKUP(U$1+1000*$A35,MASTER6!$A$2:$D$8001,4,FALSE())</f>
        <v>0</v>
      </c>
      <c r="V35" s="0" t="n">
        <f aca="false">VLOOKUP(V$1+1000*$A35,MASTER6!$A$2:$D$8001,4,FALSE())</f>
        <v>117</v>
      </c>
      <c r="W35" s="0" t="n">
        <f aca="false">VLOOKUP(W$1+1000*$A35,MASTER6!$A$2:$D$8001,4,FALSE())</f>
        <v>0</v>
      </c>
      <c r="X35" s="0" t="n">
        <f aca="false">VLOOKUP(X$1+1000*$A35,MASTER6!$A$2:$D$8001,4,FALSE())</f>
        <v>78</v>
      </c>
      <c r="Y35" s="0" t="n">
        <f aca="false">VLOOKUP(Y$1+1000*$A35,MASTER6!$A$2:$D$8001,4,FALSE())</f>
        <v>0</v>
      </c>
      <c r="Z35" s="0" t="n">
        <f aca="false">VLOOKUP(Z$1+1000*$A35,MASTER6!$A$2:$D$8001,4,FALSE())</f>
        <v>0</v>
      </c>
      <c r="AA35" s="0" t="n">
        <f aca="false">VLOOKUP(AA$1+1000*$A35,MASTER6!$A$2:$D$8001,4,FALSE())</f>
        <v>0</v>
      </c>
      <c r="AB35" s="0" t="n">
        <f aca="false">VLOOKUP(AB$1+1000*$A35,MASTER6!$A$2:$D$8001,4,FALSE())</f>
        <v>0</v>
      </c>
      <c r="AC35" s="0" t="n">
        <f aca="false">VLOOKUP(AC$1+1000*$A35,MASTER6!$A$2:$D$8001,4,FALSE())</f>
        <v>0</v>
      </c>
      <c r="AD35" s="0" t="n">
        <f aca="false">VLOOKUP(AD$1+1000*$A35,MASTER6!$A$2:$D$8001,4,FALSE())</f>
        <v>0</v>
      </c>
      <c r="AE35" s="0" t="n">
        <f aca="false">VLOOKUP(AE$1+1000*$A35,MASTER6!$A$2:$D$8001,4,FALSE())</f>
        <v>0</v>
      </c>
      <c r="AF35" s="0" t="n">
        <f aca="false">VLOOKUP(AF$1+1000*$A35,MASTER6!$A$2:$D$8001,4,FALSE())</f>
        <v>0</v>
      </c>
      <c r="AG35" s="0" t="n">
        <f aca="false">VLOOKUP(AG$1+1000*$A35,MASTER6!$A$2:$D$8001,4,FALSE())</f>
        <v>0</v>
      </c>
      <c r="AH35" s="0" t="n">
        <f aca="false">VLOOKUP(AH$1+1000*$A35,MASTER6!$A$2:$D$8001,4,FALSE())</f>
        <v>7514</v>
      </c>
      <c r="AI35" s="0" t="n">
        <f aca="false">VLOOKUP(AI$1+1000*$A35,MASTER6!$A$2:$D$8001,4,FALSE())</f>
        <v>14196</v>
      </c>
      <c r="AJ35" s="0" t="n">
        <f aca="false">VLOOKUP(AJ$1+1000*$A35,MASTER6!$A$2:$D$8001,4,FALSE())</f>
        <v>1469</v>
      </c>
      <c r="AK35" s="0" t="n">
        <f aca="false">VLOOKUP(AK$1+1000*$A35,MASTER6!$A$2:$D$8001,4,FALSE())</f>
        <v>0</v>
      </c>
      <c r="AL35" s="0" t="n">
        <f aca="false">VLOOKUP(AL$1+1000*$A35,MASTER6!$A$2:$D$8001,4,FALSE())</f>
        <v>24934</v>
      </c>
      <c r="AM35" s="0" t="n">
        <f aca="false">VLOOKUP(AM$1+1000*$A35,MASTER6!$A$2:$D$8001,4,FALSE())</f>
        <v>0</v>
      </c>
      <c r="AN35" s="0" t="n">
        <f aca="false">VLOOKUP(AN$1+1000*$A35,MASTER6!$A$2:$D$8001,4,FALSE())</f>
        <v>0</v>
      </c>
      <c r="AO35" s="0" t="n">
        <f aca="false">VLOOKUP(AO$1+1000*$A35,MASTER6!$A$2:$D$8001,4,FALSE())</f>
        <v>0</v>
      </c>
      <c r="AP35" s="0" t="n">
        <f aca="false">VLOOKUP(AP$1+1000*$A35,MASTER6!$A$2:$D$8001,4,FALSE())</f>
        <v>0</v>
      </c>
      <c r="AQ35" s="0" t="n">
        <f aca="false">VLOOKUP(AQ$1+1000*$A35,MASTER6!$A$2:$D$8001,4,FALSE())</f>
        <v>273</v>
      </c>
      <c r="AR35" s="0" t="n">
        <f aca="false">VLOOKUP(AR$1+1000*$A35,MASTER6!$A$2:$D$8001,4,FALSE())</f>
        <v>1261</v>
      </c>
      <c r="AS35" s="0" t="n">
        <f aca="false">VLOOKUP(AS$1+1000*$A35,MASTER6!$A$2:$D$8001,4,FALSE())</f>
        <v>455</v>
      </c>
      <c r="AT35" s="0" t="n">
        <f aca="false">VLOOKUP(AT$1+1000*$A35,MASTER6!$A$2:$D$8001,4,FALSE())</f>
        <v>325</v>
      </c>
      <c r="AU35" s="0" t="n">
        <f aca="false">VLOOKUP(AU$1+1000*$A35,MASTER6!$A$2:$D$8001,4,FALSE())</f>
        <v>130</v>
      </c>
      <c r="AV35" s="0" t="n">
        <f aca="false">VLOOKUP(AV$1+1000*$A35,MASTER6!$A$2:$D$8001,4,FALSE())</f>
        <v>104</v>
      </c>
      <c r="AW35" s="0" t="n">
        <f aca="false">VLOOKUP(AW$1+1000*$A35,MASTER6!$A$2:$D$8001,4,FALSE())</f>
        <v>689</v>
      </c>
      <c r="AX35" s="0" t="n">
        <f aca="false">VLOOKUP(AX$1+1000*$A35,MASTER6!$A$2:$D$8001,4,FALSE())</f>
        <v>0</v>
      </c>
      <c r="AY35" s="0" t="n">
        <f aca="false">VLOOKUP(AY$1+1000*$A35,MASTER6!$A$2:$D$8001,4,FALSE())</f>
        <v>0</v>
      </c>
      <c r="AZ35" s="0" t="n">
        <f aca="false">VLOOKUP(AZ$1+1000*$A35,MASTER6!$A$2:$D$8001,4,FALSE())</f>
        <v>0</v>
      </c>
      <c r="BA35" s="0" t="n">
        <f aca="false">VLOOKUP(BA$1+1000*$A35,MASTER6!$A$2:$D$8001,4,FALSE())</f>
        <v>0</v>
      </c>
      <c r="BB35" s="0" t="n">
        <f aca="false">VLOOKUP(BB$1+1000*$A35,MASTER6!$A$2:$D$8001,4,FALSE())</f>
        <v>0</v>
      </c>
      <c r="BC35" s="0" t="n">
        <f aca="false">VLOOKUP(BC$1+1000*$A35,MASTER6!$A$2:$D$8001,4,FALSE())</f>
        <v>0</v>
      </c>
      <c r="BD35" s="0" t="n">
        <f aca="false">VLOOKUP(BD$1+1000*$A35,MASTER6!$A$2:$D$8001,4,FALSE())</f>
        <v>0</v>
      </c>
      <c r="BE35" s="0" t="n">
        <f aca="false">VLOOKUP(BE$1+1000*$A35,MASTER6!$A$2:$D$8001,4,FALSE())</f>
        <v>0</v>
      </c>
      <c r="BF35" s="0" t="n">
        <f aca="false">VLOOKUP(BF$1+1000*$A35,MASTER6!$A$2:$D$8001,4,FALSE())</f>
        <v>0</v>
      </c>
      <c r="BG35" s="0" t="e">
        <f aca="false">VLOOKUP(BG$1+1000*$A35,MASTER6!$A$2:$D$8001,4,FALSE())</f>
        <v>#N/A</v>
      </c>
      <c r="BH35" s="0" t="n">
        <f aca="false">VLOOKUP(BH$1+1000*$A35,MASTER6!$A$2:$D$8001,4,FALSE())</f>
        <v>0</v>
      </c>
      <c r="BI35" s="0" t="n">
        <f aca="false">VLOOKUP(BI$1+1000*$A35,MASTER6!$A$2:$D$8001,4,FALSE())</f>
        <v>0</v>
      </c>
      <c r="BJ35" s="0" t="e">
        <f aca="false">VLOOKUP(BJ$1+1000*$A35,MASTER6!$A$2:$D$8001,4,FALSE())</f>
        <v>#N/A</v>
      </c>
      <c r="BK35" s="0" t="n">
        <f aca="false">VLOOKUP(BK$1+1000*$A35,MASTER6!$A$2:$D$8001,4,FALSE())</f>
        <v>117</v>
      </c>
      <c r="BL35" s="0" t="n">
        <f aca="false">VLOOKUP(BL$1+1000*$A35,MASTER6!$A$2:$D$8001,4,FALSE())</f>
        <v>0</v>
      </c>
      <c r="BM35" s="0" t="n">
        <f aca="false">VLOOKUP(BM$1+1000*$A35,MASTER6!$A$2:$D$8001,4,FALSE())</f>
        <v>715</v>
      </c>
      <c r="BN35" s="0" t="n">
        <f aca="false">VLOOKUP(BN$1+1000*$A35,MASTER6!$A$2:$D$8001,4,FALSE())</f>
        <v>338</v>
      </c>
      <c r="BO35" s="0" t="n">
        <f aca="false">VLOOKUP(BO$1+1000*$A35,MASTER6!$A$2:$D$8001,4,FALSE())</f>
        <v>0</v>
      </c>
      <c r="BP35" s="0" t="n">
        <f aca="false">VLOOKUP(BP$1+1000*$A35,MASTER6!$A$2:$D$8001,4,FALSE())</f>
        <v>0</v>
      </c>
      <c r="BQ35" s="0" t="e">
        <f aca="false">VLOOKUP(BQ$1+1000*$A35,MASTER6!$A$2:$D$8001,4,FALSE())</f>
        <v>#N/A</v>
      </c>
      <c r="BR35" s="0" t="n">
        <f aca="false">VLOOKUP(BR$1+1000*$A35,MASTER6!$A$2:$D$8001,4,FALSE())</f>
        <v>377</v>
      </c>
      <c r="BS35" s="0" t="e">
        <f aca="false">VLOOKUP(BS$1+1000*$A35,MASTER6!$A$2:$D$8001,4,FALSE())</f>
        <v>#N/A</v>
      </c>
      <c r="BT35" s="0" t="n">
        <f aca="false">VLOOKUP(BT$1+1000*$A35,MASTER6!$A$2:$D$8001,4,FALSE())</f>
        <v>0</v>
      </c>
      <c r="BU35" s="0" t="n">
        <f aca="false">VLOOKUP(BU$1+1000*$A35,MASTER6!$A$2:$D$8001,4,FALSE())</f>
        <v>0</v>
      </c>
      <c r="BV35" s="0" t="n">
        <f aca="false">VLOOKUP(BV$1+1000*$A35,MASTER6!$A$2:$D$8001,4,FALSE())</f>
        <v>0</v>
      </c>
      <c r="BW35" s="0" t="e">
        <f aca="false">VLOOKUP(BW$1+1000*$A35,MASTER6!$A$2:$D$8001,4,FALSE())</f>
        <v>#N/A</v>
      </c>
      <c r="BX35" s="0" t="n">
        <f aca="false">VLOOKUP(BX$1+1000*$A35,MASTER6!$A$2:$D$8001,4,FALSE())</f>
        <v>0</v>
      </c>
      <c r="BY35" s="0" t="n">
        <f aca="false">VLOOKUP(BY$1+1000*$A35,MASTER6!$A$2:$D$8001,4,FALSE())</f>
        <v>0</v>
      </c>
      <c r="BZ35" s="0" t="n">
        <f aca="false">VLOOKUP(BZ$1+1000*$A35,MASTER6!$A$2:$D$8001,4,FALSE())</f>
        <v>0</v>
      </c>
      <c r="CA35" s="0" t="e">
        <f aca="false">VLOOKUP(CA$1+1000*$A35,MASTER6!$A$2:$D$8001,4,FALSE())</f>
        <v>#N/A</v>
      </c>
      <c r="CB35" s="0" t="n">
        <f aca="false">VLOOKUP(CB$1+1000*$A35,MASTER6!$A$2:$D$8001,4,FALSE())</f>
        <v>0</v>
      </c>
      <c r="CC35" s="0" t="n">
        <f aca="false">VLOOKUP(CC$1+1000*$A35,MASTER6!$A$2:$D$8001,4,FALSE())</f>
        <v>0</v>
      </c>
      <c r="CD35" s="0" t="e">
        <f aca="false">VLOOKUP(CD$1+1000*$A35,MASTER6!$A$2:$D$8001,4,FALSE())</f>
        <v>#N/A</v>
      </c>
      <c r="CE35" s="0" t="n">
        <f aca="false">VLOOKUP(CE$1+1000*$A35,MASTER6!$A$2:$D$8001,4,FALSE())</f>
        <v>0</v>
      </c>
      <c r="CF35" s="0" t="n">
        <f aca="false">VLOOKUP(CF$1+1000*$A35,MASTER6!$A$2:$D$8001,4,FALSE())</f>
        <v>0</v>
      </c>
      <c r="CG35" s="0" t="n">
        <f aca="false">VLOOKUP(CG$1+1000*$A35,MASTER6!$A$2:$D$8001,4,FALSE())</f>
        <v>143</v>
      </c>
      <c r="CH35" s="0" t="n">
        <f aca="false">VLOOKUP(CH$1+1000*$A35,MASTER6!$A$2:$D$8001,4,FALSE())</f>
        <v>70278</v>
      </c>
      <c r="CI35" s="0" t="n">
        <f aca="false">VLOOKUP(CI$1+1000*$A35,MASTER6!$A$2:$D$8001,4,FALSE())</f>
        <v>169</v>
      </c>
      <c r="CJ35" s="0" t="e">
        <f aca="false">VLOOKUP(CJ$1+1000*$A35,MASTER6!$A$2:$D$8001,4,FALSE())</f>
        <v>#N/A</v>
      </c>
    </row>
    <row r="36" customFormat="false" ht="12.75" hidden="false" customHeight="false" outlineLevel="0" collapsed="false">
      <c r="A36" s="0" t="n">
        <v>35</v>
      </c>
      <c r="B36" s="0" t="n">
        <f aca="false">VLOOKUP(B$1+1000*$A36,MASTER6!$A$2:$D$8001,4,FALSE())</f>
        <v>0</v>
      </c>
      <c r="C36" s="0" t="n">
        <f aca="false">VLOOKUP(C$1+1000*$A36,MASTER6!$A$2:$D$8001,4,FALSE())</f>
        <v>0</v>
      </c>
      <c r="D36" s="0" t="n">
        <f aca="false">VLOOKUP(D$1+1000*$A36,MASTER6!$A$2:$D$8001,4,FALSE())</f>
        <v>0</v>
      </c>
      <c r="E36" s="0" t="n">
        <f aca="false">VLOOKUP(E$1+1000*$A36,MASTER6!$A$2:$D$8001,4,FALSE())</f>
        <v>0</v>
      </c>
      <c r="F36" s="0" t="n">
        <f aca="false">VLOOKUP(F$1+1000*$A36,MASTER6!$A$2:$D$8001,4,FALSE())</f>
        <v>0</v>
      </c>
      <c r="G36" s="0" t="n">
        <f aca="false">VLOOKUP(G$1+1000*$A36,MASTER6!$A$2:$D$8001,4,FALSE())</f>
        <v>0</v>
      </c>
      <c r="H36" s="0" t="n">
        <f aca="false">VLOOKUP(H$1+1000*$A36,MASTER6!$A$2:$D$8001,4,FALSE())</f>
        <v>0</v>
      </c>
      <c r="I36" s="0" t="n">
        <f aca="false">VLOOKUP(I$1+1000*$A36,MASTER6!$A$2:$D$8001,4,FALSE())</f>
        <v>0</v>
      </c>
      <c r="J36" s="0" t="n">
        <f aca="false">VLOOKUP(J$1+1000*$A36,MASTER6!$A$2:$D$8001,4,FALSE())</f>
        <v>0</v>
      </c>
      <c r="K36" s="0" t="n">
        <f aca="false">VLOOKUP(K$1+1000*$A36,MASTER6!$A$2:$D$8001,4,FALSE())</f>
        <v>0</v>
      </c>
      <c r="L36" s="0" t="n">
        <f aca="false">VLOOKUP(L$1+1000*$A36,MASTER6!$A$2:$D$8001,4,FALSE())</f>
        <v>0</v>
      </c>
      <c r="M36" s="0" t="n">
        <f aca="false">VLOOKUP(M$1+1000*$A36,MASTER6!$A$2:$D$8001,4,FALSE())</f>
        <v>0</v>
      </c>
      <c r="N36" s="0" t="n">
        <f aca="false">VLOOKUP(N$1+1000*$A36,MASTER6!$A$2:$D$8001,4,FALSE())</f>
        <v>0</v>
      </c>
      <c r="O36" s="0" t="n">
        <f aca="false">VLOOKUP(O$1+1000*$A36,MASTER6!$A$2:$D$8001,4,FALSE())</f>
        <v>0</v>
      </c>
      <c r="P36" s="0" t="n">
        <f aca="false">VLOOKUP(P$1+1000*$A36,MASTER6!$A$2:$D$8001,4,FALSE())</f>
        <v>0</v>
      </c>
      <c r="Q36" s="0" t="n">
        <f aca="false">VLOOKUP(Q$1+1000*$A36,MASTER6!$A$2:$D$8001,4,FALSE())</f>
        <v>0</v>
      </c>
      <c r="R36" s="0" t="n">
        <f aca="false">VLOOKUP(R$1+1000*$A36,MASTER6!$A$2:$D$8001,4,FALSE())</f>
        <v>0</v>
      </c>
      <c r="S36" s="0" t="n">
        <f aca="false">VLOOKUP(S$1+1000*$A36,MASTER6!$A$2:$D$8001,4,FALSE())</f>
        <v>0</v>
      </c>
      <c r="T36" s="0" t="n">
        <f aca="false">VLOOKUP(T$1+1000*$A36,MASTER6!$A$2:$D$8001,4,FALSE())</f>
        <v>0</v>
      </c>
      <c r="U36" s="0" t="n">
        <f aca="false">VLOOKUP(U$1+1000*$A36,MASTER6!$A$2:$D$8001,4,FALSE())</f>
        <v>0</v>
      </c>
      <c r="V36" s="0" t="n">
        <f aca="false">VLOOKUP(V$1+1000*$A36,MASTER6!$A$2:$D$8001,4,FALSE())</f>
        <v>0</v>
      </c>
      <c r="W36" s="0" t="n">
        <f aca="false">VLOOKUP(W$1+1000*$A36,MASTER6!$A$2:$D$8001,4,FALSE())</f>
        <v>0</v>
      </c>
      <c r="X36" s="0" t="n">
        <f aca="false">VLOOKUP(X$1+1000*$A36,MASTER6!$A$2:$D$8001,4,FALSE())</f>
        <v>0</v>
      </c>
      <c r="Y36" s="0" t="n">
        <f aca="false">VLOOKUP(Y$1+1000*$A36,MASTER6!$A$2:$D$8001,4,FALSE())</f>
        <v>0</v>
      </c>
      <c r="Z36" s="0" t="n">
        <f aca="false">VLOOKUP(Z$1+1000*$A36,MASTER6!$A$2:$D$8001,4,FALSE())</f>
        <v>0</v>
      </c>
      <c r="AA36" s="0" t="n">
        <f aca="false">VLOOKUP(AA$1+1000*$A36,MASTER6!$A$2:$D$8001,4,FALSE())</f>
        <v>0</v>
      </c>
      <c r="AB36" s="0" t="n">
        <f aca="false">VLOOKUP(AB$1+1000*$A36,MASTER6!$A$2:$D$8001,4,FALSE())</f>
        <v>0</v>
      </c>
      <c r="AC36" s="0" t="n">
        <f aca="false">VLOOKUP(AC$1+1000*$A36,MASTER6!$A$2:$D$8001,4,FALSE())</f>
        <v>0</v>
      </c>
      <c r="AD36" s="0" t="n">
        <f aca="false">VLOOKUP(AD$1+1000*$A36,MASTER6!$A$2:$D$8001,4,FALSE())</f>
        <v>0</v>
      </c>
      <c r="AE36" s="0" t="n">
        <f aca="false">VLOOKUP(AE$1+1000*$A36,MASTER6!$A$2:$D$8001,4,FALSE())</f>
        <v>0</v>
      </c>
      <c r="AF36" s="0" t="n">
        <f aca="false">VLOOKUP(AF$1+1000*$A36,MASTER6!$A$2:$D$8001,4,FALSE())</f>
        <v>0</v>
      </c>
      <c r="AG36" s="0" t="n">
        <f aca="false">VLOOKUP(AG$1+1000*$A36,MASTER6!$A$2:$D$8001,4,FALSE())</f>
        <v>0</v>
      </c>
      <c r="AH36" s="0" t="n">
        <f aca="false">VLOOKUP(AH$1+1000*$A36,MASTER6!$A$2:$D$8001,4,FALSE())</f>
        <v>11934</v>
      </c>
      <c r="AI36" s="0" t="n">
        <f aca="false">VLOOKUP(AI$1+1000*$A36,MASTER6!$A$2:$D$8001,4,FALSE())</f>
        <v>988</v>
      </c>
      <c r="AJ36" s="0" t="n">
        <f aca="false">VLOOKUP(AJ$1+1000*$A36,MASTER6!$A$2:$D$8001,4,FALSE())</f>
        <v>23023</v>
      </c>
      <c r="AK36" s="0" t="n">
        <f aca="false">VLOOKUP(AK$1+1000*$A36,MASTER6!$A$2:$D$8001,4,FALSE())</f>
        <v>195</v>
      </c>
      <c r="AL36" s="0" t="n">
        <f aca="false">VLOOKUP(AL$1+1000*$A36,MASTER6!$A$2:$D$8001,4,FALSE())</f>
        <v>13221</v>
      </c>
      <c r="AM36" s="0" t="n">
        <f aca="false">VLOOKUP(AM$1+1000*$A36,MASTER6!$A$2:$D$8001,4,FALSE())</f>
        <v>0</v>
      </c>
      <c r="AN36" s="0" t="n">
        <f aca="false">VLOOKUP(AN$1+1000*$A36,MASTER6!$A$2:$D$8001,4,FALSE())</f>
        <v>169</v>
      </c>
      <c r="AO36" s="0" t="n">
        <f aca="false">VLOOKUP(AO$1+1000*$A36,MASTER6!$A$2:$D$8001,4,FALSE())</f>
        <v>0</v>
      </c>
      <c r="AP36" s="0" t="n">
        <f aca="false">VLOOKUP(AP$1+1000*$A36,MASTER6!$A$2:$D$8001,4,FALSE())</f>
        <v>0</v>
      </c>
      <c r="AQ36" s="0" t="n">
        <f aca="false">VLOOKUP(AQ$1+1000*$A36,MASTER6!$A$2:$D$8001,4,FALSE())</f>
        <v>0</v>
      </c>
      <c r="AR36" s="0" t="n">
        <f aca="false">VLOOKUP(AR$1+1000*$A36,MASTER6!$A$2:$D$8001,4,FALSE())</f>
        <v>0</v>
      </c>
      <c r="AS36" s="0" t="n">
        <f aca="false">VLOOKUP(AS$1+1000*$A36,MASTER6!$A$2:$D$8001,4,FALSE())</f>
        <v>0</v>
      </c>
      <c r="AT36" s="0" t="n">
        <f aca="false">VLOOKUP(AT$1+1000*$A36,MASTER6!$A$2:$D$8001,4,FALSE())</f>
        <v>91</v>
      </c>
      <c r="AU36" s="0" t="n">
        <f aca="false">VLOOKUP(AU$1+1000*$A36,MASTER6!$A$2:$D$8001,4,FALSE())</f>
        <v>0</v>
      </c>
      <c r="AV36" s="0" t="n">
        <f aca="false">VLOOKUP(AV$1+1000*$A36,MASTER6!$A$2:$D$8001,4,FALSE())</f>
        <v>0</v>
      </c>
      <c r="AW36" s="0" t="n">
        <f aca="false">VLOOKUP(AW$1+1000*$A36,MASTER6!$A$2:$D$8001,4,FALSE())</f>
        <v>0</v>
      </c>
      <c r="AX36" s="0" t="n">
        <f aca="false">VLOOKUP(AX$1+1000*$A36,MASTER6!$A$2:$D$8001,4,FALSE())</f>
        <v>0</v>
      </c>
      <c r="AY36" s="0" t="n">
        <f aca="false">VLOOKUP(AY$1+1000*$A36,MASTER6!$A$2:$D$8001,4,FALSE())</f>
        <v>0</v>
      </c>
      <c r="AZ36" s="0" t="n">
        <f aca="false">VLOOKUP(AZ$1+1000*$A36,MASTER6!$A$2:$D$8001,4,FALSE())</f>
        <v>0</v>
      </c>
      <c r="BA36" s="0" t="n">
        <f aca="false">VLOOKUP(BA$1+1000*$A36,MASTER6!$A$2:$D$8001,4,FALSE())</f>
        <v>0</v>
      </c>
      <c r="BB36" s="0" t="n">
        <f aca="false">VLOOKUP(BB$1+1000*$A36,MASTER6!$A$2:$D$8001,4,FALSE())</f>
        <v>0</v>
      </c>
      <c r="BC36" s="0" t="n">
        <f aca="false">VLOOKUP(BC$1+1000*$A36,MASTER6!$A$2:$D$8001,4,FALSE())</f>
        <v>0</v>
      </c>
      <c r="BD36" s="0" t="n">
        <f aca="false">VLOOKUP(BD$1+1000*$A36,MASTER6!$A$2:$D$8001,4,FALSE())</f>
        <v>0</v>
      </c>
      <c r="BE36" s="0" t="n">
        <f aca="false">VLOOKUP(BE$1+1000*$A36,MASTER6!$A$2:$D$8001,4,FALSE())</f>
        <v>0</v>
      </c>
      <c r="BF36" s="0" t="n">
        <f aca="false">VLOOKUP(BF$1+1000*$A36,MASTER6!$A$2:$D$8001,4,FALSE())</f>
        <v>0</v>
      </c>
      <c r="BG36" s="0" t="e">
        <f aca="false">VLOOKUP(BG$1+1000*$A36,MASTER6!$A$2:$D$8001,4,FALSE())</f>
        <v>#N/A</v>
      </c>
      <c r="BH36" s="0" t="n">
        <f aca="false">VLOOKUP(BH$1+1000*$A36,MASTER6!$A$2:$D$8001,4,FALSE())</f>
        <v>0</v>
      </c>
      <c r="BI36" s="0" t="n">
        <f aca="false">VLOOKUP(BI$1+1000*$A36,MASTER6!$A$2:$D$8001,4,FALSE())</f>
        <v>0</v>
      </c>
      <c r="BJ36" s="0" t="e">
        <f aca="false">VLOOKUP(BJ$1+1000*$A36,MASTER6!$A$2:$D$8001,4,FALSE())</f>
        <v>#N/A</v>
      </c>
      <c r="BK36" s="0" t="n">
        <f aca="false">VLOOKUP(BK$1+1000*$A36,MASTER6!$A$2:$D$8001,4,FALSE())</f>
        <v>0</v>
      </c>
      <c r="BL36" s="0" t="n">
        <f aca="false">VLOOKUP(BL$1+1000*$A36,MASTER6!$A$2:$D$8001,4,FALSE())</f>
        <v>0</v>
      </c>
      <c r="BM36" s="0" t="n">
        <f aca="false">VLOOKUP(BM$1+1000*$A36,MASTER6!$A$2:$D$8001,4,FALSE())</f>
        <v>0</v>
      </c>
      <c r="BN36" s="0" t="n">
        <f aca="false">VLOOKUP(BN$1+1000*$A36,MASTER6!$A$2:$D$8001,4,FALSE())</f>
        <v>0</v>
      </c>
      <c r="BO36" s="0" t="n">
        <f aca="false">VLOOKUP(BO$1+1000*$A36,MASTER6!$A$2:$D$8001,4,FALSE())</f>
        <v>0</v>
      </c>
      <c r="BP36" s="0" t="n">
        <f aca="false">VLOOKUP(BP$1+1000*$A36,MASTER6!$A$2:$D$8001,4,FALSE())</f>
        <v>0</v>
      </c>
      <c r="BQ36" s="0" t="e">
        <f aca="false">VLOOKUP(BQ$1+1000*$A36,MASTER6!$A$2:$D$8001,4,FALSE())</f>
        <v>#N/A</v>
      </c>
      <c r="BR36" s="0" t="n">
        <f aca="false">VLOOKUP(BR$1+1000*$A36,MASTER6!$A$2:$D$8001,4,FALSE())</f>
        <v>806</v>
      </c>
      <c r="BS36" s="0" t="e">
        <f aca="false">VLOOKUP(BS$1+1000*$A36,MASTER6!$A$2:$D$8001,4,FALSE())</f>
        <v>#N/A</v>
      </c>
      <c r="BT36" s="0" t="n">
        <f aca="false">VLOOKUP(BT$1+1000*$A36,MASTER6!$A$2:$D$8001,4,FALSE())</f>
        <v>0</v>
      </c>
      <c r="BU36" s="0" t="n">
        <f aca="false">VLOOKUP(BU$1+1000*$A36,MASTER6!$A$2:$D$8001,4,FALSE())</f>
        <v>0</v>
      </c>
      <c r="BV36" s="0" t="n">
        <f aca="false">VLOOKUP(BV$1+1000*$A36,MASTER6!$A$2:$D$8001,4,FALSE())</f>
        <v>0</v>
      </c>
      <c r="BW36" s="0" t="e">
        <f aca="false">VLOOKUP(BW$1+1000*$A36,MASTER6!$A$2:$D$8001,4,FALSE())</f>
        <v>#N/A</v>
      </c>
      <c r="BX36" s="0" t="n">
        <f aca="false">VLOOKUP(BX$1+1000*$A36,MASTER6!$A$2:$D$8001,4,FALSE())</f>
        <v>0</v>
      </c>
      <c r="BY36" s="0" t="n">
        <f aca="false">VLOOKUP(BY$1+1000*$A36,MASTER6!$A$2:$D$8001,4,FALSE())</f>
        <v>0</v>
      </c>
      <c r="BZ36" s="0" t="n">
        <f aca="false">VLOOKUP(BZ$1+1000*$A36,MASTER6!$A$2:$D$8001,4,FALSE())</f>
        <v>0</v>
      </c>
      <c r="CA36" s="0" t="e">
        <f aca="false">VLOOKUP(CA$1+1000*$A36,MASTER6!$A$2:$D$8001,4,FALSE())</f>
        <v>#N/A</v>
      </c>
      <c r="CB36" s="0" t="n">
        <f aca="false">VLOOKUP(CB$1+1000*$A36,MASTER6!$A$2:$D$8001,4,FALSE())</f>
        <v>0</v>
      </c>
      <c r="CC36" s="0" t="n">
        <f aca="false">VLOOKUP(CC$1+1000*$A36,MASTER6!$A$2:$D$8001,4,FALSE())</f>
        <v>0</v>
      </c>
      <c r="CD36" s="0" t="e">
        <f aca="false">VLOOKUP(CD$1+1000*$A36,MASTER6!$A$2:$D$8001,4,FALSE())</f>
        <v>#N/A</v>
      </c>
      <c r="CE36" s="0" t="n">
        <f aca="false">VLOOKUP(CE$1+1000*$A36,MASTER6!$A$2:$D$8001,4,FALSE())</f>
        <v>0</v>
      </c>
      <c r="CF36" s="0" t="n">
        <f aca="false">VLOOKUP(CF$1+1000*$A36,MASTER6!$A$2:$D$8001,4,FALSE())</f>
        <v>0</v>
      </c>
      <c r="CG36" s="0" t="n">
        <f aca="false">VLOOKUP(CG$1+1000*$A36,MASTER6!$A$2:$D$8001,4,FALSE())</f>
        <v>0</v>
      </c>
      <c r="CH36" s="0" t="n">
        <f aca="false">VLOOKUP(CH$1+1000*$A36,MASTER6!$A$2:$D$8001,4,FALSE())</f>
        <v>59202</v>
      </c>
      <c r="CI36" s="0" t="n">
        <f aca="false">VLOOKUP(CI$1+1000*$A36,MASTER6!$A$2:$D$8001,4,FALSE())</f>
        <v>0</v>
      </c>
      <c r="CJ36" s="0" t="e">
        <f aca="false">VLOOKUP(CJ$1+1000*$A36,MASTER6!$A$2:$D$8001,4,FALSE())</f>
        <v>#N/A</v>
      </c>
    </row>
    <row r="37" customFormat="false" ht="12.75" hidden="false" customHeight="false" outlineLevel="0" collapsed="false">
      <c r="A37" s="0" t="n">
        <v>36</v>
      </c>
      <c r="B37" s="0" t="n">
        <f aca="false">VLOOKUP(B$1+1000*$A37,MASTER6!$A$2:$D$8001,4,FALSE())</f>
        <v>0</v>
      </c>
      <c r="C37" s="0" t="n">
        <f aca="false">VLOOKUP(C$1+1000*$A37,MASTER6!$A$2:$D$8001,4,FALSE())</f>
        <v>0</v>
      </c>
      <c r="D37" s="0" t="n">
        <f aca="false">VLOOKUP(D$1+1000*$A37,MASTER6!$A$2:$D$8001,4,FALSE())</f>
        <v>0</v>
      </c>
      <c r="E37" s="0" t="n">
        <f aca="false">VLOOKUP(E$1+1000*$A37,MASTER6!$A$2:$D$8001,4,FALSE())</f>
        <v>0</v>
      </c>
      <c r="F37" s="0" t="n">
        <f aca="false">VLOOKUP(F$1+1000*$A37,MASTER6!$A$2:$D$8001,4,FALSE())</f>
        <v>0</v>
      </c>
      <c r="G37" s="0" t="n">
        <f aca="false">VLOOKUP(G$1+1000*$A37,MASTER6!$A$2:$D$8001,4,FALSE())</f>
        <v>0</v>
      </c>
      <c r="H37" s="0" t="n">
        <f aca="false">VLOOKUP(H$1+1000*$A37,MASTER6!$A$2:$D$8001,4,FALSE())</f>
        <v>0</v>
      </c>
      <c r="I37" s="0" t="n">
        <f aca="false">VLOOKUP(I$1+1000*$A37,MASTER6!$A$2:$D$8001,4,FALSE())</f>
        <v>0</v>
      </c>
      <c r="J37" s="0" t="n">
        <f aca="false">VLOOKUP(J$1+1000*$A37,MASTER6!$A$2:$D$8001,4,FALSE())</f>
        <v>0</v>
      </c>
      <c r="K37" s="0" t="n">
        <f aca="false">VLOOKUP(K$1+1000*$A37,MASTER6!$A$2:$D$8001,4,FALSE())</f>
        <v>0</v>
      </c>
      <c r="L37" s="0" t="n">
        <f aca="false">VLOOKUP(L$1+1000*$A37,MASTER6!$A$2:$D$8001,4,FALSE())</f>
        <v>0</v>
      </c>
      <c r="M37" s="0" t="n">
        <f aca="false">VLOOKUP(M$1+1000*$A37,MASTER6!$A$2:$D$8001,4,FALSE())</f>
        <v>0</v>
      </c>
      <c r="N37" s="0" t="n">
        <f aca="false">VLOOKUP(N$1+1000*$A37,MASTER6!$A$2:$D$8001,4,FALSE())</f>
        <v>0</v>
      </c>
      <c r="O37" s="0" t="n">
        <f aca="false">VLOOKUP(O$1+1000*$A37,MASTER6!$A$2:$D$8001,4,FALSE())</f>
        <v>0</v>
      </c>
      <c r="P37" s="0" t="n">
        <f aca="false">VLOOKUP(P$1+1000*$A37,MASTER6!$A$2:$D$8001,4,FALSE())</f>
        <v>0</v>
      </c>
      <c r="Q37" s="0" t="n">
        <f aca="false">VLOOKUP(Q$1+1000*$A37,MASTER6!$A$2:$D$8001,4,FALSE())</f>
        <v>0</v>
      </c>
      <c r="R37" s="0" t="n">
        <f aca="false">VLOOKUP(R$1+1000*$A37,MASTER6!$A$2:$D$8001,4,FALSE())</f>
        <v>0</v>
      </c>
      <c r="S37" s="0" t="n">
        <f aca="false">VLOOKUP(S$1+1000*$A37,MASTER6!$A$2:$D$8001,4,FALSE())</f>
        <v>0</v>
      </c>
      <c r="T37" s="0" t="n">
        <f aca="false">VLOOKUP(T$1+1000*$A37,MASTER6!$A$2:$D$8001,4,FALSE())</f>
        <v>0</v>
      </c>
      <c r="U37" s="0" t="n">
        <f aca="false">VLOOKUP(U$1+1000*$A37,MASTER6!$A$2:$D$8001,4,FALSE())</f>
        <v>0</v>
      </c>
      <c r="V37" s="0" t="n">
        <f aca="false">VLOOKUP(V$1+1000*$A37,MASTER6!$A$2:$D$8001,4,FALSE())</f>
        <v>0</v>
      </c>
      <c r="W37" s="0" t="n">
        <f aca="false">VLOOKUP(W$1+1000*$A37,MASTER6!$A$2:$D$8001,4,FALSE())</f>
        <v>0</v>
      </c>
      <c r="X37" s="0" t="n">
        <f aca="false">VLOOKUP(X$1+1000*$A37,MASTER6!$A$2:$D$8001,4,FALSE())</f>
        <v>0</v>
      </c>
      <c r="Y37" s="0" t="n">
        <f aca="false">VLOOKUP(Y$1+1000*$A37,MASTER6!$A$2:$D$8001,4,FALSE())</f>
        <v>0</v>
      </c>
      <c r="Z37" s="0" t="n">
        <f aca="false">VLOOKUP(Z$1+1000*$A37,MASTER6!$A$2:$D$8001,4,FALSE())</f>
        <v>0</v>
      </c>
      <c r="AA37" s="0" t="n">
        <f aca="false">VLOOKUP(AA$1+1000*$A37,MASTER6!$A$2:$D$8001,4,FALSE())</f>
        <v>130</v>
      </c>
      <c r="AB37" s="0" t="n">
        <f aca="false">VLOOKUP(AB$1+1000*$A37,MASTER6!$A$2:$D$8001,4,FALSE())</f>
        <v>0</v>
      </c>
      <c r="AC37" s="0" t="n">
        <f aca="false">VLOOKUP(AC$1+1000*$A37,MASTER6!$A$2:$D$8001,4,FALSE())</f>
        <v>0</v>
      </c>
      <c r="AD37" s="0" t="n">
        <f aca="false">VLOOKUP(AD$1+1000*$A37,MASTER6!$A$2:$D$8001,4,FALSE())</f>
        <v>0</v>
      </c>
      <c r="AE37" s="0" t="n">
        <f aca="false">VLOOKUP(AE$1+1000*$A37,MASTER6!$A$2:$D$8001,4,FALSE())</f>
        <v>117</v>
      </c>
      <c r="AF37" s="0" t="n">
        <f aca="false">VLOOKUP(AF$1+1000*$A37,MASTER6!$A$2:$D$8001,4,FALSE())</f>
        <v>0</v>
      </c>
      <c r="AG37" s="0" t="n">
        <f aca="false">VLOOKUP(AG$1+1000*$A37,MASTER6!$A$2:$D$8001,4,FALSE())</f>
        <v>0</v>
      </c>
      <c r="AH37" s="0" t="n">
        <f aca="false">VLOOKUP(AH$1+1000*$A37,MASTER6!$A$2:$D$8001,4,FALSE())</f>
        <v>29861</v>
      </c>
      <c r="AI37" s="0" t="n">
        <f aca="false">VLOOKUP(AI$1+1000*$A37,MASTER6!$A$2:$D$8001,4,FALSE())</f>
        <v>0</v>
      </c>
      <c r="AJ37" s="0" t="n">
        <f aca="false">VLOOKUP(AJ$1+1000*$A37,MASTER6!$A$2:$D$8001,4,FALSE())</f>
        <v>234</v>
      </c>
      <c r="AK37" s="0" t="n">
        <f aca="false">VLOOKUP(AK$1+1000*$A37,MASTER6!$A$2:$D$8001,4,FALSE())</f>
        <v>20917</v>
      </c>
      <c r="AL37" s="0" t="n">
        <f aca="false">VLOOKUP(AL$1+1000*$A37,MASTER6!$A$2:$D$8001,4,FALSE())</f>
        <v>12974</v>
      </c>
      <c r="AM37" s="0" t="n">
        <f aca="false">VLOOKUP(AM$1+1000*$A37,MASTER6!$A$2:$D$8001,4,FALSE())</f>
        <v>104</v>
      </c>
      <c r="AN37" s="0" t="n">
        <f aca="false">VLOOKUP(AN$1+1000*$A37,MASTER6!$A$2:$D$8001,4,FALSE())</f>
        <v>0</v>
      </c>
      <c r="AO37" s="0" t="n">
        <f aca="false">VLOOKUP(AO$1+1000*$A37,MASTER6!$A$2:$D$8001,4,FALSE())</f>
        <v>0</v>
      </c>
      <c r="AP37" s="0" t="n">
        <f aca="false">VLOOKUP(AP$1+1000*$A37,MASTER6!$A$2:$D$8001,4,FALSE())</f>
        <v>0</v>
      </c>
      <c r="AQ37" s="0" t="n">
        <f aca="false">VLOOKUP(AQ$1+1000*$A37,MASTER6!$A$2:$D$8001,4,FALSE())</f>
        <v>104</v>
      </c>
      <c r="AR37" s="0" t="n">
        <f aca="false">VLOOKUP(AR$1+1000*$A37,MASTER6!$A$2:$D$8001,4,FALSE())</f>
        <v>0</v>
      </c>
      <c r="AS37" s="0" t="n">
        <f aca="false">VLOOKUP(AS$1+1000*$A37,MASTER6!$A$2:$D$8001,4,FALSE())</f>
        <v>0</v>
      </c>
      <c r="AT37" s="0" t="n">
        <f aca="false">VLOOKUP(AT$1+1000*$A37,MASTER6!$A$2:$D$8001,4,FALSE())</f>
        <v>0</v>
      </c>
      <c r="AU37" s="0" t="n">
        <f aca="false">VLOOKUP(AU$1+1000*$A37,MASTER6!$A$2:$D$8001,4,FALSE())</f>
        <v>0</v>
      </c>
      <c r="AV37" s="0" t="n">
        <f aca="false">VLOOKUP(AV$1+1000*$A37,MASTER6!$A$2:$D$8001,4,FALSE())</f>
        <v>0</v>
      </c>
      <c r="AW37" s="0" t="n">
        <f aca="false">VLOOKUP(AW$1+1000*$A37,MASTER6!$A$2:$D$8001,4,FALSE())</f>
        <v>0</v>
      </c>
      <c r="AX37" s="0" t="n">
        <f aca="false">VLOOKUP(AX$1+1000*$A37,MASTER6!$A$2:$D$8001,4,FALSE())</f>
        <v>0</v>
      </c>
      <c r="AY37" s="0" t="n">
        <f aca="false">VLOOKUP(AY$1+1000*$A37,MASTER6!$A$2:$D$8001,4,FALSE())</f>
        <v>0</v>
      </c>
      <c r="AZ37" s="0" t="n">
        <f aca="false">VLOOKUP(AZ$1+1000*$A37,MASTER6!$A$2:$D$8001,4,FALSE())</f>
        <v>0</v>
      </c>
      <c r="BA37" s="0" t="n">
        <f aca="false">VLOOKUP(BA$1+1000*$A37,MASTER6!$A$2:$D$8001,4,FALSE())</f>
        <v>0</v>
      </c>
      <c r="BB37" s="0" t="n">
        <f aca="false">VLOOKUP(BB$1+1000*$A37,MASTER6!$A$2:$D$8001,4,FALSE())</f>
        <v>0</v>
      </c>
      <c r="BC37" s="0" t="n">
        <f aca="false">VLOOKUP(BC$1+1000*$A37,MASTER6!$A$2:$D$8001,4,FALSE())</f>
        <v>0</v>
      </c>
      <c r="BD37" s="0" t="n">
        <f aca="false">VLOOKUP(BD$1+1000*$A37,MASTER6!$A$2:$D$8001,4,FALSE())</f>
        <v>0</v>
      </c>
      <c r="BE37" s="0" t="n">
        <f aca="false">VLOOKUP(BE$1+1000*$A37,MASTER6!$A$2:$D$8001,4,FALSE())</f>
        <v>0</v>
      </c>
      <c r="BF37" s="0" t="n">
        <f aca="false">VLOOKUP(BF$1+1000*$A37,MASTER6!$A$2:$D$8001,4,FALSE())</f>
        <v>0</v>
      </c>
      <c r="BG37" s="0" t="e">
        <f aca="false">VLOOKUP(BG$1+1000*$A37,MASTER6!$A$2:$D$8001,4,FALSE())</f>
        <v>#N/A</v>
      </c>
      <c r="BH37" s="0" t="n">
        <f aca="false">VLOOKUP(BH$1+1000*$A37,MASTER6!$A$2:$D$8001,4,FALSE())</f>
        <v>0</v>
      </c>
      <c r="BI37" s="0" t="n">
        <f aca="false">VLOOKUP(BI$1+1000*$A37,MASTER6!$A$2:$D$8001,4,FALSE())</f>
        <v>0</v>
      </c>
      <c r="BJ37" s="0" t="e">
        <f aca="false">VLOOKUP(BJ$1+1000*$A37,MASTER6!$A$2:$D$8001,4,FALSE())</f>
        <v>#N/A</v>
      </c>
      <c r="BK37" s="0" t="n">
        <f aca="false">VLOOKUP(BK$1+1000*$A37,MASTER6!$A$2:$D$8001,4,FALSE())</f>
        <v>39</v>
      </c>
      <c r="BL37" s="0" t="n">
        <f aca="false">VLOOKUP(BL$1+1000*$A37,MASTER6!$A$2:$D$8001,4,FALSE())</f>
        <v>0</v>
      </c>
      <c r="BM37" s="0" t="n">
        <f aca="false">VLOOKUP(BM$1+1000*$A37,MASTER6!$A$2:$D$8001,4,FALSE())</f>
        <v>169</v>
      </c>
      <c r="BN37" s="0" t="n">
        <f aca="false">VLOOKUP(BN$1+1000*$A37,MASTER6!$A$2:$D$8001,4,FALSE())</f>
        <v>0</v>
      </c>
      <c r="BO37" s="0" t="n">
        <f aca="false">VLOOKUP(BO$1+1000*$A37,MASTER6!$A$2:$D$8001,4,FALSE())</f>
        <v>0</v>
      </c>
      <c r="BP37" s="0" t="n">
        <f aca="false">VLOOKUP(BP$1+1000*$A37,MASTER6!$A$2:$D$8001,4,FALSE())</f>
        <v>0</v>
      </c>
      <c r="BQ37" s="0" t="e">
        <f aca="false">VLOOKUP(BQ$1+1000*$A37,MASTER6!$A$2:$D$8001,4,FALSE())</f>
        <v>#N/A</v>
      </c>
      <c r="BR37" s="0" t="n">
        <f aca="false">VLOOKUP(BR$1+1000*$A37,MASTER6!$A$2:$D$8001,4,FALSE())</f>
        <v>0</v>
      </c>
      <c r="BS37" s="0" t="e">
        <f aca="false">VLOOKUP(BS$1+1000*$A37,MASTER6!$A$2:$D$8001,4,FALSE())</f>
        <v>#N/A</v>
      </c>
      <c r="BT37" s="0" t="n">
        <f aca="false">VLOOKUP(BT$1+1000*$A37,MASTER6!$A$2:$D$8001,4,FALSE())</f>
        <v>0</v>
      </c>
      <c r="BU37" s="0" t="n">
        <f aca="false">VLOOKUP(BU$1+1000*$A37,MASTER6!$A$2:$D$8001,4,FALSE())</f>
        <v>0</v>
      </c>
      <c r="BV37" s="0" t="n">
        <f aca="false">VLOOKUP(BV$1+1000*$A37,MASTER6!$A$2:$D$8001,4,FALSE())</f>
        <v>0</v>
      </c>
      <c r="BW37" s="0" t="e">
        <f aca="false">VLOOKUP(BW$1+1000*$A37,MASTER6!$A$2:$D$8001,4,FALSE())</f>
        <v>#N/A</v>
      </c>
      <c r="BX37" s="0" t="n">
        <f aca="false">VLOOKUP(BX$1+1000*$A37,MASTER6!$A$2:$D$8001,4,FALSE())</f>
        <v>0</v>
      </c>
      <c r="BY37" s="0" t="n">
        <f aca="false">VLOOKUP(BY$1+1000*$A37,MASTER6!$A$2:$D$8001,4,FALSE())</f>
        <v>0</v>
      </c>
      <c r="BZ37" s="0" t="n">
        <f aca="false">VLOOKUP(BZ$1+1000*$A37,MASTER6!$A$2:$D$8001,4,FALSE())</f>
        <v>0</v>
      </c>
      <c r="CA37" s="0" t="e">
        <f aca="false">VLOOKUP(CA$1+1000*$A37,MASTER6!$A$2:$D$8001,4,FALSE())</f>
        <v>#N/A</v>
      </c>
      <c r="CB37" s="0" t="n">
        <f aca="false">VLOOKUP(CB$1+1000*$A37,MASTER6!$A$2:$D$8001,4,FALSE())</f>
        <v>0</v>
      </c>
      <c r="CC37" s="0" t="n">
        <f aca="false">VLOOKUP(CC$1+1000*$A37,MASTER6!$A$2:$D$8001,4,FALSE())</f>
        <v>0</v>
      </c>
      <c r="CD37" s="0" t="e">
        <f aca="false">VLOOKUP(CD$1+1000*$A37,MASTER6!$A$2:$D$8001,4,FALSE())</f>
        <v>#N/A</v>
      </c>
      <c r="CE37" s="0" t="n">
        <f aca="false">VLOOKUP(CE$1+1000*$A37,MASTER6!$A$2:$D$8001,4,FALSE())</f>
        <v>0</v>
      </c>
      <c r="CF37" s="0" t="n">
        <f aca="false">VLOOKUP(CF$1+1000*$A37,MASTER6!$A$2:$D$8001,4,FALSE())</f>
        <v>0</v>
      </c>
      <c r="CG37" s="0" t="n">
        <f aca="false">VLOOKUP(CG$1+1000*$A37,MASTER6!$A$2:$D$8001,4,FALSE())</f>
        <v>0</v>
      </c>
      <c r="CH37" s="0" t="n">
        <f aca="false">VLOOKUP(CH$1+1000*$A37,MASTER6!$A$2:$D$8001,4,FALSE())</f>
        <v>71240</v>
      </c>
      <c r="CI37" s="0" t="n">
        <f aca="false">VLOOKUP(CI$1+1000*$A37,MASTER6!$A$2:$D$8001,4,FALSE())</f>
        <v>728</v>
      </c>
      <c r="CJ37" s="0" t="e">
        <f aca="false">VLOOKUP(CJ$1+1000*$A37,MASTER6!$A$2:$D$8001,4,FALSE())</f>
        <v>#N/A</v>
      </c>
    </row>
    <row r="38" customFormat="false" ht="12.75" hidden="false" customHeight="false" outlineLevel="0" collapsed="false">
      <c r="A38" s="0" t="n">
        <v>37</v>
      </c>
      <c r="B38" s="0" t="n">
        <f aca="false">VLOOKUP(B$1+1000*$A38,MASTER6!$A$2:$D$8001,4,FALSE())</f>
        <v>403</v>
      </c>
      <c r="C38" s="0" t="n">
        <f aca="false">VLOOKUP(C$1+1000*$A38,MASTER6!$A$2:$D$8001,4,FALSE())</f>
        <v>169</v>
      </c>
      <c r="D38" s="0" t="n">
        <f aca="false">VLOOKUP(D$1+1000*$A38,MASTER6!$A$2:$D$8001,4,FALSE())</f>
        <v>130</v>
      </c>
      <c r="E38" s="0" t="n">
        <f aca="false">VLOOKUP(E$1+1000*$A38,MASTER6!$A$2:$D$8001,4,FALSE())</f>
        <v>260</v>
      </c>
      <c r="F38" s="0" t="n">
        <f aca="false">VLOOKUP(F$1+1000*$A38,MASTER6!$A$2:$D$8001,4,FALSE())</f>
        <v>78</v>
      </c>
      <c r="G38" s="0" t="n">
        <f aca="false">VLOOKUP(G$1+1000*$A38,MASTER6!$A$2:$D$8001,4,FALSE())</f>
        <v>0</v>
      </c>
      <c r="H38" s="0" t="n">
        <f aca="false">VLOOKUP(H$1+1000*$A38,MASTER6!$A$2:$D$8001,4,FALSE())</f>
        <v>143</v>
      </c>
      <c r="I38" s="0" t="n">
        <f aca="false">VLOOKUP(I$1+1000*$A38,MASTER6!$A$2:$D$8001,4,FALSE())</f>
        <v>156</v>
      </c>
      <c r="J38" s="0" t="n">
        <f aca="false">VLOOKUP(J$1+1000*$A38,MASTER6!$A$2:$D$8001,4,FALSE())</f>
        <v>0</v>
      </c>
      <c r="K38" s="0" t="n">
        <f aca="false">VLOOKUP(K$1+1000*$A38,MASTER6!$A$2:$D$8001,4,FALSE())</f>
        <v>0</v>
      </c>
      <c r="L38" s="0" t="n">
        <f aca="false">VLOOKUP(L$1+1000*$A38,MASTER6!$A$2:$D$8001,4,FALSE())</f>
        <v>65</v>
      </c>
      <c r="M38" s="0" t="n">
        <f aca="false">VLOOKUP(M$1+1000*$A38,MASTER6!$A$2:$D$8001,4,FALSE())</f>
        <v>0</v>
      </c>
      <c r="N38" s="0" t="n">
        <f aca="false">VLOOKUP(N$1+1000*$A38,MASTER6!$A$2:$D$8001,4,FALSE())</f>
        <v>0</v>
      </c>
      <c r="O38" s="0" t="n">
        <f aca="false">VLOOKUP(O$1+1000*$A38,MASTER6!$A$2:$D$8001,4,FALSE())</f>
        <v>0</v>
      </c>
      <c r="P38" s="0" t="n">
        <f aca="false">VLOOKUP(P$1+1000*$A38,MASTER6!$A$2:$D$8001,4,FALSE())</f>
        <v>143</v>
      </c>
      <c r="Q38" s="0" t="n">
        <f aca="false">VLOOKUP(Q$1+1000*$A38,MASTER6!$A$2:$D$8001,4,FALSE())</f>
        <v>0</v>
      </c>
      <c r="R38" s="0" t="n">
        <f aca="false">VLOOKUP(R$1+1000*$A38,MASTER6!$A$2:$D$8001,4,FALSE())</f>
        <v>91</v>
      </c>
      <c r="S38" s="0" t="n">
        <f aca="false">VLOOKUP(S$1+1000*$A38,MASTER6!$A$2:$D$8001,4,FALSE())</f>
        <v>91</v>
      </c>
      <c r="T38" s="0" t="n">
        <f aca="false">VLOOKUP(T$1+1000*$A38,MASTER6!$A$2:$D$8001,4,FALSE())</f>
        <v>403</v>
      </c>
      <c r="U38" s="0" t="n">
        <f aca="false">VLOOKUP(U$1+1000*$A38,MASTER6!$A$2:$D$8001,4,FALSE())</f>
        <v>0</v>
      </c>
      <c r="V38" s="0" t="n">
        <f aca="false">VLOOKUP(V$1+1000*$A38,MASTER6!$A$2:$D$8001,4,FALSE())</f>
        <v>377</v>
      </c>
      <c r="W38" s="0" t="n">
        <f aca="false">VLOOKUP(W$1+1000*$A38,MASTER6!$A$2:$D$8001,4,FALSE())</f>
        <v>390</v>
      </c>
      <c r="X38" s="0" t="n">
        <f aca="false">VLOOKUP(X$1+1000*$A38,MASTER6!$A$2:$D$8001,4,FALSE())</f>
        <v>0</v>
      </c>
      <c r="Y38" s="0" t="n">
        <f aca="false">VLOOKUP(Y$1+1000*$A38,MASTER6!$A$2:$D$8001,4,FALSE())</f>
        <v>0</v>
      </c>
      <c r="Z38" s="0" t="n">
        <f aca="false">VLOOKUP(Z$1+1000*$A38,MASTER6!$A$2:$D$8001,4,FALSE())</f>
        <v>91</v>
      </c>
      <c r="AA38" s="0" t="n">
        <f aca="false">VLOOKUP(AA$1+1000*$A38,MASTER6!$A$2:$D$8001,4,FALSE())</f>
        <v>0</v>
      </c>
      <c r="AB38" s="0" t="n">
        <f aca="false">VLOOKUP(AB$1+1000*$A38,MASTER6!$A$2:$D$8001,4,FALSE())</f>
        <v>0</v>
      </c>
      <c r="AC38" s="0" t="n">
        <f aca="false">VLOOKUP(AC$1+1000*$A38,MASTER6!$A$2:$D$8001,4,FALSE())</f>
        <v>130</v>
      </c>
      <c r="AD38" s="0" t="n">
        <f aca="false">VLOOKUP(AD$1+1000*$A38,MASTER6!$A$2:$D$8001,4,FALSE())</f>
        <v>0</v>
      </c>
      <c r="AE38" s="0" t="n">
        <f aca="false">VLOOKUP(AE$1+1000*$A38,MASTER6!$A$2:$D$8001,4,FALSE())</f>
        <v>0</v>
      </c>
      <c r="AF38" s="0" t="n">
        <f aca="false">VLOOKUP(AF$1+1000*$A38,MASTER6!$A$2:$D$8001,4,FALSE())</f>
        <v>65</v>
      </c>
      <c r="AG38" s="0" t="n">
        <f aca="false">VLOOKUP(AG$1+1000*$A38,MASTER6!$A$2:$D$8001,4,FALSE())</f>
        <v>91</v>
      </c>
      <c r="AH38" s="0" t="n">
        <f aca="false">VLOOKUP(AH$1+1000*$A38,MASTER6!$A$2:$D$8001,4,FALSE())</f>
        <v>174200</v>
      </c>
      <c r="AI38" s="0" t="n">
        <f aca="false">VLOOKUP(AI$1+1000*$A38,MASTER6!$A$2:$D$8001,4,FALSE())</f>
        <v>11167</v>
      </c>
      <c r="AJ38" s="0" t="n">
        <f aca="false">VLOOKUP(AJ$1+1000*$A38,MASTER6!$A$2:$D$8001,4,FALSE())</f>
        <v>14482</v>
      </c>
      <c r="AK38" s="0" t="n">
        <f aca="false">VLOOKUP(AK$1+1000*$A38,MASTER6!$A$2:$D$8001,4,FALSE())</f>
        <v>11076</v>
      </c>
      <c r="AL38" s="0" t="n">
        <f aca="false">VLOOKUP(AL$1+1000*$A38,MASTER6!$A$2:$D$8001,4,FALSE())</f>
        <v>264576</v>
      </c>
      <c r="AM38" s="0" t="n">
        <f aca="false">VLOOKUP(AM$1+1000*$A38,MASTER6!$A$2:$D$8001,4,FALSE())</f>
        <v>0</v>
      </c>
      <c r="AN38" s="0" t="n">
        <f aca="false">VLOOKUP(AN$1+1000*$A38,MASTER6!$A$2:$D$8001,4,FALSE())</f>
        <v>0</v>
      </c>
      <c r="AO38" s="0" t="n">
        <f aca="false">VLOOKUP(AO$1+1000*$A38,MASTER6!$A$2:$D$8001,4,FALSE())</f>
        <v>0</v>
      </c>
      <c r="AP38" s="0" t="n">
        <f aca="false">VLOOKUP(AP$1+1000*$A38,MASTER6!$A$2:$D$8001,4,FALSE())</f>
        <v>0</v>
      </c>
      <c r="AQ38" s="0" t="n">
        <f aca="false">VLOOKUP(AQ$1+1000*$A38,MASTER6!$A$2:$D$8001,4,FALSE())</f>
        <v>624</v>
      </c>
      <c r="AR38" s="0" t="n">
        <f aca="false">VLOOKUP(AR$1+1000*$A38,MASTER6!$A$2:$D$8001,4,FALSE())</f>
        <v>1391</v>
      </c>
      <c r="AS38" s="0" t="n">
        <f aca="false">VLOOKUP(AS$1+1000*$A38,MASTER6!$A$2:$D$8001,4,FALSE())</f>
        <v>637</v>
      </c>
      <c r="AT38" s="0" t="n">
        <f aca="false">VLOOKUP(AT$1+1000*$A38,MASTER6!$A$2:$D$8001,4,FALSE())</f>
        <v>832</v>
      </c>
      <c r="AU38" s="0" t="n">
        <f aca="false">VLOOKUP(AU$1+1000*$A38,MASTER6!$A$2:$D$8001,4,FALSE())</f>
        <v>0</v>
      </c>
      <c r="AV38" s="0" t="n">
        <f aca="false">VLOOKUP(AV$1+1000*$A38,MASTER6!$A$2:$D$8001,4,FALSE())</f>
        <v>0</v>
      </c>
      <c r="AW38" s="0" t="n">
        <f aca="false">VLOOKUP(AW$1+1000*$A38,MASTER6!$A$2:$D$8001,4,FALSE())</f>
        <v>2548</v>
      </c>
      <c r="AX38" s="0" t="n">
        <f aca="false">VLOOKUP(AX$1+1000*$A38,MASTER6!$A$2:$D$8001,4,FALSE())</f>
        <v>0</v>
      </c>
      <c r="AY38" s="0" t="n">
        <f aca="false">VLOOKUP(AY$1+1000*$A38,MASTER6!$A$2:$D$8001,4,FALSE())</f>
        <v>0</v>
      </c>
      <c r="AZ38" s="0" t="n">
        <f aca="false">VLOOKUP(AZ$1+1000*$A38,MASTER6!$A$2:$D$8001,4,FALSE())</f>
        <v>0</v>
      </c>
      <c r="BA38" s="0" t="n">
        <f aca="false">VLOOKUP(BA$1+1000*$A38,MASTER6!$A$2:$D$8001,4,FALSE())</f>
        <v>143</v>
      </c>
      <c r="BB38" s="0" t="n">
        <f aca="false">VLOOKUP(BB$1+1000*$A38,MASTER6!$A$2:$D$8001,4,FALSE())</f>
        <v>0</v>
      </c>
      <c r="BC38" s="0" t="n">
        <f aca="false">VLOOKUP(BC$1+1000*$A38,MASTER6!$A$2:$D$8001,4,FALSE())</f>
        <v>0</v>
      </c>
      <c r="BD38" s="0" t="n">
        <f aca="false">VLOOKUP(BD$1+1000*$A38,MASTER6!$A$2:$D$8001,4,FALSE())</f>
        <v>104</v>
      </c>
      <c r="BE38" s="0" t="n">
        <f aca="false">VLOOKUP(BE$1+1000*$A38,MASTER6!$A$2:$D$8001,4,FALSE())</f>
        <v>0</v>
      </c>
      <c r="BF38" s="0" t="n">
        <f aca="false">VLOOKUP(BF$1+1000*$A38,MASTER6!$A$2:$D$8001,4,FALSE())</f>
        <v>117</v>
      </c>
      <c r="BG38" s="0" t="e">
        <f aca="false">VLOOKUP(BG$1+1000*$A38,MASTER6!$A$2:$D$8001,4,FALSE())</f>
        <v>#N/A</v>
      </c>
      <c r="BH38" s="0" t="n">
        <f aca="false">VLOOKUP(BH$1+1000*$A38,MASTER6!$A$2:$D$8001,4,FALSE())</f>
        <v>0</v>
      </c>
      <c r="BI38" s="0" t="n">
        <f aca="false">VLOOKUP(BI$1+1000*$A38,MASTER6!$A$2:$D$8001,4,FALSE())</f>
        <v>0</v>
      </c>
      <c r="BJ38" s="0" t="e">
        <f aca="false">VLOOKUP(BJ$1+1000*$A38,MASTER6!$A$2:$D$8001,4,FALSE())</f>
        <v>#N/A</v>
      </c>
      <c r="BK38" s="0" t="n">
        <f aca="false">VLOOKUP(BK$1+1000*$A38,MASTER6!$A$2:$D$8001,4,FALSE())</f>
        <v>0</v>
      </c>
      <c r="BL38" s="0" t="n">
        <f aca="false">VLOOKUP(BL$1+1000*$A38,MASTER6!$A$2:$D$8001,4,FALSE())</f>
        <v>208</v>
      </c>
      <c r="BM38" s="0" t="n">
        <f aca="false">VLOOKUP(BM$1+1000*$A38,MASTER6!$A$2:$D$8001,4,FALSE())</f>
        <v>2054</v>
      </c>
      <c r="BN38" s="0" t="n">
        <f aca="false">VLOOKUP(BN$1+1000*$A38,MASTER6!$A$2:$D$8001,4,FALSE())</f>
        <v>1274</v>
      </c>
      <c r="BO38" s="0" t="n">
        <f aca="false">VLOOKUP(BO$1+1000*$A38,MASTER6!$A$2:$D$8001,4,FALSE())</f>
        <v>221</v>
      </c>
      <c r="BP38" s="0" t="n">
        <f aca="false">VLOOKUP(BP$1+1000*$A38,MASTER6!$A$2:$D$8001,4,FALSE())</f>
        <v>143</v>
      </c>
      <c r="BQ38" s="0" t="e">
        <f aca="false">VLOOKUP(BQ$1+1000*$A38,MASTER6!$A$2:$D$8001,4,FALSE())</f>
        <v>#N/A</v>
      </c>
      <c r="BR38" s="0" t="n">
        <f aca="false">VLOOKUP(BR$1+1000*$A38,MASTER6!$A$2:$D$8001,4,FALSE())</f>
        <v>3380</v>
      </c>
      <c r="BS38" s="0" t="e">
        <f aca="false">VLOOKUP(BS$1+1000*$A38,MASTER6!$A$2:$D$8001,4,FALSE())</f>
        <v>#N/A</v>
      </c>
      <c r="BT38" s="0" t="n">
        <f aca="false">VLOOKUP(BT$1+1000*$A38,MASTER6!$A$2:$D$8001,4,FALSE())</f>
        <v>0</v>
      </c>
      <c r="BU38" s="0" t="n">
        <f aca="false">VLOOKUP(BU$1+1000*$A38,MASTER6!$A$2:$D$8001,4,FALSE())</f>
        <v>1066</v>
      </c>
      <c r="BV38" s="0" t="n">
        <f aca="false">VLOOKUP(BV$1+1000*$A38,MASTER6!$A$2:$D$8001,4,FALSE())</f>
        <v>0</v>
      </c>
      <c r="BW38" s="0" t="e">
        <f aca="false">VLOOKUP(BW$1+1000*$A38,MASTER6!$A$2:$D$8001,4,FALSE())</f>
        <v>#N/A</v>
      </c>
      <c r="BX38" s="0" t="n">
        <f aca="false">VLOOKUP(BX$1+1000*$A38,MASTER6!$A$2:$D$8001,4,FALSE())</f>
        <v>39</v>
      </c>
      <c r="BY38" s="0" t="n">
        <f aca="false">VLOOKUP(BY$1+1000*$A38,MASTER6!$A$2:$D$8001,4,FALSE())</f>
        <v>0</v>
      </c>
      <c r="BZ38" s="0" t="n">
        <f aca="false">VLOOKUP(BZ$1+1000*$A38,MASTER6!$A$2:$D$8001,4,FALSE())</f>
        <v>182</v>
      </c>
      <c r="CA38" s="0" t="e">
        <f aca="false">VLOOKUP(CA$1+1000*$A38,MASTER6!$A$2:$D$8001,4,FALSE())</f>
        <v>#N/A</v>
      </c>
      <c r="CB38" s="0" t="n">
        <f aca="false">VLOOKUP(CB$1+1000*$A38,MASTER6!$A$2:$D$8001,4,FALSE())</f>
        <v>0</v>
      </c>
      <c r="CC38" s="0" t="n">
        <f aca="false">VLOOKUP(CC$1+1000*$A38,MASTER6!$A$2:$D$8001,4,FALSE())</f>
        <v>0</v>
      </c>
      <c r="CD38" s="0" t="n">
        <f aca="false">VLOOKUP(CD$1+1000*$A38,MASTER6!$A$2:$D$8001,4,FALSE())</f>
        <v>117</v>
      </c>
      <c r="CE38" s="0" t="n">
        <f aca="false">VLOOKUP(CE$1+1000*$A38,MASTER6!$A$2:$D$8001,4,FALSE())</f>
        <v>0</v>
      </c>
      <c r="CF38" s="0" t="n">
        <f aca="false">VLOOKUP(CF$1+1000*$A38,MASTER6!$A$2:$D$8001,4,FALSE())</f>
        <v>0</v>
      </c>
      <c r="CG38" s="0" t="n">
        <f aca="false">VLOOKUP(CG$1+1000*$A38,MASTER6!$A$2:$D$8001,4,FALSE())</f>
        <v>611</v>
      </c>
      <c r="CH38" s="0" t="n">
        <f aca="false">VLOOKUP(CH$1+1000*$A38,MASTER6!$A$2:$D$8001,4,FALSE())</f>
        <v>520962</v>
      </c>
      <c r="CI38" s="0" t="n">
        <f aca="false">VLOOKUP(CI$1+1000*$A38,MASTER6!$A$2:$D$8001,4,FALSE())</f>
        <v>1092</v>
      </c>
      <c r="CJ38" s="0" t="e">
        <f aca="false">VLOOKUP(CJ$1+1000*$A38,MASTER6!$A$2:$D$8001,4,FALSE())</f>
        <v>#N/A</v>
      </c>
    </row>
    <row r="39" customFormat="false" ht="12.75" hidden="false" customHeight="false" outlineLevel="0" collapsed="false">
      <c r="A39" s="0" t="n">
        <v>38</v>
      </c>
      <c r="B39" s="0" t="n">
        <f aca="false">VLOOKUP(B$1+1000*$A39,MASTER6!$A$2:$D$8001,4,FALSE())</f>
        <v>91</v>
      </c>
      <c r="C39" s="0" t="n">
        <f aca="false">VLOOKUP(C$1+1000*$A39,MASTER6!$A$2:$D$8001,4,FALSE())</f>
        <v>0</v>
      </c>
      <c r="D39" s="0" t="n">
        <f aca="false">VLOOKUP(D$1+1000*$A39,MASTER6!$A$2:$D$8001,4,FALSE())</f>
        <v>0</v>
      </c>
      <c r="E39" s="0" t="n">
        <f aca="false">VLOOKUP(E$1+1000*$A39,MASTER6!$A$2:$D$8001,4,FALSE())</f>
        <v>78</v>
      </c>
      <c r="F39" s="0" t="n">
        <f aca="false">VLOOKUP(F$1+1000*$A39,MASTER6!$A$2:$D$8001,4,FALSE())</f>
        <v>0</v>
      </c>
      <c r="G39" s="0" t="n">
        <f aca="false">VLOOKUP(G$1+1000*$A39,MASTER6!$A$2:$D$8001,4,FALSE())</f>
        <v>0</v>
      </c>
      <c r="H39" s="0" t="n">
        <f aca="false">VLOOKUP(H$1+1000*$A39,MASTER6!$A$2:$D$8001,4,FALSE())</f>
        <v>0</v>
      </c>
      <c r="I39" s="0" t="n">
        <f aca="false">VLOOKUP(I$1+1000*$A39,MASTER6!$A$2:$D$8001,4,FALSE())</f>
        <v>0</v>
      </c>
      <c r="J39" s="0" t="n">
        <f aca="false">VLOOKUP(J$1+1000*$A39,MASTER6!$A$2:$D$8001,4,FALSE())</f>
        <v>0</v>
      </c>
      <c r="K39" s="0" t="n">
        <f aca="false">VLOOKUP(K$1+1000*$A39,MASTER6!$A$2:$D$8001,4,FALSE())</f>
        <v>0</v>
      </c>
      <c r="L39" s="0" t="n">
        <f aca="false">VLOOKUP(L$1+1000*$A39,MASTER6!$A$2:$D$8001,4,FALSE())</f>
        <v>0</v>
      </c>
      <c r="M39" s="0" t="n">
        <f aca="false">VLOOKUP(M$1+1000*$A39,MASTER6!$A$2:$D$8001,4,FALSE())</f>
        <v>0</v>
      </c>
      <c r="N39" s="0" t="n">
        <f aca="false">VLOOKUP(N$1+1000*$A39,MASTER6!$A$2:$D$8001,4,FALSE())</f>
        <v>0</v>
      </c>
      <c r="O39" s="0" t="n">
        <f aca="false">VLOOKUP(O$1+1000*$A39,MASTER6!$A$2:$D$8001,4,FALSE())</f>
        <v>0</v>
      </c>
      <c r="P39" s="0" t="n">
        <f aca="false">VLOOKUP(P$1+1000*$A39,MASTER6!$A$2:$D$8001,4,FALSE())</f>
        <v>0</v>
      </c>
      <c r="Q39" s="0" t="n">
        <f aca="false">VLOOKUP(Q$1+1000*$A39,MASTER6!$A$2:$D$8001,4,FALSE())</f>
        <v>0</v>
      </c>
      <c r="R39" s="0" t="n">
        <f aca="false">VLOOKUP(R$1+1000*$A39,MASTER6!$A$2:$D$8001,4,FALSE())</f>
        <v>0</v>
      </c>
      <c r="S39" s="0" t="n">
        <f aca="false">VLOOKUP(S$1+1000*$A39,MASTER6!$A$2:$D$8001,4,FALSE())</f>
        <v>0</v>
      </c>
      <c r="T39" s="0" t="n">
        <f aca="false">VLOOKUP(T$1+1000*$A39,MASTER6!$A$2:$D$8001,4,FALSE())</f>
        <v>0</v>
      </c>
      <c r="U39" s="0" t="n">
        <f aca="false">VLOOKUP(U$1+1000*$A39,MASTER6!$A$2:$D$8001,4,FALSE())</f>
        <v>0</v>
      </c>
      <c r="V39" s="0" t="n">
        <f aca="false">VLOOKUP(V$1+1000*$A39,MASTER6!$A$2:$D$8001,4,FALSE())</f>
        <v>0</v>
      </c>
      <c r="W39" s="0" t="n">
        <f aca="false">VLOOKUP(W$1+1000*$A39,MASTER6!$A$2:$D$8001,4,FALSE())</f>
        <v>0</v>
      </c>
      <c r="X39" s="0" t="n">
        <f aca="false">VLOOKUP(X$1+1000*$A39,MASTER6!$A$2:$D$8001,4,FALSE())</f>
        <v>0</v>
      </c>
      <c r="Y39" s="0" t="n">
        <f aca="false">VLOOKUP(Y$1+1000*$A39,MASTER6!$A$2:$D$8001,4,FALSE())</f>
        <v>0</v>
      </c>
      <c r="Z39" s="0" t="n">
        <f aca="false">VLOOKUP(Z$1+1000*$A39,MASTER6!$A$2:$D$8001,4,FALSE())</f>
        <v>0</v>
      </c>
      <c r="AA39" s="0" t="n">
        <f aca="false">VLOOKUP(AA$1+1000*$A39,MASTER6!$A$2:$D$8001,4,FALSE())</f>
        <v>0</v>
      </c>
      <c r="AB39" s="0" t="n">
        <f aca="false">VLOOKUP(AB$1+1000*$A39,MASTER6!$A$2:$D$8001,4,FALSE())</f>
        <v>143</v>
      </c>
      <c r="AC39" s="0" t="n">
        <f aca="false">VLOOKUP(AC$1+1000*$A39,MASTER6!$A$2:$D$8001,4,FALSE())</f>
        <v>0</v>
      </c>
      <c r="AD39" s="0" t="n">
        <f aca="false">VLOOKUP(AD$1+1000*$A39,MASTER6!$A$2:$D$8001,4,FALSE())</f>
        <v>0</v>
      </c>
      <c r="AE39" s="0" t="n">
        <f aca="false">VLOOKUP(AE$1+1000*$A39,MASTER6!$A$2:$D$8001,4,FALSE())</f>
        <v>0</v>
      </c>
      <c r="AF39" s="0" t="n">
        <f aca="false">VLOOKUP(AF$1+1000*$A39,MASTER6!$A$2:$D$8001,4,FALSE())</f>
        <v>0</v>
      </c>
      <c r="AG39" s="0" t="n">
        <f aca="false">VLOOKUP(AG$1+1000*$A39,MASTER6!$A$2:$D$8001,4,FALSE())</f>
        <v>65</v>
      </c>
      <c r="AH39" s="0" t="n">
        <f aca="false">VLOOKUP(AH$1+1000*$A39,MASTER6!$A$2:$D$8001,4,FALSE())</f>
        <v>0</v>
      </c>
      <c r="AI39" s="0" t="n">
        <f aca="false">VLOOKUP(AI$1+1000*$A39,MASTER6!$A$2:$D$8001,4,FALSE())</f>
        <v>0</v>
      </c>
      <c r="AJ39" s="0" t="n">
        <f aca="false">VLOOKUP(AJ$1+1000*$A39,MASTER6!$A$2:$D$8001,4,FALSE())</f>
        <v>0</v>
      </c>
      <c r="AK39" s="0" t="n">
        <f aca="false">VLOOKUP(AK$1+1000*$A39,MASTER6!$A$2:$D$8001,4,FALSE())</f>
        <v>0</v>
      </c>
      <c r="AL39" s="0" t="n">
        <f aca="false">VLOOKUP(AL$1+1000*$A39,MASTER6!$A$2:$D$8001,4,FALSE())</f>
        <v>0</v>
      </c>
      <c r="AM39" s="0" t="n">
        <f aca="false">VLOOKUP(AM$1+1000*$A39,MASTER6!$A$2:$D$8001,4,FALSE())</f>
        <v>30706</v>
      </c>
      <c r="AN39" s="0" t="n">
        <f aca="false">VLOOKUP(AN$1+1000*$A39,MASTER6!$A$2:$D$8001,4,FALSE())</f>
        <v>12662</v>
      </c>
      <c r="AO39" s="0" t="n">
        <f aca="false">VLOOKUP(AO$1+1000*$A39,MASTER6!$A$2:$D$8001,4,FALSE())</f>
        <v>0</v>
      </c>
      <c r="AP39" s="0" t="n">
        <f aca="false">VLOOKUP(AP$1+1000*$A39,MASTER6!$A$2:$D$8001,4,FALSE())</f>
        <v>91</v>
      </c>
      <c r="AQ39" s="0" t="n">
        <f aca="false">VLOOKUP(AQ$1+1000*$A39,MASTER6!$A$2:$D$8001,4,FALSE())</f>
        <v>0</v>
      </c>
      <c r="AR39" s="0" t="n">
        <f aca="false">VLOOKUP(AR$1+1000*$A39,MASTER6!$A$2:$D$8001,4,FALSE())</f>
        <v>0</v>
      </c>
      <c r="AS39" s="0" t="n">
        <f aca="false">VLOOKUP(AS$1+1000*$A39,MASTER6!$A$2:$D$8001,4,FALSE())</f>
        <v>0</v>
      </c>
      <c r="AT39" s="0" t="n">
        <f aca="false">VLOOKUP(AT$1+1000*$A39,MASTER6!$A$2:$D$8001,4,FALSE())</f>
        <v>0</v>
      </c>
      <c r="AU39" s="0" t="n">
        <f aca="false">VLOOKUP(AU$1+1000*$A39,MASTER6!$A$2:$D$8001,4,FALSE())</f>
        <v>0</v>
      </c>
      <c r="AV39" s="0" t="n">
        <f aca="false">VLOOKUP(AV$1+1000*$A39,MASTER6!$A$2:$D$8001,4,FALSE())</f>
        <v>0</v>
      </c>
      <c r="AW39" s="0" t="n">
        <f aca="false">VLOOKUP(AW$1+1000*$A39,MASTER6!$A$2:$D$8001,4,FALSE())</f>
        <v>0</v>
      </c>
      <c r="AX39" s="0" t="n">
        <f aca="false">VLOOKUP(AX$1+1000*$A39,MASTER6!$A$2:$D$8001,4,FALSE())</f>
        <v>507</v>
      </c>
      <c r="AY39" s="0" t="n">
        <f aca="false">VLOOKUP(AY$1+1000*$A39,MASTER6!$A$2:$D$8001,4,FALSE())</f>
        <v>0</v>
      </c>
      <c r="AZ39" s="0" t="n">
        <f aca="false">VLOOKUP(AZ$1+1000*$A39,MASTER6!$A$2:$D$8001,4,FALSE())</f>
        <v>260</v>
      </c>
      <c r="BA39" s="0" t="n">
        <f aca="false">VLOOKUP(BA$1+1000*$A39,MASTER6!$A$2:$D$8001,4,FALSE())</f>
        <v>0</v>
      </c>
      <c r="BB39" s="0" t="n">
        <f aca="false">VLOOKUP(BB$1+1000*$A39,MASTER6!$A$2:$D$8001,4,FALSE())</f>
        <v>0</v>
      </c>
      <c r="BC39" s="0" t="n">
        <f aca="false">VLOOKUP(BC$1+1000*$A39,MASTER6!$A$2:$D$8001,4,FALSE())</f>
        <v>0</v>
      </c>
      <c r="BD39" s="0" t="n">
        <f aca="false">VLOOKUP(BD$1+1000*$A39,MASTER6!$A$2:$D$8001,4,FALSE())</f>
        <v>0</v>
      </c>
      <c r="BE39" s="0" t="n">
        <f aca="false">VLOOKUP(BE$1+1000*$A39,MASTER6!$A$2:$D$8001,4,FALSE())</f>
        <v>0</v>
      </c>
      <c r="BF39" s="0" t="n">
        <f aca="false">VLOOKUP(BF$1+1000*$A39,MASTER6!$A$2:$D$8001,4,FALSE())</f>
        <v>0</v>
      </c>
      <c r="BG39" s="0" t="e">
        <f aca="false">VLOOKUP(BG$1+1000*$A39,MASTER6!$A$2:$D$8001,4,FALSE())</f>
        <v>#N/A</v>
      </c>
      <c r="BH39" s="0" t="n">
        <f aca="false">VLOOKUP(BH$1+1000*$A39,MASTER6!$A$2:$D$8001,4,FALSE())</f>
        <v>0</v>
      </c>
      <c r="BI39" s="0" t="n">
        <f aca="false">VLOOKUP(BI$1+1000*$A39,MASTER6!$A$2:$D$8001,4,FALSE())</f>
        <v>0</v>
      </c>
      <c r="BJ39" s="0" t="e">
        <f aca="false">VLOOKUP(BJ$1+1000*$A39,MASTER6!$A$2:$D$8001,4,FALSE())</f>
        <v>#N/A</v>
      </c>
      <c r="BK39" s="0" t="n">
        <f aca="false">VLOOKUP(BK$1+1000*$A39,MASTER6!$A$2:$D$8001,4,FALSE())</f>
        <v>0</v>
      </c>
      <c r="BL39" s="0" t="n">
        <f aca="false">VLOOKUP(BL$1+1000*$A39,MASTER6!$A$2:$D$8001,4,FALSE())</f>
        <v>0</v>
      </c>
      <c r="BM39" s="0" t="n">
        <f aca="false">VLOOKUP(BM$1+1000*$A39,MASTER6!$A$2:$D$8001,4,FALSE())</f>
        <v>65</v>
      </c>
      <c r="BN39" s="0" t="n">
        <f aca="false">VLOOKUP(BN$1+1000*$A39,MASTER6!$A$2:$D$8001,4,FALSE())</f>
        <v>0</v>
      </c>
      <c r="BO39" s="0" t="n">
        <f aca="false">VLOOKUP(BO$1+1000*$A39,MASTER6!$A$2:$D$8001,4,FALSE())</f>
        <v>0</v>
      </c>
      <c r="BP39" s="0" t="n">
        <f aca="false">VLOOKUP(BP$1+1000*$A39,MASTER6!$A$2:$D$8001,4,FALSE())</f>
        <v>143</v>
      </c>
      <c r="BQ39" s="0" t="e">
        <f aca="false">VLOOKUP(BQ$1+1000*$A39,MASTER6!$A$2:$D$8001,4,FALSE())</f>
        <v>#N/A</v>
      </c>
      <c r="BR39" s="0" t="n">
        <f aca="false">VLOOKUP(BR$1+1000*$A39,MASTER6!$A$2:$D$8001,4,FALSE())</f>
        <v>0</v>
      </c>
      <c r="BS39" s="0" t="e">
        <f aca="false">VLOOKUP(BS$1+1000*$A39,MASTER6!$A$2:$D$8001,4,FALSE())</f>
        <v>#N/A</v>
      </c>
      <c r="BT39" s="0" t="n">
        <f aca="false">VLOOKUP(BT$1+1000*$A39,MASTER6!$A$2:$D$8001,4,FALSE())</f>
        <v>0</v>
      </c>
      <c r="BU39" s="0" t="n">
        <f aca="false">VLOOKUP(BU$1+1000*$A39,MASTER6!$A$2:$D$8001,4,FALSE())</f>
        <v>0</v>
      </c>
      <c r="BV39" s="0" t="n">
        <f aca="false">VLOOKUP(BV$1+1000*$A39,MASTER6!$A$2:$D$8001,4,FALSE())</f>
        <v>0</v>
      </c>
      <c r="BW39" s="0" t="e">
        <f aca="false">VLOOKUP(BW$1+1000*$A39,MASTER6!$A$2:$D$8001,4,FALSE())</f>
        <v>#N/A</v>
      </c>
      <c r="BX39" s="0" t="n">
        <f aca="false">VLOOKUP(BX$1+1000*$A39,MASTER6!$A$2:$D$8001,4,FALSE())</f>
        <v>0</v>
      </c>
      <c r="BY39" s="0" t="n">
        <f aca="false">VLOOKUP(BY$1+1000*$A39,MASTER6!$A$2:$D$8001,4,FALSE())</f>
        <v>1274</v>
      </c>
      <c r="BZ39" s="0" t="n">
        <f aca="false">VLOOKUP(BZ$1+1000*$A39,MASTER6!$A$2:$D$8001,4,FALSE())</f>
        <v>91</v>
      </c>
      <c r="CA39" s="0" t="e">
        <f aca="false">VLOOKUP(CA$1+1000*$A39,MASTER6!$A$2:$D$8001,4,FALSE())</f>
        <v>#N/A</v>
      </c>
      <c r="CB39" s="0" t="n">
        <f aca="false">VLOOKUP(CB$1+1000*$A39,MASTER6!$A$2:$D$8001,4,FALSE())</f>
        <v>0</v>
      </c>
      <c r="CC39" s="0" t="n">
        <f aca="false">VLOOKUP(CC$1+1000*$A39,MASTER6!$A$2:$D$8001,4,FALSE())</f>
        <v>0</v>
      </c>
      <c r="CD39" s="0" t="n">
        <f aca="false">VLOOKUP(CD$1+1000*$A39,MASTER6!$A$2:$D$8001,4,FALSE())</f>
        <v>0</v>
      </c>
      <c r="CE39" s="0" t="n">
        <f aca="false">VLOOKUP(CE$1+1000*$A39,MASTER6!$A$2:$D$8001,4,FALSE())</f>
        <v>0</v>
      </c>
      <c r="CF39" s="0" t="n">
        <f aca="false">VLOOKUP(CF$1+1000*$A39,MASTER6!$A$2:$D$8001,4,FALSE())</f>
        <v>0</v>
      </c>
      <c r="CG39" s="0" t="n">
        <f aca="false">VLOOKUP(CG$1+1000*$A39,MASTER6!$A$2:$D$8001,4,FALSE())</f>
        <v>0</v>
      </c>
      <c r="CH39" s="0" t="n">
        <f aca="false">VLOOKUP(CH$1+1000*$A39,MASTER6!$A$2:$D$8001,4,FALSE())</f>
        <v>62361</v>
      </c>
      <c r="CI39" s="0" t="n">
        <f aca="false">VLOOKUP(CI$1+1000*$A39,MASTER6!$A$2:$D$8001,4,FALSE())</f>
        <v>0</v>
      </c>
      <c r="CJ39" s="0" t="e">
        <f aca="false">VLOOKUP(CJ$1+1000*$A39,MASTER6!$A$2:$D$8001,4,FALSE())</f>
        <v>#N/A</v>
      </c>
    </row>
    <row r="40" customFormat="false" ht="12.75" hidden="false" customHeight="false" outlineLevel="0" collapsed="false">
      <c r="A40" s="0" t="n">
        <v>39</v>
      </c>
      <c r="B40" s="0" t="n">
        <f aca="false">VLOOKUP(B$1+1000*$A40,MASTER6!$A$2:$D$8001,4,FALSE())</f>
        <v>0</v>
      </c>
      <c r="C40" s="0" t="n">
        <f aca="false">VLOOKUP(C$1+1000*$A40,MASTER6!$A$2:$D$8001,4,FALSE())</f>
        <v>0</v>
      </c>
      <c r="D40" s="0" t="n">
        <f aca="false">VLOOKUP(D$1+1000*$A40,MASTER6!$A$2:$D$8001,4,FALSE())</f>
        <v>130</v>
      </c>
      <c r="E40" s="0" t="n">
        <f aca="false">VLOOKUP(E$1+1000*$A40,MASTER6!$A$2:$D$8001,4,FALSE())</f>
        <v>0</v>
      </c>
      <c r="F40" s="0" t="n">
        <f aca="false">VLOOKUP(F$1+1000*$A40,MASTER6!$A$2:$D$8001,4,FALSE())</f>
        <v>0</v>
      </c>
      <c r="G40" s="0" t="n">
        <f aca="false">VLOOKUP(G$1+1000*$A40,MASTER6!$A$2:$D$8001,4,FALSE())</f>
        <v>0</v>
      </c>
      <c r="H40" s="0" t="n">
        <f aca="false">VLOOKUP(H$1+1000*$A40,MASTER6!$A$2:$D$8001,4,FALSE())</f>
        <v>0</v>
      </c>
      <c r="I40" s="0" t="n">
        <f aca="false">VLOOKUP(I$1+1000*$A40,MASTER6!$A$2:$D$8001,4,FALSE())</f>
        <v>130</v>
      </c>
      <c r="J40" s="0" t="n">
        <f aca="false">VLOOKUP(J$1+1000*$A40,MASTER6!$A$2:$D$8001,4,FALSE())</f>
        <v>0</v>
      </c>
      <c r="K40" s="0" t="n">
        <f aca="false">VLOOKUP(K$1+1000*$A40,MASTER6!$A$2:$D$8001,4,FALSE())</f>
        <v>0</v>
      </c>
      <c r="L40" s="0" t="n">
        <f aca="false">VLOOKUP(L$1+1000*$A40,MASTER6!$A$2:$D$8001,4,FALSE())</f>
        <v>0</v>
      </c>
      <c r="M40" s="0" t="n">
        <f aca="false">VLOOKUP(M$1+1000*$A40,MASTER6!$A$2:$D$8001,4,FALSE())</f>
        <v>0</v>
      </c>
      <c r="N40" s="0" t="n">
        <f aca="false">VLOOKUP(N$1+1000*$A40,MASTER6!$A$2:$D$8001,4,FALSE())</f>
        <v>0</v>
      </c>
      <c r="O40" s="0" t="n">
        <f aca="false">VLOOKUP(O$1+1000*$A40,MASTER6!$A$2:$D$8001,4,FALSE())</f>
        <v>0</v>
      </c>
      <c r="P40" s="0" t="n">
        <f aca="false">VLOOKUP(P$1+1000*$A40,MASTER6!$A$2:$D$8001,4,FALSE())</f>
        <v>0</v>
      </c>
      <c r="Q40" s="0" t="n">
        <f aca="false">VLOOKUP(Q$1+1000*$A40,MASTER6!$A$2:$D$8001,4,FALSE())</f>
        <v>0</v>
      </c>
      <c r="R40" s="0" t="n">
        <f aca="false">VLOOKUP(R$1+1000*$A40,MASTER6!$A$2:$D$8001,4,FALSE())</f>
        <v>130</v>
      </c>
      <c r="S40" s="0" t="n">
        <f aca="false">VLOOKUP(S$1+1000*$A40,MASTER6!$A$2:$D$8001,4,FALSE())</f>
        <v>0</v>
      </c>
      <c r="T40" s="0" t="n">
        <f aca="false">VLOOKUP(T$1+1000*$A40,MASTER6!$A$2:$D$8001,4,FALSE())</f>
        <v>0</v>
      </c>
      <c r="U40" s="0" t="n">
        <f aca="false">VLOOKUP(U$1+1000*$A40,MASTER6!$A$2:$D$8001,4,FALSE())</f>
        <v>0</v>
      </c>
      <c r="V40" s="0" t="n">
        <f aca="false">VLOOKUP(V$1+1000*$A40,MASTER6!$A$2:$D$8001,4,FALSE())</f>
        <v>208</v>
      </c>
      <c r="W40" s="0" t="n">
        <f aca="false">VLOOKUP(W$1+1000*$A40,MASTER6!$A$2:$D$8001,4,FALSE())</f>
        <v>247</v>
      </c>
      <c r="X40" s="0" t="n">
        <f aca="false">VLOOKUP(X$1+1000*$A40,MASTER6!$A$2:$D$8001,4,FALSE())</f>
        <v>0</v>
      </c>
      <c r="Y40" s="0" t="n">
        <f aca="false">VLOOKUP(Y$1+1000*$A40,MASTER6!$A$2:$D$8001,4,FALSE())</f>
        <v>0</v>
      </c>
      <c r="Z40" s="0" t="n">
        <f aca="false">VLOOKUP(Z$1+1000*$A40,MASTER6!$A$2:$D$8001,4,FALSE())</f>
        <v>0</v>
      </c>
      <c r="AA40" s="0" t="n">
        <f aca="false">VLOOKUP(AA$1+1000*$A40,MASTER6!$A$2:$D$8001,4,FALSE())</f>
        <v>0</v>
      </c>
      <c r="AB40" s="0" t="n">
        <f aca="false">VLOOKUP(AB$1+1000*$A40,MASTER6!$A$2:$D$8001,4,FALSE())</f>
        <v>247</v>
      </c>
      <c r="AC40" s="0" t="n">
        <f aca="false">VLOOKUP(AC$1+1000*$A40,MASTER6!$A$2:$D$8001,4,FALSE())</f>
        <v>0</v>
      </c>
      <c r="AD40" s="0" t="n">
        <f aca="false">VLOOKUP(AD$1+1000*$A40,MASTER6!$A$2:$D$8001,4,FALSE())</f>
        <v>0</v>
      </c>
      <c r="AE40" s="0" t="n">
        <f aca="false">VLOOKUP(AE$1+1000*$A40,MASTER6!$A$2:$D$8001,4,FALSE())</f>
        <v>0</v>
      </c>
      <c r="AF40" s="0" t="n">
        <f aca="false">VLOOKUP(AF$1+1000*$A40,MASTER6!$A$2:$D$8001,4,FALSE())</f>
        <v>0</v>
      </c>
      <c r="AG40" s="0" t="n">
        <f aca="false">VLOOKUP(AG$1+1000*$A40,MASTER6!$A$2:$D$8001,4,FALSE())</f>
        <v>0</v>
      </c>
      <c r="AH40" s="0" t="n">
        <f aca="false">VLOOKUP(AH$1+1000*$A40,MASTER6!$A$2:$D$8001,4,FALSE())</f>
        <v>0</v>
      </c>
      <c r="AI40" s="0" t="n">
        <f aca="false">VLOOKUP(AI$1+1000*$A40,MASTER6!$A$2:$D$8001,4,FALSE())</f>
        <v>0</v>
      </c>
      <c r="AJ40" s="0" t="n">
        <f aca="false">VLOOKUP(AJ$1+1000*$A40,MASTER6!$A$2:$D$8001,4,FALSE())</f>
        <v>0</v>
      </c>
      <c r="AK40" s="0" t="n">
        <f aca="false">VLOOKUP(AK$1+1000*$A40,MASTER6!$A$2:$D$8001,4,FALSE())</f>
        <v>0</v>
      </c>
      <c r="AL40" s="0" t="n">
        <f aca="false">VLOOKUP(AL$1+1000*$A40,MASTER6!$A$2:$D$8001,4,FALSE())</f>
        <v>0</v>
      </c>
      <c r="AM40" s="0" t="n">
        <f aca="false">VLOOKUP(AM$1+1000*$A40,MASTER6!$A$2:$D$8001,4,FALSE())</f>
        <v>14235</v>
      </c>
      <c r="AN40" s="0" t="n">
        <f aca="false">VLOOKUP(AN$1+1000*$A40,MASTER6!$A$2:$D$8001,4,FALSE())</f>
        <v>95147</v>
      </c>
      <c r="AO40" s="0" t="n">
        <f aca="false">VLOOKUP(AO$1+1000*$A40,MASTER6!$A$2:$D$8001,4,FALSE())</f>
        <v>0</v>
      </c>
      <c r="AP40" s="0" t="n">
        <f aca="false">VLOOKUP(AP$1+1000*$A40,MASTER6!$A$2:$D$8001,4,FALSE())</f>
        <v>0</v>
      </c>
      <c r="AQ40" s="0" t="n">
        <f aca="false">VLOOKUP(AQ$1+1000*$A40,MASTER6!$A$2:$D$8001,4,FALSE())</f>
        <v>0</v>
      </c>
      <c r="AR40" s="0" t="n">
        <f aca="false">VLOOKUP(AR$1+1000*$A40,MASTER6!$A$2:$D$8001,4,FALSE())</f>
        <v>0</v>
      </c>
      <c r="AS40" s="0" t="n">
        <f aca="false">VLOOKUP(AS$1+1000*$A40,MASTER6!$A$2:$D$8001,4,FALSE())</f>
        <v>0</v>
      </c>
      <c r="AT40" s="0" t="n">
        <f aca="false">VLOOKUP(AT$1+1000*$A40,MASTER6!$A$2:$D$8001,4,FALSE())</f>
        <v>0</v>
      </c>
      <c r="AU40" s="0" t="n">
        <f aca="false">VLOOKUP(AU$1+1000*$A40,MASTER6!$A$2:$D$8001,4,FALSE())</f>
        <v>0</v>
      </c>
      <c r="AV40" s="0" t="n">
        <f aca="false">VLOOKUP(AV$1+1000*$A40,MASTER6!$A$2:$D$8001,4,FALSE())</f>
        <v>0</v>
      </c>
      <c r="AW40" s="0" t="n">
        <f aca="false">VLOOKUP(AW$1+1000*$A40,MASTER6!$A$2:$D$8001,4,FALSE())</f>
        <v>0</v>
      </c>
      <c r="AX40" s="0" t="n">
        <f aca="false">VLOOKUP(AX$1+1000*$A40,MASTER6!$A$2:$D$8001,4,FALSE())</f>
        <v>598</v>
      </c>
      <c r="AY40" s="0" t="n">
        <f aca="false">VLOOKUP(AY$1+1000*$A40,MASTER6!$A$2:$D$8001,4,FALSE())</f>
        <v>0</v>
      </c>
      <c r="AZ40" s="0" t="n">
        <f aca="false">VLOOKUP(AZ$1+1000*$A40,MASTER6!$A$2:$D$8001,4,FALSE())</f>
        <v>910</v>
      </c>
      <c r="BA40" s="0" t="n">
        <f aca="false">VLOOKUP(BA$1+1000*$A40,MASTER6!$A$2:$D$8001,4,FALSE())</f>
        <v>0</v>
      </c>
      <c r="BB40" s="0" t="n">
        <f aca="false">VLOOKUP(BB$1+1000*$A40,MASTER6!$A$2:$D$8001,4,FALSE())</f>
        <v>0</v>
      </c>
      <c r="BC40" s="0" t="n">
        <f aca="false">VLOOKUP(BC$1+1000*$A40,MASTER6!$A$2:$D$8001,4,FALSE())</f>
        <v>0</v>
      </c>
      <c r="BD40" s="0" t="n">
        <f aca="false">VLOOKUP(BD$1+1000*$A40,MASTER6!$A$2:$D$8001,4,FALSE())</f>
        <v>0</v>
      </c>
      <c r="BE40" s="0" t="n">
        <f aca="false">VLOOKUP(BE$1+1000*$A40,MASTER6!$A$2:$D$8001,4,FALSE())</f>
        <v>0</v>
      </c>
      <c r="BF40" s="0" t="n">
        <f aca="false">VLOOKUP(BF$1+1000*$A40,MASTER6!$A$2:$D$8001,4,FALSE())</f>
        <v>0</v>
      </c>
      <c r="BG40" s="0" t="e">
        <f aca="false">VLOOKUP(BG$1+1000*$A40,MASTER6!$A$2:$D$8001,4,FALSE())</f>
        <v>#N/A</v>
      </c>
      <c r="BH40" s="0" t="n">
        <f aca="false">VLOOKUP(BH$1+1000*$A40,MASTER6!$A$2:$D$8001,4,FALSE())</f>
        <v>78</v>
      </c>
      <c r="BI40" s="0" t="n">
        <f aca="false">VLOOKUP(BI$1+1000*$A40,MASTER6!$A$2:$D$8001,4,FALSE())</f>
        <v>0</v>
      </c>
      <c r="BJ40" s="0" t="e">
        <f aca="false">VLOOKUP(BJ$1+1000*$A40,MASTER6!$A$2:$D$8001,4,FALSE())</f>
        <v>#N/A</v>
      </c>
      <c r="BK40" s="0" t="n">
        <f aca="false">VLOOKUP(BK$1+1000*$A40,MASTER6!$A$2:$D$8001,4,FALSE())</f>
        <v>0</v>
      </c>
      <c r="BL40" s="0" t="n">
        <f aca="false">VLOOKUP(BL$1+1000*$A40,MASTER6!$A$2:$D$8001,4,FALSE())</f>
        <v>0</v>
      </c>
      <c r="BM40" s="0" t="n">
        <f aca="false">VLOOKUP(BM$1+1000*$A40,MASTER6!$A$2:$D$8001,4,FALSE())</f>
        <v>117</v>
      </c>
      <c r="BN40" s="0" t="n">
        <f aca="false">VLOOKUP(BN$1+1000*$A40,MASTER6!$A$2:$D$8001,4,FALSE())</f>
        <v>0</v>
      </c>
      <c r="BO40" s="0" t="n">
        <f aca="false">VLOOKUP(BO$1+1000*$A40,MASTER6!$A$2:$D$8001,4,FALSE())</f>
        <v>0</v>
      </c>
      <c r="BP40" s="0" t="n">
        <f aca="false">VLOOKUP(BP$1+1000*$A40,MASTER6!$A$2:$D$8001,4,FALSE())</f>
        <v>0</v>
      </c>
      <c r="BQ40" s="0" t="e">
        <f aca="false">VLOOKUP(BQ$1+1000*$A40,MASTER6!$A$2:$D$8001,4,FALSE())</f>
        <v>#N/A</v>
      </c>
      <c r="BR40" s="0" t="n">
        <f aca="false">VLOOKUP(BR$1+1000*$A40,MASTER6!$A$2:$D$8001,4,FALSE())</f>
        <v>0</v>
      </c>
      <c r="BS40" s="0" t="e">
        <f aca="false">VLOOKUP(BS$1+1000*$A40,MASTER6!$A$2:$D$8001,4,FALSE())</f>
        <v>#N/A</v>
      </c>
      <c r="BT40" s="0" t="n">
        <f aca="false">VLOOKUP(BT$1+1000*$A40,MASTER6!$A$2:$D$8001,4,FALSE())</f>
        <v>0</v>
      </c>
      <c r="BU40" s="0" t="n">
        <f aca="false">VLOOKUP(BU$1+1000*$A40,MASTER6!$A$2:$D$8001,4,FALSE())</f>
        <v>143</v>
      </c>
      <c r="BV40" s="0" t="n">
        <f aca="false">VLOOKUP(BV$1+1000*$A40,MASTER6!$A$2:$D$8001,4,FALSE())</f>
        <v>0</v>
      </c>
      <c r="BW40" s="0" t="e">
        <f aca="false">VLOOKUP(BW$1+1000*$A40,MASTER6!$A$2:$D$8001,4,FALSE())</f>
        <v>#N/A</v>
      </c>
      <c r="BX40" s="0" t="n">
        <f aca="false">VLOOKUP(BX$1+1000*$A40,MASTER6!$A$2:$D$8001,4,FALSE())</f>
        <v>0</v>
      </c>
      <c r="BY40" s="0" t="n">
        <f aca="false">VLOOKUP(BY$1+1000*$A40,MASTER6!$A$2:$D$8001,4,FALSE())</f>
        <v>5369</v>
      </c>
      <c r="BZ40" s="0" t="n">
        <f aca="false">VLOOKUP(BZ$1+1000*$A40,MASTER6!$A$2:$D$8001,4,FALSE())</f>
        <v>0</v>
      </c>
      <c r="CA40" s="0" t="e">
        <f aca="false">VLOOKUP(CA$1+1000*$A40,MASTER6!$A$2:$D$8001,4,FALSE())</f>
        <v>#N/A</v>
      </c>
      <c r="CB40" s="0" t="n">
        <f aca="false">VLOOKUP(CB$1+1000*$A40,MASTER6!$A$2:$D$8001,4,FALSE())</f>
        <v>0</v>
      </c>
      <c r="CC40" s="0" t="n">
        <f aca="false">VLOOKUP(CC$1+1000*$A40,MASTER6!$A$2:$D$8001,4,FALSE())</f>
        <v>494</v>
      </c>
      <c r="CD40" s="0" t="n">
        <f aca="false">VLOOKUP(CD$1+1000*$A40,MASTER6!$A$2:$D$8001,4,FALSE())</f>
        <v>0</v>
      </c>
      <c r="CE40" s="0" t="n">
        <f aca="false">VLOOKUP(CE$1+1000*$A40,MASTER6!$A$2:$D$8001,4,FALSE())</f>
        <v>0</v>
      </c>
      <c r="CF40" s="0" t="n">
        <f aca="false">VLOOKUP(CF$1+1000*$A40,MASTER6!$A$2:$D$8001,4,FALSE())</f>
        <v>0</v>
      </c>
      <c r="CG40" s="0" t="n">
        <f aca="false">VLOOKUP(CG$1+1000*$A40,MASTER6!$A$2:$D$8001,4,FALSE())</f>
        <v>0</v>
      </c>
      <c r="CH40" s="0" t="n">
        <f aca="false">VLOOKUP(CH$1+1000*$A40,MASTER6!$A$2:$D$8001,4,FALSE())</f>
        <v>132912</v>
      </c>
      <c r="CI40" s="0" t="n">
        <f aca="false">VLOOKUP(CI$1+1000*$A40,MASTER6!$A$2:$D$8001,4,FALSE())</f>
        <v>195</v>
      </c>
      <c r="CJ40" s="0" t="e">
        <f aca="false">VLOOKUP(CJ$1+1000*$A40,MASTER6!$A$2:$D$8001,4,FALSE())</f>
        <v>#N/A</v>
      </c>
    </row>
    <row r="41" customFormat="false" ht="12.75" hidden="false" customHeight="false" outlineLevel="0" collapsed="false">
      <c r="A41" s="0" t="n">
        <v>40</v>
      </c>
      <c r="B41" s="0" t="n">
        <f aca="false">VLOOKUP(B$1+1000*$A41,MASTER6!$A$2:$D$8001,4,FALSE())</f>
        <v>0</v>
      </c>
      <c r="C41" s="0" t="n">
        <f aca="false">VLOOKUP(C$1+1000*$A41,MASTER6!$A$2:$D$8001,4,FALSE())</f>
        <v>117</v>
      </c>
      <c r="D41" s="0" t="n">
        <f aca="false">VLOOKUP(D$1+1000*$A41,MASTER6!$A$2:$D$8001,4,FALSE())</f>
        <v>0</v>
      </c>
      <c r="E41" s="0" t="n">
        <f aca="false">VLOOKUP(E$1+1000*$A41,MASTER6!$A$2:$D$8001,4,FALSE())</f>
        <v>247</v>
      </c>
      <c r="F41" s="0" t="n">
        <f aca="false">VLOOKUP(F$1+1000*$A41,MASTER6!$A$2:$D$8001,4,FALSE())</f>
        <v>143</v>
      </c>
      <c r="G41" s="0" t="n">
        <f aca="false">VLOOKUP(G$1+1000*$A41,MASTER6!$A$2:$D$8001,4,FALSE())</f>
        <v>0</v>
      </c>
      <c r="H41" s="0" t="n">
        <f aca="false">VLOOKUP(H$1+1000*$A41,MASTER6!$A$2:$D$8001,4,FALSE())</f>
        <v>0</v>
      </c>
      <c r="I41" s="0" t="n">
        <f aca="false">VLOOKUP(I$1+1000*$A41,MASTER6!$A$2:$D$8001,4,FALSE())</f>
        <v>0</v>
      </c>
      <c r="J41" s="0" t="n">
        <f aca="false">VLOOKUP(J$1+1000*$A41,MASTER6!$A$2:$D$8001,4,FALSE())</f>
        <v>0</v>
      </c>
      <c r="K41" s="0" t="n">
        <f aca="false">VLOOKUP(K$1+1000*$A41,MASTER6!$A$2:$D$8001,4,FALSE())</f>
        <v>0</v>
      </c>
      <c r="L41" s="0" t="n">
        <f aca="false">VLOOKUP(L$1+1000*$A41,MASTER6!$A$2:$D$8001,4,FALSE())</f>
        <v>104</v>
      </c>
      <c r="M41" s="0" t="n">
        <f aca="false">VLOOKUP(M$1+1000*$A41,MASTER6!$A$2:$D$8001,4,FALSE())</f>
        <v>0</v>
      </c>
      <c r="N41" s="0" t="n">
        <f aca="false">VLOOKUP(N$1+1000*$A41,MASTER6!$A$2:$D$8001,4,FALSE())</f>
        <v>0</v>
      </c>
      <c r="O41" s="0" t="n">
        <f aca="false">VLOOKUP(O$1+1000*$A41,MASTER6!$A$2:$D$8001,4,FALSE())</f>
        <v>0</v>
      </c>
      <c r="P41" s="0" t="n">
        <f aca="false">VLOOKUP(P$1+1000*$A41,MASTER6!$A$2:$D$8001,4,FALSE())</f>
        <v>0</v>
      </c>
      <c r="Q41" s="0" t="n">
        <f aca="false">VLOOKUP(Q$1+1000*$A41,MASTER6!$A$2:$D$8001,4,FALSE())</f>
        <v>0</v>
      </c>
      <c r="R41" s="0" t="n">
        <f aca="false">VLOOKUP(R$1+1000*$A41,MASTER6!$A$2:$D$8001,4,FALSE())</f>
        <v>0</v>
      </c>
      <c r="S41" s="0" t="n">
        <f aca="false">VLOOKUP(S$1+1000*$A41,MASTER6!$A$2:$D$8001,4,FALSE())</f>
        <v>169</v>
      </c>
      <c r="T41" s="0" t="n">
        <f aca="false">VLOOKUP(T$1+1000*$A41,MASTER6!$A$2:$D$8001,4,FALSE())</f>
        <v>182</v>
      </c>
      <c r="U41" s="0" t="n">
        <f aca="false">VLOOKUP(U$1+1000*$A41,MASTER6!$A$2:$D$8001,4,FALSE())</f>
        <v>0</v>
      </c>
      <c r="V41" s="0" t="n">
        <f aca="false">VLOOKUP(V$1+1000*$A41,MASTER6!$A$2:$D$8001,4,FALSE())</f>
        <v>208</v>
      </c>
      <c r="W41" s="0" t="n">
        <f aca="false">VLOOKUP(W$1+1000*$A41,MASTER6!$A$2:$D$8001,4,FALSE())</f>
        <v>299</v>
      </c>
      <c r="X41" s="0" t="n">
        <f aca="false">VLOOKUP(X$1+1000*$A41,MASTER6!$A$2:$D$8001,4,FALSE())</f>
        <v>0</v>
      </c>
      <c r="Y41" s="0" t="n">
        <f aca="false">VLOOKUP(Y$1+1000*$A41,MASTER6!$A$2:$D$8001,4,FALSE())</f>
        <v>104</v>
      </c>
      <c r="Z41" s="0" t="n">
        <f aca="false">VLOOKUP(Z$1+1000*$A41,MASTER6!$A$2:$D$8001,4,FALSE())</f>
        <v>0</v>
      </c>
      <c r="AA41" s="0" t="n">
        <f aca="false">VLOOKUP(AA$1+1000*$A41,MASTER6!$A$2:$D$8001,4,FALSE())</f>
        <v>0</v>
      </c>
      <c r="AB41" s="0" t="n">
        <f aca="false">VLOOKUP(AB$1+1000*$A41,MASTER6!$A$2:$D$8001,4,FALSE())</f>
        <v>3536</v>
      </c>
      <c r="AC41" s="0" t="n">
        <f aca="false">VLOOKUP(AC$1+1000*$A41,MASTER6!$A$2:$D$8001,4,FALSE())</f>
        <v>143</v>
      </c>
      <c r="AD41" s="0" t="n">
        <f aca="false">VLOOKUP(AD$1+1000*$A41,MASTER6!$A$2:$D$8001,4,FALSE())</f>
        <v>0</v>
      </c>
      <c r="AE41" s="0" t="n">
        <f aca="false">VLOOKUP(AE$1+1000*$A41,MASTER6!$A$2:$D$8001,4,FALSE())</f>
        <v>468</v>
      </c>
      <c r="AF41" s="0" t="n">
        <f aca="false">VLOOKUP(AF$1+1000*$A41,MASTER6!$A$2:$D$8001,4,FALSE())</f>
        <v>1040</v>
      </c>
      <c r="AG41" s="0" t="n">
        <f aca="false">VLOOKUP(AG$1+1000*$A41,MASTER6!$A$2:$D$8001,4,FALSE())</f>
        <v>91</v>
      </c>
      <c r="AH41" s="0" t="n">
        <f aca="false">VLOOKUP(AH$1+1000*$A41,MASTER6!$A$2:$D$8001,4,FALSE())</f>
        <v>104</v>
      </c>
      <c r="AI41" s="0" t="n">
        <f aca="false">VLOOKUP(AI$1+1000*$A41,MASTER6!$A$2:$D$8001,4,FALSE())</f>
        <v>0</v>
      </c>
      <c r="AJ41" s="0" t="n">
        <f aca="false">VLOOKUP(AJ$1+1000*$A41,MASTER6!$A$2:$D$8001,4,FALSE())</f>
        <v>0</v>
      </c>
      <c r="AK41" s="0" t="n">
        <f aca="false">VLOOKUP(AK$1+1000*$A41,MASTER6!$A$2:$D$8001,4,FALSE())</f>
        <v>0</v>
      </c>
      <c r="AL41" s="0" t="n">
        <f aca="false">VLOOKUP(AL$1+1000*$A41,MASTER6!$A$2:$D$8001,4,FALSE())</f>
        <v>0</v>
      </c>
      <c r="AM41" s="0" t="n">
        <f aca="false">VLOOKUP(AM$1+1000*$A41,MASTER6!$A$2:$D$8001,4,FALSE())</f>
        <v>0</v>
      </c>
      <c r="AN41" s="0" t="n">
        <f aca="false">VLOOKUP(AN$1+1000*$A41,MASTER6!$A$2:$D$8001,4,FALSE())</f>
        <v>325</v>
      </c>
      <c r="AO41" s="0" t="n">
        <f aca="false">VLOOKUP(AO$1+1000*$A41,MASTER6!$A$2:$D$8001,4,FALSE())</f>
        <v>112021</v>
      </c>
      <c r="AP41" s="0" t="n">
        <f aca="false">VLOOKUP(AP$1+1000*$A41,MASTER6!$A$2:$D$8001,4,FALSE())</f>
        <v>16367</v>
      </c>
      <c r="AQ41" s="0" t="n">
        <f aca="false">VLOOKUP(AQ$1+1000*$A41,MASTER6!$A$2:$D$8001,4,FALSE())</f>
        <v>117</v>
      </c>
      <c r="AR41" s="0" t="n">
        <f aca="false">VLOOKUP(AR$1+1000*$A41,MASTER6!$A$2:$D$8001,4,FALSE())</f>
        <v>0</v>
      </c>
      <c r="AS41" s="0" t="n">
        <f aca="false">VLOOKUP(AS$1+1000*$A41,MASTER6!$A$2:$D$8001,4,FALSE())</f>
        <v>0</v>
      </c>
      <c r="AT41" s="0" t="n">
        <f aca="false">VLOOKUP(AT$1+1000*$A41,MASTER6!$A$2:$D$8001,4,FALSE())</f>
        <v>0</v>
      </c>
      <c r="AU41" s="0" t="n">
        <f aca="false">VLOOKUP(AU$1+1000*$A41,MASTER6!$A$2:$D$8001,4,FALSE())</f>
        <v>0</v>
      </c>
      <c r="AV41" s="0" t="n">
        <f aca="false">VLOOKUP(AV$1+1000*$A41,MASTER6!$A$2:$D$8001,4,FALSE())</f>
        <v>0</v>
      </c>
      <c r="AW41" s="0" t="n">
        <f aca="false">VLOOKUP(AW$1+1000*$A41,MASTER6!$A$2:$D$8001,4,FALSE())</f>
        <v>0</v>
      </c>
      <c r="AX41" s="0" t="n">
        <f aca="false">VLOOKUP(AX$1+1000*$A41,MASTER6!$A$2:$D$8001,4,FALSE())</f>
        <v>91</v>
      </c>
      <c r="AY41" s="0" t="n">
        <f aca="false">VLOOKUP(AY$1+1000*$A41,MASTER6!$A$2:$D$8001,4,FALSE())</f>
        <v>0</v>
      </c>
      <c r="AZ41" s="0" t="n">
        <f aca="false">VLOOKUP(AZ$1+1000*$A41,MASTER6!$A$2:$D$8001,4,FALSE())</f>
        <v>0</v>
      </c>
      <c r="BA41" s="0" t="n">
        <f aca="false">VLOOKUP(BA$1+1000*$A41,MASTER6!$A$2:$D$8001,4,FALSE())</f>
        <v>104</v>
      </c>
      <c r="BB41" s="0" t="n">
        <f aca="false">VLOOKUP(BB$1+1000*$A41,MASTER6!$A$2:$D$8001,4,FALSE())</f>
        <v>0</v>
      </c>
      <c r="BC41" s="0" t="n">
        <f aca="false">VLOOKUP(BC$1+1000*$A41,MASTER6!$A$2:$D$8001,4,FALSE())</f>
        <v>0</v>
      </c>
      <c r="BD41" s="0" t="n">
        <f aca="false">VLOOKUP(BD$1+1000*$A41,MASTER6!$A$2:$D$8001,4,FALSE())</f>
        <v>0</v>
      </c>
      <c r="BE41" s="0" t="n">
        <f aca="false">VLOOKUP(BE$1+1000*$A41,MASTER6!$A$2:$D$8001,4,FALSE())</f>
        <v>0</v>
      </c>
      <c r="BF41" s="0" t="n">
        <f aca="false">VLOOKUP(BF$1+1000*$A41,MASTER6!$A$2:$D$8001,4,FALSE())</f>
        <v>0</v>
      </c>
      <c r="BG41" s="0" t="e">
        <f aca="false">VLOOKUP(BG$1+1000*$A41,MASTER6!$A$2:$D$8001,4,FALSE())</f>
        <v>#N/A</v>
      </c>
      <c r="BH41" s="0" t="n">
        <f aca="false">VLOOKUP(BH$1+1000*$A41,MASTER6!$A$2:$D$8001,4,FALSE())</f>
        <v>0</v>
      </c>
      <c r="BI41" s="0" t="n">
        <f aca="false">VLOOKUP(BI$1+1000*$A41,MASTER6!$A$2:$D$8001,4,FALSE())</f>
        <v>0</v>
      </c>
      <c r="BJ41" s="0" t="e">
        <f aca="false">VLOOKUP(BJ$1+1000*$A41,MASTER6!$A$2:$D$8001,4,FALSE())</f>
        <v>#N/A</v>
      </c>
      <c r="BK41" s="0" t="n">
        <f aca="false">VLOOKUP(BK$1+1000*$A41,MASTER6!$A$2:$D$8001,4,FALSE())</f>
        <v>0</v>
      </c>
      <c r="BL41" s="0" t="n">
        <f aca="false">VLOOKUP(BL$1+1000*$A41,MASTER6!$A$2:$D$8001,4,FALSE())</f>
        <v>0</v>
      </c>
      <c r="BM41" s="0" t="n">
        <f aca="false">VLOOKUP(BM$1+1000*$A41,MASTER6!$A$2:$D$8001,4,FALSE())</f>
        <v>0</v>
      </c>
      <c r="BN41" s="0" t="n">
        <f aca="false">VLOOKUP(BN$1+1000*$A41,MASTER6!$A$2:$D$8001,4,FALSE())</f>
        <v>156</v>
      </c>
      <c r="BO41" s="0" t="n">
        <f aca="false">VLOOKUP(BO$1+1000*$A41,MASTER6!$A$2:$D$8001,4,FALSE())</f>
        <v>0</v>
      </c>
      <c r="BP41" s="0" t="n">
        <f aca="false">VLOOKUP(BP$1+1000*$A41,MASTER6!$A$2:$D$8001,4,FALSE())</f>
        <v>377</v>
      </c>
      <c r="BQ41" s="0" t="e">
        <f aca="false">VLOOKUP(BQ$1+1000*$A41,MASTER6!$A$2:$D$8001,4,FALSE())</f>
        <v>#N/A</v>
      </c>
      <c r="BR41" s="0" t="n">
        <f aca="false">VLOOKUP(BR$1+1000*$A41,MASTER6!$A$2:$D$8001,4,FALSE())</f>
        <v>0</v>
      </c>
      <c r="BS41" s="0" t="e">
        <f aca="false">VLOOKUP(BS$1+1000*$A41,MASTER6!$A$2:$D$8001,4,FALSE())</f>
        <v>#N/A</v>
      </c>
      <c r="BT41" s="0" t="n">
        <f aca="false">VLOOKUP(BT$1+1000*$A41,MASTER6!$A$2:$D$8001,4,FALSE())</f>
        <v>0</v>
      </c>
      <c r="BU41" s="0" t="n">
        <f aca="false">VLOOKUP(BU$1+1000*$A41,MASTER6!$A$2:$D$8001,4,FALSE())</f>
        <v>0</v>
      </c>
      <c r="BV41" s="0" t="n">
        <f aca="false">VLOOKUP(BV$1+1000*$A41,MASTER6!$A$2:$D$8001,4,FALSE())</f>
        <v>0</v>
      </c>
      <c r="BW41" s="0" t="e">
        <f aca="false">VLOOKUP(BW$1+1000*$A41,MASTER6!$A$2:$D$8001,4,FALSE())</f>
        <v>#N/A</v>
      </c>
      <c r="BX41" s="0" t="n">
        <f aca="false">VLOOKUP(BX$1+1000*$A41,MASTER6!$A$2:$D$8001,4,FALSE())</f>
        <v>520</v>
      </c>
      <c r="BY41" s="0" t="n">
        <f aca="false">VLOOKUP(BY$1+1000*$A41,MASTER6!$A$2:$D$8001,4,FALSE())</f>
        <v>78</v>
      </c>
      <c r="BZ41" s="0" t="n">
        <f aca="false">VLOOKUP(BZ$1+1000*$A41,MASTER6!$A$2:$D$8001,4,FALSE())</f>
        <v>0</v>
      </c>
      <c r="CA41" s="0" t="e">
        <f aca="false">VLOOKUP(CA$1+1000*$A41,MASTER6!$A$2:$D$8001,4,FALSE())</f>
        <v>#N/A</v>
      </c>
      <c r="CB41" s="0" t="n">
        <f aca="false">VLOOKUP(CB$1+1000*$A41,MASTER6!$A$2:$D$8001,4,FALSE())</f>
        <v>0</v>
      </c>
      <c r="CC41" s="0" t="n">
        <f aca="false">VLOOKUP(CC$1+1000*$A41,MASTER6!$A$2:$D$8001,4,FALSE())</f>
        <v>0</v>
      </c>
      <c r="CD41" s="0" t="n">
        <f aca="false">VLOOKUP(CD$1+1000*$A41,MASTER6!$A$2:$D$8001,4,FALSE())</f>
        <v>0</v>
      </c>
      <c r="CE41" s="0" t="n">
        <f aca="false">VLOOKUP(CE$1+1000*$A41,MASTER6!$A$2:$D$8001,4,FALSE())</f>
        <v>0</v>
      </c>
      <c r="CF41" s="0" t="n">
        <f aca="false">VLOOKUP(CF$1+1000*$A41,MASTER6!$A$2:$D$8001,4,FALSE())</f>
        <v>0</v>
      </c>
      <c r="CG41" s="0" t="n">
        <f aca="false">VLOOKUP(CG$1+1000*$A41,MASTER6!$A$2:$D$8001,4,FALSE())</f>
        <v>0</v>
      </c>
      <c r="CH41" s="0" t="n">
        <f aca="false">VLOOKUP(CH$1+1000*$A41,MASTER6!$A$2:$D$8001,4,FALSE())</f>
        <v>215475</v>
      </c>
      <c r="CI41" s="0" t="n">
        <f aca="false">VLOOKUP(CI$1+1000*$A41,MASTER6!$A$2:$D$8001,4,FALSE())</f>
        <v>0</v>
      </c>
      <c r="CJ41" s="0" t="e">
        <f aca="false">VLOOKUP(CJ$1+1000*$A41,MASTER6!$A$2:$D$8001,4,FALSE())</f>
        <v>#N/A</v>
      </c>
    </row>
    <row r="42" customFormat="false" ht="12.75" hidden="false" customHeight="false" outlineLevel="0" collapsed="false">
      <c r="A42" s="0" t="n">
        <v>41</v>
      </c>
      <c r="B42" s="0" t="n">
        <f aca="false">VLOOKUP(B$1+1000*$A42,MASTER6!$A$2:$D$8001,4,FALSE())</f>
        <v>0</v>
      </c>
      <c r="C42" s="0" t="n">
        <f aca="false">VLOOKUP(C$1+1000*$A42,MASTER6!$A$2:$D$8001,4,FALSE())</f>
        <v>0</v>
      </c>
      <c r="D42" s="0" t="n">
        <f aca="false">VLOOKUP(D$1+1000*$A42,MASTER6!$A$2:$D$8001,4,FALSE())</f>
        <v>0</v>
      </c>
      <c r="E42" s="0" t="n">
        <f aca="false">VLOOKUP(E$1+1000*$A42,MASTER6!$A$2:$D$8001,4,FALSE())</f>
        <v>104</v>
      </c>
      <c r="F42" s="0" t="n">
        <f aca="false">VLOOKUP(F$1+1000*$A42,MASTER6!$A$2:$D$8001,4,FALSE())</f>
        <v>52</v>
      </c>
      <c r="G42" s="0" t="n">
        <f aca="false">VLOOKUP(G$1+1000*$A42,MASTER6!$A$2:$D$8001,4,FALSE())</f>
        <v>182</v>
      </c>
      <c r="H42" s="0" t="n">
        <f aca="false">VLOOKUP(H$1+1000*$A42,MASTER6!$A$2:$D$8001,4,FALSE())</f>
        <v>0</v>
      </c>
      <c r="I42" s="0" t="n">
        <f aca="false">VLOOKUP(I$1+1000*$A42,MASTER6!$A$2:$D$8001,4,FALSE())</f>
        <v>91</v>
      </c>
      <c r="J42" s="0" t="n">
        <f aca="false">VLOOKUP(J$1+1000*$A42,MASTER6!$A$2:$D$8001,4,FALSE())</f>
        <v>0</v>
      </c>
      <c r="K42" s="0" t="n">
        <f aca="false">VLOOKUP(K$1+1000*$A42,MASTER6!$A$2:$D$8001,4,FALSE())</f>
        <v>0</v>
      </c>
      <c r="L42" s="0" t="n">
        <f aca="false">VLOOKUP(L$1+1000*$A42,MASTER6!$A$2:$D$8001,4,FALSE())</f>
        <v>91</v>
      </c>
      <c r="M42" s="0" t="n">
        <f aca="false">VLOOKUP(M$1+1000*$A42,MASTER6!$A$2:$D$8001,4,FALSE())</f>
        <v>0</v>
      </c>
      <c r="N42" s="0" t="n">
        <f aca="false">VLOOKUP(N$1+1000*$A42,MASTER6!$A$2:$D$8001,4,FALSE())</f>
        <v>0</v>
      </c>
      <c r="O42" s="0" t="n">
        <f aca="false">VLOOKUP(O$1+1000*$A42,MASTER6!$A$2:$D$8001,4,FALSE())</f>
        <v>0</v>
      </c>
      <c r="P42" s="0" t="n">
        <f aca="false">VLOOKUP(P$1+1000*$A42,MASTER6!$A$2:$D$8001,4,FALSE())</f>
        <v>0</v>
      </c>
      <c r="Q42" s="0" t="n">
        <f aca="false">VLOOKUP(Q$1+1000*$A42,MASTER6!$A$2:$D$8001,4,FALSE())</f>
        <v>0</v>
      </c>
      <c r="R42" s="0" t="n">
        <f aca="false">VLOOKUP(R$1+1000*$A42,MASTER6!$A$2:$D$8001,4,FALSE())</f>
        <v>0</v>
      </c>
      <c r="S42" s="0" t="n">
        <f aca="false">VLOOKUP(S$1+1000*$A42,MASTER6!$A$2:$D$8001,4,FALSE())</f>
        <v>0</v>
      </c>
      <c r="T42" s="0" t="n">
        <f aca="false">VLOOKUP(T$1+1000*$A42,MASTER6!$A$2:$D$8001,4,FALSE())</f>
        <v>182</v>
      </c>
      <c r="U42" s="0" t="n">
        <f aca="false">VLOOKUP(U$1+1000*$A42,MASTER6!$A$2:$D$8001,4,FALSE())</f>
        <v>0</v>
      </c>
      <c r="V42" s="0" t="n">
        <f aca="false">VLOOKUP(V$1+1000*$A42,MASTER6!$A$2:$D$8001,4,FALSE())</f>
        <v>0</v>
      </c>
      <c r="W42" s="0" t="n">
        <f aca="false">VLOOKUP(W$1+1000*$A42,MASTER6!$A$2:$D$8001,4,FALSE())</f>
        <v>78</v>
      </c>
      <c r="X42" s="0" t="n">
        <f aca="false">VLOOKUP(X$1+1000*$A42,MASTER6!$A$2:$D$8001,4,FALSE())</f>
        <v>143</v>
      </c>
      <c r="Y42" s="0" t="n">
        <f aca="false">VLOOKUP(Y$1+1000*$A42,MASTER6!$A$2:$D$8001,4,FALSE())</f>
        <v>0</v>
      </c>
      <c r="Z42" s="0" t="n">
        <f aca="false">VLOOKUP(Z$1+1000*$A42,MASTER6!$A$2:$D$8001,4,FALSE())</f>
        <v>91</v>
      </c>
      <c r="AA42" s="0" t="n">
        <f aca="false">VLOOKUP(AA$1+1000*$A42,MASTER6!$A$2:$D$8001,4,FALSE())</f>
        <v>0</v>
      </c>
      <c r="AB42" s="0" t="n">
        <f aca="false">VLOOKUP(AB$1+1000*$A42,MASTER6!$A$2:$D$8001,4,FALSE())</f>
        <v>1170</v>
      </c>
      <c r="AC42" s="0" t="n">
        <f aca="false">VLOOKUP(AC$1+1000*$A42,MASTER6!$A$2:$D$8001,4,FALSE())</f>
        <v>0</v>
      </c>
      <c r="AD42" s="0" t="n">
        <f aca="false">VLOOKUP(AD$1+1000*$A42,MASTER6!$A$2:$D$8001,4,FALSE())</f>
        <v>0</v>
      </c>
      <c r="AE42" s="0" t="n">
        <f aca="false">VLOOKUP(AE$1+1000*$A42,MASTER6!$A$2:$D$8001,4,FALSE())</f>
        <v>845</v>
      </c>
      <c r="AF42" s="0" t="n">
        <f aca="false">VLOOKUP(AF$1+1000*$A42,MASTER6!$A$2:$D$8001,4,FALSE())</f>
        <v>1911</v>
      </c>
      <c r="AG42" s="0" t="n">
        <f aca="false">VLOOKUP(AG$1+1000*$A42,MASTER6!$A$2:$D$8001,4,FALSE())</f>
        <v>0</v>
      </c>
      <c r="AH42" s="0" t="n">
        <f aca="false">VLOOKUP(AH$1+1000*$A42,MASTER6!$A$2:$D$8001,4,FALSE())</f>
        <v>0</v>
      </c>
      <c r="AI42" s="0" t="n">
        <f aca="false">VLOOKUP(AI$1+1000*$A42,MASTER6!$A$2:$D$8001,4,FALSE())</f>
        <v>0</v>
      </c>
      <c r="AJ42" s="0" t="n">
        <f aca="false">VLOOKUP(AJ$1+1000*$A42,MASTER6!$A$2:$D$8001,4,FALSE())</f>
        <v>0</v>
      </c>
      <c r="AK42" s="0" t="n">
        <f aca="false">VLOOKUP(AK$1+1000*$A42,MASTER6!$A$2:$D$8001,4,FALSE())</f>
        <v>0</v>
      </c>
      <c r="AL42" s="0" t="n">
        <f aca="false">VLOOKUP(AL$1+1000*$A42,MASTER6!$A$2:$D$8001,4,FALSE())</f>
        <v>0</v>
      </c>
      <c r="AM42" s="0" t="n">
        <f aca="false">VLOOKUP(AM$1+1000*$A42,MASTER6!$A$2:$D$8001,4,FALSE())</f>
        <v>195</v>
      </c>
      <c r="AN42" s="0" t="n">
        <f aca="false">VLOOKUP(AN$1+1000*$A42,MASTER6!$A$2:$D$8001,4,FALSE())</f>
        <v>0</v>
      </c>
      <c r="AO42" s="0" t="n">
        <f aca="false">VLOOKUP(AO$1+1000*$A42,MASTER6!$A$2:$D$8001,4,FALSE())</f>
        <v>54756</v>
      </c>
      <c r="AP42" s="0" t="n">
        <f aca="false">VLOOKUP(AP$1+1000*$A42,MASTER6!$A$2:$D$8001,4,FALSE())</f>
        <v>67678</v>
      </c>
      <c r="AQ42" s="0" t="n">
        <f aca="false">VLOOKUP(AQ$1+1000*$A42,MASTER6!$A$2:$D$8001,4,FALSE())</f>
        <v>0</v>
      </c>
      <c r="AR42" s="0" t="n">
        <f aca="false">VLOOKUP(AR$1+1000*$A42,MASTER6!$A$2:$D$8001,4,FALSE())</f>
        <v>0</v>
      </c>
      <c r="AS42" s="0" t="n">
        <f aca="false">VLOOKUP(AS$1+1000*$A42,MASTER6!$A$2:$D$8001,4,FALSE())</f>
        <v>0</v>
      </c>
      <c r="AT42" s="0" t="n">
        <f aca="false">VLOOKUP(AT$1+1000*$A42,MASTER6!$A$2:$D$8001,4,FALSE())</f>
        <v>0</v>
      </c>
      <c r="AU42" s="0" t="n">
        <f aca="false">VLOOKUP(AU$1+1000*$A42,MASTER6!$A$2:$D$8001,4,FALSE())</f>
        <v>0</v>
      </c>
      <c r="AV42" s="0" t="n">
        <f aca="false">VLOOKUP(AV$1+1000*$A42,MASTER6!$A$2:$D$8001,4,FALSE())</f>
        <v>0</v>
      </c>
      <c r="AW42" s="0" t="n">
        <f aca="false">VLOOKUP(AW$1+1000*$A42,MASTER6!$A$2:$D$8001,4,FALSE())</f>
        <v>0</v>
      </c>
      <c r="AX42" s="0" t="n">
        <f aca="false">VLOOKUP(AX$1+1000*$A42,MASTER6!$A$2:$D$8001,4,FALSE())</f>
        <v>0</v>
      </c>
      <c r="AY42" s="0" t="n">
        <f aca="false">VLOOKUP(AY$1+1000*$A42,MASTER6!$A$2:$D$8001,4,FALSE())</f>
        <v>0</v>
      </c>
      <c r="AZ42" s="0" t="n">
        <f aca="false">VLOOKUP(AZ$1+1000*$A42,MASTER6!$A$2:$D$8001,4,FALSE())</f>
        <v>0</v>
      </c>
      <c r="BA42" s="0" t="n">
        <f aca="false">VLOOKUP(BA$1+1000*$A42,MASTER6!$A$2:$D$8001,4,FALSE())</f>
        <v>0</v>
      </c>
      <c r="BB42" s="0" t="n">
        <f aca="false">VLOOKUP(BB$1+1000*$A42,MASTER6!$A$2:$D$8001,4,FALSE())</f>
        <v>0</v>
      </c>
      <c r="BC42" s="0" t="n">
        <f aca="false">VLOOKUP(BC$1+1000*$A42,MASTER6!$A$2:$D$8001,4,FALSE())</f>
        <v>0</v>
      </c>
      <c r="BD42" s="0" t="n">
        <f aca="false">VLOOKUP(BD$1+1000*$A42,MASTER6!$A$2:$D$8001,4,FALSE())</f>
        <v>0</v>
      </c>
      <c r="BE42" s="0" t="n">
        <f aca="false">VLOOKUP(BE$1+1000*$A42,MASTER6!$A$2:$D$8001,4,FALSE())</f>
        <v>0</v>
      </c>
      <c r="BF42" s="0" t="n">
        <f aca="false">VLOOKUP(BF$1+1000*$A42,MASTER6!$A$2:$D$8001,4,FALSE())</f>
        <v>0</v>
      </c>
      <c r="BG42" s="0" t="e">
        <f aca="false">VLOOKUP(BG$1+1000*$A42,MASTER6!$A$2:$D$8001,4,FALSE())</f>
        <v>#N/A</v>
      </c>
      <c r="BH42" s="0" t="n">
        <f aca="false">VLOOKUP(BH$1+1000*$A42,MASTER6!$A$2:$D$8001,4,FALSE())</f>
        <v>0</v>
      </c>
      <c r="BI42" s="0" t="n">
        <f aca="false">VLOOKUP(BI$1+1000*$A42,MASTER6!$A$2:$D$8001,4,FALSE())</f>
        <v>0</v>
      </c>
      <c r="BJ42" s="0" t="e">
        <f aca="false">VLOOKUP(BJ$1+1000*$A42,MASTER6!$A$2:$D$8001,4,FALSE())</f>
        <v>#N/A</v>
      </c>
      <c r="BK42" s="0" t="n">
        <f aca="false">VLOOKUP(BK$1+1000*$A42,MASTER6!$A$2:$D$8001,4,FALSE())</f>
        <v>0</v>
      </c>
      <c r="BL42" s="0" t="n">
        <f aca="false">VLOOKUP(BL$1+1000*$A42,MASTER6!$A$2:$D$8001,4,FALSE())</f>
        <v>0</v>
      </c>
      <c r="BM42" s="0" t="n">
        <f aca="false">VLOOKUP(BM$1+1000*$A42,MASTER6!$A$2:$D$8001,4,FALSE())</f>
        <v>299</v>
      </c>
      <c r="BN42" s="0" t="n">
        <f aca="false">VLOOKUP(BN$1+1000*$A42,MASTER6!$A$2:$D$8001,4,FALSE())</f>
        <v>182</v>
      </c>
      <c r="BO42" s="0" t="n">
        <f aca="false">VLOOKUP(BO$1+1000*$A42,MASTER6!$A$2:$D$8001,4,FALSE())</f>
        <v>0</v>
      </c>
      <c r="BP42" s="0" t="n">
        <f aca="false">VLOOKUP(BP$1+1000*$A42,MASTER6!$A$2:$D$8001,4,FALSE())</f>
        <v>0</v>
      </c>
      <c r="BQ42" s="0" t="e">
        <f aca="false">VLOOKUP(BQ$1+1000*$A42,MASTER6!$A$2:$D$8001,4,FALSE())</f>
        <v>#N/A</v>
      </c>
      <c r="BR42" s="0" t="n">
        <f aca="false">VLOOKUP(BR$1+1000*$A42,MASTER6!$A$2:$D$8001,4,FALSE())</f>
        <v>130</v>
      </c>
      <c r="BS42" s="0" t="e">
        <f aca="false">VLOOKUP(BS$1+1000*$A42,MASTER6!$A$2:$D$8001,4,FALSE())</f>
        <v>#N/A</v>
      </c>
      <c r="BT42" s="0" t="n">
        <f aca="false">VLOOKUP(BT$1+1000*$A42,MASTER6!$A$2:$D$8001,4,FALSE())</f>
        <v>0</v>
      </c>
      <c r="BU42" s="0" t="n">
        <f aca="false">VLOOKUP(BU$1+1000*$A42,MASTER6!$A$2:$D$8001,4,FALSE())</f>
        <v>0</v>
      </c>
      <c r="BV42" s="0" t="n">
        <f aca="false">VLOOKUP(BV$1+1000*$A42,MASTER6!$A$2:$D$8001,4,FALSE())</f>
        <v>0</v>
      </c>
      <c r="BW42" s="0" t="e">
        <f aca="false">VLOOKUP(BW$1+1000*$A42,MASTER6!$A$2:$D$8001,4,FALSE())</f>
        <v>#N/A</v>
      </c>
      <c r="BX42" s="0" t="n">
        <f aca="false">VLOOKUP(BX$1+1000*$A42,MASTER6!$A$2:$D$8001,4,FALSE())</f>
        <v>2587</v>
      </c>
      <c r="BY42" s="0" t="n">
        <f aca="false">VLOOKUP(BY$1+1000*$A42,MASTER6!$A$2:$D$8001,4,FALSE())</f>
        <v>0</v>
      </c>
      <c r="BZ42" s="0" t="n">
        <f aca="false">VLOOKUP(BZ$1+1000*$A42,MASTER6!$A$2:$D$8001,4,FALSE())</f>
        <v>0</v>
      </c>
      <c r="CA42" s="0" t="e">
        <f aca="false">VLOOKUP(CA$1+1000*$A42,MASTER6!$A$2:$D$8001,4,FALSE())</f>
        <v>#N/A</v>
      </c>
      <c r="CB42" s="0" t="n">
        <f aca="false">VLOOKUP(CB$1+1000*$A42,MASTER6!$A$2:$D$8001,4,FALSE())</f>
        <v>104</v>
      </c>
      <c r="CC42" s="0" t="n">
        <f aca="false">VLOOKUP(CC$1+1000*$A42,MASTER6!$A$2:$D$8001,4,FALSE())</f>
        <v>78</v>
      </c>
      <c r="CD42" s="0" t="n">
        <f aca="false">VLOOKUP(CD$1+1000*$A42,MASTER6!$A$2:$D$8001,4,FALSE())</f>
        <v>0</v>
      </c>
      <c r="CE42" s="0" t="n">
        <f aca="false">VLOOKUP(CE$1+1000*$A42,MASTER6!$A$2:$D$8001,4,FALSE())</f>
        <v>0</v>
      </c>
      <c r="CF42" s="0" t="n">
        <f aca="false">VLOOKUP(CF$1+1000*$A42,MASTER6!$A$2:$D$8001,4,FALSE())</f>
        <v>0</v>
      </c>
      <c r="CG42" s="0" t="n">
        <f aca="false">VLOOKUP(CG$1+1000*$A42,MASTER6!$A$2:$D$8001,4,FALSE())</f>
        <v>0</v>
      </c>
      <c r="CH42" s="0" t="n">
        <f aca="false">VLOOKUP(CH$1+1000*$A42,MASTER6!$A$2:$D$8001,4,FALSE())</f>
        <v>190333</v>
      </c>
      <c r="CI42" s="0" t="n">
        <f aca="false">VLOOKUP(CI$1+1000*$A42,MASTER6!$A$2:$D$8001,4,FALSE())</f>
        <v>0</v>
      </c>
      <c r="CJ42" s="0" t="e">
        <f aca="false">VLOOKUP(CJ$1+1000*$A42,MASTER6!$A$2:$D$8001,4,FALSE())</f>
        <v>#N/A</v>
      </c>
    </row>
    <row r="43" customFormat="false" ht="12.75" hidden="false" customHeight="false" outlineLevel="0" collapsed="false">
      <c r="A43" s="0" t="n">
        <v>42</v>
      </c>
      <c r="B43" s="0" t="n">
        <f aca="false">VLOOKUP(B$1+1000*$A43,MASTER6!$A$2:$D$8001,4,FALSE())</f>
        <v>0</v>
      </c>
      <c r="C43" s="0" t="n">
        <f aca="false">VLOOKUP(C$1+1000*$A43,MASTER6!$A$2:$D$8001,4,FALSE())</f>
        <v>0</v>
      </c>
      <c r="D43" s="0" t="n">
        <f aca="false">VLOOKUP(D$1+1000*$A43,MASTER6!$A$2:$D$8001,4,FALSE())</f>
        <v>0</v>
      </c>
      <c r="E43" s="0" t="n">
        <f aca="false">VLOOKUP(E$1+1000*$A43,MASTER6!$A$2:$D$8001,4,FALSE())</f>
        <v>0</v>
      </c>
      <c r="F43" s="0" t="n">
        <f aca="false">VLOOKUP(F$1+1000*$A43,MASTER6!$A$2:$D$8001,4,FALSE())</f>
        <v>0</v>
      </c>
      <c r="G43" s="0" t="n">
        <f aca="false">VLOOKUP(G$1+1000*$A43,MASTER6!$A$2:$D$8001,4,FALSE())</f>
        <v>78</v>
      </c>
      <c r="H43" s="0" t="n">
        <f aca="false">VLOOKUP(H$1+1000*$A43,MASTER6!$A$2:$D$8001,4,FALSE())</f>
        <v>0</v>
      </c>
      <c r="I43" s="0" t="n">
        <f aca="false">VLOOKUP(I$1+1000*$A43,MASTER6!$A$2:$D$8001,4,FALSE())</f>
        <v>0</v>
      </c>
      <c r="J43" s="0" t="n">
        <f aca="false">VLOOKUP(J$1+1000*$A43,MASTER6!$A$2:$D$8001,4,FALSE())</f>
        <v>65</v>
      </c>
      <c r="K43" s="0" t="n">
        <f aca="false">VLOOKUP(K$1+1000*$A43,MASTER6!$A$2:$D$8001,4,FALSE())</f>
        <v>0</v>
      </c>
      <c r="L43" s="0" t="n">
        <f aca="false">VLOOKUP(L$1+1000*$A43,MASTER6!$A$2:$D$8001,4,FALSE())</f>
        <v>0</v>
      </c>
      <c r="M43" s="0" t="n">
        <f aca="false">VLOOKUP(M$1+1000*$A43,MASTER6!$A$2:$D$8001,4,FALSE())</f>
        <v>0</v>
      </c>
      <c r="N43" s="0" t="n">
        <f aca="false">VLOOKUP(N$1+1000*$A43,MASTER6!$A$2:$D$8001,4,FALSE())</f>
        <v>0</v>
      </c>
      <c r="O43" s="0" t="n">
        <f aca="false">VLOOKUP(O$1+1000*$A43,MASTER6!$A$2:$D$8001,4,FALSE())</f>
        <v>0</v>
      </c>
      <c r="P43" s="0" t="n">
        <f aca="false">VLOOKUP(P$1+1000*$A43,MASTER6!$A$2:$D$8001,4,FALSE())</f>
        <v>0</v>
      </c>
      <c r="Q43" s="0" t="n">
        <f aca="false">VLOOKUP(Q$1+1000*$A43,MASTER6!$A$2:$D$8001,4,FALSE())</f>
        <v>0</v>
      </c>
      <c r="R43" s="0" t="n">
        <f aca="false">VLOOKUP(R$1+1000*$A43,MASTER6!$A$2:$D$8001,4,FALSE())</f>
        <v>0</v>
      </c>
      <c r="S43" s="0" t="n">
        <f aca="false">VLOOKUP(S$1+1000*$A43,MASTER6!$A$2:$D$8001,4,FALSE())</f>
        <v>0</v>
      </c>
      <c r="T43" s="0" t="n">
        <f aca="false">VLOOKUP(T$1+1000*$A43,MASTER6!$A$2:$D$8001,4,FALSE())</f>
        <v>0</v>
      </c>
      <c r="U43" s="0" t="n">
        <f aca="false">VLOOKUP(U$1+1000*$A43,MASTER6!$A$2:$D$8001,4,FALSE())</f>
        <v>0</v>
      </c>
      <c r="V43" s="0" t="n">
        <f aca="false">VLOOKUP(V$1+1000*$A43,MASTER6!$A$2:$D$8001,4,FALSE())</f>
        <v>0</v>
      </c>
      <c r="W43" s="0" t="n">
        <f aca="false">VLOOKUP(W$1+1000*$A43,MASTER6!$A$2:$D$8001,4,FALSE())</f>
        <v>0</v>
      </c>
      <c r="X43" s="0" t="n">
        <f aca="false">VLOOKUP(X$1+1000*$A43,MASTER6!$A$2:$D$8001,4,FALSE())</f>
        <v>0</v>
      </c>
      <c r="Y43" s="0" t="n">
        <f aca="false">VLOOKUP(Y$1+1000*$A43,MASTER6!$A$2:$D$8001,4,FALSE())</f>
        <v>0</v>
      </c>
      <c r="Z43" s="0" t="n">
        <f aca="false">VLOOKUP(Z$1+1000*$A43,MASTER6!$A$2:$D$8001,4,FALSE())</f>
        <v>0</v>
      </c>
      <c r="AA43" s="0" t="n">
        <f aca="false">VLOOKUP(AA$1+1000*$A43,MASTER6!$A$2:$D$8001,4,FALSE())</f>
        <v>0</v>
      </c>
      <c r="AB43" s="0" t="n">
        <f aca="false">VLOOKUP(AB$1+1000*$A43,MASTER6!$A$2:$D$8001,4,FALSE())</f>
        <v>0</v>
      </c>
      <c r="AC43" s="0" t="n">
        <f aca="false">VLOOKUP(AC$1+1000*$A43,MASTER6!$A$2:$D$8001,4,FALSE())</f>
        <v>0</v>
      </c>
      <c r="AD43" s="0" t="n">
        <f aca="false">VLOOKUP(AD$1+1000*$A43,MASTER6!$A$2:$D$8001,4,FALSE())</f>
        <v>65</v>
      </c>
      <c r="AE43" s="0" t="n">
        <f aca="false">VLOOKUP(AE$1+1000*$A43,MASTER6!$A$2:$D$8001,4,FALSE())</f>
        <v>0</v>
      </c>
      <c r="AF43" s="0" t="n">
        <f aca="false">VLOOKUP(AF$1+1000*$A43,MASTER6!$A$2:$D$8001,4,FALSE())</f>
        <v>0</v>
      </c>
      <c r="AG43" s="0" t="n">
        <f aca="false">VLOOKUP(AG$1+1000*$A43,MASTER6!$A$2:$D$8001,4,FALSE())</f>
        <v>0</v>
      </c>
      <c r="AH43" s="0" t="n">
        <f aca="false">VLOOKUP(AH$1+1000*$A43,MASTER6!$A$2:$D$8001,4,FALSE())</f>
        <v>91</v>
      </c>
      <c r="AI43" s="0" t="n">
        <f aca="false">VLOOKUP(AI$1+1000*$A43,MASTER6!$A$2:$D$8001,4,FALSE())</f>
        <v>0</v>
      </c>
      <c r="AJ43" s="0" t="n">
        <f aca="false">VLOOKUP(AJ$1+1000*$A43,MASTER6!$A$2:$D$8001,4,FALSE())</f>
        <v>0</v>
      </c>
      <c r="AK43" s="0" t="n">
        <f aca="false">VLOOKUP(AK$1+1000*$A43,MASTER6!$A$2:$D$8001,4,FALSE())</f>
        <v>0</v>
      </c>
      <c r="AL43" s="0" t="n">
        <f aca="false">VLOOKUP(AL$1+1000*$A43,MASTER6!$A$2:$D$8001,4,FALSE())</f>
        <v>0</v>
      </c>
      <c r="AM43" s="0" t="n">
        <f aca="false">VLOOKUP(AM$1+1000*$A43,MASTER6!$A$2:$D$8001,4,FALSE())</f>
        <v>0</v>
      </c>
      <c r="AN43" s="0" t="n">
        <f aca="false">VLOOKUP(AN$1+1000*$A43,MASTER6!$A$2:$D$8001,4,FALSE())</f>
        <v>0</v>
      </c>
      <c r="AO43" s="0" t="n">
        <f aca="false">VLOOKUP(AO$1+1000*$A43,MASTER6!$A$2:$D$8001,4,FALSE())</f>
        <v>65</v>
      </c>
      <c r="AP43" s="0" t="n">
        <f aca="false">VLOOKUP(AP$1+1000*$A43,MASTER6!$A$2:$D$8001,4,FALSE())</f>
        <v>0</v>
      </c>
      <c r="AQ43" s="0" t="n">
        <f aca="false">VLOOKUP(AQ$1+1000*$A43,MASTER6!$A$2:$D$8001,4,FALSE())</f>
        <v>43914</v>
      </c>
      <c r="AR43" s="0" t="n">
        <f aca="false">VLOOKUP(AR$1+1000*$A43,MASTER6!$A$2:$D$8001,4,FALSE())</f>
        <v>1937</v>
      </c>
      <c r="AS43" s="0" t="n">
        <f aca="false">VLOOKUP(AS$1+1000*$A43,MASTER6!$A$2:$D$8001,4,FALSE())</f>
        <v>3588</v>
      </c>
      <c r="AT43" s="0" t="n">
        <f aca="false">VLOOKUP(AT$1+1000*$A43,MASTER6!$A$2:$D$8001,4,FALSE())</f>
        <v>1937</v>
      </c>
      <c r="AU43" s="0" t="n">
        <f aca="false">VLOOKUP(AU$1+1000*$A43,MASTER6!$A$2:$D$8001,4,FALSE())</f>
        <v>4199</v>
      </c>
      <c r="AV43" s="0" t="n">
        <f aca="false">VLOOKUP(AV$1+1000*$A43,MASTER6!$A$2:$D$8001,4,FALSE())</f>
        <v>3653</v>
      </c>
      <c r="AW43" s="0" t="n">
        <f aca="false">VLOOKUP(AW$1+1000*$A43,MASTER6!$A$2:$D$8001,4,FALSE())</f>
        <v>65169</v>
      </c>
      <c r="AX43" s="0" t="n">
        <f aca="false">VLOOKUP(AX$1+1000*$A43,MASTER6!$A$2:$D$8001,4,FALSE())</f>
        <v>0</v>
      </c>
      <c r="AY43" s="0" t="n">
        <f aca="false">VLOOKUP(AY$1+1000*$A43,MASTER6!$A$2:$D$8001,4,FALSE())</f>
        <v>182</v>
      </c>
      <c r="AZ43" s="0" t="n">
        <f aca="false">VLOOKUP(AZ$1+1000*$A43,MASTER6!$A$2:$D$8001,4,FALSE())</f>
        <v>0</v>
      </c>
      <c r="BA43" s="0" t="n">
        <f aca="false">VLOOKUP(BA$1+1000*$A43,MASTER6!$A$2:$D$8001,4,FALSE())</f>
        <v>0</v>
      </c>
      <c r="BB43" s="0" t="n">
        <f aca="false">VLOOKUP(BB$1+1000*$A43,MASTER6!$A$2:$D$8001,4,FALSE())</f>
        <v>117</v>
      </c>
      <c r="BC43" s="0" t="n">
        <f aca="false">VLOOKUP(BC$1+1000*$A43,MASTER6!$A$2:$D$8001,4,FALSE())</f>
        <v>0</v>
      </c>
      <c r="BD43" s="0" t="n">
        <f aca="false">VLOOKUP(BD$1+1000*$A43,MASTER6!$A$2:$D$8001,4,FALSE())</f>
        <v>0</v>
      </c>
      <c r="BE43" s="0" t="n">
        <f aca="false">VLOOKUP(BE$1+1000*$A43,MASTER6!$A$2:$D$8001,4,FALSE())</f>
        <v>221</v>
      </c>
      <c r="BF43" s="0" t="n">
        <f aca="false">VLOOKUP(BF$1+1000*$A43,MASTER6!$A$2:$D$8001,4,FALSE())</f>
        <v>0</v>
      </c>
      <c r="BG43" s="0" t="e">
        <f aca="false">VLOOKUP(BG$1+1000*$A43,MASTER6!$A$2:$D$8001,4,FALSE())</f>
        <v>#N/A</v>
      </c>
      <c r="BH43" s="0" t="n">
        <f aca="false">VLOOKUP(BH$1+1000*$A43,MASTER6!$A$2:$D$8001,4,FALSE())</f>
        <v>0</v>
      </c>
      <c r="BI43" s="0" t="n">
        <f aca="false">VLOOKUP(BI$1+1000*$A43,MASTER6!$A$2:$D$8001,4,FALSE())</f>
        <v>260</v>
      </c>
      <c r="BJ43" s="0" t="n">
        <f aca="false">VLOOKUP(BJ$1+1000*$A43,MASTER6!$A$2:$D$8001,4,FALSE())</f>
        <v>91</v>
      </c>
      <c r="BK43" s="0" t="n">
        <f aca="false">VLOOKUP(BK$1+1000*$A43,MASTER6!$A$2:$D$8001,4,FALSE())</f>
        <v>416</v>
      </c>
      <c r="BL43" s="0" t="n">
        <f aca="false">VLOOKUP(BL$1+1000*$A43,MASTER6!$A$2:$D$8001,4,FALSE())</f>
        <v>169</v>
      </c>
      <c r="BM43" s="0" t="n">
        <f aca="false">VLOOKUP(BM$1+1000*$A43,MASTER6!$A$2:$D$8001,4,FALSE())</f>
        <v>2509</v>
      </c>
      <c r="BN43" s="0" t="n">
        <f aca="false">VLOOKUP(BN$1+1000*$A43,MASTER6!$A$2:$D$8001,4,FALSE())</f>
        <v>975</v>
      </c>
      <c r="BO43" s="0" t="n">
        <f aca="false">VLOOKUP(BO$1+1000*$A43,MASTER6!$A$2:$D$8001,4,FALSE())</f>
        <v>1196</v>
      </c>
      <c r="BP43" s="0" t="n">
        <f aca="false">VLOOKUP(BP$1+1000*$A43,MASTER6!$A$2:$D$8001,4,FALSE())</f>
        <v>91</v>
      </c>
      <c r="BQ43" s="0" t="n">
        <f aca="false">VLOOKUP(BQ$1+1000*$A43,MASTER6!$A$2:$D$8001,4,FALSE())</f>
        <v>130</v>
      </c>
      <c r="BR43" s="0" t="n">
        <f aca="false">VLOOKUP(BR$1+1000*$A43,MASTER6!$A$2:$D$8001,4,FALSE())</f>
        <v>1274</v>
      </c>
      <c r="BS43" s="0" t="e">
        <f aca="false">VLOOKUP(BS$1+1000*$A43,MASTER6!$A$2:$D$8001,4,FALSE())</f>
        <v>#N/A</v>
      </c>
      <c r="BT43" s="0" t="n">
        <f aca="false">VLOOKUP(BT$1+1000*$A43,MASTER6!$A$2:$D$8001,4,FALSE())</f>
        <v>0</v>
      </c>
      <c r="BU43" s="0" t="n">
        <f aca="false">VLOOKUP(BU$1+1000*$A43,MASTER6!$A$2:$D$8001,4,FALSE())</f>
        <v>299</v>
      </c>
      <c r="BV43" s="0" t="n">
        <f aca="false">VLOOKUP(BV$1+1000*$A43,MASTER6!$A$2:$D$8001,4,FALSE())</f>
        <v>0</v>
      </c>
      <c r="BW43" s="0" t="e">
        <f aca="false">VLOOKUP(BW$1+1000*$A43,MASTER6!$A$2:$D$8001,4,FALSE())</f>
        <v>#N/A</v>
      </c>
      <c r="BX43" s="0" t="n">
        <f aca="false">VLOOKUP(BX$1+1000*$A43,MASTER6!$A$2:$D$8001,4,FALSE())</f>
        <v>0</v>
      </c>
      <c r="BY43" s="0" t="n">
        <f aca="false">VLOOKUP(BY$1+1000*$A43,MASTER6!$A$2:$D$8001,4,FALSE())</f>
        <v>0</v>
      </c>
      <c r="BZ43" s="0" t="n">
        <f aca="false">VLOOKUP(BZ$1+1000*$A43,MASTER6!$A$2:$D$8001,4,FALSE())</f>
        <v>104</v>
      </c>
      <c r="CA43" s="0" t="e">
        <f aca="false">VLOOKUP(CA$1+1000*$A43,MASTER6!$A$2:$D$8001,4,FALSE())</f>
        <v>#N/A</v>
      </c>
      <c r="CB43" s="0" t="n">
        <f aca="false">VLOOKUP(CB$1+1000*$A43,MASTER6!$A$2:$D$8001,4,FALSE())</f>
        <v>0</v>
      </c>
      <c r="CC43" s="0" t="n">
        <f aca="false">VLOOKUP(CC$1+1000*$A43,MASTER6!$A$2:$D$8001,4,FALSE())</f>
        <v>195</v>
      </c>
      <c r="CD43" s="0" t="n">
        <f aca="false">VLOOKUP(CD$1+1000*$A43,MASTER6!$A$2:$D$8001,4,FALSE())</f>
        <v>481</v>
      </c>
      <c r="CE43" s="0" t="n">
        <f aca="false">VLOOKUP(CE$1+1000*$A43,MASTER6!$A$2:$D$8001,4,FALSE())</f>
        <v>0</v>
      </c>
      <c r="CF43" s="0" t="n">
        <f aca="false">VLOOKUP(CF$1+1000*$A43,MASTER6!$A$2:$D$8001,4,FALSE())</f>
        <v>0</v>
      </c>
      <c r="CG43" s="0" t="n">
        <f aca="false">VLOOKUP(CG$1+1000*$A43,MASTER6!$A$2:$D$8001,4,FALSE())</f>
        <v>6890</v>
      </c>
      <c r="CH43" s="0" t="n">
        <f aca="false">VLOOKUP(CH$1+1000*$A43,MASTER6!$A$2:$D$8001,4,FALSE())</f>
        <v>151931</v>
      </c>
      <c r="CI43" s="0" t="n">
        <f aca="false">VLOOKUP(CI$1+1000*$A43,MASTER6!$A$2:$D$8001,4,FALSE())</f>
        <v>0</v>
      </c>
      <c r="CJ43" s="0" t="e">
        <f aca="false">VLOOKUP(CJ$1+1000*$A43,MASTER6!$A$2:$D$8001,4,FALSE())</f>
        <v>#N/A</v>
      </c>
    </row>
    <row r="44" customFormat="false" ht="12.75" hidden="false" customHeight="false" outlineLevel="0" collapsed="false">
      <c r="A44" s="0" t="n">
        <v>43</v>
      </c>
      <c r="B44" s="0" t="n">
        <f aca="false">VLOOKUP(B$1+1000*$A44,MASTER6!$A$2:$D$8001,4,FALSE())</f>
        <v>0</v>
      </c>
      <c r="C44" s="0" t="n">
        <f aca="false">VLOOKUP(C$1+1000*$A44,MASTER6!$A$2:$D$8001,4,FALSE())</f>
        <v>0</v>
      </c>
      <c r="D44" s="0" t="n">
        <f aca="false">VLOOKUP(D$1+1000*$A44,MASTER6!$A$2:$D$8001,4,FALSE())</f>
        <v>169</v>
      </c>
      <c r="E44" s="0" t="n">
        <f aca="false">VLOOKUP(E$1+1000*$A44,MASTER6!$A$2:$D$8001,4,FALSE())</f>
        <v>0</v>
      </c>
      <c r="F44" s="0" t="n">
        <f aca="false">VLOOKUP(F$1+1000*$A44,MASTER6!$A$2:$D$8001,4,FALSE())</f>
        <v>0</v>
      </c>
      <c r="G44" s="0" t="n">
        <f aca="false">VLOOKUP(G$1+1000*$A44,MASTER6!$A$2:$D$8001,4,FALSE())</f>
        <v>0</v>
      </c>
      <c r="H44" s="0" t="n">
        <f aca="false">VLOOKUP(H$1+1000*$A44,MASTER6!$A$2:$D$8001,4,FALSE())</f>
        <v>0</v>
      </c>
      <c r="I44" s="0" t="n">
        <f aca="false">VLOOKUP(I$1+1000*$A44,MASTER6!$A$2:$D$8001,4,FALSE())</f>
        <v>0</v>
      </c>
      <c r="J44" s="0" t="n">
        <f aca="false">VLOOKUP(J$1+1000*$A44,MASTER6!$A$2:$D$8001,4,FALSE())</f>
        <v>0</v>
      </c>
      <c r="K44" s="0" t="n">
        <f aca="false">VLOOKUP(K$1+1000*$A44,MASTER6!$A$2:$D$8001,4,FALSE())</f>
        <v>104</v>
      </c>
      <c r="L44" s="0" t="n">
        <f aca="false">VLOOKUP(L$1+1000*$A44,MASTER6!$A$2:$D$8001,4,FALSE())</f>
        <v>0</v>
      </c>
      <c r="M44" s="0" t="n">
        <f aca="false">VLOOKUP(M$1+1000*$A44,MASTER6!$A$2:$D$8001,4,FALSE())</f>
        <v>0</v>
      </c>
      <c r="N44" s="0" t="n">
        <f aca="false">VLOOKUP(N$1+1000*$A44,MASTER6!$A$2:$D$8001,4,FALSE())</f>
        <v>0</v>
      </c>
      <c r="O44" s="0" t="n">
        <f aca="false">VLOOKUP(O$1+1000*$A44,MASTER6!$A$2:$D$8001,4,FALSE())</f>
        <v>0</v>
      </c>
      <c r="P44" s="0" t="n">
        <f aca="false">VLOOKUP(P$1+1000*$A44,MASTER6!$A$2:$D$8001,4,FALSE())</f>
        <v>0</v>
      </c>
      <c r="Q44" s="0" t="n">
        <f aca="false">VLOOKUP(Q$1+1000*$A44,MASTER6!$A$2:$D$8001,4,FALSE())</f>
        <v>0</v>
      </c>
      <c r="R44" s="0" t="n">
        <f aca="false">VLOOKUP(R$1+1000*$A44,MASTER6!$A$2:$D$8001,4,FALSE())</f>
        <v>0</v>
      </c>
      <c r="S44" s="0" t="n">
        <f aca="false">VLOOKUP(S$1+1000*$A44,MASTER6!$A$2:$D$8001,4,FALSE())</f>
        <v>130</v>
      </c>
      <c r="T44" s="0" t="n">
        <f aca="false">VLOOKUP(T$1+1000*$A44,MASTER6!$A$2:$D$8001,4,FALSE())</f>
        <v>91</v>
      </c>
      <c r="U44" s="0" t="n">
        <f aca="false">VLOOKUP(U$1+1000*$A44,MASTER6!$A$2:$D$8001,4,FALSE())</f>
        <v>0</v>
      </c>
      <c r="V44" s="0" t="n">
        <f aca="false">VLOOKUP(V$1+1000*$A44,MASTER6!$A$2:$D$8001,4,FALSE())</f>
        <v>0</v>
      </c>
      <c r="W44" s="0" t="n">
        <f aca="false">VLOOKUP(W$1+1000*$A44,MASTER6!$A$2:$D$8001,4,FALSE())</f>
        <v>0</v>
      </c>
      <c r="X44" s="0" t="n">
        <f aca="false">VLOOKUP(X$1+1000*$A44,MASTER6!$A$2:$D$8001,4,FALSE())</f>
        <v>0</v>
      </c>
      <c r="Y44" s="0" t="n">
        <f aca="false">VLOOKUP(Y$1+1000*$A44,MASTER6!$A$2:$D$8001,4,FALSE())</f>
        <v>0</v>
      </c>
      <c r="Z44" s="0" t="n">
        <f aca="false">VLOOKUP(Z$1+1000*$A44,MASTER6!$A$2:$D$8001,4,FALSE())</f>
        <v>0</v>
      </c>
      <c r="AA44" s="0" t="n">
        <f aca="false">VLOOKUP(AA$1+1000*$A44,MASTER6!$A$2:$D$8001,4,FALSE())</f>
        <v>0</v>
      </c>
      <c r="AB44" s="0" t="n">
        <f aca="false">VLOOKUP(AB$1+1000*$A44,MASTER6!$A$2:$D$8001,4,FALSE())</f>
        <v>0</v>
      </c>
      <c r="AC44" s="0" t="n">
        <f aca="false">VLOOKUP(AC$1+1000*$A44,MASTER6!$A$2:$D$8001,4,FALSE())</f>
        <v>0</v>
      </c>
      <c r="AD44" s="0" t="n">
        <f aca="false">VLOOKUP(AD$1+1000*$A44,MASTER6!$A$2:$D$8001,4,FALSE())</f>
        <v>0</v>
      </c>
      <c r="AE44" s="0" t="n">
        <f aca="false">VLOOKUP(AE$1+1000*$A44,MASTER6!$A$2:$D$8001,4,FALSE())</f>
        <v>0</v>
      </c>
      <c r="AF44" s="0" t="n">
        <f aca="false">VLOOKUP(AF$1+1000*$A44,MASTER6!$A$2:$D$8001,4,FALSE())</f>
        <v>0</v>
      </c>
      <c r="AG44" s="0" t="n">
        <f aca="false">VLOOKUP(AG$1+1000*$A44,MASTER6!$A$2:$D$8001,4,FALSE())</f>
        <v>0</v>
      </c>
      <c r="AH44" s="0" t="n">
        <f aca="false">VLOOKUP(AH$1+1000*$A44,MASTER6!$A$2:$D$8001,4,FALSE())</f>
        <v>78</v>
      </c>
      <c r="AI44" s="0" t="n">
        <f aca="false">VLOOKUP(AI$1+1000*$A44,MASTER6!$A$2:$D$8001,4,FALSE())</f>
        <v>637</v>
      </c>
      <c r="AJ44" s="0" t="n">
        <f aca="false">VLOOKUP(AJ$1+1000*$A44,MASTER6!$A$2:$D$8001,4,FALSE())</f>
        <v>390</v>
      </c>
      <c r="AK44" s="0" t="n">
        <f aca="false">VLOOKUP(AK$1+1000*$A44,MASTER6!$A$2:$D$8001,4,FALSE())</f>
        <v>0</v>
      </c>
      <c r="AL44" s="0" t="n">
        <f aca="false">VLOOKUP(AL$1+1000*$A44,MASTER6!$A$2:$D$8001,4,FALSE())</f>
        <v>1105</v>
      </c>
      <c r="AM44" s="0" t="n">
        <f aca="false">VLOOKUP(AM$1+1000*$A44,MASTER6!$A$2:$D$8001,4,FALSE())</f>
        <v>0</v>
      </c>
      <c r="AN44" s="0" t="n">
        <f aca="false">VLOOKUP(AN$1+1000*$A44,MASTER6!$A$2:$D$8001,4,FALSE())</f>
        <v>0</v>
      </c>
      <c r="AO44" s="0" t="n">
        <f aca="false">VLOOKUP(AO$1+1000*$A44,MASTER6!$A$2:$D$8001,4,FALSE())</f>
        <v>0</v>
      </c>
      <c r="AP44" s="0" t="n">
        <f aca="false">VLOOKUP(AP$1+1000*$A44,MASTER6!$A$2:$D$8001,4,FALSE())</f>
        <v>0</v>
      </c>
      <c r="AQ44" s="0" t="n">
        <f aca="false">VLOOKUP(AQ$1+1000*$A44,MASTER6!$A$2:$D$8001,4,FALSE())</f>
        <v>3627</v>
      </c>
      <c r="AR44" s="0" t="n">
        <f aca="false">VLOOKUP(AR$1+1000*$A44,MASTER6!$A$2:$D$8001,4,FALSE())</f>
        <v>25129</v>
      </c>
      <c r="AS44" s="0" t="n">
        <f aca="false">VLOOKUP(AS$1+1000*$A44,MASTER6!$A$2:$D$8001,4,FALSE())</f>
        <v>6331</v>
      </c>
      <c r="AT44" s="0" t="n">
        <f aca="false">VLOOKUP(AT$1+1000*$A44,MASTER6!$A$2:$D$8001,4,FALSE())</f>
        <v>9256</v>
      </c>
      <c r="AU44" s="0" t="n">
        <f aca="false">VLOOKUP(AU$1+1000*$A44,MASTER6!$A$2:$D$8001,4,FALSE())</f>
        <v>689</v>
      </c>
      <c r="AV44" s="0" t="n">
        <f aca="false">VLOOKUP(AV$1+1000*$A44,MASTER6!$A$2:$D$8001,4,FALSE())</f>
        <v>221</v>
      </c>
      <c r="AW44" s="0" t="n">
        <f aca="false">VLOOKUP(AW$1+1000*$A44,MASTER6!$A$2:$D$8001,4,FALSE())</f>
        <v>22555</v>
      </c>
      <c r="AX44" s="0" t="n">
        <f aca="false">VLOOKUP(AX$1+1000*$A44,MASTER6!$A$2:$D$8001,4,FALSE())</f>
        <v>0</v>
      </c>
      <c r="AY44" s="0" t="n">
        <f aca="false">VLOOKUP(AY$1+1000*$A44,MASTER6!$A$2:$D$8001,4,FALSE())</f>
        <v>0</v>
      </c>
      <c r="AZ44" s="0" t="n">
        <f aca="false">VLOOKUP(AZ$1+1000*$A44,MASTER6!$A$2:$D$8001,4,FALSE())</f>
        <v>0</v>
      </c>
      <c r="BA44" s="0" t="n">
        <f aca="false">VLOOKUP(BA$1+1000*$A44,MASTER6!$A$2:$D$8001,4,FALSE())</f>
        <v>0</v>
      </c>
      <c r="BB44" s="0" t="n">
        <f aca="false">VLOOKUP(BB$1+1000*$A44,MASTER6!$A$2:$D$8001,4,FALSE())</f>
        <v>0</v>
      </c>
      <c r="BC44" s="0" t="n">
        <f aca="false">VLOOKUP(BC$1+1000*$A44,MASTER6!$A$2:$D$8001,4,FALSE())</f>
        <v>0</v>
      </c>
      <c r="BD44" s="0" t="n">
        <f aca="false">VLOOKUP(BD$1+1000*$A44,MASTER6!$A$2:$D$8001,4,FALSE())</f>
        <v>442</v>
      </c>
      <c r="BE44" s="0" t="n">
        <f aca="false">VLOOKUP(BE$1+1000*$A44,MASTER6!$A$2:$D$8001,4,FALSE())</f>
        <v>0</v>
      </c>
      <c r="BF44" s="0" t="n">
        <f aca="false">VLOOKUP(BF$1+1000*$A44,MASTER6!$A$2:$D$8001,4,FALSE())</f>
        <v>0</v>
      </c>
      <c r="BG44" s="0" t="n">
        <f aca="false">VLOOKUP(BG$1+1000*$A44,MASTER6!$A$2:$D$8001,4,FALSE())</f>
        <v>117</v>
      </c>
      <c r="BH44" s="0" t="n">
        <f aca="false">VLOOKUP(BH$1+1000*$A44,MASTER6!$A$2:$D$8001,4,FALSE())</f>
        <v>0</v>
      </c>
      <c r="BI44" s="0" t="n">
        <f aca="false">VLOOKUP(BI$1+1000*$A44,MASTER6!$A$2:$D$8001,4,FALSE())</f>
        <v>143</v>
      </c>
      <c r="BJ44" s="0" t="n">
        <f aca="false">VLOOKUP(BJ$1+1000*$A44,MASTER6!$A$2:$D$8001,4,FALSE())</f>
        <v>0</v>
      </c>
      <c r="BK44" s="0" t="n">
        <f aca="false">VLOOKUP(BK$1+1000*$A44,MASTER6!$A$2:$D$8001,4,FALSE())</f>
        <v>0</v>
      </c>
      <c r="BL44" s="0" t="n">
        <f aca="false">VLOOKUP(BL$1+1000*$A44,MASTER6!$A$2:$D$8001,4,FALSE())</f>
        <v>403</v>
      </c>
      <c r="BM44" s="0" t="n">
        <f aca="false">VLOOKUP(BM$1+1000*$A44,MASTER6!$A$2:$D$8001,4,FALSE())</f>
        <v>1963</v>
      </c>
      <c r="BN44" s="0" t="n">
        <f aca="false">VLOOKUP(BN$1+1000*$A44,MASTER6!$A$2:$D$8001,4,FALSE())</f>
        <v>1482</v>
      </c>
      <c r="BO44" s="0" t="n">
        <f aca="false">VLOOKUP(BO$1+1000*$A44,MASTER6!$A$2:$D$8001,4,FALSE())</f>
        <v>507</v>
      </c>
      <c r="BP44" s="0" t="n">
        <f aca="false">VLOOKUP(BP$1+1000*$A44,MASTER6!$A$2:$D$8001,4,FALSE())</f>
        <v>0</v>
      </c>
      <c r="BQ44" s="0" t="n">
        <f aca="false">VLOOKUP(BQ$1+1000*$A44,MASTER6!$A$2:$D$8001,4,FALSE())</f>
        <v>0</v>
      </c>
      <c r="BR44" s="0" t="n">
        <f aca="false">VLOOKUP(BR$1+1000*$A44,MASTER6!$A$2:$D$8001,4,FALSE())</f>
        <v>325</v>
      </c>
      <c r="BS44" s="0" t="e">
        <f aca="false">VLOOKUP(BS$1+1000*$A44,MASTER6!$A$2:$D$8001,4,FALSE())</f>
        <v>#N/A</v>
      </c>
      <c r="BT44" s="0" t="n">
        <f aca="false">VLOOKUP(BT$1+1000*$A44,MASTER6!$A$2:$D$8001,4,FALSE())</f>
        <v>104</v>
      </c>
      <c r="BU44" s="0" t="n">
        <f aca="false">VLOOKUP(BU$1+1000*$A44,MASTER6!$A$2:$D$8001,4,FALSE())</f>
        <v>481</v>
      </c>
      <c r="BV44" s="0" t="n">
        <f aca="false">VLOOKUP(BV$1+1000*$A44,MASTER6!$A$2:$D$8001,4,FALSE())</f>
        <v>0</v>
      </c>
      <c r="BW44" s="0" t="e">
        <f aca="false">VLOOKUP(BW$1+1000*$A44,MASTER6!$A$2:$D$8001,4,FALSE())</f>
        <v>#N/A</v>
      </c>
      <c r="BX44" s="0" t="n">
        <f aca="false">VLOOKUP(BX$1+1000*$A44,MASTER6!$A$2:$D$8001,4,FALSE())</f>
        <v>0</v>
      </c>
      <c r="BY44" s="0" t="n">
        <f aca="false">VLOOKUP(BY$1+1000*$A44,MASTER6!$A$2:$D$8001,4,FALSE())</f>
        <v>0</v>
      </c>
      <c r="BZ44" s="0" t="n">
        <f aca="false">VLOOKUP(BZ$1+1000*$A44,MASTER6!$A$2:$D$8001,4,FALSE())</f>
        <v>0</v>
      </c>
      <c r="CA44" s="0" t="e">
        <f aca="false">VLOOKUP(CA$1+1000*$A44,MASTER6!$A$2:$D$8001,4,FALSE())</f>
        <v>#N/A</v>
      </c>
      <c r="CB44" s="0" t="n">
        <f aca="false">VLOOKUP(CB$1+1000*$A44,MASTER6!$A$2:$D$8001,4,FALSE())</f>
        <v>0</v>
      </c>
      <c r="CC44" s="0" t="n">
        <f aca="false">VLOOKUP(CC$1+1000*$A44,MASTER6!$A$2:$D$8001,4,FALSE())</f>
        <v>0</v>
      </c>
      <c r="CD44" s="0" t="n">
        <f aca="false">VLOOKUP(CD$1+1000*$A44,MASTER6!$A$2:$D$8001,4,FALSE())</f>
        <v>0</v>
      </c>
      <c r="CE44" s="0" t="n">
        <f aca="false">VLOOKUP(CE$1+1000*$A44,MASTER6!$A$2:$D$8001,4,FALSE())</f>
        <v>0</v>
      </c>
      <c r="CF44" s="0" t="n">
        <f aca="false">VLOOKUP(CF$1+1000*$A44,MASTER6!$A$2:$D$8001,4,FALSE())</f>
        <v>0</v>
      </c>
      <c r="CG44" s="0" t="n">
        <f aca="false">VLOOKUP(CG$1+1000*$A44,MASTER6!$A$2:$D$8001,4,FALSE())</f>
        <v>1209</v>
      </c>
      <c r="CH44" s="0" t="n">
        <f aca="false">VLOOKUP(CH$1+1000*$A44,MASTER6!$A$2:$D$8001,4,FALSE())</f>
        <v>60866</v>
      </c>
      <c r="CI44" s="0" t="n">
        <f aca="false">VLOOKUP(CI$1+1000*$A44,MASTER6!$A$2:$D$8001,4,FALSE())</f>
        <v>104</v>
      </c>
      <c r="CJ44" s="0" t="e">
        <f aca="false">VLOOKUP(CJ$1+1000*$A44,MASTER6!$A$2:$D$8001,4,FALSE())</f>
        <v>#N/A</v>
      </c>
    </row>
    <row r="45" customFormat="false" ht="12.75" hidden="false" customHeight="false" outlineLevel="0" collapsed="false">
      <c r="A45" s="0" t="n">
        <v>44</v>
      </c>
      <c r="B45" s="0" t="n">
        <f aca="false">VLOOKUP(B$1+1000*$A45,MASTER6!$A$2:$D$8001,4,FALSE())</f>
        <v>0</v>
      </c>
      <c r="C45" s="0" t="n">
        <f aca="false">VLOOKUP(C$1+1000*$A45,MASTER6!$A$2:$D$8001,4,FALSE())</f>
        <v>0</v>
      </c>
      <c r="D45" s="0" t="n">
        <f aca="false">VLOOKUP(D$1+1000*$A45,MASTER6!$A$2:$D$8001,4,FALSE())</f>
        <v>0</v>
      </c>
      <c r="E45" s="0" t="n">
        <f aca="false">VLOOKUP(E$1+1000*$A45,MASTER6!$A$2:$D$8001,4,FALSE())</f>
        <v>0</v>
      </c>
      <c r="F45" s="0" t="n">
        <f aca="false">VLOOKUP(F$1+1000*$A45,MASTER6!$A$2:$D$8001,4,FALSE())</f>
        <v>0</v>
      </c>
      <c r="G45" s="0" t="n">
        <f aca="false">VLOOKUP(G$1+1000*$A45,MASTER6!$A$2:$D$8001,4,FALSE())</f>
        <v>0</v>
      </c>
      <c r="H45" s="0" t="n">
        <f aca="false">VLOOKUP(H$1+1000*$A45,MASTER6!$A$2:$D$8001,4,FALSE())</f>
        <v>0</v>
      </c>
      <c r="I45" s="0" t="n">
        <f aca="false">VLOOKUP(I$1+1000*$A45,MASTER6!$A$2:$D$8001,4,FALSE())</f>
        <v>0</v>
      </c>
      <c r="J45" s="0" t="n">
        <f aca="false">VLOOKUP(J$1+1000*$A45,MASTER6!$A$2:$D$8001,4,FALSE())</f>
        <v>0</v>
      </c>
      <c r="K45" s="0" t="n">
        <f aca="false">VLOOKUP(K$1+1000*$A45,MASTER6!$A$2:$D$8001,4,FALSE())</f>
        <v>0</v>
      </c>
      <c r="L45" s="0" t="n">
        <f aca="false">VLOOKUP(L$1+1000*$A45,MASTER6!$A$2:$D$8001,4,FALSE())</f>
        <v>169</v>
      </c>
      <c r="M45" s="0" t="n">
        <f aca="false">VLOOKUP(M$1+1000*$A45,MASTER6!$A$2:$D$8001,4,FALSE())</f>
        <v>0</v>
      </c>
      <c r="N45" s="0" t="n">
        <f aca="false">VLOOKUP(N$1+1000*$A45,MASTER6!$A$2:$D$8001,4,FALSE())</f>
        <v>0</v>
      </c>
      <c r="O45" s="0" t="n">
        <f aca="false">VLOOKUP(O$1+1000*$A45,MASTER6!$A$2:$D$8001,4,FALSE())</f>
        <v>0</v>
      </c>
      <c r="P45" s="0" t="n">
        <f aca="false">VLOOKUP(P$1+1000*$A45,MASTER6!$A$2:$D$8001,4,FALSE())</f>
        <v>0</v>
      </c>
      <c r="Q45" s="0" t="n">
        <f aca="false">VLOOKUP(Q$1+1000*$A45,MASTER6!$A$2:$D$8001,4,FALSE())</f>
        <v>0</v>
      </c>
      <c r="R45" s="0" t="n">
        <f aca="false">VLOOKUP(R$1+1000*$A45,MASTER6!$A$2:$D$8001,4,FALSE())</f>
        <v>0</v>
      </c>
      <c r="S45" s="0" t="n">
        <f aca="false">VLOOKUP(S$1+1000*$A45,MASTER6!$A$2:$D$8001,4,FALSE())</f>
        <v>0</v>
      </c>
      <c r="T45" s="0" t="n">
        <f aca="false">VLOOKUP(T$1+1000*$A45,MASTER6!$A$2:$D$8001,4,FALSE())</f>
        <v>0</v>
      </c>
      <c r="U45" s="0" t="n">
        <f aca="false">VLOOKUP(U$1+1000*$A45,MASTER6!$A$2:$D$8001,4,FALSE())</f>
        <v>0</v>
      </c>
      <c r="V45" s="0" t="n">
        <f aca="false">VLOOKUP(V$1+1000*$A45,MASTER6!$A$2:$D$8001,4,FALSE())</f>
        <v>0</v>
      </c>
      <c r="W45" s="0" t="n">
        <f aca="false">VLOOKUP(W$1+1000*$A45,MASTER6!$A$2:$D$8001,4,FALSE())</f>
        <v>0</v>
      </c>
      <c r="X45" s="0" t="n">
        <f aca="false">VLOOKUP(X$1+1000*$A45,MASTER6!$A$2:$D$8001,4,FALSE())</f>
        <v>0</v>
      </c>
      <c r="Y45" s="0" t="n">
        <f aca="false">VLOOKUP(Y$1+1000*$A45,MASTER6!$A$2:$D$8001,4,FALSE())</f>
        <v>0</v>
      </c>
      <c r="Z45" s="0" t="n">
        <f aca="false">VLOOKUP(Z$1+1000*$A45,MASTER6!$A$2:$D$8001,4,FALSE())</f>
        <v>0</v>
      </c>
      <c r="AA45" s="0" t="n">
        <f aca="false">VLOOKUP(AA$1+1000*$A45,MASTER6!$A$2:$D$8001,4,FALSE())</f>
        <v>0</v>
      </c>
      <c r="AB45" s="0" t="n">
        <f aca="false">VLOOKUP(AB$1+1000*$A45,MASTER6!$A$2:$D$8001,4,FALSE())</f>
        <v>0</v>
      </c>
      <c r="AC45" s="0" t="n">
        <f aca="false">VLOOKUP(AC$1+1000*$A45,MASTER6!$A$2:$D$8001,4,FALSE())</f>
        <v>0</v>
      </c>
      <c r="AD45" s="0" t="n">
        <f aca="false">VLOOKUP(AD$1+1000*$A45,MASTER6!$A$2:$D$8001,4,FALSE())</f>
        <v>0</v>
      </c>
      <c r="AE45" s="0" t="n">
        <f aca="false">VLOOKUP(AE$1+1000*$A45,MASTER6!$A$2:$D$8001,4,FALSE())</f>
        <v>0</v>
      </c>
      <c r="AF45" s="0" t="n">
        <f aca="false">VLOOKUP(AF$1+1000*$A45,MASTER6!$A$2:$D$8001,4,FALSE())</f>
        <v>0</v>
      </c>
      <c r="AG45" s="0" t="n">
        <f aca="false">VLOOKUP(AG$1+1000*$A45,MASTER6!$A$2:$D$8001,4,FALSE())</f>
        <v>0</v>
      </c>
      <c r="AH45" s="0" t="n">
        <f aca="false">VLOOKUP(AH$1+1000*$A45,MASTER6!$A$2:$D$8001,4,FALSE())</f>
        <v>208</v>
      </c>
      <c r="AI45" s="0" t="n">
        <f aca="false">VLOOKUP(AI$1+1000*$A45,MASTER6!$A$2:$D$8001,4,FALSE())</f>
        <v>0</v>
      </c>
      <c r="AJ45" s="0" t="n">
        <f aca="false">VLOOKUP(AJ$1+1000*$A45,MASTER6!$A$2:$D$8001,4,FALSE())</f>
        <v>0</v>
      </c>
      <c r="AK45" s="0" t="n">
        <f aca="false">VLOOKUP(AK$1+1000*$A45,MASTER6!$A$2:$D$8001,4,FALSE())</f>
        <v>0</v>
      </c>
      <c r="AL45" s="0" t="n">
        <f aca="false">VLOOKUP(AL$1+1000*$A45,MASTER6!$A$2:$D$8001,4,FALSE())</f>
        <v>273</v>
      </c>
      <c r="AM45" s="0" t="n">
        <f aca="false">VLOOKUP(AM$1+1000*$A45,MASTER6!$A$2:$D$8001,4,FALSE())</f>
        <v>0</v>
      </c>
      <c r="AN45" s="0" t="n">
        <f aca="false">VLOOKUP(AN$1+1000*$A45,MASTER6!$A$2:$D$8001,4,FALSE())</f>
        <v>0</v>
      </c>
      <c r="AO45" s="0" t="n">
        <f aca="false">VLOOKUP(AO$1+1000*$A45,MASTER6!$A$2:$D$8001,4,FALSE())</f>
        <v>0</v>
      </c>
      <c r="AP45" s="0" t="n">
        <f aca="false">VLOOKUP(AP$1+1000*$A45,MASTER6!$A$2:$D$8001,4,FALSE())</f>
        <v>0</v>
      </c>
      <c r="AQ45" s="0" t="n">
        <f aca="false">VLOOKUP(AQ$1+1000*$A45,MASTER6!$A$2:$D$8001,4,FALSE())</f>
        <v>5161</v>
      </c>
      <c r="AR45" s="0" t="n">
        <f aca="false">VLOOKUP(AR$1+1000*$A45,MASTER6!$A$2:$D$8001,4,FALSE())</f>
        <v>1287</v>
      </c>
      <c r="AS45" s="0" t="n">
        <f aca="false">VLOOKUP(AS$1+1000*$A45,MASTER6!$A$2:$D$8001,4,FALSE())</f>
        <v>11856</v>
      </c>
      <c r="AT45" s="0" t="n">
        <f aca="false">VLOOKUP(AT$1+1000*$A45,MASTER6!$A$2:$D$8001,4,FALSE())</f>
        <v>4719</v>
      </c>
      <c r="AU45" s="0" t="n">
        <f aca="false">VLOOKUP(AU$1+1000*$A45,MASTER6!$A$2:$D$8001,4,FALSE())</f>
        <v>845</v>
      </c>
      <c r="AV45" s="0" t="n">
        <f aca="false">VLOOKUP(AV$1+1000*$A45,MASTER6!$A$2:$D$8001,4,FALSE())</f>
        <v>494</v>
      </c>
      <c r="AW45" s="0" t="n">
        <f aca="false">VLOOKUP(AW$1+1000*$A45,MASTER6!$A$2:$D$8001,4,FALSE())</f>
        <v>23699</v>
      </c>
      <c r="AX45" s="0" t="n">
        <f aca="false">VLOOKUP(AX$1+1000*$A45,MASTER6!$A$2:$D$8001,4,FALSE())</f>
        <v>0</v>
      </c>
      <c r="AY45" s="0" t="n">
        <f aca="false">VLOOKUP(AY$1+1000*$A45,MASTER6!$A$2:$D$8001,4,FALSE())</f>
        <v>0</v>
      </c>
      <c r="AZ45" s="0" t="n">
        <f aca="false">VLOOKUP(AZ$1+1000*$A45,MASTER6!$A$2:$D$8001,4,FALSE())</f>
        <v>0</v>
      </c>
      <c r="BA45" s="0" t="n">
        <f aca="false">VLOOKUP(BA$1+1000*$A45,MASTER6!$A$2:$D$8001,4,FALSE())</f>
        <v>0</v>
      </c>
      <c r="BB45" s="0" t="n">
        <f aca="false">VLOOKUP(BB$1+1000*$A45,MASTER6!$A$2:$D$8001,4,FALSE())</f>
        <v>0</v>
      </c>
      <c r="BC45" s="0" t="n">
        <f aca="false">VLOOKUP(BC$1+1000*$A45,MASTER6!$A$2:$D$8001,4,FALSE())</f>
        <v>143</v>
      </c>
      <c r="BD45" s="0" t="n">
        <f aca="false">VLOOKUP(BD$1+1000*$A45,MASTER6!$A$2:$D$8001,4,FALSE())</f>
        <v>0</v>
      </c>
      <c r="BE45" s="0" t="n">
        <f aca="false">VLOOKUP(BE$1+1000*$A45,MASTER6!$A$2:$D$8001,4,FALSE())</f>
        <v>0</v>
      </c>
      <c r="BF45" s="0" t="n">
        <f aca="false">VLOOKUP(BF$1+1000*$A45,MASTER6!$A$2:$D$8001,4,FALSE())</f>
        <v>0</v>
      </c>
      <c r="BG45" s="0" t="n">
        <f aca="false">VLOOKUP(BG$1+1000*$A45,MASTER6!$A$2:$D$8001,4,FALSE())</f>
        <v>0</v>
      </c>
      <c r="BH45" s="0" t="n">
        <f aca="false">VLOOKUP(BH$1+1000*$A45,MASTER6!$A$2:$D$8001,4,FALSE())</f>
        <v>0</v>
      </c>
      <c r="BI45" s="0" t="n">
        <f aca="false">VLOOKUP(BI$1+1000*$A45,MASTER6!$A$2:$D$8001,4,FALSE())</f>
        <v>221</v>
      </c>
      <c r="BJ45" s="0" t="n">
        <f aca="false">VLOOKUP(BJ$1+1000*$A45,MASTER6!$A$2:$D$8001,4,FALSE())</f>
        <v>0</v>
      </c>
      <c r="BK45" s="0" t="n">
        <f aca="false">VLOOKUP(BK$1+1000*$A45,MASTER6!$A$2:$D$8001,4,FALSE())</f>
        <v>0</v>
      </c>
      <c r="BL45" s="0" t="n">
        <f aca="false">VLOOKUP(BL$1+1000*$A45,MASTER6!$A$2:$D$8001,4,FALSE())</f>
        <v>0</v>
      </c>
      <c r="BM45" s="0" t="n">
        <f aca="false">VLOOKUP(BM$1+1000*$A45,MASTER6!$A$2:$D$8001,4,FALSE())</f>
        <v>2444</v>
      </c>
      <c r="BN45" s="0" t="n">
        <f aca="false">VLOOKUP(BN$1+1000*$A45,MASTER6!$A$2:$D$8001,4,FALSE())</f>
        <v>1365</v>
      </c>
      <c r="BO45" s="0" t="n">
        <f aca="false">VLOOKUP(BO$1+1000*$A45,MASTER6!$A$2:$D$8001,4,FALSE())</f>
        <v>1469</v>
      </c>
      <c r="BP45" s="0" t="n">
        <f aca="false">VLOOKUP(BP$1+1000*$A45,MASTER6!$A$2:$D$8001,4,FALSE())</f>
        <v>0</v>
      </c>
      <c r="BQ45" s="0" t="n">
        <f aca="false">VLOOKUP(BQ$1+1000*$A45,MASTER6!$A$2:$D$8001,4,FALSE())</f>
        <v>0</v>
      </c>
      <c r="BR45" s="0" t="n">
        <f aca="false">VLOOKUP(BR$1+1000*$A45,MASTER6!$A$2:$D$8001,4,FALSE())</f>
        <v>182</v>
      </c>
      <c r="BS45" s="0" t="e">
        <f aca="false">VLOOKUP(BS$1+1000*$A45,MASTER6!$A$2:$D$8001,4,FALSE())</f>
        <v>#N/A</v>
      </c>
      <c r="BT45" s="0" t="n">
        <f aca="false">VLOOKUP(BT$1+1000*$A45,MASTER6!$A$2:$D$8001,4,FALSE())</f>
        <v>0</v>
      </c>
      <c r="BU45" s="0" t="n">
        <f aca="false">VLOOKUP(BU$1+1000*$A45,MASTER6!$A$2:$D$8001,4,FALSE())</f>
        <v>494</v>
      </c>
      <c r="BV45" s="0" t="n">
        <f aca="false">VLOOKUP(BV$1+1000*$A45,MASTER6!$A$2:$D$8001,4,FALSE())</f>
        <v>0</v>
      </c>
      <c r="BW45" s="0" t="e">
        <f aca="false">VLOOKUP(BW$1+1000*$A45,MASTER6!$A$2:$D$8001,4,FALSE())</f>
        <v>#N/A</v>
      </c>
      <c r="BX45" s="0" t="n">
        <f aca="false">VLOOKUP(BX$1+1000*$A45,MASTER6!$A$2:$D$8001,4,FALSE())</f>
        <v>0</v>
      </c>
      <c r="BY45" s="0" t="n">
        <f aca="false">VLOOKUP(BY$1+1000*$A45,MASTER6!$A$2:$D$8001,4,FALSE())</f>
        <v>0</v>
      </c>
      <c r="BZ45" s="0" t="n">
        <f aca="false">VLOOKUP(BZ$1+1000*$A45,MASTER6!$A$2:$D$8001,4,FALSE())</f>
        <v>0</v>
      </c>
      <c r="CA45" s="0" t="e">
        <f aca="false">VLOOKUP(CA$1+1000*$A45,MASTER6!$A$2:$D$8001,4,FALSE())</f>
        <v>#N/A</v>
      </c>
      <c r="CB45" s="0" t="n">
        <f aca="false">VLOOKUP(CB$1+1000*$A45,MASTER6!$A$2:$D$8001,4,FALSE())</f>
        <v>0</v>
      </c>
      <c r="CC45" s="0" t="n">
        <f aca="false">VLOOKUP(CC$1+1000*$A45,MASTER6!$A$2:$D$8001,4,FALSE())</f>
        <v>104</v>
      </c>
      <c r="CD45" s="0" t="n">
        <f aca="false">VLOOKUP(CD$1+1000*$A45,MASTER6!$A$2:$D$8001,4,FALSE())</f>
        <v>104</v>
      </c>
      <c r="CE45" s="0" t="n">
        <f aca="false">VLOOKUP(CE$1+1000*$A45,MASTER6!$A$2:$D$8001,4,FALSE())</f>
        <v>0</v>
      </c>
      <c r="CF45" s="0" t="n">
        <f aca="false">VLOOKUP(CF$1+1000*$A45,MASTER6!$A$2:$D$8001,4,FALSE())</f>
        <v>0</v>
      </c>
      <c r="CG45" s="0" t="n">
        <f aca="false">VLOOKUP(CG$1+1000*$A45,MASTER6!$A$2:$D$8001,4,FALSE())</f>
        <v>1066</v>
      </c>
      <c r="CH45" s="0" t="n">
        <f aca="false">VLOOKUP(CH$1+1000*$A45,MASTER6!$A$2:$D$8001,4,FALSE())</f>
        <v>60294</v>
      </c>
      <c r="CI45" s="0" t="n">
        <f aca="false">VLOOKUP(CI$1+1000*$A45,MASTER6!$A$2:$D$8001,4,FALSE())</f>
        <v>0</v>
      </c>
      <c r="CJ45" s="0" t="e">
        <f aca="false">VLOOKUP(CJ$1+1000*$A45,MASTER6!$A$2:$D$8001,4,FALSE())</f>
        <v>#N/A</v>
      </c>
    </row>
    <row r="46" customFormat="false" ht="12.75" hidden="false" customHeight="false" outlineLevel="0" collapsed="false">
      <c r="A46" s="0" t="n">
        <v>45</v>
      </c>
      <c r="B46" s="0" t="n">
        <f aca="false">VLOOKUP(B$1+1000*$A46,MASTER6!$A$2:$D$8001,4,FALSE())</f>
        <v>78</v>
      </c>
      <c r="C46" s="0" t="n">
        <f aca="false">VLOOKUP(C$1+1000*$A46,MASTER6!$A$2:$D$8001,4,FALSE())</f>
        <v>0</v>
      </c>
      <c r="D46" s="0" t="n">
        <f aca="false">VLOOKUP(D$1+1000*$A46,MASTER6!$A$2:$D$8001,4,FALSE())</f>
        <v>65</v>
      </c>
      <c r="E46" s="0" t="n">
        <f aca="false">VLOOKUP(E$1+1000*$A46,MASTER6!$A$2:$D$8001,4,FALSE())</f>
        <v>0</v>
      </c>
      <c r="F46" s="0" t="n">
        <f aca="false">VLOOKUP(F$1+1000*$A46,MASTER6!$A$2:$D$8001,4,FALSE())</f>
        <v>0</v>
      </c>
      <c r="G46" s="0" t="n">
        <f aca="false">VLOOKUP(G$1+1000*$A46,MASTER6!$A$2:$D$8001,4,FALSE())</f>
        <v>0</v>
      </c>
      <c r="H46" s="0" t="n">
        <f aca="false">VLOOKUP(H$1+1000*$A46,MASTER6!$A$2:$D$8001,4,FALSE())</f>
        <v>78</v>
      </c>
      <c r="I46" s="0" t="n">
        <f aca="false">VLOOKUP(I$1+1000*$A46,MASTER6!$A$2:$D$8001,4,FALSE())</f>
        <v>0</v>
      </c>
      <c r="J46" s="0" t="n">
        <f aca="false">VLOOKUP(J$1+1000*$A46,MASTER6!$A$2:$D$8001,4,FALSE())</f>
        <v>0</v>
      </c>
      <c r="K46" s="0" t="n">
        <f aca="false">VLOOKUP(K$1+1000*$A46,MASTER6!$A$2:$D$8001,4,FALSE())</f>
        <v>0</v>
      </c>
      <c r="L46" s="0" t="n">
        <f aca="false">VLOOKUP(L$1+1000*$A46,MASTER6!$A$2:$D$8001,4,FALSE())</f>
        <v>169</v>
      </c>
      <c r="M46" s="0" t="n">
        <f aca="false">VLOOKUP(M$1+1000*$A46,MASTER6!$A$2:$D$8001,4,FALSE())</f>
        <v>0</v>
      </c>
      <c r="N46" s="0" t="n">
        <f aca="false">VLOOKUP(N$1+1000*$A46,MASTER6!$A$2:$D$8001,4,FALSE())</f>
        <v>0</v>
      </c>
      <c r="O46" s="0" t="n">
        <f aca="false">VLOOKUP(O$1+1000*$A46,MASTER6!$A$2:$D$8001,4,FALSE())</f>
        <v>0</v>
      </c>
      <c r="P46" s="0" t="n">
        <f aca="false">VLOOKUP(P$1+1000*$A46,MASTER6!$A$2:$D$8001,4,FALSE())</f>
        <v>0</v>
      </c>
      <c r="Q46" s="0" t="n">
        <f aca="false">VLOOKUP(Q$1+1000*$A46,MASTER6!$A$2:$D$8001,4,FALSE())</f>
        <v>0</v>
      </c>
      <c r="R46" s="0" t="n">
        <f aca="false">VLOOKUP(R$1+1000*$A46,MASTER6!$A$2:$D$8001,4,FALSE())</f>
        <v>104</v>
      </c>
      <c r="S46" s="0" t="n">
        <f aca="false">VLOOKUP(S$1+1000*$A46,MASTER6!$A$2:$D$8001,4,FALSE())</f>
        <v>0</v>
      </c>
      <c r="T46" s="0" t="n">
        <f aca="false">VLOOKUP(T$1+1000*$A46,MASTER6!$A$2:$D$8001,4,FALSE())</f>
        <v>0</v>
      </c>
      <c r="U46" s="0" t="n">
        <f aca="false">VLOOKUP(U$1+1000*$A46,MASTER6!$A$2:$D$8001,4,FALSE())</f>
        <v>0</v>
      </c>
      <c r="V46" s="0" t="n">
        <f aca="false">VLOOKUP(V$1+1000*$A46,MASTER6!$A$2:$D$8001,4,FALSE())</f>
        <v>169</v>
      </c>
      <c r="W46" s="0" t="n">
        <f aca="false">VLOOKUP(W$1+1000*$A46,MASTER6!$A$2:$D$8001,4,FALSE())</f>
        <v>78</v>
      </c>
      <c r="X46" s="0" t="n">
        <f aca="false">VLOOKUP(X$1+1000*$A46,MASTER6!$A$2:$D$8001,4,FALSE())</f>
        <v>78</v>
      </c>
      <c r="Y46" s="0" t="n">
        <f aca="false">VLOOKUP(Y$1+1000*$A46,MASTER6!$A$2:$D$8001,4,FALSE())</f>
        <v>0</v>
      </c>
      <c r="Z46" s="0" t="n">
        <f aca="false">VLOOKUP(Z$1+1000*$A46,MASTER6!$A$2:$D$8001,4,FALSE())</f>
        <v>0</v>
      </c>
      <c r="AA46" s="0" t="n">
        <f aca="false">VLOOKUP(AA$1+1000*$A46,MASTER6!$A$2:$D$8001,4,FALSE())</f>
        <v>0</v>
      </c>
      <c r="AB46" s="0" t="n">
        <f aca="false">VLOOKUP(AB$1+1000*$A46,MASTER6!$A$2:$D$8001,4,FALSE())</f>
        <v>0</v>
      </c>
      <c r="AC46" s="0" t="n">
        <f aca="false">VLOOKUP(AC$1+1000*$A46,MASTER6!$A$2:$D$8001,4,FALSE())</f>
        <v>0</v>
      </c>
      <c r="AD46" s="0" t="n">
        <f aca="false">VLOOKUP(AD$1+1000*$A46,MASTER6!$A$2:$D$8001,4,FALSE())</f>
        <v>0</v>
      </c>
      <c r="AE46" s="0" t="n">
        <f aca="false">VLOOKUP(AE$1+1000*$A46,MASTER6!$A$2:$D$8001,4,FALSE())</f>
        <v>0</v>
      </c>
      <c r="AF46" s="0" t="n">
        <f aca="false">VLOOKUP(AF$1+1000*$A46,MASTER6!$A$2:$D$8001,4,FALSE())</f>
        <v>0</v>
      </c>
      <c r="AG46" s="0" t="n">
        <f aca="false">VLOOKUP(AG$1+1000*$A46,MASTER6!$A$2:$D$8001,4,FALSE())</f>
        <v>0</v>
      </c>
      <c r="AH46" s="0" t="n">
        <f aca="false">VLOOKUP(AH$1+1000*$A46,MASTER6!$A$2:$D$8001,4,FALSE())</f>
        <v>520</v>
      </c>
      <c r="AI46" s="0" t="n">
        <f aca="false">VLOOKUP(AI$1+1000*$A46,MASTER6!$A$2:$D$8001,4,FALSE())</f>
        <v>221</v>
      </c>
      <c r="AJ46" s="0" t="n">
        <f aca="false">VLOOKUP(AJ$1+1000*$A46,MASTER6!$A$2:$D$8001,4,FALSE())</f>
        <v>0</v>
      </c>
      <c r="AK46" s="0" t="n">
        <f aca="false">VLOOKUP(AK$1+1000*$A46,MASTER6!$A$2:$D$8001,4,FALSE())</f>
        <v>0</v>
      </c>
      <c r="AL46" s="0" t="n">
        <f aca="false">VLOOKUP(AL$1+1000*$A46,MASTER6!$A$2:$D$8001,4,FALSE())</f>
        <v>481</v>
      </c>
      <c r="AM46" s="0" t="n">
        <f aca="false">VLOOKUP(AM$1+1000*$A46,MASTER6!$A$2:$D$8001,4,FALSE())</f>
        <v>0</v>
      </c>
      <c r="AN46" s="0" t="n">
        <f aca="false">VLOOKUP(AN$1+1000*$A46,MASTER6!$A$2:$D$8001,4,FALSE())</f>
        <v>0</v>
      </c>
      <c r="AO46" s="0" t="n">
        <f aca="false">VLOOKUP(AO$1+1000*$A46,MASTER6!$A$2:$D$8001,4,FALSE())</f>
        <v>0</v>
      </c>
      <c r="AP46" s="0" t="n">
        <f aca="false">VLOOKUP(AP$1+1000*$A46,MASTER6!$A$2:$D$8001,4,FALSE())</f>
        <v>0</v>
      </c>
      <c r="AQ46" s="0" t="n">
        <f aca="false">VLOOKUP(AQ$1+1000*$A46,MASTER6!$A$2:$D$8001,4,FALSE())</f>
        <v>4615</v>
      </c>
      <c r="AR46" s="0" t="n">
        <f aca="false">VLOOKUP(AR$1+1000*$A46,MASTER6!$A$2:$D$8001,4,FALSE())</f>
        <v>4940</v>
      </c>
      <c r="AS46" s="0" t="n">
        <f aca="false">VLOOKUP(AS$1+1000*$A46,MASTER6!$A$2:$D$8001,4,FALSE())</f>
        <v>8801</v>
      </c>
      <c r="AT46" s="0" t="n">
        <f aca="false">VLOOKUP(AT$1+1000*$A46,MASTER6!$A$2:$D$8001,4,FALSE())</f>
        <v>15288</v>
      </c>
      <c r="AU46" s="0" t="n">
        <f aca="false">VLOOKUP(AU$1+1000*$A46,MASTER6!$A$2:$D$8001,4,FALSE())</f>
        <v>1092</v>
      </c>
      <c r="AV46" s="0" t="n">
        <f aca="false">VLOOKUP(AV$1+1000*$A46,MASTER6!$A$2:$D$8001,4,FALSE())</f>
        <v>416</v>
      </c>
      <c r="AW46" s="0" t="n">
        <f aca="false">VLOOKUP(AW$1+1000*$A46,MASTER6!$A$2:$D$8001,4,FALSE())</f>
        <v>21775</v>
      </c>
      <c r="AX46" s="0" t="n">
        <f aca="false">VLOOKUP(AX$1+1000*$A46,MASTER6!$A$2:$D$8001,4,FALSE())</f>
        <v>0</v>
      </c>
      <c r="AY46" s="0" t="n">
        <f aca="false">VLOOKUP(AY$1+1000*$A46,MASTER6!$A$2:$D$8001,4,FALSE())</f>
        <v>0</v>
      </c>
      <c r="AZ46" s="0" t="n">
        <f aca="false">VLOOKUP(AZ$1+1000*$A46,MASTER6!$A$2:$D$8001,4,FALSE())</f>
        <v>0</v>
      </c>
      <c r="BA46" s="0" t="n">
        <f aca="false">VLOOKUP(BA$1+1000*$A46,MASTER6!$A$2:$D$8001,4,FALSE())</f>
        <v>0</v>
      </c>
      <c r="BB46" s="0" t="n">
        <f aca="false">VLOOKUP(BB$1+1000*$A46,MASTER6!$A$2:$D$8001,4,FALSE())</f>
        <v>117</v>
      </c>
      <c r="BC46" s="0" t="n">
        <f aca="false">VLOOKUP(BC$1+1000*$A46,MASTER6!$A$2:$D$8001,4,FALSE())</f>
        <v>0</v>
      </c>
      <c r="BD46" s="0" t="n">
        <f aca="false">VLOOKUP(BD$1+1000*$A46,MASTER6!$A$2:$D$8001,4,FALSE())</f>
        <v>0</v>
      </c>
      <c r="BE46" s="0" t="n">
        <f aca="false">VLOOKUP(BE$1+1000*$A46,MASTER6!$A$2:$D$8001,4,FALSE())</f>
        <v>0</v>
      </c>
      <c r="BF46" s="0" t="n">
        <f aca="false">VLOOKUP(BF$1+1000*$A46,MASTER6!$A$2:$D$8001,4,FALSE())</f>
        <v>0</v>
      </c>
      <c r="BG46" s="0" t="n">
        <f aca="false">VLOOKUP(BG$1+1000*$A46,MASTER6!$A$2:$D$8001,4,FALSE())</f>
        <v>182</v>
      </c>
      <c r="BH46" s="0" t="n">
        <f aca="false">VLOOKUP(BH$1+1000*$A46,MASTER6!$A$2:$D$8001,4,FALSE())</f>
        <v>0</v>
      </c>
      <c r="BI46" s="0" t="n">
        <f aca="false">VLOOKUP(BI$1+1000*$A46,MASTER6!$A$2:$D$8001,4,FALSE())</f>
        <v>117</v>
      </c>
      <c r="BJ46" s="0" t="n">
        <f aca="false">VLOOKUP(BJ$1+1000*$A46,MASTER6!$A$2:$D$8001,4,FALSE())</f>
        <v>78</v>
      </c>
      <c r="BK46" s="0" t="n">
        <f aca="false">VLOOKUP(BK$1+1000*$A46,MASTER6!$A$2:$D$8001,4,FALSE())</f>
        <v>117</v>
      </c>
      <c r="BL46" s="0" t="n">
        <f aca="false">VLOOKUP(BL$1+1000*$A46,MASTER6!$A$2:$D$8001,4,FALSE())</f>
        <v>78</v>
      </c>
      <c r="BM46" s="0" t="n">
        <f aca="false">VLOOKUP(BM$1+1000*$A46,MASTER6!$A$2:$D$8001,4,FALSE())</f>
        <v>2236</v>
      </c>
      <c r="BN46" s="0" t="n">
        <f aca="false">VLOOKUP(BN$1+1000*$A46,MASTER6!$A$2:$D$8001,4,FALSE())</f>
        <v>767</v>
      </c>
      <c r="BO46" s="0" t="n">
        <f aca="false">VLOOKUP(BO$1+1000*$A46,MASTER6!$A$2:$D$8001,4,FALSE())</f>
        <v>988</v>
      </c>
      <c r="BP46" s="0" t="n">
        <f aca="false">VLOOKUP(BP$1+1000*$A46,MASTER6!$A$2:$D$8001,4,FALSE())</f>
        <v>0</v>
      </c>
      <c r="BQ46" s="0" t="n">
        <f aca="false">VLOOKUP(BQ$1+1000*$A46,MASTER6!$A$2:$D$8001,4,FALSE())</f>
        <v>0</v>
      </c>
      <c r="BR46" s="0" t="n">
        <f aca="false">VLOOKUP(BR$1+1000*$A46,MASTER6!$A$2:$D$8001,4,FALSE())</f>
        <v>0</v>
      </c>
      <c r="BS46" s="0" t="n">
        <f aca="false">VLOOKUP(BS$1+1000*$A46,MASTER6!$A$2:$D$8001,4,FALSE())</f>
        <v>130</v>
      </c>
      <c r="BT46" s="0" t="n">
        <f aca="false">VLOOKUP(BT$1+1000*$A46,MASTER6!$A$2:$D$8001,4,FALSE())</f>
        <v>117</v>
      </c>
      <c r="BU46" s="0" t="n">
        <f aca="false">VLOOKUP(BU$1+1000*$A46,MASTER6!$A$2:$D$8001,4,FALSE())</f>
        <v>208</v>
      </c>
      <c r="BV46" s="0" t="n">
        <f aca="false">VLOOKUP(BV$1+1000*$A46,MASTER6!$A$2:$D$8001,4,FALSE())</f>
        <v>0</v>
      </c>
      <c r="BW46" s="0" t="e">
        <f aca="false">VLOOKUP(BW$1+1000*$A46,MASTER6!$A$2:$D$8001,4,FALSE())</f>
        <v>#N/A</v>
      </c>
      <c r="BX46" s="0" t="n">
        <f aca="false">VLOOKUP(BX$1+1000*$A46,MASTER6!$A$2:$D$8001,4,FALSE())</f>
        <v>0</v>
      </c>
      <c r="BY46" s="0" t="n">
        <f aca="false">VLOOKUP(BY$1+1000*$A46,MASTER6!$A$2:$D$8001,4,FALSE())</f>
        <v>0</v>
      </c>
      <c r="BZ46" s="0" t="n">
        <f aca="false">VLOOKUP(BZ$1+1000*$A46,MASTER6!$A$2:$D$8001,4,FALSE())</f>
        <v>0</v>
      </c>
      <c r="CA46" s="0" t="e">
        <f aca="false">VLOOKUP(CA$1+1000*$A46,MASTER6!$A$2:$D$8001,4,FALSE())</f>
        <v>#N/A</v>
      </c>
      <c r="CB46" s="0" t="n">
        <f aca="false">VLOOKUP(CB$1+1000*$A46,MASTER6!$A$2:$D$8001,4,FALSE())</f>
        <v>0</v>
      </c>
      <c r="CC46" s="0" t="n">
        <f aca="false">VLOOKUP(CC$1+1000*$A46,MASTER6!$A$2:$D$8001,4,FALSE())</f>
        <v>91</v>
      </c>
      <c r="CD46" s="0" t="n">
        <f aca="false">VLOOKUP(CD$1+1000*$A46,MASTER6!$A$2:$D$8001,4,FALSE())</f>
        <v>0</v>
      </c>
      <c r="CE46" s="0" t="n">
        <f aca="false">VLOOKUP(CE$1+1000*$A46,MASTER6!$A$2:$D$8001,4,FALSE())</f>
        <v>0</v>
      </c>
      <c r="CF46" s="0" t="n">
        <f aca="false">VLOOKUP(CF$1+1000*$A46,MASTER6!$A$2:$D$8001,4,FALSE())</f>
        <v>0</v>
      </c>
      <c r="CG46" s="0" t="n">
        <f aca="false">VLOOKUP(CG$1+1000*$A46,MASTER6!$A$2:$D$8001,4,FALSE())</f>
        <v>1430</v>
      </c>
      <c r="CH46" s="0" t="n">
        <f aca="false">VLOOKUP(CH$1+1000*$A46,MASTER6!$A$2:$D$8001,4,FALSE())</f>
        <v>54691</v>
      </c>
      <c r="CI46" s="0" t="n">
        <f aca="false">VLOOKUP(CI$1+1000*$A46,MASTER6!$A$2:$D$8001,4,FALSE())</f>
        <v>78</v>
      </c>
      <c r="CJ46" s="0" t="e">
        <f aca="false">VLOOKUP(CJ$1+1000*$A46,MASTER6!$A$2:$D$8001,4,FALSE())</f>
        <v>#N/A</v>
      </c>
    </row>
    <row r="47" customFormat="false" ht="12.75" hidden="false" customHeight="false" outlineLevel="0" collapsed="false">
      <c r="A47" s="0" t="n">
        <v>46</v>
      </c>
      <c r="B47" s="0" t="n">
        <f aca="false">VLOOKUP(B$1+1000*$A47,MASTER6!$A$2:$D$8001,4,FALSE())</f>
        <v>0</v>
      </c>
      <c r="C47" s="0" t="n">
        <f aca="false">VLOOKUP(C$1+1000*$A47,MASTER6!$A$2:$D$8001,4,FALSE())</f>
        <v>0</v>
      </c>
      <c r="D47" s="0" t="n">
        <f aca="false">VLOOKUP(D$1+1000*$A47,MASTER6!$A$2:$D$8001,4,FALSE())</f>
        <v>0</v>
      </c>
      <c r="E47" s="0" t="n">
        <f aca="false">VLOOKUP(E$1+1000*$A47,MASTER6!$A$2:$D$8001,4,FALSE())</f>
        <v>0</v>
      </c>
      <c r="F47" s="0" t="n">
        <f aca="false">VLOOKUP(F$1+1000*$A47,MASTER6!$A$2:$D$8001,4,FALSE())</f>
        <v>0</v>
      </c>
      <c r="G47" s="0" t="n">
        <f aca="false">VLOOKUP(G$1+1000*$A47,MASTER6!$A$2:$D$8001,4,FALSE())</f>
        <v>0</v>
      </c>
      <c r="H47" s="0" t="n">
        <f aca="false">VLOOKUP(H$1+1000*$A47,MASTER6!$A$2:$D$8001,4,FALSE())</f>
        <v>0</v>
      </c>
      <c r="I47" s="0" t="n">
        <f aca="false">VLOOKUP(I$1+1000*$A47,MASTER6!$A$2:$D$8001,4,FALSE())</f>
        <v>0</v>
      </c>
      <c r="J47" s="0" t="n">
        <f aca="false">VLOOKUP(J$1+1000*$A47,MASTER6!$A$2:$D$8001,4,FALSE())</f>
        <v>0</v>
      </c>
      <c r="K47" s="0" t="n">
        <f aca="false">VLOOKUP(K$1+1000*$A47,MASTER6!$A$2:$D$8001,4,FALSE())</f>
        <v>0</v>
      </c>
      <c r="L47" s="0" t="n">
        <f aca="false">VLOOKUP(L$1+1000*$A47,MASTER6!$A$2:$D$8001,4,FALSE())</f>
        <v>0</v>
      </c>
      <c r="M47" s="0" t="n">
        <f aca="false">VLOOKUP(M$1+1000*$A47,MASTER6!$A$2:$D$8001,4,FALSE())</f>
        <v>0</v>
      </c>
      <c r="N47" s="0" t="n">
        <f aca="false">VLOOKUP(N$1+1000*$A47,MASTER6!$A$2:$D$8001,4,FALSE())</f>
        <v>0</v>
      </c>
      <c r="O47" s="0" t="n">
        <f aca="false">VLOOKUP(O$1+1000*$A47,MASTER6!$A$2:$D$8001,4,FALSE())</f>
        <v>0</v>
      </c>
      <c r="P47" s="0" t="n">
        <f aca="false">VLOOKUP(P$1+1000*$A47,MASTER6!$A$2:$D$8001,4,FALSE())</f>
        <v>0</v>
      </c>
      <c r="Q47" s="0" t="n">
        <f aca="false">VLOOKUP(Q$1+1000*$A47,MASTER6!$A$2:$D$8001,4,FALSE())</f>
        <v>0</v>
      </c>
      <c r="R47" s="0" t="n">
        <f aca="false">VLOOKUP(R$1+1000*$A47,MASTER6!$A$2:$D$8001,4,FALSE())</f>
        <v>0</v>
      </c>
      <c r="S47" s="0" t="n">
        <f aca="false">VLOOKUP(S$1+1000*$A47,MASTER6!$A$2:$D$8001,4,FALSE())</f>
        <v>0</v>
      </c>
      <c r="T47" s="0" t="n">
        <f aca="false">VLOOKUP(T$1+1000*$A47,MASTER6!$A$2:$D$8001,4,FALSE())</f>
        <v>0</v>
      </c>
      <c r="U47" s="0" t="n">
        <f aca="false">VLOOKUP(U$1+1000*$A47,MASTER6!$A$2:$D$8001,4,FALSE())</f>
        <v>0</v>
      </c>
      <c r="V47" s="0" t="n">
        <f aca="false">VLOOKUP(V$1+1000*$A47,MASTER6!$A$2:$D$8001,4,FALSE())</f>
        <v>0</v>
      </c>
      <c r="W47" s="0" t="n">
        <f aca="false">VLOOKUP(W$1+1000*$A47,MASTER6!$A$2:$D$8001,4,FALSE())</f>
        <v>0</v>
      </c>
      <c r="X47" s="0" t="n">
        <f aca="false">VLOOKUP(X$1+1000*$A47,MASTER6!$A$2:$D$8001,4,FALSE())</f>
        <v>0</v>
      </c>
      <c r="Y47" s="0" t="n">
        <f aca="false">VLOOKUP(Y$1+1000*$A47,MASTER6!$A$2:$D$8001,4,FALSE())</f>
        <v>0</v>
      </c>
      <c r="Z47" s="0" t="n">
        <f aca="false">VLOOKUP(Z$1+1000*$A47,MASTER6!$A$2:$D$8001,4,FALSE())</f>
        <v>0</v>
      </c>
      <c r="AA47" s="0" t="n">
        <f aca="false">VLOOKUP(AA$1+1000*$A47,MASTER6!$A$2:$D$8001,4,FALSE())</f>
        <v>0</v>
      </c>
      <c r="AB47" s="0" t="n">
        <f aca="false">VLOOKUP(AB$1+1000*$A47,MASTER6!$A$2:$D$8001,4,FALSE())</f>
        <v>0</v>
      </c>
      <c r="AC47" s="0" t="n">
        <f aca="false">VLOOKUP(AC$1+1000*$A47,MASTER6!$A$2:$D$8001,4,FALSE())</f>
        <v>0</v>
      </c>
      <c r="AD47" s="0" t="n">
        <f aca="false">VLOOKUP(AD$1+1000*$A47,MASTER6!$A$2:$D$8001,4,FALSE())</f>
        <v>0</v>
      </c>
      <c r="AE47" s="0" t="n">
        <f aca="false">VLOOKUP(AE$1+1000*$A47,MASTER6!$A$2:$D$8001,4,FALSE())</f>
        <v>0</v>
      </c>
      <c r="AF47" s="0" t="n">
        <f aca="false">VLOOKUP(AF$1+1000*$A47,MASTER6!$A$2:$D$8001,4,FALSE())</f>
        <v>0</v>
      </c>
      <c r="AG47" s="0" t="n">
        <f aca="false">VLOOKUP(AG$1+1000*$A47,MASTER6!$A$2:$D$8001,4,FALSE())</f>
        <v>0</v>
      </c>
      <c r="AH47" s="0" t="n">
        <f aca="false">VLOOKUP(AH$1+1000*$A47,MASTER6!$A$2:$D$8001,4,FALSE())</f>
        <v>0</v>
      </c>
      <c r="AI47" s="0" t="n">
        <f aca="false">VLOOKUP(AI$1+1000*$A47,MASTER6!$A$2:$D$8001,4,FALSE())</f>
        <v>0</v>
      </c>
      <c r="AJ47" s="0" t="n">
        <f aca="false">VLOOKUP(AJ$1+1000*$A47,MASTER6!$A$2:$D$8001,4,FALSE())</f>
        <v>0</v>
      </c>
      <c r="AK47" s="0" t="n">
        <f aca="false">VLOOKUP(AK$1+1000*$A47,MASTER6!$A$2:$D$8001,4,FALSE())</f>
        <v>0</v>
      </c>
      <c r="AL47" s="0" t="n">
        <f aca="false">VLOOKUP(AL$1+1000*$A47,MASTER6!$A$2:$D$8001,4,FALSE())</f>
        <v>91</v>
      </c>
      <c r="AM47" s="0" t="n">
        <f aca="false">VLOOKUP(AM$1+1000*$A47,MASTER6!$A$2:$D$8001,4,FALSE())</f>
        <v>0</v>
      </c>
      <c r="AN47" s="0" t="n">
        <f aca="false">VLOOKUP(AN$1+1000*$A47,MASTER6!$A$2:$D$8001,4,FALSE())</f>
        <v>0</v>
      </c>
      <c r="AO47" s="0" t="n">
        <f aca="false">VLOOKUP(AO$1+1000*$A47,MASTER6!$A$2:$D$8001,4,FALSE())</f>
        <v>0</v>
      </c>
      <c r="AP47" s="0" t="n">
        <f aca="false">VLOOKUP(AP$1+1000*$A47,MASTER6!$A$2:$D$8001,4,FALSE())</f>
        <v>0</v>
      </c>
      <c r="AQ47" s="0" t="n">
        <f aca="false">VLOOKUP(AQ$1+1000*$A47,MASTER6!$A$2:$D$8001,4,FALSE())</f>
        <v>4706</v>
      </c>
      <c r="AR47" s="0" t="n">
        <f aca="false">VLOOKUP(AR$1+1000*$A47,MASTER6!$A$2:$D$8001,4,FALSE())</f>
        <v>169</v>
      </c>
      <c r="AS47" s="0" t="n">
        <f aca="false">VLOOKUP(AS$1+1000*$A47,MASTER6!$A$2:$D$8001,4,FALSE())</f>
        <v>234</v>
      </c>
      <c r="AT47" s="0" t="n">
        <f aca="false">VLOOKUP(AT$1+1000*$A47,MASTER6!$A$2:$D$8001,4,FALSE())</f>
        <v>351</v>
      </c>
      <c r="AU47" s="0" t="n">
        <f aca="false">VLOOKUP(AU$1+1000*$A47,MASTER6!$A$2:$D$8001,4,FALSE())</f>
        <v>12506</v>
      </c>
      <c r="AV47" s="0" t="n">
        <f aca="false">VLOOKUP(AV$1+1000*$A47,MASTER6!$A$2:$D$8001,4,FALSE())</f>
        <v>4810</v>
      </c>
      <c r="AW47" s="0" t="n">
        <f aca="false">VLOOKUP(AW$1+1000*$A47,MASTER6!$A$2:$D$8001,4,FALSE())</f>
        <v>25506</v>
      </c>
      <c r="AX47" s="0" t="n">
        <f aca="false">VLOOKUP(AX$1+1000*$A47,MASTER6!$A$2:$D$8001,4,FALSE())</f>
        <v>0</v>
      </c>
      <c r="AY47" s="0" t="n">
        <f aca="false">VLOOKUP(AY$1+1000*$A47,MASTER6!$A$2:$D$8001,4,FALSE())</f>
        <v>0</v>
      </c>
      <c r="AZ47" s="0" t="n">
        <f aca="false">VLOOKUP(AZ$1+1000*$A47,MASTER6!$A$2:$D$8001,4,FALSE())</f>
        <v>0</v>
      </c>
      <c r="BA47" s="0" t="n">
        <f aca="false">VLOOKUP(BA$1+1000*$A47,MASTER6!$A$2:$D$8001,4,FALSE())</f>
        <v>91</v>
      </c>
      <c r="BB47" s="0" t="n">
        <f aca="false">VLOOKUP(BB$1+1000*$A47,MASTER6!$A$2:$D$8001,4,FALSE())</f>
        <v>65</v>
      </c>
      <c r="BC47" s="0" t="n">
        <f aca="false">VLOOKUP(BC$1+1000*$A47,MASTER6!$A$2:$D$8001,4,FALSE())</f>
        <v>91</v>
      </c>
      <c r="BD47" s="0" t="n">
        <f aca="false">VLOOKUP(BD$1+1000*$A47,MASTER6!$A$2:$D$8001,4,FALSE())</f>
        <v>234</v>
      </c>
      <c r="BE47" s="0" t="n">
        <f aca="false">VLOOKUP(BE$1+1000*$A47,MASTER6!$A$2:$D$8001,4,FALSE())</f>
        <v>0</v>
      </c>
      <c r="BF47" s="0" t="n">
        <f aca="false">VLOOKUP(BF$1+1000*$A47,MASTER6!$A$2:$D$8001,4,FALSE())</f>
        <v>169</v>
      </c>
      <c r="BG47" s="0" t="n">
        <f aca="false">VLOOKUP(BG$1+1000*$A47,MASTER6!$A$2:$D$8001,4,FALSE())</f>
        <v>260</v>
      </c>
      <c r="BH47" s="0" t="n">
        <f aca="false">VLOOKUP(BH$1+1000*$A47,MASTER6!$A$2:$D$8001,4,FALSE())</f>
        <v>0</v>
      </c>
      <c r="BI47" s="0" t="n">
        <f aca="false">VLOOKUP(BI$1+1000*$A47,MASTER6!$A$2:$D$8001,4,FALSE())</f>
        <v>676</v>
      </c>
      <c r="BJ47" s="0" t="n">
        <f aca="false">VLOOKUP(BJ$1+1000*$A47,MASTER6!$A$2:$D$8001,4,FALSE())</f>
        <v>156</v>
      </c>
      <c r="BK47" s="0" t="n">
        <f aca="false">VLOOKUP(BK$1+1000*$A47,MASTER6!$A$2:$D$8001,4,FALSE())</f>
        <v>221</v>
      </c>
      <c r="BL47" s="0" t="n">
        <f aca="false">VLOOKUP(BL$1+1000*$A47,MASTER6!$A$2:$D$8001,4,FALSE())</f>
        <v>208</v>
      </c>
      <c r="BM47" s="0" t="n">
        <f aca="false">VLOOKUP(BM$1+1000*$A47,MASTER6!$A$2:$D$8001,4,FALSE())</f>
        <v>5642</v>
      </c>
      <c r="BN47" s="0" t="n">
        <f aca="false">VLOOKUP(BN$1+1000*$A47,MASTER6!$A$2:$D$8001,4,FALSE())</f>
        <v>2314</v>
      </c>
      <c r="BO47" s="0" t="n">
        <f aca="false">VLOOKUP(BO$1+1000*$A47,MASTER6!$A$2:$D$8001,4,FALSE())</f>
        <v>4368</v>
      </c>
      <c r="BP47" s="0" t="n">
        <f aca="false">VLOOKUP(BP$1+1000*$A47,MASTER6!$A$2:$D$8001,4,FALSE())</f>
        <v>78</v>
      </c>
      <c r="BQ47" s="0" t="n">
        <f aca="false">VLOOKUP(BQ$1+1000*$A47,MASTER6!$A$2:$D$8001,4,FALSE())</f>
        <v>0</v>
      </c>
      <c r="BR47" s="0" t="n">
        <f aca="false">VLOOKUP(BR$1+1000*$A47,MASTER6!$A$2:$D$8001,4,FALSE())</f>
        <v>338</v>
      </c>
      <c r="BS47" s="0" t="n">
        <f aca="false">VLOOKUP(BS$1+1000*$A47,MASTER6!$A$2:$D$8001,4,FALSE())</f>
        <v>0</v>
      </c>
      <c r="BT47" s="0" t="n">
        <f aca="false">VLOOKUP(BT$1+1000*$A47,MASTER6!$A$2:$D$8001,4,FALSE())</f>
        <v>117</v>
      </c>
      <c r="BU47" s="0" t="n">
        <f aca="false">VLOOKUP(BU$1+1000*$A47,MASTER6!$A$2:$D$8001,4,FALSE())</f>
        <v>390</v>
      </c>
      <c r="BV47" s="0" t="n">
        <f aca="false">VLOOKUP(BV$1+1000*$A47,MASTER6!$A$2:$D$8001,4,FALSE())</f>
        <v>0</v>
      </c>
      <c r="BW47" s="0" t="e">
        <f aca="false">VLOOKUP(BW$1+1000*$A47,MASTER6!$A$2:$D$8001,4,FALSE())</f>
        <v>#N/A</v>
      </c>
      <c r="BX47" s="0" t="n">
        <f aca="false">VLOOKUP(BX$1+1000*$A47,MASTER6!$A$2:$D$8001,4,FALSE())</f>
        <v>0</v>
      </c>
      <c r="BY47" s="0" t="n">
        <f aca="false">VLOOKUP(BY$1+1000*$A47,MASTER6!$A$2:$D$8001,4,FALSE())</f>
        <v>0</v>
      </c>
      <c r="BZ47" s="0" t="n">
        <f aca="false">VLOOKUP(BZ$1+1000*$A47,MASTER6!$A$2:$D$8001,4,FALSE())</f>
        <v>0</v>
      </c>
      <c r="CA47" s="0" t="e">
        <f aca="false">VLOOKUP(CA$1+1000*$A47,MASTER6!$A$2:$D$8001,4,FALSE())</f>
        <v>#N/A</v>
      </c>
      <c r="CB47" s="0" t="n">
        <f aca="false">VLOOKUP(CB$1+1000*$A47,MASTER6!$A$2:$D$8001,4,FALSE())</f>
        <v>0</v>
      </c>
      <c r="CC47" s="0" t="n">
        <f aca="false">VLOOKUP(CC$1+1000*$A47,MASTER6!$A$2:$D$8001,4,FALSE())</f>
        <v>0</v>
      </c>
      <c r="CD47" s="0" t="n">
        <f aca="false">VLOOKUP(CD$1+1000*$A47,MASTER6!$A$2:$D$8001,4,FALSE())</f>
        <v>0</v>
      </c>
      <c r="CE47" s="0" t="n">
        <f aca="false">VLOOKUP(CE$1+1000*$A47,MASTER6!$A$2:$D$8001,4,FALSE())</f>
        <v>0</v>
      </c>
      <c r="CF47" s="0" t="n">
        <f aca="false">VLOOKUP(CF$1+1000*$A47,MASTER6!$A$2:$D$8001,4,FALSE())</f>
        <v>0</v>
      </c>
      <c r="CG47" s="0" t="n">
        <f aca="false">VLOOKUP(CG$1+1000*$A47,MASTER6!$A$2:$D$8001,4,FALSE())</f>
        <v>3926</v>
      </c>
      <c r="CH47" s="0" t="n">
        <f aca="false">VLOOKUP(CH$1+1000*$A47,MASTER6!$A$2:$D$8001,4,FALSE())</f>
        <v>66196</v>
      </c>
      <c r="CI47" s="0" t="n">
        <f aca="false">VLOOKUP(CI$1+1000*$A47,MASTER6!$A$2:$D$8001,4,FALSE())</f>
        <v>0</v>
      </c>
      <c r="CJ47" s="0" t="e">
        <f aca="false">VLOOKUP(CJ$1+1000*$A47,MASTER6!$A$2:$D$8001,4,FALSE())</f>
        <v>#N/A</v>
      </c>
    </row>
    <row r="48" customFormat="false" ht="12.75" hidden="false" customHeight="false" outlineLevel="0" collapsed="false">
      <c r="A48" s="0" t="n">
        <v>47</v>
      </c>
      <c r="B48" s="0" t="n">
        <f aca="false">VLOOKUP(B$1+1000*$A48,MASTER6!$A$2:$D$8001,4,FALSE())</f>
        <v>0</v>
      </c>
      <c r="C48" s="0" t="n">
        <f aca="false">VLOOKUP(C$1+1000*$A48,MASTER6!$A$2:$D$8001,4,FALSE())</f>
        <v>0</v>
      </c>
      <c r="D48" s="0" t="n">
        <f aca="false">VLOOKUP(D$1+1000*$A48,MASTER6!$A$2:$D$8001,4,FALSE())</f>
        <v>0</v>
      </c>
      <c r="E48" s="0" t="n">
        <f aca="false">VLOOKUP(E$1+1000*$A48,MASTER6!$A$2:$D$8001,4,FALSE())</f>
        <v>0</v>
      </c>
      <c r="F48" s="0" t="n">
        <f aca="false">VLOOKUP(F$1+1000*$A48,MASTER6!$A$2:$D$8001,4,FALSE())</f>
        <v>0</v>
      </c>
      <c r="G48" s="0" t="n">
        <f aca="false">VLOOKUP(G$1+1000*$A48,MASTER6!$A$2:$D$8001,4,FALSE())</f>
        <v>0</v>
      </c>
      <c r="H48" s="0" t="n">
        <f aca="false">VLOOKUP(H$1+1000*$A48,MASTER6!$A$2:$D$8001,4,FALSE())</f>
        <v>0</v>
      </c>
      <c r="I48" s="0" t="n">
        <f aca="false">VLOOKUP(I$1+1000*$A48,MASTER6!$A$2:$D$8001,4,FALSE())</f>
        <v>0</v>
      </c>
      <c r="J48" s="0" t="n">
        <f aca="false">VLOOKUP(J$1+1000*$A48,MASTER6!$A$2:$D$8001,4,FALSE())</f>
        <v>0</v>
      </c>
      <c r="K48" s="0" t="n">
        <f aca="false">VLOOKUP(K$1+1000*$A48,MASTER6!$A$2:$D$8001,4,FALSE())</f>
        <v>0</v>
      </c>
      <c r="L48" s="0" t="n">
        <f aca="false">VLOOKUP(L$1+1000*$A48,MASTER6!$A$2:$D$8001,4,FALSE())</f>
        <v>0</v>
      </c>
      <c r="M48" s="0" t="n">
        <f aca="false">VLOOKUP(M$1+1000*$A48,MASTER6!$A$2:$D$8001,4,FALSE())</f>
        <v>0</v>
      </c>
      <c r="N48" s="0" t="n">
        <f aca="false">VLOOKUP(N$1+1000*$A48,MASTER6!$A$2:$D$8001,4,FALSE())</f>
        <v>0</v>
      </c>
      <c r="O48" s="0" t="n">
        <f aca="false">VLOOKUP(O$1+1000*$A48,MASTER6!$A$2:$D$8001,4,FALSE())</f>
        <v>0</v>
      </c>
      <c r="P48" s="0" t="n">
        <f aca="false">VLOOKUP(P$1+1000*$A48,MASTER6!$A$2:$D$8001,4,FALSE())</f>
        <v>0</v>
      </c>
      <c r="Q48" s="0" t="n">
        <f aca="false">VLOOKUP(Q$1+1000*$A48,MASTER6!$A$2:$D$8001,4,FALSE())</f>
        <v>0</v>
      </c>
      <c r="R48" s="0" t="n">
        <f aca="false">VLOOKUP(R$1+1000*$A48,MASTER6!$A$2:$D$8001,4,FALSE())</f>
        <v>0</v>
      </c>
      <c r="S48" s="0" t="n">
        <f aca="false">VLOOKUP(S$1+1000*$A48,MASTER6!$A$2:$D$8001,4,FALSE())</f>
        <v>0</v>
      </c>
      <c r="T48" s="0" t="n">
        <f aca="false">VLOOKUP(T$1+1000*$A48,MASTER6!$A$2:$D$8001,4,FALSE())</f>
        <v>0</v>
      </c>
      <c r="U48" s="0" t="n">
        <f aca="false">VLOOKUP(U$1+1000*$A48,MASTER6!$A$2:$D$8001,4,FALSE())</f>
        <v>0</v>
      </c>
      <c r="V48" s="0" t="n">
        <f aca="false">VLOOKUP(V$1+1000*$A48,MASTER6!$A$2:$D$8001,4,FALSE())</f>
        <v>0</v>
      </c>
      <c r="W48" s="0" t="n">
        <f aca="false">VLOOKUP(W$1+1000*$A48,MASTER6!$A$2:$D$8001,4,FALSE())</f>
        <v>0</v>
      </c>
      <c r="X48" s="0" t="n">
        <f aca="false">VLOOKUP(X$1+1000*$A48,MASTER6!$A$2:$D$8001,4,FALSE())</f>
        <v>0</v>
      </c>
      <c r="Y48" s="0" t="n">
        <f aca="false">VLOOKUP(Y$1+1000*$A48,MASTER6!$A$2:$D$8001,4,FALSE())</f>
        <v>0</v>
      </c>
      <c r="Z48" s="0" t="n">
        <f aca="false">VLOOKUP(Z$1+1000*$A48,MASTER6!$A$2:$D$8001,4,FALSE())</f>
        <v>0</v>
      </c>
      <c r="AA48" s="0" t="n">
        <f aca="false">VLOOKUP(AA$1+1000*$A48,MASTER6!$A$2:$D$8001,4,FALSE())</f>
        <v>0</v>
      </c>
      <c r="AB48" s="0" t="n">
        <f aca="false">VLOOKUP(AB$1+1000*$A48,MASTER6!$A$2:$D$8001,4,FALSE())</f>
        <v>0</v>
      </c>
      <c r="AC48" s="0" t="n">
        <f aca="false">VLOOKUP(AC$1+1000*$A48,MASTER6!$A$2:$D$8001,4,FALSE())</f>
        <v>0</v>
      </c>
      <c r="AD48" s="0" t="n">
        <f aca="false">VLOOKUP(AD$1+1000*$A48,MASTER6!$A$2:$D$8001,4,FALSE())</f>
        <v>0</v>
      </c>
      <c r="AE48" s="0" t="n">
        <f aca="false">VLOOKUP(AE$1+1000*$A48,MASTER6!$A$2:$D$8001,4,FALSE())</f>
        <v>0</v>
      </c>
      <c r="AF48" s="0" t="n">
        <f aca="false">VLOOKUP(AF$1+1000*$A48,MASTER6!$A$2:$D$8001,4,FALSE())</f>
        <v>91</v>
      </c>
      <c r="AG48" s="0" t="n">
        <f aca="false">VLOOKUP(AG$1+1000*$A48,MASTER6!$A$2:$D$8001,4,FALSE())</f>
        <v>78</v>
      </c>
      <c r="AH48" s="0" t="n">
        <f aca="false">VLOOKUP(AH$1+1000*$A48,MASTER6!$A$2:$D$8001,4,FALSE())</f>
        <v>0</v>
      </c>
      <c r="AI48" s="0" t="n">
        <f aca="false">VLOOKUP(AI$1+1000*$A48,MASTER6!$A$2:$D$8001,4,FALSE())</f>
        <v>0</v>
      </c>
      <c r="AJ48" s="0" t="n">
        <f aca="false">VLOOKUP(AJ$1+1000*$A48,MASTER6!$A$2:$D$8001,4,FALSE())</f>
        <v>0</v>
      </c>
      <c r="AK48" s="0" t="n">
        <f aca="false">VLOOKUP(AK$1+1000*$A48,MASTER6!$A$2:$D$8001,4,FALSE())</f>
        <v>0</v>
      </c>
      <c r="AL48" s="0" t="n">
        <f aca="false">VLOOKUP(AL$1+1000*$A48,MASTER6!$A$2:$D$8001,4,FALSE())</f>
        <v>78</v>
      </c>
      <c r="AM48" s="0" t="n">
        <f aca="false">VLOOKUP(AM$1+1000*$A48,MASTER6!$A$2:$D$8001,4,FALSE())</f>
        <v>0</v>
      </c>
      <c r="AN48" s="0" t="n">
        <f aca="false">VLOOKUP(AN$1+1000*$A48,MASTER6!$A$2:$D$8001,4,FALSE())</f>
        <v>0</v>
      </c>
      <c r="AO48" s="0" t="n">
        <f aca="false">VLOOKUP(AO$1+1000*$A48,MASTER6!$A$2:$D$8001,4,FALSE())</f>
        <v>0</v>
      </c>
      <c r="AP48" s="0" t="n">
        <f aca="false">VLOOKUP(AP$1+1000*$A48,MASTER6!$A$2:$D$8001,4,FALSE())</f>
        <v>0</v>
      </c>
      <c r="AQ48" s="0" t="n">
        <f aca="false">VLOOKUP(AQ$1+1000*$A48,MASTER6!$A$2:$D$8001,4,FALSE())</f>
        <v>7189</v>
      </c>
      <c r="AR48" s="0" t="n">
        <f aca="false">VLOOKUP(AR$1+1000*$A48,MASTER6!$A$2:$D$8001,4,FALSE())</f>
        <v>221</v>
      </c>
      <c r="AS48" s="0" t="n">
        <f aca="false">VLOOKUP(AS$1+1000*$A48,MASTER6!$A$2:$D$8001,4,FALSE())</f>
        <v>767</v>
      </c>
      <c r="AT48" s="0" t="n">
        <f aca="false">VLOOKUP(AT$1+1000*$A48,MASTER6!$A$2:$D$8001,4,FALSE())</f>
        <v>494</v>
      </c>
      <c r="AU48" s="0" t="n">
        <f aca="false">VLOOKUP(AU$1+1000*$A48,MASTER6!$A$2:$D$8001,4,FALSE())</f>
        <v>3978</v>
      </c>
      <c r="AV48" s="0" t="n">
        <f aca="false">VLOOKUP(AV$1+1000*$A48,MASTER6!$A$2:$D$8001,4,FALSE())</f>
        <v>14885</v>
      </c>
      <c r="AW48" s="0" t="n">
        <f aca="false">VLOOKUP(AW$1+1000*$A48,MASTER6!$A$2:$D$8001,4,FALSE())</f>
        <v>24388</v>
      </c>
      <c r="AX48" s="0" t="n">
        <f aca="false">VLOOKUP(AX$1+1000*$A48,MASTER6!$A$2:$D$8001,4,FALSE())</f>
        <v>0</v>
      </c>
      <c r="AY48" s="0" t="n">
        <f aca="false">VLOOKUP(AY$1+1000*$A48,MASTER6!$A$2:$D$8001,4,FALSE())</f>
        <v>0</v>
      </c>
      <c r="AZ48" s="0" t="n">
        <f aca="false">VLOOKUP(AZ$1+1000*$A48,MASTER6!$A$2:$D$8001,4,FALSE())</f>
        <v>0</v>
      </c>
      <c r="BA48" s="0" t="n">
        <f aca="false">VLOOKUP(BA$1+1000*$A48,MASTER6!$A$2:$D$8001,4,FALSE())</f>
        <v>0</v>
      </c>
      <c r="BB48" s="0" t="n">
        <f aca="false">VLOOKUP(BB$1+1000*$A48,MASTER6!$A$2:$D$8001,4,FALSE())</f>
        <v>182</v>
      </c>
      <c r="BC48" s="0" t="n">
        <f aca="false">VLOOKUP(BC$1+1000*$A48,MASTER6!$A$2:$D$8001,4,FALSE())</f>
        <v>91</v>
      </c>
      <c r="BD48" s="0" t="n">
        <f aca="false">VLOOKUP(BD$1+1000*$A48,MASTER6!$A$2:$D$8001,4,FALSE())</f>
        <v>0</v>
      </c>
      <c r="BE48" s="0" t="n">
        <f aca="false">VLOOKUP(BE$1+1000*$A48,MASTER6!$A$2:$D$8001,4,FALSE())</f>
        <v>0</v>
      </c>
      <c r="BF48" s="0" t="n">
        <f aca="false">VLOOKUP(BF$1+1000*$A48,MASTER6!$A$2:$D$8001,4,FALSE())</f>
        <v>91</v>
      </c>
      <c r="BG48" s="0" t="n">
        <f aca="false">VLOOKUP(BG$1+1000*$A48,MASTER6!$A$2:$D$8001,4,FALSE())</f>
        <v>0</v>
      </c>
      <c r="BH48" s="0" t="n">
        <f aca="false">VLOOKUP(BH$1+1000*$A48,MASTER6!$A$2:$D$8001,4,FALSE())</f>
        <v>91</v>
      </c>
      <c r="BI48" s="0" t="n">
        <f aca="false">VLOOKUP(BI$1+1000*$A48,MASTER6!$A$2:$D$8001,4,FALSE())</f>
        <v>403</v>
      </c>
      <c r="BJ48" s="0" t="n">
        <f aca="false">VLOOKUP(BJ$1+1000*$A48,MASTER6!$A$2:$D$8001,4,FALSE())</f>
        <v>143</v>
      </c>
      <c r="BK48" s="0" t="n">
        <f aca="false">VLOOKUP(BK$1+1000*$A48,MASTER6!$A$2:$D$8001,4,FALSE())</f>
        <v>117</v>
      </c>
      <c r="BL48" s="0" t="n">
        <f aca="false">VLOOKUP(BL$1+1000*$A48,MASTER6!$A$2:$D$8001,4,FALSE())</f>
        <v>104</v>
      </c>
      <c r="BM48" s="0" t="n">
        <f aca="false">VLOOKUP(BM$1+1000*$A48,MASTER6!$A$2:$D$8001,4,FALSE())</f>
        <v>4667</v>
      </c>
      <c r="BN48" s="0" t="n">
        <f aca="false">VLOOKUP(BN$1+1000*$A48,MASTER6!$A$2:$D$8001,4,FALSE())</f>
        <v>2964</v>
      </c>
      <c r="BO48" s="0" t="n">
        <f aca="false">VLOOKUP(BO$1+1000*$A48,MASTER6!$A$2:$D$8001,4,FALSE())</f>
        <v>3809</v>
      </c>
      <c r="BP48" s="0" t="n">
        <f aca="false">VLOOKUP(BP$1+1000*$A48,MASTER6!$A$2:$D$8001,4,FALSE())</f>
        <v>0</v>
      </c>
      <c r="BQ48" s="0" t="n">
        <f aca="false">VLOOKUP(BQ$1+1000*$A48,MASTER6!$A$2:$D$8001,4,FALSE())</f>
        <v>0</v>
      </c>
      <c r="BR48" s="0" t="n">
        <f aca="false">VLOOKUP(BR$1+1000*$A48,MASTER6!$A$2:$D$8001,4,FALSE())</f>
        <v>182</v>
      </c>
      <c r="BS48" s="0" t="n">
        <f aca="false">VLOOKUP(BS$1+1000*$A48,MASTER6!$A$2:$D$8001,4,FALSE())</f>
        <v>156</v>
      </c>
      <c r="BT48" s="0" t="n">
        <f aca="false">VLOOKUP(BT$1+1000*$A48,MASTER6!$A$2:$D$8001,4,FALSE())</f>
        <v>91</v>
      </c>
      <c r="BU48" s="0" t="n">
        <f aca="false">VLOOKUP(BU$1+1000*$A48,MASTER6!$A$2:$D$8001,4,FALSE())</f>
        <v>806</v>
      </c>
      <c r="BV48" s="0" t="n">
        <f aca="false">VLOOKUP(BV$1+1000*$A48,MASTER6!$A$2:$D$8001,4,FALSE())</f>
        <v>0</v>
      </c>
      <c r="BW48" s="0" t="e">
        <f aca="false">VLOOKUP(BW$1+1000*$A48,MASTER6!$A$2:$D$8001,4,FALSE())</f>
        <v>#N/A</v>
      </c>
      <c r="BX48" s="0" t="n">
        <f aca="false">VLOOKUP(BX$1+1000*$A48,MASTER6!$A$2:$D$8001,4,FALSE())</f>
        <v>0</v>
      </c>
      <c r="BY48" s="0" t="n">
        <f aca="false">VLOOKUP(BY$1+1000*$A48,MASTER6!$A$2:$D$8001,4,FALSE())</f>
        <v>0</v>
      </c>
      <c r="BZ48" s="0" t="n">
        <f aca="false">VLOOKUP(BZ$1+1000*$A48,MASTER6!$A$2:$D$8001,4,FALSE())</f>
        <v>0</v>
      </c>
      <c r="CA48" s="0" t="e">
        <f aca="false">VLOOKUP(CA$1+1000*$A48,MASTER6!$A$2:$D$8001,4,FALSE())</f>
        <v>#N/A</v>
      </c>
      <c r="CB48" s="0" t="n">
        <f aca="false">VLOOKUP(CB$1+1000*$A48,MASTER6!$A$2:$D$8001,4,FALSE())</f>
        <v>0</v>
      </c>
      <c r="CC48" s="0" t="n">
        <f aca="false">VLOOKUP(CC$1+1000*$A48,MASTER6!$A$2:$D$8001,4,FALSE())</f>
        <v>0</v>
      </c>
      <c r="CD48" s="0" t="n">
        <f aca="false">VLOOKUP(CD$1+1000*$A48,MASTER6!$A$2:$D$8001,4,FALSE())</f>
        <v>0</v>
      </c>
      <c r="CE48" s="0" t="n">
        <f aca="false">VLOOKUP(CE$1+1000*$A48,MASTER6!$A$2:$D$8001,4,FALSE())</f>
        <v>0</v>
      </c>
      <c r="CF48" s="0" t="n">
        <f aca="false">VLOOKUP(CF$1+1000*$A48,MASTER6!$A$2:$D$8001,4,FALSE())</f>
        <v>0</v>
      </c>
      <c r="CG48" s="0" t="n">
        <f aca="false">VLOOKUP(CG$1+1000*$A48,MASTER6!$A$2:$D$8001,4,FALSE())</f>
        <v>6214</v>
      </c>
      <c r="CH48" s="0" t="n">
        <f aca="false">VLOOKUP(CH$1+1000*$A48,MASTER6!$A$2:$D$8001,4,FALSE())</f>
        <v>73580</v>
      </c>
      <c r="CI48" s="0" t="n">
        <f aca="false">VLOOKUP(CI$1+1000*$A48,MASTER6!$A$2:$D$8001,4,FALSE())</f>
        <v>143</v>
      </c>
      <c r="CJ48" s="0" t="e">
        <f aca="false">VLOOKUP(CJ$1+1000*$A48,MASTER6!$A$2:$D$8001,4,FALSE())</f>
        <v>#N/A</v>
      </c>
    </row>
    <row r="49" customFormat="false" ht="12.75" hidden="false" customHeight="false" outlineLevel="0" collapsed="false">
      <c r="A49" s="0" t="n">
        <v>48</v>
      </c>
      <c r="B49" s="0" t="n">
        <f aca="false">VLOOKUP(B$1+1000*$A49,MASTER6!$A$2:$D$8001,4,FALSE())</f>
        <v>234</v>
      </c>
      <c r="C49" s="0" t="n">
        <f aca="false">VLOOKUP(C$1+1000*$A49,MASTER6!$A$2:$D$8001,4,FALSE())</f>
        <v>104</v>
      </c>
      <c r="D49" s="0" t="n">
        <f aca="false">VLOOKUP(D$1+1000*$A49,MASTER6!$A$2:$D$8001,4,FALSE())</f>
        <v>130</v>
      </c>
      <c r="E49" s="0" t="n">
        <f aca="false">VLOOKUP(E$1+1000*$A49,MASTER6!$A$2:$D$8001,4,FALSE())</f>
        <v>182</v>
      </c>
      <c r="F49" s="0" t="n">
        <f aca="false">VLOOKUP(F$1+1000*$A49,MASTER6!$A$2:$D$8001,4,FALSE())</f>
        <v>65</v>
      </c>
      <c r="G49" s="0" t="n">
        <f aca="false">VLOOKUP(G$1+1000*$A49,MASTER6!$A$2:$D$8001,4,FALSE())</f>
        <v>0</v>
      </c>
      <c r="H49" s="0" t="n">
        <f aca="false">VLOOKUP(H$1+1000*$A49,MASTER6!$A$2:$D$8001,4,FALSE())</f>
        <v>0</v>
      </c>
      <c r="I49" s="0" t="n">
        <f aca="false">VLOOKUP(I$1+1000*$A49,MASTER6!$A$2:$D$8001,4,FALSE())</f>
        <v>0</v>
      </c>
      <c r="J49" s="0" t="n">
        <f aca="false">VLOOKUP(J$1+1000*$A49,MASTER6!$A$2:$D$8001,4,FALSE())</f>
        <v>221</v>
      </c>
      <c r="K49" s="0" t="n">
        <f aca="false">VLOOKUP(K$1+1000*$A49,MASTER6!$A$2:$D$8001,4,FALSE())</f>
        <v>221</v>
      </c>
      <c r="L49" s="0" t="n">
        <f aca="false">VLOOKUP(L$1+1000*$A49,MASTER6!$A$2:$D$8001,4,FALSE())</f>
        <v>182</v>
      </c>
      <c r="M49" s="0" t="n">
        <f aca="false">VLOOKUP(M$1+1000*$A49,MASTER6!$A$2:$D$8001,4,FALSE())</f>
        <v>78</v>
      </c>
      <c r="N49" s="0" t="n">
        <f aca="false">VLOOKUP(N$1+1000*$A49,MASTER6!$A$2:$D$8001,4,FALSE())</f>
        <v>0</v>
      </c>
      <c r="O49" s="0" t="n">
        <f aca="false">VLOOKUP(O$1+1000*$A49,MASTER6!$A$2:$D$8001,4,FALSE())</f>
        <v>78</v>
      </c>
      <c r="P49" s="0" t="n">
        <f aca="false">VLOOKUP(P$1+1000*$A49,MASTER6!$A$2:$D$8001,4,FALSE())</f>
        <v>0</v>
      </c>
      <c r="Q49" s="0" t="n">
        <f aca="false">VLOOKUP(Q$1+1000*$A49,MASTER6!$A$2:$D$8001,4,FALSE())</f>
        <v>0</v>
      </c>
      <c r="R49" s="0" t="n">
        <f aca="false">VLOOKUP(R$1+1000*$A49,MASTER6!$A$2:$D$8001,4,FALSE())</f>
        <v>0</v>
      </c>
      <c r="S49" s="0" t="n">
        <f aca="false">VLOOKUP(S$1+1000*$A49,MASTER6!$A$2:$D$8001,4,FALSE())</f>
        <v>65</v>
      </c>
      <c r="T49" s="0" t="n">
        <f aca="false">VLOOKUP(T$1+1000*$A49,MASTER6!$A$2:$D$8001,4,FALSE())</f>
        <v>390</v>
      </c>
      <c r="U49" s="0" t="n">
        <f aca="false">VLOOKUP(U$1+1000*$A49,MASTER6!$A$2:$D$8001,4,FALSE())</f>
        <v>130</v>
      </c>
      <c r="V49" s="0" t="n">
        <f aca="false">VLOOKUP(V$1+1000*$A49,MASTER6!$A$2:$D$8001,4,FALSE())</f>
        <v>104</v>
      </c>
      <c r="W49" s="0" t="n">
        <f aca="false">VLOOKUP(W$1+1000*$A49,MASTER6!$A$2:$D$8001,4,FALSE())</f>
        <v>65</v>
      </c>
      <c r="X49" s="0" t="n">
        <f aca="false">VLOOKUP(X$1+1000*$A49,MASTER6!$A$2:$D$8001,4,FALSE())</f>
        <v>0</v>
      </c>
      <c r="Y49" s="0" t="n">
        <f aca="false">VLOOKUP(Y$1+1000*$A49,MASTER6!$A$2:$D$8001,4,FALSE())</f>
        <v>0</v>
      </c>
      <c r="Z49" s="0" t="n">
        <f aca="false">VLOOKUP(Z$1+1000*$A49,MASTER6!$A$2:$D$8001,4,FALSE())</f>
        <v>0</v>
      </c>
      <c r="AA49" s="0" t="n">
        <f aca="false">VLOOKUP(AA$1+1000*$A49,MASTER6!$A$2:$D$8001,4,FALSE())</f>
        <v>0</v>
      </c>
      <c r="AB49" s="0" t="n">
        <f aca="false">VLOOKUP(AB$1+1000*$A49,MASTER6!$A$2:$D$8001,4,FALSE())</f>
        <v>0</v>
      </c>
      <c r="AC49" s="0" t="n">
        <f aca="false">VLOOKUP(AC$1+1000*$A49,MASTER6!$A$2:$D$8001,4,FALSE())</f>
        <v>0</v>
      </c>
      <c r="AD49" s="0" t="n">
        <f aca="false">VLOOKUP(AD$1+1000*$A49,MASTER6!$A$2:$D$8001,4,FALSE())</f>
        <v>78</v>
      </c>
      <c r="AE49" s="0" t="n">
        <f aca="false">VLOOKUP(AE$1+1000*$A49,MASTER6!$A$2:$D$8001,4,FALSE())</f>
        <v>0</v>
      </c>
      <c r="AF49" s="0" t="n">
        <f aca="false">VLOOKUP(AF$1+1000*$A49,MASTER6!$A$2:$D$8001,4,FALSE())</f>
        <v>104</v>
      </c>
      <c r="AG49" s="0" t="n">
        <f aca="false">VLOOKUP(AG$1+1000*$A49,MASTER6!$A$2:$D$8001,4,FALSE())</f>
        <v>533</v>
      </c>
      <c r="AH49" s="0" t="n">
        <f aca="false">VLOOKUP(AH$1+1000*$A49,MASTER6!$A$2:$D$8001,4,FALSE())</f>
        <v>1547</v>
      </c>
      <c r="AI49" s="0" t="n">
        <f aca="false">VLOOKUP(AI$1+1000*$A49,MASTER6!$A$2:$D$8001,4,FALSE())</f>
        <v>364</v>
      </c>
      <c r="AJ49" s="0" t="n">
        <f aca="false">VLOOKUP(AJ$1+1000*$A49,MASTER6!$A$2:$D$8001,4,FALSE())</f>
        <v>182</v>
      </c>
      <c r="AK49" s="0" t="n">
        <f aca="false">VLOOKUP(AK$1+1000*$A49,MASTER6!$A$2:$D$8001,4,FALSE())</f>
        <v>0</v>
      </c>
      <c r="AL49" s="0" t="n">
        <f aca="false">VLOOKUP(AL$1+1000*$A49,MASTER6!$A$2:$D$8001,4,FALSE())</f>
        <v>520</v>
      </c>
      <c r="AM49" s="0" t="n">
        <f aca="false">VLOOKUP(AM$1+1000*$A49,MASTER6!$A$2:$D$8001,4,FALSE())</f>
        <v>0</v>
      </c>
      <c r="AN49" s="0" t="n">
        <f aca="false">VLOOKUP(AN$1+1000*$A49,MASTER6!$A$2:$D$8001,4,FALSE())</f>
        <v>0</v>
      </c>
      <c r="AO49" s="0" t="n">
        <f aca="false">VLOOKUP(AO$1+1000*$A49,MASTER6!$A$2:$D$8001,4,FALSE())</f>
        <v>0</v>
      </c>
      <c r="AP49" s="0" t="n">
        <f aca="false">VLOOKUP(AP$1+1000*$A49,MASTER6!$A$2:$D$8001,4,FALSE())</f>
        <v>143</v>
      </c>
      <c r="AQ49" s="0" t="n">
        <f aca="false">VLOOKUP(AQ$1+1000*$A49,MASTER6!$A$2:$D$8001,4,FALSE())</f>
        <v>47411</v>
      </c>
      <c r="AR49" s="0" t="n">
        <f aca="false">VLOOKUP(AR$1+1000*$A49,MASTER6!$A$2:$D$8001,4,FALSE())</f>
        <v>5577</v>
      </c>
      <c r="AS49" s="0" t="n">
        <f aca="false">VLOOKUP(AS$1+1000*$A49,MASTER6!$A$2:$D$8001,4,FALSE())</f>
        <v>7254</v>
      </c>
      <c r="AT49" s="0" t="n">
        <f aca="false">VLOOKUP(AT$1+1000*$A49,MASTER6!$A$2:$D$8001,4,FALSE())</f>
        <v>2795</v>
      </c>
      <c r="AU49" s="0" t="n">
        <f aca="false">VLOOKUP(AU$1+1000*$A49,MASTER6!$A$2:$D$8001,4,FALSE())</f>
        <v>15912</v>
      </c>
      <c r="AV49" s="0" t="n">
        <f aca="false">VLOOKUP(AV$1+1000*$A49,MASTER6!$A$2:$D$8001,4,FALSE())</f>
        <v>18044</v>
      </c>
      <c r="AW49" s="0" t="n">
        <f aca="false">VLOOKUP(AW$1+1000*$A49,MASTER6!$A$2:$D$8001,4,FALSE())</f>
        <v>361075</v>
      </c>
      <c r="AX49" s="0" t="n">
        <f aca="false">VLOOKUP(AX$1+1000*$A49,MASTER6!$A$2:$D$8001,4,FALSE())</f>
        <v>0</v>
      </c>
      <c r="AY49" s="0" t="n">
        <f aca="false">VLOOKUP(AY$1+1000*$A49,MASTER6!$A$2:$D$8001,4,FALSE())</f>
        <v>130</v>
      </c>
      <c r="AZ49" s="0" t="n">
        <f aca="false">VLOOKUP(AZ$1+1000*$A49,MASTER6!$A$2:$D$8001,4,FALSE())</f>
        <v>104</v>
      </c>
      <c r="BA49" s="0" t="n">
        <f aca="false">VLOOKUP(BA$1+1000*$A49,MASTER6!$A$2:$D$8001,4,FALSE())</f>
        <v>780</v>
      </c>
      <c r="BB49" s="0" t="n">
        <f aca="false">VLOOKUP(BB$1+1000*$A49,MASTER6!$A$2:$D$8001,4,FALSE())</f>
        <v>754</v>
      </c>
      <c r="BC49" s="0" t="n">
        <f aca="false">VLOOKUP(BC$1+1000*$A49,MASTER6!$A$2:$D$8001,4,FALSE())</f>
        <v>1105</v>
      </c>
      <c r="BD49" s="0" t="n">
        <f aca="false">VLOOKUP(BD$1+1000*$A49,MASTER6!$A$2:$D$8001,4,FALSE())</f>
        <v>494</v>
      </c>
      <c r="BE49" s="0" t="n">
        <f aca="false">VLOOKUP(BE$1+1000*$A49,MASTER6!$A$2:$D$8001,4,FALSE())</f>
        <v>884</v>
      </c>
      <c r="BF49" s="0" t="n">
        <f aca="false">VLOOKUP(BF$1+1000*$A49,MASTER6!$A$2:$D$8001,4,FALSE())</f>
        <v>1924</v>
      </c>
      <c r="BG49" s="0" t="n">
        <f aca="false">VLOOKUP(BG$1+1000*$A49,MASTER6!$A$2:$D$8001,4,FALSE())</f>
        <v>624</v>
      </c>
      <c r="BH49" s="0" t="n">
        <f aca="false">VLOOKUP(BH$1+1000*$A49,MASTER6!$A$2:$D$8001,4,FALSE())</f>
        <v>988</v>
      </c>
      <c r="BI49" s="0" t="n">
        <f aca="false">VLOOKUP(BI$1+1000*$A49,MASTER6!$A$2:$D$8001,4,FALSE())</f>
        <v>3796</v>
      </c>
      <c r="BJ49" s="0" t="n">
        <f aca="false">VLOOKUP(BJ$1+1000*$A49,MASTER6!$A$2:$D$8001,4,FALSE())</f>
        <v>312</v>
      </c>
      <c r="BK49" s="0" t="n">
        <f aca="false">VLOOKUP(BK$1+1000*$A49,MASTER6!$A$2:$D$8001,4,FALSE())</f>
        <v>1066</v>
      </c>
      <c r="BL49" s="0" t="n">
        <f aca="false">VLOOKUP(BL$1+1000*$A49,MASTER6!$A$2:$D$8001,4,FALSE())</f>
        <v>949</v>
      </c>
      <c r="BM49" s="0" t="n">
        <f aca="false">VLOOKUP(BM$1+1000*$A49,MASTER6!$A$2:$D$8001,4,FALSE())</f>
        <v>67912</v>
      </c>
      <c r="BN49" s="0" t="n">
        <f aca="false">VLOOKUP(BN$1+1000*$A49,MASTER6!$A$2:$D$8001,4,FALSE())</f>
        <v>21957</v>
      </c>
      <c r="BO49" s="0" t="n">
        <f aca="false">VLOOKUP(BO$1+1000*$A49,MASTER6!$A$2:$D$8001,4,FALSE())</f>
        <v>25610</v>
      </c>
      <c r="BP49" s="0" t="n">
        <f aca="false">VLOOKUP(BP$1+1000*$A49,MASTER6!$A$2:$D$8001,4,FALSE())</f>
        <v>156</v>
      </c>
      <c r="BQ49" s="0" t="n">
        <f aca="false">VLOOKUP(BQ$1+1000*$A49,MASTER6!$A$2:$D$8001,4,FALSE())</f>
        <v>0</v>
      </c>
      <c r="BR49" s="0" t="n">
        <f aca="false">VLOOKUP(BR$1+1000*$A49,MASTER6!$A$2:$D$8001,4,FALSE())</f>
        <v>3510</v>
      </c>
      <c r="BS49" s="0" t="n">
        <f aca="false">VLOOKUP(BS$1+1000*$A49,MASTER6!$A$2:$D$8001,4,FALSE())</f>
        <v>260</v>
      </c>
      <c r="BT49" s="0" t="n">
        <f aca="false">VLOOKUP(BT$1+1000*$A49,MASTER6!$A$2:$D$8001,4,FALSE())</f>
        <v>1157</v>
      </c>
      <c r="BU49" s="0" t="n">
        <f aca="false">VLOOKUP(BU$1+1000*$A49,MASTER6!$A$2:$D$8001,4,FALSE())</f>
        <v>2990</v>
      </c>
      <c r="BV49" s="0" t="n">
        <f aca="false">VLOOKUP(BV$1+1000*$A49,MASTER6!$A$2:$D$8001,4,FALSE())</f>
        <v>0</v>
      </c>
      <c r="BW49" s="0" t="e">
        <f aca="false">VLOOKUP(BW$1+1000*$A49,MASTER6!$A$2:$D$8001,4,FALSE())</f>
        <v>#N/A</v>
      </c>
      <c r="BX49" s="0" t="n">
        <f aca="false">VLOOKUP(BX$1+1000*$A49,MASTER6!$A$2:$D$8001,4,FALSE())</f>
        <v>0</v>
      </c>
      <c r="BY49" s="0" t="n">
        <f aca="false">VLOOKUP(BY$1+1000*$A49,MASTER6!$A$2:$D$8001,4,FALSE())</f>
        <v>0</v>
      </c>
      <c r="BZ49" s="0" t="n">
        <f aca="false">VLOOKUP(BZ$1+1000*$A49,MASTER6!$A$2:$D$8001,4,FALSE())</f>
        <v>247</v>
      </c>
      <c r="CA49" s="0" t="n">
        <f aca="false">VLOOKUP(CA$1+1000*$A49,MASTER6!$A$2:$D$8001,4,FALSE())</f>
        <v>156</v>
      </c>
      <c r="CB49" s="0" t="n">
        <f aca="false">VLOOKUP(CB$1+1000*$A49,MASTER6!$A$2:$D$8001,4,FALSE())</f>
        <v>65</v>
      </c>
      <c r="CC49" s="0" t="n">
        <f aca="false">VLOOKUP(CC$1+1000*$A49,MASTER6!$A$2:$D$8001,4,FALSE())</f>
        <v>39</v>
      </c>
      <c r="CD49" s="0" t="n">
        <f aca="false">VLOOKUP(CD$1+1000*$A49,MASTER6!$A$2:$D$8001,4,FALSE())</f>
        <v>1612</v>
      </c>
      <c r="CE49" s="0" t="n">
        <f aca="false">VLOOKUP(CE$1+1000*$A49,MASTER6!$A$2:$D$8001,4,FALSE())</f>
        <v>377</v>
      </c>
      <c r="CF49" s="0" t="n">
        <f aca="false">VLOOKUP(CF$1+1000*$A49,MASTER6!$A$2:$D$8001,4,FALSE())</f>
        <v>0</v>
      </c>
      <c r="CG49" s="0" t="n">
        <f aca="false">VLOOKUP(CG$1+1000*$A49,MASTER6!$A$2:$D$8001,4,FALSE())</f>
        <v>54197</v>
      </c>
      <c r="CH49" s="0" t="n">
        <f aca="false">VLOOKUP(CH$1+1000*$A49,MASTER6!$A$2:$D$8001,4,FALSE())</f>
        <v>542152</v>
      </c>
      <c r="CI49" s="0" t="n">
        <f aca="false">VLOOKUP(CI$1+1000*$A49,MASTER6!$A$2:$D$8001,4,FALSE())</f>
        <v>169</v>
      </c>
      <c r="CJ49" s="0" t="e">
        <f aca="false">VLOOKUP(CJ$1+1000*$A49,MASTER6!$A$2:$D$8001,4,FALSE())</f>
        <v>#N/A</v>
      </c>
    </row>
    <row r="50" customFormat="false" ht="12.75" hidden="false" customHeight="false" outlineLevel="0" collapsed="false">
      <c r="A50" s="0" t="n">
        <v>49</v>
      </c>
      <c r="B50" s="0" t="n">
        <f aca="false">VLOOKUP(B$1+1000*$A50,MASTER6!$A$2:$D$8001,4,FALSE())</f>
        <v>91</v>
      </c>
      <c r="C50" s="0" t="n">
        <f aca="false">VLOOKUP(C$1+1000*$A50,MASTER6!$A$2:$D$8001,4,FALSE())</f>
        <v>143</v>
      </c>
      <c r="D50" s="0" t="n">
        <f aca="false">VLOOKUP(D$1+1000*$A50,MASTER6!$A$2:$D$8001,4,FALSE())</f>
        <v>234</v>
      </c>
      <c r="E50" s="0" t="n">
        <f aca="false">VLOOKUP(E$1+1000*$A50,MASTER6!$A$2:$D$8001,4,FALSE())</f>
        <v>182</v>
      </c>
      <c r="F50" s="0" t="n">
        <f aca="false">VLOOKUP(F$1+1000*$A50,MASTER6!$A$2:$D$8001,4,FALSE())</f>
        <v>0</v>
      </c>
      <c r="G50" s="0" t="n">
        <f aca="false">VLOOKUP(G$1+1000*$A50,MASTER6!$A$2:$D$8001,4,FALSE())</f>
        <v>0</v>
      </c>
      <c r="H50" s="0" t="n">
        <f aca="false">VLOOKUP(H$1+1000*$A50,MASTER6!$A$2:$D$8001,4,FALSE())</f>
        <v>0</v>
      </c>
      <c r="I50" s="0" t="n">
        <f aca="false">VLOOKUP(I$1+1000*$A50,MASTER6!$A$2:$D$8001,4,FALSE())</f>
        <v>0</v>
      </c>
      <c r="J50" s="0" t="n">
        <f aca="false">VLOOKUP(J$1+1000*$A50,MASTER6!$A$2:$D$8001,4,FALSE())</f>
        <v>0</v>
      </c>
      <c r="K50" s="0" t="n">
        <f aca="false">VLOOKUP(K$1+1000*$A50,MASTER6!$A$2:$D$8001,4,FALSE())</f>
        <v>0</v>
      </c>
      <c r="L50" s="0" t="n">
        <f aca="false">VLOOKUP(L$1+1000*$A50,MASTER6!$A$2:$D$8001,4,FALSE())</f>
        <v>78</v>
      </c>
      <c r="M50" s="0" t="n">
        <f aca="false">VLOOKUP(M$1+1000*$A50,MASTER6!$A$2:$D$8001,4,FALSE())</f>
        <v>52</v>
      </c>
      <c r="N50" s="0" t="n">
        <f aca="false">VLOOKUP(N$1+1000*$A50,MASTER6!$A$2:$D$8001,4,FALSE())</f>
        <v>273</v>
      </c>
      <c r="O50" s="0" t="n">
        <f aca="false">VLOOKUP(O$1+1000*$A50,MASTER6!$A$2:$D$8001,4,FALSE())</f>
        <v>0</v>
      </c>
      <c r="P50" s="0" t="n">
        <f aca="false">VLOOKUP(P$1+1000*$A50,MASTER6!$A$2:$D$8001,4,FALSE())</f>
        <v>390</v>
      </c>
      <c r="Q50" s="0" t="n">
        <f aca="false">VLOOKUP(Q$1+1000*$A50,MASTER6!$A$2:$D$8001,4,FALSE())</f>
        <v>0</v>
      </c>
      <c r="R50" s="0" t="n">
        <f aca="false">VLOOKUP(R$1+1000*$A50,MASTER6!$A$2:$D$8001,4,FALSE())</f>
        <v>78</v>
      </c>
      <c r="S50" s="0" t="n">
        <f aca="false">VLOOKUP(S$1+1000*$A50,MASTER6!$A$2:$D$8001,4,FALSE())</f>
        <v>6253</v>
      </c>
      <c r="T50" s="0" t="n">
        <f aca="false">VLOOKUP(T$1+1000*$A50,MASTER6!$A$2:$D$8001,4,FALSE())</f>
        <v>3237</v>
      </c>
      <c r="U50" s="0" t="n">
        <f aca="false">VLOOKUP(U$1+1000*$A50,MASTER6!$A$2:$D$8001,4,FALSE())</f>
        <v>572</v>
      </c>
      <c r="V50" s="0" t="n">
        <f aca="false">VLOOKUP(V$1+1000*$A50,MASTER6!$A$2:$D$8001,4,FALSE())</f>
        <v>8151</v>
      </c>
      <c r="W50" s="0" t="n">
        <f aca="false">VLOOKUP(W$1+1000*$A50,MASTER6!$A$2:$D$8001,4,FALSE())</f>
        <v>18473</v>
      </c>
      <c r="X50" s="0" t="n">
        <f aca="false">VLOOKUP(X$1+1000*$A50,MASTER6!$A$2:$D$8001,4,FALSE())</f>
        <v>130</v>
      </c>
      <c r="Y50" s="0" t="n">
        <f aca="false">VLOOKUP(Y$1+1000*$A50,MASTER6!$A$2:$D$8001,4,FALSE())</f>
        <v>0</v>
      </c>
      <c r="Z50" s="0" t="n">
        <f aca="false">VLOOKUP(Z$1+1000*$A50,MASTER6!$A$2:$D$8001,4,FALSE())</f>
        <v>156</v>
      </c>
      <c r="AA50" s="0" t="n">
        <f aca="false">VLOOKUP(AA$1+1000*$A50,MASTER6!$A$2:$D$8001,4,FALSE())</f>
        <v>0</v>
      </c>
      <c r="AB50" s="0" t="n">
        <f aca="false">VLOOKUP(AB$1+1000*$A50,MASTER6!$A$2:$D$8001,4,FALSE())</f>
        <v>1079</v>
      </c>
      <c r="AC50" s="0" t="n">
        <f aca="false">VLOOKUP(AC$1+1000*$A50,MASTER6!$A$2:$D$8001,4,FALSE())</f>
        <v>143</v>
      </c>
      <c r="AD50" s="0" t="n">
        <f aca="false">VLOOKUP(AD$1+1000*$A50,MASTER6!$A$2:$D$8001,4,FALSE())</f>
        <v>0</v>
      </c>
      <c r="AE50" s="0" t="n">
        <f aca="false">VLOOKUP(AE$1+1000*$A50,MASTER6!$A$2:$D$8001,4,FALSE())</f>
        <v>0</v>
      </c>
      <c r="AF50" s="0" t="n">
        <f aca="false">VLOOKUP(AF$1+1000*$A50,MASTER6!$A$2:$D$8001,4,FALSE())</f>
        <v>0</v>
      </c>
      <c r="AG50" s="0" t="n">
        <f aca="false">VLOOKUP(AG$1+1000*$A50,MASTER6!$A$2:$D$8001,4,FALSE())</f>
        <v>0</v>
      </c>
      <c r="AH50" s="0" t="n">
        <f aca="false">VLOOKUP(AH$1+1000*$A50,MASTER6!$A$2:$D$8001,4,FALSE())</f>
        <v>78</v>
      </c>
      <c r="AI50" s="0" t="n">
        <f aca="false">VLOOKUP(AI$1+1000*$A50,MASTER6!$A$2:$D$8001,4,FALSE())</f>
        <v>0</v>
      </c>
      <c r="AJ50" s="0" t="n">
        <f aca="false">VLOOKUP(AJ$1+1000*$A50,MASTER6!$A$2:$D$8001,4,FALSE())</f>
        <v>0</v>
      </c>
      <c r="AK50" s="0" t="n">
        <f aca="false">VLOOKUP(AK$1+1000*$A50,MASTER6!$A$2:$D$8001,4,FALSE())</f>
        <v>65</v>
      </c>
      <c r="AL50" s="0" t="n">
        <f aca="false">VLOOKUP(AL$1+1000*$A50,MASTER6!$A$2:$D$8001,4,FALSE())</f>
        <v>0</v>
      </c>
      <c r="AM50" s="0" t="n">
        <f aca="false">VLOOKUP(AM$1+1000*$A50,MASTER6!$A$2:$D$8001,4,FALSE())</f>
        <v>78</v>
      </c>
      <c r="AN50" s="0" t="n">
        <f aca="false">VLOOKUP(AN$1+1000*$A50,MASTER6!$A$2:$D$8001,4,FALSE())</f>
        <v>273</v>
      </c>
      <c r="AO50" s="0" t="n">
        <f aca="false">VLOOKUP(AO$1+1000*$A50,MASTER6!$A$2:$D$8001,4,FALSE())</f>
        <v>0</v>
      </c>
      <c r="AP50" s="0" t="n">
        <f aca="false">VLOOKUP(AP$1+1000*$A50,MASTER6!$A$2:$D$8001,4,FALSE())</f>
        <v>0</v>
      </c>
      <c r="AQ50" s="0" t="n">
        <f aca="false">VLOOKUP(AQ$1+1000*$A50,MASTER6!$A$2:$D$8001,4,FALSE())</f>
        <v>0</v>
      </c>
      <c r="AR50" s="0" t="n">
        <f aca="false">VLOOKUP(AR$1+1000*$A50,MASTER6!$A$2:$D$8001,4,FALSE())</f>
        <v>0</v>
      </c>
      <c r="AS50" s="0" t="n">
        <f aca="false">VLOOKUP(AS$1+1000*$A50,MASTER6!$A$2:$D$8001,4,FALSE())</f>
        <v>91</v>
      </c>
      <c r="AT50" s="0" t="n">
        <f aca="false">VLOOKUP(AT$1+1000*$A50,MASTER6!$A$2:$D$8001,4,FALSE())</f>
        <v>0</v>
      </c>
      <c r="AU50" s="0" t="n">
        <f aca="false">VLOOKUP(AU$1+1000*$A50,MASTER6!$A$2:$D$8001,4,FALSE())</f>
        <v>0</v>
      </c>
      <c r="AV50" s="0" t="n">
        <f aca="false">VLOOKUP(AV$1+1000*$A50,MASTER6!$A$2:$D$8001,4,FALSE())</f>
        <v>0</v>
      </c>
      <c r="AW50" s="0" t="n">
        <f aca="false">VLOOKUP(AW$1+1000*$A50,MASTER6!$A$2:$D$8001,4,FALSE())</f>
        <v>0</v>
      </c>
      <c r="AX50" s="0" t="n">
        <f aca="false">VLOOKUP(AX$1+1000*$A50,MASTER6!$A$2:$D$8001,4,FALSE())</f>
        <v>177047</v>
      </c>
      <c r="AY50" s="0" t="n">
        <f aca="false">VLOOKUP(AY$1+1000*$A50,MASTER6!$A$2:$D$8001,4,FALSE())</f>
        <v>35828</v>
      </c>
      <c r="AZ50" s="0" t="n">
        <f aca="false">VLOOKUP(AZ$1+1000*$A50,MASTER6!$A$2:$D$8001,4,FALSE())</f>
        <v>72020</v>
      </c>
      <c r="BA50" s="0" t="n">
        <f aca="false">VLOOKUP(BA$1+1000*$A50,MASTER6!$A$2:$D$8001,4,FALSE())</f>
        <v>0</v>
      </c>
      <c r="BB50" s="0" t="n">
        <f aca="false">VLOOKUP(BB$1+1000*$A50,MASTER6!$A$2:$D$8001,4,FALSE())</f>
        <v>0</v>
      </c>
      <c r="BC50" s="0" t="n">
        <f aca="false">VLOOKUP(BC$1+1000*$A50,MASTER6!$A$2:$D$8001,4,FALSE())</f>
        <v>0</v>
      </c>
      <c r="BD50" s="0" t="n">
        <f aca="false">VLOOKUP(BD$1+1000*$A50,MASTER6!$A$2:$D$8001,4,FALSE())</f>
        <v>0</v>
      </c>
      <c r="BE50" s="0" t="n">
        <f aca="false">VLOOKUP(BE$1+1000*$A50,MASTER6!$A$2:$D$8001,4,FALSE())</f>
        <v>0</v>
      </c>
      <c r="BF50" s="0" t="n">
        <f aca="false">VLOOKUP(BF$1+1000*$A50,MASTER6!$A$2:$D$8001,4,FALSE())</f>
        <v>0</v>
      </c>
      <c r="BG50" s="0" t="n">
        <f aca="false">VLOOKUP(BG$1+1000*$A50,MASTER6!$A$2:$D$8001,4,FALSE())</f>
        <v>0</v>
      </c>
      <c r="BH50" s="0" t="n">
        <f aca="false">VLOOKUP(BH$1+1000*$A50,MASTER6!$A$2:$D$8001,4,FALSE())</f>
        <v>0</v>
      </c>
      <c r="BI50" s="0" t="n">
        <f aca="false">VLOOKUP(BI$1+1000*$A50,MASTER6!$A$2:$D$8001,4,FALSE())</f>
        <v>0</v>
      </c>
      <c r="BJ50" s="0" t="n">
        <f aca="false">VLOOKUP(BJ$1+1000*$A50,MASTER6!$A$2:$D$8001,4,FALSE())</f>
        <v>0</v>
      </c>
      <c r="BK50" s="0" t="n">
        <f aca="false">VLOOKUP(BK$1+1000*$A50,MASTER6!$A$2:$D$8001,4,FALSE())</f>
        <v>0</v>
      </c>
      <c r="BL50" s="0" t="n">
        <f aca="false">VLOOKUP(BL$1+1000*$A50,MASTER6!$A$2:$D$8001,4,FALSE())</f>
        <v>455</v>
      </c>
      <c r="BM50" s="0" t="n">
        <f aca="false">VLOOKUP(BM$1+1000*$A50,MASTER6!$A$2:$D$8001,4,FALSE())</f>
        <v>78</v>
      </c>
      <c r="BN50" s="0" t="n">
        <f aca="false">VLOOKUP(BN$1+1000*$A50,MASTER6!$A$2:$D$8001,4,FALSE())</f>
        <v>78</v>
      </c>
      <c r="BO50" s="0" t="n">
        <f aca="false">VLOOKUP(BO$1+1000*$A50,MASTER6!$A$2:$D$8001,4,FALSE())</f>
        <v>0</v>
      </c>
      <c r="BP50" s="0" t="n">
        <f aca="false">VLOOKUP(BP$1+1000*$A50,MASTER6!$A$2:$D$8001,4,FALSE())</f>
        <v>130</v>
      </c>
      <c r="BQ50" s="0" t="n">
        <f aca="false">VLOOKUP(BQ$1+1000*$A50,MASTER6!$A$2:$D$8001,4,FALSE())</f>
        <v>0</v>
      </c>
      <c r="BR50" s="0" t="n">
        <f aca="false">VLOOKUP(BR$1+1000*$A50,MASTER6!$A$2:$D$8001,4,FALSE())</f>
        <v>0</v>
      </c>
      <c r="BS50" s="0" t="n">
        <f aca="false">VLOOKUP(BS$1+1000*$A50,MASTER6!$A$2:$D$8001,4,FALSE())</f>
        <v>0</v>
      </c>
      <c r="BT50" s="0" t="n">
        <f aca="false">VLOOKUP(BT$1+1000*$A50,MASTER6!$A$2:$D$8001,4,FALSE())</f>
        <v>0</v>
      </c>
      <c r="BU50" s="0" t="n">
        <f aca="false">VLOOKUP(BU$1+1000*$A50,MASTER6!$A$2:$D$8001,4,FALSE())</f>
        <v>0</v>
      </c>
      <c r="BV50" s="0" t="n">
        <f aca="false">VLOOKUP(BV$1+1000*$A50,MASTER6!$A$2:$D$8001,4,FALSE())</f>
        <v>0</v>
      </c>
      <c r="BW50" s="0" t="e">
        <f aca="false">VLOOKUP(BW$1+1000*$A50,MASTER6!$A$2:$D$8001,4,FALSE())</f>
        <v>#N/A</v>
      </c>
      <c r="BX50" s="0" t="n">
        <f aca="false">VLOOKUP(BX$1+1000*$A50,MASTER6!$A$2:$D$8001,4,FALSE())</f>
        <v>0</v>
      </c>
      <c r="BY50" s="0" t="n">
        <f aca="false">VLOOKUP(BY$1+1000*$A50,MASTER6!$A$2:$D$8001,4,FALSE())</f>
        <v>2405</v>
      </c>
      <c r="BZ50" s="0" t="n">
        <f aca="false">VLOOKUP(BZ$1+1000*$A50,MASTER6!$A$2:$D$8001,4,FALSE())</f>
        <v>0</v>
      </c>
      <c r="CA50" s="0" t="n">
        <f aca="false">VLOOKUP(CA$1+1000*$A50,MASTER6!$A$2:$D$8001,4,FALSE())</f>
        <v>65</v>
      </c>
      <c r="CB50" s="0" t="n">
        <f aca="false">VLOOKUP(CB$1+1000*$A50,MASTER6!$A$2:$D$8001,4,FALSE())</f>
        <v>130</v>
      </c>
      <c r="CC50" s="0" t="n">
        <f aca="false">VLOOKUP(CC$1+1000*$A50,MASTER6!$A$2:$D$8001,4,FALSE())</f>
        <v>130</v>
      </c>
      <c r="CD50" s="0" t="n">
        <f aca="false">VLOOKUP(CD$1+1000*$A50,MASTER6!$A$2:$D$8001,4,FALSE())</f>
        <v>0</v>
      </c>
      <c r="CE50" s="0" t="n">
        <f aca="false">VLOOKUP(CE$1+1000*$A50,MASTER6!$A$2:$D$8001,4,FALSE())</f>
        <v>0</v>
      </c>
      <c r="CF50" s="0" t="n">
        <f aca="false">VLOOKUP(CF$1+1000*$A50,MASTER6!$A$2:$D$8001,4,FALSE())</f>
        <v>0</v>
      </c>
      <c r="CG50" s="0" t="n">
        <f aca="false">VLOOKUP(CG$1+1000*$A50,MASTER6!$A$2:$D$8001,4,FALSE())</f>
        <v>0</v>
      </c>
      <c r="CH50" s="0" t="n">
        <f aca="false">VLOOKUP(CH$1+1000*$A50,MASTER6!$A$2:$D$8001,4,FALSE())</f>
        <v>269724</v>
      </c>
      <c r="CI50" s="0" t="n">
        <f aca="false">VLOOKUP(CI$1+1000*$A50,MASTER6!$A$2:$D$8001,4,FALSE())</f>
        <v>182</v>
      </c>
      <c r="CJ50" s="0" t="e">
        <f aca="false">VLOOKUP(CJ$1+1000*$A50,MASTER6!$A$2:$D$8001,4,FALSE())</f>
        <v>#N/A</v>
      </c>
    </row>
    <row r="51" customFormat="false" ht="12.75" hidden="false" customHeight="false" outlineLevel="0" collapsed="false">
      <c r="A51" s="0" t="n">
        <v>50</v>
      </c>
      <c r="B51" s="0" t="n">
        <f aca="false">VLOOKUP(B$1+1000*$A51,MASTER6!$A$2:$D$8001,4,FALSE())</f>
        <v>0</v>
      </c>
      <c r="C51" s="0" t="n">
        <f aca="false">VLOOKUP(C$1+1000*$A51,MASTER6!$A$2:$D$8001,4,FALSE())</f>
        <v>0</v>
      </c>
      <c r="D51" s="0" t="n">
        <f aca="false">VLOOKUP(D$1+1000*$A51,MASTER6!$A$2:$D$8001,4,FALSE())</f>
        <v>0</v>
      </c>
      <c r="E51" s="0" t="n">
        <f aca="false">VLOOKUP(E$1+1000*$A51,MASTER6!$A$2:$D$8001,4,FALSE())</f>
        <v>0</v>
      </c>
      <c r="F51" s="0" t="n">
        <f aca="false">VLOOKUP(F$1+1000*$A51,MASTER6!$A$2:$D$8001,4,FALSE())</f>
        <v>0</v>
      </c>
      <c r="G51" s="0" t="n">
        <f aca="false">VLOOKUP(G$1+1000*$A51,MASTER6!$A$2:$D$8001,4,FALSE())</f>
        <v>0</v>
      </c>
      <c r="H51" s="0" t="n">
        <f aca="false">VLOOKUP(H$1+1000*$A51,MASTER6!$A$2:$D$8001,4,FALSE())</f>
        <v>0</v>
      </c>
      <c r="I51" s="0" t="n">
        <f aca="false">VLOOKUP(I$1+1000*$A51,MASTER6!$A$2:$D$8001,4,FALSE())</f>
        <v>0</v>
      </c>
      <c r="J51" s="0" t="n">
        <f aca="false">VLOOKUP(J$1+1000*$A51,MASTER6!$A$2:$D$8001,4,FALSE())</f>
        <v>0</v>
      </c>
      <c r="K51" s="0" t="n">
        <f aca="false">VLOOKUP(K$1+1000*$A51,MASTER6!$A$2:$D$8001,4,FALSE())</f>
        <v>117</v>
      </c>
      <c r="L51" s="0" t="n">
        <f aca="false">VLOOKUP(L$1+1000*$A51,MASTER6!$A$2:$D$8001,4,FALSE())</f>
        <v>0</v>
      </c>
      <c r="M51" s="0" t="n">
        <f aca="false">VLOOKUP(M$1+1000*$A51,MASTER6!$A$2:$D$8001,4,FALSE())</f>
        <v>0</v>
      </c>
      <c r="N51" s="0" t="n">
        <f aca="false">VLOOKUP(N$1+1000*$A51,MASTER6!$A$2:$D$8001,4,FALSE())</f>
        <v>0</v>
      </c>
      <c r="O51" s="0" t="n">
        <f aca="false">VLOOKUP(O$1+1000*$A51,MASTER6!$A$2:$D$8001,4,FALSE())</f>
        <v>0</v>
      </c>
      <c r="P51" s="0" t="n">
        <f aca="false">VLOOKUP(P$1+1000*$A51,MASTER6!$A$2:$D$8001,4,FALSE())</f>
        <v>0</v>
      </c>
      <c r="Q51" s="0" t="n">
        <f aca="false">VLOOKUP(Q$1+1000*$A51,MASTER6!$A$2:$D$8001,4,FALSE())</f>
        <v>0</v>
      </c>
      <c r="R51" s="0" t="n">
        <f aca="false">VLOOKUP(R$1+1000*$A51,MASTER6!$A$2:$D$8001,4,FALSE())</f>
        <v>91</v>
      </c>
      <c r="S51" s="0" t="n">
        <f aca="false">VLOOKUP(S$1+1000*$A51,MASTER6!$A$2:$D$8001,4,FALSE())</f>
        <v>1729</v>
      </c>
      <c r="T51" s="0" t="n">
        <f aca="false">VLOOKUP(T$1+1000*$A51,MASTER6!$A$2:$D$8001,4,FALSE())</f>
        <v>819</v>
      </c>
      <c r="U51" s="0" t="n">
        <f aca="false">VLOOKUP(U$1+1000*$A51,MASTER6!$A$2:$D$8001,4,FALSE())</f>
        <v>117</v>
      </c>
      <c r="V51" s="0" t="n">
        <f aca="false">VLOOKUP(V$1+1000*$A51,MASTER6!$A$2:$D$8001,4,FALSE())</f>
        <v>1794</v>
      </c>
      <c r="W51" s="0" t="n">
        <f aca="false">VLOOKUP(W$1+1000*$A51,MASTER6!$A$2:$D$8001,4,FALSE())</f>
        <v>3796</v>
      </c>
      <c r="X51" s="0" t="n">
        <f aca="false">VLOOKUP(X$1+1000*$A51,MASTER6!$A$2:$D$8001,4,FALSE())</f>
        <v>0</v>
      </c>
      <c r="Y51" s="0" t="n">
        <f aca="false">VLOOKUP(Y$1+1000*$A51,MASTER6!$A$2:$D$8001,4,FALSE())</f>
        <v>0</v>
      </c>
      <c r="Z51" s="0" t="n">
        <f aca="false">VLOOKUP(Z$1+1000*$A51,MASTER6!$A$2:$D$8001,4,FALSE())</f>
        <v>0</v>
      </c>
      <c r="AA51" s="0" t="n">
        <f aca="false">VLOOKUP(AA$1+1000*$A51,MASTER6!$A$2:$D$8001,4,FALSE())</f>
        <v>0</v>
      </c>
      <c r="AB51" s="0" t="n">
        <f aca="false">VLOOKUP(AB$1+1000*$A51,MASTER6!$A$2:$D$8001,4,FALSE())</f>
        <v>0</v>
      </c>
      <c r="AC51" s="0" t="n">
        <f aca="false">VLOOKUP(AC$1+1000*$A51,MASTER6!$A$2:$D$8001,4,FALSE())</f>
        <v>0</v>
      </c>
      <c r="AD51" s="0" t="n">
        <f aca="false">VLOOKUP(AD$1+1000*$A51,MASTER6!$A$2:$D$8001,4,FALSE())</f>
        <v>0</v>
      </c>
      <c r="AE51" s="0" t="n">
        <f aca="false">VLOOKUP(AE$1+1000*$A51,MASTER6!$A$2:$D$8001,4,FALSE())</f>
        <v>0</v>
      </c>
      <c r="AF51" s="0" t="n">
        <f aca="false">VLOOKUP(AF$1+1000*$A51,MASTER6!$A$2:$D$8001,4,FALSE())</f>
        <v>0</v>
      </c>
      <c r="AG51" s="0" t="n">
        <f aca="false">VLOOKUP(AG$1+1000*$A51,MASTER6!$A$2:$D$8001,4,FALSE())</f>
        <v>0</v>
      </c>
      <c r="AH51" s="0" t="n">
        <f aca="false">VLOOKUP(AH$1+1000*$A51,MASTER6!$A$2:$D$8001,4,FALSE())</f>
        <v>0</v>
      </c>
      <c r="AI51" s="0" t="n">
        <f aca="false">VLOOKUP(AI$1+1000*$A51,MASTER6!$A$2:$D$8001,4,FALSE())</f>
        <v>0</v>
      </c>
      <c r="AJ51" s="0" t="n">
        <f aca="false">VLOOKUP(AJ$1+1000*$A51,MASTER6!$A$2:$D$8001,4,FALSE())</f>
        <v>0</v>
      </c>
      <c r="AK51" s="0" t="n">
        <f aca="false">VLOOKUP(AK$1+1000*$A51,MASTER6!$A$2:$D$8001,4,FALSE())</f>
        <v>0</v>
      </c>
      <c r="AL51" s="0" t="n">
        <f aca="false">VLOOKUP(AL$1+1000*$A51,MASTER6!$A$2:$D$8001,4,FALSE())</f>
        <v>0</v>
      </c>
      <c r="AM51" s="0" t="n">
        <f aca="false">VLOOKUP(AM$1+1000*$A51,MASTER6!$A$2:$D$8001,4,FALSE())</f>
        <v>0</v>
      </c>
      <c r="AN51" s="0" t="n">
        <f aca="false">VLOOKUP(AN$1+1000*$A51,MASTER6!$A$2:$D$8001,4,FALSE())</f>
        <v>0</v>
      </c>
      <c r="AO51" s="0" t="n">
        <f aca="false">VLOOKUP(AO$1+1000*$A51,MASTER6!$A$2:$D$8001,4,FALSE())</f>
        <v>0</v>
      </c>
      <c r="AP51" s="0" t="n">
        <f aca="false">VLOOKUP(AP$1+1000*$A51,MASTER6!$A$2:$D$8001,4,FALSE())</f>
        <v>0</v>
      </c>
      <c r="AQ51" s="0" t="n">
        <f aca="false">VLOOKUP(AQ$1+1000*$A51,MASTER6!$A$2:$D$8001,4,FALSE())</f>
        <v>0</v>
      </c>
      <c r="AR51" s="0" t="n">
        <f aca="false">VLOOKUP(AR$1+1000*$A51,MASTER6!$A$2:$D$8001,4,FALSE())</f>
        <v>0</v>
      </c>
      <c r="AS51" s="0" t="n">
        <f aca="false">VLOOKUP(AS$1+1000*$A51,MASTER6!$A$2:$D$8001,4,FALSE())</f>
        <v>0</v>
      </c>
      <c r="AT51" s="0" t="n">
        <f aca="false">VLOOKUP(AT$1+1000*$A51,MASTER6!$A$2:$D$8001,4,FALSE())</f>
        <v>0</v>
      </c>
      <c r="AU51" s="0" t="n">
        <f aca="false">VLOOKUP(AU$1+1000*$A51,MASTER6!$A$2:$D$8001,4,FALSE())</f>
        <v>0</v>
      </c>
      <c r="AV51" s="0" t="n">
        <f aca="false">VLOOKUP(AV$1+1000*$A51,MASTER6!$A$2:$D$8001,4,FALSE())</f>
        <v>0</v>
      </c>
      <c r="AW51" s="0" t="n">
        <f aca="false">VLOOKUP(AW$1+1000*$A51,MASTER6!$A$2:$D$8001,4,FALSE())</f>
        <v>0</v>
      </c>
      <c r="AX51" s="0" t="n">
        <f aca="false">VLOOKUP(AX$1+1000*$A51,MASTER6!$A$2:$D$8001,4,FALSE())</f>
        <v>26182</v>
      </c>
      <c r="AY51" s="0" t="n">
        <f aca="false">VLOOKUP(AY$1+1000*$A51,MASTER6!$A$2:$D$8001,4,FALSE())</f>
        <v>23049</v>
      </c>
      <c r="AZ51" s="0" t="n">
        <f aca="false">VLOOKUP(AZ$1+1000*$A51,MASTER6!$A$2:$D$8001,4,FALSE())</f>
        <v>8125</v>
      </c>
      <c r="BA51" s="0" t="n">
        <f aca="false">VLOOKUP(BA$1+1000*$A51,MASTER6!$A$2:$D$8001,4,FALSE())</f>
        <v>0</v>
      </c>
      <c r="BB51" s="0" t="n">
        <f aca="false">VLOOKUP(BB$1+1000*$A51,MASTER6!$A$2:$D$8001,4,FALSE())</f>
        <v>0</v>
      </c>
      <c r="BC51" s="0" t="n">
        <f aca="false">VLOOKUP(BC$1+1000*$A51,MASTER6!$A$2:$D$8001,4,FALSE())</f>
        <v>0</v>
      </c>
      <c r="BD51" s="0" t="n">
        <f aca="false">VLOOKUP(BD$1+1000*$A51,MASTER6!$A$2:$D$8001,4,FALSE())</f>
        <v>0</v>
      </c>
      <c r="BE51" s="0" t="n">
        <f aca="false">VLOOKUP(BE$1+1000*$A51,MASTER6!$A$2:$D$8001,4,FALSE())</f>
        <v>0</v>
      </c>
      <c r="BF51" s="0" t="n">
        <f aca="false">VLOOKUP(BF$1+1000*$A51,MASTER6!$A$2:$D$8001,4,FALSE())</f>
        <v>0</v>
      </c>
      <c r="BG51" s="0" t="n">
        <f aca="false">VLOOKUP(BG$1+1000*$A51,MASTER6!$A$2:$D$8001,4,FALSE())</f>
        <v>0</v>
      </c>
      <c r="BH51" s="0" t="n">
        <f aca="false">VLOOKUP(BH$1+1000*$A51,MASTER6!$A$2:$D$8001,4,FALSE())</f>
        <v>0</v>
      </c>
      <c r="BI51" s="0" t="n">
        <f aca="false">VLOOKUP(BI$1+1000*$A51,MASTER6!$A$2:$D$8001,4,FALSE())</f>
        <v>0</v>
      </c>
      <c r="BJ51" s="0" t="n">
        <f aca="false">VLOOKUP(BJ$1+1000*$A51,MASTER6!$A$2:$D$8001,4,FALSE())</f>
        <v>0</v>
      </c>
      <c r="BK51" s="0" t="n">
        <f aca="false">VLOOKUP(BK$1+1000*$A51,MASTER6!$A$2:$D$8001,4,FALSE())</f>
        <v>0</v>
      </c>
      <c r="BL51" s="0" t="n">
        <f aca="false">VLOOKUP(BL$1+1000*$A51,MASTER6!$A$2:$D$8001,4,FALSE())</f>
        <v>0</v>
      </c>
      <c r="BM51" s="0" t="n">
        <f aca="false">VLOOKUP(BM$1+1000*$A51,MASTER6!$A$2:$D$8001,4,FALSE())</f>
        <v>0</v>
      </c>
      <c r="BN51" s="0" t="n">
        <f aca="false">VLOOKUP(BN$1+1000*$A51,MASTER6!$A$2:$D$8001,4,FALSE())</f>
        <v>0</v>
      </c>
      <c r="BO51" s="0" t="n">
        <f aca="false">VLOOKUP(BO$1+1000*$A51,MASTER6!$A$2:$D$8001,4,FALSE())</f>
        <v>0</v>
      </c>
      <c r="BP51" s="0" t="n">
        <f aca="false">VLOOKUP(BP$1+1000*$A51,MASTER6!$A$2:$D$8001,4,FALSE())</f>
        <v>0</v>
      </c>
      <c r="BQ51" s="0" t="n">
        <f aca="false">VLOOKUP(BQ$1+1000*$A51,MASTER6!$A$2:$D$8001,4,FALSE())</f>
        <v>0</v>
      </c>
      <c r="BR51" s="0" t="n">
        <f aca="false">VLOOKUP(BR$1+1000*$A51,MASTER6!$A$2:$D$8001,4,FALSE())</f>
        <v>0</v>
      </c>
      <c r="BS51" s="0" t="n">
        <f aca="false">VLOOKUP(BS$1+1000*$A51,MASTER6!$A$2:$D$8001,4,FALSE())</f>
        <v>0</v>
      </c>
      <c r="BT51" s="0" t="n">
        <f aca="false">VLOOKUP(BT$1+1000*$A51,MASTER6!$A$2:$D$8001,4,FALSE())</f>
        <v>0</v>
      </c>
      <c r="BU51" s="0" t="n">
        <f aca="false">VLOOKUP(BU$1+1000*$A51,MASTER6!$A$2:$D$8001,4,FALSE())</f>
        <v>0</v>
      </c>
      <c r="BV51" s="0" t="n">
        <f aca="false">VLOOKUP(BV$1+1000*$A51,MASTER6!$A$2:$D$8001,4,FALSE())</f>
        <v>0</v>
      </c>
      <c r="BW51" s="0" t="e">
        <f aca="false">VLOOKUP(BW$1+1000*$A51,MASTER6!$A$2:$D$8001,4,FALSE())</f>
        <v>#N/A</v>
      </c>
      <c r="BX51" s="0" t="n">
        <f aca="false">VLOOKUP(BX$1+1000*$A51,MASTER6!$A$2:$D$8001,4,FALSE())</f>
        <v>0</v>
      </c>
      <c r="BY51" s="0" t="n">
        <f aca="false">VLOOKUP(BY$1+1000*$A51,MASTER6!$A$2:$D$8001,4,FALSE())</f>
        <v>0</v>
      </c>
      <c r="BZ51" s="0" t="n">
        <f aca="false">VLOOKUP(BZ$1+1000*$A51,MASTER6!$A$2:$D$8001,4,FALSE())</f>
        <v>0</v>
      </c>
      <c r="CA51" s="0" t="n">
        <f aca="false">VLOOKUP(CA$1+1000*$A51,MASTER6!$A$2:$D$8001,4,FALSE())</f>
        <v>0</v>
      </c>
      <c r="CB51" s="0" t="n">
        <f aca="false">VLOOKUP(CB$1+1000*$A51,MASTER6!$A$2:$D$8001,4,FALSE())</f>
        <v>0</v>
      </c>
      <c r="CC51" s="0" t="n">
        <f aca="false">VLOOKUP(CC$1+1000*$A51,MASTER6!$A$2:$D$8001,4,FALSE())</f>
        <v>0</v>
      </c>
      <c r="CD51" s="0" t="n">
        <f aca="false">VLOOKUP(CD$1+1000*$A51,MASTER6!$A$2:$D$8001,4,FALSE())</f>
        <v>0</v>
      </c>
      <c r="CE51" s="0" t="n">
        <f aca="false">VLOOKUP(CE$1+1000*$A51,MASTER6!$A$2:$D$8001,4,FALSE())</f>
        <v>0</v>
      </c>
      <c r="CF51" s="0" t="n">
        <f aca="false">VLOOKUP(CF$1+1000*$A51,MASTER6!$A$2:$D$8001,4,FALSE())</f>
        <v>0</v>
      </c>
      <c r="CG51" s="0" t="n">
        <f aca="false">VLOOKUP(CG$1+1000*$A51,MASTER6!$A$2:$D$8001,4,FALSE())</f>
        <v>0</v>
      </c>
      <c r="CH51" s="0" t="n">
        <f aca="false">VLOOKUP(CH$1+1000*$A51,MASTER6!$A$2:$D$8001,4,FALSE())</f>
        <v>44824</v>
      </c>
      <c r="CI51" s="0" t="n">
        <f aca="false">VLOOKUP(CI$1+1000*$A51,MASTER6!$A$2:$D$8001,4,FALSE())</f>
        <v>0</v>
      </c>
      <c r="CJ51" s="0" t="e">
        <f aca="false">VLOOKUP(CJ$1+1000*$A51,MASTER6!$A$2:$D$8001,4,FALSE())</f>
        <v>#N/A</v>
      </c>
    </row>
    <row r="52" customFormat="false" ht="12.75" hidden="false" customHeight="false" outlineLevel="0" collapsed="false">
      <c r="A52" s="0" t="n">
        <v>51</v>
      </c>
      <c r="B52" s="0" t="n">
        <f aca="false">VLOOKUP(B$1+1000*$A52,MASTER6!$A$2:$D$8001,4,FALSE())</f>
        <v>0</v>
      </c>
      <c r="C52" s="0" t="n">
        <f aca="false">VLOOKUP(C$1+1000*$A52,MASTER6!$A$2:$D$8001,4,FALSE())</f>
        <v>0</v>
      </c>
      <c r="D52" s="0" t="n">
        <f aca="false">VLOOKUP(D$1+1000*$A52,MASTER6!$A$2:$D$8001,4,FALSE())</f>
        <v>0</v>
      </c>
      <c r="E52" s="0" t="n">
        <f aca="false">VLOOKUP(E$1+1000*$A52,MASTER6!$A$2:$D$8001,4,FALSE())</f>
        <v>0</v>
      </c>
      <c r="F52" s="0" t="n">
        <f aca="false">VLOOKUP(F$1+1000*$A52,MASTER6!$A$2:$D$8001,4,FALSE())</f>
        <v>0</v>
      </c>
      <c r="G52" s="0" t="n">
        <f aca="false">VLOOKUP(G$1+1000*$A52,MASTER6!$A$2:$D$8001,4,FALSE())</f>
        <v>0</v>
      </c>
      <c r="H52" s="0" t="n">
        <f aca="false">VLOOKUP(H$1+1000*$A52,MASTER6!$A$2:$D$8001,4,FALSE())</f>
        <v>0</v>
      </c>
      <c r="I52" s="0" t="n">
        <f aca="false">VLOOKUP(I$1+1000*$A52,MASTER6!$A$2:$D$8001,4,FALSE())</f>
        <v>0</v>
      </c>
      <c r="J52" s="0" t="n">
        <f aca="false">VLOOKUP(J$1+1000*$A52,MASTER6!$A$2:$D$8001,4,FALSE())</f>
        <v>0</v>
      </c>
      <c r="K52" s="0" t="n">
        <f aca="false">VLOOKUP(K$1+1000*$A52,MASTER6!$A$2:$D$8001,4,FALSE())</f>
        <v>221</v>
      </c>
      <c r="L52" s="0" t="n">
        <f aca="false">VLOOKUP(L$1+1000*$A52,MASTER6!$A$2:$D$8001,4,FALSE())</f>
        <v>78</v>
      </c>
      <c r="M52" s="0" t="n">
        <f aca="false">VLOOKUP(M$1+1000*$A52,MASTER6!$A$2:$D$8001,4,FALSE())</f>
        <v>0</v>
      </c>
      <c r="N52" s="0" t="n">
        <f aca="false">VLOOKUP(N$1+1000*$A52,MASTER6!$A$2:$D$8001,4,FALSE())</f>
        <v>0</v>
      </c>
      <c r="O52" s="0" t="n">
        <f aca="false">VLOOKUP(O$1+1000*$A52,MASTER6!$A$2:$D$8001,4,FALSE())</f>
        <v>0</v>
      </c>
      <c r="P52" s="0" t="n">
        <f aca="false">VLOOKUP(P$1+1000*$A52,MASTER6!$A$2:$D$8001,4,FALSE())</f>
        <v>78</v>
      </c>
      <c r="Q52" s="0" t="n">
        <f aca="false">VLOOKUP(Q$1+1000*$A52,MASTER6!$A$2:$D$8001,4,FALSE())</f>
        <v>273</v>
      </c>
      <c r="R52" s="0" t="n">
        <f aca="false">VLOOKUP(R$1+1000*$A52,MASTER6!$A$2:$D$8001,4,FALSE())</f>
        <v>65</v>
      </c>
      <c r="S52" s="0" t="n">
        <f aca="false">VLOOKUP(S$1+1000*$A52,MASTER6!$A$2:$D$8001,4,FALSE())</f>
        <v>4173</v>
      </c>
      <c r="T52" s="0" t="n">
        <f aca="false">VLOOKUP(T$1+1000*$A52,MASTER6!$A$2:$D$8001,4,FALSE())</f>
        <v>4056</v>
      </c>
      <c r="U52" s="0" t="n">
        <f aca="false">VLOOKUP(U$1+1000*$A52,MASTER6!$A$2:$D$8001,4,FALSE())</f>
        <v>247</v>
      </c>
      <c r="V52" s="0" t="n">
        <f aca="false">VLOOKUP(V$1+1000*$A52,MASTER6!$A$2:$D$8001,4,FALSE())</f>
        <v>12883</v>
      </c>
      <c r="W52" s="0" t="n">
        <f aca="false">VLOOKUP(W$1+1000*$A52,MASTER6!$A$2:$D$8001,4,FALSE())</f>
        <v>9919</v>
      </c>
      <c r="X52" s="0" t="n">
        <f aca="false">VLOOKUP(X$1+1000*$A52,MASTER6!$A$2:$D$8001,4,FALSE())</f>
        <v>0</v>
      </c>
      <c r="Y52" s="0" t="n">
        <f aca="false">VLOOKUP(Y$1+1000*$A52,MASTER6!$A$2:$D$8001,4,FALSE())</f>
        <v>0</v>
      </c>
      <c r="Z52" s="0" t="n">
        <f aca="false">VLOOKUP(Z$1+1000*$A52,MASTER6!$A$2:$D$8001,4,FALSE())</f>
        <v>0</v>
      </c>
      <c r="AA52" s="0" t="n">
        <f aca="false">VLOOKUP(AA$1+1000*$A52,MASTER6!$A$2:$D$8001,4,FALSE())</f>
        <v>0</v>
      </c>
      <c r="AB52" s="0" t="n">
        <f aca="false">VLOOKUP(AB$1+1000*$A52,MASTER6!$A$2:$D$8001,4,FALSE())</f>
        <v>104</v>
      </c>
      <c r="AC52" s="0" t="n">
        <f aca="false">VLOOKUP(AC$1+1000*$A52,MASTER6!$A$2:$D$8001,4,FALSE())</f>
        <v>130</v>
      </c>
      <c r="AD52" s="0" t="n">
        <f aca="false">VLOOKUP(AD$1+1000*$A52,MASTER6!$A$2:$D$8001,4,FALSE())</f>
        <v>468</v>
      </c>
      <c r="AE52" s="0" t="n">
        <f aca="false">VLOOKUP(AE$1+1000*$A52,MASTER6!$A$2:$D$8001,4,FALSE())</f>
        <v>0</v>
      </c>
      <c r="AF52" s="0" t="n">
        <f aca="false">VLOOKUP(AF$1+1000*$A52,MASTER6!$A$2:$D$8001,4,FALSE())</f>
        <v>0</v>
      </c>
      <c r="AG52" s="0" t="n">
        <f aca="false">VLOOKUP(AG$1+1000*$A52,MASTER6!$A$2:$D$8001,4,FALSE())</f>
        <v>65</v>
      </c>
      <c r="AH52" s="0" t="n">
        <f aca="false">VLOOKUP(AH$1+1000*$A52,MASTER6!$A$2:$D$8001,4,FALSE())</f>
        <v>0</v>
      </c>
      <c r="AI52" s="0" t="n">
        <f aca="false">VLOOKUP(AI$1+1000*$A52,MASTER6!$A$2:$D$8001,4,FALSE())</f>
        <v>0</v>
      </c>
      <c r="AJ52" s="0" t="n">
        <f aca="false">VLOOKUP(AJ$1+1000*$A52,MASTER6!$A$2:$D$8001,4,FALSE())</f>
        <v>0</v>
      </c>
      <c r="AK52" s="0" t="n">
        <f aca="false">VLOOKUP(AK$1+1000*$A52,MASTER6!$A$2:$D$8001,4,FALSE())</f>
        <v>0</v>
      </c>
      <c r="AL52" s="0" t="n">
        <f aca="false">VLOOKUP(AL$1+1000*$A52,MASTER6!$A$2:$D$8001,4,FALSE())</f>
        <v>78</v>
      </c>
      <c r="AM52" s="0" t="n">
        <f aca="false">VLOOKUP(AM$1+1000*$A52,MASTER6!$A$2:$D$8001,4,FALSE())</f>
        <v>91</v>
      </c>
      <c r="AN52" s="0" t="n">
        <f aca="false">VLOOKUP(AN$1+1000*$A52,MASTER6!$A$2:$D$8001,4,FALSE())</f>
        <v>273</v>
      </c>
      <c r="AO52" s="0" t="n">
        <f aca="false">VLOOKUP(AO$1+1000*$A52,MASTER6!$A$2:$D$8001,4,FALSE())</f>
        <v>0</v>
      </c>
      <c r="AP52" s="0" t="n">
        <f aca="false">VLOOKUP(AP$1+1000*$A52,MASTER6!$A$2:$D$8001,4,FALSE())</f>
        <v>0</v>
      </c>
      <c r="AQ52" s="0" t="n">
        <f aca="false">VLOOKUP(AQ$1+1000*$A52,MASTER6!$A$2:$D$8001,4,FALSE())</f>
        <v>0</v>
      </c>
      <c r="AR52" s="0" t="n">
        <f aca="false">VLOOKUP(AR$1+1000*$A52,MASTER6!$A$2:$D$8001,4,FALSE())</f>
        <v>0</v>
      </c>
      <c r="AS52" s="0" t="n">
        <f aca="false">VLOOKUP(AS$1+1000*$A52,MASTER6!$A$2:$D$8001,4,FALSE())</f>
        <v>0</v>
      </c>
      <c r="AT52" s="0" t="n">
        <f aca="false">VLOOKUP(AT$1+1000*$A52,MASTER6!$A$2:$D$8001,4,FALSE())</f>
        <v>0</v>
      </c>
      <c r="AU52" s="0" t="n">
        <f aca="false">VLOOKUP(AU$1+1000*$A52,MASTER6!$A$2:$D$8001,4,FALSE())</f>
        <v>0</v>
      </c>
      <c r="AV52" s="0" t="n">
        <f aca="false">VLOOKUP(AV$1+1000*$A52,MASTER6!$A$2:$D$8001,4,FALSE())</f>
        <v>0</v>
      </c>
      <c r="AW52" s="0" t="n">
        <f aca="false">VLOOKUP(AW$1+1000*$A52,MASTER6!$A$2:$D$8001,4,FALSE())</f>
        <v>65</v>
      </c>
      <c r="AX52" s="0" t="n">
        <f aca="false">VLOOKUP(AX$1+1000*$A52,MASTER6!$A$2:$D$8001,4,FALSE())</f>
        <v>127478</v>
      </c>
      <c r="AY52" s="0" t="n">
        <f aca="false">VLOOKUP(AY$1+1000*$A52,MASTER6!$A$2:$D$8001,4,FALSE())</f>
        <v>33527</v>
      </c>
      <c r="AZ52" s="0" t="n">
        <f aca="false">VLOOKUP(AZ$1+1000*$A52,MASTER6!$A$2:$D$8001,4,FALSE())</f>
        <v>211692</v>
      </c>
      <c r="BA52" s="0" t="n">
        <f aca="false">VLOOKUP(BA$1+1000*$A52,MASTER6!$A$2:$D$8001,4,FALSE())</f>
        <v>78</v>
      </c>
      <c r="BB52" s="0" t="n">
        <f aca="false">VLOOKUP(BB$1+1000*$A52,MASTER6!$A$2:$D$8001,4,FALSE())</f>
        <v>0</v>
      </c>
      <c r="BC52" s="0" t="n">
        <f aca="false">VLOOKUP(BC$1+1000*$A52,MASTER6!$A$2:$D$8001,4,FALSE())</f>
        <v>0</v>
      </c>
      <c r="BD52" s="0" t="n">
        <f aca="false">VLOOKUP(BD$1+1000*$A52,MASTER6!$A$2:$D$8001,4,FALSE())</f>
        <v>52</v>
      </c>
      <c r="BE52" s="0" t="n">
        <f aca="false">VLOOKUP(BE$1+1000*$A52,MASTER6!$A$2:$D$8001,4,FALSE())</f>
        <v>0</v>
      </c>
      <c r="BF52" s="0" t="n">
        <f aca="false">VLOOKUP(BF$1+1000*$A52,MASTER6!$A$2:$D$8001,4,FALSE())</f>
        <v>0</v>
      </c>
      <c r="BG52" s="0" t="n">
        <f aca="false">VLOOKUP(BG$1+1000*$A52,MASTER6!$A$2:$D$8001,4,FALSE())</f>
        <v>0</v>
      </c>
      <c r="BH52" s="0" t="n">
        <f aca="false">VLOOKUP(BH$1+1000*$A52,MASTER6!$A$2:$D$8001,4,FALSE())</f>
        <v>0</v>
      </c>
      <c r="BI52" s="0" t="n">
        <f aca="false">VLOOKUP(BI$1+1000*$A52,MASTER6!$A$2:$D$8001,4,FALSE())</f>
        <v>0</v>
      </c>
      <c r="BJ52" s="0" t="n">
        <f aca="false">VLOOKUP(BJ$1+1000*$A52,MASTER6!$A$2:$D$8001,4,FALSE())</f>
        <v>0</v>
      </c>
      <c r="BK52" s="0" t="n">
        <f aca="false">VLOOKUP(BK$1+1000*$A52,MASTER6!$A$2:$D$8001,4,FALSE())</f>
        <v>0</v>
      </c>
      <c r="BL52" s="0" t="n">
        <f aca="false">VLOOKUP(BL$1+1000*$A52,MASTER6!$A$2:$D$8001,4,FALSE())</f>
        <v>0</v>
      </c>
      <c r="BM52" s="0" t="n">
        <f aca="false">VLOOKUP(BM$1+1000*$A52,MASTER6!$A$2:$D$8001,4,FALSE())</f>
        <v>0</v>
      </c>
      <c r="BN52" s="0" t="n">
        <f aca="false">VLOOKUP(BN$1+1000*$A52,MASTER6!$A$2:$D$8001,4,FALSE())</f>
        <v>234</v>
      </c>
      <c r="BO52" s="0" t="n">
        <f aca="false">VLOOKUP(BO$1+1000*$A52,MASTER6!$A$2:$D$8001,4,FALSE())</f>
        <v>0</v>
      </c>
      <c r="BP52" s="0" t="n">
        <f aca="false">VLOOKUP(BP$1+1000*$A52,MASTER6!$A$2:$D$8001,4,FALSE())</f>
        <v>0</v>
      </c>
      <c r="BQ52" s="0" t="n">
        <f aca="false">VLOOKUP(BQ$1+1000*$A52,MASTER6!$A$2:$D$8001,4,FALSE())</f>
        <v>0</v>
      </c>
      <c r="BR52" s="0" t="n">
        <f aca="false">VLOOKUP(BR$1+1000*$A52,MASTER6!$A$2:$D$8001,4,FALSE())</f>
        <v>0</v>
      </c>
      <c r="BS52" s="0" t="n">
        <f aca="false">VLOOKUP(BS$1+1000*$A52,MASTER6!$A$2:$D$8001,4,FALSE())</f>
        <v>0</v>
      </c>
      <c r="BT52" s="0" t="n">
        <f aca="false">VLOOKUP(BT$1+1000*$A52,MASTER6!$A$2:$D$8001,4,FALSE())</f>
        <v>0</v>
      </c>
      <c r="BU52" s="0" t="n">
        <f aca="false">VLOOKUP(BU$1+1000*$A52,MASTER6!$A$2:$D$8001,4,FALSE())</f>
        <v>0</v>
      </c>
      <c r="BV52" s="0" t="n">
        <f aca="false">VLOOKUP(BV$1+1000*$A52,MASTER6!$A$2:$D$8001,4,FALSE())</f>
        <v>130</v>
      </c>
      <c r="BW52" s="0" t="e">
        <f aca="false">VLOOKUP(BW$1+1000*$A52,MASTER6!$A$2:$D$8001,4,FALSE())</f>
        <v>#N/A</v>
      </c>
      <c r="BX52" s="0" t="n">
        <f aca="false">VLOOKUP(BX$1+1000*$A52,MASTER6!$A$2:$D$8001,4,FALSE())</f>
        <v>0</v>
      </c>
      <c r="BY52" s="0" t="n">
        <f aca="false">VLOOKUP(BY$1+1000*$A52,MASTER6!$A$2:$D$8001,4,FALSE())</f>
        <v>2470</v>
      </c>
      <c r="BZ52" s="0" t="n">
        <f aca="false">VLOOKUP(BZ$1+1000*$A52,MASTER6!$A$2:$D$8001,4,FALSE())</f>
        <v>0</v>
      </c>
      <c r="CA52" s="0" t="n">
        <f aca="false">VLOOKUP(CA$1+1000*$A52,MASTER6!$A$2:$D$8001,4,FALSE())</f>
        <v>0</v>
      </c>
      <c r="CB52" s="0" t="n">
        <f aca="false">VLOOKUP(CB$1+1000*$A52,MASTER6!$A$2:$D$8001,4,FALSE())</f>
        <v>0</v>
      </c>
      <c r="CC52" s="0" t="n">
        <f aca="false">VLOOKUP(CC$1+1000*$A52,MASTER6!$A$2:$D$8001,4,FALSE())</f>
        <v>0</v>
      </c>
      <c r="CD52" s="0" t="n">
        <f aca="false">VLOOKUP(CD$1+1000*$A52,MASTER6!$A$2:$D$8001,4,FALSE())</f>
        <v>0</v>
      </c>
      <c r="CE52" s="0" t="n">
        <f aca="false">VLOOKUP(CE$1+1000*$A52,MASTER6!$A$2:$D$8001,4,FALSE())</f>
        <v>0</v>
      </c>
      <c r="CF52" s="0" t="n">
        <f aca="false">VLOOKUP(CF$1+1000*$A52,MASTER6!$A$2:$D$8001,4,FALSE())</f>
        <v>0</v>
      </c>
      <c r="CG52" s="0" t="n">
        <f aca="false">VLOOKUP(CG$1+1000*$A52,MASTER6!$A$2:$D$8001,4,FALSE())</f>
        <v>0</v>
      </c>
      <c r="CH52" s="0" t="n">
        <f aca="false">VLOOKUP(CH$1+1000*$A52,MASTER6!$A$2:$D$8001,4,FALSE())</f>
        <v>371969</v>
      </c>
      <c r="CI52" s="0" t="n">
        <f aca="false">VLOOKUP(CI$1+1000*$A52,MASTER6!$A$2:$D$8001,4,FALSE())</f>
        <v>0</v>
      </c>
      <c r="CJ52" s="0" t="e">
        <f aca="false">VLOOKUP(CJ$1+1000*$A52,MASTER6!$A$2:$D$8001,4,FALSE())</f>
        <v>#N/A</v>
      </c>
    </row>
    <row r="53" customFormat="false" ht="12.75" hidden="false" customHeight="false" outlineLevel="0" collapsed="false">
      <c r="A53" s="0" t="n">
        <v>52</v>
      </c>
      <c r="B53" s="0" t="n">
        <f aca="false">VLOOKUP(B$1+1000*$A53,MASTER6!$A$2:$D$8001,4,FALSE())</f>
        <v>0</v>
      </c>
      <c r="C53" s="0" t="n">
        <f aca="false">VLOOKUP(C$1+1000*$A53,MASTER6!$A$2:$D$8001,4,FALSE())</f>
        <v>104</v>
      </c>
      <c r="D53" s="0" t="n">
        <f aca="false">VLOOKUP(D$1+1000*$A53,MASTER6!$A$2:$D$8001,4,FALSE())</f>
        <v>0</v>
      </c>
      <c r="E53" s="0" t="n">
        <f aca="false">VLOOKUP(E$1+1000*$A53,MASTER6!$A$2:$D$8001,4,FALSE())</f>
        <v>0</v>
      </c>
      <c r="F53" s="0" t="n">
        <f aca="false">VLOOKUP(F$1+1000*$A53,MASTER6!$A$2:$D$8001,4,FALSE())</f>
        <v>0</v>
      </c>
      <c r="G53" s="0" t="n">
        <f aca="false">VLOOKUP(G$1+1000*$A53,MASTER6!$A$2:$D$8001,4,FALSE())</f>
        <v>0</v>
      </c>
      <c r="H53" s="0" t="n">
        <f aca="false">VLOOKUP(H$1+1000*$A53,MASTER6!$A$2:$D$8001,4,FALSE())</f>
        <v>0</v>
      </c>
      <c r="I53" s="0" t="n">
        <f aca="false">VLOOKUP(I$1+1000*$A53,MASTER6!$A$2:$D$8001,4,FALSE())</f>
        <v>0</v>
      </c>
      <c r="J53" s="0" t="n">
        <f aca="false">VLOOKUP(J$1+1000*$A53,MASTER6!$A$2:$D$8001,4,FALSE())</f>
        <v>0</v>
      </c>
      <c r="K53" s="0" t="n">
        <f aca="false">VLOOKUP(K$1+1000*$A53,MASTER6!$A$2:$D$8001,4,FALSE())</f>
        <v>0</v>
      </c>
      <c r="L53" s="0" t="n">
        <f aca="false">VLOOKUP(L$1+1000*$A53,MASTER6!$A$2:$D$8001,4,FALSE())</f>
        <v>0</v>
      </c>
      <c r="M53" s="0" t="n">
        <f aca="false">VLOOKUP(M$1+1000*$A53,MASTER6!$A$2:$D$8001,4,FALSE())</f>
        <v>0</v>
      </c>
      <c r="N53" s="0" t="n">
        <f aca="false">VLOOKUP(N$1+1000*$A53,MASTER6!$A$2:$D$8001,4,FALSE())</f>
        <v>0</v>
      </c>
      <c r="O53" s="0" t="n">
        <f aca="false">VLOOKUP(O$1+1000*$A53,MASTER6!$A$2:$D$8001,4,FALSE())</f>
        <v>0</v>
      </c>
      <c r="P53" s="0" t="n">
        <f aca="false">VLOOKUP(P$1+1000*$A53,MASTER6!$A$2:$D$8001,4,FALSE())</f>
        <v>0</v>
      </c>
      <c r="Q53" s="0" t="n">
        <f aca="false">VLOOKUP(Q$1+1000*$A53,MASTER6!$A$2:$D$8001,4,FALSE())</f>
        <v>0</v>
      </c>
      <c r="R53" s="0" t="n">
        <f aca="false">VLOOKUP(R$1+1000*$A53,MASTER6!$A$2:$D$8001,4,FALSE())</f>
        <v>0</v>
      </c>
      <c r="S53" s="0" t="n">
        <f aca="false">VLOOKUP(S$1+1000*$A53,MASTER6!$A$2:$D$8001,4,FALSE())</f>
        <v>0</v>
      </c>
      <c r="T53" s="0" t="n">
        <f aca="false">VLOOKUP(T$1+1000*$A53,MASTER6!$A$2:$D$8001,4,FALSE())</f>
        <v>234</v>
      </c>
      <c r="U53" s="0" t="n">
        <f aca="false">VLOOKUP(U$1+1000*$A53,MASTER6!$A$2:$D$8001,4,FALSE())</f>
        <v>0</v>
      </c>
      <c r="V53" s="0" t="n">
        <f aca="false">VLOOKUP(V$1+1000*$A53,MASTER6!$A$2:$D$8001,4,FALSE())</f>
        <v>156</v>
      </c>
      <c r="W53" s="0" t="n">
        <f aca="false">VLOOKUP(W$1+1000*$A53,MASTER6!$A$2:$D$8001,4,FALSE())</f>
        <v>0</v>
      </c>
      <c r="X53" s="0" t="n">
        <f aca="false">VLOOKUP(X$1+1000*$A53,MASTER6!$A$2:$D$8001,4,FALSE())</f>
        <v>0</v>
      </c>
      <c r="Y53" s="0" t="n">
        <f aca="false">VLOOKUP(Y$1+1000*$A53,MASTER6!$A$2:$D$8001,4,FALSE())</f>
        <v>0</v>
      </c>
      <c r="Z53" s="0" t="n">
        <f aca="false">VLOOKUP(Z$1+1000*$A53,MASTER6!$A$2:$D$8001,4,FALSE())</f>
        <v>0</v>
      </c>
      <c r="AA53" s="0" t="n">
        <f aca="false">VLOOKUP(AA$1+1000*$A53,MASTER6!$A$2:$D$8001,4,FALSE())</f>
        <v>0</v>
      </c>
      <c r="AB53" s="0" t="n">
        <f aca="false">VLOOKUP(AB$1+1000*$A53,MASTER6!$A$2:$D$8001,4,FALSE())</f>
        <v>0</v>
      </c>
      <c r="AC53" s="0" t="n">
        <f aca="false">VLOOKUP(AC$1+1000*$A53,MASTER6!$A$2:$D$8001,4,FALSE())</f>
        <v>104</v>
      </c>
      <c r="AD53" s="0" t="n">
        <f aca="false">VLOOKUP(AD$1+1000*$A53,MASTER6!$A$2:$D$8001,4,FALSE())</f>
        <v>0</v>
      </c>
      <c r="AE53" s="0" t="n">
        <f aca="false">VLOOKUP(AE$1+1000*$A53,MASTER6!$A$2:$D$8001,4,FALSE())</f>
        <v>0</v>
      </c>
      <c r="AF53" s="0" t="n">
        <f aca="false">VLOOKUP(AF$1+1000*$A53,MASTER6!$A$2:$D$8001,4,FALSE())</f>
        <v>156</v>
      </c>
      <c r="AG53" s="0" t="n">
        <f aca="false">VLOOKUP(AG$1+1000*$A53,MASTER6!$A$2:$D$8001,4,FALSE())</f>
        <v>0</v>
      </c>
      <c r="AH53" s="0" t="n">
        <f aca="false">VLOOKUP(AH$1+1000*$A53,MASTER6!$A$2:$D$8001,4,FALSE())</f>
        <v>52</v>
      </c>
      <c r="AI53" s="0" t="n">
        <f aca="false">VLOOKUP(AI$1+1000*$A53,MASTER6!$A$2:$D$8001,4,FALSE())</f>
        <v>0</v>
      </c>
      <c r="AJ53" s="0" t="n">
        <f aca="false">VLOOKUP(AJ$1+1000*$A53,MASTER6!$A$2:$D$8001,4,FALSE())</f>
        <v>0</v>
      </c>
      <c r="AK53" s="0" t="n">
        <f aca="false">VLOOKUP(AK$1+1000*$A53,MASTER6!$A$2:$D$8001,4,FALSE())</f>
        <v>0</v>
      </c>
      <c r="AL53" s="0" t="n">
        <f aca="false">VLOOKUP(AL$1+1000*$A53,MASTER6!$A$2:$D$8001,4,FALSE())</f>
        <v>0</v>
      </c>
      <c r="AM53" s="0" t="n">
        <f aca="false">VLOOKUP(AM$1+1000*$A53,MASTER6!$A$2:$D$8001,4,FALSE())</f>
        <v>0</v>
      </c>
      <c r="AN53" s="0" t="n">
        <f aca="false">VLOOKUP(AN$1+1000*$A53,MASTER6!$A$2:$D$8001,4,FALSE())</f>
        <v>0</v>
      </c>
      <c r="AO53" s="0" t="n">
        <f aca="false">VLOOKUP(AO$1+1000*$A53,MASTER6!$A$2:$D$8001,4,FALSE())</f>
        <v>0</v>
      </c>
      <c r="AP53" s="0" t="n">
        <f aca="false">VLOOKUP(AP$1+1000*$A53,MASTER6!$A$2:$D$8001,4,FALSE())</f>
        <v>0</v>
      </c>
      <c r="AQ53" s="0" t="n">
        <f aca="false">VLOOKUP(AQ$1+1000*$A53,MASTER6!$A$2:$D$8001,4,FALSE())</f>
        <v>0</v>
      </c>
      <c r="AR53" s="0" t="n">
        <f aca="false">VLOOKUP(AR$1+1000*$A53,MASTER6!$A$2:$D$8001,4,FALSE())</f>
        <v>0</v>
      </c>
      <c r="AS53" s="0" t="n">
        <f aca="false">VLOOKUP(AS$1+1000*$A53,MASTER6!$A$2:$D$8001,4,FALSE())</f>
        <v>0</v>
      </c>
      <c r="AT53" s="0" t="n">
        <f aca="false">VLOOKUP(AT$1+1000*$A53,MASTER6!$A$2:$D$8001,4,FALSE())</f>
        <v>0</v>
      </c>
      <c r="AU53" s="0" t="n">
        <f aca="false">VLOOKUP(AU$1+1000*$A53,MASTER6!$A$2:$D$8001,4,FALSE())</f>
        <v>104</v>
      </c>
      <c r="AV53" s="0" t="n">
        <f aca="false">VLOOKUP(AV$1+1000*$A53,MASTER6!$A$2:$D$8001,4,FALSE())</f>
        <v>0</v>
      </c>
      <c r="AW53" s="0" t="n">
        <f aca="false">VLOOKUP(AW$1+1000*$A53,MASTER6!$A$2:$D$8001,4,FALSE())</f>
        <v>338</v>
      </c>
      <c r="AX53" s="0" t="n">
        <f aca="false">VLOOKUP(AX$1+1000*$A53,MASTER6!$A$2:$D$8001,4,FALSE())</f>
        <v>0</v>
      </c>
      <c r="AY53" s="0" t="n">
        <f aca="false">VLOOKUP(AY$1+1000*$A53,MASTER6!$A$2:$D$8001,4,FALSE())</f>
        <v>0</v>
      </c>
      <c r="AZ53" s="0" t="n">
        <f aca="false">VLOOKUP(AZ$1+1000*$A53,MASTER6!$A$2:$D$8001,4,FALSE())</f>
        <v>0</v>
      </c>
      <c r="BA53" s="0" t="n">
        <f aca="false">VLOOKUP(BA$1+1000*$A53,MASTER6!$A$2:$D$8001,4,FALSE())</f>
        <v>21307</v>
      </c>
      <c r="BB53" s="0" t="n">
        <f aca="false">VLOOKUP(BB$1+1000*$A53,MASTER6!$A$2:$D$8001,4,FALSE())</f>
        <v>5239</v>
      </c>
      <c r="BC53" s="0" t="n">
        <f aca="false">VLOOKUP(BC$1+1000*$A53,MASTER6!$A$2:$D$8001,4,FALSE())</f>
        <v>91</v>
      </c>
      <c r="BD53" s="0" t="n">
        <f aca="false">VLOOKUP(BD$1+1000*$A53,MASTER6!$A$2:$D$8001,4,FALSE())</f>
        <v>78</v>
      </c>
      <c r="BE53" s="0" t="n">
        <f aca="false">VLOOKUP(BE$1+1000*$A53,MASTER6!$A$2:$D$8001,4,FALSE())</f>
        <v>598</v>
      </c>
      <c r="BF53" s="0" t="n">
        <f aca="false">VLOOKUP(BF$1+1000*$A53,MASTER6!$A$2:$D$8001,4,FALSE())</f>
        <v>117</v>
      </c>
      <c r="BG53" s="0" t="n">
        <f aca="false">VLOOKUP(BG$1+1000*$A53,MASTER6!$A$2:$D$8001,4,FALSE())</f>
        <v>117</v>
      </c>
      <c r="BH53" s="0" t="n">
        <f aca="false">VLOOKUP(BH$1+1000*$A53,MASTER6!$A$2:$D$8001,4,FALSE())</f>
        <v>156</v>
      </c>
      <c r="BI53" s="0" t="n">
        <f aca="false">VLOOKUP(BI$1+1000*$A53,MASTER6!$A$2:$D$8001,4,FALSE())</f>
        <v>0</v>
      </c>
      <c r="BJ53" s="0" t="n">
        <f aca="false">VLOOKUP(BJ$1+1000*$A53,MASTER6!$A$2:$D$8001,4,FALSE())</f>
        <v>429</v>
      </c>
      <c r="BK53" s="0" t="n">
        <f aca="false">VLOOKUP(BK$1+1000*$A53,MASTER6!$A$2:$D$8001,4,FALSE())</f>
        <v>598</v>
      </c>
      <c r="BL53" s="0" t="n">
        <f aca="false">VLOOKUP(BL$1+1000*$A53,MASTER6!$A$2:$D$8001,4,FALSE())</f>
        <v>1053</v>
      </c>
      <c r="BM53" s="0" t="n">
        <f aca="false">VLOOKUP(BM$1+1000*$A53,MASTER6!$A$2:$D$8001,4,FALSE())</f>
        <v>3614</v>
      </c>
      <c r="BN53" s="0" t="n">
        <f aca="false">VLOOKUP(BN$1+1000*$A53,MASTER6!$A$2:$D$8001,4,FALSE())</f>
        <v>25688</v>
      </c>
      <c r="BO53" s="0" t="n">
        <f aca="false">VLOOKUP(BO$1+1000*$A53,MASTER6!$A$2:$D$8001,4,FALSE())</f>
        <v>52</v>
      </c>
      <c r="BP53" s="0" t="n">
        <f aca="false">VLOOKUP(BP$1+1000*$A53,MASTER6!$A$2:$D$8001,4,FALSE())</f>
        <v>260</v>
      </c>
      <c r="BQ53" s="0" t="n">
        <f aca="false">VLOOKUP(BQ$1+1000*$A53,MASTER6!$A$2:$D$8001,4,FALSE())</f>
        <v>182</v>
      </c>
      <c r="BR53" s="0" t="n">
        <f aca="false">VLOOKUP(BR$1+1000*$A53,MASTER6!$A$2:$D$8001,4,FALSE())</f>
        <v>117</v>
      </c>
      <c r="BS53" s="0" t="n">
        <f aca="false">VLOOKUP(BS$1+1000*$A53,MASTER6!$A$2:$D$8001,4,FALSE())</f>
        <v>0</v>
      </c>
      <c r="BT53" s="0" t="n">
        <f aca="false">VLOOKUP(BT$1+1000*$A53,MASTER6!$A$2:$D$8001,4,FALSE())</f>
        <v>65</v>
      </c>
      <c r="BU53" s="0" t="n">
        <f aca="false">VLOOKUP(BU$1+1000*$A53,MASTER6!$A$2:$D$8001,4,FALSE())</f>
        <v>65</v>
      </c>
      <c r="BV53" s="0" t="n">
        <f aca="false">VLOOKUP(BV$1+1000*$A53,MASTER6!$A$2:$D$8001,4,FALSE())</f>
        <v>0</v>
      </c>
      <c r="BW53" s="0" t="e">
        <f aca="false">VLOOKUP(BW$1+1000*$A53,MASTER6!$A$2:$D$8001,4,FALSE())</f>
        <v>#N/A</v>
      </c>
      <c r="BX53" s="0" t="n">
        <f aca="false">VLOOKUP(BX$1+1000*$A53,MASTER6!$A$2:$D$8001,4,FALSE())</f>
        <v>0</v>
      </c>
      <c r="BY53" s="0" t="n">
        <f aca="false">VLOOKUP(BY$1+1000*$A53,MASTER6!$A$2:$D$8001,4,FALSE())</f>
        <v>0</v>
      </c>
      <c r="BZ53" s="0" t="n">
        <f aca="false">VLOOKUP(BZ$1+1000*$A53,MASTER6!$A$2:$D$8001,4,FALSE())</f>
        <v>0</v>
      </c>
      <c r="CA53" s="0" t="n">
        <f aca="false">VLOOKUP(CA$1+1000*$A53,MASTER6!$A$2:$D$8001,4,FALSE())</f>
        <v>0</v>
      </c>
      <c r="CB53" s="0" t="n">
        <f aca="false">VLOOKUP(CB$1+1000*$A53,MASTER6!$A$2:$D$8001,4,FALSE())</f>
        <v>0</v>
      </c>
      <c r="CC53" s="0" t="n">
        <f aca="false">VLOOKUP(CC$1+1000*$A53,MASTER6!$A$2:$D$8001,4,FALSE())</f>
        <v>0</v>
      </c>
      <c r="CD53" s="0" t="n">
        <f aca="false">VLOOKUP(CD$1+1000*$A53,MASTER6!$A$2:$D$8001,4,FALSE())</f>
        <v>0</v>
      </c>
      <c r="CE53" s="0" t="n">
        <f aca="false">VLOOKUP(CE$1+1000*$A53,MASTER6!$A$2:$D$8001,4,FALSE())</f>
        <v>0</v>
      </c>
      <c r="CF53" s="0" t="n">
        <f aca="false">VLOOKUP(CF$1+1000*$A53,MASTER6!$A$2:$D$8001,4,FALSE())</f>
        <v>78</v>
      </c>
      <c r="CG53" s="0" t="n">
        <f aca="false">VLOOKUP(CG$1+1000*$A53,MASTER6!$A$2:$D$8001,4,FALSE())</f>
        <v>169</v>
      </c>
      <c r="CH53" s="0" t="n">
        <f aca="false">VLOOKUP(CH$1+1000*$A53,MASTER6!$A$2:$D$8001,4,FALSE())</f>
        <v>57447</v>
      </c>
      <c r="CI53" s="0" t="n">
        <f aca="false">VLOOKUP(CI$1+1000*$A53,MASTER6!$A$2:$D$8001,4,FALSE())</f>
        <v>0</v>
      </c>
      <c r="CJ53" s="0" t="e">
        <f aca="false">VLOOKUP(CJ$1+1000*$A53,MASTER6!$A$2:$D$8001,4,FALSE())</f>
        <v>#N/A</v>
      </c>
    </row>
    <row r="54" customFormat="false" ht="12.75" hidden="false" customHeight="false" outlineLevel="0" collapsed="false">
      <c r="A54" s="0" t="n">
        <v>53</v>
      </c>
      <c r="B54" s="0" t="n">
        <f aca="false">VLOOKUP(B$1+1000*$A54,MASTER6!$A$2:$D$8001,4,FALSE())</f>
        <v>0</v>
      </c>
      <c r="C54" s="0" t="n">
        <f aca="false">VLOOKUP(C$1+1000*$A54,MASTER6!$A$2:$D$8001,4,FALSE())</f>
        <v>208</v>
      </c>
      <c r="D54" s="0" t="n">
        <f aca="false">VLOOKUP(D$1+1000*$A54,MASTER6!$A$2:$D$8001,4,FALSE())</f>
        <v>0</v>
      </c>
      <c r="E54" s="0" t="n">
        <f aca="false">VLOOKUP(E$1+1000*$A54,MASTER6!$A$2:$D$8001,4,FALSE())</f>
        <v>143</v>
      </c>
      <c r="F54" s="0" t="n">
        <f aca="false">VLOOKUP(F$1+1000*$A54,MASTER6!$A$2:$D$8001,4,FALSE())</f>
        <v>0</v>
      </c>
      <c r="G54" s="0" t="n">
        <f aca="false">VLOOKUP(G$1+1000*$A54,MASTER6!$A$2:$D$8001,4,FALSE())</f>
        <v>0</v>
      </c>
      <c r="H54" s="0" t="n">
        <f aca="false">VLOOKUP(H$1+1000*$A54,MASTER6!$A$2:$D$8001,4,FALSE())</f>
        <v>0</v>
      </c>
      <c r="I54" s="0" t="n">
        <f aca="false">VLOOKUP(I$1+1000*$A54,MASTER6!$A$2:$D$8001,4,FALSE())</f>
        <v>0</v>
      </c>
      <c r="J54" s="0" t="n">
        <f aca="false">VLOOKUP(J$1+1000*$A54,MASTER6!$A$2:$D$8001,4,FALSE())</f>
        <v>0</v>
      </c>
      <c r="K54" s="0" t="n">
        <f aca="false">VLOOKUP(K$1+1000*$A54,MASTER6!$A$2:$D$8001,4,FALSE())</f>
        <v>0</v>
      </c>
      <c r="L54" s="0" t="n">
        <f aca="false">VLOOKUP(L$1+1000*$A54,MASTER6!$A$2:$D$8001,4,FALSE())</f>
        <v>0</v>
      </c>
      <c r="M54" s="0" t="n">
        <f aca="false">VLOOKUP(M$1+1000*$A54,MASTER6!$A$2:$D$8001,4,FALSE())</f>
        <v>0</v>
      </c>
      <c r="N54" s="0" t="n">
        <f aca="false">VLOOKUP(N$1+1000*$A54,MASTER6!$A$2:$D$8001,4,FALSE())</f>
        <v>0</v>
      </c>
      <c r="O54" s="0" t="n">
        <f aca="false">VLOOKUP(O$1+1000*$A54,MASTER6!$A$2:$D$8001,4,FALSE())</f>
        <v>0</v>
      </c>
      <c r="P54" s="0" t="n">
        <f aca="false">VLOOKUP(P$1+1000*$A54,MASTER6!$A$2:$D$8001,4,FALSE())</f>
        <v>0</v>
      </c>
      <c r="Q54" s="0" t="n">
        <f aca="false">VLOOKUP(Q$1+1000*$A54,MASTER6!$A$2:$D$8001,4,FALSE())</f>
        <v>0</v>
      </c>
      <c r="R54" s="0" t="n">
        <f aca="false">VLOOKUP(R$1+1000*$A54,MASTER6!$A$2:$D$8001,4,FALSE())</f>
        <v>0</v>
      </c>
      <c r="S54" s="0" t="n">
        <f aca="false">VLOOKUP(S$1+1000*$A54,MASTER6!$A$2:$D$8001,4,FALSE())</f>
        <v>0</v>
      </c>
      <c r="T54" s="0" t="n">
        <f aca="false">VLOOKUP(T$1+1000*$A54,MASTER6!$A$2:$D$8001,4,FALSE())</f>
        <v>0</v>
      </c>
      <c r="U54" s="0" t="n">
        <f aca="false">VLOOKUP(U$1+1000*$A54,MASTER6!$A$2:$D$8001,4,FALSE())</f>
        <v>0</v>
      </c>
      <c r="V54" s="0" t="n">
        <f aca="false">VLOOKUP(V$1+1000*$A54,MASTER6!$A$2:$D$8001,4,FALSE())</f>
        <v>91</v>
      </c>
      <c r="W54" s="0" t="n">
        <f aca="false">VLOOKUP(W$1+1000*$A54,MASTER6!$A$2:$D$8001,4,FALSE())</f>
        <v>0</v>
      </c>
      <c r="X54" s="0" t="n">
        <f aca="false">VLOOKUP(X$1+1000*$A54,MASTER6!$A$2:$D$8001,4,FALSE())</f>
        <v>0</v>
      </c>
      <c r="Y54" s="0" t="n">
        <f aca="false">VLOOKUP(Y$1+1000*$A54,MASTER6!$A$2:$D$8001,4,FALSE())</f>
        <v>0</v>
      </c>
      <c r="Z54" s="0" t="n">
        <f aca="false">VLOOKUP(Z$1+1000*$A54,MASTER6!$A$2:$D$8001,4,FALSE())</f>
        <v>0</v>
      </c>
      <c r="AA54" s="0" t="n">
        <f aca="false">VLOOKUP(AA$1+1000*$A54,MASTER6!$A$2:$D$8001,4,FALSE())</f>
        <v>169</v>
      </c>
      <c r="AB54" s="0" t="n">
        <f aca="false">VLOOKUP(AB$1+1000*$A54,MASTER6!$A$2:$D$8001,4,FALSE())</f>
        <v>0</v>
      </c>
      <c r="AC54" s="0" t="n">
        <f aca="false">VLOOKUP(AC$1+1000*$A54,MASTER6!$A$2:$D$8001,4,FALSE())</f>
        <v>0</v>
      </c>
      <c r="AD54" s="0" t="n">
        <f aca="false">VLOOKUP(AD$1+1000*$A54,MASTER6!$A$2:$D$8001,4,FALSE())</f>
        <v>0</v>
      </c>
      <c r="AE54" s="0" t="n">
        <f aca="false">VLOOKUP(AE$1+1000*$A54,MASTER6!$A$2:$D$8001,4,FALSE())</f>
        <v>0</v>
      </c>
      <c r="AF54" s="0" t="n">
        <f aca="false">VLOOKUP(AF$1+1000*$A54,MASTER6!$A$2:$D$8001,4,FALSE())</f>
        <v>0</v>
      </c>
      <c r="AG54" s="0" t="n">
        <f aca="false">VLOOKUP(AG$1+1000*$A54,MASTER6!$A$2:$D$8001,4,FALSE())</f>
        <v>0</v>
      </c>
      <c r="AH54" s="0" t="n">
        <f aca="false">VLOOKUP(AH$1+1000*$A54,MASTER6!$A$2:$D$8001,4,FALSE())</f>
        <v>0</v>
      </c>
      <c r="AI54" s="0" t="n">
        <f aca="false">VLOOKUP(AI$1+1000*$A54,MASTER6!$A$2:$D$8001,4,FALSE())</f>
        <v>0</v>
      </c>
      <c r="AJ54" s="0" t="n">
        <f aca="false">VLOOKUP(AJ$1+1000*$A54,MASTER6!$A$2:$D$8001,4,FALSE())</f>
        <v>0</v>
      </c>
      <c r="AK54" s="0" t="n">
        <f aca="false">VLOOKUP(AK$1+1000*$A54,MASTER6!$A$2:$D$8001,4,FALSE())</f>
        <v>0</v>
      </c>
      <c r="AL54" s="0" t="n">
        <f aca="false">VLOOKUP(AL$1+1000*$A54,MASTER6!$A$2:$D$8001,4,FALSE())</f>
        <v>0</v>
      </c>
      <c r="AM54" s="0" t="n">
        <f aca="false">VLOOKUP(AM$1+1000*$A54,MASTER6!$A$2:$D$8001,4,FALSE())</f>
        <v>0</v>
      </c>
      <c r="AN54" s="0" t="n">
        <f aca="false">VLOOKUP(AN$1+1000*$A54,MASTER6!$A$2:$D$8001,4,FALSE())</f>
        <v>91</v>
      </c>
      <c r="AO54" s="0" t="n">
        <f aca="false">VLOOKUP(AO$1+1000*$A54,MASTER6!$A$2:$D$8001,4,FALSE())</f>
        <v>0</v>
      </c>
      <c r="AP54" s="0" t="n">
        <f aca="false">VLOOKUP(AP$1+1000*$A54,MASTER6!$A$2:$D$8001,4,FALSE())</f>
        <v>0</v>
      </c>
      <c r="AQ54" s="0" t="n">
        <f aca="false">VLOOKUP(AQ$1+1000*$A54,MASTER6!$A$2:$D$8001,4,FALSE())</f>
        <v>0</v>
      </c>
      <c r="AR54" s="0" t="n">
        <f aca="false">VLOOKUP(AR$1+1000*$A54,MASTER6!$A$2:$D$8001,4,FALSE())</f>
        <v>0</v>
      </c>
      <c r="AS54" s="0" t="n">
        <f aca="false">VLOOKUP(AS$1+1000*$A54,MASTER6!$A$2:$D$8001,4,FALSE())</f>
        <v>0</v>
      </c>
      <c r="AT54" s="0" t="n">
        <f aca="false">VLOOKUP(AT$1+1000*$A54,MASTER6!$A$2:$D$8001,4,FALSE())</f>
        <v>0</v>
      </c>
      <c r="AU54" s="0" t="n">
        <f aca="false">VLOOKUP(AU$1+1000*$A54,MASTER6!$A$2:$D$8001,4,FALSE())</f>
        <v>0</v>
      </c>
      <c r="AV54" s="0" t="n">
        <f aca="false">VLOOKUP(AV$1+1000*$A54,MASTER6!$A$2:$D$8001,4,FALSE())</f>
        <v>130</v>
      </c>
      <c r="AW54" s="0" t="n">
        <f aca="false">VLOOKUP(AW$1+1000*$A54,MASTER6!$A$2:$D$8001,4,FALSE())</f>
        <v>663</v>
      </c>
      <c r="AX54" s="0" t="n">
        <f aca="false">VLOOKUP(AX$1+1000*$A54,MASTER6!$A$2:$D$8001,4,FALSE())</f>
        <v>0</v>
      </c>
      <c r="AY54" s="0" t="n">
        <f aca="false">VLOOKUP(AY$1+1000*$A54,MASTER6!$A$2:$D$8001,4,FALSE())</f>
        <v>0</v>
      </c>
      <c r="AZ54" s="0" t="n">
        <f aca="false">VLOOKUP(AZ$1+1000*$A54,MASTER6!$A$2:$D$8001,4,FALSE())</f>
        <v>0</v>
      </c>
      <c r="BA54" s="0" t="n">
        <f aca="false">VLOOKUP(BA$1+1000*$A54,MASTER6!$A$2:$D$8001,4,FALSE())</f>
        <v>5876</v>
      </c>
      <c r="BB54" s="0" t="n">
        <f aca="false">VLOOKUP(BB$1+1000*$A54,MASTER6!$A$2:$D$8001,4,FALSE())</f>
        <v>26676</v>
      </c>
      <c r="BC54" s="0" t="n">
        <f aca="false">VLOOKUP(BC$1+1000*$A54,MASTER6!$A$2:$D$8001,4,FALSE())</f>
        <v>78</v>
      </c>
      <c r="BD54" s="0" t="n">
        <f aca="false">VLOOKUP(BD$1+1000*$A54,MASTER6!$A$2:$D$8001,4,FALSE())</f>
        <v>143</v>
      </c>
      <c r="BE54" s="0" t="n">
        <f aca="false">VLOOKUP(BE$1+1000*$A54,MASTER6!$A$2:$D$8001,4,FALSE())</f>
        <v>65</v>
      </c>
      <c r="BF54" s="0" t="n">
        <f aca="false">VLOOKUP(BF$1+1000*$A54,MASTER6!$A$2:$D$8001,4,FALSE())</f>
        <v>247</v>
      </c>
      <c r="BG54" s="0" t="n">
        <f aca="false">VLOOKUP(BG$1+1000*$A54,MASTER6!$A$2:$D$8001,4,FALSE())</f>
        <v>546</v>
      </c>
      <c r="BH54" s="0" t="n">
        <f aca="false">VLOOKUP(BH$1+1000*$A54,MASTER6!$A$2:$D$8001,4,FALSE())</f>
        <v>468</v>
      </c>
      <c r="BI54" s="0" t="n">
        <f aca="false">VLOOKUP(BI$1+1000*$A54,MASTER6!$A$2:$D$8001,4,FALSE())</f>
        <v>546</v>
      </c>
      <c r="BJ54" s="0" t="n">
        <f aca="false">VLOOKUP(BJ$1+1000*$A54,MASTER6!$A$2:$D$8001,4,FALSE())</f>
        <v>117</v>
      </c>
      <c r="BK54" s="0" t="n">
        <f aca="false">VLOOKUP(BK$1+1000*$A54,MASTER6!$A$2:$D$8001,4,FALSE())</f>
        <v>1339</v>
      </c>
      <c r="BL54" s="0" t="n">
        <f aca="false">VLOOKUP(BL$1+1000*$A54,MASTER6!$A$2:$D$8001,4,FALSE())</f>
        <v>2626</v>
      </c>
      <c r="BM54" s="0" t="n">
        <f aca="false">VLOOKUP(BM$1+1000*$A54,MASTER6!$A$2:$D$8001,4,FALSE())</f>
        <v>10205</v>
      </c>
      <c r="BN54" s="0" t="n">
        <f aca="false">VLOOKUP(BN$1+1000*$A54,MASTER6!$A$2:$D$8001,4,FALSE())</f>
        <v>32175</v>
      </c>
      <c r="BO54" s="0" t="n">
        <f aca="false">VLOOKUP(BO$1+1000*$A54,MASTER6!$A$2:$D$8001,4,FALSE())</f>
        <v>611</v>
      </c>
      <c r="BP54" s="0" t="n">
        <f aca="false">VLOOKUP(BP$1+1000*$A54,MASTER6!$A$2:$D$8001,4,FALSE())</f>
        <v>156</v>
      </c>
      <c r="BQ54" s="0" t="n">
        <f aca="false">VLOOKUP(BQ$1+1000*$A54,MASTER6!$A$2:$D$8001,4,FALSE())</f>
        <v>0</v>
      </c>
      <c r="BR54" s="0" t="n">
        <f aca="false">VLOOKUP(BR$1+1000*$A54,MASTER6!$A$2:$D$8001,4,FALSE())</f>
        <v>0</v>
      </c>
      <c r="BS54" s="0" t="n">
        <f aca="false">VLOOKUP(BS$1+1000*$A54,MASTER6!$A$2:$D$8001,4,FALSE())</f>
        <v>0</v>
      </c>
      <c r="BT54" s="0" t="n">
        <f aca="false">VLOOKUP(BT$1+1000*$A54,MASTER6!$A$2:$D$8001,4,FALSE())</f>
        <v>0</v>
      </c>
      <c r="BU54" s="0" t="n">
        <f aca="false">VLOOKUP(BU$1+1000*$A54,MASTER6!$A$2:$D$8001,4,FALSE())</f>
        <v>0</v>
      </c>
      <c r="BV54" s="0" t="n">
        <f aca="false">VLOOKUP(BV$1+1000*$A54,MASTER6!$A$2:$D$8001,4,FALSE())</f>
        <v>0</v>
      </c>
      <c r="BW54" s="0" t="e">
        <f aca="false">VLOOKUP(BW$1+1000*$A54,MASTER6!$A$2:$D$8001,4,FALSE())</f>
        <v>#N/A</v>
      </c>
      <c r="BX54" s="0" t="n">
        <f aca="false">VLOOKUP(BX$1+1000*$A54,MASTER6!$A$2:$D$8001,4,FALSE())</f>
        <v>0</v>
      </c>
      <c r="BY54" s="0" t="n">
        <f aca="false">VLOOKUP(BY$1+1000*$A54,MASTER6!$A$2:$D$8001,4,FALSE())</f>
        <v>0</v>
      </c>
      <c r="BZ54" s="0" t="n">
        <f aca="false">VLOOKUP(BZ$1+1000*$A54,MASTER6!$A$2:$D$8001,4,FALSE())</f>
        <v>0</v>
      </c>
      <c r="CA54" s="0" t="n">
        <f aca="false">VLOOKUP(CA$1+1000*$A54,MASTER6!$A$2:$D$8001,4,FALSE())</f>
        <v>0</v>
      </c>
      <c r="CB54" s="0" t="n">
        <f aca="false">VLOOKUP(CB$1+1000*$A54,MASTER6!$A$2:$D$8001,4,FALSE())</f>
        <v>0</v>
      </c>
      <c r="CC54" s="0" t="n">
        <f aca="false">VLOOKUP(CC$1+1000*$A54,MASTER6!$A$2:$D$8001,4,FALSE())</f>
        <v>0</v>
      </c>
      <c r="CD54" s="0" t="n">
        <f aca="false">VLOOKUP(CD$1+1000*$A54,MASTER6!$A$2:$D$8001,4,FALSE())</f>
        <v>0</v>
      </c>
      <c r="CE54" s="0" t="n">
        <f aca="false">VLOOKUP(CE$1+1000*$A54,MASTER6!$A$2:$D$8001,4,FALSE())</f>
        <v>0</v>
      </c>
      <c r="CF54" s="0" t="n">
        <f aca="false">VLOOKUP(CF$1+1000*$A54,MASTER6!$A$2:$D$8001,4,FALSE())</f>
        <v>0</v>
      </c>
      <c r="CG54" s="0" t="n">
        <f aca="false">VLOOKUP(CG$1+1000*$A54,MASTER6!$A$2:$D$8001,4,FALSE())</f>
        <v>104</v>
      </c>
      <c r="CH54" s="0" t="n">
        <f aca="false">VLOOKUP(CH$1+1000*$A54,MASTER6!$A$2:$D$8001,4,FALSE())</f>
        <v>94497</v>
      </c>
      <c r="CI54" s="0" t="n">
        <f aca="false">VLOOKUP(CI$1+1000*$A54,MASTER6!$A$2:$D$8001,4,FALSE())</f>
        <v>0</v>
      </c>
      <c r="CJ54" s="0" t="e">
        <f aca="false">VLOOKUP(CJ$1+1000*$A54,MASTER6!$A$2:$D$8001,4,FALSE())</f>
        <v>#N/A</v>
      </c>
    </row>
    <row r="55" customFormat="false" ht="12.75" hidden="false" customHeight="false" outlineLevel="0" collapsed="false">
      <c r="A55" s="0" t="n">
        <v>54</v>
      </c>
      <c r="B55" s="0" t="n">
        <f aca="false">VLOOKUP(B$1+1000*$A55,MASTER6!$A$2:$D$8001,4,FALSE())</f>
        <v>0</v>
      </c>
      <c r="C55" s="0" t="n">
        <f aca="false">VLOOKUP(C$1+1000*$A55,MASTER6!$A$2:$D$8001,4,FALSE())</f>
        <v>0</v>
      </c>
      <c r="D55" s="0" t="n">
        <f aca="false">VLOOKUP(D$1+1000*$A55,MASTER6!$A$2:$D$8001,4,FALSE())</f>
        <v>0</v>
      </c>
      <c r="E55" s="0" t="n">
        <f aca="false">VLOOKUP(E$1+1000*$A55,MASTER6!$A$2:$D$8001,4,FALSE())</f>
        <v>0</v>
      </c>
      <c r="F55" s="0" t="n">
        <f aca="false">VLOOKUP(F$1+1000*$A55,MASTER6!$A$2:$D$8001,4,FALSE())</f>
        <v>0</v>
      </c>
      <c r="G55" s="0" t="n">
        <f aca="false">VLOOKUP(G$1+1000*$A55,MASTER6!$A$2:$D$8001,4,FALSE())</f>
        <v>0</v>
      </c>
      <c r="H55" s="0" t="n">
        <f aca="false">VLOOKUP(H$1+1000*$A55,MASTER6!$A$2:$D$8001,4,FALSE())</f>
        <v>0</v>
      </c>
      <c r="I55" s="0" t="n">
        <f aca="false">VLOOKUP(I$1+1000*$A55,MASTER6!$A$2:$D$8001,4,FALSE())</f>
        <v>0</v>
      </c>
      <c r="J55" s="0" t="n">
        <f aca="false">VLOOKUP(J$1+1000*$A55,MASTER6!$A$2:$D$8001,4,FALSE())</f>
        <v>0</v>
      </c>
      <c r="K55" s="0" t="n">
        <f aca="false">VLOOKUP(K$1+1000*$A55,MASTER6!$A$2:$D$8001,4,FALSE())</f>
        <v>0</v>
      </c>
      <c r="L55" s="0" t="n">
        <f aca="false">VLOOKUP(L$1+1000*$A55,MASTER6!$A$2:$D$8001,4,FALSE())</f>
        <v>0</v>
      </c>
      <c r="M55" s="0" t="n">
        <f aca="false">VLOOKUP(M$1+1000*$A55,MASTER6!$A$2:$D$8001,4,FALSE())</f>
        <v>0</v>
      </c>
      <c r="N55" s="0" t="n">
        <f aca="false">VLOOKUP(N$1+1000*$A55,MASTER6!$A$2:$D$8001,4,FALSE())</f>
        <v>0</v>
      </c>
      <c r="O55" s="0" t="n">
        <f aca="false">VLOOKUP(O$1+1000*$A55,MASTER6!$A$2:$D$8001,4,FALSE())</f>
        <v>0</v>
      </c>
      <c r="P55" s="0" t="n">
        <f aca="false">VLOOKUP(P$1+1000*$A55,MASTER6!$A$2:$D$8001,4,FALSE())</f>
        <v>0</v>
      </c>
      <c r="Q55" s="0" t="n">
        <f aca="false">VLOOKUP(Q$1+1000*$A55,MASTER6!$A$2:$D$8001,4,FALSE())</f>
        <v>0</v>
      </c>
      <c r="R55" s="0" t="n">
        <f aca="false">VLOOKUP(R$1+1000*$A55,MASTER6!$A$2:$D$8001,4,FALSE())</f>
        <v>0</v>
      </c>
      <c r="S55" s="0" t="n">
        <f aca="false">VLOOKUP(S$1+1000*$A55,MASTER6!$A$2:$D$8001,4,FALSE())</f>
        <v>0</v>
      </c>
      <c r="T55" s="0" t="n">
        <f aca="false">VLOOKUP(T$1+1000*$A55,MASTER6!$A$2:$D$8001,4,FALSE())</f>
        <v>65</v>
      </c>
      <c r="U55" s="0" t="n">
        <f aca="false">VLOOKUP(U$1+1000*$A55,MASTER6!$A$2:$D$8001,4,FALSE())</f>
        <v>0</v>
      </c>
      <c r="V55" s="0" t="n">
        <f aca="false">VLOOKUP(V$1+1000*$A55,MASTER6!$A$2:$D$8001,4,FALSE())</f>
        <v>65</v>
      </c>
      <c r="W55" s="0" t="n">
        <f aca="false">VLOOKUP(W$1+1000*$A55,MASTER6!$A$2:$D$8001,4,FALSE())</f>
        <v>0</v>
      </c>
      <c r="X55" s="0" t="n">
        <f aca="false">VLOOKUP(X$1+1000*$A55,MASTER6!$A$2:$D$8001,4,FALSE())</f>
        <v>0</v>
      </c>
      <c r="Y55" s="0" t="n">
        <f aca="false">VLOOKUP(Y$1+1000*$A55,MASTER6!$A$2:$D$8001,4,FALSE())</f>
        <v>0</v>
      </c>
      <c r="Z55" s="0" t="n">
        <f aca="false">VLOOKUP(Z$1+1000*$A55,MASTER6!$A$2:$D$8001,4,FALSE())</f>
        <v>0</v>
      </c>
      <c r="AA55" s="0" t="n">
        <f aca="false">VLOOKUP(AA$1+1000*$A55,MASTER6!$A$2:$D$8001,4,FALSE())</f>
        <v>0</v>
      </c>
      <c r="AB55" s="0" t="n">
        <f aca="false">VLOOKUP(AB$1+1000*$A55,MASTER6!$A$2:$D$8001,4,FALSE())</f>
        <v>0</v>
      </c>
      <c r="AC55" s="0" t="n">
        <f aca="false">VLOOKUP(AC$1+1000*$A55,MASTER6!$A$2:$D$8001,4,FALSE())</f>
        <v>0</v>
      </c>
      <c r="AD55" s="0" t="n">
        <f aca="false">VLOOKUP(AD$1+1000*$A55,MASTER6!$A$2:$D$8001,4,FALSE())</f>
        <v>0</v>
      </c>
      <c r="AE55" s="0" t="n">
        <f aca="false">VLOOKUP(AE$1+1000*$A55,MASTER6!$A$2:$D$8001,4,FALSE())</f>
        <v>0</v>
      </c>
      <c r="AF55" s="0" t="n">
        <f aca="false">VLOOKUP(AF$1+1000*$A55,MASTER6!$A$2:$D$8001,4,FALSE())</f>
        <v>0</v>
      </c>
      <c r="AG55" s="0" t="n">
        <f aca="false">VLOOKUP(AG$1+1000*$A55,MASTER6!$A$2:$D$8001,4,FALSE())</f>
        <v>0</v>
      </c>
      <c r="AH55" s="0" t="n">
        <f aca="false">VLOOKUP(AH$1+1000*$A55,MASTER6!$A$2:$D$8001,4,FALSE())</f>
        <v>130</v>
      </c>
      <c r="AI55" s="0" t="n">
        <f aca="false">VLOOKUP(AI$1+1000*$A55,MASTER6!$A$2:$D$8001,4,FALSE())</f>
        <v>0</v>
      </c>
      <c r="AJ55" s="0" t="n">
        <f aca="false">VLOOKUP(AJ$1+1000*$A55,MASTER6!$A$2:$D$8001,4,FALSE())</f>
        <v>0</v>
      </c>
      <c r="AK55" s="0" t="n">
        <f aca="false">VLOOKUP(AK$1+1000*$A55,MASTER6!$A$2:$D$8001,4,FALSE())</f>
        <v>0</v>
      </c>
      <c r="AL55" s="0" t="n">
        <f aca="false">VLOOKUP(AL$1+1000*$A55,MASTER6!$A$2:$D$8001,4,FALSE())</f>
        <v>0</v>
      </c>
      <c r="AM55" s="0" t="n">
        <f aca="false">VLOOKUP(AM$1+1000*$A55,MASTER6!$A$2:$D$8001,4,FALSE())</f>
        <v>0</v>
      </c>
      <c r="AN55" s="0" t="n">
        <f aca="false">VLOOKUP(AN$1+1000*$A55,MASTER6!$A$2:$D$8001,4,FALSE())</f>
        <v>0</v>
      </c>
      <c r="AO55" s="0" t="n">
        <f aca="false">VLOOKUP(AO$1+1000*$A55,MASTER6!$A$2:$D$8001,4,FALSE())</f>
        <v>0</v>
      </c>
      <c r="AP55" s="0" t="n">
        <f aca="false">VLOOKUP(AP$1+1000*$A55,MASTER6!$A$2:$D$8001,4,FALSE())</f>
        <v>0</v>
      </c>
      <c r="AQ55" s="0" t="n">
        <f aca="false">VLOOKUP(AQ$1+1000*$A55,MASTER6!$A$2:$D$8001,4,FALSE())</f>
        <v>624</v>
      </c>
      <c r="AR55" s="0" t="n">
        <f aca="false">VLOOKUP(AR$1+1000*$A55,MASTER6!$A$2:$D$8001,4,FALSE())</f>
        <v>0</v>
      </c>
      <c r="AS55" s="0" t="n">
        <f aca="false">VLOOKUP(AS$1+1000*$A55,MASTER6!$A$2:$D$8001,4,FALSE())</f>
        <v>91</v>
      </c>
      <c r="AT55" s="0" t="n">
        <f aca="false">VLOOKUP(AT$1+1000*$A55,MASTER6!$A$2:$D$8001,4,FALSE())</f>
        <v>0</v>
      </c>
      <c r="AU55" s="0" t="n">
        <f aca="false">VLOOKUP(AU$1+1000*$A55,MASTER6!$A$2:$D$8001,4,FALSE())</f>
        <v>0</v>
      </c>
      <c r="AV55" s="0" t="n">
        <f aca="false">VLOOKUP(AV$1+1000*$A55,MASTER6!$A$2:$D$8001,4,FALSE())</f>
        <v>104</v>
      </c>
      <c r="AW55" s="0" t="n">
        <f aca="false">VLOOKUP(AW$1+1000*$A55,MASTER6!$A$2:$D$8001,4,FALSE())</f>
        <v>546</v>
      </c>
      <c r="AX55" s="0" t="n">
        <f aca="false">VLOOKUP(AX$1+1000*$A55,MASTER6!$A$2:$D$8001,4,FALSE())</f>
        <v>0</v>
      </c>
      <c r="AY55" s="0" t="n">
        <f aca="false">VLOOKUP(AY$1+1000*$A55,MASTER6!$A$2:$D$8001,4,FALSE())</f>
        <v>0</v>
      </c>
      <c r="AZ55" s="0" t="n">
        <f aca="false">VLOOKUP(AZ$1+1000*$A55,MASTER6!$A$2:$D$8001,4,FALSE())</f>
        <v>0</v>
      </c>
      <c r="BA55" s="0" t="n">
        <f aca="false">VLOOKUP(BA$1+1000*$A55,MASTER6!$A$2:$D$8001,4,FALSE())</f>
        <v>468</v>
      </c>
      <c r="BB55" s="0" t="n">
        <f aca="false">VLOOKUP(BB$1+1000*$A55,MASTER6!$A$2:$D$8001,4,FALSE())</f>
        <v>299</v>
      </c>
      <c r="BC55" s="0" t="n">
        <f aca="false">VLOOKUP(BC$1+1000*$A55,MASTER6!$A$2:$D$8001,4,FALSE())</f>
        <v>8398</v>
      </c>
      <c r="BD55" s="0" t="n">
        <f aca="false">VLOOKUP(BD$1+1000*$A55,MASTER6!$A$2:$D$8001,4,FALSE())</f>
        <v>780</v>
      </c>
      <c r="BE55" s="0" t="n">
        <f aca="false">VLOOKUP(BE$1+1000*$A55,MASTER6!$A$2:$D$8001,4,FALSE())</f>
        <v>247</v>
      </c>
      <c r="BF55" s="0" t="n">
        <f aca="false">VLOOKUP(BF$1+1000*$A55,MASTER6!$A$2:$D$8001,4,FALSE())</f>
        <v>338</v>
      </c>
      <c r="BG55" s="0" t="n">
        <f aca="false">VLOOKUP(BG$1+1000*$A55,MASTER6!$A$2:$D$8001,4,FALSE())</f>
        <v>1573</v>
      </c>
      <c r="BH55" s="0" t="n">
        <f aca="false">VLOOKUP(BH$1+1000*$A55,MASTER6!$A$2:$D$8001,4,FALSE())</f>
        <v>104</v>
      </c>
      <c r="BI55" s="0" t="n">
        <f aca="false">VLOOKUP(BI$1+1000*$A55,MASTER6!$A$2:$D$8001,4,FALSE())</f>
        <v>377</v>
      </c>
      <c r="BJ55" s="0" t="n">
        <f aca="false">VLOOKUP(BJ$1+1000*$A55,MASTER6!$A$2:$D$8001,4,FALSE())</f>
        <v>0</v>
      </c>
      <c r="BK55" s="0" t="n">
        <f aca="false">VLOOKUP(BK$1+1000*$A55,MASTER6!$A$2:$D$8001,4,FALSE())</f>
        <v>481</v>
      </c>
      <c r="BL55" s="0" t="n">
        <f aca="false">VLOOKUP(BL$1+1000*$A55,MASTER6!$A$2:$D$8001,4,FALSE())</f>
        <v>1313</v>
      </c>
      <c r="BM55" s="0" t="n">
        <f aca="false">VLOOKUP(BM$1+1000*$A55,MASTER6!$A$2:$D$8001,4,FALSE())</f>
        <v>19344</v>
      </c>
      <c r="BN55" s="0" t="n">
        <f aca="false">VLOOKUP(BN$1+1000*$A55,MASTER6!$A$2:$D$8001,4,FALSE())</f>
        <v>16445</v>
      </c>
      <c r="BO55" s="0" t="n">
        <f aca="false">VLOOKUP(BO$1+1000*$A55,MASTER6!$A$2:$D$8001,4,FALSE())</f>
        <v>429</v>
      </c>
      <c r="BP55" s="0" t="n">
        <f aca="false">VLOOKUP(BP$1+1000*$A55,MASTER6!$A$2:$D$8001,4,FALSE())</f>
        <v>143</v>
      </c>
      <c r="BQ55" s="0" t="n">
        <f aca="false">VLOOKUP(BQ$1+1000*$A55,MASTER6!$A$2:$D$8001,4,FALSE())</f>
        <v>0</v>
      </c>
      <c r="BR55" s="0" t="n">
        <f aca="false">VLOOKUP(BR$1+1000*$A55,MASTER6!$A$2:$D$8001,4,FALSE())</f>
        <v>52</v>
      </c>
      <c r="BS55" s="0" t="n">
        <f aca="false">VLOOKUP(BS$1+1000*$A55,MASTER6!$A$2:$D$8001,4,FALSE())</f>
        <v>0</v>
      </c>
      <c r="BT55" s="0" t="n">
        <f aca="false">VLOOKUP(BT$1+1000*$A55,MASTER6!$A$2:$D$8001,4,FALSE())</f>
        <v>208</v>
      </c>
      <c r="BU55" s="0" t="n">
        <f aca="false">VLOOKUP(BU$1+1000*$A55,MASTER6!$A$2:$D$8001,4,FALSE())</f>
        <v>273</v>
      </c>
      <c r="BV55" s="0" t="n">
        <f aca="false">VLOOKUP(BV$1+1000*$A55,MASTER6!$A$2:$D$8001,4,FALSE())</f>
        <v>0</v>
      </c>
      <c r="BW55" s="0" t="e">
        <f aca="false">VLOOKUP(BW$1+1000*$A55,MASTER6!$A$2:$D$8001,4,FALSE())</f>
        <v>#N/A</v>
      </c>
      <c r="BX55" s="0" t="n">
        <f aca="false">VLOOKUP(BX$1+1000*$A55,MASTER6!$A$2:$D$8001,4,FALSE())</f>
        <v>0</v>
      </c>
      <c r="BY55" s="0" t="n">
        <f aca="false">VLOOKUP(BY$1+1000*$A55,MASTER6!$A$2:$D$8001,4,FALSE())</f>
        <v>0</v>
      </c>
      <c r="BZ55" s="0" t="n">
        <f aca="false">VLOOKUP(BZ$1+1000*$A55,MASTER6!$A$2:$D$8001,4,FALSE())</f>
        <v>0</v>
      </c>
      <c r="CA55" s="0" t="n">
        <f aca="false">VLOOKUP(CA$1+1000*$A55,MASTER6!$A$2:$D$8001,4,FALSE())</f>
        <v>0</v>
      </c>
      <c r="CB55" s="0" t="n">
        <f aca="false">VLOOKUP(CB$1+1000*$A55,MASTER6!$A$2:$D$8001,4,FALSE())</f>
        <v>0</v>
      </c>
      <c r="CC55" s="0" t="n">
        <f aca="false">VLOOKUP(CC$1+1000*$A55,MASTER6!$A$2:$D$8001,4,FALSE())</f>
        <v>0</v>
      </c>
      <c r="CD55" s="0" t="n">
        <f aca="false">VLOOKUP(CD$1+1000*$A55,MASTER6!$A$2:$D$8001,4,FALSE())</f>
        <v>0</v>
      </c>
      <c r="CE55" s="0" t="n">
        <f aca="false">VLOOKUP(CE$1+1000*$A55,MASTER6!$A$2:$D$8001,4,FALSE())</f>
        <v>0</v>
      </c>
      <c r="CF55" s="0" t="n">
        <f aca="false">VLOOKUP(CF$1+1000*$A55,MASTER6!$A$2:$D$8001,4,FALSE())</f>
        <v>0</v>
      </c>
      <c r="CG55" s="0" t="n">
        <f aca="false">VLOOKUP(CG$1+1000*$A55,MASTER6!$A$2:$D$8001,4,FALSE())</f>
        <v>520</v>
      </c>
      <c r="CH55" s="0" t="n">
        <f aca="false">VLOOKUP(CH$1+1000*$A55,MASTER6!$A$2:$D$8001,4,FALSE())</f>
        <v>66378</v>
      </c>
      <c r="CI55" s="0" t="n">
        <f aca="false">VLOOKUP(CI$1+1000*$A55,MASTER6!$A$2:$D$8001,4,FALSE())</f>
        <v>0</v>
      </c>
      <c r="CJ55" s="0" t="e">
        <f aca="false">VLOOKUP(CJ$1+1000*$A55,MASTER6!$A$2:$D$8001,4,FALSE())</f>
        <v>#N/A</v>
      </c>
    </row>
    <row r="56" customFormat="false" ht="12.75" hidden="false" customHeight="false" outlineLevel="0" collapsed="false">
      <c r="A56" s="0" t="n">
        <v>55</v>
      </c>
      <c r="B56" s="0" t="n">
        <f aca="false">VLOOKUP(B$1+1000*$A56,MASTER6!$A$2:$D$8001,4,FALSE())</f>
        <v>0</v>
      </c>
      <c r="C56" s="0" t="n">
        <f aca="false">VLOOKUP(C$1+1000*$A56,MASTER6!$A$2:$D$8001,4,FALSE())</f>
        <v>0</v>
      </c>
      <c r="D56" s="0" t="n">
        <f aca="false">VLOOKUP(D$1+1000*$A56,MASTER6!$A$2:$D$8001,4,FALSE())</f>
        <v>0</v>
      </c>
      <c r="E56" s="0" t="n">
        <f aca="false">VLOOKUP(E$1+1000*$A56,MASTER6!$A$2:$D$8001,4,FALSE())</f>
        <v>0</v>
      </c>
      <c r="F56" s="0" t="n">
        <f aca="false">VLOOKUP(F$1+1000*$A56,MASTER6!$A$2:$D$8001,4,FALSE())</f>
        <v>0</v>
      </c>
      <c r="G56" s="0" t="n">
        <f aca="false">VLOOKUP(G$1+1000*$A56,MASTER6!$A$2:$D$8001,4,FALSE())</f>
        <v>0</v>
      </c>
      <c r="H56" s="0" t="n">
        <f aca="false">VLOOKUP(H$1+1000*$A56,MASTER6!$A$2:$D$8001,4,FALSE())</f>
        <v>0</v>
      </c>
      <c r="I56" s="0" t="n">
        <f aca="false">VLOOKUP(I$1+1000*$A56,MASTER6!$A$2:$D$8001,4,FALSE())</f>
        <v>0</v>
      </c>
      <c r="J56" s="0" t="n">
        <f aca="false">VLOOKUP(J$1+1000*$A56,MASTER6!$A$2:$D$8001,4,FALSE())</f>
        <v>0</v>
      </c>
      <c r="K56" s="0" t="n">
        <f aca="false">VLOOKUP(K$1+1000*$A56,MASTER6!$A$2:$D$8001,4,FALSE())</f>
        <v>0</v>
      </c>
      <c r="L56" s="0" t="n">
        <f aca="false">VLOOKUP(L$1+1000*$A56,MASTER6!$A$2:$D$8001,4,FALSE())</f>
        <v>0</v>
      </c>
      <c r="M56" s="0" t="n">
        <f aca="false">VLOOKUP(M$1+1000*$A56,MASTER6!$A$2:$D$8001,4,FALSE())</f>
        <v>0</v>
      </c>
      <c r="N56" s="0" t="n">
        <f aca="false">VLOOKUP(N$1+1000*$A56,MASTER6!$A$2:$D$8001,4,FALSE())</f>
        <v>0</v>
      </c>
      <c r="O56" s="0" t="n">
        <f aca="false">VLOOKUP(O$1+1000*$A56,MASTER6!$A$2:$D$8001,4,FALSE())</f>
        <v>0</v>
      </c>
      <c r="P56" s="0" t="n">
        <f aca="false">VLOOKUP(P$1+1000*$A56,MASTER6!$A$2:$D$8001,4,FALSE())</f>
        <v>0</v>
      </c>
      <c r="Q56" s="0" t="n">
        <f aca="false">VLOOKUP(Q$1+1000*$A56,MASTER6!$A$2:$D$8001,4,FALSE())</f>
        <v>0</v>
      </c>
      <c r="R56" s="0" t="n">
        <f aca="false">VLOOKUP(R$1+1000*$A56,MASTER6!$A$2:$D$8001,4,FALSE())</f>
        <v>0</v>
      </c>
      <c r="S56" s="0" t="n">
        <f aca="false">VLOOKUP(S$1+1000*$A56,MASTER6!$A$2:$D$8001,4,FALSE())</f>
        <v>0</v>
      </c>
      <c r="T56" s="0" t="n">
        <f aca="false">VLOOKUP(T$1+1000*$A56,MASTER6!$A$2:$D$8001,4,FALSE())</f>
        <v>0</v>
      </c>
      <c r="U56" s="0" t="n">
        <f aca="false">VLOOKUP(U$1+1000*$A56,MASTER6!$A$2:$D$8001,4,FALSE())</f>
        <v>0</v>
      </c>
      <c r="V56" s="0" t="n">
        <f aca="false">VLOOKUP(V$1+1000*$A56,MASTER6!$A$2:$D$8001,4,FALSE())</f>
        <v>0</v>
      </c>
      <c r="W56" s="0" t="n">
        <f aca="false">VLOOKUP(W$1+1000*$A56,MASTER6!$A$2:$D$8001,4,FALSE())</f>
        <v>0</v>
      </c>
      <c r="X56" s="0" t="n">
        <f aca="false">VLOOKUP(X$1+1000*$A56,MASTER6!$A$2:$D$8001,4,FALSE())</f>
        <v>0</v>
      </c>
      <c r="Y56" s="0" t="n">
        <f aca="false">VLOOKUP(Y$1+1000*$A56,MASTER6!$A$2:$D$8001,4,FALSE())</f>
        <v>0</v>
      </c>
      <c r="Z56" s="0" t="n">
        <f aca="false">VLOOKUP(Z$1+1000*$A56,MASTER6!$A$2:$D$8001,4,FALSE())</f>
        <v>0</v>
      </c>
      <c r="AA56" s="0" t="n">
        <f aca="false">VLOOKUP(AA$1+1000*$A56,MASTER6!$A$2:$D$8001,4,FALSE())</f>
        <v>0</v>
      </c>
      <c r="AB56" s="0" t="n">
        <f aca="false">VLOOKUP(AB$1+1000*$A56,MASTER6!$A$2:$D$8001,4,FALSE())</f>
        <v>0</v>
      </c>
      <c r="AC56" s="0" t="n">
        <f aca="false">VLOOKUP(AC$1+1000*$A56,MASTER6!$A$2:$D$8001,4,FALSE())</f>
        <v>0</v>
      </c>
      <c r="AD56" s="0" t="n">
        <f aca="false">VLOOKUP(AD$1+1000*$A56,MASTER6!$A$2:$D$8001,4,FALSE())</f>
        <v>0</v>
      </c>
      <c r="AE56" s="0" t="n">
        <f aca="false">VLOOKUP(AE$1+1000*$A56,MASTER6!$A$2:$D$8001,4,FALSE())</f>
        <v>0</v>
      </c>
      <c r="AF56" s="0" t="n">
        <f aca="false">VLOOKUP(AF$1+1000*$A56,MASTER6!$A$2:$D$8001,4,FALSE())</f>
        <v>0</v>
      </c>
      <c r="AG56" s="0" t="n">
        <f aca="false">VLOOKUP(AG$1+1000*$A56,MASTER6!$A$2:$D$8001,4,FALSE())</f>
        <v>0</v>
      </c>
      <c r="AH56" s="0" t="n">
        <f aca="false">VLOOKUP(AH$1+1000*$A56,MASTER6!$A$2:$D$8001,4,FALSE())</f>
        <v>0</v>
      </c>
      <c r="AI56" s="0" t="n">
        <f aca="false">VLOOKUP(AI$1+1000*$A56,MASTER6!$A$2:$D$8001,4,FALSE())</f>
        <v>0</v>
      </c>
      <c r="AJ56" s="0" t="n">
        <f aca="false">VLOOKUP(AJ$1+1000*$A56,MASTER6!$A$2:$D$8001,4,FALSE())</f>
        <v>0</v>
      </c>
      <c r="AK56" s="0" t="n">
        <f aca="false">VLOOKUP(AK$1+1000*$A56,MASTER6!$A$2:$D$8001,4,FALSE())</f>
        <v>0</v>
      </c>
      <c r="AL56" s="0" t="n">
        <f aca="false">VLOOKUP(AL$1+1000*$A56,MASTER6!$A$2:$D$8001,4,FALSE())</f>
        <v>0</v>
      </c>
      <c r="AM56" s="0" t="n">
        <f aca="false">VLOOKUP(AM$1+1000*$A56,MASTER6!$A$2:$D$8001,4,FALSE())</f>
        <v>0</v>
      </c>
      <c r="AN56" s="0" t="n">
        <f aca="false">VLOOKUP(AN$1+1000*$A56,MASTER6!$A$2:$D$8001,4,FALSE())</f>
        <v>0</v>
      </c>
      <c r="AO56" s="0" t="n">
        <f aca="false">VLOOKUP(AO$1+1000*$A56,MASTER6!$A$2:$D$8001,4,FALSE())</f>
        <v>0</v>
      </c>
      <c r="AP56" s="0" t="n">
        <f aca="false">VLOOKUP(AP$1+1000*$A56,MASTER6!$A$2:$D$8001,4,FALSE())</f>
        <v>0</v>
      </c>
      <c r="AQ56" s="0" t="n">
        <f aca="false">VLOOKUP(AQ$1+1000*$A56,MASTER6!$A$2:$D$8001,4,FALSE())</f>
        <v>78</v>
      </c>
      <c r="AR56" s="0" t="n">
        <f aca="false">VLOOKUP(AR$1+1000*$A56,MASTER6!$A$2:$D$8001,4,FALSE())</f>
        <v>65</v>
      </c>
      <c r="AS56" s="0" t="n">
        <f aca="false">VLOOKUP(AS$1+1000*$A56,MASTER6!$A$2:$D$8001,4,FALSE())</f>
        <v>0</v>
      </c>
      <c r="AT56" s="0" t="n">
        <f aca="false">VLOOKUP(AT$1+1000*$A56,MASTER6!$A$2:$D$8001,4,FALSE())</f>
        <v>0</v>
      </c>
      <c r="AU56" s="0" t="n">
        <f aca="false">VLOOKUP(AU$1+1000*$A56,MASTER6!$A$2:$D$8001,4,FALSE())</f>
        <v>0</v>
      </c>
      <c r="AV56" s="0" t="n">
        <f aca="false">VLOOKUP(AV$1+1000*$A56,MASTER6!$A$2:$D$8001,4,FALSE())</f>
        <v>104</v>
      </c>
      <c r="AW56" s="0" t="n">
        <f aca="false">VLOOKUP(AW$1+1000*$A56,MASTER6!$A$2:$D$8001,4,FALSE())</f>
        <v>650</v>
      </c>
      <c r="AX56" s="0" t="n">
        <f aca="false">VLOOKUP(AX$1+1000*$A56,MASTER6!$A$2:$D$8001,4,FALSE())</f>
        <v>0</v>
      </c>
      <c r="AY56" s="0" t="n">
        <f aca="false">VLOOKUP(AY$1+1000*$A56,MASTER6!$A$2:$D$8001,4,FALSE())</f>
        <v>0</v>
      </c>
      <c r="AZ56" s="0" t="n">
        <f aca="false">VLOOKUP(AZ$1+1000*$A56,MASTER6!$A$2:$D$8001,4,FALSE())</f>
        <v>0</v>
      </c>
      <c r="BA56" s="0" t="n">
        <f aca="false">VLOOKUP(BA$1+1000*$A56,MASTER6!$A$2:$D$8001,4,FALSE())</f>
        <v>351</v>
      </c>
      <c r="BB56" s="0" t="n">
        <f aca="false">VLOOKUP(BB$1+1000*$A56,MASTER6!$A$2:$D$8001,4,FALSE())</f>
        <v>494</v>
      </c>
      <c r="BC56" s="0" t="n">
        <f aca="false">VLOOKUP(BC$1+1000*$A56,MASTER6!$A$2:$D$8001,4,FALSE())</f>
        <v>650</v>
      </c>
      <c r="BD56" s="0" t="n">
        <f aca="false">VLOOKUP(BD$1+1000*$A56,MASTER6!$A$2:$D$8001,4,FALSE())</f>
        <v>6695</v>
      </c>
      <c r="BE56" s="0" t="n">
        <f aca="false">VLOOKUP(BE$1+1000*$A56,MASTER6!$A$2:$D$8001,4,FALSE())</f>
        <v>481</v>
      </c>
      <c r="BF56" s="0" t="n">
        <f aca="false">VLOOKUP(BF$1+1000*$A56,MASTER6!$A$2:$D$8001,4,FALSE())</f>
        <v>338</v>
      </c>
      <c r="BG56" s="0" t="n">
        <f aca="false">VLOOKUP(BG$1+1000*$A56,MASTER6!$A$2:$D$8001,4,FALSE())</f>
        <v>390</v>
      </c>
      <c r="BH56" s="0" t="n">
        <f aca="false">VLOOKUP(BH$1+1000*$A56,MASTER6!$A$2:$D$8001,4,FALSE())</f>
        <v>0</v>
      </c>
      <c r="BI56" s="0" t="n">
        <f aca="false">VLOOKUP(BI$1+1000*$A56,MASTER6!$A$2:$D$8001,4,FALSE())</f>
        <v>104</v>
      </c>
      <c r="BJ56" s="0" t="n">
        <f aca="false">VLOOKUP(BJ$1+1000*$A56,MASTER6!$A$2:$D$8001,4,FALSE())</f>
        <v>273</v>
      </c>
      <c r="BK56" s="0" t="n">
        <f aca="false">VLOOKUP(BK$1+1000*$A56,MASTER6!$A$2:$D$8001,4,FALSE())</f>
        <v>0</v>
      </c>
      <c r="BL56" s="0" t="n">
        <f aca="false">VLOOKUP(BL$1+1000*$A56,MASTER6!$A$2:$D$8001,4,FALSE())</f>
        <v>234</v>
      </c>
      <c r="BM56" s="0" t="n">
        <f aca="false">VLOOKUP(BM$1+1000*$A56,MASTER6!$A$2:$D$8001,4,FALSE())</f>
        <v>13429</v>
      </c>
      <c r="BN56" s="0" t="n">
        <f aca="false">VLOOKUP(BN$1+1000*$A56,MASTER6!$A$2:$D$8001,4,FALSE())</f>
        <v>19695</v>
      </c>
      <c r="BO56" s="0" t="n">
        <f aca="false">VLOOKUP(BO$1+1000*$A56,MASTER6!$A$2:$D$8001,4,FALSE())</f>
        <v>234</v>
      </c>
      <c r="BP56" s="0" t="n">
        <f aca="false">VLOOKUP(BP$1+1000*$A56,MASTER6!$A$2:$D$8001,4,FALSE())</f>
        <v>0</v>
      </c>
      <c r="BQ56" s="0" t="n">
        <f aca="false">VLOOKUP(BQ$1+1000*$A56,MASTER6!$A$2:$D$8001,4,FALSE())</f>
        <v>0</v>
      </c>
      <c r="BR56" s="0" t="n">
        <f aca="false">VLOOKUP(BR$1+1000*$A56,MASTER6!$A$2:$D$8001,4,FALSE())</f>
        <v>78</v>
      </c>
      <c r="BS56" s="0" t="n">
        <f aca="false">VLOOKUP(BS$1+1000*$A56,MASTER6!$A$2:$D$8001,4,FALSE())</f>
        <v>0</v>
      </c>
      <c r="BT56" s="0" t="n">
        <f aca="false">VLOOKUP(BT$1+1000*$A56,MASTER6!$A$2:$D$8001,4,FALSE())</f>
        <v>65</v>
      </c>
      <c r="BU56" s="0" t="n">
        <f aca="false">VLOOKUP(BU$1+1000*$A56,MASTER6!$A$2:$D$8001,4,FALSE())</f>
        <v>325</v>
      </c>
      <c r="BV56" s="0" t="n">
        <f aca="false">VLOOKUP(BV$1+1000*$A56,MASTER6!$A$2:$D$8001,4,FALSE())</f>
        <v>0</v>
      </c>
      <c r="BW56" s="0" t="e">
        <f aca="false">VLOOKUP(BW$1+1000*$A56,MASTER6!$A$2:$D$8001,4,FALSE())</f>
        <v>#N/A</v>
      </c>
      <c r="BX56" s="0" t="n">
        <f aca="false">VLOOKUP(BX$1+1000*$A56,MASTER6!$A$2:$D$8001,4,FALSE())</f>
        <v>0</v>
      </c>
      <c r="BY56" s="0" t="n">
        <f aca="false">VLOOKUP(BY$1+1000*$A56,MASTER6!$A$2:$D$8001,4,FALSE())</f>
        <v>0</v>
      </c>
      <c r="BZ56" s="0" t="n">
        <f aca="false">VLOOKUP(BZ$1+1000*$A56,MASTER6!$A$2:$D$8001,4,FALSE())</f>
        <v>0</v>
      </c>
      <c r="CA56" s="0" t="n">
        <f aca="false">VLOOKUP(CA$1+1000*$A56,MASTER6!$A$2:$D$8001,4,FALSE())</f>
        <v>0</v>
      </c>
      <c r="CB56" s="0" t="n">
        <f aca="false">VLOOKUP(CB$1+1000*$A56,MASTER6!$A$2:$D$8001,4,FALSE())</f>
        <v>0</v>
      </c>
      <c r="CC56" s="0" t="n">
        <f aca="false">VLOOKUP(CC$1+1000*$A56,MASTER6!$A$2:$D$8001,4,FALSE())</f>
        <v>0</v>
      </c>
      <c r="CD56" s="0" t="n">
        <f aca="false">VLOOKUP(CD$1+1000*$A56,MASTER6!$A$2:$D$8001,4,FALSE())</f>
        <v>0</v>
      </c>
      <c r="CE56" s="0" t="n">
        <f aca="false">VLOOKUP(CE$1+1000*$A56,MASTER6!$A$2:$D$8001,4,FALSE())</f>
        <v>0</v>
      </c>
      <c r="CF56" s="0" t="n">
        <f aca="false">VLOOKUP(CF$1+1000*$A56,MASTER6!$A$2:$D$8001,4,FALSE())</f>
        <v>0</v>
      </c>
      <c r="CG56" s="0" t="n">
        <f aca="false">VLOOKUP(CG$1+1000*$A56,MASTER6!$A$2:$D$8001,4,FALSE())</f>
        <v>156</v>
      </c>
      <c r="CH56" s="0" t="n">
        <f aca="false">VLOOKUP(CH$1+1000*$A56,MASTER6!$A$2:$D$8001,4,FALSE())</f>
        <v>84006</v>
      </c>
      <c r="CI56" s="0" t="n">
        <f aca="false">VLOOKUP(CI$1+1000*$A56,MASTER6!$A$2:$D$8001,4,FALSE())</f>
        <v>0</v>
      </c>
      <c r="CJ56" s="0" t="e">
        <f aca="false">VLOOKUP(CJ$1+1000*$A56,MASTER6!$A$2:$D$8001,4,FALSE())</f>
        <v>#N/A</v>
      </c>
    </row>
    <row r="57" customFormat="false" ht="12.75" hidden="false" customHeight="false" outlineLevel="0" collapsed="false">
      <c r="A57" s="0" t="n">
        <v>56</v>
      </c>
      <c r="B57" s="0" t="n">
        <f aca="false">VLOOKUP(B$1+1000*$A57,MASTER6!$A$2:$D$8001,4,FALSE())</f>
        <v>0</v>
      </c>
      <c r="C57" s="0" t="n">
        <f aca="false">VLOOKUP(C$1+1000*$A57,MASTER6!$A$2:$D$8001,4,FALSE())</f>
        <v>0</v>
      </c>
      <c r="D57" s="0" t="n">
        <f aca="false">VLOOKUP(D$1+1000*$A57,MASTER6!$A$2:$D$8001,4,FALSE())</f>
        <v>0</v>
      </c>
      <c r="E57" s="0" t="n">
        <f aca="false">VLOOKUP(E$1+1000*$A57,MASTER6!$A$2:$D$8001,4,FALSE())</f>
        <v>0</v>
      </c>
      <c r="F57" s="0" t="n">
        <f aca="false">VLOOKUP(F$1+1000*$A57,MASTER6!$A$2:$D$8001,4,FALSE())</f>
        <v>0</v>
      </c>
      <c r="G57" s="0" t="n">
        <f aca="false">VLOOKUP(G$1+1000*$A57,MASTER6!$A$2:$D$8001,4,FALSE())</f>
        <v>0</v>
      </c>
      <c r="H57" s="0" t="n">
        <f aca="false">VLOOKUP(H$1+1000*$A57,MASTER6!$A$2:$D$8001,4,FALSE())</f>
        <v>0</v>
      </c>
      <c r="I57" s="0" t="n">
        <f aca="false">VLOOKUP(I$1+1000*$A57,MASTER6!$A$2:$D$8001,4,FALSE())</f>
        <v>0</v>
      </c>
      <c r="J57" s="0" t="n">
        <f aca="false">VLOOKUP(J$1+1000*$A57,MASTER6!$A$2:$D$8001,4,FALSE())</f>
        <v>0</v>
      </c>
      <c r="K57" s="0" t="n">
        <f aca="false">VLOOKUP(K$1+1000*$A57,MASTER6!$A$2:$D$8001,4,FALSE())</f>
        <v>0</v>
      </c>
      <c r="L57" s="0" t="n">
        <f aca="false">VLOOKUP(L$1+1000*$A57,MASTER6!$A$2:$D$8001,4,FALSE())</f>
        <v>0</v>
      </c>
      <c r="M57" s="0" t="n">
        <f aca="false">VLOOKUP(M$1+1000*$A57,MASTER6!$A$2:$D$8001,4,FALSE())</f>
        <v>0</v>
      </c>
      <c r="N57" s="0" t="n">
        <f aca="false">VLOOKUP(N$1+1000*$A57,MASTER6!$A$2:$D$8001,4,FALSE())</f>
        <v>0</v>
      </c>
      <c r="O57" s="0" t="n">
        <f aca="false">VLOOKUP(O$1+1000*$A57,MASTER6!$A$2:$D$8001,4,FALSE())</f>
        <v>0</v>
      </c>
      <c r="P57" s="0" t="n">
        <f aca="false">VLOOKUP(P$1+1000*$A57,MASTER6!$A$2:$D$8001,4,FALSE())</f>
        <v>0</v>
      </c>
      <c r="Q57" s="0" t="n">
        <f aca="false">VLOOKUP(Q$1+1000*$A57,MASTER6!$A$2:$D$8001,4,FALSE())</f>
        <v>0</v>
      </c>
      <c r="R57" s="0" t="n">
        <f aca="false">VLOOKUP(R$1+1000*$A57,MASTER6!$A$2:$D$8001,4,FALSE())</f>
        <v>0</v>
      </c>
      <c r="S57" s="0" t="n">
        <f aca="false">VLOOKUP(S$1+1000*$A57,MASTER6!$A$2:$D$8001,4,FALSE())</f>
        <v>0</v>
      </c>
      <c r="T57" s="0" t="n">
        <f aca="false">VLOOKUP(T$1+1000*$A57,MASTER6!$A$2:$D$8001,4,FALSE())</f>
        <v>0</v>
      </c>
      <c r="U57" s="0" t="n">
        <f aca="false">VLOOKUP(U$1+1000*$A57,MASTER6!$A$2:$D$8001,4,FALSE())</f>
        <v>0</v>
      </c>
      <c r="V57" s="0" t="n">
        <f aca="false">VLOOKUP(V$1+1000*$A57,MASTER6!$A$2:$D$8001,4,FALSE())</f>
        <v>0</v>
      </c>
      <c r="W57" s="0" t="n">
        <f aca="false">VLOOKUP(W$1+1000*$A57,MASTER6!$A$2:$D$8001,4,FALSE())</f>
        <v>0</v>
      </c>
      <c r="X57" s="0" t="n">
        <f aca="false">VLOOKUP(X$1+1000*$A57,MASTER6!$A$2:$D$8001,4,FALSE())</f>
        <v>0</v>
      </c>
      <c r="Y57" s="0" t="n">
        <f aca="false">VLOOKUP(Y$1+1000*$A57,MASTER6!$A$2:$D$8001,4,FALSE())</f>
        <v>0</v>
      </c>
      <c r="Z57" s="0" t="n">
        <f aca="false">VLOOKUP(Z$1+1000*$A57,MASTER6!$A$2:$D$8001,4,FALSE())</f>
        <v>0</v>
      </c>
      <c r="AA57" s="0" t="n">
        <f aca="false">VLOOKUP(AA$1+1000*$A57,MASTER6!$A$2:$D$8001,4,FALSE())</f>
        <v>0</v>
      </c>
      <c r="AB57" s="0" t="n">
        <f aca="false">VLOOKUP(AB$1+1000*$A57,MASTER6!$A$2:$D$8001,4,FALSE())</f>
        <v>0</v>
      </c>
      <c r="AC57" s="0" t="n">
        <f aca="false">VLOOKUP(AC$1+1000*$A57,MASTER6!$A$2:$D$8001,4,FALSE())</f>
        <v>0</v>
      </c>
      <c r="AD57" s="0" t="n">
        <f aca="false">VLOOKUP(AD$1+1000*$A57,MASTER6!$A$2:$D$8001,4,FALSE())</f>
        <v>0</v>
      </c>
      <c r="AE57" s="0" t="n">
        <f aca="false">VLOOKUP(AE$1+1000*$A57,MASTER6!$A$2:$D$8001,4,FALSE())</f>
        <v>0</v>
      </c>
      <c r="AF57" s="0" t="n">
        <f aca="false">VLOOKUP(AF$1+1000*$A57,MASTER6!$A$2:$D$8001,4,FALSE())</f>
        <v>0</v>
      </c>
      <c r="AG57" s="0" t="n">
        <f aca="false">VLOOKUP(AG$1+1000*$A57,MASTER6!$A$2:$D$8001,4,FALSE())</f>
        <v>0</v>
      </c>
      <c r="AH57" s="0" t="n">
        <f aca="false">VLOOKUP(AH$1+1000*$A57,MASTER6!$A$2:$D$8001,4,FALSE())</f>
        <v>0</v>
      </c>
      <c r="AI57" s="0" t="n">
        <f aca="false">VLOOKUP(AI$1+1000*$A57,MASTER6!$A$2:$D$8001,4,FALSE())</f>
        <v>0</v>
      </c>
      <c r="AJ57" s="0" t="n">
        <f aca="false">VLOOKUP(AJ$1+1000*$A57,MASTER6!$A$2:$D$8001,4,FALSE())</f>
        <v>0</v>
      </c>
      <c r="AK57" s="0" t="n">
        <f aca="false">VLOOKUP(AK$1+1000*$A57,MASTER6!$A$2:$D$8001,4,FALSE())</f>
        <v>0</v>
      </c>
      <c r="AL57" s="0" t="n">
        <f aca="false">VLOOKUP(AL$1+1000*$A57,MASTER6!$A$2:$D$8001,4,FALSE())</f>
        <v>0</v>
      </c>
      <c r="AM57" s="0" t="n">
        <f aca="false">VLOOKUP(AM$1+1000*$A57,MASTER6!$A$2:$D$8001,4,FALSE())</f>
        <v>0</v>
      </c>
      <c r="AN57" s="0" t="n">
        <f aca="false">VLOOKUP(AN$1+1000*$A57,MASTER6!$A$2:$D$8001,4,FALSE())</f>
        <v>0</v>
      </c>
      <c r="AO57" s="0" t="n">
        <f aca="false">VLOOKUP(AO$1+1000*$A57,MASTER6!$A$2:$D$8001,4,FALSE())</f>
        <v>0</v>
      </c>
      <c r="AP57" s="0" t="n">
        <f aca="false">VLOOKUP(AP$1+1000*$A57,MASTER6!$A$2:$D$8001,4,FALSE())</f>
        <v>0</v>
      </c>
      <c r="AQ57" s="0" t="n">
        <f aca="false">VLOOKUP(AQ$1+1000*$A57,MASTER6!$A$2:$D$8001,4,FALSE())</f>
        <v>91</v>
      </c>
      <c r="AR57" s="0" t="n">
        <f aca="false">VLOOKUP(AR$1+1000*$A57,MASTER6!$A$2:$D$8001,4,FALSE())</f>
        <v>0</v>
      </c>
      <c r="AS57" s="0" t="n">
        <f aca="false">VLOOKUP(AS$1+1000*$A57,MASTER6!$A$2:$D$8001,4,FALSE())</f>
        <v>0</v>
      </c>
      <c r="AT57" s="0" t="n">
        <f aca="false">VLOOKUP(AT$1+1000*$A57,MASTER6!$A$2:$D$8001,4,FALSE())</f>
        <v>0</v>
      </c>
      <c r="AU57" s="0" t="n">
        <f aca="false">VLOOKUP(AU$1+1000*$A57,MASTER6!$A$2:$D$8001,4,FALSE())</f>
        <v>0</v>
      </c>
      <c r="AV57" s="0" t="n">
        <f aca="false">VLOOKUP(AV$1+1000*$A57,MASTER6!$A$2:$D$8001,4,FALSE())</f>
        <v>221</v>
      </c>
      <c r="AW57" s="0" t="n">
        <f aca="false">VLOOKUP(AW$1+1000*$A57,MASTER6!$A$2:$D$8001,4,FALSE())</f>
        <v>325</v>
      </c>
      <c r="AX57" s="0" t="n">
        <f aca="false">VLOOKUP(AX$1+1000*$A57,MASTER6!$A$2:$D$8001,4,FALSE())</f>
        <v>0</v>
      </c>
      <c r="AY57" s="0" t="n">
        <f aca="false">VLOOKUP(AY$1+1000*$A57,MASTER6!$A$2:$D$8001,4,FALSE())</f>
        <v>0</v>
      </c>
      <c r="AZ57" s="0" t="n">
        <f aca="false">VLOOKUP(AZ$1+1000*$A57,MASTER6!$A$2:$D$8001,4,FALSE())</f>
        <v>0</v>
      </c>
      <c r="BA57" s="0" t="n">
        <f aca="false">VLOOKUP(BA$1+1000*$A57,MASTER6!$A$2:$D$8001,4,FALSE())</f>
        <v>130</v>
      </c>
      <c r="BB57" s="0" t="n">
        <f aca="false">VLOOKUP(BB$1+1000*$A57,MASTER6!$A$2:$D$8001,4,FALSE())</f>
        <v>234</v>
      </c>
      <c r="BC57" s="0" t="n">
        <f aca="false">VLOOKUP(BC$1+1000*$A57,MASTER6!$A$2:$D$8001,4,FALSE())</f>
        <v>247</v>
      </c>
      <c r="BD57" s="0" t="n">
        <f aca="false">VLOOKUP(BD$1+1000*$A57,MASTER6!$A$2:$D$8001,4,FALSE())</f>
        <v>234</v>
      </c>
      <c r="BE57" s="0" t="n">
        <f aca="false">VLOOKUP(BE$1+1000*$A57,MASTER6!$A$2:$D$8001,4,FALSE())</f>
        <v>5278</v>
      </c>
      <c r="BF57" s="0" t="n">
        <f aca="false">VLOOKUP(BF$1+1000*$A57,MASTER6!$A$2:$D$8001,4,FALSE())</f>
        <v>1443</v>
      </c>
      <c r="BG57" s="0" t="n">
        <f aca="false">VLOOKUP(BG$1+1000*$A57,MASTER6!$A$2:$D$8001,4,FALSE())</f>
        <v>78</v>
      </c>
      <c r="BH57" s="0" t="n">
        <f aca="false">VLOOKUP(BH$1+1000*$A57,MASTER6!$A$2:$D$8001,4,FALSE())</f>
        <v>0</v>
      </c>
      <c r="BI57" s="0" t="n">
        <f aca="false">VLOOKUP(BI$1+1000*$A57,MASTER6!$A$2:$D$8001,4,FALSE())</f>
        <v>611</v>
      </c>
      <c r="BJ57" s="0" t="n">
        <f aca="false">VLOOKUP(BJ$1+1000*$A57,MASTER6!$A$2:$D$8001,4,FALSE())</f>
        <v>117</v>
      </c>
      <c r="BK57" s="0" t="n">
        <f aca="false">VLOOKUP(BK$1+1000*$A57,MASTER6!$A$2:$D$8001,4,FALSE())</f>
        <v>1027</v>
      </c>
      <c r="BL57" s="0" t="n">
        <f aca="false">VLOOKUP(BL$1+1000*$A57,MASTER6!$A$2:$D$8001,4,FALSE())</f>
        <v>0</v>
      </c>
      <c r="BM57" s="0" t="n">
        <f aca="false">VLOOKUP(BM$1+1000*$A57,MASTER6!$A$2:$D$8001,4,FALSE())</f>
        <v>12922</v>
      </c>
      <c r="BN57" s="0" t="n">
        <f aca="false">VLOOKUP(BN$1+1000*$A57,MASTER6!$A$2:$D$8001,4,FALSE())</f>
        <v>16471</v>
      </c>
      <c r="BO57" s="0" t="n">
        <f aca="false">VLOOKUP(BO$1+1000*$A57,MASTER6!$A$2:$D$8001,4,FALSE())</f>
        <v>806</v>
      </c>
      <c r="BP57" s="0" t="n">
        <f aca="false">VLOOKUP(BP$1+1000*$A57,MASTER6!$A$2:$D$8001,4,FALSE())</f>
        <v>0</v>
      </c>
      <c r="BQ57" s="0" t="n">
        <f aca="false">VLOOKUP(BQ$1+1000*$A57,MASTER6!$A$2:$D$8001,4,FALSE())</f>
        <v>0</v>
      </c>
      <c r="BR57" s="0" t="n">
        <f aca="false">VLOOKUP(BR$1+1000*$A57,MASTER6!$A$2:$D$8001,4,FALSE())</f>
        <v>0</v>
      </c>
      <c r="BS57" s="0" t="n">
        <f aca="false">VLOOKUP(BS$1+1000*$A57,MASTER6!$A$2:$D$8001,4,FALSE())</f>
        <v>117</v>
      </c>
      <c r="BT57" s="0" t="n">
        <f aca="false">VLOOKUP(BT$1+1000*$A57,MASTER6!$A$2:$D$8001,4,FALSE())</f>
        <v>0</v>
      </c>
      <c r="BU57" s="0" t="n">
        <f aca="false">VLOOKUP(BU$1+1000*$A57,MASTER6!$A$2:$D$8001,4,FALSE())</f>
        <v>0</v>
      </c>
      <c r="BV57" s="0" t="n">
        <f aca="false">VLOOKUP(BV$1+1000*$A57,MASTER6!$A$2:$D$8001,4,FALSE())</f>
        <v>0</v>
      </c>
      <c r="BW57" s="0" t="e">
        <f aca="false">VLOOKUP(BW$1+1000*$A57,MASTER6!$A$2:$D$8001,4,FALSE())</f>
        <v>#N/A</v>
      </c>
      <c r="BX57" s="0" t="n">
        <f aca="false">VLOOKUP(BX$1+1000*$A57,MASTER6!$A$2:$D$8001,4,FALSE())</f>
        <v>0</v>
      </c>
      <c r="BY57" s="0" t="n">
        <f aca="false">VLOOKUP(BY$1+1000*$A57,MASTER6!$A$2:$D$8001,4,FALSE())</f>
        <v>0</v>
      </c>
      <c r="BZ57" s="0" t="n">
        <f aca="false">VLOOKUP(BZ$1+1000*$A57,MASTER6!$A$2:$D$8001,4,FALSE())</f>
        <v>0</v>
      </c>
      <c r="CA57" s="0" t="n">
        <f aca="false">VLOOKUP(CA$1+1000*$A57,MASTER6!$A$2:$D$8001,4,FALSE())</f>
        <v>0</v>
      </c>
      <c r="CB57" s="0" t="n">
        <f aca="false">VLOOKUP(CB$1+1000*$A57,MASTER6!$A$2:$D$8001,4,FALSE())</f>
        <v>0</v>
      </c>
      <c r="CC57" s="0" t="n">
        <f aca="false">VLOOKUP(CC$1+1000*$A57,MASTER6!$A$2:$D$8001,4,FALSE())</f>
        <v>0</v>
      </c>
      <c r="CD57" s="0" t="n">
        <f aca="false">VLOOKUP(CD$1+1000*$A57,MASTER6!$A$2:$D$8001,4,FALSE())</f>
        <v>0</v>
      </c>
      <c r="CE57" s="0" t="n">
        <f aca="false">VLOOKUP(CE$1+1000*$A57,MASTER6!$A$2:$D$8001,4,FALSE())</f>
        <v>0</v>
      </c>
      <c r="CF57" s="0" t="n">
        <f aca="false">VLOOKUP(CF$1+1000*$A57,MASTER6!$A$2:$D$8001,4,FALSE())</f>
        <v>0</v>
      </c>
      <c r="CG57" s="0" t="n">
        <f aca="false">VLOOKUP(CG$1+1000*$A57,MASTER6!$A$2:$D$8001,4,FALSE())</f>
        <v>0</v>
      </c>
      <c r="CH57" s="0" t="n">
        <f aca="false">VLOOKUP(CH$1+1000*$A57,MASTER6!$A$2:$D$8001,4,FALSE())</f>
        <v>81172</v>
      </c>
      <c r="CI57" s="0" t="n">
        <f aca="false">VLOOKUP(CI$1+1000*$A57,MASTER6!$A$2:$D$8001,4,FALSE())</f>
        <v>0</v>
      </c>
      <c r="CJ57" s="0" t="e">
        <f aca="false">VLOOKUP(CJ$1+1000*$A57,MASTER6!$A$2:$D$8001,4,FALSE())</f>
        <v>#N/A</v>
      </c>
    </row>
    <row r="58" customFormat="false" ht="12.75" hidden="false" customHeight="false" outlineLevel="0" collapsed="false">
      <c r="A58" s="0" t="n">
        <v>57</v>
      </c>
      <c r="B58" s="0" t="n">
        <f aca="false">VLOOKUP(B$1+1000*$A58,MASTER6!$A$2:$D$8001,4,FALSE())</f>
        <v>0</v>
      </c>
      <c r="C58" s="0" t="n">
        <f aca="false">VLOOKUP(C$1+1000*$A58,MASTER6!$A$2:$D$8001,4,FALSE())</f>
        <v>0</v>
      </c>
      <c r="D58" s="0" t="n">
        <f aca="false">VLOOKUP(D$1+1000*$A58,MASTER6!$A$2:$D$8001,4,FALSE())</f>
        <v>0</v>
      </c>
      <c r="E58" s="0" t="n">
        <f aca="false">VLOOKUP(E$1+1000*$A58,MASTER6!$A$2:$D$8001,4,FALSE())</f>
        <v>0</v>
      </c>
      <c r="F58" s="0" t="n">
        <f aca="false">VLOOKUP(F$1+1000*$A58,MASTER6!$A$2:$D$8001,4,FALSE())</f>
        <v>0</v>
      </c>
      <c r="G58" s="0" t="n">
        <f aca="false">VLOOKUP(G$1+1000*$A58,MASTER6!$A$2:$D$8001,4,FALSE())</f>
        <v>0</v>
      </c>
      <c r="H58" s="0" t="n">
        <f aca="false">VLOOKUP(H$1+1000*$A58,MASTER6!$A$2:$D$8001,4,FALSE())</f>
        <v>0</v>
      </c>
      <c r="I58" s="0" t="n">
        <f aca="false">VLOOKUP(I$1+1000*$A58,MASTER6!$A$2:$D$8001,4,FALSE())</f>
        <v>0</v>
      </c>
      <c r="J58" s="0" t="n">
        <f aca="false">VLOOKUP(J$1+1000*$A58,MASTER6!$A$2:$D$8001,4,FALSE())</f>
        <v>0</v>
      </c>
      <c r="K58" s="0" t="n">
        <f aca="false">VLOOKUP(K$1+1000*$A58,MASTER6!$A$2:$D$8001,4,FALSE())</f>
        <v>0</v>
      </c>
      <c r="L58" s="0" t="n">
        <f aca="false">VLOOKUP(L$1+1000*$A58,MASTER6!$A$2:$D$8001,4,FALSE())</f>
        <v>0</v>
      </c>
      <c r="M58" s="0" t="n">
        <f aca="false">VLOOKUP(M$1+1000*$A58,MASTER6!$A$2:$D$8001,4,FALSE())</f>
        <v>0</v>
      </c>
      <c r="N58" s="0" t="n">
        <f aca="false">VLOOKUP(N$1+1000*$A58,MASTER6!$A$2:$D$8001,4,FALSE())</f>
        <v>0</v>
      </c>
      <c r="O58" s="0" t="n">
        <f aca="false">VLOOKUP(O$1+1000*$A58,MASTER6!$A$2:$D$8001,4,FALSE())</f>
        <v>0</v>
      </c>
      <c r="P58" s="0" t="n">
        <f aca="false">VLOOKUP(P$1+1000*$A58,MASTER6!$A$2:$D$8001,4,FALSE())</f>
        <v>0</v>
      </c>
      <c r="Q58" s="0" t="n">
        <f aca="false">VLOOKUP(Q$1+1000*$A58,MASTER6!$A$2:$D$8001,4,FALSE())</f>
        <v>0</v>
      </c>
      <c r="R58" s="0" t="n">
        <f aca="false">VLOOKUP(R$1+1000*$A58,MASTER6!$A$2:$D$8001,4,FALSE())</f>
        <v>0</v>
      </c>
      <c r="S58" s="0" t="n">
        <f aca="false">VLOOKUP(S$1+1000*$A58,MASTER6!$A$2:$D$8001,4,FALSE())</f>
        <v>0</v>
      </c>
      <c r="T58" s="0" t="n">
        <f aca="false">VLOOKUP(T$1+1000*$A58,MASTER6!$A$2:$D$8001,4,FALSE())</f>
        <v>0</v>
      </c>
      <c r="U58" s="0" t="n">
        <f aca="false">VLOOKUP(U$1+1000*$A58,MASTER6!$A$2:$D$8001,4,FALSE())</f>
        <v>0</v>
      </c>
      <c r="V58" s="0" t="n">
        <f aca="false">VLOOKUP(V$1+1000*$A58,MASTER6!$A$2:$D$8001,4,FALSE())</f>
        <v>0</v>
      </c>
      <c r="W58" s="0" t="n">
        <f aca="false">VLOOKUP(W$1+1000*$A58,MASTER6!$A$2:$D$8001,4,FALSE())</f>
        <v>0</v>
      </c>
      <c r="X58" s="0" t="n">
        <f aca="false">VLOOKUP(X$1+1000*$A58,MASTER6!$A$2:$D$8001,4,FALSE())</f>
        <v>0</v>
      </c>
      <c r="Y58" s="0" t="n">
        <f aca="false">VLOOKUP(Y$1+1000*$A58,MASTER6!$A$2:$D$8001,4,FALSE())</f>
        <v>0</v>
      </c>
      <c r="Z58" s="0" t="n">
        <f aca="false">VLOOKUP(Z$1+1000*$A58,MASTER6!$A$2:$D$8001,4,FALSE())</f>
        <v>78</v>
      </c>
      <c r="AA58" s="0" t="n">
        <f aca="false">VLOOKUP(AA$1+1000*$A58,MASTER6!$A$2:$D$8001,4,FALSE())</f>
        <v>0</v>
      </c>
      <c r="AB58" s="0" t="n">
        <f aca="false">VLOOKUP(AB$1+1000*$A58,MASTER6!$A$2:$D$8001,4,FALSE())</f>
        <v>0</v>
      </c>
      <c r="AC58" s="0" t="n">
        <f aca="false">VLOOKUP(AC$1+1000*$A58,MASTER6!$A$2:$D$8001,4,FALSE())</f>
        <v>0</v>
      </c>
      <c r="AD58" s="0" t="n">
        <f aca="false">VLOOKUP(AD$1+1000*$A58,MASTER6!$A$2:$D$8001,4,FALSE())</f>
        <v>0</v>
      </c>
      <c r="AE58" s="0" t="n">
        <f aca="false">VLOOKUP(AE$1+1000*$A58,MASTER6!$A$2:$D$8001,4,FALSE())</f>
        <v>0</v>
      </c>
      <c r="AF58" s="0" t="n">
        <f aca="false">VLOOKUP(AF$1+1000*$A58,MASTER6!$A$2:$D$8001,4,FALSE())</f>
        <v>104</v>
      </c>
      <c r="AG58" s="0" t="n">
        <f aca="false">VLOOKUP(AG$1+1000*$A58,MASTER6!$A$2:$D$8001,4,FALSE())</f>
        <v>0</v>
      </c>
      <c r="AH58" s="0" t="n">
        <f aca="false">VLOOKUP(AH$1+1000*$A58,MASTER6!$A$2:$D$8001,4,FALSE())</f>
        <v>0</v>
      </c>
      <c r="AI58" s="0" t="n">
        <f aca="false">VLOOKUP(AI$1+1000*$A58,MASTER6!$A$2:$D$8001,4,FALSE())</f>
        <v>0</v>
      </c>
      <c r="AJ58" s="0" t="n">
        <f aca="false">VLOOKUP(AJ$1+1000*$A58,MASTER6!$A$2:$D$8001,4,FALSE())</f>
        <v>0</v>
      </c>
      <c r="AK58" s="0" t="n">
        <f aca="false">VLOOKUP(AK$1+1000*$A58,MASTER6!$A$2:$D$8001,4,FALSE())</f>
        <v>0</v>
      </c>
      <c r="AL58" s="0" t="n">
        <f aca="false">VLOOKUP(AL$1+1000*$A58,MASTER6!$A$2:$D$8001,4,FALSE())</f>
        <v>0</v>
      </c>
      <c r="AM58" s="0" t="n">
        <f aca="false">VLOOKUP(AM$1+1000*$A58,MASTER6!$A$2:$D$8001,4,FALSE())</f>
        <v>0</v>
      </c>
      <c r="AN58" s="0" t="n">
        <f aca="false">VLOOKUP(AN$1+1000*$A58,MASTER6!$A$2:$D$8001,4,FALSE())</f>
        <v>0</v>
      </c>
      <c r="AO58" s="0" t="n">
        <f aca="false">VLOOKUP(AO$1+1000*$A58,MASTER6!$A$2:$D$8001,4,FALSE())</f>
        <v>0</v>
      </c>
      <c r="AP58" s="0" t="n">
        <f aca="false">VLOOKUP(AP$1+1000*$A58,MASTER6!$A$2:$D$8001,4,FALSE())</f>
        <v>0</v>
      </c>
      <c r="AQ58" s="0" t="n">
        <f aca="false">VLOOKUP(AQ$1+1000*$A58,MASTER6!$A$2:$D$8001,4,FALSE())</f>
        <v>468</v>
      </c>
      <c r="AR58" s="0" t="n">
        <f aca="false">VLOOKUP(AR$1+1000*$A58,MASTER6!$A$2:$D$8001,4,FALSE())</f>
        <v>78</v>
      </c>
      <c r="AS58" s="0" t="n">
        <f aca="false">VLOOKUP(AS$1+1000*$A58,MASTER6!$A$2:$D$8001,4,FALSE())</f>
        <v>143</v>
      </c>
      <c r="AT58" s="0" t="n">
        <f aca="false">VLOOKUP(AT$1+1000*$A58,MASTER6!$A$2:$D$8001,4,FALSE())</f>
        <v>0</v>
      </c>
      <c r="AU58" s="0" t="n">
        <f aca="false">VLOOKUP(AU$1+1000*$A58,MASTER6!$A$2:$D$8001,4,FALSE())</f>
        <v>0</v>
      </c>
      <c r="AV58" s="0" t="n">
        <f aca="false">VLOOKUP(AV$1+1000*$A58,MASTER6!$A$2:$D$8001,4,FALSE())</f>
        <v>637</v>
      </c>
      <c r="AW58" s="0" t="n">
        <f aca="false">VLOOKUP(AW$1+1000*$A58,MASTER6!$A$2:$D$8001,4,FALSE())</f>
        <v>1417</v>
      </c>
      <c r="AX58" s="0" t="n">
        <f aca="false">VLOOKUP(AX$1+1000*$A58,MASTER6!$A$2:$D$8001,4,FALSE())</f>
        <v>0</v>
      </c>
      <c r="AY58" s="0" t="n">
        <f aca="false">VLOOKUP(AY$1+1000*$A58,MASTER6!$A$2:$D$8001,4,FALSE())</f>
        <v>0</v>
      </c>
      <c r="AZ58" s="0" t="n">
        <f aca="false">VLOOKUP(AZ$1+1000*$A58,MASTER6!$A$2:$D$8001,4,FALSE())</f>
        <v>0</v>
      </c>
      <c r="BA58" s="0" t="n">
        <f aca="false">VLOOKUP(BA$1+1000*$A58,MASTER6!$A$2:$D$8001,4,FALSE())</f>
        <v>117</v>
      </c>
      <c r="BB58" s="0" t="n">
        <f aca="false">VLOOKUP(BB$1+1000*$A58,MASTER6!$A$2:$D$8001,4,FALSE())</f>
        <v>312</v>
      </c>
      <c r="BC58" s="0" t="n">
        <f aca="false">VLOOKUP(BC$1+1000*$A58,MASTER6!$A$2:$D$8001,4,FALSE())</f>
        <v>91</v>
      </c>
      <c r="BD58" s="0" t="n">
        <f aca="false">VLOOKUP(BD$1+1000*$A58,MASTER6!$A$2:$D$8001,4,FALSE())</f>
        <v>884</v>
      </c>
      <c r="BE58" s="0" t="n">
        <f aca="false">VLOOKUP(BE$1+1000*$A58,MASTER6!$A$2:$D$8001,4,FALSE())</f>
        <v>2145</v>
      </c>
      <c r="BF58" s="0" t="n">
        <f aca="false">VLOOKUP(BF$1+1000*$A58,MASTER6!$A$2:$D$8001,4,FALSE())</f>
        <v>8229</v>
      </c>
      <c r="BG58" s="0" t="n">
        <f aca="false">VLOOKUP(BG$1+1000*$A58,MASTER6!$A$2:$D$8001,4,FALSE())</f>
        <v>182</v>
      </c>
      <c r="BH58" s="0" t="n">
        <f aca="false">VLOOKUP(BH$1+1000*$A58,MASTER6!$A$2:$D$8001,4,FALSE())</f>
        <v>377</v>
      </c>
      <c r="BI58" s="0" t="n">
        <f aca="false">VLOOKUP(BI$1+1000*$A58,MASTER6!$A$2:$D$8001,4,FALSE())</f>
        <v>1274</v>
      </c>
      <c r="BJ58" s="0" t="n">
        <f aca="false">VLOOKUP(BJ$1+1000*$A58,MASTER6!$A$2:$D$8001,4,FALSE())</f>
        <v>91</v>
      </c>
      <c r="BK58" s="0" t="n">
        <f aca="false">VLOOKUP(BK$1+1000*$A58,MASTER6!$A$2:$D$8001,4,FALSE())</f>
        <v>949</v>
      </c>
      <c r="BL58" s="0" t="n">
        <f aca="false">VLOOKUP(BL$1+1000*$A58,MASTER6!$A$2:$D$8001,4,FALSE())</f>
        <v>390</v>
      </c>
      <c r="BM58" s="0" t="n">
        <f aca="false">VLOOKUP(BM$1+1000*$A58,MASTER6!$A$2:$D$8001,4,FALSE())</f>
        <v>21203</v>
      </c>
      <c r="BN58" s="0" t="n">
        <f aca="false">VLOOKUP(BN$1+1000*$A58,MASTER6!$A$2:$D$8001,4,FALSE())</f>
        <v>13611</v>
      </c>
      <c r="BO58" s="0" t="n">
        <f aca="false">VLOOKUP(BO$1+1000*$A58,MASTER6!$A$2:$D$8001,4,FALSE())</f>
        <v>1625</v>
      </c>
      <c r="BP58" s="0" t="n">
        <f aca="false">VLOOKUP(BP$1+1000*$A58,MASTER6!$A$2:$D$8001,4,FALSE())</f>
        <v>0</v>
      </c>
      <c r="BQ58" s="0" t="n">
        <f aca="false">VLOOKUP(BQ$1+1000*$A58,MASTER6!$A$2:$D$8001,4,FALSE())</f>
        <v>0</v>
      </c>
      <c r="BR58" s="0" t="n">
        <f aca="false">VLOOKUP(BR$1+1000*$A58,MASTER6!$A$2:$D$8001,4,FALSE())</f>
        <v>0</v>
      </c>
      <c r="BS58" s="0" t="n">
        <f aca="false">VLOOKUP(BS$1+1000*$A58,MASTER6!$A$2:$D$8001,4,FALSE())</f>
        <v>0</v>
      </c>
      <c r="BT58" s="0" t="n">
        <f aca="false">VLOOKUP(BT$1+1000*$A58,MASTER6!$A$2:$D$8001,4,FALSE())</f>
        <v>91</v>
      </c>
      <c r="BU58" s="0" t="n">
        <f aca="false">VLOOKUP(BU$1+1000*$A58,MASTER6!$A$2:$D$8001,4,FALSE())</f>
        <v>0</v>
      </c>
      <c r="BV58" s="0" t="n">
        <f aca="false">VLOOKUP(BV$1+1000*$A58,MASTER6!$A$2:$D$8001,4,FALSE())</f>
        <v>0</v>
      </c>
      <c r="BW58" s="0" t="e">
        <f aca="false">VLOOKUP(BW$1+1000*$A58,MASTER6!$A$2:$D$8001,4,FALSE())</f>
        <v>#N/A</v>
      </c>
      <c r="BX58" s="0" t="n">
        <f aca="false">VLOOKUP(BX$1+1000*$A58,MASTER6!$A$2:$D$8001,4,FALSE())</f>
        <v>0</v>
      </c>
      <c r="BY58" s="0" t="n">
        <f aca="false">VLOOKUP(BY$1+1000*$A58,MASTER6!$A$2:$D$8001,4,FALSE())</f>
        <v>0</v>
      </c>
      <c r="BZ58" s="0" t="n">
        <f aca="false">VLOOKUP(BZ$1+1000*$A58,MASTER6!$A$2:$D$8001,4,FALSE())</f>
        <v>0</v>
      </c>
      <c r="CA58" s="0" t="n">
        <f aca="false">VLOOKUP(CA$1+1000*$A58,MASTER6!$A$2:$D$8001,4,FALSE())</f>
        <v>0</v>
      </c>
      <c r="CB58" s="0" t="n">
        <f aca="false">VLOOKUP(CB$1+1000*$A58,MASTER6!$A$2:$D$8001,4,FALSE())</f>
        <v>0</v>
      </c>
      <c r="CC58" s="0" t="n">
        <f aca="false">VLOOKUP(CC$1+1000*$A58,MASTER6!$A$2:$D$8001,4,FALSE())</f>
        <v>0</v>
      </c>
      <c r="CD58" s="0" t="n">
        <f aca="false">VLOOKUP(CD$1+1000*$A58,MASTER6!$A$2:$D$8001,4,FALSE())</f>
        <v>0</v>
      </c>
      <c r="CE58" s="0" t="n">
        <f aca="false">VLOOKUP(CE$1+1000*$A58,MASTER6!$A$2:$D$8001,4,FALSE())</f>
        <v>0</v>
      </c>
      <c r="CF58" s="0" t="n">
        <f aca="false">VLOOKUP(CF$1+1000*$A58,MASTER6!$A$2:$D$8001,4,FALSE())</f>
        <v>0</v>
      </c>
      <c r="CG58" s="0" t="n">
        <f aca="false">VLOOKUP(CG$1+1000*$A58,MASTER6!$A$2:$D$8001,4,FALSE())</f>
        <v>104</v>
      </c>
      <c r="CH58" s="0" t="n">
        <f aca="false">VLOOKUP(CH$1+1000*$A58,MASTER6!$A$2:$D$8001,4,FALSE())</f>
        <v>93795</v>
      </c>
      <c r="CI58" s="0" t="n">
        <f aca="false">VLOOKUP(CI$1+1000*$A58,MASTER6!$A$2:$D$8001,4,FALSE())</f>
        <v>0</v>
      </c>
      <c r="CJ58" s="0" t="e">
        <f aca="false">VLOOKUP(CJ$1+1000*$A58,MASTER6!$A$2:$D$8001,4,FALSE())</f>
        <v>#N/A</v>
      </c>
    </row>
    <row r="59" customFormat="false" ht="12.75" hidden="false" customHeight="false" outlineLevel="0" collapsed="false">
      <c r="A59" s="0" t="n">
        <v>58</v>
      </c>
      <c r="B59" s="0" t="n">
        <f aca="false">VLOOKUP(B$1+1000*$A59,MASTER6!$A$2:$D$8001,4,FALSE())</f>
        <v>0</v>
      </c>
      <c r="C59" s="0" t="n">
        <f aca="false">VLOOKUP(C$1+1000*$A59,MASTER6!$A$2:$D$8001,4,FALSE())</f>
        <v>0</v>
      </c>
      <c r="D59" s="0" t="n">
        <f aca="false">VLOOKUP(D$1+1000*$A59,MASTER6!$A$2:$D$8001,4,FALSE())</f>
        <v>0</v>
      </c>
      <c r="E59" s="0" t="n">
        <f aca="false">VLOOKUP(E$1+1000*$A59,MASTER6!$A$2:$D$8001,4,FALSE())</f>
        <v>0</v>
      </c>
      <c r="F59" s="0" t="n">
        <f aca="false">VLOOKUP(F$1+1000*$A59,MASTER6!$A$2:$D$8001,4,FALSE())</f>
        <v>0</v>
      </c>
      <c r="G59" s="0" t="n">
        <f aca="false">VLOOKUP(G$1+1000*$A59,MASTER6!$A$2:$D$8001,4,FALSE())</f>
        <v>0</v>
      </c>
      <c r="H59" s="0" t="n">
        <f aca="false">VLOOKUP(H$1+1000*$A59,MASTER6!$A$2:$D$8001,4,FALSE())</f>
        <v>0</v>
      </c>
      <c r="I59" s="0" t="n">
        <f aca="false">VLOOKUP(I$1+1000*$A59,MASTER6!$A$2:$D$8001,4,FALSE())</f>
        <v>0</v>
      </c>
      <c r="J59" s="0" t="n">
        <f aca="false">VLOOKUP(J$1+1000*$A59,MASTER6!$A$2:$D$8001,4,FALSE())</f>
        <v>0</v>
      </c>
      <c r="K59" s="0" t="n">
        <f aca="false">VLOOKUP(K$1+1000*$A59,MASTER6!$A$2:$D$8001,4,FALSE())</f>
        <v>0</v>
      </c>
      <c r="L59" s="0" t="n">
        <f aca="false">VLOOKUP(L$1+1000*$A59,MASTER6!$A$2:$D$8001,4,FALSE())</f>
        <v>0</v>
      </c>
      <c r="M59" s="0" t="n">
        <f aca="false">VLOOKUP(M$1+1000*$A59,MASTER6!$A$2:$D$8001,4,FALSE())</f>
        <v>0</v>
      </c>
      <c r="N59" s="0" t="n">
        <f aca="false">VLOOKUP(N$1+1000*$A59,MASTER6!$A$2:$D$8001,4,FALSE())</f>
        <v>0</v>
      </c>
      <c r="O59" s="0" t="n">
        <f aca="false">VLOOKUP(O$1+1000*$A59,MASTER6!$A$2:$D$8001,4,FALSE())</f>
        <v>0</v>
      </c>
      <c r="P59" s="0" t="n">
        <f aca="false">VLOOKUP(P$1+1000*$A59,MASTER6!$A$2:$D$8001,4,FALSE())</f>
        <v>0</v>
      </c>
      <c r="Q59" s="0" t="n">
        <f aca="false">VLOOKUP(Q$1+1000*$A59,MASTER6!$A$2:$D$8001,4,FALSE())</f>
        <v>0</v>
      </c>
      <c r="R59" s="0" t="n">
        <f aca="false">VLOOKUP(R$1+1000*$A59,MASTER6!$A$2:$D$8001,4,FALSE())</f>
        <v>0</v>
      </c>
      <c r="S59" s="0" t="n">
        <f aca="false">VLOOKUP(S$1+1000*$A59,MASTER6!$A$2:$D$8001,4,FALSE())</f>
        <v>0</v>
      </c>
      <c r="T59" s="0" t="n">
        <f aca="false">VLOOKUP(T$1+1000*$A59,MASTER6!$A$2:$D$8001,4,FALSE())</f>
        <v>0</v>
      </c>
      <c r="U59" s="0" t="n">
        <f aca="false">VLOOKUP(U$1+1000*$A59,MASTER6!$A$2:$D$8001,4,FALSE())</f>
        <v>0</v>
      </c>
      <c r="V59" s="0" t="n">
        <f aca="false">VLOOKUP(V$1+1000*$A59,MASTER6!$A$2:$D$8001,4,FALSE())</f>
        <v>0</v>
      </c>
      <c r="W59" s="0" t="n">
        <f aca="false">VLOOKUP(W$1+1000*$A59,MASTER6!$A$2:$D$8001,4,FALSE())</f>
        <v>0</v>
      </c>
      <c r="X59" s="0" t="n">
        <f aca="false">VLOOKUP(X$1+1000*$A59,MASTER6!$A$2:$D$8001,4,FALSE())</f>
        <v>0</v>
      </c>
      <c r="Y59" s="0" t="n">
        <f aca="false">VLOOKUP(Y$1+1000*$A59,MASTER6!$A$2:$D$8001,4,FALSE())</f>
        <v>0</v>
      </c>
      <c r="Z59" s="0" t="n">
        <f aca="false">VLOOKUP(Z$1+1000*$A59,MASTER6!$A$2:$D$8001,4,FALSE())</f>
        <v>0</v>
      </c>
      <c r="AA59" s="0" t="n">
        <f aca="false">VLOOKUP(AA$1+1000*$A59,MASTER6!$A$2:$D$8001,4,FALSE())</f>
        <v>0</v>
      </c>
      <c r="AB59" s="0" t="n">
        <f aca="false">VLOOKUP(AB$1+1000*$A59,MASTER6!$A$2:$D$8001,4,FALSE())</f>
        <v>0</v>
      </c>
      <c r="AC59" s="0" t="n">
        <f aca="false">VLOOKUP(AC$1+1000*$A59,MASTER6!$A$2:$D$8001,4,FALSE())</f>
        <v>0</v>
      </c>
      <c r="AD59" s="0" t="n">
        <f aca="false">VLOOKUP(AD$1+1000*$A59,MASTER6!$A$2:$D$8001,4,FALSE())</f>
        <v>0</v>
      </c>
      <c r="AE59" s="0" t="n">
        <f aca="false">VLOOKUP(AE$1+1000*$A59,MASTER6!$A$2:$D$8001,4,FALSE())</f>
        <v>0</v>
      </c>
      <c r="AF59" s="0" t="n">
        <f aca="false">VLOOKUP(AF$1+1000*$A59,MASTER6!$A$2:$D$8001,4,FALSE())</f>
        <v>0</v>
      </c>
      <c r="AG59" s="0" t="n">
        <f aca="false">VLOOKUP(AG$1+1000*$A59,MASTER6!$A$2:$D$8001,4,FALSE())</f>
        <v>0</v>
      </c>
      <c r="AH59" s="0" t="n">
        <f aca="false">VLOOKUP(AH$1+1000*$A59,MASTER6!$A$2:$D$8001,4,FALSE())</f>
        <v>0</v>
      </c>
      <c r="AI59" s="0" t="n">
        <f aca="false">VLOOKUP(AI$1+1000*$A59,MASTER6!$A$2:$D$8001,4,FALSE())</f>
        <v>0</v>
      </c>
      <c r="AJ59" s="0" t="n">
        <f aca="false">VLOOKUP(AJ$1+1000*$A59,MASTER6!$A$2:$D$8001,4,FALSE())</f>
        <v>0</v>
      </c>
      <c r="AK59" s="0" t="n">
        <f aca="false">VLOOKUP(AK$1+1000*$A59,MASTER6!$A$2:$D$8001,4,FALSE())</f>
        <v>0</v>
      </c>
      <c r="AL59" s="0" t="n">
        <f aca="false">VLOOKUP(AL$1+1000*$A59,MASTER6!$A$2:$D$8001,4,FALSE())</f>
        <v>0</v>
      </c>
      <c r="AM59" s="0" t="n">
        <f aca="false">VLOOKUP(AM$1+1000*$A59,MASTER6!$A$2:$D$8001,4,FALSE())</f>
        <v>0</v>
      </c>
      <c r="AN59" s="0" t="n">
        <f aca="false">VLOOKUP(AN$1+1000*$A59,MASTER6!$A$2:$D$8001,4,FALSE())</f>
        <v>0</v>
      </c>
      <c r="AO59" s="0" t="n">
        <f aca="false">VLOOKUP(AO$1+1000*$A59,MASTER6!$A$2:$D$8001,4,FALSE())</f>
        <v>0</v>
      </c>
      <c r="AP59" s="0" t="n">
        <f aca="false">VLOOKUP(AP$1+1000*$A59,MASTER6!$A$2:$D$8001,4,FALSE())</f>
        <v>0</v>
      </c>
      <c r="AQ59" s="0" t="n">
        <f aca="false">VLOOKUP(AQ$1+1000*$A59,MASTER6!$A$2:$D$8001,4,FALSE())</f>
        <v>65</v>
      </c>
      <c r="AR59" s="0" t="n">
        <f aca="false">VLOOKUP(AR$1+1000*$A59,MASTER6!$A$2:$D$8001,4,FALSE())</f>
        <v>0</v>
      </c>
      <c r="AS59" s="0" t="n">
        <f aca="false">VLOOKUP(AS$1+1000*$A59,MASTER6!$A$2:$D$8001,4,FALSE())</f>
        <v>0</v>
      </c>
      <c r="AT59" s="0" t="n">
        <f aca="false">VLOOKUP(AT$1+1000*$A59,MASTER6!$A$2:$D$8001,4,FALSE())</f>
        <v>143</v>
      </c>
      <c r="AU59" s="0" t="n">
        <f aca="false">VLOOKUP(AU$1+1000*$A59,MASTER6!$A$2:$D$8001,4,FALSE())</f>
        <v>0</v>
      </c>
      <c r="AV59" s="0" t="n">
        <f aca="false">VLOOKUP(AV$1+1000*$A59,MASTER6!$A$2:$D$8001,4,FALSE())</f>
        <v>0</v>
      </c>
      <c r="AW59" s="0" t="n">
        <f aca="false">VLOOKUP(AW$1+1000*$A59,MASTER6!$A$2:$D$8001,4,FALSE())</f>
        <v>702</v>
      </c>
      <c r="AX59" s="0" t="n">
        <f aca="false">VLOOKUP(AX$1+1000*$A59,MASTER6!$A$2:$D$8001,4,FALSE())</f>
        <v>0</v>
      </c>
      <c r="AY59" s="0" t="n">
        <f aca="false">VLOOKUP(AY$1+1000*$A59,MASTER6!$A$2:$D$8001,4,FALSE())</f>
        <v>0</v>
      </c>
      <c r="AZ59" s="0" t="n">
        <f aca="false">VLOOKUP(AZ$1+1000*$A59,MASTER6!$A$2:$D$8001,4,FALSE())</f>
        <v>0</v>
      </c>
      <c r="BA59" s="0" t="n">
        <f aca="false">VLOOKUP(BA$1+1000*$A59,MASTER6!$A$2:$D$8001,4,FALSE())</f>
        <v>260</v>
      </c>
      <c r="BB59" s="0" t="n">
        <f aca="false">VLOOKUP(BB$1+1000*$A59,MASTER6!$A$2:$D$8001,4,FALSE())</f>
        <v>260</v>
      </c>
      <c r="BC59" s="0" t="n">
        <f aca="false">VLOOKUP(BC$1+1000*$A59,MASTER6!$A$2:$D$8001,4,FALSE())</f>
        <v>2288</v>
      </c>
      <c r="BD59" s="0" t="n">
        <f aca="false">VLOOKUP(BD$1+1000*$A59,MASTER6!$A$2:$D$8001,4,FALSE())</f>
        <v>338</v>
      </c>
      <c r="BE59" s="0" t="n">
        <f aca="false">VLOOKUP(BE$1+1000*$A59,MASTER6!$A$2:$D$8001,4,FALSE())</f>
        <v>273</v>
      </c>
      <c r="BF59" s="0" t="n">
        <f aca="false">VLOOKUP(BF$1+1000*$A59,MASTER6!$A$2:$D$8001,4,FALSE())</f>
        <v>234</v>
      </c>
      <c r="BG59" s="0" t="n">
        <f aca="false">VLOOKUP(BG$1+1000*$A59,MASTER6!$A$2:$D$8001,4,FALSE())</f>
        <v>7917</v>
      </c>
      <c r="BH59" s="0" t="n">
        <f aca="false">VLOOKUP(BH$1+1000*$A59,MASTER6!$A$2:$D$8001,4,FALSE())</f>
        <v>91</v>
      </c>
      <c r="BI59" s="0" t="n">
        <f aca="false">VLOOKUP(BI$1+1000*$A59,MASTER6!$A$2:$D$8001,4,FALSE())</f>
        <v>130</v>
      </c>
      <c r="BJ59" s="0" t="n">
        <f aca="false">VLOOKUP(BJ$1+1000*$A59,MASTER6!$A$2:$D$8001,4,FALSE())</f>
        <v>260</v>
      </c>
      <c r="BK59" s="0" t="n">
        <f aca="false">VLOOKUP(BK$1+1000*$A59,MASTER6!$A$2:$D$8001,4,FALSE())</f>
        <v>364</v>
      </c>
      <c r="BL59" s="0" t="n">
        <f aca="false">VLOOKUP(BL$1+1000*$A59,MASTER6!$A$2:$D$8001,4,FALSE())</f>
        <v>780</v>
      </c>
      <c r="BM59" s="0" t="n">
        <f aca="false">VLOOKUP(BM$1+1000*$A59,MASTER6!$A$2:$D$8001,4,FALSE())</f>
        <v>17537</v>
      </c>
      <c r="BN59" s="0" t="n">
        <f aca="false">VLOOKUP(BN$1+1000*$A59,MASTER6!$A$2:$D$8001,4,FALSE())</f>
        <v>6487</v>
      </c>
      <c r="BO59" s="0" t="n">
        <f aca="false">VLOOKUP(BO$1+1000*$A59,MASTER6!$A$2:$D$8001,4,FALSE())</f>
        <v>286</v>
      </c>
      <c r="BP59" s="0" t="n">
        <f aca="false">VLOOKUP(BP$1+1000*$A59,MASTER6!$A$2:$D$8001,4,FALSE())</f>
        <v>0</v>
      </c>
      <c r="BQ59" s="0" t="n">
        <f aca="false">VLOOKUP(BQ$1+1000*$A59,MASTER6!$A$2:$D$8001,4,FALSE())</f>
        <v>104</v>
      </c>
      <c r="BR59" s="0" t="n">
        <f aca="false">VLOOKUP(BR$1+1000*$A59,MASTER6!$A$2:$D$8001,4,FALSE())</f>
        <v>195</v>
      </c>
      <c r="BS59" s="0" t="n">
        <f aca="false">VLOOKUP(BS$1+1000*$A59,MASTER6!$A$2:$D$8001,4,FALSE())</f>
        <v>0</v>
      </c>
      <c r="BT59" s="0" t="n">
        <f aca="false">VLOOKUP(BT$1+1000*$A59,MASTER6!$A$2:$D$8001,4,FALSE())</f>
        <v>195</v>
      </c>
      <c r="BU59" s="0" t="n">
        <f aca="false">VLOOKUP(BU$1+1000*$A59,MASTER6!$A$2:$D$8001,4,FALSE())</f>
        <v>351</v>
      </c>
      <c r="BV59" s="0" t="n">
        <f aca="false">VLOOKUP(BV$1+1000*$A59,MASTER6!$A$2:$D$8001,4,FALSE())</f>
        <v>0</v>
      </c>
      <c r="BW59" s="0" t="e">
        <f aca="false">VLOOKUP(BW$1+1000*$A59,MASTER6!$A$2:$D$8001,4,FALSE())</f>
        <v>#N/A</v>
      </c>
      <c r="BX59" s="0" t="n">
        <f aca="false">VLOOKUP(BX$1+1000*$A59,MASTER6!$A$2:$D$8001,4,FALSE())</f>
        <v>0</v>
      </c>
      <c r="BY59" s="0" t="n">
        <f aca="false">VLOOKUP(BY$1+1000*$A59,MASTER6!$A$2:$D$8001,4,FALSE())</f>
        <v>0</v>
      </c>
      <c r="BZ59" s="0" t="n">
        <f aca="false">VLOOKUP(BZ$1+1000*$A59,MASTER6!$A$2:$D$8001,4,FALSE())</f>
        <v>0</v>
      </c>
      <c r="CA59" s="0" t="n">
        <f aca="false">VLOOKUP(CA$1+1000*$A59,MASTER6!$A$2:$D$8001,4,FALSE())</f>
        <v>0</v>
      </c>
      <c r="CB59" s="0" t="n">
        <f aca="false">VLOOKUP(CB$1+1000*$A59,MASTER6!$A$2:$D$8001,4,FALSE())</f>
        <v>0</v>
      </c>
      <c r="CC59" s="0" t="n">
        <f aca="false">VLOOKUP(CC$1+1000*$A59,MASTER6!$A$2:$D$8001,4,FALSE())</f>
        <v>0</v>
      </c>
      <c r="CD59" s="0" t="n">
        <f aca="false">VLOOKUP(CD$1+1000*$A59,MASTER6!$A$2:$D$8001,4,FALSE())</f>
        <v>0</v>
      </c>
      <c r="CE59" s="0" t="n">
        <f aca="false">VLOOKUP(CE$1+1000*$A59,MASTER6!$A$2:$D$8001,4,FALSE())</f>
        <v>0</v>
      </c>
      <c r="CF59" s="0" t="n">
        <f aca="false">VLOOKUP(CF$1+1000*$A59,MASTER6!$A$2:$D$8001,4,FALSE())</f>
        <v>0</v>
      </c>
      <c r="CG59" s="0" t="n">
        <f aca="false">VLOOKUP(CG$1+1000*$A59,MASTER6!$A$2:$D$8001,4,FALSE())</f>
        <v>117</v>
      </c>
      <c r="CH59" s="0" t="n">
        <f aca="false">VLOOKUP(CH$1+1000*$A59,MASTER6!$A$2:$D$8001,4,FALSE())</f>
        <v>66976</v>
      </c>
      <c r="CI59" s="0" t="n">
        <f aca="false">VLOOKUP(CI$1+1000*$A59,MASTER6!$A$2:$D$8001,4,FALSE())</f>
        <v>0</v>
      </c>
      <c r="CJ59" s="0" t="e">
        <f aca="false">VLOOKUP(CJ$1+1000*$A59,MASTER6!$A$2:$D$8001,4,FALSE())</f>
        <v>#N/A</v>
      </c>
    </row>
    <row r="60" customFormat="false" ht="12.75" hidden="false" customHeight="false" outlineLevel="0" collapsed="false">
      <c r="A60" s="0" t="n">
        <v>59</v>
      </c>
      <c r="B60" s="0" t="n">
        <f aca="false">VLOOKUP(B$1+1000*$A60,MASTER6!$A$2:$D$8001,4,FALSE())</f>
        <v>0</v>
      </c>
      <c r="C60" s="0" t="n">
        <f aca="false">VLOOKUP(C$1+1000*$A60,MASTER6!$A$2:$D$8001,4,FALSE())</f>
        <v>0</v>
      </c>
      <c r="D60" s="0" t="n">
        <f aca="false">VLOOKUP(D$1+1000*$A60,MASTER6!$A$2:$D$8001,4,FALSE())</f>
        <v>0</v>
      </c>
      <c r="E60" s="0" t="n">
        <f aca="false">VLOOKUP(E$1+1000*$A60,MASTER6!$A$2:$D$8001,4,FALSE())</f>
        <v>0</v>
      </c>
      <c r="F60" s="0" t="n">
        <f aca="false">VLOOKUP(F$1+1000*$A60,MASTER6!$A$2:$D$8001,4,FALSE())</f>
        <v>0</v>
      </c>
      <c r="G60" s="0" t="n">
        <f aca="false">VLOOKUP(G$1+1000*$A60,MASTER6!$A$2:$D$8001,4,FALSE())</f>
        <v>0</v>
      </c>
      <c r="H60" s="0" t="n">
        <f aca="false">VLOOKUP(H$1+1000*$A60,MASTER6!$A$2:$D$8001,4,FALSE())</f>
        <v>0</v>
      </c>
      <c r="I60" s="0" t="n">
        <f aca="false">VLOOKUP(I$1+1000*$A60,MASTER6!$A$2:$D$8001,4,FALSE())</f>
        <v>0</v>
      </c>
      <c r="J60" s="0" t="n">
        <f aca="false">VLOOKUP(J$1+1000*$A60,MASTER6!$A$2:$D$8001,4,FALSE())</f>
        <v>0</v>
      </c>
      <c r="K60" s="0" t="n">
        <f aca="false">VLOOKUP(K$1+1000*$A60,MASTER6!$A$2:$D$8001,4,FALSE())</f>
        <v>0</v>
      </c>
      <c r="L60" s="0" t="n">
        <f aca="false">VLOOKUP(L$1+1000*$A60,MASTER6!$A$2:$D$8001,4,FALSE())</f>
        <v>0</v>
      </c>
      <c r="M60" s="0" t="n">
        <f aca="false">VLOOKUP(M$1+1000*$A60,MASTER6!$A$2:$D$8001,4,FALSE())</f>
        <v>0</v>
      </c>
      <c r="N60" s="0" t="n">
        <f aca="false">VLOOKUP(N$1+1000*$A60,MASTER6!$A$2:$D$8001,4,FALSE())</f>
        <v>0</v>
      </c>
      <c r="O60" s="0" t="n">
        <f aca="false">VLOOKUP(O$1+1000*$A60,MASTER6!$A$2:$D$8001,4,FALSE())</f>
        <v>0</v>
      </c>
      <c r="P60" s="0" t="n">
        <f aca="false">VLOOKUP(P$1+1000*$A60,MASTER6!$A$2:$D$8001,4,FALSE())</f>
        <v>0</v>
      </c>
      <c r="Q60" s="0" t="n">
        <f aca="false">VLOOKUP(Q$1+1000*$A60,MASTER6!$A$2:$D$8001,4,FALSE())</f>
        <v>0</v>
      </c>
      <c r="R60" s="0" t="n">
        <f aca="false">VLOOKUP(R$1+1000*$A60,MASTER6!$A$2:$D$8001,4,FALSE())</f>
        <v>0</v>
      </c>
      <c r="S60" s="0" t="n">
        <f aca="false">VLOOKUP(S$1+1000*$A60,MASTER6!$A$2:$D$8001,4,FALSE())</f>
        <v>0</v>
      </c>
      <c r="T60" s="0" t="n">
        <f aca="false">VLOOKUP(T$1+1000*$A60,MASTER6!$A$2:$D$8001,4,FALSE())</f>
        <v>0</v>
      </c>
      <c r="U60" s="0" t="n">
        <f aca="false">VLOOKUP(U$1+1000*$A60,MASTER6!$A$2:$D$8001,4,FALSE())</f>
        <v>0</v>
      </c>
      <c r="V60" s="0" t="n">
        <f aca="false">VLOOKUP(V$1+1000*$A60,MASTER6!$A$2:$D$8001,4,FALSE())</f>
        <v>0</v>
      </c>
      <c r="W60" s="0" t="n">
        <f aca="false">VLOOKUP(W$1+1000*$A60,MASTER6!$A$2:$D$8001,4,FALSE())</f>
        <v>0</v>
      </c>
      <c r="X60" s="0" t="n">
        <f aca="false">VLOOKUP(X$1+1000*$A60,MASTER6!$A$2:$D$8001,4,FALSE())</f>
        <v>0</v>
      </c>
      <c r="Y60" s="0" t="n">
        <f aca="false">VLOOKUP(Y$1+1000*$A60,MASTER6!$A$2:$D$8001,4,FALSE())</f>
        <v>0</v>
      </c>
      <c r="Z60" s="0" t="n">
        <f aca="false">VLOOKUP(Z$1+1000*$A60,MASTER6!$A$2:$D$8001,4,FALSE())</f>
        <v>0</v>
      </c>
      <c r="AA60" s="0" t="n">
        <f aca="false">VLOOKUP(AA$1+1000*$A60,MASTER6!$A$2:$D$8001,4,FALSE())</f>
        <v>0</v>
      </c>
      <c r="AB60" s="0" t="n">
        <f aca="false">VLOOKUP(AB$1+1000*$A60,MASTER6!$A$2:$D$8001,4,FALSE())</f>
        <v>0</v>
      </c>
      <c r="AC60" s="0" t="n">
        <f aca="false">VLOOKUP(AC$1+1000*$A60,MASTER6!$A$2:$D$8001,4,FALSE())</f>
        <v>0</v>
      </c>
      <c r="AD60" s="0" t="n">
        <f aca="false">VLOOKUP(AD$1+1000*$A60,MASTER6!$A$2:$D$8001,4,FALSE())</f>
        <v>0</v>
      </c>
      <c r="AE60" s="0" t="n">
        <f aca="false">VLOOKUP(AE$1+1000*$A60,MASTER6!$A$2:$D$8001,4,FALSE())</f>
        <v>0</v>
      </c>
      <c r="AF60" s="0" t="n">
        <f aca="false">VLOOKUP(AF$1+1000*$A60,MASTER6!$A$2:$D$8001,4,FALSE())</f>
        <v>0</v>
      </c>
      <c r="AG60" s="0" t="n">
        <f aca="false">VLOOKUP(AG$1+1000*$A60,MASTER6!$A$2:$D$8001,4,FALSE())</f>
        <v>0</v>
      </c>
      <c r="AH60" s="0" t="n">
        <f aca="false">VLOOKUP(AH$1+1000*$A60,MASTER6!$A$2:$D$8001,4,FALSE())</f>
        <v>0</v>
      </c>
      <c r="AI60" s="0" t="n">
        <f aca="false">VLOOKUP(AI$1+1000*$A60,MASTER6!$A$2:$D$8001,4,FALSE())</f>
        <v>0</v>
      </c>
      <c r="AJ60" s="0" t="n">
        <f aca="false">VLOOKUP(AJ$1+1000*$A60,MASTER6!$A$2:$D$8001,4,FALSE())</f>
        <v>52</v>
      </c>
      <c r="AK60" s="0" t="n">
        <f aca="false">VLOOKUP(AK$1+1000*$A60,MASTER6!$A$2:$D$8001,4,FALSE())</f>
        <v>0</v>
      </c>
      <c r="AL60" s="0" t="n">
        <f aca="false">VLOOKUP(AL$1+1000*$A60,MASTER6!$A$2:$D$8001,4,FALSE())</f>
        <v>143</v>
      </c>
      <c r="AM60" s="0" t="n">
        <f aca="false">VLOOKUP(AM$1+1000*$A60,MASTER6!$A$2:$D$8001,4,FALSE())</f>
        <v>0</v>
      </c>
      <c r="AN60" s="0" t="n">
        <f aca="false">VLOOKUP(AN$1+1000*$A60,MASTER6!$A$2:$D$8001,4,FALSE())</f>
        <v>0</v>
      </c>
      <c r="AO60" s="0" t="n">
        <f aca="false">VLOOKUP(AO$1+1000*$A60,MASTER6!$A$2:$D$8001,4,FALSE())</f>
        <v>0</v>
      </c>
      <c r="AP60" s="0" t="n">
        <f aca="false">VLOOKUP(AP$1+1000*$A60,MASTER6!$A$2:$D$8001,4,FALSE())</f>
        <v>91</v>
      </c>
      <c r="AQ60" s="0" t="n">
        <f aca="false">VLOOKUP(AQ$1+1000*$A60,MASTER6!$A$2:$D$8001,4,FALSE())</f>
        <v>845</v>
      </c>
      <c r="AR60" s="0" t="n">
        <f aca="false">VLOOKUP(AR$1+1000*$A60,MASTER6!$A$2:$D$8001,4,FALSE())</f>
        <v>0</v>
      </c>
      <c r="AS60" s="0" t="n">
        <f aca="false">VLOOKUP(AS$1+1000*$A60,MASTER6!$A$2:$D$8001,4,FALSE())</f>
        <v>104</v>
      </c>
      <c r="AT60" s="0" t="n">
        <f aca="false">VLOOKUP(AT$1+1000*$A60,MASTER6!$A$2:$D$8001,4,FALSE())</f>
        <v>0</v>
      </c>
      <c r="AU60" s="0" t="n">
        <f aca="false">VLOOKUP(AU$1+1000*$A60,MASTER6!$A$2:$D$8001,4,FALSE())</f>
        <v>130</v>
      </c>
      <c r="AV60" s="0" t="n">
        <f aca="false">VLOOKUP(AV$1+1000*$A60,MASTER6!$A$2:$D$8001,4,FALSE())</f>
        <v>130</v>
      </c>
      <c r="AW60" s="0" t="n">
        <f aca="false">VLOOKUP(AW$1+1000*$A60,MASTER6!$A$2:$D$8001,4,FALSE())</f>
        <v>2405</v>
      </c>
      <c r="AX60" s="0" t="n">
        <f aca="false">VLOOKUP(AX$1+1000*$A60,MASTER6!$A$2:$D$8001,4,FALSE())</f>
        <v>0</v>
      </c>
      <c r="AY60" s="0" t="n">
        <f aca="false">VLOOKUP(AY$1+1000*$A60,MASTER6!$A$2:$D$8001,4,FALSE())</f>
        <v>0</v>
      </c>
      <c r="AZ60" s="0" t="n">
        <f aca="false">VLOOKUP(AZ$1+1000*$A60,MASTER6!$A$2:$D$8001,4,FALSE())</f>
        <v>0</v>
      </c>
      <c r="BA60" s="0" t="n">
        <f aca="false">VLOOKUP(BA$1+1000*$A60,MASTER6!$A$2:$D$8001,4,FALSE())</f>
        <v>65</v>
      </c>
      <c r="BB60" s="0" t="n">
        <f aca="false">VLOOKUP(BB$1+1000*$A60,MASTER6!$A$2:$D$8001,4,FALSE())</f>
        <v>169</v>
      </c>
      <c r="BC60" s="0" t="n">
        <f aca="false">VLOOKUP(BC$1+1000*$A60,MASTER6!$A$2:$D$8001,4,FALSE())</f>
        <v>260</v>
      </c>
      <c r="BD60" s="0" t="n">
        <f aca="false">VLOOKUP(BD$1+1000*$A60,MASTER6!$A$2:$D$8001,4,FALSE())</f>
        <v>52</v>
      </c>
      <c r="BE60" s="0" t="n">
        <f aca="false">VLOOKUP(BE$1+1000*$A60,MASTER6!$A$2:$D$8001,4,FALSE())</f>
        <v>182</v>
      </c>
      <c r="BF60" s="0" t="n">
        <f aca="false">VLOOKUP(BF$1+1000*$A60,MASTER6!$A$2:$D$8001,4,FALSE())</f>
        <v>104</v>
      </c>
      <c r="BG60" s="0" t="n">
        <f aca="false">VLOOKUP(BG$1+1000*$A60,MASTER6!$A$2:$D$8001,4,FALSE())</f>
        <v>234</v>
      </c>
      <c r="BH60" s="0" t="n">
        <f aca="false">VLOOKUP(BH$1+1000*$A60,MASTER6!$A$2:$D$8001,4,FALSE())</f>
        <v>12337</v>
      </c>
      <c r="BI60" s="0" t="n">
        <f aca="false">VLOOKUP(BI$1+1000*$A60,MASTER6!$A$2:$D$8001,4,FALSE())</f>
        <v>0</v>
      </c>
      <c r="BJ60" s="0" t="n">
        <f aca="false">VLOOKUP(BJ$1+1000*$A60,MASTER6!$A$2:$D$8001,4,FALSE())</f>
        <v>78</v>
      </c>
      <c r="BK60" s="0" t="n">
        <f aca="false">VLOOKUP(BK$1+1000*$A60,MASTER6!$A$2:$D$8001,4,FALSE())</f>
        <v>130</v>
      </c>
      <c r="BL60" s="0" t="n">
        <f aca="false">VLOOKUP(BL$1+1000*$A60,MASTER6!$A$2:$D$8001,4,FALSE())</f>
        <v>689</v>
      </c>
      <c r="BM60" s="0" t="n">
        <f aca="false">VLOOKUP(BM$1+1000*$A60,MASTER6!$A$2:$D$8001,4,FALSE())</f>
        <v>17784</v>
      </c>
      <c r="BN60" s="0" t="n">
        <f aca="false">VLOOKUP(BN$1+1000*$A60,MASTER6!$A$2:$D$8001,4,FALSE())</f>
        <v>4849</v>
      </c>
      <c r="BO60" s="0" t="n">
        <f aca="false">VLOOKUP(BO$1+1000*$A60,MASTER6!$A$2:$D$8001,4,FALSE())</f>
        <v>715</v>
      </c>
      <c r="BP60" s="0" t="n">
        <f aca="false">VLOOKUP(BP$1+1000*$A60,MASTER6!$A$2:$D$8001,4,FALSE())</f>
        <v>117</v>
      </c>
      <c r="BQ60" s="0" t="n">
        <f aca="false">VLOOKUP(BQ$1+1000*$A60,MASTER6!$A$2:$D$8001,4,FALSE())</f>
        <v>0</v>
      </c>
      <c r="BR60" s="0" t="n">
        <f aca="false">VLOOKUP(BR$1+1000*$A60,MASTER6!$A$2:$D$8001,4,FALSE())</f>
        <v>845</v>
      </c>
      <c r="BS60" s="0" t="n">
        <f aca="false">VLOOKUP(BS$1+1000*$A60,MASTER6!$A$2:$D$8001,4,FALSE())</f>
        <v>572</v>
      </c>
      <c r="BT60" s="0" t="n">
        <f aca="false">VLOOKUP(BT$1+1000*$A60,MASTER6!$A$2:$D$8001,4,FALSE())</f>
        <v>2093</v>
      </c>
      <c r="BU60" s="0" t="n">
        <f aca="false">VLOOKUP(BU$1+1000*$A60,MASTER6!$A$2:$D$8001,4,FALSE())</f>
        <v>7631</v>
      </c>
      <c r="BV60" s="0" t="n">
        <f aca="false">VLOOKUP(BV$1+1000*$A60,MASTER6!$A$2:$D$8001,4,FALSE())</f>
        <v>0</v>
      </c>
      <c r="BW60" s="0" t="e">
        <f aca="false">VLOOKUP(BW$1+1000*$A60,MASTER6!$A$2:$D$8001,4,FALSE())</f>
        <v>#N/A</v>
      </c>
      <c r="BX60" s="0" t="n">
        <f aca="false">VLOOKUP(BX$1+1000*$A60,MASTER6!$A$2:$D$8001,4,FALSE())</f>
        <v>0</v>
      </c>
      <c r="BY60" s="0" t="n">
        <f aca="false">VLOOKUP(BY$1+1000*$A60,MASTER6!$A$2:$D$8001,4,FALSE())</f>
        <v>0</v>
      </c>
      <c r="BZ60" s="0" t="n">
        <f aca="false">VLOOKUP(BZ$1+1000*$A60,MASTER6!$A$2:$D$8001,4,FALSE())</f>
        <v>0</v>
      </c>
      <c r="CA60" s="0" t="n">
        <f aca="false">VLOOKUP(CA$1+1000*$A60,MASTER6!$A$2:$D$8001,4,FALSE())</f>
        <v>0</v>
      </c>
      <c r="CB60" s="0" t="n">
        <f aca="false">VLOOKUP(CB$1+1000*$A60,MASTER6!$A$2:$D$8001,4,FALSE())</f>
        <v>0</v>
      </c>
      <c r="CC60" s="0" t="n">
        <f aca="false">VLOOKUP(CC$1+1000*$A60,MASTER6!$A$2:$D$8001,4,FALSE())</f>
        <v>0</v>
      </c>
      <c r="CD60" s="0" t="n">
        <f aca="false">VLOOKUP(CD$1+1000*$A60,MASTER6!$A$2:$D$8001,4,FALSE())</f>
        <v>390</v>
      </c>
      <c r="CE60" s="0" t="n">
        <f aca="false">VLOOKUP(CE$1+1000*$A60,MASTER6!$A$2:$D$8001,4,FALSE())</f>
        <v>130</v>
      </c>
      <c r="CF60" s="0" t="n">
        <f aca="false">VLOOKUP(CF$1+1000*$A60,MASTER6!$A$2:$D$8001,4,FALSE())</f>
        <v>0</v>
      </c>
      <c r="CG60" s="0" t="n">
        <f aca="false">VLOOKUP(CG$1+1000*$A60,MASTER6!$A$2:$D$8001,4,FALSE())</f>
        <v>1170</v>
      </c>
      <c r="CH60" s="0" t="n">
        <f aca="false">VLOOKUP(CH$1+1000*$A60,MASTER6!$A$2:$D$8001,4,FALSE())</f>
        <v>73723</v>
      </c>
      <c r="CI60" s="0" t="n">
        <f aca="false">VLOOKUP(CI$1+1000*$A60,MASTER6!$A$2:$D$8001,4,FALSE())</f>
        <v>0</v>
      </c>
      <c r="CJ60" s="0" t="e">
        <f aca="false">VLOOKUP(CJ$1+1000*$A60,MASTER6!$A$2:$D$8001,4,FALSE())</f>
        <v>#N/A</v>
      </c>
    </row>
    <row r="61" customFormat="false" ht="12.75" hidden="false" customHeight="false" outlineLevel="0" collapsed="false">
      <c r="A61" s="0" t="n">
        <v>60</v>
      </c>
      <c r="B61" s="0" t="n">
        <f aca="false">VLOOKUP(B$1+1000*$A61,MASTER6!$A$2:$D$8001,4,FALSE())</f>
        <v>0</v>
      </c>
      <c r="C61" s="0" t="n">
        <f aca="false">VLOOKUP(C$1+1000*$A61,MASTER6!$A$2:$D$8001,4,FALSE())</f>
        <v>0</v>
      </c>
      <c r="D61" s="0" t="n">
        <f aca="false">VLOOKUP(D$1+1000*$A61,MASTER6!$A$2:$D$8001,4,FALSE())</f>
        <v>0</v>
      </c>
      <c r="E61" s="0" t="n">
        <f aca="false">VLOOKUP(E$1+1000*$A61,MASTER6!$A$2:$D$8001,4,FALSE())</f>
        <v>117</v>
      </c>
      <c r="F61" s="0" t="n">
        <f aca="false">VLOOKUP(F$1+1000*$A61,MASTER6!$A$2:$D$8001,4,FALSE())</f>
        <v>0</v>
      </c>
      <c r="G61" s="0" t="n">
        <f aca="false">VLOOKUP(G$1+1000*$A61,MASTER6!$A$2:$D$8001,4,FALSE())</f>
        <v>0</v>
      </c>
      <c r="H61" s="0" t="n">
        <f aca="false">VLOOKUP(H$1+1000*$A61,MASTER6!$A$2:$D$8001,4,FALSE())</f>
        <v>0</v>
      </c>
      <c r="I61" s="0" t="n">
        <f aca="false">VLOOKUP(I$1+1000*$A61,MASTER6!$A$2:$D$8001,4,FALSE())</f>
        <v>0</v>
      </c>
      <c r="J61" s="0" t="n">
        <f aca="false">VLOOKUP(J$1+1000*$A61,MASTER6!$A$2:$D$8001,4,FALSE())</f>
        <v>0</v>
      </c>
      <c r="K61" s="0" t="n">
        <f aca="false">VLOOKUP(K$1+1000*$A61,MASTER6!$A$2:$D$8001,4,FALSE())</f>
        <v>0</v>
      </c>
      <c r="L61" s="0" t="n">
        <f aca="false">VLOOKUP(L$1+1000*$A61,MASTER6!$A$2:$D$8001,4,FALSE())</f>
        <v>0</v>
      </c>
      <c r="M61" s="0" t="n">
        <f aca="false">VLOOKUP(M$1+1000*$A61,MASTER6!$A$2:$D$8001,4,FALSE())</f>
        <v>0</v>
      </c>
      <c r="N61" s="0" t="n">
        <f aca="false">VLOOKUP(N$1+1000*$A61,MASTER6!$A$2:$D$8001,4,FALSE())</f>
        <v>0</v>
      </c>
      <c r="O61" s="0" t="n">
        <f aca="false">VLOOKUP(O$1+1000*$A61,MASTER6!$A$2:$D$8001,4,FALSE())</f>
        <v>0</v>
      </c>
      <c r="P61" s="0" t="n">
        <f aca="false">VLOOKUP(P$1+1000*$A61,MASTER6!$A$2:$D$8001,4,FALSE())</f>
        <v>0</v>
      </c>
      <c r="Q61" s="0" t="n">
        <f aca="false">VLOOKUP(Q$1+1000*$A61,MASTER6!$A$2:$D$8001,4,FALSE())</f>
        <v>0</v>
      </c>
      <c r="R61" s="0" t="n">
        <f aca="false">VLOOKUP(R$1+1000*$A61,MASTER6!$A$2:$D$8001,4,FALSE())</f>
        <v>0</v>
      </c>
      <c r="S61" s="0" t="n">
        <f aca="false">VLOOKUP(S$1+1000*$A61,MASTER6!$A$2:$D$8001,4,FALSE())</f>
        <v>0</v>
      </c>
      <c r="T61" s="0" t="n">
        <f aca="false">VLOOKUP(T$1+1000*$A61,MASTER6!$A$2:$D$8001,4,FALSE())</f>
        <v>0</v>
      </c>
      <c r="U61" s="0" t="n">
        <f aca="false">VLOOKUP(U$1+1000*$A61,MASTER6!$A$2:$D$8001,4,FALSE())</f>
        <v>0</v>
      </c>
      <c r="V61" s="0" t="n">
        <f aca="false">VLOOKUP(V$1+1000*$A61,MASTER6!$A$2:$D$8001,4,FALSE())</f>
        <v>91</v>
      </c>
      <c r="W61" s="0" t="n">
        <f aca="false">VLOOKUP(W$1+1000*$A61,MASTER6!$A$2:$D$8001,4,FALSE())</f>
        <v>0</v>
      </c>
      <c r="X61" s="0" t="n">
        <f aca="false">VLOOKUP(X$1+1000*$A61,MASTER6!$A$2:$D$8001,4,FALSE())</f>
        <v>0</v>
      </c>
      <c r="Y61" s="0" t="n">
        <f aca="false">VLOOKUP(Y$1+1000*$A61,MASTER6!$A$2:$D$8001,4,FALSE())</f>
        <v>0</v>
      </c>
      <c r="Z61" s="0" t="n">
        <f aca="false">VLOOKUP(Z$1+1000*$A61,MASTER6!$A$2:$D$8001,4,FALSE())</f>
        <v>0</v>
      </c>
      <c r="AA61" s="0" t="n">
        <f aca="false">VLOOKUP(AA$1+1000*$A61,MASTER6!$A$2:$D$8001,4,FALSE())</f>
        <v>0</v>
      </c>
      <c r="AB61" s="0" t="n">
        <f aca="false">VLOOKUP(AB$1+1000*$A61,MASTER6!$A$2:$D$8001,4,FALSE())</f>
        <v>0</v>
      </c>
      <c r="AC61" s="0" t="n">
        <f aca="false">VLOOKUP(AC$1+1000*$A61,MASTER6!$A$2:$D$8001,4,FALSE())</f>
        <v>0</v>
      </c>
      <c r="AD61" s="0" t="n">
        <f aca="false">VLOOKUP(AD$1+1000*$A61,MASTER6!$A$2:$D$8001,4,FALSE())</f>
        <v>0</v>
      </c>
      <c r="AE61" s="0" t="n">
        <f aca="false">VLOOKUP(AE$1+1000*$A61,MASTER6!$A$2:$D$8001,4,FALSE())</f>
        <v>0</v>
      </c>
      <c r="AF61" s="0" t="n">
        <f aca="false">VLOOKUP(AF$1+1000*$A61,MASTER6!$A$2:$D$8001,4,FALSE())</f>
        <v>0</v>
      </c>
      <c r="AG61" s="0" t="n">
        <f aca="false">VLOOKUP(AG$1+1000*$A61,MASTER6!$A$2:$D$8001,4,FALSE())</f>
        <v>0</v>
      </c>
      <c r="AH61" s="0" t="n">
        <f aca="false">VLOOKUP(AH$1+1000*$A61,MASTER6!$A$2:$D$8001,4,FALSE())</f>
        <v>0</v>
      </c>
      <c r="AI61" s="0" t="n">
        <f aca="false">VLOOKUP(AI$1+1000*$A61,MASTER6!$A$2:$D$8001,4,FALSE())</f>
        <v>0</v>
      </c>
      <c r="AJ61" s="0" t="n">
        <f aca="false">VLOOKUP(AJ$1+1000*$A61,MASTER6!$A$2:$D$8001,4,FALSE())</f>
        <v>0</v>
      </c>
      <c r="AK61" s="0" t="n">
        <f aca="false">VLOOKUP(AK$1+1000*$A61,MASTER6!$A$2:$D$8001,4,FALSE())</f>
        <v>0</v>
      </c>
      <c r="AL61" s="0" t="n">
        <f aca="false">VLOOKUP(AL$1+1000*$A61,MASTER6!$A$2:$D$8001,4,FALSE())</f>
        <v>0</v>
      </c>
      <c r="AM61" s="0" t="n">
        <f aca="false">VLOOKUP(AM$1+1000*$A61,MASTER6!$A$2:$D$8001,4,FALSE())</f>
        <v>0</v>
      </c>
      <c r="AN61" s="0" t="n">
        <f aca="false">VLOOKUP(AN$1+1000*$A61,MASTER6!$A$2:$D$8001,4,FALSE())</f>
        <v>65</v>
      </c>
      <c r="AO61" s="0" t="n">
        <f aca="false">VLOOKUP(AO$1+1000*$A61,MASTER6!$A$2:$D$8001,4,FALSE())</f>
        <v>0</v>
      </c>
      <c r="AP61" s="0" t="n">
        <f aca="false">VLOOKUP(AP$1+1000*$A61,MASTER6!$A$2:$D$8001,4,FALSE())</f>
        <v>0</v>
      </c>
      <c r="AQ61" s="0" t="n">
        <f aca="false">VLOOKUP(AQ$1+1000*$A61,MASTER6!$A$2:$D$8001,4,FALSE())</f>
        <v>182</v>
      </c>
      <c r="AR61" s="0" t="n">
        <f aca="false">VLOOKUP(AR$1+1000*$A61,MASTER6!$A$2:$D$8001,4,FALSE())</f>
        <v>0</v>
      </c>
      <c r="AS61" s="0" t="n">
        <f aca="false">VLOOKUP(AS$1+1000*$A61,MASTER6!$A$2:$D$8001,4,FALSE())</f>
        <v>0</v>
      </c>
      <c r="AT61" s="0" t="n">
        <f aca="false">VLOOKUP(AT$1+1000*$A61,MASTER6!$A$2:$D$8001,4,FALSE())</f>
        <v>0</v>
      </c>
      <c r="AU61" s="0" t="n">
        <f aca="false">VLOOKUP(AU$1+1000*$A61,MASTER6!$A$2:$D$8001,4,FALSE())</f>
        <v>195</v>
      </c>
      <c r="AV61" s="0" t="n">
        <f aca="false">VLOOKUP(AV$1+1000*$A61,MASTER6!$A$2:$D$8001,4,FALSE())</f>
        <v>130</v>
      </c>
      <c r="AW61" s="0" t="n">
        <f aca="false">VLOOKUP(AW$1+1000*$A61,MASTER6!$A$2:$D$8001,4,FALSE())</f>
        <v>1287</v>
      </c>
      <c r="AX61" s="0" t="n">
        <f aca="false">VLOOKUP(AX$1+1000*$A61,MASTER6!$A$2:$D$8001,4,FALSE())</f>
        <v>0</v>
      </c>
      <c r="AY61" s="0" t="n">
        <f aca="false">VLOOKUP(AY$1+1000*$A61,MASTER6!$A$2:$D$8001,4,FALSE())</f>
        <v>0</v>
      </c>
      <c r="AZ61" s="0" t="n">
        <f aca="false">VLOOKUP(AZ$1+1000*$A61,MASTER6!$A$2:$D$8001,4,FALSE())</f>
        <v>0</v>
      </c>
      <c r="BA61" s="0" t="n">
        <f aca="false">VLOOKUP(BA$1+1000*$A61,MASTER6!$A$2:$D$8001,4,FALSE())</f>
        <v>91</v>
      </c>
      <c r="BB61" s="0" t="n">
        <f aca="false">VLOOKUP(BB$1+1000*$A61,MASTER6!$A$2:$D$8001,4,FALSE())</f>
        <v>169</v>
      </c>
      <c r="BC61" s="0" t="n">
        <f aca="false">VLOOKUP(BC$1+1000*$A61,MASTER6!$A$2:$D$8001,4,FALSE())</f>
        <v>0</v>
      </c>
      <c r="BD61" s="0" t="n">
        <f aca="false">VLOOKUP(BD$1+1000*$A61,MASTER6!$A$2:$D$8001,4,FALSE())</f>
        <v>91</v>
      </c>
      <c r="BE61" s="0" t="n">
        <f aca="false">VLOOKUP(BE$1+1000*$A61,MASTER6!$A$2:$D$8001,4,FALSE())</f>
        <v>364</v>
      </c>
      <c r="BF61" s="0" t="n">
        <f aca="false">VLOOKUP(BF$1+1000*$A61,MASTER6!$A$2:$D$8001,4,FALSE())</f>
        <v>104</v>
      </c>
      <c r="BG61" s="0" t="n">
        <f aca="false">VLOOKUP(BG$1+1000*$A61,MASTER6!$A$2:$D$8001,4,FALSE())</f>
        <v>0</v>
      </c>
      <c r="BH61" s="0" t="n">
        <f aca="false">VLOOKUP(BH$1+1000*$A61,MASTER6!$A$2:$D$8001,4,FALSE())</f>
        <v>0</v>
      </c>
      <c r="BI61" s="0" t="n">
        <f aca="false">VLOOKUP(BI$1+1000*$A61,MASTER6!$A$2:$D$8001,4,FALSE())</f>
        <v>9555</v>
      </c>
      <c r="BJ61" s="0" t="n">
        <f aca="false">VLOOKUP(BJ$1+1000*$A61,MASTER6!$A$2:$D$8001,4,FALSE())</f>
        <v>910</v>
      </c>
      <c r="BK61" s="0" t="n">
        <f aca="false">VLOOKUP(BK$1+1000*$A61,MASTER6!$A$2:$D$8001,4,FALSE())</f>
        <v>520</v>
      </c>
      <c r="BL61" s="0" t="n">
        <f aca="false">VLOOKUP(BL$1+1000*$A61,MASTER6!$A$2:$D$8001,4,FALSE())</f>
        <v>0</v>
      </c>
      <c r="BM61" s="0" t="n">
        <f aca="false">VLOOKUP(BM$1+1000*$A61,MASTER6!$A$2:$D$8001,4,FALSE())</f>
        <v>19968</v>
      </c>
      <c r="BN61" s="0" t="n">
        <f aca="false">VLOOKUP(BN$1+1000*$A61,MASTER6!$A$2:$D$8001,4,FALSE())</f>
        <v>11674</v>
      </c>
      <c r="BO61" s="0" t="n">
        <f aca="false">VLOOKUP(BO$1+1000*$A61,MASTER6!$A$2:$D$8001,4,FALSE())</f>
        <v>4381</v>
      </c>
      <c r="BP61" s="0" t="n">
        <f aca="false">VLOOKUP(BP$1+1000*$A61,MASTER6!$A$2:$D$8001,4,FALSE())</f>
        <v>0</v>
      </c>
      <c r="BQ61" s="0" t="n">
        <f aca="false">VLOOKUP(BQ$1+1000*$A61,MASTER6!$A$2:$D$8001,4,FALSE())</f>
        <v>0</v>
      </c>
      <c r="BR61" s="0" t="n">
        <f aca="false">VLOOKUP(BR$1+1000*$A61,MASTER6!$A$2:$D$8001,4,FALSE())</f>
        <v>65</v>
      </c>
      <c r="BS61" s="0" t="n">
        <f aca="false">VLOOKUP(BS$1+1000*$A61,MASTER6!$A$2:$D$8001,4,FALSE())</f>
        <v>0</v>
      </c>
      <c r="BT61" s="0" t="n">
        <f aca="false">VLOOKUP(BT$1+1000*$A61,MASTER6!$A$2:$D$8001,4,FALSE())</f>
        <v>182</v>
      </c>
      <c r="BU61" s="0" t="n">
        <f aca="false">VLOOKUP(BU$1+1000*$A61,MASTER6!$A$2:$D$8001,4,FALSE())</f>
        <v>0</v>
      </c>
      <c r="BV61" s="0" t="n">
        <f aca="false">VLOOKUP(BV$1+1000*$A61,MASTER6!$A$2:$D$8001,4,FALSE())</f>
        <v>0</v>
      </c>
      <c r="BW61" s="0" t="e">
        <f aca="false">VLOOKUP(BW$1+1000*$A61,MASTER6!$A$2:$D$8001,4,FALSE())</f>
        <v>#N/A</v>
      </c>
      <c r="BX61" s="0" t="n">
        <f aca="false">VLOOKUP(BX$1+1000*$A61,MASTER6!$A$2:$D$8001,4,FALSE())</f>
        <v>0</v>
      </c>
      <c r="BY61" s="0" t="n">
        <f aca="false">VLOOKUP(BY$1+1000*$A61,MASTER6!$A$2:$D$8001,4,FALSE())</f>
        <v>0</v>
      </c>
      <c r="BZ61" s="0" t="n">
        <f aca="false">VLOOKUP(BZ$1+1000*$A61,MASTER6!$A$2:$D$8001,4,FALSE())</f>
        <v>0</v>
      </c>
      <c r="CA61" s="0" t="n">
        <f aca="false">VLOOKUP(CA$1+1000*$A61,MASTER6!$A$2:$D$8001,4,FALSE())</f>
        <v>0</v>
      </c>
      <c r="CB61" s="0" t="n">
        <f aca="false">VLOOKUP(CB$1+1000*$A61,MASTER6!$A$2:$D$8001,4,FALSE())</f>
        <v>0</v>
      </c>
      <c r="CC61" s="0" t="n">
        <f aca="false">VLOOKUP(CC$1+1000*$A61,MASTER6!$A$2:$D$8001,4,FALSE())</f>
        <v>0</v>
      </c>
      <c r="CD61" s="0" t="n">
        <f aca="false">VLOOKUP(CD$1+1000*$A61,MASTER6!$A$2:$D$8001,4,FALSE())</f>
        <v>0</v>
      </c>
      <c r="CE61" s="0" t="n">
        <f aca="false">VLOOKUP(CE$1+1000*$A61,MASTER6!$A$2:$D$8001,4,FALSE())</f>
        <v>0</v>
      </c>
      <c r="CF61" s="0" t="n">
        <f aca="false">VLOOKUP(CF$1+1000*$A61,MASTER6!$A$2:$D$8001,4,FALSE())</f>
        <v>0</v>
      </c>
      <c r="CG61" s="0" t="n">
        <f aca="false">VLOOKUP(CG$1+1000*$A61,MASTER6!$A$2:$D$8001,4,FALSE())</f>
        <v>689</v>
      </c>
      <c r="CH61" s="0" t="n">
        <f aca="false">VLOOKUP(CH$1+1000*$A61,MASTER6!$A$2:$D$8001,4,FALSE())</f>
        <v>49257</v>
      </c>
      <c r="CI61" s="0" t="n">
        <f aca="false">VLOOKUP(CI$1+1000*$A61,MASTER6!$A$2:$D$8001,4,FALSE())</f>
        <v>91</v>
      </c>
      <c r="CJ61" s="0" t="e">
        <f aca="false">VLOOKUP(CJ$1+1000*$A61,MASTER6!$A$2:$D$8001,4,FALSE())</f>
        <v>#N/A</v>
      </c>
    </row>
    <row r="62" customFormat="false" ht="12.75" hidden="false" customHeight="false" outlineLevel="0" collapsed="false">
      <c r="A62" s="0" t="n">
        <v>61</v>
      </c>
      <c r="B62" s="0" t="n">
        <f aca="false">VLOOKUP(B$1+1000*$A62,MASTER6!$A$2:$D$8001,4,FALSE())</f>
        <v>0</v>
      </c>
      <c r="C62" s="0" t="n">
        <f aca="false">VLOOKUP(C$1+1000*$A62,MASTER6!$A$2:$D$8001,4,FALSE())</f>
        <v>0</v>
      </c>
      <c r="D62" s="0" t="n">
        <f aca="false">VLOOKUP(D$1+1000*$A62,MASTER6!$A$2:$D$8001,4,FALSE())</f>
        <v>0</v>
      </c>
      <c r="E62" s="0" t="n">
        <f aca="false">VLOOKUP(E$1+1000*$A62,MASTER6!$A$2:$D$8001,4,FALSE())</f>
        <v>0</v>
      </c>
      <c r="F62" s="0" t="n">
        <f aca="false">VLOOKUP(F$1+1000*$A62,MASTER6!$A$2:$D$8001,4,FALSE())</f>
        <v>0</v>
      </c>
      <c r="G62" s="0" t="n">
        <f aca="false">VLOOKUP(G$1+1000*$A62,MASTER6!$A$2:$D$8001,4,FALSE())</f>
        <v>0</v>
      </c>
      <c r="H62" s="0" t="n">
        <f aca="false">VLOOKUP(H$1+1000*$A62,MASTER6!$A$2:$D$8001,4,FALSE())</f>
        <v>0</v>
      </c>
      <c r="I62" s="0" t="n">
        <f aca="false">VLOOKUP(I$1+1000*$A62,MASTER6!$A$2:$D$8001,4,FALSE())</f>
        <v>0</v>
      </c>
      <c r="J62" s="0" t="n">
        <f aca="false">VLOOKUP(J$1+1000*$A62,MASTER6!$A$2:$D$8001,4,FALSE())</f>
        <v>0</v>
      </c>
      <c r="K62" s="0" t="n">
        <f aca="false">VLOOKUP(K$1+1000*$A62,MASTER6!$A$2:$D$8001,4,FALSE())</f>
        <v>0</v>
      </c>
      <c r="L62" s="0" t="n">
        <f aca="false">VLOOKUP(L$1+1000*$A62,MASTER6!$A$2:$D$8001,4,FALSE())</f>
        <v>0</v>
      </c>
      <c r="M62" s="0" t="n">
        <f aca="false">VLOOKUP(M$1+1000*$A62,MASTER6!$A$2:$D$8001,4,FALSE())</f>
        <v>0</v>
      </c>
      <c r="N62" s="0" t="n">
        <f aca="false">VLOOKUP(N$1+1000*$A62,MASTER6!$A$2:$D$8001,4,FALSE())</f>
        <v>0</v>
      </c>
      <c r="O62" s="0" t="n">
        <f aca="false">VLOOKUP(O$1+1000*$A62,MASTER6!$A$2:$D$8001,4,FALSE())</f>
        <v>0</v>
      </c>
      <c r="P62" s="0" t="n">
        <f aca="false">VLOOKUP(P$1+1000*$A62,MASTER6!$A$2:$D$8001,4,FALSE())</f>
        <v>0</v>
      </c>
      <c r="Q62" s="0" t="n">
        <f aca="false">VLOOKUP(Q$1+1000*$A62,MASTER6!$A$2:$D$8001,4,FALSE())</f>
        <v>0</v>
      </c>
      <c r="R62" s="0" t="n">
        <f aca="false">VLOOKUP(R$1+1000*$A62,MASTER6!$A$2:$D$8001,4,FALSE())</f>
        <v>0</v>
      </c>
      <c r="S62" s="0" t="n">
        <f aca="false">VLOOKUP(S$1+1000*$A62,MASTER6!$A$2:$D$8001,4,FALSE())</f>
        <v>0</v>
      </c>
      <c r="T62" s="0" t="n">
        <f aca="false">VLOOKUP(T$1+1000*$A62,MASTER6!$A$2:$D$8001,4,FALSE())</f>
        <v>0</v>
      </c>
      <c r="U62" s="0" t="n">
        <f aca="false">VLOOKUP(U$1+1000*$A62,MASTER6!$A$2:$D$8001,4,FALSE())</f>
        <v>0</v>
      </c>
      <c r="V62" s="0" t="n">
        <f aca="false">VLOOKUP(V$1+1000*$A62,MASTER6!$A$2:$D$8001,4,FALSE())</f>
        <v>0</v>
      </c>
      <c r="W62" s="0" t="n">
        <f aca="false">VLOOKUP(W$1+1000*$A62,MASTER6!$A$2:$D$8001,4,FALSE())</f>
        <v>377</v>
      </c>
      <c r="X62" s="0" t="n">
        <f aca="false">VLOOKUP(X$1+1000*$A62,MASTER6!$A$2:$D$8001,4,FALSE())</f>
        <v>0</v>
      </c>
      <c r="Y62" s="0" t="n">
        <f aca="false">VLOOKUP(Y$1+1000*$A62,MASTER6!$A$2:$D$8001,4,FALSE())</f>
        <v>0</v>
      </c>
      <c r="Z62" s="0" t="n">
        <f aca="false">VLOOKUP(Z$1+1000*$A62,MASTER6!$A$2:$D$8001,4,FALSE())</f>
        <v>0</v>
      </c>
      <c r="AA62" s="0" t="n">
        <f aca="false">VLOOKUP(AA$1+1000*$A62,MASTER6!$A$2:$D$8001,4,FALSE())</f>
        <v>0</v>
      </c>
      <c r="AB62" s="0" t="n">
        <f aca="false">VLOOKUP(AB$1+1000*$A62,MASTER6!$A$2:$D$8001,4,FALSE())</f>
        <v>0</v>
      </c>
      <c r="AC62" s="0" t="n">
        <f aca="false">VLOOKUP(AC$1+1000*$A62,MASTER6!$A$2:$D$8001,4,FALSE())</f>
        <v>0</v>
      </c>
      <c r="AD62" s="0" t="n">
        <f aca="false">VLOOKUP(AD$1+1000*$A62,MASTER6!$A$2:$D$8001,4,FALSE())</f>
        <v>0</v>
      </c>
      <c r="AE62" s="0" t="n">
        <f aca="false">VLOOKUP(AE$1+1000*$A62,MASTER6!$A$2:$D$8001,4,FALSE())</f>
        <v>0</v>
      </c>
      <c r="AF62" s="0" t="n">
        <f aca="false">VLOOKUP(AF$1+1000*$A62,MASTER6!$A$2:$D$8001,4,FALSE())</f>
        <v>0</v>
      </c>
      <c r="AG62" s="0" t="n">
        <f aca="false">VLOOKUP(AG$1+1000*$A62,MASTER6!$A$2:$D$8001,4,FALSE())</f>
        <v>0</v>
      </c>
      <c r="AH62" s="0" t="n">
        <f aca="false">VLOOKUP(AH$1+1000*$A62,MASTER6!$A$2:$D$8001,4,FALSE())</f>
        <v>0</v>
      </c>
      <c r="AI62" s="0" t="n">
        <f aca="false">VLOOKUP(AI$1+1000*$A62,MASTER6!$A$2:$D$8001,4,FALSE())</f>
        <v>0</v>
      </c>
      <c r="AJ62" s="0" t="n">
        <f aca="false">VLOOKUP(AJ$1+1000*$A62,MASTER6!$A$2:$D$8001,4,FALSE())</f>
        <v>0</v>
      </c>
      <c r="AK62" s="0" t="n">
        <f aca="false">VLOOKUP(AK$1+1000*$A62,MASTER6!$A$2:$D$8001,4,FALSE())</f>
        <v>0</v>
      </c>
      <c r="AL62" s="0" t="n">
        <f aca="false">VLOOKUP(AL$1+1000*$A62,MASTER6!$A$2:$D$8001,4,FALSE())</f>
        <v>0</v>
      </c>
      <c r="AM62" s="0" t="n">
        <f aca="false">VLOOKUP(AM$1+1000*$A62,MASTER6!$A$2:$D$8001,4,FALSE())</f>
        <v>0</v>
      </c>
      <c r="AN62" s="0" t="n">
        <f aca="false">VLOOKUP(AN$1+1000*$A62,MASTER6!$A$2:$D$8001,4,FALSE())</f>
        <v>130</v>
      </c>
      <c r="AO62" s="0" t="n">
        <f aca="false">VLOOKUP(AO$1+1000*$A62,MASTER6!$A$2:$D$8001,4,FALSE())</f>
        <v>0</v>
      </c>
      <c r="AP62" s="0" t="n">
        <f aca="false">VLOOKUP(AP$1+1000*$A62,MASTER6!$A$2:$D$8001,4,FALSE())</f>
        <v>0</v>
      </c>
      <c r="AQ62" s="0" t="n">
        <f aca="false">VLOOKUP(AQ$1+1000*$A62,MASTER6!$A$2:$D$8001,4,FALSE())</f>
        <v>52</v>
      </c>
      <c r="AR62" s="0" t="n">
        <f aca="false">VLOOKUP(AR$1+1000*$A62,MASTER6!$A$2:$D$8001,4,FALSE())</f>
        <v>0</v>
      </c>
      <c r="AS62" s="0" t="n">
        <f aca="false">VLOOKUP(AS$1+1000*$A62,MASTER6!$A$2:$D$8001,4,FALSE())</f>
        <v>0</v>
      </c>
      <c r="AT62" s="0" t="n">
        <f aca="false">VLOOKUP(AT$1+1000*$A62,MASTER6!$A$2:$D$8001,4,FALSE())</f>
        <v>0</v>
      </c>
      <c r="AU62" s="0" t="n">
        <f aca="false">VLOOKUP(AU$1+1000*$A62,MASTER6!$A$2:$D$8001,4,FALSE())</f>
        <v>0</v>
      </c>
      <c r="AV62" s="0" t="n">
        <f aca="false">VLOOKUP(AV$1+1000*$A62,MASTER6!$A$2:$D$8001,4,FALSE())</f>
        <v>65</v>
      </c>
      <c r="AW62" s="0" t="n">
        <f aca="false">VLOOKUP(AW$1+1000*$A62,MASTER6!$A$2:$D$8001,4,FALSE())</f>
        <v>247</v>
      </c>
      <c r="AX62" s="0" t="n">
        <f aca="false">VLOOKUP(AX$1+1000*$A62,MASTER6!$A$2:$D$8001,4,FALSE())</f>
        <v>0</v>
      </c>
      <c r="AY62" s="0" t="n">
        <f aca="false">VLOOKUP(AY$1+1000*$A62,MASTER6!$A$2:$D$8001,4,FALSE())</f>
        <v>0</v>
      </c>
      <c r="AZ62" s="0" t="n">
        <f aca="false">VLOOKUP(AZ$1+1000*$A62,MASTER6!$A$2:$D$8001,4,FALSE())</f>
        <v>0</v>
      </c>
      <c r="BA62" s="0" t="n">
        <f aca="false">VLOOKUP(BA$1+1000*$A62,MASTER6!$A$2:$D$8001,4,FALSE())</f>
        <v>273</v>
      </c>
      <c r="BB62" s="0" t="n">
        <f aca="false">VLOOKUP(BB$1+1000*$A62,MASTER6!$A$2:$D$8001,4,FALSE())</f>
        <v>0</v>
      </c>
      <c r="BC62" s="0" t="n">
        <f aca="false">VLOOKUP(BC$1+1000*$A62,MASTER6!$A$2:$D$8001,4,FALSE())</f>
        <v>260</v>
      </c>
      <c r="BD62" s="0" t="n">
        <f aca="false">VLOOKUP(BD$1+1000*$A62,MASTER6!$A$2:$D$8001,4,FALSE())</f>
        <v>0</v>
      </c>
      <c r="BE62" s="0" t="n">
        <f aca="false">VLOOKUP(BE$1+1000*$A62,MASTER6!$A$2:$D$8001,4,FALSE())</f>
        <v>819</v>
      </c>
      <c r="BF62" s="0" t="n">
        <f aca="false">VLOOKUP(BF$1+1000*$A62,MASTER6!$A$2:$D$8001,4,FALSE())</f>
        <v>481</v>
      </c>
      <c r="BG62" s="0" t="n">
        <f aca="false">VLOOKUP(BG$1+1000*$A62,MASTER6!$A$2:$D$8001,4,FALSE())</f>
        <v>39</v>
      </c>
      <c r="BH62" s="0" t="n">
        <f aca="false">VLOOKUP(BH$1+1000*$A62,MASTER6!$A$2:$D$8001,4,FALSE())</f>
        <v>0</v>
      </c>
      <c r="BI62" s="0" t="n">
        <f aca="false">VLOOKUP(BI$1+1000*$A62,MASTER6!$A$2:$D$8001,4,FALSE())</f>
        <v>611</v>
      </c>
      <c r="BJ62" s="0" t="n">
        <f aca="false">VLOOKUP(BJ$1+1000*$A62,MASTER6!$A$2:$D$8001,4,FALSE())</f>
        <v>8996</v>
      </c>
      <c r="BK62" s="0" t="n">
        <f aca="false">VLOOKUP(BK$1+1000*$A62,MASTER6!$A$2:$D$8001,4,FALSE())</f>
        <v>2925</v>
      </c>
      <c r="BL62" s="0" t="n">
        <f aca="false">VLOOKUP(BL$1+1000*$A62,MASTER6!$A$2:$D$8001,4,FALSE())</f>
        <v>429</v>
      </c>
      <c r="BM62" s="0" t="n">
        <f aca="false">VLOOKUP(BM$1+1000*$A62,MASTER6!$A$2:$D$8001,4,FALSE())</f>
        <v>13611</v>
      </c>
      <c r="BN62" s="0" t="n">
        <f aca="false">VLOOKUP(BN$1+1000*$A62,MASTER6!$A$2:$D$8001,4,FALSE())</f>
        <v>19682</v>
      </c>
      <c r="BO62" s="0" t="n">
        <f aca="false">VLOOKUP(BO$1+1000*$A62,MASTER6!$A$2:$D$8001,4,FALSE())</f>
        <v>1300</v>
      </c>
      <c r="BP62" s="0" t="n">
        <f aca="false">VLOOKUP(BP$1+1000*$A62,MASTER6!$A$2:$D$8001,4,FALSE())</f>
        <v>195</v>
      </c>
      <c r="BQ62" s="0" t="n">
        <f aca="false">VLOOKUP(BQ$1+1000*$A62,MASTER6!$A$2:$D$8001,4,FALSE())</f>
        <v>0</v>
      </c>
      <c r="BR62" s="0" t="n">
        <f aca="false">VLOOKUP(BR$1+1000*$A62,MASTER6!$A$2:$D$8001,4,FALSE())</f>
        <v>156</v>
      </c>
      <c r="BS62" s="0" t="n">
        <f aca="false">VLOOKUP(BS$1+1000*$A62,MASTER6!$A$2:$D$8001,4,FALSE())</f>
        <v>0</v>
      </c>
      <c r="BT62" s="0" t="n">
        <f aca="false">VLOOKUP(BT$1+1000*$A62,MASTER6!$A$2:$D$8001,4,FALSE())</f>
        <v>299</v>
      </c>
      <c r="BU62" s="0" t="n">
        <f aca="false">VLOOKUP(BU$1+1000*$A62,MASTER6!$A$2:$D$8001,4,FALSE())</f>
        <v>0</v>
      </c>
      <c r="BV62" s="0" t="n">
        <f aca="false">VLOOKUP(BV$1+1000*$A62,MASTER6!$A$2:$D$8001,4,FALSE())</f>
        <v>0</v>
      </c>
      <c r="BW62" s="0" t="e">
        <f aca="false">VLOOKUP(BW$1+1000*$A62,MASTER6!$A$2:$D$8001,4,FALSE())</f>
        <v>#N/A</v>
      </c>
      <c r="BX62" s="0" t="n">
        <f aca="false">VLOOKUP(BX$1+1000*$A62,MASTER6!$A$2:$D$8001,4,FALSE())</f>
        <v>0</v>
      </c>
      <c r="BY62" s="0" t="n">
        <f aca="false">VLOOKUP(BY$1+1000*$A62,MASTER6!$A$2:$D$8001,4,FALSE())</f>
        <v>0</v>
      </c>
      <c r="BZ62" s="0" t="n">
        <f aca="false">VLOOKUP(BZ$1+1000*$A62,MASTER6!$A$2:$D$8001,4,FALSE())</f>
        <v>0</v>
      </c>
      <c r="CA62" s="0" t="n">
        <f aca="false">VLOOKUP(CA$1+1000*$A62,MASTER6!$A$2:$D$8001,4,FALSE())</f>
        <v>0</v>
      </c>
      <c r="CB62" s="0" t="n">
        <f aca="false">VLOOKUP(CB$1+1000*$A62,MASTER6!$A$2:$D$8001,4,FALSE())</f>
        <v>0</v>
      </c>
      <c r="CC62" s="0" t="n">
        <f aca="false">VLOOKUP(CC$1+1000*$A62,MASTER6!$A$2:$D$8001,4,FALSE())</f>
        <v>0</v>
      </c>
      <c r="CD62" s="0" t="n">
        <f aca="false">VLOOKUP(CD$1+1000*$A62,MASTER6!$A$2:$D$8001,4,FALSE())</f>
        <v>117</v>
      </c>
      <c r="CE62" s="0" t="n">
        <f aca="false">VLOOKUP(CE$1+1000*$A62,MASTER6!$A$2:$D$8001,4,FALSE())</f>
        <v>0</v>
      </c>
      <c r="CF62" s="0" t="n">
        <f aca="false">VLOOKUP(CF$1+1000*$A62,MASTER6!$A$2:$D$8001,4,FALSE())</f>
        <v>0</v>
      </c>
      <c r="CG62" s="0" t="n">
        <f aca="false">VLOOKUP(CG$1+1000*$A62,MASTER6!$A$2:$D$8001,4,FALSE())</f>
        <v>117</v>
      </c>
      <c r="CH62" s="0" t="n">
        <f aca="false">VLOOKUP(CH$1+1000*$A62,MASTER6!$A$2:$D$8001,4,FALSE())</f>
        <v>56628</v>
      </c>
      <c r="CI62" s="0" t="n">
        <f aca="false">VLOOKUP(CI$1+1000*$A62,MASTER6!$A$2:$D$8001,4,FALSE())</f>
        <v>0</v>
      </c>
      <c r="CJ62" s="0" t="e">
        <f aca="false">VLOOKUP(CJ$1+1000*$A62,MASTER6!$A$2:$D$8001,4,FALSE())</f>
        <v>#N/A</v>
      </c>
    </row>
    <row r="63" customFormat="false" ht="12.75" hidden="false" customHeight="false" outlineLevel="0" collapsed="false">
      <c r="A63" s="0" t="n">
        <v>62</v>
      </c>
      <c r="B63" s="0" t="n">
        <f aca="false">VLOOKUP(B$1+1000*$A63,MASTER6!$A$2:$D$8001,4,FALSE())</f>
        <v>156</v>
      </c>
      <c r="C63" s="0" t="n">
        <f aca="false">VLOOKUP(C$1+1000*$A63,MASTER6!$A$2:$D$8001,4,FALSE())</f>
        <v>104</v>
      </c>
      <c r="D63" s="0" t="n">
        <f aca="false">VLOOKUP(D$1+1000*$A63,MASTER6!$A$2:$D$8001,4,FALSE())</f>
        <v>0</v>
      </c>
      <c r="E63" s="0" t="n">
        <f aca="false">VLOOKUP(E$1+1000*$A63,MASTER6!$A$2:$D$8001,4,FALSE())</f>
        <v>0</v>
      </c>
      <c r="F63" s="0" t="n">
        <f aca="false">VLOOKUP(F$1+1000*$A63,MASTER6!$A$2:$D$8001,4,FALSE())</f>
        <v>0</v>
      </c>
      <c r="G63" s="0" t="n">
        <f aca="false">VLOOKUP(G$1+1000*$A63,MASTER6!$A$2:$D$8001,4,FALSE())</f>
        <v>0</v>
      </c>
      <c r="H63" s="0" t="n">
        <f aca="false">VLOOKUP(H$1+1000*$A63,MASTER6!$A$2:$D$8001,4,FALSE())</f>
        <v>0</v>
      </c>
      <c r="I63" s="0" t="n">
        <f aca="false">VLOOKUP(I$1+1000*$A63,MASTER6!$A$2:$D$8001,4,FALSE())</f>
        <v>0</v>
      </c>
      <c r="J63" s="0" t="n">
        <f aca="false">VLOOKUP(J$1+1000*$A63,MASTER6!$A$2:$D$8001,4,FALSE())</f>
        <v>0</v>
      </c>
      <c r="K63" s="0" t="n">
        <f aca="false">VLOOKUP(K$1+1000*$A63,MASTER6!$A$2:$D$8001,4,FALSE())</f>
        <v>0</v>
      </c>
      <c r="L63" s="0" t="n">
        <f aca="false">VLOOKUP(L$1+1000*$A63,MASTER6!$A$2:$D$8001,4,FALSE())</f>
        <v>0</v>
      </c>
      <c r="M63" s="0" t="n">
        <f aca="false">VLOOKUP(M$1+1000*$A63,MASTER6!$A$2:$D$8001,4,FALSE())</f>
        <v>0</v>
      </c>
      <c r="N63" s="0" t="n">
        <f aca="false">VLOOKUP(N$1+1000*$A63,MASTER6!$A$2:$D$8001,4,FALSE())</f>
        <v>0</v>
      </c>
      <c r="O63" s="0" t="n">
        <f aca="false">VLOOKUP(O$1+1000*$A63,MASTER6!$A$2:$D$8001,4,FALSE())</f>
        <v>0</v>
      </c>
      <c r="P63" s="0" t="n">
        <f aca="false">VLOOKUP(P$1+1000*$A63,MASTER6!$A$2:$D$8001,4,FALSE())</f>
        <v>0</v>
      </c>
      <c r="Q63" s="0" t="n">
        <f aca="false">VLOOKUP(Q$1+1000*$A63,MASTER6!$A$2:$D$8001,4,FALSE())</f>
        <v>0</v>
      </c>
      <c r="R63" s="0" t="n">
        <f aca="false">VLOOKUP(R$1+1000*$A63,MASTER6!$A$2:$D$8001,4,FALSE())</f>
        <v>0</v>
      </c>
      <c r="S63" s="0" t="n">
        <f aca="false">VLOOKUP(S$1+1000*$A63,MASTER6!$A$2:$D$8001,4,FALSE())</f>
        <v>0</v>
      </c>
      <c r="T63" s="0" t="n">
        <f aca="false">VLOOKUP(T$1+1000*$A63,MASTER6!$A$2:$D$8001,4,FALSE())</f>
        <v>0</v>
      </c>
      <c r="U63" s="0" t="n">
        <f aca="false">VLOOKUP(U$1+1000*$A63,MASTER6!$A$2:$D$8001,4,FALSE())</f>
        <v>0</v>
      </c>
      <c r="V63" s="0" t="n">
        <f aca="false">VLOOKUP(V$1+1000*$A63,MASTER6!$A$2:$D$8001,4,FALSE())</f>
        <v>0</v>
      </c>
      <c r="W63" s="0" t="n">
        <f aca="false">VLOOKUP(W$1+1000*$A63,MASTER6!$A$2:$D$8001,4,FALSE())</f>
        <v>0</v>
      </c>
      <c r="X63" s="0" t="n">
        <f aca="false">VLOOKUP(X$1+1000*$A63,MASTER6!$A$2:$D$8001,4,FALSE())</f>
        <v>0</v>
      </c>
      <c r="Y63" s="0" t="n">
        <f aca="false">VLOOKUP(Y$1+1000*$A63,MASTER6!$A$2:$D$8001,4,FALSE())</f>
        <v>0</v>
      </c>
      <c r="Z63" s="0" t="n">
        <f aca="false">VLOOKUP(Z$1+1000*$A63,MASTER6!$A$2:$D$8001,4,FALSE())</f>
        <v>0</v>
      </c>
      <c r="AA63" s="0" t="n">
        <f aca="false">VLOOKUP(AA$1+1000*$A63,MASTER6!$A$2:$D$8001,4,FALSE())</f>
        <v>0</v>
      </c>
      <c r="AB63" s="0" t="n">
        <f aca="false">VLOOKUP(AB$1+1000*$A63,MASTER6!$A$2:$D$8001,4,FALSE())</f>
        <v>0</v>
      </c>
      <c r="AC63" s="0" t="n">
        <f aca="false">VLOOKUP(AC$1+1000*$A63,MASTER6!$A$2:$D$8001,4,FALSE())</f>
        <v>0</v>
      </c>
      <c r="AD63" s="0" t="n">
        <f aca="false">VLOOKUP(AD$1+1000*$A63,MASTER6!$A$2:$D$8001,4,FALSE())</f>
        <v>0</v>
      </c>
      <c r="AE63" s="0" t="n">
        <f aca="false">VLOOKUP(AE$1+1000*$A63,MASTER6!$A$2:$D$8001,4,FALSE())</f>
        <v>0</v>
      </c>
      <c r="AF63" s="0" t="n">
        <f aca="false">VLOOKUP(AF$1+1000*$A63,MASTER6!$A$2:$D$8001,4,FALSE())</f>
        <v>0</v>
      </c>
      <c r="AG63" s="0" t="n">
        <f aca="false">VLOOKUP(AG$1+1000*$A63,MASTER6!$A$2:$D$8001,4,FALSE())</f>
        <v>0</v>
      </c>
      <c r="AH63" s="0" t="n">
        <f aca="false">VLOOKUP(AH$1+1000*$A63,MASTER6!$A$2:$D$8001,4,FALSE())</f>
        <v>0</v>
      </c>
      <c r="AI63" s="0" t="n">
        <f aca="false">VLOOKUP(AI$1+1000*$A63,MASTER6!$A$2:$D$8001,4,FALSE())</f>
        <v>117</v>
      </c>
      <c r="AJ63" s="0" t="n">
        <f aca="false">VLOOKUP(AJ$1+1000*$A63,MASTER6!$A$2:$D$8001,4,FALSE())</f>
        <v>0</v>
      </c>
      <c r="AK63" s="0" t="n">
        <f aca="false">VLOOKUP(AK$1+1000*$A63,MASTER6!$A$2:$D$8001,4,FALSE())</f>
        <v>0</v>
      </c>
      <c r="AL63" s="0" t="n">
        <f aca="false">VLOOKUP(AL$1+1000*$A63,MASTER6!$A$2:$D$8001,4,FALSE())</f>
        <v>0</v>
      </c>
      <c r="AM63" s="0" t="n">
        <f aca="false">VLOOKUP(AM$1+1000*$A63,MASTER6!$A$2:$D$8001,4,FALSE())</f>
        <v>0</v>
      </c>
      <c r="AN63" s="0" t="n">
        <f aca="false">VLOOKUP(AN$1+1000*$A63,MASTER6!$A$2:$D$8001,4,FALSE())</f>
        <v>0</v>
      </c>
      <c r="AO63" s="0" t="n">
        <f aca="false">VLOOKUP(AO$1+1000*$A63,MASTER6!$A$2:$D$8001,4,FALSE())</f>
        <v>0</v>
      </c>
      <c r="AP63" s="0" t="n">
        <f aca="false">VLOOKUP(AP$1+1000*$A63,MASTER6!$A$2:$D$8001,4,FALSE())</f>
        <v>0</v>
      </c>
      <c r="AQ63" s="0" t="n">
        <f aca="false">VLOOKUP(AQ$1+1000*$A63,MASTER6!$A$2:$D$8001,4,FALSE())</f>
        <v>0</v>
      </c>
      <c r="AR63" s="0" t="n">
        <f aca="false">VLOOKUP(AR$1+1000*$A63,MASTER6!$A$2:$D$8001,4,FALSE())</f>
        <v>0</v>
      </c>
      <c r="AS63" s="0" t="n">
        <f aca="false">VLOOKUP(AS$1+1000*$A63,MASTER6!$A$2:$D$8001,4,FALSE())</f>
        <v>0</v>
      </c>
      <c r="AT63" s="0" t="n">
        <f aca="false">VLOOKUP(AT$1+1000*$A63,MASTER6!$A$2:$D$8001,4,FALSE())</f>
        <v>0</v>
      </c>
      <c r="AU63" s="0" t="n">
        <f aca="false">VLOOKUP(AU$1+1000*$A63,MASTER6!$A$2:$D$8001,4,FALSE())</f>
        <v>143</v>
      </c>
      <c r="AV63" s="0" t="n">
        <f aca="false">VLOOKUP(AV$1+1000*$A63,MASTER6!$A$2:$D$8001,4,FALSE())</f>
        <v>0</v>
      </c>
      <c r="AW63" s="0" t="n">
        <f aca="false">VLOOKUP(AW$1+1000*$A63,MASTER6!$A$2:$D$8001,4,FALSE())</f>
        <v>650</v>
      </c>
      <c r="AX63" s="0" t="n">
        <f aca="false">VLOOKUP(AX$1+1000*$A63,MASTER6!$A$2:$D$8001,4,FALSE())</f>
        <v>0</v>
      </c>
      <c r="AY63" s="0" t="n">
        <f aca="false">VLOOKUP(AY$1+1000*$A63,MASTER6!$A$2:$D$8001,4,FALSE())</f>
        <v>0</v>
      </c>
      <c r="AZ63" s="0" t="n">
        <f aca="false">VLOOKUP(AZ$1+1000*$A63,MASTER6!$A$2:$D$8001,4,FALSE())</f>
        <v>0</v>
      </c>
      <c r="BA63" s="0" t="n">
        <f aca="false">VLOOKUP(BA$1+1000*$A63,MASTER6!$A$2:$D$8001,4,FALSE())</f>
        <v>1560</v>
      </c>
      <c r="BB63" s="0" t="n">
        <f aca="false">VLOOKUP(BB$1+1000*$A63,MASTER6!$A$2:$D$8001,4,FALSE())</f>
        <v>143</v>
      </c>
      <c r="BC63" s="0" t="n">
        <f aca="false">VLOOKUP(BC$1+1000*$A63,MASTER6!$A$2:$D$8001,4,FALSE())</f>
        <v>65</v>
      </c>
      <c r="BD63" s="0" t="n">
        <f aca="false">VLOOKUP(BD$1+1000*$A63,MASTER6!$A$2:$D$8001,4,FALSE())</f>
        <v>0</v>
      </c>
      <c r="BE63" s="0" t="n">
        <f aca="false">VLOOKUP(BE$1+1000*$A63,MASTER6!$A$2:$D$8001,4,FALSE())</f>
        <v>104</v>
      </c>
      <c r="BF63" s="0" t="n">
        <f aca="false">VLOOKUP(BF$1+1000*$A63,MASTER6!$A$2:$D$8001,4,FALSE())</f>
        <v>195</v>
      </c>
      <c r="BG63" s="0" t="n">
        <f aca="false">VLOOKUP(BG$1+1000*$A63,MASTER6!$A$2:$D$8001,4,FALSE())</f>
        <v>117</v>
      </c>
      <c r="BH63" s="0" t="n">
        <f aca="false">VLOOKUP(BH$1+1000*$A63,MASTER6!$A$2:$D$8001,4,FALSE())</f>
        <v>260</v>
      </c>
      <c r="BI63" s="0" t="n">
        <f aca="false">VLOOKUP(BI$1+1000*$A63,MASTER6!$A$2:$D$8001,4,FALSE())</f>
        <v>338</v>
      </c>
      <c r="BJ63" s="0" t="n">
        <f aca="false">VLOOKUP(BJ$1+1000*$A63,MASTER6!$A$2:$D$8001,4,FALSE())</f>
        <v>806</v>
      </c>
      <c r="BK63" s="0" t="n">
        <f aca="false">VLOOKUP(BK$1+1000*$A63,MASTER6!$A$2:$D$8001,4,FALSE())</f>
        <v>19799</v>
      </c>
      <c r="BL63" s="0" t="n">
        <f aca="false">VLOOKUP(BL$1+1000*$A63,MASTER6!$A$2:$D$8001,4,FALSE())</f>
        <v>312</v>
      </c>
      <c r="BM63" s="0" t="n">
        <f aca="false">VLOOKUP(BM$1+1000*$A63,MASTER6!$A$2:$D$8001,4,FALSE())</f>
        <v>9711</v>
      </c>
      <c r="BN63" s="0" t="n">
        <f aca="false">VLOOKUP(BN$1+1000*$A63,MASTER6!$A$2:$D$8001,4,FALSE())</f>
        <v>38376</v>
      </c>
      <c r="BO63" s="0" t="n">
        <f aca="false">VLOOKUP(BO$1+1000*$A63,MASTER6!$A$2:$D$8001,4,FALSE())</f>
        <v>377</v>
      </c>
      <c r="BP63" s="0" t="n">
        <f aca="false">VLOOKUP(BP$1+1000*$A63,MASTER6!$A$2:$D$8001,4,FALSE())</f>
        <v>39</v>
      </c>
      <c r="BQ63" s="0" t="n">
        <f aca="false">VLOOKUP(BQ$1+1000*$A63,MASTER6!$A$2:$D$8001,4,FALSE())</f>
        <v>0</v>
      </c>
      <c r="BR63" s="0" t="n">
        <f aca="false">VLOOKUP(BR$1+1000*$A63,MASTER6!$A$2:$D$8001,4,FALSE())</f>
        <v>0</v>
      </c>
      <c r="BS63" s="0" t="n">
        <f aca="false">VLOOKUP(BS$1+1000*$A63,MASTER6!$A$2:$D$8001,4,FALSE())</f>
        <v>0</v>
      </c>
      <c r="BT63" s="0" t="n">
        <f aca="false">VLOOKUP(BT$1+1000*$A63,MASTER6!$A$2:$D$8001,4,FALSE())</f>
        <v>0</v>
      </c>
      <c r="BU63" s="0" t="n">
        <f aca="false">VLOOKUP(BU$1+1000*$A63,MASTER6!$A$2:$D$8001,4,FALSE())</f>
        <v>0</v>
      </c>
      <c r="BV63" s="0" t="n">
        <f aca="false">VLOOKUP(BV$1+1000*$A63,MASTER6!$A$2:$D$8001,4,FALSE())</f>
        <v>0</v>
      </c>
      <c r="BW63" s="0" t="e">
        <f aca="false">VLOOKUP(BW$1+1000*$A63,MASTER6!$A$2:$D$8001,4,FALSE())</f>
        <v>#N/A</v>
      </c>
      <c r="BX63" s="0" t="n">
        <f aca="false">VLOOKUP(BX$1+1000*$A63,MASTER6!$A$2:$D$8001,4,FALSE())</f>
        <v>0</v>
      </c>
      <c r="BY63" s="0" t="n">
        <f aca="false">VLOOKUP(BY$1+1000*$A63,MASTER6!$A$2:$D$8001,4,FALSE())</f>
        <v>0</v>
      </c>
      <c r="BZ63" s="0" t="n">
        <f aca="false">VLOOKUP(BZ$1+1000*$A63,MASTER6!$A$2:$D$8001,4,FALSE())</f>
        <v>0</v>
      </c>
      <c r="CA63" s="0" t="n">
        <f aca="false">VLOOKUP(CA$1+1000*$A63,MASTER6!$A$2:$D$8001,4,FALSE())</f>
        <v>0</v>
      </c>
      <c r="CB63" s="0" t="n">
        <f aca="false">VLOOKUP(CB$1+1000*$A63,MASTER6!$A$2:$D$8001,4,FALSE())</f>
        <v>0</v>
      </c>
      <c r="CC63" s="0" t="n">
        <f aca="false">VLOOKUP(CC$1+1000*$A63,MASTER6!$A$2:$D$8001,4,FALSE())</f>
        <v>0</v>
      </c>
      <c r="CD63" s="0" t="n">
        <f aca="false">VLOOKUP(CD$1+1000*$A63,MASTER6!$A$2:$D$8001,4,FALSE())</f>
        <v>0</v>
      </c>
      <c r="CE63" s="0" t="n">
        <f aca="false">VLOOKUP(CE$1+1000*$A63,MASTER6!$A$2:$D$8001,4,FALSE())</f>
        <v>0</v>
      </c>
      <c r="CF63" s="0" t="n">
        <f aca="false">VLOOKUP(CF$1+1000*$A63,MASTER6!$A$2:$D$8001,4,FALSE())</f>
        <v>0</v>
      </c>
      <c r="CG63" s="0" t="n">
        <f aca="false">VLOOKUP(CG$1+1000*$A63,MASTER6!$A$2:$D$8001,4,FALSE())</f>
        <v>0</v>
      </c>
      <c r="CH63" s="0" t="n">
        <f aca="false">VLOOKUP(CH$1+1000*$A63,MASTER6!$A$2:$D$8001,4,FALSE())</f>
        <v>56004</v>
      </c>
      <c r="CI63" s="0" t="n">
        <f aca="false">VLOOKUP(CI$1+1000*$A63,MASTER6!$A$2:$D$8001,4,FALSE())</f>
        <v>104</v>
      </c>
      <c r="CJ63" s="0" t="e">
        <f aca="false">VLOOKUP(CJ$1+1000*$A63,MASTER6!$A$2:$D$8001,4,FALSE())</f>
        <v>#N/A</v>
      </c>
    </row>
    <row r="64" customFormat="false" ht="12.75" hidden="false" customHeight="false" outlineLevel="0" collapsed="false">
      <c r="A64" s="0" t="n">
        <v>63</v>
      </c>
      <c r="B64" s="0" t="n">
        <f aca="false">VLOOKUP(B$1+1000*$A64,MASTER6!$A$2:$D$8001,4,FALSE())</f>
        <v>0</v>
      </c>
      <c r="C64" s="0" t="n">
        <f aca="false">VLOOKUP(C$1+1000*$A64,MASTER6!$A$2:$D$8001,4,FALSE())</f>
        <v>0</v>
      </c>
      <c r="D64" s="0" t="n">
        <f aca="false">VLOOKUP(D$1+1000*$A64,MASTER6!$A$2:$D$8001,4,FALSE())</f>
        <v>0</v>
      </c>
      <c r="E64" s="0" t="n">
        <f aca="false">VLOOKUP(E$1+1000*$A64,MASTER6!$A$2:$D$8001,4,FALSE())</f>
        <v>0</v>
      </c>
      <c r="F64" s="0" t="n">
        <f aca="false">VLOOKUP(F$1+1000*$A64,MASTER6!$A$2:$D$8001,4,FALSE())</f>
        <v>0</v>
      </c>
      <c r="G64" s="0" t="n">
        <f aca="false">VLOOKUP(G$1+1000*$A64,MASTER6!$A$2:$D$8001,4,FALSE())</f>
        <v>0</v>
      </c>
      <c r="H64" s="0" t="n">
        <f aca="false">VLOOKUP(H$1+1000*$A64,MASTER6!$A$2:$D$8001,4,FALSE())</f>
        <v>0</v>
      </c>
      <c r="I64" s="0" t="n">
        <f aca="false">VLOOKUP(I$1+1000*$A64,MASTER6!$A$2:$D$8001,4,FALSE())</f>
        <v>0</v>
      </c>
      <c r="J64" s="0" t="n">
        <f aca="false">VLOOKUP(J$1+1000*$A64,MASTER6!$A$2:$D$8001,4,FALSE())</f>
        <v>0</v>
      </c>
      <c r="K64" s="0" t="n">
        <f aca="false">VLOOKUP(K$1+1000*$A64,MASTER6!$A$2:$D$8001,4,FALSE())</f>
        <v>0</v>
      </c>
      <c r="L64" s="0" t="n">
        <f aca="false">VLOOKUP(L$1+1000*$A64,MASTER6!$A$2:$D$8001,4,FALSE())</f>
        <v>0</v>
      </c>
      <c r="M64" s="0" t="n">
        <f aca="false">VLOOKUP(M$1+1000*$A64,MASTER6!$A$2:$D$8001,4,FALSE())</f>
        <v>0</v>
      </c>
      <c r="N64" s="0" t="n">
        <f aca="false">VLOOKUP(N$1+1000*$A64,MASTER6!$A$2:$D$8001,4,FALSE())</f>
        <v>0</v>
      </c>
      <c r="O64" s="0" t="n">
        <f aca="false">VLOOKUP(O$1+1000*$A64,MASTER6!$A$2:$D$8001,4,FALSE())</f>
        <v>0</v>
      </c>
      <c r="P64" s="0" t="n">
        <f aca="false">VLOOKUP(P$1+1000*$A64,MASTER6!$A$2:$D$8001,4,FALSE())</f>
        <v>0</v>
      </c>
      <c r="Q64" s="0" t="n">
        <f aca="false">VLOOKUP(Q$1+1000*$A64,MASTER6!$A$2:$D$8001,4,FALSE())</f>
        <v>0</v>
      </c>
      <c r="R64" s="0" t="n">
        <f aca="false">VLOOKUP(R$1+1000*$A64,MASTER6!$A$2:$D$8001,4,FALSE())</f>
        <v>0</v>
      </c>
      <c r="S64" s="0" t="n">
        <f aca="false">VLOOKUP(S$1+1000*$A64,MASTER6!$A$2:$D$8001,4,FALSE())</f>
        <v>0</v>
      </c>
      <c r="T64" s="0" t="n">
        <f aca="false">VLOOKUP(T$1+1000*$A64,MASTER6!$A$2:$D$8001,4,FALSE())</f>
        <v>0</v>
      </c>
      <c r="U64" s="0" t="n">
        <f aca="false">VLOOKUP(U$1+1000*$A64,MASTER6!$A$2:$D$8001,4,FALSE())</f>
        <v>0</v>
      </c>
      <c r="V64" s="0" t="n">
        <f aca="false">VLOOKUP(V$1+1000*$A64,MASTER6!$A$2:$D$8001,4,FALSE())</f>
        <v>0</v>
      </c>
      <c r="W64" s="0" t="n">
        <f aca="false">VLOOKUP(W$1+1000*$A64,MASTER6!$A$2:$D$8001,4,FALSE())</f>
        <v>0</v>
      </c>
      <c r="X64" s="0" t="n">
        <f aca="false">VLOOKUP(X$1+1000*$A64,MASTER6!$A$2:$D$8001,4,FALSE())</f>
        <v>0</v>
      </c>
      <c r="Y64" s="0" t="n">
        <f aca="false">VLOOKUP(Y$1+1000*$A64,MASTER6!$A$2:$D$8001,4,FALSE())</f>
        <v>0</v>
      </c>
      <c r="Z64" s="0" t="n">
        <f aca="false">VLOOKUP(Z$1+1000*$A64,MASTER6!$A$2:$D$8001,4,FALSE())</f>
        <v>0</v>
      </c>
      <c r="AA64" s="0" t="n">
        <f aca="false">VLOOKUP(AA$1+1000*$A64,MASTER6!$A$2:$D$8001,4,FALSE())</f>
        <v>0</v>
      </c>
      <c r="AB64" s="0" t="n">
        <f aca="false">VLOOKUP(AB$1+1000*$A64,MASTER6!$A$2:$D$8001,4,FALSE())</f>
        <v>0</v>
      </c>
      <c r="AC64" s="0" t="n">
        <f aca="false">VLOOKUP(AC$1+1000*$A64,MASTER6!$A$2:$D$8001,4,FALSE())</f>
        <v>0</v>
      </c>
      <c r="AD64" s="0" t="n">
        <f aca="false">VLOOKUP(AD$1+1000*$A64,MASTER6!$A$2:$D$8001,4,FALSE())</f>
        <v>0</v>
      </c>
      <c r="AE64" s="0" t="n">
        <f aca="false">VLOOKUP(AE$1+1000*$A64,MASTER6!$A$2:$D$8001,4,FALSE())</f>
        <v>0</v>
      </c>
      <c r="AF64" s="0" t="n">
        <f aca="false">VLOOKUP(AF$1+1000*$A64,MASTER6!$A$2:$D$8001,4,FALSE())</f>
        <v>0</v>
      </c>
      <c r="AG64" s="0" t="n">
        <f aca="false">VLOOKUP(AG$1+1000*$A64,MASTER6!$A$2:$D$8001,4,FALSE())</f>
        <v>0</v>
      </c>
      <c r="AH64" s="0" t="n">
        <f aca="false">VLOOKUP(AH$1+1000*$A64,MASTER6!$A$2:$D$8001,4,FALSE())</f>
        <v>39</v>
      </c>
      <c r="AI64" s="0" t="n">
        <f aca="false">VLOOKUP(AI$1+1000*$A64,MASTER6!$A$2:$D$8001,4,FALSE())</f>
        <v>0</v>
      </c>
      <c r="AJ64" s="0" t="n">
        <f aca="false">VLOOKUP(AJ$1+1000*$A64,MASTER6!$A$2:$D$8001,4,FALSE())</f>
        <v>0</v>
      </c>
      <c r="AK64" s="0" t="n">
        <f aca="false">VLOOKUP(AK$1+1000*$A64,MASTER6!$A$2:$D$8001,4,FALSE())</f>
        <v>0</v>
      </c>
      <c r="AL64" s="0" t="n">
        <f aca="false">VLOOKUP(AL$1+1000*$A64,MASTER6!$A$2:$D$8001,4,FALSE())</f>
        <v>143</v>
      </c>
      <c r="AM64" s="0" t="n">
        <f aca="false">VLOOKUP(AM$1+1000*$A64,MASTER6!$A$2:$D$8001,4,FALSE())</f>
        <v>0</v>
      </c>
      <c r="AN64" s="0" t="n">
        <f aca="false">VLOOKUP(AN$1+1000*$A64,MASTER6!$A$2:$D$8001,4,FALSE())</f>
        <v>0</v>
      </c>
      <c r="AO64" s="0" t="n">
        <f aca="false">VLOOKUP(AO$1+1000*$A64,MASTER6!$A$2:$D$8001,4,FALSE())</f>
        <v>0</v>
      </c>
      <c r="AP64" s="0" t="n">
        <f aca="false">VLOOKUP(AP$1+1000*$A64,MASTER6!$A$2:$D$8001,4,FALSE())</f>
        <v>0</v>
      </c>
      <c r="AQ64" s="0" t="n">
        <f aca="false">VLOOKUP(AQ$1+1000*$A64,MASTER6!$A$2:$D$8001,4,FALSE())</f>
        <v>0</v>
      </c>
      <c r="AR64" s="0" t="n">
        <f aca="false">VLOOKUP(AR$1+1000*$A64,MASTER6!$A$2:$D$8001,4,FALSE())</f>
        <v>0</v>
      </c>
      <c r="AS64" s="0" t="n">
        <f aca="false">VLOOKUP(AS$1+1000*$A64,MASTER6!$A$2:$D$8001,4,FALSE())</f>
        <v>0</v>
      </c>
      <c r="AT64" s="0" t="n">
        <f aca="false">VLOOKUP(AT$1+1000*$A64,MASTER6!$A$2:$D$8001,4,FALSE())</f>
        <v>0</v>
      </c>
      <c r="AU64" s="0" t="n">
        <f aca="false">VLOOKUP(AU$1+1000*$A64,MASTER6!$A$2:$D$8001,4,FALSE())</f>
        <v>0</v>
      </c>
      <c r="AV64" s="0" t="n">
        <f aca="false">VLOOKUP(AV$1+1000*$A64,MASTER6!$A$2:$D$8001,4,FALSE())</f>
        <v>156</v>
      </c>
      <c r="AW64" s="0" t="n">
        <f aca="false">VLOOKUP(AW$1+1000*$A64,MASTER6!$A$2:$D$8001,4,FALSE())</f>
        <v>247</v>
      </c>
      <c r="AX64" s="0" t="n">
        <f aca="false">VLOOKUP(AX$1+1000*$A64,MASTER6!$A$2:$D$8001,4,FALSE())</f>
        <v>0</v>
      </c>
      <c r="AY64" s="0" t="n">
        <f aca="false">VLOOKUP(AY$1+1000*$A64,MASTER6!$A$2:$D$8001,4,FALSE())</f>
        <v>0</v>
      </c>
      <c r="AZ64" s="0" t="n">
        <f aca="false">VLOOKUP(AZ$1+1000*$A64,MASTER6!$A$2:$D$8001,4,FALSE())</f>
        <v>0</v>
      </c>
      <c r="BA64" s="0" t="n">
        <f aca="false">VLOOKUP(BA$1+1000*$A64,MASTER6!$A$2:$D$8001,4,FALSE())</f>
        <v>936</v>
      </c>
      <c r="BB64" s="0" t="n">
        <f aca="false">VLOOKUP(BB$1+1000*$A64,MASTER6!$A$2:$D$8001,4,FALSE())</f>
        <v>2652</v>
      </c>
      <c r="BC64" s="0" t="n">
        <f aca="false">VLOOKUP(BC$1+1000*$A64,MASTER6!$A$2:$D$8001,4,FALSE())</f>
        <v>624</v>
      </c>
      <c r="BD64" s="0" t="n">
        <f aca="false">VLOOKUP(BD$1+1000*$A64,MASTER6!$A$2:$D$8001,4,FALSE())</f>
        <v>221</v>
      </c>
      <c r="BE64" s="0" t="n">
        <f aca="false">VLOOKUP(BE$1+1000*$A64,MASTER6!$A$2:$D$8001,4,FALSE())</f>
        <v>104</v>
      </c>
      <c r="BF64" s="0" t="n">
        <f aca="false">VLOOKUP(BF$1+1000*$A64,MASTER6!$A$2:$D$8001,4,FALSE())</f>
        <v>0</v>
      </c>
      <c r="BG64" s="0" t="n">
        <f aca="false">VLOOKUP(BG$1+1000*$A64,MASTER6!$A$2:$D$8001,4,FALSE())</f>
        <v>572</v>
      </c>
      <c r="BH64" s="0" t="n">
        <f aca="false">VLOOKUP(BH$1+1000*$A64,MASTER6!$A$2:$D$8001,4,FALSE())</f>
        <v>195</v>
      </c>
      <c r="BI64" s="0" t="n">
        <f aca="false">VLOOKUP(BI$1+1000*$A64,MASTER6!$A$2:$D$8001,4,FALSE())</f>
        <v>65</v>
      </c>
      <c r="BJ64" s="0" t="n">
        <f aca="false">VLOOKUP(BJ$1+1000*$A64,MASTER6!$A$2:$D$8001,4,FALSE())</f>
        <v>0</v>
      </c>
      <c r="BK64" s="0" t="n">
        <f aca="false">VLOOKUP(BK$1+1000*$A64,MASTER6!$A$2:$D$8001,4,FALSE())</f>
        <v>286</v>
      </c>
      <c r="BL64" s="0" t="n">
        <f aca="false">VLOOKUP(BL$1+1000*$A64,MASTER6!$A$2:$D$8001,4,FALSE())</f>
        <v>23192</v>
      </c>
      <c r="BM64" s="0" t="n">
        <f aca="false">VLOOKUP(BM$1+1000*$A64,MASTER6!$A$2:$D$8001,4,FALSE())</f>
        <v>13468</v>
      </c>
      <c r="BN64" s="0" t="n">
        <f aca="false">VLOOKUP(BN$1+1000*$A64,MASTER6!$A$2:$D$8001,4,FALSE())</f>
        <v>17498</v>
      </c>
      <c r="BO64" s="0" t="n">
        <f aca="false">VLOOKUP(BO$1+1000*$A64,MASTER6!$A$2:$D$8001,4,FALSE())</f>
        <v>182</v>
      </c>
      <c r="BP64" s="0" t="n">
        <f aca="false">VLOOKUP(BP$1+1000*$A64,MASTER6!$A$2:$D$8001,4,FALSE())</f>
        <v>0</v>
      </c>
      <c r="BQ64" s="0" t="n">
        <f aca="false">VLOOKUP(BQ$1+1000*$A64,MASTER6!$A$2:$D$8001,4,FALSE())</f>
        <v>0</v>
      </c>
      <c r="BR64" s="0" t="n">
        <f aca="false">VLOOKUP(BR$1+1000*$A64,MASTER6!$A$2:$D$8001,4,FALSE())</f>
        <v>0</v>
      </c>
      <c r="BS64" s="0" t="n">
        <f aca="false">VLOOKUP(BS$1+1000*$A64,MASTER6!$A$2:$D$8001,4,FALSE())</f>
        <v>0</v>
      </c>
      <c r="BT64" s="0" t="n">
        <f aca="false">VLOOKUP(BT$1+1000*$A64,MASTER6!$A$2:$D$8001,4,FALSE())</f>
        <v>0</v>
      </c>
      <c r="BU64" s="0" t="n">
        <f aca="false">VLOOKUP(BU$1+1000*$A64,MASTER6!$A$2:$D$8001,4,FALSE())</f>
        <v>299</v>
      </c>
      <c r="BV64" s="0" t="n">
        <f aca="false">VLOOKUP(BV$1+1000*$A64,MASTER6!$A$2:$D$8001,4,FALSE())</f>
        <v>0</v>
      </c>
      <c r="BW64" s="0" t="e">
        <f aca="false">VLOOKUP(BW$1+1000*$A64,MASTER6!$A$2:$D$8001,4,FALSE())</f>
        <v>#N/A</v>
      </c>
      <c r="BX64" s="0" t="n">
        <f aca="false">VLOOKUP(BX$1+1000*$A64,MASTER6!$A$2:$D$8001,4,FALSE())</f>
        <v>0</v>
      </c>
      <c r="BY64" s="0" t="n">
        <f aca="false">VLOOKUP(BY$1+1000*$A64,MASTER6!$A$2:$D$8001,4,FALSE())</f>
        <v>0</v>
      </c>
      <c r="BZ64" s="0" t="n">
        <f aca="false">VLOOKUP(BZ$1+1000*$A64,MASTER6!$A$2:$D$8001,4,FALSE())</f>
        <v>0</v>
      </c>
      <c r="CA64" s="0" t="n">
        <f aca="false">VLOOKUP(CA$1+1000*$A64,MASTER6!$A$2:$D$8001,4,FALSE())</f>
        <v>0</v>
      </c>
      <c r="CB64" s="0" t="n">
        <f aca="false">VLOOKUP(CB$1+1000*$A64,MASTER6!$A$2:$D$8001,4,FALSE())</f>
        <v>0</v>
      </c>
      <c r="CC64" s="0" t="n">
        <f aca="false">VLOOKUP(CC$1+1000*$A64,MASTER6!$A$2:$D$8001,4,FALSE())</f>
        <v>0</v>
      </c>
      <c r="CD64" s="0" t="n">
        <f aca="false">VLOOKUP(CD$1+1000*$A64,MASTER6!$A$2:$D$8001,4,FALSE())</f>
        <v>0</v>
      </c>
      <c r="CE64" s="0" t="n">
        <f aca="false">VLOOKUP(CE$1+1000*$A64,MASTER6!$A$2:$D$8001,4,FALSE())</f>
        <v>0</v>
      </c>
      <c r="CF64" s="0" t="n">
        <f aca="false">VLOOKUP(CF$1+1000*$A64,MASTER6!$A$2:$D$8001,4,FALSE())</f>
        <v>104</v>
      </c>
      <c r="CG64" s="0" t="n">
        <f aca="false">VLOOKUP(CG$1+1000*$A64,MASTER6!$A$2:$D$8001,4,FALSE())</f>
        <v>52</v>
      </c>
      <c r="CH64" s="0" t="n">
        <f aca="false">VLOOKUP(CH$1+1000*$A64,MASTER6!$A$2:$D$8001,4,FALSE())</f>
        <v>67782</v>
      </c>
      <c r="CI64" s="0" t="n">
        <f aca="false">VLOOKUP(CI$1+1000*$A64,MASTER6!$A$2:$D$8001,4,FALSE())</f>
        <v>78</v>
      </c>
      <c r="CJ64" s="0" t="e">
        <f aca="false">VLOOKUP(CJ$1+1000*$A64,MASTER6!$A$2:$D$8001,4,FALSE())</f>
        <v>#N/A</v>
      </c>
    </row>
    <row r="65" customFormat="false" ht="12.75" hidden="false" customHeight="false" outlineLevel="0" collapsed="false">
      <c r="A65" s="0" t="n">
        <v>64</v>
      </c>
      <c r="B65" s="0" t="n">
        <f aca="false">VLOOKUP(B$1+1000*$A65,MASTER6!$A$2:$D$8001,4,FALSE())</f>
        <v>1040</v>
      </c>
      <c r="C65" s="0" t="n">
        <f aca="false">VLOOKUP(C$1+1000*$A65,MASTER6!$A$2:$D$8001,4,FALSE())</f>
        <v>884</v>
      </c>
      <c r="D65" s="0" t="n">
        <f aca="false">VLOOKUP(D$1+1000*$A65,MASTER6!$A$2:$D$8001,4,FALSE())</f>
        <v>728</v>
      </c>
      <c r="E65" s="0" t="n">
        <f aca="false">VLOOKUP(E$1+1000*$A65,MASTER6!$A$2:$D$8001,4,FALSE())</f>
        <v>208</v>
      </c>
      <c r="F65" s="0" t="n">
        <f aca="false">VLOOKUP(F$1+1000*$A65,MASTER6!$A$2:$D$8001,4,FALSE())</f>
        <v>156</v>
      </c>
      <c r="G65" s="0" t="n">
        <f aca="false">VLOOKUP(G$1+1000*$A65,MASTER6!$A$2:$D$8001,4,FALSE())</f>
        <v>143</v>
      </c>
      <c r="H65" s="0" t="n">
        <f aca="false">VLOOKUP(H$1+1000*$A65,MASTER6!$A$2:$D$8001,4,FALSE())</f>
        <v>208</v>
      </c>
      <c r="I65" s="0" t="n">
        <f aca="false">VLOOKUP(I$1+1000*$A65,MASTER6!$A$2:$D$8001,4,FALSE())</f>
        <v>0</v>
      </c>
      <c r="J65" s="0" t="n">
        <f aca="false">VLOOKUP(J$1+1000*$A65,MASTER6!$A$2:$D$8001,4,FALSE())</f>
        <v>0</v>
      </c>
      <c r="K65" s="0" t="n">
        <f aca="false">VLOOKUP(K$1+1000*$A65,MASTER6!$A$2:$D$8001,4,FALSE())</f>
        <v>156</v>
      </c>
      <c r="L65" s="0" t="n">
        <f aca="false">VLOOKUP(L$1+1000*$A65,MASTER6!$A$2:$D$8001,4,FALSE())</f>
        <v>286</v>
      </c>
      <c r="M65" s="0" t="n">
        <f aca="false">VLOOKUP(M$1+1000*$A65,MASTER6!$A$2:$D$8001,4,FALSE())</f>
        <v>91</v>
      </c>
      <c r="N65" s="0" t="n">
        <f aca="false">VLOOKUP(N$1+1000*$A65,MASTER6!$A$2:$D$8001,4,FALSE())</f>
        <v>0</v>
      </c>
      <c r="O65" s="0" t="n">
        <f aca="false">VLOOKUP(O$1+1000*$A65,MASTER6!$A$2:$D$8001,4,FALSE())</f>
        <v>0</v>
      </c>
      <c r="P65" s="0" t="n">
        <f aca="false">VLOOKUP(P$1+1000*$A65,MASTER6!$A$2:$D$8001,4,FALSE())</f>
        <v>65</v>
      </c>
      <c r="Q65" s="0" t="n">
        <f aca="false">VLOOKUP(Q$1+1000*$A65,MASTER6!$A$2:$D$8001,4,FALSE())</f>
        <v>143</v>
      </c>
      <c r="R65" s="0" t="n">
        <f aca="false">VLOOKUP(R$1+1000*$A65,MASTER6!$A$2:$D$8001,4,FALSE())</f>
        <v>130</v>
      </c>
      <c r="S65" s="0" t="n">
        <f aca="false">VLOOKUP(S$1+1000*$A65,MASTER6!$A$2:$D$8001,4,FALSE())</f>
        <v>351</v>
      </c>
      <c r="T65" s="0" t="n">
        <f aca="false">VLOOKUP(T$1+1000*$A65,MASTER6!$A$2:$D$8001,4,FALSE())</f>
        <v>442</v>
      </c>
      <c r="U65" s="0" t="n">
        <f aca="false">VLOOKUP(U$1+1000*$A65,MASTER6!$A$2:$D$8001,4,FALSE())</f>
        <v>0</v>
      </c>
      <c r="V65" s="0" t="n">
        <f aca="false">VLOOKUP(V$1+1000*$A65,MASTER6!$A$2:$D$8001,4,FALSE())</f>
        <v>585</v>
      </c>
      <c r="W65" s="0" t="n">
        <f aca="false">VLOOKUP(W$1+1000*$A65,MASTER6!$A$2:$D$8001,4,FALSE())</f>
        <v>286</v>
      </c>
      <c r="X65" s="0" t="n">
        <f aca="false">VLOOKUP(X$1+1000*$A65,MASTER6!$A$2:$D$8001,4,FALSE())</f>
        <v>156</v>
      </c>
      <c r="Y65" s="0" t="n">
        <f aca="false">VLOOKUP(Y$1+1000*$A65,MASTER6!$A$2:$D$8001,4,FALSE())</f>
        <v>0</v>
      </c>
      <c r="Z65" s="0" t="n">
        <f aca="false">VLOOKUP(Z$1+1000*$A65,MASTER6!$A$2:$D$8001,4,FALSE())</f>
        <v>78</v>
      </c>
      <c r="AA65" s="0" t="n">
        <f aca="false">VLOOKUP(AA$1+1000*$A65,MASTER6!$A$2:$D$8001,4,FALSE())</f>
        <v>182</v>
      </c>
      <c r="AB65" s="0" t="n">
        <f aca="false">VLOOKUP(AB$1+1000*$A65,MASTER6!$A$2:$D$8001,4,FALSE())</f>
        <v>91</v>
      </c>
      <c r="AC65" s="0" t="n">
        <f aca="false">VLOOKUP(AC$1+1000*$A65,MASTER6!$A$2:$D$8001,4,FALSE())</f>
        <v>65</v>
      </c>
      <c r="AD65" s="0" t="n">
        <f aca="false">VLOOKUP(AD$1+1000*$A65,MASTER6!$A$2:$D$8001,4,FALSE())</f>
        <v>299</v>
      </c>
      <c r="AE65" s="0" t="n">
        <f aca="false">VLOOKUP(AE$1+1000*$A65,MASTER6!$A$2:$D$8001,4,FALSE())</f>
        <v>0</v>
      </c>
      <c r="AF65" s="0" t="n">
        <f aca="false">VLOOKUP(AF$1+1000*$A65,MASTER6!$A$2:$D$8001,4,FALSE())</f>
        <v>624</v>
      </c>
      <c r="AG65" s="0" t="n">
        <f aca="false">VLOOKUP(AG$1+1000*$A65,MASTER6!$A$2:$D$8001,4,FALSE())</f>
        <v>299</v>
      </c>
      <c r="AH65" s="0" t="n">
        <f aca="false">VLOOKUP(AH$1+1000*$A65,MASTER6!$A$2:$D$8001,4,FALSE())</f>
        <v>689</v>
      </c>
      <c r="AI65" s="0" t="n">
        <f aca="false">VLOOKUP(AI$1+1000*$A65,MASTER6!$A$2:$D$8001,4,FALSE())</f>
        <v>0</v>
      </c>
      <c r="AJ65" s="0" t="n">
        <f aca="false">VLOOKUP(AJ$1+1000*$A65,MASTER6!$A$2:$D$8001,4,FALSE())</f>
        <v>52</v>
      </c>
      <c r="AK65" s="0" t="n">
        <f aca="false">VLOOKUP(AK$1+1000*$A65,MASTER6!$A$2:$D$8001,4,FALSE())</f>
        <v>0</v>
      </c>
      <c r="AL65" s="0" t="n">
        <f aca="false">VLOOKUP(AL$1+1000*$A65,MASTER6!$A$2:$D$8001,4,FALSE())</f>
        <v>273</v>
      </c>
      <c r="AM65" s="0" t="n">
        <f aca="false">VLOOKUP(AM$1+1000*$A65,MASTER6!$A$2:$D$8001,4,FALSE())</f>
        <v>0</v>
      </c>
      <c r="AN65" s="0" t="n">
        <f aca="false">VLOOKUP(AN$1+1000*$A65,MASTER6!$A$2:$D$8001,4,FALSE())</f>
        <v>117</v>
      </c>
      <c r="AO65" s="0" t="n">
        <f aca="false">VLOOKUP(AO$1+1000*$A65,MASTER6!$A$2:$D$8001,4,FALSE())</f>
        <v>221</v>
      </c>
      <c r="AP65" s="0" t="n">
        <f aca="false">VLOOKUP(AP$1+1000*$A65,MASTER6!$A$2:$D$8001,4,FALSE())</f>
        <v>65</v>
      </c>
      <c r="AQ65" s="0" t="n">
        <f aca="false">VLOOKUP(AQ$1+1000*$A65,MASTER6!$A$2:$D$8001,4,FALSE())</f>
        <v>4524</v>
      </c>
      <c r="AR65" s="0" t="n">
        <f aca="false">VLOOKUP(AR$1+1000*$A65,MASTER6!$A$2:$D$8001,4,FALSE())</f>
        <v>1118</v>
      </c>
      <c r="AS65" s="0" t="n">
        <f aca="false">VLOOKUP(AS$1+1000*$A65,MASTER6!$A$2:$D$8001,4,FALSE())</f>
        <v>429</v>
      </c>
      <c r="AT65" s="0" t="n">
        <f aca="false">VLOOKUP(AT$1+1000*$A65,MASTER6!$A$2:$D$8001,4,FALSE())</f>
        <v>91</v>
      </c>
      <c r="AU65" s="0" t="n">
        <f aca="false">VLOOKUP(AU$1+1000*$A65,MASTER6!$A$2:$D$8001,4,FALSE())</f>
        <v>1937</v>
      </c>
      <c r="AV65" s="0" t="n">
        <f aca="false">VLOOKUP(AV$1+1000*$A65,MASTER6!$A$2:$D$8001,4,FALSE())</f>
        <v>4095</v>
      </c>
      <c r="AW65" s="0" t="n">
        <f aca="false">VLOOKUP(AW$1+1000*$A65,MASTER6!$A$2:$D$8001,4,FALSE())</f>
        <v>50973</v>
      </c>
      <c r="AX65" s="0" t="n">
        <f aca="false">VLOOKUP(AX$1+1000*$A65,MASTER6!$A$2:$D$8001,4,FALSE())</f>
        <v>65</v>
      </c>
      <c r="AY65" s="0" t="n">
        <f aca="false">VLOOKUP(AY$1+1000*$A65,MASTER6!$A$2:$D$8001,4,FALSE())</f>
        <v>65</v>
      </c>
      <c r="AZ65" s="0" t="n">
        <f aca="false">VLOOKUP(AZ$1+1000*$A65,MASTER6!$A$2:$D$8001,4,FALSE())</f>
        <v>169</v>
      </c>
      <c r="BA65" s="0" t="n">
        <f aca="false">VLOOKUP(BA$1+1000*$A65,MASTER6!$A$2:$D$8001,4,FALSE())</f>
        <v>17498</v>
      </c>
      <c r="BB65" s="0" t="n">
        <f aca="false">VLOOKUP(BB$1+1000*$A65,MASTER6!$A$2:$D$8001,4,FALSE())</f>
        <v>15054</v>
      </c>
      <c r="BC65" s="0" t="n">
        <f aca="false">VLOOKUP(BC$1+1000*$A65,MASTER6!$A$2:$D$8001,4,FALSE())</f>
        <v>19383</v>
      </c>
      <c r="BD65" s="0" t="n">
        <f aca="false">VLOOKUP(BD$1+1000*$A65,MASTER6!$A$2:$D$8001,4,FALSE())</f>
        <v>6604</v>
      </c>
      <c r="BE65" s="0" t="n">
        <f aca="false">VLOOKUP(BE$1+1000*$A65,MASTER6!$A$2:$D$8001,4,FALSE())</f>
        <v>6721</v>
      </c>
      <c r="BF65" s="0" t="n">
        <f aca="false">VLOOKUP(BF$1+1000*$A65,MASTER6!$A$2:$D$8001,4,FALSE())</f>
        <v>13234</v>
      </c>
      <c r="BG65" s="0" t="n">
        <f aca="false">VLOOKUP(BG$1+1000*$A65,MASTER6!$A$2:$D$8001,4,FALSE())</f>
        <v>14352</v>
      </c>
      <c r="BH65" s="0" t="n">
        <f aca="false">VLOOKUP(BH$1+1000*$A65,MASTER6!$A$2:$D$8001,4,FALSE())</f>
        <v>13780</v>
      </c>
      <c r="BI65" s="0" t="n">
        <f aca="false">VLOOKUP(BI$1+1000*$A65,MASTER6!$A$2:$D$8001,4,FALSE())</f>
        <v>18629</v>
      </c>
      <c r="BJ65" s="0" t="n">
        <f aca="false">VLOOKUP(BJ$1+1000*$A65,MASTER6!$A$2:$D$8001,4,FALSE())</f>
        <v>11219</v>
      </c>
      <c r="BK65" s="0" t="n">
        <f aca="false">VLOOKUP(BK$1+1000*$A65,MASTER6!$A$2:$D$8001,4,FALSE())</f>
        <v>17758</v>
      </c>
      <c r="BL65" s="0" t="n">
        <f aca="false">VLOOKUP(BL$1+1000*$A65,MASTER6!$A$2:$D$8001,4,FALSE())</f>
        <v>38259</v>
      </c>
      <c r="BM65" s="0" t="n">
        <f aca="false">VLOOKUP(BM$1+1000*$A65,MASTER6!$A$2:$D$8001,4,FALSE())</f>
        <v>885469</v>
      </c>
      <c r="BN65" s="0" t="n">
        <f aca="false">VLOOKUP(BN$1+1000*$A65,MASTER6!$A$2:$D$8001,4,FALSE())</f>
        <v>337857</v>
      </c>
      <c r="BO65" s="0" t="n">
        <f aca="false">VLOOKUP(BO$1+1000*$A65,MASTER6!$A$2:$D$8001,4,FALSE())</f>
        <v>49153</v>
      </c>
      <c r="BP65" s="0" t="n">
        <f aca="false">VLOOKUP(BP$1+1000*$A65,MASTER6!$A$2:$D$8001,4,FALSE())</f>
        <v>5174</v>
      </c>
      <c r="BQ65" s="0" t="n">
        <f aca="false">VLOOKUP(BQ$1+1000*$A65,MASTER6!$A$2:$D$8001,4,FALSE())</f>
        <v>221</v>
      </c>
      <c r="BR65" s="0" t="n">
        <f aca="false">VLOOKUP(BR$1+1000*$A65,MASTER6!$A$2:$D$8001,4,FALSE())</f>
        <v>1807</v>
      </c>
      <c r="BS65" s="0" t="n">
        <f aca="false">VLOOKUP(BS$1+1000*$A65,MASTER6!$A$2:$D$8001,4,FALSE())</f>
        <v>1053</v>
      </c>
      <c r="BT65" s="0" t="n">
        <f aca="false">VLOOKUP(BT$1+1000*$A65,MASTER6!$A$2:$D$8001,4,FALSE())</f>
        <v>4095</v>
      </c>
      <c r="BU65" s="0" t="n">
        <f aca="false">VLOOKUP(BU$1+1000*$A65,MASTER6!$A$2:$D$8001,4,FALSE())</f>
        <v>9750</v>
      </c>
      <c r="BV65" s="0" t="n">
        <f aca="false">VLOOKUP(BV$1+1000*$A65,MASTER6!$A$2:$D$8001,4,FALSE())</f>
        <v>65</v>
      </c>
      <c r="BW65" s="0" t="e">
        <f aca="false">VLOOKUP(BW$1+1000*$A65,MASTER6!$A$2:$D$8001,4,FALSE())</f>
        <v>#N/A</v>
      </c>
      <c r="BX65" s="0" t="n">
        <f aca="false">VLOOKUP(BX$1+1000*$A65,MASTER6!$A$2:$D$8001,4,FALSE())</f>
        <v>0</v>
      </c>
      <c r="BY65" s="0" t="n">
        <f aca="false">VLOOKUP(BY$1+1000*$A65,MASTER6!$A$2:$D$8001,4,FALSE())</f>
        <v>0</v>
      </c>
      <c r="BZ65" s="0" t="n">
        <f aca="false">VLOOKUP(BZ$1+1000*$A65,MASTER6!$A$2:$D$8001,4,FALSE())</f>
        <v>117</v>
      </c>
      <c r="CA65" s="0" t="n">
        <f aca="false">VLOOKUP(CA$1+1000*$A65,MASTER6!$A$2:$D$8001,4,FALSE())</f>
        <v>650</v>
      </c>
      <c r="CB65" s="0" t="n">
        <f aca="false">VLOOKUP(CB$1+1000*$A65,MASTER6!$A$2:$D$8001,4,FALSE())</f>
        <v>8060</v>
      </c>
      <c r="CC65" s="0" t="n">
        <f aca="false">VLOOKUP(CC$1+1000*$A65,MASTER6!$A$2:$D$8001,4,FALSE())</f>
        <v>182</v>
      </c>
      <c r="CD65" s="0" t="n">
        <f aca="false">VLOOKUP(CD$1+1000*$A65,MASTER6!$A$2:$D$8001,4,FALSE())</f>
        <v>1365</v>
      </c>
      <c r="CE65" s="0" t="n">
        <f aca="false">VLOOKUP(CE$1+1000*$A65,MASTER6!$A$2:$D$8001,4,FALSE())</f>
        <v>884</v>
      </c>
      <c r="CF65" s="0" t="n">
        <f aca="false">VLOOKUP(CF$1+1000*$A65,MASTER6!$A$2:$D$8001,4,FALSE())</f>
        <v>338</v>
      </c>
      <c r="CG65" s="0" t="n">
        <f aca="false">VLOOKUP(CG$1+1000*$A65,MASTER6!$A$2:$D$8001,4,FALSE())</f>
        <v>13793</v>
      </c>
      <c r="CH65" s="0" t="n">
        <f aca="false">VLOOKUP(CH$1+1000*$A65,MASTER6!$A$2:$D$8001,4,FALSE())</f>
        <v>1797110</v>
      </c>
      <c r="CI65" s="0" t="n">
        <f aca="false">VLOOKUP(CI$1+1000*$A65,MASTER6!$A$2:$D$8001,4,FALSE())</f>
        <v>663</v>
      </c>
      <c r="CJ65" s="0" t="e">
        <f aca="false">VLOOKUP(CJ$1+1000*$A65,MASTER6!$A$2:$D$8001,4,FALSE())</f>
        <v>#N/A</v>
      </c>
    </row>
    <row r="66" customFormat="false" ht="12.75" hidden="false" customHeight="false" outlineLevel="0" collapsed="false">
      <c r="A66" s="0" t="n">
        <v>65</v>
      </c>
      <c r="B66" s="0" t="n">
        <f aca="false">VLOOKUP(B$1+1000*$A66,MASTER6!$A$2:$D$8001,4,FALSE())</f>
        <v>299</v>
      </c>
      <c r="C66" s="0" t="n">
        <f aca="false">VLOOKUP(C$1+1000*$A66,MASTER6!$A$2:$D$8001,4,FALSE())</f>
        <v>1235</v>
      </c>
      <c r="D66" s="0" t="n">
        <f aca="false">VLOOKUP(D$1+1000*$A66,MASTER6!$A$2:$D$8001,4,FALSE())</f>
        <v>351</v>
      </c>
      <c r="E66" s="0" t="n">
        <f aca="false">VLOOKUP(E$1+1000*$A66,MASTER6!$A$2:$D$8001,4,FALSE())</f>
        <v>65</v>
      </c>
      <c r="F66" s="0" t="n">
        <f aca="false">VLOOKUP(F$1+1000*$A66,MASTER6!$A$2:$D$8001,4,FALSE())</f>
        <v>156</v>
      </c>
      <c r="G66" s="0" t="n">
        <f aca="false">VLOOKUP(G$1+1000*$A66,MASTER6!$A$2:$D$8001,4,FALSE())</f>
        <v>130</v>
      </c>
      <c r="H66" s="0" t="n">
        <f aca="false">VLOOKUP(H$1+1000*$A66,MASTER6!$A$2:$D$8001,4,FALSE())</f>
        <v>65</v>
      </c>
      <c r="I66" s="0" t="n">
        <f aca="false">VLOOKUP(I$1+1000*$A66,MASTER6!$A$2:$D$8001,4,FALSE())</f>
        <v>364</v>
      </c>
      <c r="J66" s="0" t="n">
        <f aca="false">VLOOKUP(J$1+1000*$A66,MASTER6!$A$2:$D$8001,4,FALSE())</f>
        <v>156</v>
      </c>
      <c r="K66" s="0" t="n">
        <f aca="false">VLOOKUP(K$1+1000*$A66,MASTER6!$A$2:$D$8001,4,FALSE())</f>
        <v>0</v>
      </c>
      <c r="L66" s="0" t="n">
        <f aca="false">VLOOKUP(L$1+1000*$A66,MASTER6!$A$2:$D$8001,4,FALSE())</f>
        <v>234</v>
      </c>
      <c r="M66" s="0" t="n">
        <f aca="false">VLOOKUP(M$1+1000*$A66,MASTER6!$A$2:$D$8001,4,FALSE())</f>
        <v>0</v>
      </c>
      <c r="N66" s="0" t="n">
        <f aca="false">VLOOKUP(N$1+1000*$A66,MASTER6!$A$2:$D$8001,4,FALSE())</f>
        <v>0</v>
      </c>
      <c r="O66" s="0" t="n">
        <f aca="false">VLOOKUP(O$1+1000*$A66,MASTER6!$A$2:$D$8001,4,FALSE())</f>
        <v>0</v>
      </c>
      <c r="P66" s="0" t="n">
        <f aca="false">VLOOKUP(P$1+1000*$A66,MASTER6!$A$2:$D$8001,4,FALSE())</f>
        <v>0</v>
      </c>
      <c r="Q66" s="0" t="n">
        <f aca="false">VLOOKUP(Q$1+1000*$A66,MASTER6!$A$2:$D$8001,4,FALSE())</f>
        <v>247</v>
      </c>
      <c r="R66" s="0" t="n">
        <f aca="false">VLOOKUP(R$1+1000*$A66,MASTER6!$A$2:$D$8001,4,FALSE())</f>
        <v>91</v>
      </c>
      <c r="S66" s="0" t="n">
        <f aca="false">VLOOKUP(S$1+1000*$A66,MASTER6!$A$2:$D$8001,4,FALSE())</f>
        <v>559</v>
      </c>
      <c r="T66" s="0" t="n">
        <f aca="false">VLOOKUP(T$1+1000*$A66,MASTER6!$A$2:$D$8001,4,FALSE())</f>
        <v>806</v>
      </c>
      <c r="U66" s="0" t="n">
        <f aca="false">VLOOKUP(U$1+1000*$A66,MASTER6!$A$2:$D$8001,4,FALSE())</f>
        <v>0</v>
      </c>
      <c r="V66" s="0" t="n">
        <f aca="false">VLOOKUP(V$1+1000*$A66,MASTER6!$A$2:$D$8001,4,FALSE())</f>
        <v>455</v>
      </c>
      <c r="W66" s="0" t="n">
        <f aca="false">VLOOKUP(W$1+1000*$A66,MASTER6!$A$2:$D$8001,4,FALSE())</f>
        <v>1508</v>
      </c>
      <c r="X66" s="0" t="n">
        <f aca="false">VLOOKUP(X$1+1000*$A66,MASTER6!$A$2:$D$8001,4,FALSE())</f>
        <v>0</v>
      </c>
      <c r="Y66" s="0" t="n">
        <f aca="false">VLOOKUP(Y$1+1000*$A66,MASTER6!$A$2:$D$8001,4,FALSE())</f>
        <v>0</v>
      </c>
      <c r="Z66" s="0" t="n">
        <f aca="false">VLOOKUP(Z$1+1000*$A66,MASTER6!$A$2:$D$8001,4,FALSE())</f>
        <v>0</v>
      </c>
      <c r="AA66" s="0" t="n">
        <f aca="false">VLOOKUP(AA$1+1000*$A66,MASTER6!$A$2:$D$8001,4,FALSE())</f>
        <v>507</v>
      </c>
      <c r="AB66" s="0" t="n">
        <f aca="false">VLOOKUP(AB$1+1000*$A66,MASTER6!$A$2:$D$8001,4,FALSE())</f>
        <v>0</v>
      </c>
      <c r="AC66" s="0" t="n">
        <f aca="false">VLOOKUP(AC$1+1000*$A66,MASTER6!$A$2:$D$8001,4,FALSE())</f>
        <v>0</v>
      </c>
      <c r="AD66" s="0" t="n">
        <f aca="false">VLOOKUP(AD$1+1000*$A66,MASTER6!$A$2:$D$8001,4,FALSE())</f>
        <v>0</v>
      </c>
      <c r="AE66" s="0" t="n">
        <f aca="false">VLOOKUP(AE$1+1000*$A66,MASTER6!$A$2:$D$8001,4,FALSE())</f>
        <v>0</v>
      </c>
      <c r="AF66" s="0" t="n">
        <f aca="false">VLOOKUP(AF$1+1000*$A66,MASTER6!$A$2:$D$8001,4,FALSE())</f>
        <v>78</v>
      </c>
      <c r="AG66" s="0" t="n">
        <f aca="false">VLOOKUP(AG$1+1000*$A66,MASTER6!$A$2:$D$8001,4,FALSE())</f>
        <v>754</v>
      </c>
      <c r="AH66" s="0" t="n">
        <f aca="false">VLOOKUP(AH$1+1000*$A66,MASTER6!$A$2:$D$8001,4,FALSE())</f>
        <v>676</v>
      </c>
      <c r="AI66" s="0" t="n">
        <f aca="false">VLOOKUP(AI$1+1000*$A66,MASTER6!$A$2:$D$8001,4,FALSE())</f>
        <v>0</v>
      </c>
      <c r="AJ66" s="0" t="n">
        <f aca="false">VLOOKUP(AJ$1+1000*$A66,MASTER6!$A$2:$D$8001,4,FALSE())</f>
        <v>130</v>
      </c>
      <c r="AK66" s="0" t="n">
        <f aca="false">VLOOKUP(AK$1+1000*$A66,MASTER6!$A$2:$D$8001,4,FALSE())</f>
        <v>104</v>
      </c>
      <c r="AL66" s="0" t="n">
        <f aca="false">VLOOKUP(AL$1+1000*$A66,MASTER6!$A$2:$D$8001,4,FALSE())</f>
        <v>507</v>
      </c>
      <c r="AM66" s="0" t="n">
        <f aca="false">VLOOKUP(AM$1+1000*$A66,MASTER6!$A$2:$D$8001,4,FALSE())</f>
        <v>0</v>
      </c>
      <c r="AN66" s="0" t="n">
        <f aca="false">VLOOKUP(AN$1+1000*$A66,MASTER6!$A$2:$D$8001,4,FALSE())</f>
        <v>390</v>
      </c>
      <c r="AO66" s="0" t="n">
        <f aca="false">VLOOKUP(AO$1+1000*$A66,MASTER6!$A$2:$D$8001,4,FALSE())</f>
        <v>143</v>
      </c>
      <c r="AP66" s="0" t="n">
        <f aca="false">VLOOKUP(AP$1+1000*$A66,MASTER6!$A$2:$D$8001,4,FALSE())</f>
        <v>0</v>
      </c>
      <c r="AQ66" s="0" t="n">
        <f aca="false">VLOOKUP(AQ$1+1000*$A66,MASTER6!$A$2:$D$8001,4,FALSE())</f>
        <v>598</v>
      </c>
      <c r="AR66" s="0" t="n">
        <f aca="false">VLOOKUP(AR$1+1000*$A66,MASTER6!$A$2:$D$8001,4,FALSE())</f>
        <v>117</v>
      </c>
      <c r="AS66" s="0" t="n">
        <f aca="false">VLOOKUP(AS$1+1000*$A66,MASTER6!$A$2:$D$8001,4,FALSE())</f>
        <v>0</v>
      </c>
      <c r="AT66" s="0" t="n">
        <f aca="false">VLOOKUP(AT$1+1000*$A66,MASTER6!$A$2:$D$8001,4,FALSE())</f>
        <v>65</v>
      </c>
      <c r="AU66" s="0" t="n">
        <f aca="false">VLOOKUP(AU$1+1000*$A66,MASTER6!$A$2:$D$8001,4,FALSE())</f>
        <v>1209</v>
      </c>
      <c r="AV66" s="0" t="n">
        <f aca="false">VLOOKUP(AV$1+1000*$A66,MASTER6!$A$2:$D$8001,4,FALSE())</f>
        <v>65</v>
      </c>
      <c r="AW66" s="0" t="n">
        <f aca="false">VLOOKUP(AW$1+1000*$A66,MASTER6!$A$2:$D$8001,4,FALSE())</f>
        <v>9841</v>
      </c>
      <c r="AX66" s="0" t="n">
        <f aca="false">VLOOKUP(AX$1+1000*$A66,MASTER6!$A$2:$D$8001,4,FALSE())</f>
        <v>0</v>
      </c>
      <c r="AY66" s="0" t="n">
        <f aca="false">VLOOKUP(AY$1+1000*$A66,MASTER6!$A$2:$D$8001,4,FALSE())</f>
        <v>104</v>
      </c>
      <c r="AZ66" s="0" t="n">
        <f aca="false">VLOOKUP(AZ$1+1000*$A66,MASTER6!$A$2:$D$8001,4,FALSE())</f>
        <v>117</v>
      </c>
      <c r="BA66" s="0" t="n">
        <f aca="false">VLOOKUP(BA$1+1000*$A66,MASTER6!$A$2:$D$8001,4,FALSE())</f>
        <v>53742</v>
      </c>
      <c r="BB66" s="0" t="n">
        <f aca="false">VLOOKUP(BB$1+1000*$A66,MASTER6!$A$2:$D$8001,4,FALSE())</f>
        <v>27274</v>
      </c>
      <c r="BC66" s="0" t="n">
        <f aca="false">VLOOKUP(BC$1+1000*$A66,MASTER6!$A$2:$D$8001,4,FALSE())</f>
        <v>4355</v>
      </c>
      <c r="BD66" s="0" t="n">
        <f aca="false">VLOOKUP(BD$1+1000*$A66,MASTER6!$A$2:$D$8001,4,FALSE())</f>
        <v>6903</v>
      </c>
      <c r="BE66" s="0" t="n">
        <f aca="false">VLOOKUP(BE$1+1000*$A66,MASTER6!$A$2:$D$8001,4,FALSE())</f>
        <v>5122</v>
      </c>
      <c r="BF66" s="0" t="n">
        <f aca="false">VLOOKUP(BF$1+1000*$A66,MASTER6!$A$2:$D$8001,4,FALSE())</f>
        <v>4030</v>
      </c>
      <c r="BG66" s="0" t="n">
        <f aca="false">VLOOKUP(BG$1+1000*$A66,MASTER6!$A$2:$D$8001,4,FALSE())</f>
        <v>2054</v>
      </c>
      <c r="BH66" s="0" t="n">
        <f aca="false">VLOOKUP(BH$1+1000*$A66,MASTER6!$A$2:$D$8001,4,FALSE())</f>
        <v>2054</v>
      </c>
      <c r="BI66" s="0" t="n">
        <f aca="false">VLOOKUP(BI$1+1000*$A66,MASTER6!$A$2:$D$8001,4,FALSE())</f>
        <v>13494</v>
      </c>
      <c r="BJ66" s="0" t="n">
        <f aca="false">VLOOKUP(BJ$1+1000*$A66,MASTER6!$A$2:$D$8001,4,FALSE())</f>
        <v>10283</v>
      </c>
      <c r="BK66" s="0" t="n">
        <f aca="false">VLOOKUP(BK$1+1000*$A66,MASTER6!$A$2:$D$8001,4,FALSE())</f>
        <v>67041</v>
      </c>
      <c r="BL66" s="0" t="n">
        <f aca="false">VLOOKUP(BL$1+1000*$A66,MASTER6!$A$2:$D$8001,4,FALSE())</f>
        <v>15015</v>
      </c>
      <c r="BM66" s="0" t="n">
        <f aca="false">VLOOKUP(BM$1+1000*$A66,MASTER6!$A$2:$D$8001,4,FALSE())</f>
        <v>230763</v>
      </c>
      <c r="BN66" s="0" t="n">
        <f aca="false">VLOOKUP(BN$1+1000*$A66,MASTER6!$A$2:$D$8001,4,FALSE())</f>
        <v>1126294</v>
      </c>
      <c r="BO66" s="0" t="n">
        <f aca="false">VLOOKUP(BO$1+1000*$A66,MASTER6!$A$2:$D$8001,4,FALSE())</f>
        <v>16029</v>
      </c>
      <c r="BP66" s="0" t="n">
        <f aca="false">VLOOKUP(BP$1+1000*$A66,MASTER6!$A$2:$D$8001,4,FALSE())</f>
        <v>14222</v>
      </c>
      <c r="BQ66" s="0" t="n">
        <f aca="false">VLOOKUP(BQ$1+1000*$A66,MASTER6!$A$2:$D$8001,4,FALSE())</f>
        <v>0</v>
      </c>
      <c r="BR66" s="0" t="n">
        <f aca="false">VLOOKUP(BR$1+1000*$A66,MASTER6!$A$2:$D$8001,4,FALSE())</f>
        <v>442</v>
      </c>
      <c r="BS66" s="0" t="n">
        <f aca="false">VLOOKUP(BS$1+1000*$A66,MASTER6!$A$2:$D$8001,4,FALSE())</f>
        <v>0</v>
      </c>
      <c r="BT66" s="0" t="n">
        <f aca="false">VLOOKUP(BT$1+1000*$A66,MASTER6!$A$2:$D$8001,4,FALSE())</f>
        <v>1456</v>
      </c>
      <c r="BU66" s="0" t="n">
        <f aca="false">VLOOKUP(BU$1+1000*$A66,MASTER6!$A$2:$D$8001,4,FALSE())</f>
        <v>1820</v>
      </c>
      <c r="BV66" s="0" t="n">
        <f aca="false">VLOOKUP(BV$1+1000*$A66,MASTER6!$A$2:$D$8001,4,FALSE())</f>
        <v>0</v>
      </c>
      <c r="BW66" s="0" t="e">
        <f aca="false">VLOOKUP(BW$1+1000*$A66,MASTER6!$A$2:$D$8001,4,FALSE())</f>
        <v>#N/A</v>
      </c>
      <c r="BX66" s="0" t="n">
        <f aca="false">VLOOKUP(BX$1+1000*$A66,MASTER6!$A$2:$D$8001,4,FALSE())</f>
        <v>0</v>
      </c>
      <c r="BY66" s="0" t="n">
        <f aca="false">VLOOKUP(BY$1+1000*$A66,MASTER6!$A$2:$D$8001,4,FALSE())</f>
        <v>0</v>
      </c>
      <c r="BZ66" s="0" t="n">
        <f aca="false">VLOOKUP(BZ$1+1000*$A66,MASTER6!$A$2:$D$8001,4,FALSE())</f>
        <v>91</v>
      </c>
      <c r="CA66" s="0" t="n">
        <f aca="false">VLOOKUP(CA$1+1000*$A66,MASTER6!$A$2:$D$8001,4,FALSE())</f>
        <v>0</v>
      </c>
      <c r="CB66" s="0" t="n">
        <f aca="false">VLOOKUP(CB$1+1000*$A66,MASTER6!$A$2:$D$8001,4,FALSE())</f>
        <v>793</v>
      </c>
      <c r="CC66" s="0" t="n">
        <f aca="false">VLOOKUP(CC$1+1000*$A66,MASTER6!$A$2:$D$8001,4,FALSE())</f>
        <v>247</v>
      </c>
      <c r="CD66" s="0" t="n">
        <f aca="false">VLOOKUP(CD$1+1000*$A66,MASTER6!$A$2:$D$8001,4,FALSE())</f>
        <v>247</v>
      </c>
      <c r="CE66" s="0" t="n">
        <f aca="false">VLOOKUP(CE$1+1000*$A66,MASTER6!$A$2:$D$8001,4,FALSE())</f>
        <v>52</v>
      </c>
      <c r="CF66" s="0" t="n">
        <f aca="false">VLOOKUP(CF$1+1000*$A66,MASTER6!$A$2:$D$8001,4,FALSE())</f>
        <v>429</v>
      </c>
      <c r="CG66" s="0" t="n">
        <f aca="false">VLOOKUP(CG$1+1000*$A66,MASTER6!$A$2:$D$8001,4,FALSE())</f>
        <v>1625</v>
      </c>
      <c r="CH66" s="0" t="n">
        <f aca="false">VLOOKUP(CH$1+1000*$A66,MASTER6!$A$2:$D$8001,4,FALSE())</f>
        <v>1845064</v>
      </c>
      <c r="CI66" s="0" t="n">
        <f aca="false">VLOOKUP(CI$1+1000*$A66,MASTER6!$A$2:$D$8001,4,FALSE())</f>
        <v>1209</v>
      </c>
      <c r="CJ66" s="0" t="e">
        <f aca="false">VLOOKUP(CJ$1+1000*$A66,MASTER6!$A$2:$D$8001,4,FALSE())</f>
        <v>#N/A</v>
      </c>
    </row>
    <row r="67" customFormat="false" ht="12.75" hidden="false" customHeight="false" outlineLevel="0" collapsed="false">
      <c r="A67" s="0" t="n">
        <v>66</v>
      </c>
      <c r="B67" s="0" t="n">
        <f aca="false">VLOOKUP(B$1+1000*$A67,MASTER6!$A$2:$D$8001,4,FALSE())</f>
        <v>78</v>
      </c>
      <c r="C67" s="0" t="n">
        <f aca="false">VLOOKUP(C$1+1000*$A67,MASTER6!$A$2:$D$8001,4,FALSE())</f>
        <v>0</v>
      </c>
      <c r="D67" s="0" t="n">
        <f aca="false">VLOOKUP(D$1+1000*$A67,MASTER6!$A$2:$D$8001,4,FALSE())</f>
        <v>0</v>
      </c>
      <c r="E67" s="0" t="n">
        <f aca="false">VLOOKUP(E$1+1000*$A67,MASTER6!$A$2:$D$8001,4,FALSE())</f>
        <v>0</v>
      </c>
      <c r="F67" s="0" t="n">
        <f aca="false">VLOOKUP(F$1+1000*$A67,MASTER6!$A$2:$D$8001,4,FALSE())</f>
        <v>0</v>
      </c>
      <c r="G67" s="0" t="n">
        <f aca="false">VLOOKUP(G$1+1000*$A67,MASTER6!$A$2:$D$8001,4,FALSE())</f>
        <v>0</v>
      </c>
      <c r="H67" s="0" t="n">
        <f aca="false">VLOOKUP(H$1+1000*$A67,MASTER6!$A$2:$D$8001,4,FALSE())</f>
        <v>0</v>
      </c>
      <c r="I67" s="0" t="n">
        <f aca="false">VLOOKUP(I$1+1000*$A67,MASTER6!$A$2:$D$8001,4,FALSE())</f>
        <v>0</v>
      </c>
      <c r="J67" s="0" t="n">
        <f aca="false">VLOOKUP(J$1+1000*$A67,MASTER6!$A$2:$D$8001,4,FALSE())</f>
        <v>0</v>
      </c>
      <c r="K67" s="0" t="n">
        <f aca="false">VLOOKUP(K$1+1000*$A67,MASTER6!$A$2:$D$8001,4,FALSE())</f>
        <v>0</v>
      </c>
      <c r="L67" s="0" t="n">
        <f aca="false">VLOOKUP(L$1+1000*$A67,MASTER6!$A$2:$D$8001,4,FALSE())</f>
        <v>0</v>
      </c>
      <c r="M67" s="0" t="n">
        <f aca="false">VLOOKUP(M$1+1000*$A67,MASTER6!$A$2:$D$8001,4,FALSE())</f>
        <v>0</v>
      </c>
      <c r="N67" s="0" t="n">
        <f aca="false">VLOOKUP(N$1+1000*$A67,MASTER6!$A$2:$D$8001,4,FALSE())</f>
        <v>0</v>
      </c>
      <c r="O67" s="0" t="n">
        <f aca="false">VLOOKUP(O$1+1000*$A67,MASTER6!$A$2:$D$8001,4,FALSE())</f>
        <v>0</v>
      </c>
      <c r="P67" s="0" t="n">
        <f aca="false">VLOOKUP(P$1+1000*$A67,MASTER6!$A$2:$D$8001,4,FALSE())</f>
        <v>0</v>
      </c>
      <c r="Q67" s="0" t="n">
        <f aca="false">VLOOKUP(Q$1+1000*$A67,MASTER6!$A$2:$D$8001,4,FALSE())</f>
        <v>0</v>
      </c>
      <c r="R67" s="0" t="n">
        <f aca="false">VLOOKUP(R$1+1000*$A67,MASTER6!$A$2:$D$8001,4,FALSE())</f>
        <v>0</v>
      </c>
      <c r="S67" s="0" t="n">
        <f aca="false">VLOOKUP(S$1+1000*$A67,MASTER6!$A$2:$D$8001,4,FALSE())</f>
        <v>169</v>
      </c>
      <c r="T67" s="0" t="n">
        <f aca="false">VLOOKUP(T$1+1000*$A67,MASTER6!$A$2:$D$8001,4,FALSE())</f>
        <v>208</v>
      </c>
      <c r="U67" s="0" t="n">
        <f aca="false">VLOOKUP(U$1+1000*$A67,MASTER6!$A$2:$D$8001,4,FALSE())</f>
        <v>0</v>
      </c>
      <c r="V67" s="0" t="n">
        <f aca="false">VLOOKUP(V$1+1000*$A67,MASTER6!$A$2:$D$8001,4,FALSE())</f>
        <v>0</v>
      </c>
      <c r="W67" s="0" t="n">
        <f aca="false">VLOOKUP(W$1+1000*$A67,MASTER6!$A$2:$D$8001,4,FALSE())</f>
        <v>182</v>
      </c>
      <c r="X67" s="0" t="n">
        <f aca="false">VLOOKUP(X$1+1000*$A67,MASTER6!$A$2:$D$8001,4,FALSE())</f>
        <v>0</v>
      </c>
      <c r="Y67" s="0" t="n">
        <f aca="false">VLOOKUP(Y$1+1000*$A67,MASTER6!$A$2:$D$8001,4,FALSE())</f>
        <v>0</v>
      </c>
      <c r="Z67" s="0" t="n">
        <f aca="false">VLOOKUP(Z$1+1000*$A67,MASTER6!$A$2:$D$8001,4,FALSE())</f>
        <v>0</v>
      </c>
      <c r="AA67" s="0" t="n">
        <f aca="false">VLOOKUP(AA$1+1000*$A67,MASTER6!$A$2:$D$8001,4,FALSE())</f>
        <v>0</v>
      </c>
      <c r="AB67" s="0" t="n">
        <f aca="false">VLOOKUP(AB$1+1000*$A67,MASTER6!$A$2:$D$8001,4,FALSE())</f>
        <v>0</v>
      </c>
      <c r="AC67" s="0" t="n">
        <f aca="false">VLOOKUP(AC$1+1000*$A67,MASTER6!$A$2:$D$8001,4,FALSE())</f>
        <v>0</v>
      </c>
      <c r="AD67" s="0" t="n">
        <f aca="false">VLOOKUP(AD$1+1000*$A67,MASTER6!$A$2:$D$8001,4,FALSE())</f>
        <v>0</v>
      </c>
      <c r="AE67" s="0" t="n">
        <f aca="false">VLOOKUP(AE$1+1000*$A67,MASTER6!$A$2:$D$8001,4,FALSE())</f>
        <v>0</v>
      </c>
      <c r="AF67" s="0" t="n">
        <f aca="false">VLOOKUP(AF$1+1000*$A67,MASTER6!$A$2:$D$8001,4,FALSE())</f>
        <v>0</v>
      </c>
      <c r="AG67" s="0" t="n">
        <f aca="false">VLOOKUP(AG$1+1000*$A67,MASTER6!$A$2:$D$8001,4,FALSE())</f>
        <v>78</v>
      </c>
      <c r="AH67" s="0" t="n">
        <f aca="false">VLOOKUP(AH$1+1000*$A67,MASTER6!$A$2:$D$8001,4,FALSE())</f>
        <v>221</v>
      </c>
      <c r="AI67" s="0" t="n">
        <f aca="false">VLOOKUP(AI$1+1000*$A67,MASTER6!$A$2:$D$8001,4,FALSE())</f>
        <v>0</v>
      </c>
      <c r="AJ67" s="0" t="n">
        <f aca="false">VLOOKUP(AJ$1+1000*$A67,MASTER6!$A$2:$D$8001,4,FALSE())</f>
        <v>0</v>
      </c>
      <c r="AK67" s="0" t="n">
        <f aca="false">VLOOKUP(AK$1+1000*$A67,MASTER6!$A$2:$D$8001,4,FALSE())</f>
        <v>0</v>
      </c>
      <c r="AL67" s="0" t="n">
        <f aca="false">VLOOKUP(AL$1+1000*$A67,MASTER6!$A$2:$D$8001,4,FALSE())</f>
        <v>91</v>
      </c>
      <c r="AM67" s="0" t="n">
        <f aca="false">VLOOKUP(AM$1+1000*$A67,MASTER6!$A$2:$D$8001,4,FALSE())</f>
        <v>0</v>
      </c>
      <c r="AN67" s="0" t="n">
        <f aca="false">VLOOKUP(AN$1+1000*$A67,MASTER6!$A$2:$D$8001,4,FALSE())</f>
        <v>0</v>
      </c>
      <c r="AO67" s="0" t="n">
        <f aca="false">VLOOKUP(AO$1+1000*$A67,MASTER6!$A$2:$D$8001,4,FALSE())</f>
        <v>130</v>
      </c>
      <c r="AP67" s="0" t="n">
        <f aca="false">VLOOKUP(AP$1+1000*$A67,MASTER6!$A$2:$D$8001,4,FALSE())</f>
        <v>0</v>
      </c>
      <c r="AQ67" s="0" t="n">
        <f aca="false">VLOOKUP(AQ$1+1000*$A67,MASTER6!$A$2:$D$8001,4,FALSE())</f>
        <v>2717</v>
      </c>
      <c r="AR67" s="0" t="n">
        <f aca="false">VLOOKUP(AR$1+1000*$A67,MASTER6!$A$2:$D$8001,4,FALSE())</f>
        <v>468</v>
      </c>
      <c r="AS67" s="0" t="n">
        <f aca="false">VLOOKUP(AS$1+1000*$A67,MASTER6!$A$2:$D$8001,4,FALSE())</f>
        <v>546</v>
      </c>
      <c r="AT67" s="0" t="n">
        <f aca="false">VLOOKUP(AT$1+1000*$A67,MASTER6!$A$2:$D$8001,4,FALSE())</f>
        <v>0</v>
      </c>
      <c r="AU67" s="0" t="n">
        <f aca="false">VLOOKUP(AU$1+1000*$A67,MASTER6!$A$2:$D$8001,4,FALSE())</f>
        <v>1235</v>
      </c>
      <c r="AV67" s="0" t="n">
        <f aca="false">VLOOKUP(AV$1+1000*$A67,MASTER6!$A$2:$D$8001,4,FALSE())</f>
        <v>2613</v>
      </c>
      <c r="AW67" s="0" t="n">
        <f aca="false">VLOOKUP(AW$1+1000*$A67,MASTER6!$A$2:$D$8001,4,FALSE())</f>
        <v>18304</v>
      </c>
      <c r="AX67" s="0" t="n">
        <f aca="false">VLOOKUP(AX$1+1000*$A67,MASTER6!$A$2:$D$8001,4,FALSE())</f>
        <v>0</v>
      </c>
      <c r="AY67" s="0" t="n">
        <f aca="false">VLOOKUP(AY$1+1000*$A67,MASTER6!$A$2:$D$8001,4,FALSE())</f>
        <v>0</v>
      </c>
      <c r="AZ67" s="0" t="n">
        <f aca="false">VLOOKUP(AZ$1+1000*$A67,MASTER6!$A$2:$D$8001,4,FALSE())</f>
        <v>0</v>
      </c>
      <c r="BA67" s="0" t="n">
        <f aca="false">VLOOKUP(BA$1+1000*$A67,MASTER6!$A$2:$D$8001,4,FALSE())</f>
        <v>1183</v>
      </c>
      <c r="BB67" s="0" t="n">
        <f aca="false">VLOOKUP(BB$1+1000*$A67,MASTER6!$A$2:$D$8001,4,FALSE())</f>
        <v>663</v>
      </c>
      <c r="BC67" s="0" t="n">
        <f aca="false">VLOOKUP(BC$1+1000*$A67,MASTER6!$A$2:$D$8001,4,FALSE())</f>
        <v>325</v>
      </c>
      <c r="BD67" s="0" t="n">
        <f aca="false">VLOOKUP(BD$1+1000*$A67,MASTER6!$A$2:$D$8001,4,FALSE())</f>
        <v>247</v>
      </c>
      <c r="BE67" s="0" t="n">
        <f aca="false">VLOOKUP(BE$1+1000*$A67,MASTER6!$A$2:$D$8001,4,FALSE())</f>
        <v>1118</v>
      </c>
      <c r="BF67" s="0" t="n">
        <f aca="false">VLOOKUP(BF$1+1000*$A67,MASTER6!$A$2:$D$8001,4,FALSE())</f>
        <v>1781</v>
      </c>
      <c r="BG67" s="0" t="n">
        <f aca="false">VLOOKUP(BG$1+1000*$A67,MASTER6!$A$2:$D$8001,4,FALSE())</f>
        <v>143</v>
      </c>
      <c r="BH67" s="0" t="n">
        <f aca="false">VLOOKUP(BH$1+1000*$A67,MASTER6!$A$2:$D$8001,4,FALSE())</f>
        <v>234</v>
      </c>
      <c r="BI67" s="0" t="n">
        <f aca="false">VLOOKUP(BI$1+1000*$A67,MASTER6!$A$2:$D$8001,4,FALSE())</f>
        <v>8814</v>
      </c>
      <c r="BJ67" s="0" t="n">
        <f aca="false">VLOOKUP(BJ$1+1000*$A67,MASTER6!$A$2:$D$8001,4,FALSE())</f>
        <v>429</v>
      </c>
      <c r="BK67" s="0" t="n">
        <f aca="false">VLOOKUP(BK$1+1000*$A67,MASTER6!$A$2:$D$8001,4,FALSE())</f>
        <v>442</v>
      </c>
      <c r="BL67" s="0" t="n">
        <f aca="false">VLOOKUP(BL$1+1000*$A67,MASTER6!$A$2:$D$8001,4,FALSE())</f>
        <v>910</v>
      </c>
      <c r="BM67" s="0" t="n">
        <f aca="false">VLOOKUP(BM$1+1000*$A67,MASTER6!$A$2:$D$8001,4,FALSE())</f>
        <v>53183</v>
      </c>
      <c r="BN67" s="0" t="n">
        <f aca="false">VLOOKUP(BN$1+1000*$A67,MASTER6!$A$2:$D$8001,4,FALSE())</f>
        <v>23673</v>
      </c>
      <c r="BO67" s="0" t="n">
        <f aca="false">VLOOKUP(BO$1+1000*$A67,MASTER6!$A$2:$D$8001,4,FALSE())</f>
        <v>86619</v>
      </c>
      <c r="BP67" s="0" t="n">
        <f aca="false">VLOOKUP(BP$1+1000*$A67,MASTER6!$A$2:$D$8001,4,FALSE())</f>
        <v>273</v>
      </c>
      <c r="BQ67" s="0" t="n">
        <f aca="false">VLOOKUP(BQ$1+1000*$A67,MASTER6!$A$2:$D$8001,4,FALSE())</f>
        <v>0</v>
      </c>
      <c r="BR67" s="0" t="n">
        <f aca="false">VLOOKUP(BR$1+1000*$A67,MASTER6!$A$2:$D$8001,4,FALSE())</f>
        <v>234</v>
      </c>
      <c r="BS67" s="0" t="n">
        <f aca="false">VLOOKUP(BS$1+1000*$A67,MASTER6!$A$2:$D$8001,4,FALSE())</f>
        <v>0</v>
      </c>
      <c r="BT67" s="0" t="n">
        <f aca="false">VLOOKUP(BT$1+1000*$A67,MASTER6!$A$2:$D$8001,4,FALSE())</f>
        <v>117</v>
      </c>
      <c r="BU67" s="0" t="n">
        <f aca="false">VLOOKUP(BU$1+1000*$A67,MASTER6!$A$2:$D$8001,4,FALSE())</f>
        <v>143</v>
      </c>
      <c r="BV67" s="0" t="n">
        <f aca="false">VLOOKUP(BV$1+1000*$A67,MASTER6!$A$2:$D$8001,4,FALSE())</f>
        <v>0</v>
      </c>
      <c r="BW67" s="0" t="e">
        <f aca="false">VLOOKUP(BW$1+1000*$A67,MASTER6!$A$2:$D$8001,4,FALSE())</f>
        <v>#N/A</v>
      </c>
      <c r="BX67" s="0" t="n">
        <f aca="false">VLOOKUP(BX$1+1000*$A67,MASTER6!$A$2:$D$8001,4,FALSE())</f>
        <v>0</v>
      </c>
      <c r="BY67" s="0" t="n">
        <f aca="false">VLOOKUP(BY$1+1000*$A67,MASTER6!$A$2:$D$8001,4,FALSE())</f>
        <v>0</v>
      </c>
      <c r="BZ67" s="0" t="n">
        <f aca="false">VLOOKUP(BZ$1+1000*$A67,MASTER6!$A$2:$D$8001,4,FALSE())</f>
        <v>0</v>
      </c>
      <c r="CA67" s="0" t="n">
        <f aca="false">VLOOKUP(CA$1+1000*$A67,MASTER6!$A$2:$D$8001,4,FALSE())</f>
        <v>0</v>
      </c>
      <c r="CB67" s="0" t="n">
        <f aca="false">VLOOKUP(CB$1+1000*$A67,MASTER6!$A$2:$D$8001,4,FALSE())</f>
        <v>0</v>
      </c>
      <c r="CC67" s="0" t="n">
        <f aca="false">VLOOKUP(CC$1+1000*$A67,MASTER6!$A$2:$D$8001,4,FALSE())</f>
        <v>0</v>
      </c>
      <c r="CD67" s="0" t="n">
        <f aca="false">VLOOKUP(CD$1+1000*$A67,MASTER6!$A$2:$D$8001,4,FALSE())</f>
        <v>0</v>
      </c>
      <c r="CE67" s="0" t="n">
        <f aca="false">VLOOKUP(CE$1+1000*$A67,MASTER6!$A$2:$D$8001,4,FALSE())</f>
        <v>0</v>
      </c>
      <c r="CF67" s="0" t="n">
        <f aca="false">VLOOKUP(CF$1+1000*$A67,MASTER6!$A$2:$D$8001,4,FALSE())</f>
        <v>273</v>
      </c>
      <c r="CG67" s="0" t="n">
        <f aca="false">VLOOKUP(CG$1+1000*$A67,MASTER6!$A$2:$D$8001,4,FALSE())</f>
        <v>2275</v>
      </c>
      <c r="CH67" s="0" t="n">
        <f aca="false">VLOOKUP(CH$1+1000*$A67,MASTER6!$A$2:$D$8001,4,FALSE())</f>
        <v>225030</v>
      </c>
      <c r="CI67" s="0" t="n">
        <f aca="false">VLOOKUP(CI$1+1000*$A67,MASTER6!$A$2:$D$8001,4,FALSE())</f>
        <v>156</v>
      </c>
      <c r="CJ67" s="0" t="e">
        <f aca="false">VLOOKUP(CJ$1+1000*$A67,MASTER6!$A$2:$D$8001,4,FALSE())</f>
        <v>#N/A</v>
      </c>
    </row>
    <row r="68" customFormat="false" ht="12.75" hidden="false" customHeight="false" outlineLevel="0" collapsed="false">
      <c r="A68" s="0" t="n">
        <v>67</v>
      </c>
      <c r="B68" s="0" t="n">
        <f aca="false">VLOOKUP(B$1+1000*$A68,MASTER6!$A$2:$D$8001,4,FALSE())</f>
        <v>65</v>
      </c>
      <c r="C68" s="0" t="n">
        <f aca="false">VLOOKUP(C$1+1000*$A68,MASTER6!$A$2:$D$8001,4,FALSE())</f>
        <v>0</v>
      </c>
      <c r="D68" s="0" t="n">
        <f aca="false">VLOOKUP(D$1+1000*$A68,MASTER6!$A$2:$D$8001,4,FALSE())</f>
        <v>52</v>
      </c>
      <c r="E68" s="0" t="n">
        <f aca="false">VLOOKUP(E$1+1000*$A68,MASTER6!$A$2:$D$8001,4,FALSE())</f>
        <v>117</v>
      </c>
      <c r="F68" s="0" t="n">
        <f aca="false">VLOOKUP(F$1+1000*$A68,MASTER6!$A$2:$D$8001,4,FALSE())</f>
        <v>0</v>
      </c>
      <c r="G68" s="0" t="n">
        <f aca="false">VLOOKUP(G$1+1000*$A68,MASTER6!$A$2:$D$8001,4,FALSE())</f>
        <v>104</v>
      </c>
      <c r="H68" s="0" t="n">
        <f aca="false">VLOOKUP(H$1+1000*$A68,MASTER6!$A$2:$D$8001,4,FALSE())</f>
        <v>0</v>
      </c>
      <c r="I68" s="0" t="n">
        <f aca="false">VLOOKUP(I$1+1000*$A68,MASTER6!$A$2:$D$8001,4,FALSE())</f>
        <v>0</v>
      </c>
      <c r="J68" s="0" t="n">
        <f aca="false">VLOOKUP(J$1+1000*$A68,MASTER6!$A$2:$D$8001,4,FALSE())</f>
        <v>0</v>
      </c>
      <c r="K68" s="0" t="n">
        <f aca="false">VLOOKUP(K$1+1000*$A68,MASTER6!$A$2:$D$8001,4,FALSE())</f>
        <v>0</v>
      </c>
      <c r="L68" s="0" t="n">
        <f aca="false">VLOOKUP(L$1+1000*$A68,MASTER6!$A$2:$D$8001,4,FALSE())</f>
        <v>0</v>
      </c>
      <c r="M68" s="0" t="n">
        <f aca="false">VLOOKUP(M$1+1000*$A68,MASTER6!$A$2:$D$8001,4,FALSE())</f>
        <v>0</v>
      </c>
      <c r="N68" s="0" t="n">
        <f aca="false">VLOOKUP(N$1+1000*$A68,MASTER6!$A$2:$D$8001,4,FALSE())</f>
        <v>0</v>
      </c>
      <c r="O68" s="0" t="n">
        <f aca="false">VLOOKUP(O$1+1000*$A68,MASTER6!$A$2:$D$8001,4,FALSE())</f>
        <v>0</v>
      </c>
      <c r="P68" s="0" t="n">
        <f aca="false">VLOOKUP(P$1+1000*$A68,MASTER6!$A$2:$D$8001,4,FALSE())</f>
        <v>91</v>
      </c>
      <c r="Q68" s="0" t="n">
        <f aca="false">VLOOKUP(Q$1+1000*$A68,MASTER6!$A$2:$D$8001,4,FALSE())</f>
        <v>0</v>
      </c>
      <c r="R68" s="0" t="n">
        <f aca="false">VLOOKUP(R$1+1000*$A68,MASTER6!$A$2:$D$8001,4,FALSE())</f>
        <v>0</v>
      </c>
      <c r="S68" s="0" t="n">
        <f aca="false">VLOOKUP(S$1+1000*$A68,MASTER6!$A$2:$D$8001,4,FALSE())</f>
        <v>221</v>
      </c>
      <c r="T68" s="0" t="n">
        <f aca="false">VLOOKUP(T$1+1000*$A68,MASTER6!$A$2:$D$8001,4,FALSE())</f>
        <v>117</v>
      </c>
      <c r="U68" s="0" t="n">
        <f aca="false">VLOOKUP(U$1+1000*$A68,MASTER6!$A$2:$D$8001,4,FALSE())</f>
        <v>0</v>
      </c>
      <c r="V68" s="0" t="n">
        <f aca="false">VLOOKUP(V$1+1000*$A68,MASTER6!$A$2:$D$8001,4,FALSE())</f>
        <v>117</v>
      </c>
      <c r="W68" s="0" t="n">
        <f aca="false">VLOOKUP(W$1+1000*$A68,MASTER6!$A$2:$D$8001,4,FALSE())</f>
        <v>1716</v>
      </c>
      <c r="X68" s="0" t="n">
        <f aca="false">VLOOKUP(X$1+1000*$A68,MASTER6!$A$2:$D$8001,4,FALSE())</f>
        <v>91</v>
      </c>
      <c r="Y68" s="0" t="n">
        <f aca="false">VLOOKUP(Y$1+1000*$A68,MASTER6!$A$2:$D$8001,4,FALSE())</f>
        <v>0</v>
      </c>
      <c r="Z68" s="0" t="n">
        <f aca="false">VLOOKUP(Z$1+1000*$A68,MASTER6!$A$2:$D$8001,4,FALSE())</f>
        <v>0</v>
      </c>
      <c r="AA68" s="0" t="n">
        <f aca="false">VLOOKUP(AA$1+1000*$A68,MASTER6!$A$2:$D$8001,4,FALSE())</f>
        <v>0</v>
      </c>
      <c r="AB68" s="0" t="n">
        <f aca="false">VLOOKUP(AB$1+1000*$A68,MASTER6!$A$2:$D$8001,4,FALSE())</f>
        <v>0</v>
      </c>
      <c r="AC68" s="0" t="n">
        <f aca="false">VLOOKUP(AC$1+1000*$A68,MASTER6!$A$2:$D$8001,4,FALSE())</f>
        <v>0</v>
      </c>
      <c r="AD68" s="0" t="n">
        <f aca="false">VLOOKUP(AD$1+1000*$A68,MASTER6!$A$2:$D$8001,4,FALSE())</f>
        <v>104</v>
      </c>
      <c r="AE68" s="0" t="n">
        <f aca="false">VLOOKUP(AE$1+1000*$A68,MASTER6!$A$2:$D$8001,4,FALSE())</f>
        <v>0</v>
      </c>
      <c r="AF68" s="0" t="n">
        <f aca="false">VLOOKUP(AF$1+1000*$A68,MASTER6!$A$2:$D$8001,4,FALSE())</f>
        <v>0</v>
      </c>
      <c r="AG68" s="0" t="n">
        <f aca="false">VLOOKUP(AG$1+1000*$A68,MASTER6!$A$2:$D$8001,4,FALSE())</f>
        <v>3861</v>
      </c>
      <c r="AH68" s="0" t="n">
        <f aca="false">VLOOKUP(AH$1+1000*$A68,MASTER6!$A$2:$D$8001,4,FALSE())</f>
        <v>338</v>
      </c>
      <c r="AI68" s="0" t="n">
        <f aca="false">VLOOKUP(AI$1+1000*$A68,MASTER6!$A$2:$D$8001,4,FALSE())</f>
        <v>0</v>
      </c>
      <c r="AJ68" s="0" t="n">
        <f aca="false">VLOOKUP(AJ$1+1000*$A68,MASTER6!$A$2:$D$8001,4,FALSE())</f>
        <v>0</v>
      </c>
      <c r="AK68" s="0" t="n">
        <f aca="false">VLOOKUP(AK$1+1000*$A68,MASTER6!$A$2:$D$8001,4,FALSE())</f>
        <v>0</v>
      </c>
      <c r="AL68" s="0" t="n">
        <f aca="false">VLOOKUP(AL$1+1000*$A68,MASTER6!$A$2:$D$8001,4,FALSE())</f>
        <v>104</v>
      </c>
      <c r="AM68" s="0" t="n">
        <f aca="false">VLOOKUP(AM$1+1000*$A68,MASTER6!$A$2:$D$8001,4,FALSE())</f>
        <v>0</v>
      </c>
      <c r="AN68" s="0" t="n">
        <f aca="false">VLOOKUP(AN$1+1000*$A68,MASTER6!$A$2:$D$8001,4,FALSE())</f>
        <v>169</v>
      </c>
      <c r="AO68" s="0" t="n">
        <f aca="false">VLOOKUP(AO$1+1000*$A68,MASTER6!$A$2:$D$8001,4,FALSE())</f>
        <v>0</v>
      </c>
      <c r="AP68" s="0" t="n">
        <f aca="false">VLOOKUP(AP$1+1000*$A68,MASTER6!$A$2:$D$8001,4,FALSE())</f>
        <v>0</v>
      </c>
      <c r="AQ68" s="0" t="n">
        <f aca="false">VLOOKUP(AQ$1+1000*$A68,MASTER6!$A$2:$D$8001,4,FALSE())</f>
        <v>78</v>
      </c>
      <c r="AR68" s="0" t="n">
        <f aca="false">VLOOKUP(AR$1+1000*$A68,MASTER6!$A$2:$D$8001,4,FALSE())</f>
        <v>0</v>
      </c>
      <c r="AS68" s="0" t="n">
        <f aca="false">VLOOKUP(AS$1+1000*$A68,MASTER6!$A$2:$D$8001,4,FALSE())</f>
        <v>0</v>
      </c>
      <c r="AT68" s="0" t="n">
        <f aca="false">VLOOKUP(AT$1+1000*$A68,MASTER6!$A$2:$D$8001,4,FALSE())</f>
        <v>0</v>
      </c>
      <c r="AU68" s="0" t="n">
        <f aca="false">VLOOKUP(AU$1+1000*$A68,MASTER6!$A$2:$D$8001,4,FALSE())</f>
        <v>104</v>
      </c>
      <c r="AV68" s="0" t="n">
        <f aca="false">VLOOKUP(AV$1+1000*$A68,MASTER6!$A$2:$D$8001,4,FALSE())</f>
        <v>0</v>
      </c>
      <c r="AW68" s="0" t="n">
        <f aca="false">VLOOKUP(AW$1+1000*$A68,MASTER6!$A$2:$D$8001,4,FALSE())</f>
        <v>0</v>
      </c>
      <c r="AX68" s="0" t="n">
        <f aca="false">VLOOKUP(AX$1+1000*$A68,MASTER6!$A$2:$D$8001,4,FALSE())</f>
        <v>0</v>
      </c>
      <c r="AY68" s="0" t="n">
        <f aca="false">VLOOKUP(AY$1+1000*$A68,MASTER6!$A$2:$D$8001,4,FALSE())</f>
        <v>65</v>
      </c>
      <c r="AZ68" s="0" t="n">
        <f aca="false">VLOOKUP(AZ$1+1000*$A68,MASTER6!$A$2:$D$8001,4,FALSE())</f>
        <v>0</v>
      </c>
      <c r="BA68" s="0" t="n">
        <f aca="false">VLOOKUP(BA$1+1000*$A68,MASTER6!$A$2:$D$8001,4,FALSE())</f>
        <v>2899</v>
      </c>
      <c r="BB68" s="0" t="n">
        <f aca="false">VLOOKUP(BB$1+1000*$A68,MASTER6!$A$2:$D$8001,4,FALSE())</f>
        <v>1014</v>
      </c>
      <c r="BC68" s="0" t="n">
        <f aca="false">VLOOKUP(BC$1+1000*$A68,MASTER6!$A$2:$D$8001,4,FALSE())</f>
        <v>91</v>
      </c>
      <c r="BD68" s="0" t="n">
        <f aca="false">VLOOKUP(BD$1+1000*$A68,MASTER6!$A$2:$D$8001,4,FALSE())</f>
        <v>91</v>
      </c>
      <c r="BE68" s="0" t="n">
        <f aca="false">VLOOKUP(BE$1+1000*$A68,MASTER6!$A$2:$D$8001,4,FALSE())</f>
        <v>0</v>
      </c>
      <c r="BF68" s="0" t="n">
        <f aca="false">VLOOKUP(BF$1+1000*$A68,MASTER6!$A$2:$D$8001,4,FALSE())</f>
        <v>78</v>
      </c>
      <c r="BG68" s="0" t="n">
        <f aca="false">VLOOKUP(BG$1+1000*$A68,MASTER6!$A$2:$D$8001,4,FALSE())</f>
        <v>0</v>
      </c>
      <c r="BH68" s="0" t="n">
        <f aca="false">VLOOKUP(BH$1+1000*$A68,MASTER6!$A$2:$D$8001,4,FALSE())</f>
        <v>208</v>
      </c>
      <c r="BI68" s="0" t="n">
        <f aca="false">VLOOKUP(BI$1+1000*$A68,MASTER6!$A$2:$D$8001,4,FALSE())</f>
        <v>0</v>
      </c>
      <c r="BJ68" s="0" t="n">
        <f aca="false">VLOOKUP(BJ$1+1000*$A68,MASTER6!$A$2:$D$8001,4,FALSE())</f>
        <v>130</v>
      </c>
      <c r="BK68" s="0" t="n">
        <f aca="false">VLOOKUP(BK$1+1000*$A68,MASTER6!$A$2:$D$8001,4,FALSE())</f>
        <v>1560</v>
      </c>
      <c r="BL68" s="0" t="n">
        <f aca="false">VLOOKUP(BL$1+1000*$A68,MASTER6!$A$2:$D$8001,4,FALSE())</f>
        <v>351</v>
      </c>
      <c r="BM68" s="0" t="n">
        <f aca="false">VLOOKUP(BM$1+1000*$A68,MASTER6!$A$2:$D$8001,4,FALSE())</f>
        <v>20527</v>
      </c>
      <c r="BN68" s="0" t="n">
        <f aca="false">VLOOKUP(BN$1+1000*$A68,MASTER6!$A$2:$D$8001,4,FALSE())</f>
        <v>45084</v>
      </c>
      <c r="BO68" s="0" t="n">
        <f aca="false">VLOOKUP(BO$1+1000*$A68,MASTER6!$A$2:$D$8001,4,FALSE())</f>
        <v>325</v>
      </c>
      <c r="BP68" s="0" t="n">
        <f aca="false">VLOOKUP(BP$1+1000*$A68,MASTER6!$A$2:$D$8001,4,FALSE())</f>
        <v>171535</v>
      </c>
      <c r="BQ68" s="0" t="n">
        <f aca="false">VLOOKUP(BQ$1+1000*$A68,MASTER6!$A$2:$D$8001,4,FALSE())</f>
        <v>0</v>
      </c>
      <c r="BR68" s="0" t="n">
        <f aca="false">VLOOKUP(BR$1+1000*$A68,MASTER6!$A$2:$D$8001,4,FALSE())</f>
        <v>52</v>
      </c>
      <c r="BS68" s="0" t="n">
        <f aca="false">VLOOKUP(BS$1+1000*$A68,MASTER6!$A$2:$D$8001,4,FALSE())</f>
        <v>0</v>
      </c>
      <c r="BT68" s="0" t="n">
        <f aca="false">VLOOKUP(BT$1+1000*$A68,MASTER6!$A$2:$D$8001,4,FALSE())</f>
        <v>221</v>
      </c>
      <c r="BU68" s="0" t="n">
        <f aca="false">VLOOKUP(BU$1+1000*$A68,MASTER6!$A$2:$D$8001,4,FALSE())</f>
        <v>195</v>
      </c>
      <c r="BV68" s="0" t="n">
        <f aca="false">VLOOKUP(BV$1+1000*$A68,MASTER6!$A$2:$D$8001,4,FALSE())</f>
        <v>0</v>
      </c>
      <c r="BW68" s="0" t="e">
        <f aca="false">VLOOKUP(BW$1+1000*$A68,MASTER6!$A$2:$D$8001,4,FALSE())</f>
        <v>#N/A</v>
      </c>
      <c r="BX68" s="0" t="n">
        <f aca="false">VLOOKUP(BX$1+1000*$A68,MASTER6!$A$2:$D$8001,4,FALSE())</f>
        <v>0</v>
      </c>
      <c r="BY68" s="0" t="n">
        <f aca="false">VLOOKUP(BY$1+1000*$A68,MASTER6!$A$2:$D$8001,4,FALSE())</f>
        <v>0</v>
      </c>
      <c r="BZ68" s="0" t="n">
        <f aca="false">VLOOKUP(BZ$1+1000*$A68,MASTER6!$A$2:$D$8001,4,FALSE())</f>
        <v>0</v>
      </c>
      <c r="CA68" s="0" t="n">
        <f aca="false">VLOOKUP(CA$1+1000*$A68,MASTER6!$A$2:$D$8001,4,FALSE())</f>
        <v>286</v>
      </c>
      <c r="CB68" s="0" t="n">
        <f aca="false">VLOOKUP(CB$1+1000*$A68,MASTER6!$A$2:$D$8001,4,FALSE())</f>
        <v>195</v>
      </c>
      <c r="CC68" s="0" t="n">
        <f aca="false">VLOOKUP(CC$1+1000*$A68,MASTER6!$A$2:$D$8001,4,FALSE())</f>
        <v>338</v>
      </c>
      <c r="CD68" s="0" t="n">
        <f aca="false">VLOOKUP(CD$1+1000*$A68,MASTER6!$A$2:$D$8001,4,FALSE())</f>
        <v>91</v>
      </c>
      <c r="CE68" s="0" t="n">
        <f aca="false">VLOOKUP(CE$1+1000*$A68,MASTER6!$A$2:$D$8001,4,FALSE())</f>
        <v>0</v>
      </c>
      <c r="CF68" s="0" t="n">
        <f aca="false">VLOOKUP(CF$1+1000*$A68,MASTER6!$A$2:$D$8001,4,FALSE())</f>
        <v>17602</v>
      </c>
      <c r="CG68" s="0" t="n">
        <f aca="false">VLOOKUP(CG$1+1000*$A68,MASTER6!$A$2:$D$8001,4,FALSE())</f>
        <v>0</v>
      </c>
      <c r="CH68" s="0" t="n">
        <f aca="false">VLOOKUP(CH$1+1000*$A68,MASTER6!$A$2:$D$8001,4,FALSE())</f>
        <v>254098</v>
      </c>
      <c r="CI68" s="0" t="n">
        <f aca="false">VLOOKUP(CI$1+1000*$A68,MASTER6!$A$2:$D$8001,4,FALSE())</f>
        <v>0</v>
      </c>
      <c r="CJ68" s="0" t="e">
        <f aca="false">VLOOKUP(CJ$1+1000*$A68,MASTER6!$A$2:$D$8001,4,FALSE())</f>
        <v>#N/A</v>
      </c>
    </row>
    <row r="69" customFormat="false" ht="12.75" hidden="false" customHeight="false" outlineLevel="0" collapsed="false">
      <c r="A69" s="0" t="n">
        <v>68</v>
      </c>
      <c r="B69" s="0" t="n">
        <f aca="false">VLOOKUP(B$1+1000*$A69,MASTER6!$A$2:$D$8001,4,FALSE())</f>
        <v>0</v>
      </c>
      <c r="C69" s="0" t="n">
        <f aca="false">VLOOKUP(C$1+1000*$A69,MASTER6!$A$2:$D$8001,4,FALSE())</f>
        <v>0</v>
      </c>
      <c r="D69" s="0" t="n">
        <f aca="false">VLOOKUP(D$1+1000*$A69,MASTER6!$A$2:$D$8001,4,FALSE())</f>
        <v>0</v>
      </c>
      <c r="E69" s="0" t="n">
        <f aca="false">VLOOKUP(E$1+1000*$A69,MASTER6!$A$2:$D$8001,4,FALSE())</f>
        <v>0</v>
      </c>
      <c r="F69" s="0" t="n">
        <f aca="false">VLOOKUP(F$1+1000*$A69,MASTER6!$A$2:$D$8001,4,FALSE())</f>
        <v>0</v>
      </c>
      <c r="G69" s="0" t="n">
        <f aca="false">VLOOKUP(G$1+1000*$A69,MASTER6!$A$2:$D$8001,4,FALSE())</f>
        <v>0</v>
      </c>
      <c r="H69" s="0" t="n">
        <f aca="false">VLOOKUP(H$1+1000*$A69,MASTER6!$A$2:$D$8001,4,FALSE())</f>
        <v>0</v>
      </c>
      <c r="I69" s="0" t="n">
        <f aca="false">VLOOKUP(I$1+1000*$A69,MASTER6!$A$2:$D$8001,4,FALSE())</f>
        <v>0</v>
      </c>
      <c r="J69" s="0" t="n">
        <f aca="false">VLOOKUP(J$1+1000*$A69,MASTER6!$A$2:$D$8001,4,FALSE())</f>
        <v>0</v>
      </c>
      <c r="K69" s="0" t="n">
        <f aca="false">VLOOKUP(K$1+1000*$A69,MASTER6!$A$2:$D$8001,4,FALSE())</f>
        <v>0</v>
      </c>
      <c r="L69" s="0" t="n">
        <f aca="false">VLOOKUP(L$1+1000*$A69,MASTER6!$A$2:$D$8001,4,FALSE())</f>
        <v>91</v>
      </c>
      <c r="M69" s="0" t="n">
        <f aca="false">VLOOKUP(M$1+1000*$A69,MASTER6!$A$2:$D$8001,4,FALSE())</f>
        <v>0</v>
      </c>
      <c r="N69" s="0" t="n">
        <f aca="false">VLOOKUP(N$1+1000*$A69,MASTER6!$A$2:$D$8001,4,FALSE())</f>
        <v>0</v>
      </c>
      <c r="O69" s="0" t="n">
        <f aca="false">VLOOKUP(O$1+1000*$A69,MASTER6!$A$2:$D$8001,4,FALSE())</f>
        <v>0</v>
      </c>
      <c r="P69" s="0" t="n">
        <f aca="false">VLOOKUP(P$1+1000*$A69,MASTER6!$A$2:$D$8001,4,FALSE())</f>
        <v>0</v>
      </c>
      <c r="Q69" s="0" t="n">
        <f aca="false">VLOOKUP(Q$1+1000*$A69,MASTER6!$A$2:$D$8001,4,FALSE())</f>
        <v>0</v>
      </c>
      <c r="R69" s="0" t="n">
        <f aca="false">VLOOKUP(R$1+1000*$A69,MASTER6!$A$2:$D$8001,4,FALSE())</f>
        <v>0</v>
      </c>
      <c r="S69" s="0" t="n">
        <f aca="false">VLOOKUP(S$1+1000*$A69,MASTER6!$A$2:$D$8001,4,FALSE())</f>
        <v>0</v>
      </c>
      <c r="T69" s="0" t="n">
        <f aca="false">VLOOKUP(T$1+1000*$A69,MASTER6!$A$2:$D$8001,4,FALSE())</f>
        <v>0</v>
      </c>
      <c r="U69" s="0" t="n">
        <f aca="false">VLOOKUP(U$1+1000*$A69,MASTER6!$A$2:$D$8001,4,FALSE())</f>
        <v>0</v>
      </c>
      <c r="V69" s="0" t="n">
        <f aca="false">VLOOKUP(V$1+1000*$A69,MASTER6!$A$2:$D$8001,4,FALSE())</f>
        <v>0</v>
      </c>
      <c r="W69" s="0" t="n">
        <f aca="false">VLOOKUP(W$1+1000*$A69,MASTER6!$A$2:$D$8001,4,FALSE())</f>
        <v>0</v>
      </c>
      <c r="X69" s="0" t="n">
        <f aca="false">VLOOKUP(X$1+1000*$A69,MASTER6!$A$2:$D$8001,4,FALSE())</f>
        <v>0</v>
      </c>
      <c r="Y69" s="0" t="n">
        <f aca="false">VLOOKUP(Y$1+1000*$A69,MASTER6!$A$2:$D$8001,4,FALSE())</f>
        <v>0</v>
      </c>
      <c r="Z69" s="0" t="n">
        <f aca="false">VLOOKUP(Z$1+1000*$A69,MASTER6!$A$2:$D$8001,4,FALSE())</f>
        <v>0</v>
      </c>
      <c r="AA69" s="0" t="n">
        <f aca="false">VLOOKUP(AA$1+1000*$A69,MASTER6!$A$2:$D$8001,4,FALSE())</f>
        <v>0</v>
      </c>
      <c r="AB69" s="0" t="n">
        <f aca="false">VLOOKUP(AB$1+1000*$A69,MASTER6!$A$2:$D$8001,4,FALSE())</f>
        <v>0</v>
      </c>
      <c r="AC69" s="0" t="n">
        <f aca="false">VLOOKUP(AC$1+1000*$A69,MASTER6!$A$2:$D$8001,4,FALSE())</f>
        <v>0</v>
      </c>
      <c r="AD69" s="0" t="n">
        <f aca="false">VLOOKUP(AD$1+1000*$A69,MASTER6!$A$2:$D$8001,4,FALSE())</f>
        <v>0</v>
      </c>
      <c r="AE69" s="0" t="n">
        <f aca="false">VLOOKUP(AE$1+1000*$A69,MASTER6!$A$2:$D$8001,4,FALSE())</f>
        <v>0</v>
      </c>
      <c r="AF69" s="0" t="n">
        <f aca="false">VLOOKUP(AF$1+1000*$A69,MASTER6!$A$2:$D$8001,4,FALSE())</f>
        <v>0</v>
      </c>
      <c r="AG69" s="0" t="n">
        <f aca="false">VLOOKUP(AG$1+1000*$A69,MASTER6!$A$2:$D$8001,4,FALSE())</f>
        <v>0</v>
      </c>
      <c r="AH69" s="0" t="n">
        <f aca="false">VLOOKUP(AH$1+1000*$A69,MASTER6!$A$2:$D$8001,4,FALSE())</f>
        <v>0</v>
      </c>
      <c r="AI69" s="0" t="n">
        <f aca="false">VLOOKUP(AI$1+1000*$A69,MASTER6!$A$2:$D$8001,4,FALSE())</f>
        <v>0</v>
      </c>
      <c r="AJ69" s="0" t="n">
        <f aca="false">VLOOKUP(AJ$1+1000*$A69,MASTER6!$A$2:$D$8001,4,FALSE())</f>
        <v>0</v>
      </c>
      <c r="AK69" s="0" t="n">
        <f aca="false">VLOOKUP(AK$1+1000*$A69,MASTER6!$A$2:$D$8001,4,FALSE())</f>
        <v>0</v>
      </c>
      <c r="AL69" s="0" t="n">
        <f aca="false">VLOOKUP(AL$1+1000*$A69,MASTER6!$A$2:$D$8001,4,FALSE())</f>
        <v>0</v>
      </c>
      <c r="AM69" s="0" t="n">
        <f aca="false">VLOOKUP(AM$1+1000*$A69,MASTER6!$A$2:$D$8001,4,FALSE())</f>
        <v>0</v>
      </c>
      <c r="AN69" s="0" t="n">
        <f aca="false">VLOOKUP(AN$1+1000*$A69,MASTER6!$A$2:$D$8001,4,FALSE())</f>
        <v>0</v>
      </c>
      <c r="AO69" s="0" t="n">
        <f aca="false">VLOOKUP(AO$1+1000*$A69,MASTER6!$A$2:$D$8001,4,FALSE())</f>
        <v>0</v>
      </c>
      <c r="AP69" s="0" t="n">
        <f aca="false">VLOOKUP(AP$1+1000*$A69,MASTER6!$A$2:$D$8001,4,FALSE())</f>
        <v>0</v>
      </c>
      <c r="AQ69" s="0" t="n">
        <f aca="false">VLOOKUP(AQ$1+1000*$A69,MASTER6!$A$2:$D$8001,4,FALSE())</f>
        <v>611</v>
      </c>
      <c r="AR69" s="0" t="n">
        <f aca="false">VLOOKUP(AR$1+1000*$A69,MASTER6!$A$2:$D$8001,4,FALSE())</f>
        <v>0</v>
      </c>
      <c r="AS69" s="0" t="n">
        <f aca="false">VLOOKUP(AS$1+1000*$A69,MASTER6!$A$2:$D$8001,4,FALSE())</f>
        <v>0</v>
      </c>
      <c r="AT69" s="0" t="n">
        <f aca="false">VLOOKUP(AT$1+1000*$A69,MASTER6!$A$2:$D$8001,4,FALSE())</f>
        <v>0</v>
      </c>
      <c r="AU69" s="0" t="n">
        <f aca="false">VLOOKUP(AU$1+1000*$A69,MASTER6!$A$2:$D$8001,4,FALSE())</f>
        <v>130</v>
      </c>
      <c r="AV69" s="0" t="n">
        <f aca="false">VLOOKUP(AV$1+1000*$A69,MASTER6!$A$2:$D$8001,4,FALSE())</f>
        <v>0</v>
      </c>
      <c r="AW69" s="0" t="n">
        <f aca="false">VLOOKUP(AW$1+1000*$A69,MASTER6!$A$2:$D$8001,4,FALSE())</f>
        <v>3718</v>
      </c>
      <c r="AX69" s="0" t="n">
        <f aca="false">VLOOKUP(AX$1+1000*$A69,MASTER6!$A$2:$D$8001,4,FALSE())</f>
        <v>0</v>
      </c>
      <c r="AY69" s="0" t="n">
        <f aca="false">VLOOKUP(AY$1+1000*$A69,MASTER6!$A$2:$D$8001,4,FALSE())</f>
        <v>0</v>
      </c>
      <c r="AZ69" s="0" t="n">
        <f aca="false">VLOOKUP(AZ$1+1000*$A69,MASTER6!$A$2:$D$8001,4,FALSE())</f>
        <v>0</v>
      </c>
      <c r="BA69" s="0" t="n">
        <f aca="false">VLOOKUP(BA$1+1000*$A69,MASTER6!$A$2:$D$8001,4,FALSE())</f>
        <v>0</v>
      </c>
      <c r="BB69" s="0" t="n">
        <f aca="false">VLOOKUP(BB$1+1000*$A69,MASTER6!$A$2:$D$8001,4,FALSE())</f>
        <v>117</v>
      </c>
      <c r="BC69" s="0" t="n">
        <f aca="false">VLOOKUP(BC$1+1000*$A69,MASTER6!$A$2:$D$8001,4,FALSE())</f>
        <v>0</v>
      </c>
      <c r="BD69" s="0" t="n">
        <f aca="false">VLOOKUP(BD$1+1000*$A69,MASTER6!$A$2:$D$8001,4,FALSE())</f>
        <v>0</v>
      </c>
      <c r="BE69" s="0" t="n">
        <f aca="false">VLOOKUP(BE$1+1000*$A69,MASTER6!$A$2:$D$8001,4,FALSE())</f>
        <v>0</v>
      </c>
      <c r="BF69" s="0" t="n">
        <f aca="false">VLOOKUP(BF$1+1000*$A69,MASTER6!$A$2:$D$8001,4,FALSE())</f>
        <v>0</v>
      </c>
      <c r="BG69" s="0" t="n">
        <f aca="false">VLOOKUP(BG$1+1000*$A69,MASTER6!$A$2:$D$8001,4,FALSE())</f>
        <v>0</v>
      </c>
      <c r="BH69" s="0" t="n">
        <f aca="false">VLOOKUP(BH$1+1000*$A69,MASTER6!$A$2:$D$8001,4,FALSE())</f>
        <v>455</v>
      </c>
      <c r="BI69" s="0" t="n">
        <f aca="false">VLOOKUP(BI$1+1000*$A69,MASTER6!$A$2:$D$8001,4,FALSE())</f>
        <v>247</v>
      </c>
      <c r="BJ69" s="0" t="n">
        <f aca="false">VLOOKUP(BJ$1+1000*$A69,MASTER6!$A$2:$D$8001,4,FALSE())</f>
        <v>0</v>
      </c>
      <c r="BK69" s="0" t="n">
        <f aca="false">VLOOKUP(BK$1+1000*$A69,MASTER6!$A$2:$D$8001,4,FALSE())</f>
        <v>247</v>
      </c>
      <c r="BL69" s="0" t="n">
        <f aca="false">VLOOKUP(BL$1+1000*$A69,MASTER6!$A$2:$D$8001,4,FALSE())</f>
        <v>0</v>
      </c>
      <c r="BM69" s="0" t="n">
        <f aca="false">VLOOKUP(BM$1+1000*$A69,MASTER6!$A$2:$D$8001,4,FALSE())</f>
        <v>3120</v>
      </c>
      <c r="BN69" s="0" t="n">
        <f aca="false">VLOOKUP(BN$1+1000*$A69,MASTER6!$A$2:$D$8001,4,FALSE())</f>
        <v>1885</v>
      </c>
      <c r="BO69" s="0" t="n">
        <f aca="false">VLOOKUP(BO$1+1000*$A69,MASTER6!$A$2:$D$8001,4,FALSE())</f>
        <v>1495</v>
      </c>
      <c r="BP69" s="0" t="n">
        <f aca="false">VLOOKUP(BP$1+1000*$A69,MASTER6!$A$2:$D$8001,4,FALSE())</f>
        <v>0</v>
      </c>
      <c r="BQ69" s="0" t="n">
        <f aca="false">VLOOKUP(BQ$1+1000*$A69,MASTER6!$A$2:$D$8001,4,FALSE())</f>
        <v>12935</v>
      </c>
      <c r="BR69" s="0" t="n">
        <f aca="false">VLOOKUP(BR$1+1000*$A69,MASTER6!$A$2:$D$8001,4,FALSE())</f>
        <v>8320</v>
      </c>
      <c r="BS69" s="0" t="n">
        <f aca="false">VLOOKUP(BS$1+1000*$A69,MASTER6!$A$2:$D$8001,4,FALSE())</f>
        <v>338</v>
      </c>
      <c r="BT69" s="0" t="n">
        <f aca="false">VLOOKUP(BT$1+1000*$A69,MASTER6!$A$2:$D$8001,4,FALSE())</f>
        <v>1222</v>
      </c>
      <c r="BU69" s="0" t="n">
        <f aca="false">VLOOKUP(BU$1+1000*$A69,MASTER6!$A$2:$D$8001,4,FALSE())</f>
        <v>3796</v>
      </c>
      <c r="BV69" s="0" t="n">
        <f aca="false">VLOOKUP(BV$1+1000*$A69,MASTER6!$A$2:$D$8001,4,FALSE())</f>
        <v>0</v>
      </c>
      <c r="BW69" s="0" t="e">
        <f aca="false">VLOOKUP(BW$1+1000*$A69,MASTER6!$A$2:$D$8001,4,FALSE())</f>
        <v>#N/A</v>
      </c>
      <c r="BX69" s="0" t="n">
        <f aca="false">VLOOKUP(BX$1+1000*$A69,MASTER6!$A$2:$D$8001,4,FALSE())</f>
        <v>0</v>
      </c>
      <c r="BY69" s="0" t="n">
        <f aca="false">VLOOKUP(BY$1+1000*$A69,MASTER6!$A$2:$D$8001,4,FALSE())</f>
        <v>0</v>
      </c>
      <c r="BZ69" s="0" t="n">
        <f aca="false">VLOOKUP(BZ$1+1000*$A69,MASTER6!$A$2:$D$8001,4,FALSE())</f>
        <v>0</v>
      </c>
      <c r="CA69" s="0" t="n">
        <f aca="false">VLOOKUP(CA$1+1000*$A69,MASTER6!$A$2:$D$8001,4,FALSE())</f>
        <v>0</v>
      </c>
      <c r="CB69" s="0" t="n">
        <f aca="false">VLOOKUP(CB$1+1000*$A69,MASTER6!$A$2:$D$8001,4,FALSE())</f>
        <v>0</v>
      </c>
      <c r="CC69" s="0" t="n">
        <f aca="false">VLOOKUP(CC$1+1000*$A69,MASTER6!$A$2:$D$8001,4,FALSE())</f>
        <v>0</v>
      </c>
      <c r="CD69" s="0" t="n">
        <f aca="false">VLOOKUP(CD$1+1000*$A69,MASTER6!$A$2:$D$8001,4,FALSE())</f>
        <v>8450</v>
      </c>
      <c r="CE69" s="0" t="n">
        <f aca="false">VLOOKUP(CE$1+1000*$A69,MASTER6!$A$2:$D$8001,4,FALSE())</f>
        <v>2301</v>
      </c>
      <c r="CF69" s="0" t="n">
        <f aca="false">VLOOKUP(CF$1+1000*$A69,MASTER6!$A$2:$D$8001,4,FALSE())</f>
        <v>0</v>
      </c>
      <c r="CG69" s="0" t="n">
        <f aca="false">VLOOKUP(CG$1+1000*$A69,MASTER6!$A$2:$D$8001,4,FALSE())</f>
        <v>962</v>
      </c>
      <c r="CH69" s="0" t="n">
        <f aca="false">VLOOKUP(CH$1+1000*$A69,MASTER6!$A$2:$D$8001,4,FALSE())</f>
        <v>67470</v>
      </c>
      <c r="CI69" s="0" t="n">
        <f aca="false">VLOOKUP(CI$1+1000*$A69,MASTER6!$A$2:$D$8001,4,FALSE())</f>
        <v>117</v>
      </c>
      <c r="CJ69" s="0" t="e">
        <f aca="false">VLOOKUP(CJ$1+1000*$A69,MASTER6!$A$2:$D$8001,4,FALSE())</f>
        <v>#N/A</v>
      </c>
    </row>
    <row r="70" customFormat="false" ht="12.75" hidden="false" customHeight="false" outlineLevel="0" collapsed="false">
      <c r="A70" s="0" t="n">
        <v>69</v>
      </c>
      <c r="B70" s="0" t="n">
        <f aca="false">VLOOKUP(B$1+1000*$A70,MASTER6!$A$2:$D$8001,4,FALSE())</f>
        <v>247</v>
      </c>
      <c r="C70" s="0" t="n">
        <f aca="false">VLOOKUP(C$1+1000*$A70,MASTER6!$A$2:$D$8001,4,FALSE())</f>
        <v>247</v>
      </c>
      <c r="D70" s="0" t="n">
        <f aca="false">VLOOKUP(D$1+1000*$A70,MASTER6!$A$2:$D$8001,4,FALSE())</f>
        <v>260</v>
      </c>
      <c r="E70" s="0" t="n">
        <f aca="false">VLOOKUP(E$1+1000*$A70,MASTER6!$A$2:$D$8001,4,FALSE())</f>
        <v>39</v>
      </c>
      <c r="F70" s="0" t="n">
        <f aca="false">VLOOKUP(F$1+1000*$A70,MASTER6!$A$2:$D$8001,4,FALSE())</f>
        <v>0</v>
      </c>
      <c r="G70" s="0" t="n">
        <f aca="false">VLOOKUP(G$1+1000*$A70,MASTER6!$A$2:$D$8001,4,FALSE())</f>
        <v>0</v>
      </c>
      <c r="H70" s="0" t="n">
        <f aca="false">VLOOKUP(H$1+1000*$A70,MASTER6!$A$2:$D$8001,4,FALSE())</f>
        <v>104</v>
      </c>
      <c r="I70" s="0" t="n">
        <f aca="false">VLOOKUP(I$1+1000*$A70,MASTER6!$A$2:$D$8001,4,FALSE())</f>
        <v>0</v>
      </c>
      <c r="J70" s="0" t="n">
        <f aca="false">VLOOKUP(J$1+1000*$A70,MASTER6!$A$2:$D$8001,4,FALSE())</f>
        <v>104</v>
      </c>
      <c r="K70" s="0" t="n">
        <f aca="false">VLOOKUP(K$1+1000*$A70,MASTER6!$A$2:$D$8001,4,FALSE())</f>
        <v>130</v>
      </c>
      <c r="L70" s="0" t="n">
        <f aca="false">VLOOKUP(L$1+1000*$A70,MASTER6!$A$2:$D$8001,4,FALSE())</f>
        <v>0</v>
      </c>
      <c r="M70" s="0" t="n">
        <f aca="false">VLOOKUP(M$1+1000*$A70,MASTER6!$A$2:$D$8001,4,FALSE())</f>
        <v>0</v>
      </c>
      <c r="N70" s="0" t="n">
        <f aca="false">VLOOKUP(N$1+1000*$A70,MASTER6!$A$2:$D$8001,4,FALSE())</f>
        <v>0</v>
      </c>
      <c r="O70" s="0" t="n">
        <f aca="false">VLOOKUP(O$1+1000*$A70,MASTER6!$A$2:$D$8001,4,FALSE())</f>
        <v>0</v>
      </c>
      <c r="P70" s="0" t="n">
        <f aca="false">VLOOKUP(P$1+1000*$A70,MASTER6!$A$2:$D$8001,4,FALSE())</f>
        <v>0</v>
      </c>
      <c r="Q70" s="0" t="n">
        <f aca="false">VLOOKUP(Q$1+1000*$A70,MASTER6!$A$2:$D$8001,4,FALSE())</f>
        <v>0</v>
      </c>
      <c r="R70" s="0" t="n">
        <f aca="false">VLOOKUP(R$1+1000*$A70,MASTER6!$A$2:$D$8001,4,FALSE())</f>
        <v>0</v>
      </c>
      <c r="S70" s="0" t="n">
        <f aca="false">VLOOKUP(S$1+1000*$A70,MASTER6!$A$2:$D$8001,4,FALSE())</f>
        <v>0</v>
      </c>
      <c r="T70" s="0" t="n">
        <f aca="false">VLOOKUP(T$1+1000*$A70,MASTER6!$A$2:$D$8001,4,FALSE())</f>
        <v>0</v>
      </c>
      <c r="U70" s="0" t="n">
        <f aca="false">VLOOKUP(U$1+1000*$A70,MASTER6!$A$2:$D$8001,4,FALSE())</f>
        <v>0</v>
      </c>
      <c r="V70" s="0" t="n">
        <f aca="false">VLOOKUP(V$1+1000*$A70,MASTER6!$A$2:$D$8001,4,FALSE())</f>
        <v>143</v>
      </c>
      <c r="W70" s="0" t="n">
        <f aca="false">VLOOKUP(W$1+1000*$A70,MASTER6!$A$2:$D$8001,4,FALSE())</f>
        <v>104</v>
      </c>
      <c r="X70" s="0" t="n">
        <f aca="false">VLOOKUP(X$1+1000*$A70,MASTER6!$A$2:$D$8001,4,FALSE())</f>
        <v>0</v>
      </c>
      <c r="Y70" s="0" t="n">
        <f aca="false">VLOOKUP(Y$1+1000*$A70,MASTER6!$A$2:$D$8001,4,FALSE())</f>
        <v>0</v>
      </c>
      <c r="Z70" s="0" t="n">
        <f aca="false">VLOOKUP(Z$1+1000*$A70,MASTER6!$A$2:$D$8001,4,FALSE())</f>
        <v>0</v>
      </c>
      <c r="AA70" s="0" t="n">
        <f aca="false">VLOOKUP(AA$1+1000*$A70,MASTER6!$A$2:$D$8001,4,FALSE())</f>
        <v>0</v>
      </c>
      <c r="AB70" s="0" t="n">
        <f aca="false">VLOOKUP(AB$1+1000*$A70,MASTER6!$A$2:$D$8001,4,FALSE())</f>
        <v>0</v>
      </c>
      <c r="AC70" s="0" t="n">
        <f aca="false">VLOOKUP(AC$1+1000*$A70,MASTER6!$A$2:$D$8001,4,FALSE())</f>
        <v>0</v>
      </c>
      <c r="AD70" s="0" t="n">
        <f aca="false">VLOOKUP(AD$1+1000*$A70,MASTER6!$A$2:$D$8001,4,FALSE())</f>
        <v>104</v>
      </c>
      <c r="AE70" s="0" t="n">
        <f aca="false">VLOOKUP(AE$1+1000*$A70,MASTER6!$A$2:$D$8001,4,FALSE())</f>
        <v>0</v>
      </c>
      <c r="AF70" s="0" t="n">
        <f aca="false">VLOOKUP(AF$1+1000*$A70,MASTER6!$A$2:$D$8001,4,FALSE())</f>
        <v>104</v>
      </c>
      <c r="AG70" s="0" t="n">
        <f aca="false">VLOOKUP(AG$1+1000*$A70,MASTER6!$A$2:$D$8001,4,FALSE())</f>
        <v>104</v>
      </c>
      <c r="AH70" s="0" t="n">
        <f aca="false">VLOOKUP(AH$1+1000*$A70,MASTER6!$A$2:$D$8001,4,FALSE())</f>
        <v>2678</v>
      </c>
      <c r="AI70" s="0" t="n">
        <f aca="false">VLOOKUP(AI$1+1000*$A70,MASTER6!$A$2:$D$8001,4,FALSE())</f>
        <v>403</v>
      </c>
      <c r="AJ70" s="0" t="n">
        <f aca="false">VLOOKUP(AJ$1+1000*$A70,MASTER6!$A$2:$D$8001,4,FALSE())</f>
        <v>611</v>
      </c>
      <c r="AK70" s="0" t="n">
        <f aca="false">VLOOKUP(AK$1+1000*$A70,MASTER6!$A$2:$D$8001,4,FALSE())</f>
        <v>0</v>
      </c>
      <c r="AL70" s="0" t="n">
        <f aca="false">VLOOKUP(AL$1+1000*$A70,MASTER6!$A$2:$D$8001,4,FALSE())</f>
        <v>3315</v>
      </c>
      <c r="AM70" s="0" t="n">
        <f aca="false">VLOOKUP(AM$1+1000*$A70,MASTER6!$A$2:$D$8001,4,FALSE())</f>
        <v>0</v>
      </c>
      <c r="AN70" s="0" t="n">
        <f aca="false">VLOOKUP(AN$1+1000*$A70,MASTER6!$A$2:$D$8001,4,FALSE())</f>
        <v>156</v>
      </c>
      <c r="AO70" s="0" t="n">
        <f aca="false">VLOOKUP(AO$1+1000*$A70,MASTER6!$A$2:$D$8001,4,FALSE())</f>
        <v>0</v>
      </c>
      <c r="AP70" s="0" t="n">
        <f aca="false">VLOOKUP(AP$1+1000*$A70,MASTER6!$A$2:$D$8001,4,FALSE())</f>
        <v>91</v>
      </c>
      <c r="AQ70" s="0" t="n">
        <f aca="false">VLOOKUP(AQ$1+1000*$A70,MASTER6!$A$2:$D$8001,4,FALSE())</f>
        <v>3809</v>
      </c>
      <c r="AR70" s="0" t="n">
        <f aca="false">VLOOKUP(AR$1+1000*$A70,MASTER6!$A$2:$D$8001,4,FALSE())</f>
        <v>260</v>
      </c>
      <c r="AS70" s="0" t="n">
        <f aca="false">VLOOKUP(AS$1+1000*$A70,MASTER6!$A$2:$D$8001,4,FALSE())</f>
        <v>559</v>
      </c>
      <c r="AT70" s="0" t="n">
        <f aca="false">VLOOKUP(AT$1+1000*$A70,MASTER6!$A$2:$D$8001,4,FALSE())</f>
        <v>897</v>
      </c>
      <c r="AU70" s="0" t="n">
        <f aca="false">VLOOKUP(AU$1+1000*$A70,MASTER6!$A$2:$D$8001,4,FALSE())</f>
        <v>1131</v>
      </c>
      <c r="AV70" s="0" t="n">
        <f aca="false">VLOOKUP(AV$1+1000*$A70,MASTER6!$A$2:$D$8001,4,FALSE())</f>
        <v>806</v>
      </c>
      <c r="AW70" s="0" t="n">
        <f aca="false">VLOOKUP(AW$1+1000*$A70,MASTER6!$A$2:$D$8001,4,FALSE())</f>
        <v>16822</v>
      </c>
      <c r="AX70" s="0" t="n">
        <f aca="false">VLOOKUP(AX$1+1000*$A70,MASTER6!$A$2:$D$8001,4,FALSE())</f>
        <v>0</v>
      </c>
      <c r="AY70" s="0" t="n">
        <f aca="false">VLOOKUP(AY$1+1000*$A70,MASTER6!$A$2:$D$8001,4,FALSE())</f>
        <v>0</v>
      </c>
      <c r="AZ70" s="0" t="n">
        <f aca="false">VLOOKUP(AZ$1+1000*$A70,MASTER6!$A$2:$D$8001,4,FALSE())</f>
        <v>0</v>
      </c>
      <c r="BA70" s="0" t="n">
        <f aca="false">VLOOKUP(BA$1+1000*$A70,MASTER6!$A$2:$D$8001,4,FALSE())</f>
        <v>247</v>
      </c>
      <c r="BB70" s="0" t="n">
        <f aca="false">VLOOKUP(BB$1+1000*$A70,MASTER6!$A$2:$D$8001,4,FALSE())</f>
        <v>520</v>
      </c>
      <c r="BC70" s="0" t="n">
        <f aca="false">VLOOKUP(BC$1+1000*$A70,MASTER6!$A$2:$D$8001,4,FALSE())</f>
        <v>0</v>
      </c>
      <c r="BD70" s="0" t="n">
        <f aca="false">VLOOKUP(BD$1+1000*$A70,MASTER6!$A$2:$D$8001,4,FALSE())</f>
        <v>182</v>
      </c>
      <c r="BE70" s="0" t="n">
        <f aca="false">VLOOKUP(BE$1+1000*$A70,MASTER6!$A$2:$D$8001,4,FALSE())</f>
        <v>65</v>
      </c>
      <c r="BF70" s="0" t="n">
        <f aca="false">VLOOKUP(BF$1+1000*$A70,MASTER6!$A$2:$D$8001,4,FALSE())</f>
        <v>481</v>
      </c>
      <c r="BG70" s="0" t="n">
        <f aca="false">VLOOKUP(BG$1+1000*$A70,MASTER6!$A$2:$D$8001,4,FALSE())</f>
        <v>247</v>
      </c>
      <c r="BH70" s="0" t="n">
        <f aca="false">VLOOKUP(BH$1+1000*$A70,MASTER6!$A$2:$D$8001,4,FALSE())</f>
        <v>1469</v>
      </c>
      <c r="BI70" s="0" t="n">
        <f aca="false">VLOOKUP(BI$1+1000*$A70,MASTER6!$A$2:$D$8001,4,FALSE())</f>
        <v>728</v>
      </c>
      <c r="BJ70" s="0" t="n">
        <f aca="false">VLOOKUP(BJ$1+1000*$A70,MASTER6!$A$2:$D$8001,4,FALSE())</f>
        <v>143</v>
      </c>
      <c r="BK70" s="0" t="n">
        <f aca="false">VLOOKUP(BK$1+1000*$A70,MASTER6!$A$2:$D$8001,4,FALSE())</f>
        <v>455</v>
      </c>
      <c r="BL70" s="0" t="n">
        <f aca="false">VLOOKUP(BL$1+1000*$A70,MASTER6!$A$2:$D$8001,4,FALSE())</f>
        <v>637</v>
      </c>
      <c r="BM70" s="0" t="n">
        <f aca="false">VLOOKUP(BM$1+1000*$A70,MASTER6!$A$2:$D$8001,4,FALSE())</f>
        <v>11141</v>
      </c>
      <c r="BN70" s="0" t="n">
        <f aca="false">VLOOKUP(BN$1+1000*$A70,MASTER6!$A$2:$D$8001,4,FALSE())</f>
        <v>4927</v>
      </c>
      <c r="BO70" s="0" t="n">
        <f aca="false">VLOOKUP(BO$1+1000*$A70,MASTER6!$A$2:$D$8001,4,FALSE())</f>
        <v>2496</v>
      </c>
      <c r="BP70" s="0" t="n">
        <f aca="false">VLOOKUP(BP$1+1000*$A70,MASTER6!$A$2:$D$8001,4,FALSE())</f>
        <v>117</v>
      </c>
      <c r="BQ70" s="0" t="n">
        <f aca="false">VLOOKUP(BQ$1+1000*$A70,MASTER6!$A$2:$D$8001,4,FALSE())</f>
        <v>3302</v>
      </c>
      <c r="BR70" s="0" t="n">
        <f aca="false">VLOOKUP(BR$1+1000*$A70,MASTER6!$A$2:$D$8001,4,FALSE())</f>
        <v>216515</v>
      </c>
      <c r="BS70" s="0" t="n">
        <f aca="false">VLOOKUP(BS$1+1000*$A70,MASTER6!$A$2:$D$8001,4,FALSE())</f>
        <v>1287</v>
      </c>
      <c r="BT70" s="0" t="n">
        <f aca="false">VLOOKUP(BT$1+1000*$A70,MASTER6!$A$2:$D$8001,4,FALSE())</f>
        <v>3172</v>
      </c>
      <c r="BU70" s="0" t="n">
        <f aca="false">VLOOKUP(BU$1+1000*$A70,MASTER6!$A$2:$D$8001,4,FALSE())</f>
        <v>12818</v>
      </c>
      <c r="BV70" s="0" t="n">
        <f aca="false">VLOOKUP(BV$1+1000*$A70,MASTER6!$A$2:$D$8001,4,FALSE())</f>
        <v>0</v>
      </c>
      <c r="BW70" s="0" t="e">
        <f aca="false">VLOOKUP(BW$1+1000*$A70,MASTER6!$A$2:$D$8001,4,FALSE())</f>
        <v>#N/A</v>
      </c>
      <c r="BX70" s="0" t="n">
        <f aca="false">VLOOKUP(BX$1+1000*$A70,MASTER6!$A$2:$D$8001,4,FALSE())</f>
        <v>0</v>
      </c>
      <c r="BY70" s="0" t="n">
        <f aca="false">VLOOKUP(BY$1+1000*$A70,MASTER6!$A$2:$D$8001,4,FALSE())</f>
        <v>104</v>
      </c>
      <c r="BZ70" s="0" t="n">
        <f aca="false">VLOOKUP(BZ$1+1000*$A70,MASTER6!$A$2:$D$8001,4,FALSE())</f>
        <v>143</v>
      </c>
      <c r="CA70" s="0" t="n">
        <f aca="false">VLOOKUP(CA$1+1000*$A70,MASTER6!$A$2:$D$8001,4,FALSE())</f>
        <v>0</v>
      </c>
      <c r="CB70" s="0" t="n">
        <f aca="false">VLOOKUP(CB$1+1000*$A70,MASTER6!$A$2:$D$8001,4,FALSE())</f>
        <v>0</v>
      </c>
      <c r="CC70" s="0" t="n">
        <f aca="false">VLOOKUP(CC$1+1000*$A70,MASTER6!$A$2:$D$8001,4,FALSE())</f>
        <v>104</v>
      </c>
      <c r="CD70" s="0" t="n">
        <f aca="false">VLOOKUP(CD$1+1000*$A70,MASTER6!$A$2:$D$8001,4,FALSE())</f>
        <v>23660</v>
      </c>
      <c r="CE70" s="0" t="n">
        <f aca="false">VLOOKUP(CE$1+1000*$A70,MASTER6!$A$2:$D$8001,4,FALSE())</f>
        <v>4095</v>
      </c>
      <c r="CF70" s="0" t="n">
        <f aca="false">VLOOKUP(CF$1+1000*$A70,MASTER6!$A$2:$D$8001,4,FALSE())</f>
        <v>0</v>
      </c>
      <c r="CG70" s="0" t="n">
        <f aca="false">VLOOKUP(CG$1+1000*$A70,MASTER6!$A$2:$D$8001,4,FALSE())</f>
        <v>8879</v>
      </c>
      <c r="CH70" s="0" t="n">
        <f aca="false">VLOOKUP(CH$1+1000*$A70,MASTER6!$A$2:$D$8001,4,FALSE())</f>
        <v>497731</v>
      </c>
      <c r="CI70" s="0" t="n">
        <f aca="false">VLOOKUP(CI$1+1000*$A70,MASTER6!$A$2:$D$8001,4,FALSE())</f>
        <v>0</v>
      </c>
      <c r="CJ70" s="0" t="e">
        <f aca="false">VLOOKUP(CJ$1+1000*$A70,MASTER6!$A$2:$D$8001,4,FALSE())</f>
        <v>#N/A</v>
      </c>
    </row>
    <row r="71" customFormat="false" ht="12.75" hidden="false" customHeight="false" outlineLevel="0" collapsed="false">
      <c r="A71" s="0" t="n">
        <v>70</v>
      </c>
      <c r="B71" s="0" t="n">
        <f aca="false">VLOOKUP(B$1+1000*$A71,MASTER6!$A$2:$D$8001,4,FALSE())</f>
        <v>0</v>
      </c>
      <c r="C71" s="0" t="n">
        <f aca="false">VLOOKUP(C$1+1000*$A71,MASTER6!$A$2:$D$8001,4,FALSE())</f>
        <v>104</v>
      </c>
      <c r="D71" s="0" t="n">
        <f aca="false">VLOOKUP(D$1+1000*$A71,MASTER6!$A$2:$D$8001,4,FALSE())</f>
        <v>117</v>
      </c>
      <c r="E71" s="0" t="n">
        <f aca="false">VLOOKUP(E$1+1000*$A71,MASTER6!$A$2:$D$8001,4,FALSE())</f>
        <v>0</v>
      </c>
      <c r="F71" s="0" t="n">
        <f aca="false">VLOOKUP(F$1+1000*$A71,MASTER6!$A$2:$D$8001,4,FALSE())</f>
        <v>0</v>
      </c>
      <c r="G71" s="0" t="n">
        <f aca="false">VLOOKUP(G$1+1000*$A71,MASTER6!$A$2:$D$8001,4,FALSE())</f>
        <v>0</v>
      </c>
      <c r="H71" s="0" t="n">
        <f aca="false">VLOOKUP(H$1+1000*$A71,MASTER6!$A$2:$D$8001,4,FALSE())</f>
        <v>0</v>
      </c>
      <c r="I71" s="0" t="n">
        <f aca="false">VLOOKUP(I$1+1000*$A71,MASTER6!$A$2:$D$8001,4,FALSE())</f>
        <v>0</v>
      </c>
      <c r="J71" s="0" t="n">
        <f aca="false">VLOOKUP(J$1+1000*$A71,MASTER6!$A$2:$D$8001,4,FALSE())</f>
        <v>0</v>
      </c>
      <c r="K71" s="0" t="n">
        <f aca="false">VLOOKUP(K$1+1000*$A71,MASTER6!$A$2:$D$8001,4,FALSE())</f>
        <v>0</v>
      </c>
      <c r="L71" s="0" t="n">
        <f aca="false">VLOOKUP(L$1+1000*$A71,MASTER6!$A$2:$D$8001,4,FALSE())</f>
        <v>0</v>
      </c>
      <c r="M71" s="0" t="n">
        <f aca="false">VLOOKUP(M$1+1000*$A71,MASTER6!$A$2:$D$8001,4,FALSE())</f>
        <v>0</v>
      </c>
      <c r="N71" s="0" t="n">
        <f aca="false">VLOOKUP(N$1+1000*$A71,MASTER6!$A$2:$D$8001,4,FALSE())</f>
        <v>0</v>
      </c>
      <c r="O71" s="0" t="n">
        <f aca="false">VLOOKUP(O$1+1000*$A71,MASTER6!$A$2:$D$8001,4,FALSE())</f>
        <v>0</v>
      </c>
      <c r="P71" s="0" t="n">
        <f aca="false">VLOOKUP(P$1+1000*$A71,MASTER6!$A$2:$D$8001,4,FALSE())</f>
        <v>0</v>
      </c>
      <c r="Q71" s="0" t="n">
        <f aca="false">VLOOKUP(Q$1+1000*$A71,MASTER6!$A$2:$D$8001,4,FALSE())</f>
        <v>0</v>
      </c>
      <c r="R71" s="0" t="n">
        <f aca="false">VLOOKUP(R$1+1000*$A71,MASTER6!$A$2:$D$8001,4,FALSE())</f>
        <v>0</v>
      </c>
      <c r="S71" s="0" t="n">
        <f aca="false">VLOOKUP(S$1+1000*$A71,MASTER6!$A$2:$D$8001,4,FALSE())</f>
        <v>0</v>
      </c>
      <c r="T71" s="0" t="n">
        <f aca="false">VLOOKUP(T$1+1000*$A71,MASTER6!$A$2:$D$8001,4,FALSE())</f>
        <v>0</v>
      </c>
      <c r="U71" s="0" t="n">
        <f aca="false">VLOOKUP(U$1+1000*$A71,MASTER6!$A$2:$D$8001,4,FALSE())</f>
        <v>0</v>
      </c>
      <c r="V71" s="0" t="n">
        <f aca="false">VLOOKUP(V$1+1000*$A71,MASTER6!$A$2:$D$8001,4,FALSE())</f>
        <v>0</v>
      </c>
      <c r="W71" s="0" t="n">
        <f aca="false">VLOOKUP(W$1+1000*$A71,MASTER6!$A$2:$D$8001,4,FALSE())</f>
        <v>0</v>
      </c>
      <c r="X71" s="0" t="n">
        <f aca="false">VLOOKUP(X$1+1000*$A71,MASTER6!$A$2:$D$8001,4,FALSE())</f>
        <v>0</v>
      </c>
      <c r="Y71" s="0" t="n">
        <f aca="false">VLOOKUP(Y$1+1000*$A71,MASTER6!$A$2:$D$8001,4,FALSE())</f>
        <v>0</v>
      </c>
      <c r="Z71" s="0" t="n">
        <f aca="false">VLOOKUP(Z$1+1000*$A71,MASTER6!$A$2:$D$8001,4,FALSE())</f>
        <v>0</v>
      </c>
      <c r="AA71" s="0" t="n">
        <f aca="false">VLOOKUP(AA$1+1000*$A71,MASTER6!$A$2:$D$8001,4,FALSE())</f>
        <v>0</v>
      </c>
      <c r="AB71" s="0" t="n">
        <f aca="false">VLOOKUP(AB$1+1000*$A71,MASTER6!$A$2:$D$8001,4,FALSE())</f>
        <v>0</v>
      </c>
      <c r="AC71" s="0" t="n">
        <f aca="false">VLOOKUP(AC$1+1000*$A71,MASTER6!$A$2:$D$8001,4,FALSE())</f>
        <v>0</v>
      </c>
      <c r="AD71" s="0" t="n">
        <f aca="false">VLOOKUP(AD$1+1000*$A71,MASTER6!$A$2:$D$8001,4,FALSE())</f>
        <v>0</v>
      </c>
      <c r="AE71" s="0" t="n">
        <f aca="false">VLOOKUP(AE$1+1000*$A71,MASTER6!$A$2:$D$8001,4,FALSE())</f>
        <v>0</v>
      </c>
      <c r="AF71" s="0" t="n">
        <f aca="false">VLOOKUP(AF$1+1000*$A71,MASTER6!$A$2:$D$8001,4,FALSE())</f>
        <v>0</v>
      </c>
      <c r="AG71" s="0" t="n">
        <f aca="false">VLOOKUP(AG$1+1000*$A71,MASTER6!$A$2:$D$8001,4,FALSE())</f>
        <v>0</v>
      </c>
      <c r="AH71" s="0" t="n">
        <f aca="false">VLOOKUP(AH$1+1000*$A71,MASTER6!$A$2:$D$8001,4,FALSE())</f>
        <v>52</v>
      </c>
      <c r="AI71" s="0" t="n">
        <f aca="false">VLOOKUP(AI$1+1000*$A71,MASTER6!$A$2:$D$8001,4,FALSE())</f>
        <v>0</v>
      </c>
      <c r="AJ71" s="0" t="n">
        <f aca="false">VLOOKUP(AJ$1+1000*$A71,MASTER6!$A$2:$D$8001,4,FALSE())</f>
        <v>0</v>
      </c>
      <c r="AK71" s="0" t="n">
        <f aca="false">VLOOKUP(AK$1+1000*$A71,MASTER6!$A$2:$D$8001,4,FALSE())</f>
        <v>0</v>
      </c>
      <c r="AL71" s="0" t="n">
        <f aca="false">VLOOKUP(AL$1+1000*$A71,MASTER6!$A$2:$D$8001,4,FALSE())</f>
        <v>0</v>
      </c>
      <c r="AM71" s="0" t="n">
        <f aca="false">VLOOKUP(AM$1+1000*$A71,MASTER6!$A$2:$D$8001,4,FALSE())</f>
        <v>0</v>
      </c>
      <c r="AN71" s="0" t="n">
        <f aca="false">VLOOKUP(AN$1+1000*$A71,MASTER6!$A$2:$D$8001,4,FALSE())</f>
        <v>0</v>
      </c>
      <c r="AO71" s="0" t="n">
        <f aca="false">VLOOKUP(AO$1+1000*$A71,MASTER6!$A$2:$D$8001,4,FALSE())</f>
        <v>0</v>
      </c>
      <c r="AP71" s="0" t="n">
        <f aca="false">VLOOKUP(AP$1+1000*$A71,MASTER6!$A$2:$D$8001,4,FALSE())</f>
        <v>0</v>
      </c>
      <c r="AQ71" s="0" t="n">
        <f aca="false">VLOOKUP(AQ$1+1000*$A71,MASTER6!$A$2:$D$8001,4,FALSE())</f>
        <v>78</v>
      </c>
      <c r="AR71" s="0" t="n">
        <f aca="false">VLOOKUP(AR$1+1000*$A71,MASTER6!$A$2:$D$8001,4,FALSE())</f>
        <v>0</v>
      </c>
      <c r="AS71" s="0" t="n">
        <f aca="false">VLOOKUP(AS$1+1000*$A71,MASTER6!$A$2:$D$8001,4,FALSE())</f>
        <v>0</v>
      </c>
      <c r="AT71" s="0" t="n">
        <f aca="false">VLOOKUP(AT$1+1000*$A71,MASTER6!$A$2:$D$8001,4,FALSE())</f>
        <v>0</v>
      </c>
      <c r="AU71" s="0" t="n">
        <f aca="false">VLOOKUP(AU$1+1000*$A71,MASTER6!$A$2:$D$8001,4,FALSE())</f>
        <v>0</v>
      </c>
      <c r="AV71" s="0" t="n">
        <f aca="false">VLOOKUP(AV$1+1000*$A71,MASTER6!$A$2:$D$8001,4,FALSE())</f>
        <v>0</v>
      </c>
      <c r="AW71" s="0" t="n">
        <f aca="false">VLOOKUP(AW$1+1000*$A71,MASTER6!$A$2:$D$8001,4,FALSE())</f>
        <v>1625</v>
      </c>
      <c r="AX71" s="0" t="n">
        <f aca="false">VLOOKUP(AX$1+1000*$A71,MASTER6!$A$2:$D$8001,4,FALSE())</f>
        <v>0</v>
      </c>
      <c r="AY71" s="0" t="n">
        <f aca="false">VLOOKUP(AY$1+1000*$A71,MASTER6!$A$2:$D$8001,4,FALSE())</f>
        <v>0</v>
      </c>
      <c r="AZ71" s="0" t="n">
        <f aca="false">VLOOKUP(AZ$1+1000*$A71,MASTER6!$A$2:$D$8001,4,FALSE())</f>
        <v>0</v>
      </c>
      <c r="BA71" s="0" t="n">
        <f aca="false">VLOOKUP(BA$1+1000*$A71,MASTER6!$A$2:$D$8001,4,FALSE())</f>
        <v>91</v>
      </c>
      <c r="BB71" s="0" t="n">
        <f aca="false">VLOOKUP(BB$1+1000*$A71,MASTER6!$A$2:$D$8001,4,FALSE())</f>
        <v>286</v>
      </c>
      <c r="BC71" s="0" t="n">
        <f aca="false">VLOOKUP(BC$1+1000*$A71,MASTER6!$A$2:$D$8001,4,FALSE())</f>
        <v>507</v>
      </c>
      <c r="BD71" s="0" t="n">
        <f aca="false">VLOOKUP(BD$1+1000*$A71,MASTER6!$A$2:$D$8001,4,FALSE())</f>
        <v>234</v>
      </c>
      <c r="BE71" s="0" t="n">
        <f aca="false">VLOOKUP(BE$1+1000*$A71,MASTER6!$A$2:$D$8001,4,FALSE())</f>
        <v>0</v>
      </c>
      <c r="BF71" s="0" t="n">
        <f aca="false">VLOOKUP(BF$1+1000*$A71,MASTER6!$A$2:$D$8001,4,FALSE())</f>
        <v>0</v>
      </c>
      <c r="BG71" s="0" t="n">
        <f aca="false">VLOOKUP(BG$1+1000*$A71,MASTER6!$A$2:$D$8001,4,FALSE())</f>
        <v>780</v>
      </c>
      <c r="BH71" s="0" t="n">
        <f aca="false">VLOOKUP(BH$1+1000*$A71,MASTER6!$A$2:$D$8001,4,FALSE())</f>
        <v>3120</v>
      </c>
      <c r="BI71" s="0" t="n">
        <f aca="false">VLOOKUP(BI$1+1000*$A71,MASTER6!$A$2:$D$8001,4,FALSE())</f>
        <v>0</v>
      </c>
      <c r="BJ71" s="0" t="n">
        <f aca="false">VLOOKUP(BJ$1+1000*$A71,MASTER6!$A$2:$D$8001,4,FALSE())</f>
        <v>286</v>
      </c>
      <c r="BK71" s="0" t="n">
        <f aca="false">VLOOKUP(BK$1+1000*$A71,MASTER6!$A$2:$D$8001,4,FALSE())</f>
        <v>260</v>
      </c>
      <c r="BL71" s="0" t="n">
        <f aca="false">VLOOKUP(BL$1+1000*$A71,MASTER6!$A$2:$D$8001,4,FALSE())</f>
        <v>936</v>
      </c>
      <c r="BM71" s="0" t="n">
        <f aca="false">VLOOKUP(BM$1+1000*$A71,MASTER6!$A$2:$D$8001,4,FALSE())</f>
        <v>7852</v>
      </c>
      <c r="BN71" s="0" t="n">
        <f aca="false">VLOOKUP(BN$1+1000*$A71,MASTER6!$A$2:$D$8001,4,FALSE())</f>
        <v>2574</v>
      </c>
      <c r="BO71" s="0" t="n">
        <f aca="false">VLOOKUP(BO$1+1000*$A71,MASTER6!$A$2:$D$8001,4,FALSE())</f>
        <v>104</v>
      </c>
      <c r="BP71" s="0" t="n">
        <f aca="false">VLOOKUP(BP$1+1000*$A71,MASTER6!$A$2:$D$8001,4,FALSE())</f>
        <v>0</v>
      </c>
      <c r="BQ71" s="0" t="n">
        <f aca="false">VLOOKUP(BQ$1+1000*$A71,MASTER6!$A$2:$D$8001,4,FALSE())</f>
        <v>0</v>
      </c>
      <c r="BR71" s="0" t="n">
        <f aca="false">VLOOKUP(BR$1+1000*$A71,MASTER6!$A$2:$D$8001,4,FALSE())</f>
        <v>1456</v>
      </c>
      <c r="BS71" s="0" t="n">
        <f aca="false">VLOOKUP(BS$1+1000*$A71,MASTER6!$A$2:$D$8001,4,FALSE())</f>
        <v>10049</v>
      </c>
      <c r="BT71" s="0" t="n">
        <f aca="false">VLOOKUP(BT$1+1000*$A71,MASTER6!$A$2:$D$8001,4,FALSE())</f>
        <v>4628</v>
      </c>
      <c r="BU71" s="0" t="n">
        <f aca="false">VLOOKUP(BU$1+1000*$A71,MASTER6!$A$2:$D$8001,4,FALSE())</f>
        <v>10933</v>
      </c>
      <c r="BV71" s="0" t="n">
        <f aca="false">VLOOKUP(BV$1+1000*$A71,MASTER6!$A$2:$D$8001,4,FALSE())</f>
        <v>0</v>
      </c>
      <c r="BW71" s="0" t="e">
        <f aca="false">VLOOKUP(BW$1+1000*$A71,MASTER6!$A$2:$D$8001,4,FALSE())</f>
        <v>#N/A</v>
      </c>
      <c r="BX71" s="0" t="n">
        <f aca="false">VLOOKUP(BX$1+1000*$A71,MASTER6!$A$2:$D$8001,4,FALSE())</f>
        <v>0</v>
      </c>
      <c r="BY71" s="0" t="n">
        <f aca="false">VLOOKUP(BY$1+1000*$A71,MASTER6!$A$2:$D$8001,4,FALSE())</f>
        <v>0</v>
      </c>
      <c r="BZ71" s="0" t="n">
        <f aca="false">VLOOKUP(BZ$1+1000*$A71,MASTER6!$A$2:$D$8001,4,FALSE())</f>
        <v>0</v>
      </c>
      <c r="CA71" s="0" t="n">
        <f aca="false">VLOOKUP(CA$1+1000*$A71,MASTER6!$A$2:$D$8001,4,FALSE())</f>
        <v>0</v>
      </c>
      <c r="CB71" s="0" t="n">
        <f aca="false">VLOOKUP(CB$1+1000*$A71,MASTER6!$A$2:$D$8001,4,FALSE())</f>
        <v>0</v>
      </c>
      <c r="CC71" s="0" t="n">
        <f aca="false">VLOOKUP(CC$1+1000*$A71,MASTER6!$A$2:$D$8001,4,FALSE())</f>
        <v>0</v>
      </c>
      <c r="CD71" s="0" t="n">
        <f aca="false">VLOOKUP(CD$1+1000*$A71,MASTER6!$A$2:$D$8001,4,FALSE())</f>
        <v>663</v>
      </c>
      <c r="CE71" s="0" t="n">
        <f aca="false">VLOOKUP(CE$1+1000*$A71,MASTER6!$A$2:$D$8001,4,FALSE())</f>
        <v>845</v>
      </c>
      <c r="CF71" s="0" t="n">
        <f aca="false">VLOOKUP(CF$1+1000*$A71,MASTER6!$A$2:$D$8001,4,FALSE())</f>
        <v>0</v>
      </c>
      <c r="CG71" s="0" t="n">
        <f aca="false">VLOOKUP(CG$1+1000*$A71,MASTER6!$A$2:$D$8001,4,FALSE())</f>
        <v>78</v>
      </c>
      <c r="CH71" s="0" t="n">
        <f aca="false">VLOOKUP(CH$1+1000*$A71,MASTER6!$A$2:$D$8001,4,FALSE())</f>
        <v>52624</v>
      </c>
      <c r="CI71" s="0" t="n">
        <f aca="false">VLOOKUP(CI$1+1000*$A71,MASTER6!$A$2:$D$8001,4,FALSE())</f>
        <v>0</v>
      </c>
      <c r="CJ71" s="0" t="e">
        <f aca="false">VLOOKUP(CJ$1+1000*$A71,MASTER6!$A$2:$D$8001,4,FALSE())</f>
        <v>#N/A</v>
      </c>
    </row>
    <row r="72" customFormat="false" ht="12.75" hidden="false" customHeight="false" outlineLevel="0" collapsed="false">
      <c r="A72" s="0" t="n">
        <v>71</v>
      </c>
      <c r="B72" s="0" t="n">
        <f aca="false">VLOOKUP(B$1+1000*$A72,MASTER6!$A$2:$D$8001,4,FALSE())</f>
        <v>0</v>
      </c>
      <c r="C72" s="0" t="n">
        <f aca="false">VLOOKUP(C$1+1000*$A72,MASTER6!$A$2:$D$8001,4,FALSE())</f>
        <v>0</v>
      </c>
      <c r="D72" s="0" t="n">
        <f aca="false">VLOOKUP(D$1+1000*$A72,MASTER6!$A$2:$D$8001,4,FALSE())</f>
        <v>0</v>
      </c>
      <c r="E72" s="0" t="n">
        <f aca="false">VLOOKUP(E$1+1000*$A72,MASTER6!$A$2:$D$8001,4,FALSE())</f>
        <v>0</v>
      </c>
      <c r="F72" s="0" t="n">
        <f aca="false">VLOOKUP(F$1+1000*$A72,MASTER6!$A$2:$D$8001,4,FALSE())</f>
        <v>0</v>
      </c>
      <c r="G72" s="0" t="n">
        <f aca="false">VLOOKUP(G$1+1000*$A72,MASTER6!$A$2:$D$8001,4,FALSE())</f>
        <v>0</v>
      </c>
      <c r="H72" s="0" t="n">
        <f aca="false">VLOOKUP(H$1+1000*$A72,MASTER6!$A$2:$D$8001,4,FALSE())</f>
        <v>0</v>
      </c>
      <c r="I72" s="0" t="n">
        <f aca="false">VLOOKUP(I$1+1000*$A72,MASTER6!$A$2:$D$8001,4,FALSE())</f>
        <v>0</v>
      </c>
      <c r="J72" s="0" t="n">
        <f aca="false">VLOOKUP(J$1+1000*$A72,MASTER6!$A$2:$D$8001,4,FALSE())</f>
        <v>0</v>
      </c>
      <c r="K72" s="0" t="n">
        <f aca="false">VLOOKUP(K$1+1000*$A72,MASTER6!$A$2:$D$8001,4,FALSE())</f>
        <v>0</v>
      </c>
      <c r="L72" s="0" t="n">
        <f aca="false">VLOOKUP(L$1+1000*$A72,MASTER6!$A$2:$D$8001,4,FALSE())</f>
        <v>0</v>
      </c>
      <c r="M72" s="0" t="n">
        <f aca="false">VLOOKUP(M$1+1000*$A72,MASTER6!$A$2:$D$8001,4,FALSE())</f>
        <v>0</v>
      </c>
      <c r="N72" s="0" t="n">
        <f aca="false">VLOOKUP(N$1+1000*$A72,MASTER6!$A$2:$D$8001,4,FALSE())</f>
        <v>0</v>
      </c>
      <c r="O72" s="0" t="n">
        <f aca="false">VLOOKUP(O$1+1000*$A72,MASTER6!$A$2:$D$8001,4,FALSE())</f>
        <v>0</v>
      </c>
      <c r="P72" s="0" t="n">
        <f aca="false">VLOOKUP(P$1+1000*$A72,MASTER6!$A$2:$D$8001,4,FALSE())</f>
        <v>156</v>
      </c>
      <c r="Q72" s="0" t="n">
        <f aca="false">VLOOKUP(Q$1+1000*$A72,MASTER6!$A$2:$D$8001,4,FALSE())</f>
        <v>0</v>
      </c>
      <c r="R72" s="0" t="n">
        <f aca="false">VLOOKUP(R$1+1000*$A72,MASTER6!$A$2:$D$8001,4,FALSE())</f>
        <v>0</v>
      </c>
      <c r="S72" s="0" t="n">
        <f aca="false">VLOOKUP(S$1+1000*$A72,MASTER6!$A$2:$D$8001,4,FALSE())</f>
        <v>0</v>
      </c>
      <c r="T72" s="0" t="n">
        <f aca="false">VLOOKUP(T$1+1000*$A72,MASTER6!$A$2:$D$8001,4,FALSE())</f>
        <v>247</v>
      </c>
      <c r="U72" s="0" t="n">
        <f aca="false">VLOOKUP(U$1+1000*$A72,MASTER6!$A$2:$D$8001,4,FALSE())</f>
        <v>0</v>
      </c>
      <c r="V72" s="0" t="n">
        <f aca="false">VLOOKUP(V$1+1000*$A72,MASTER6!$A$2:$D$8001,4,FALSE())</f>
        <v>0</v>
      </c>
      <c r="W72" s="0" t="n">
        <f aca="false">VLOOKUP(W$1+1000*$A72,MASTER6!$A$2:$D$8001,4,FALSE())</f>
        <v>0</v>
      </c>
      <c r="X72" s="0" t="n">
        <f aca="false">VLOOKUP(X$1+1000*$A72,MASTER6!$A$2:$D$8001,4,FALSE())</f>
        <v>130</v>
      </c>
      <c r="Y72" s="0" t="n">
        <f aca="false">VLOOKUP(Y$1+1000*$A72,MASTER6!$A$2:$D$8001,4,FALSE())</f>
        <v>0</v>
      </c>
      <c r="Z72" s="0" t="n">
        <f aca="false">VLOOKUP(Z$1+1000*$A72,MASTER6!$A$2:$D$8001,4,FALSE())</f>
        <v>0</v>
      </c>
      <c r="AA72" s="0" t="n">
        <f aca="false">VLOOKUP(AA$1+1000*$A72,MASTER6!$A$2:$D$8001,4,FALSE())</f>
        <v>0</v>
      </c>
      <c r="AB72" s="0" t="n">
        <f aca="false">VLOOKUP(AB$1+1000*$A72,MASTER6!$A$2:$D$8001,4,FALSE())</f>
        <v>0</v>
      </c>
      <c r="AC72" s="0" t="n">
        <f aca="false">VLOOKUP(AC$1+1000*$A72,MASTER6!$A$2:$D$8001,4,FALSE())</f>
        <v>0</v>
      </c>
      <c r="AD72" s="0" t="n">
        <f aca="false">VLOOKUP(AD$1+1000*$A72,MASTER6!$A$2:$D$8001,4,FALSE())</f>
        <v>0</v>
      </c>
      <c r="AE72" s="0" t="n">
        <f aca="false">VLOOKUP(AE$1+1000*$A72,MASTER6!$A$2:$D$8001,4,FALSE())</f>
        <v>0</v>
      </c>
      <c r="AF72" s="0" t="n">
        <f aca="false">VLOOKUP(AF$1+1000*$A72,MASTER6!$A$2:$D$8001,4,FALSE())</f>
        <v>0</v>
      </c>
      <c r="AG72" s="0" t="n">
        <f aca="false">VLOOKUP(AG$1+1000*$A72,MASTER6!$A$2:$D$8001,4,FALSE())</f>
        <v>0</v>
      </c>
      <c r="AH72" s="0" t="n">
        <f aca="false">VLOOKUP(AH$1+1000*$A72,MASTER6!$A$2:$D$8001,4,FALSE())</f>
        <v>0</v>
      </c>
      <c r="AI72" s="0" t="n">
        <f aca="false">VLOOKUP(AI$1+1000*$A72,MASTER6!$A$2:$D$8001,4,FALSE())</f>
        <v>0</v>
      </c>
      <c r="AJ72" s="0" t="n">
        <f aca="false">VLOOKUP(AJ$1+1000*$A72,MASTER6!$A$2:$D$8001,4,FALSE())</f>
        <v>0</v>
      </c>
      <c r="AK72" s="0" t="n">
        <f aca="false">VLOOKUP(AK$1+1000*$A72,MASTER6!$A$2:$D$8001,4,FALSE())</f>
        <v>0</v>
      </c>
      <c r="AL72" s="0" t="n">
        <f aca="false">VLOOKUP(AL$1+1000*$A72,MASTER6!$A$2:$D$8001,4,FALSE())</f>
        <v>0</v>
      </c>
      <c r="AM72" s="0" t="n">
        <f aca="false">VLOOKUP(AM$1+1000*$A72,MASTER6!$A$2:$D$8001,4,FALSE())</f>
        <v>0</v>
      </c>
      <c r="AN72" s="0" t="n">
        <f aca="false">VLOOKUP(AN$1+1000*$A72,MASTER6!$A$2:$D$8001,4,FALSE())</f>
        <v>0</v>
      </c>
      <c r="AO72" s="0" t="n">
        <f aca="false">VLOOKUP(AO$1+1000*$A72,MASTER6!$A$2:$D$8001,4,FALSE())</f>
        <v>0</v>
      </c>
      <c r="AP72" s="0" t="n">
        <f aca="false">VLOOKUP(AP$1+1000*$A72,MASTER6!$A$2:$D$8001,4,FALSE())</f>
        <v>0</v>
      </c>
      <c r="AQ72" s="0" t="n">
        <f aca="false">VLOOKUP(AQ$1+1000*$A72,MASTER6!$A$2:$D$8001,4,FALSE())</f>
        <v>494</v>
      </c>
      <c r="AR72" s="0" t="n">
        <f aca="false">VLOOKUP(AR$1+1000*$A72,MASTER6!$A$2:$D$8001,4,FALSE())</f>
        <v>143</v>
      </c>
      <c r="AS72" s="0" t="n">
        <f aca="false">VLOOKUP(AS$1+1000*$A72,MASTER6!$A$2:$D$8001,4,FALSE())</f>
        <v>221</v>
      </c>
      <c r="AT72" s="0" t="n">
        <f aca="false">VLOOKUP(AT$1+1000*$A72,MASTER6!$A$2:$D$8001,4,FALSE())</f>
        <v>0</v>
      </c>
      <c r="AU72" s="0" t="n">
        <f aca="false">VLOOKUP(AU$1+1000*$A72,MASTER6!$A$2:$D$8001,4,FALSE())</f>
        <v>78</v>
      </c>
      <c r="AV72" s="0" t="n">
        <f aca="false">VLOOKUP(AV$1+1000*$A72,MASTER6!$A$2:$D$8001,4,FALSE())</f>
        <v>0</v>
      </c>
      <c r="AW72" s="0" t="n">
        <f aca="false">VLOOKUP(AW$1+1000*$A72,MASTER6!$A$2:$D$8001,4,FALSE())</f>
        <v>3198</v>
      </c>
      <c r="AX72" s="0" t="n">
        <f aca="false">VLOOKUP(AX$1+1000*$A72,MASTER6!$A$2:$D$8001,4,FALSE())</f>
        <v>0</v>
      </c>
      <c r="AY72" s="0" t="n">
        <f aca="false">VLOOKUP(AY$1+1000*$A72,MASTER6!$A$2:$D$8001,4,FALSE())</f>
        <v>0</v>
      </c>
      <c r="AZ72" s="0" t="n">
        <f aca="false">VLOOKUP(AZ$1+1000*$A72,MASTER6!$A$2:$D$8001,4,FALSE())</f>
        <v>0</v>
      </c>
      <c r="BA72" s="0" t="n">
        <f aca="false">VLOOKUP(BA$1+1000*$A72,MASTER6!$A$2:$D$8001,4,FALSE())</f>
        <v>91</v>
      </c>
      <c r="BB72" s="0" t="n">
        <f aca="false">VLOOKUP(BB$1+1000*$A72,MASTER6!$A$2:$D$8001,4,FALSE())</f>
        <v>0</v>
      </c>
      <c r="BC72" s="0" t="n">
        <f aca="false">VLOOKUP(BC$1+1000*$A72,MASTER6!$A$2:$D$8001,4,FALSE())</f>
        <v>663</v>
      </c>
      <c r="BD72" s="0" t="n">
        <f aca="false">VLOOKUP(BD$1+1000*$A72,MASTER6!$A$2:$D$8001,4,FALSE())</f>
        <v>65</v>
      </c>
      <c r="BE72" s="0" t="n">
        <f aca="false">VLOOKUP(BE$1+1000*$A72,MASTER6!$A$2:$D$8001,4,FALSE())</f>
        <v>143</v>
      </c>
      <c r="BF72" s="0" t="n">
        <f aca="false">VLOOKUP(BF$1+1000*$A72,MASTER6!$A$2:$D$8001,4,FALSE())</f>
        <v>0</v>
      </c>
      <c r="BG72" s="0" t="n">
        <f aca="false">VLOOKUP(BG$1+1000*$A72,MASTER6!$A$2:$D$8001,4,FALSE())</f>
        <v>546</v>
      </c>
      <c r="BH72" s="0" t="n">
        <f aca="false">VLOOKUP(BH$1+1000*$A72,MASTER6!$A$2:$D$8001,4,FALSE())</f>
        <v>3289</v>
      </c>
      <c r="BI72" s="0" t="n">
        <f aca="false">VLOOKUP(BI$1+1000*$A72,MASTER6!$A$2:$D$8001,4,FALSE())</f>
        <v>91</v>
      </c>
      <c r="BJ72" s="0" t="n">
        <f aca="false">VLOOKUP(BJ$1+1000*$A72,MASTER6!$A$2:$D$8001,4,FALSE())</f>
        <v>0</v>
      </c>
      <c r="BK72" s="0" t="n">
        <f aca="false">VLOOKUP(BK$1+1000*$A72,MASTER6!$A$2:$D$8001,4,FALSE())</f>
        <v>0</v>
      </c>
      <c r="BL72" s="0" t="n">
        <f aca="false">VLOOKUP(BL$1+1000*$A72,MASTER6!$A$2:$D$8001,4,FALSE())</f>
        <v>143</v>
      </c>
      <c r="BM72" s="0" t="n">
        <f aca="false">VLOOKUP(BM$1+1000*$A72,MASTER6!$A$2:$D$8001,4,FALSE())</f>
        <v>9672</v>
      </c>
      <c r="BN72" s="0" t="n">
        <f aca="false">VLOOKUP(BN$1+1000*$A72,MASTER6!$A$2:$D$8001,4,FALSE())</f>
        <v>2990</v>
      </c>
      <c r="BO72" s="0" t="n">
        <f aca="false">VLOOKUP(BO$1+1000*$A72,MASTER6!$A$2:$D$8001,4,FALSE())</f>
        <v>312</v>
      </c>
      <c r="BP72" s="0" t="n">
        <f aca="false">VLOOKUP(BP$1+1000*$A72,MASTER6!$A$2:$D$8001,4,FALSE())</f>
        <v>0</v>
      </c>
      <c r="BQ72" s="0" t="n">
        <f aca="false">VLOOKUP(BQ$1+1000*$A72,MASTER6!$A$2:$D$8001,4,FALSE())</f>
        <v>0</v>
      </c>
      <c r="BR72" s="0" t="n">
        <f aca="false">VLOOKUP(BR$1+1000*$A72,MASTER6!$A$2:$D$8001,4,FALSE())</f>
        <v>1729</v>
      </c>
      <c r="BS72" s="0" t="n">
        <f aca="false">VLOOKUP(BS$1+1000*$A72,MASTER6!$A$2:$D$8001,4,FALSE())</f>
        <v>3341</v>
      </c>
      <c r="BT72" s="0" t="n">
        <f aca="false">VLOOKUP(BT$1+1000*$A72,MASTER6!$A$2:$D$8001,4,FALSE())</f>
        <v>13234</v>
      </c>
      <c r="BU72" s="0" t="n">
        <f aca="false">VLOOKUP(BU$1+1000*$A72,MASTER6!$A$2:$D$8001,4,FALSE())</f>
        <v>15366</v>
      </c>
      <c r="BV72" s="0" t="n">
        <f aca="false">VLOOKUP(BV$1+1000*$A72,MASTER6!$A$2:$D$8001,4,FALSE())</f>
        <v>0</v>
      </c>
      <c r="BW72" s="0" t="e">
        <f aca="false">VLOOKUP(BW$1+1000*$A72,MASTER6!$A$2:$D$8001,4,FALSE())</f>
        <v>#N/A</v>
      </c>
      <c r="BX72" s="0" t="n">
        <f aca="false">VLOOKUP(BX$1+1000*$A72,MASTER6!$A$2:$D$8001,4,FALSE())</f>
        <v>0</v>
      </c>
      <c r="BY72" s="0" t="n">
        <f aca="false">VLOOKUP(BY$1+1000*$A72,MASTER6!$A$2:$D$8001,4,FALSE())</f>
        <v>0</v>
      </c>
      <c r="BZ72" s="0" t="n">
        <f aca="false">VLOOKUP(BZ$1+1000*$A72,MASTER6!$A$2:$D$8001,4,FALSE())</f>
        <v>0</v>
      </c>
      <c r="CA72" s="0" t="n">
        <f aca="false">VLOOKUP(CA$1+1000*$A72,MASTER6!$A$2:$D$8001,4,FALSE())</f>
        <v>0</v>
      </c>
      <c r="CB72" s="0" t="n">
        <f aca="false">VLOOKUP(CB$1+1000*$A72,MASTER6!$A$2:$D$8001,4,FALSE())</f>
        <v>0</v>
      </c>
      <c r="CC72" s="0" t="n">
        <f aca="false">VLOOKUP(CC$1+1000*$A72,MASTER6!$A$2:$D$8001,4,FALSE())</f>
        <v>0</v>
      </c>
      <c r="CD72" s="0" t="n">
        <f aca="false">VLOOKUP(CD$1+1000*$A72,MASTER6!$A$2:$D$8001,4,FALSE())</f>
        <v>1001</v>
      </c>
      <c r="CE72" s="0" t="n">
        <f aca="false">VLOOKUP(CE$1+1000*$A72,MASTER6!$A$2:$D$8001,4,FALSE())</f>
        <v>234</v>
      </c>
      <c r="CF72" s="0" t="n">
        <f aca="false">VLOOKUP(CF$1+1000*$A72,MASTER6!$A$2:$D$8001,4,FALSE())</f>
        <v>0</v>
      </c>
      <c r="CG72" s="0" t="n">
        <f aca="false">VLOOKUP(CG$1+1000*$A72,MASTER6!$A$2:$D$8001,4,FALSE())</f>
        <v>455</v>
      </c>
      <c r="CH72" s="0" t="n">
        <f aca="false">VLOOKUP(CH$1+1000*$A72,MASTER6!$A$2:$D$8001,4,FALSE())</f>
        <v>77246</v>
      </c>
      <c r="CI72" s="0" t="n">
        <f aca="false">VLOOKUP(CI$1+1000*$A72,MASTER6!$A$2:$D$8001,4,FALSE())</f>
        <v>0</v>
      </c>
      <c r="CJ72" s="0" t="e">
        <f aca="false">VLOOKUP(CJ$1+1000*$A72,MASTER6!$A$2:$D$8001,4,FALSE())</f>
        <v>#N/A</v>
      </c>
    </row>
    <row r="73" customFormat="false" ht="12.75" hidden="false" customHeight="false" outlineLevel="0" collapsed="false">
      <c r="A73" s="0" t="n">
        <v>72</v>
      </c>
      <c r="B73" s="0" t="n">
        <f aca="false">VLOOKUP(B$1+1000*$A73,MASTER6!$A$2:$D$8001,4,FALSE())</f>
        <v>195</v>
      </c>
      <c r="C73" s="0" t="n">
        <f aca="false">VLOOKUP(C$1+1000*$A73,MASTER6!$A$2:$D$8001,4,FALSE())</f>
        <v>442</v>
      </c>
      <c r="D73" s="0" t="n">
        <f aca="false">VLOOKUP(D$1+1000*$A73,MASTER6!$A$2:$D$8001,4,FALSE())</f>
        <v>338</v>
      </c>
      <c r="E73" s="0" t="n">
        <f aca="false">VLOOKUP(E$1+1000*$A73,MASTER6!$A$2:$D$8001,4,FALSE())</f>
        <v>208</v>
      </c>
      <c r="F73" s="0" t="n">
        <f aca="false">VLOOKUP(F$1+1000*$A73,MASTER6!$A$2:$D$8001,4,FALSE())</f>
        <v>0</v>
      </c>
      <c r="G73" s="0" t="n">
        <f aca="false">VLOOKUP(G$1+1000*$A73,MASTER6!$A$2:$D$8001,4,FALSE())</f>
        <v>0</v>
      </c>
      <c r="H73" s="0" t="n">
        <f aca="false">VLOOKUP(H$1+1000*$A73,MASTER6!$A$2:$D$8001,4,FALSE())</f>
        <v>0</v>
      </c>
      <c r="I73" s="0" t="n">
        <f aca="false">VLOOKUP(I$1+1000*$A73,MASTER6!$A$2:$D$8001,4,FALSE())</f>
        <v>0</v>
      </c>
      <c r="J73" s="0" t="n">
        <f aca="false">VLOOKUP(J$1+1000*$A73,MASTER6!$A$2:$D$8001,4,FALSE())</f>
        <v>0</v>
      </c>
      <c r="K73" s="0" t="n">
        <f aca="false">VLOOKUP(K$1+1000*$A73,MASTER6!$A$2:$D$8001,4,FALSE())</f>
        <v>104</v>
      </c>
      <c r="L73" s="0" t="n">
        <f aca="false">VLOOKUP(L$1+1000*$A73,MASTER6!$A$2:$D$8001,4,FALSE())</f>
        <v>78</v>
      </c>
      <c r="M73" s="0" t="n">
        <f aca="false">VLOOKUP(M$1+1000*$A73,MASTER6!$A$2:$D$8001,4,FALSE())</f>
        <v>260</v>
      </c>
      <c r="N73" s="0" t="n">
        <f aca="false">VLOOKUP(N$1+1000*$A73,MASTER6!$A$2:$D$8001,4,FALSE())</f>
        <v>0</v>
      </c>
      <c r="O73" s="0" t="n">
        <f aca="false">VLOOKUP(O$1+1000*$A73,MASTER6!$A$2:$D$8001,4,FALSE())</f>
        <v>117</v>
      </c>
      <c r="P73" s="0" t="n">
        <f aca="false">VLOOKUP(P$1+1000*$A73,MASTER6!$A$2:$D$8001,4,FALSE())</f>
        <v>0</v>
      </c>
      <c r="Q73" s="0" t="n">
        <f aca="false">VLOOKUP(Q$1+1000*$A73,MASTER6!$A$2:$D$8001,4,FALSE())</f>
        <v>0</v>
      </c>
      <c r="R73" s="0" t="n">
        <f aca="false">VLOOKUP(R$1+1000*$A73,MASTER6!$A$2:$D$8001,4,FALSE())</f>
        <v>0</v>
      </c>
      <c r="S73" s="0" t="n">
        <f aca="false">VLOOKUP(S$1+1000*$A73,MASTER6!$A$2:$D$8001,4,FALSE())</f>
        <v>52</v>
      </c>
      <c r="T73" s="0" t="n">
        <f aca="false">VLOOKUP(T$1+1000*$A73,MASTER6!$A$2:$D$8001,4,FALSE())</f>
        <v>26</v>
      </c>
      <c r="U73" s="0" t="n">
        <f aca="false">VLOOKUP(U$1+1000*$A73,MASTER6!$A$2:$D$8001,4,FALSE())</f>
        <v>0</v>
      </c>
      <c r="V73" s="0" t="n">
        <f aca="false">VLOOKUP(V$1+1000*$A73,MASTER6!$A$2:$D$8001,4,FALSE())</f>
        <v>78</v>
      </c>
      <c r="W73" s="0" t="n">
        <f aca="false">VLOOKUP(W$1+1000*$A73,MASTER6!$A$2:$D$8001,4,FALSE())</f>
        <v>0</v>
      </c>
      <c r="X73" s="0" t="n">
        <f aca="false">VLOOKUP(X$1+1000*$A73,MASTER6!$A$2:$D$8001,4,FALSE())</f>
        <v>0</v>
      </c>
      <c r="Y73" s="0" t="n">
        <f aca="false">VLOOKUP(Y$1+1000*$A73,MASTER6!$A$2:$D$8001,4,FALSE())</f>
        <v>65</v>
      </c>
      <c r="Z73" s="0" t="n">
        <f aca="false">VLOOKUP(Z$1+1000*$A73,MASTER6!$A$2:$D$8001,4,FALSE())</f>
        <v>0</v>
      </c>
      <c r="AA73" s="0" t="n">
        <f aca="false">VLOOKUP(AA$1+1000*$A73,MASTER6!$A$2:$D$8001,4,FALSE())</f>
        <v>0</v>
      </c>
      <c r="AB73" s="0" t="n">
        <f aca="false">VLOOKUP(AB$1+1000*$A73,MASTER6!$A$2:$D$8001,4,FALSE())</f>
        <v>0</v>
      </c>
      <c r="AC73" s="0" t="n">
        <f aca="false">VLOOKUP(AC$1+1000*$A73,MASTER6!$A$2:$D$8001,4,FALSE())</f>
        <v>0</v>
      </c>
      <c r="AD73" s="0" t="n">
        <f aca="false">VLOOKUP(AD$1+1000*$A73,MASTER6!$A$2:$D$8001,4,FALSE())</f>
        <v>0</v>
      </c>
      <c r="AE73" s="0" t="n">
        <f aca="false">VLOOKUP(AE$1+1000*$A73,MASTER6!$A$2:$D$8001,4,FALSE())</f>
        <v>117</v>
      </c>
      <c r="AF73" s="0" t="n">
        <f aca="false">VLOOKUP(AF$1+1000*$A73,MASTER6!$A$2:$D$8001,4,FALSE())</f>
        <v>0</v>
      </c>
      <c r="AG73" s="0" t="n">
        <f aca="false">VLOOKUP(AG$1+1000*$A73,MASTER6!$A$2:$D$8001,4,FALSE())</f>
        <v>221</v>
      </c>
      <c r="AH73" s="0" t="n">
        <f aca="false">VLOOKUP(AH$1+1000*$A73,MASTER6!$A$2:$D$8001,4,FALSE())</f>
        <v>273</v>
      </c>
      <c r="AI73" s="0" t="n">
        <f aca="false">VLOOKUP(AI$1+1000*$A73,MASTER6!$A$2:$D$8001,4,FALSE())</f>
        <v>0</v>
      </c>
      <c r="AJ73" s="0" t="n">
        <f aca="false">VLOOKUP(AJ$1+1000*$A73,MASTER6!$A$2:$D$8001,4,FALSE())</f>
        <v>0</v>
      </c>
      <c r="AK73" s="0" t="n">
        <f aca="false">VLOOKUP(AK$1+1000*$A73,MASTER6!$A$2:$D$8001,4,FALSE())</f>
        <v>351</v>
      </c>
      <c r="AL73" s="0" t="n">
        <f aca="false">VLOOKUP(AL$1+1000*$A73,MASTER6!$A$2:$D$8001,4,FALSE())</f>
        <v>91</v>
      </c>
      <c r="AM73" s="0" t="n">
        <f aca="false">VLOOKUP(AM$1+1000*$A73,MASTER6!$A$2:$D$8001,4,FALSE())</f>
        <v>0</v>
      </c>
      <c r="AN73" s="0" t="n">
        <f aca="false">VLOOKUP(AN$1+1000*$A73,MASTER6!$A$2:$D$8001,4,FALSE())</f>
        <v>208</v>
      </c>
      <c r="AO73" s="0" t="n">
        <f aca="false">VLOOKUP(AO$1+1000*$A73,MASTER6!$A$2:$D$8001,4,FALSE())</f>
        <v>0</v>
      </c>
      <c r="AP73" s="0" t="n">
        <f aca="false">VLOOKUP(AP$1+1000*$A73,MASTER6!$A$2:$D$8001,4,FALSE())</f>
        <v>0</v>
      </c>
      <c r="AQ73" s="0" t="n">
        <f aca="false">VLOOKUP(AQ$1+1000*$A73,MASTER6!$A$2:$D$8001,4,FALSE())</f>
        <v>1521</v>
      </c>
      <c r="AR73" s="0" t="n">
        <f aca="false">VLOOKUP(AR$1+1000*$A73,MASTER6!$A$2:$D$8001,4,FALSE())</f>
        <v>351</v>
      </c>
      <c r="AS73" s="0" t="n">
        <f aca="false">VLOOKUP(AS$1+1000*$A73,MASTER6!$A$2:$D$8001,4,FALSE())</f>
        <v>403</v>
      </c>
      <c r="AT73" s="0" t="n">
        <f aca="false">VLOOKUP(AT$1+1000*$A73,MASTER6!$A$2:$D$8001,4,FALSE())</f>
        <v>0</v>
      </c>
      <c r="AU73" s="0" t="n">
        <f aca="false">VLOOKUP(AU$1+1000*$A73,MASTER6!$A$2:$D$8001,4,FALSE())</f>
        <v>767</v>
      </c>
      <c r="AV73" s="0" t="n">
        <f aca="false">VLOOKUP(AV$1+1000*$A73,MASTER6!$A$2:$D$8001,4,FALSE())</f>
        <v>247</v>
      </c>
      <c r="AW73" s="0" t="n">
        <f aca="false">VLOOKUP(AW$1+1000*$A73,MASTER6!$A$2:$D$8001,4,FALSE())</f>
        <v>13858</v>
      </c>
      <c r="AX73" s="0" t="n">
        <f aca="false">VLOOKUP(AX$1+1000*$A73,MASTER6!$A$2:$D$8001,4,FALSE())</f>
        <v>65</v>
      </c>
      <c r="AY73" s="0" t="n">
        <f aca="false">VLOOKUP(AY$1+1000*$A73,MASTER6!$A$2:$D$8001,4,FALSE())</f>
        <v>0</v>
      </c>
      <c r="AZ73" s="0" t="n">
        <f aca="false">VLOOKUP(AZ$1+1000*$A73,MASTER6!$A$2:$D$8001,4,FALSE())</f>
        <v>0</v>
      </c>
      <c r="BA73" s="0" t="n">
        <f aca="false">VLOOKUP(BA$1+1000*$A73,MASTER6!$A$2:$D$8001,4,FALSE())</f>
        <v>793</v>
      </c>
      <c r="BB73" s="0" t="n">
        <f aca="false">VLOOKUP(BB$1+1000*$A73,MASTER6!$A$2:$D$8001,4,FALSE())</f>
        <v>1625</v>
      </c>
      <c r="BC73" s="0" t="n">
        <f aca="false">VLOOKUP(BC$1+1000*$A73,MASTER6!$A$2:$D$8001,4,FALSE())</f>
        <v>1820</v>
      </c>
      <c r="BD73" s="0" t="n">
        <f aca="false">VLOOKUP(BD$1+1000*$A73,MASTER6!$A$2:$D$8001,4,FALSE())</f>
        <v>949</v>
      </c>
      <c r="BE73" s="0" t="n">
        <f aca="false">VLOOKUP(BE$1+1000*$A73,MASTER6!$A$2:$D$8001,4,FALSE())</f>
        <v>351</v>
      </c>
      <c r="BF73" s="0" t="n">
        <f aca="false">VLOOKUP(BF$1+1000*$A73,MASTER6!$A$2:$D$8001,4,FALSE())</f>
        <v>624</v>
      </c>
      <c r="BG73" s="0" t="n">
        <f aca="false">VLOOKUP(BG$1+1000*$A73,MASTER6!$A$2:$D$8001,4,FALSE())</f>
        <v>1924</v>
      </c>
      <c r="BH73" s="0" t="n">
        <f aca="false">VLOOKUP(BH$1+1000*$A73,MASTER6!$A$2:$D$8001,4,FALSE())</f>
        <v>9815</v>
      </c>
      <c r="BI73" s="0" t="n">
        <f aca="false">VLOOKUP(BI$1+1000*$A73,MASTER6!$A$2:$D$8001,4,FALSE())</f>
        <v>598</v>
      </c>
      <c r="BJ73" s="0" t="n">
        <f aca="false">VLOOKUP(BJ$1+1000*$A73,MASTER6!$A$2:$D$8001,4,FALSE())</f>
        <v>0</v>
      </c>
      <c r="BK73" s="0" t="n">
        <f aca="false">VLOOKUP(BK$1+1000*$A73,MASTER6!$A$2:$D$8001,4,FALSE())</f>
        <v>390</v>
      </c>
      <c r="BL73" s="0" t="n">
        <f aca="false">VLOOKUP(BL$1+1000*$A73,MASTER6!$A$2:$D$8001,4,FALSE())</f>
        <v>1599</v>
      </c>
      <c r="BM73" s="0" t="n">
        <f aca="false">VLOOKUP(BM$1+1000*$A73,MASTER6!$A$2:$D$8001,4,FALSE())</f>
        <v>40924</v>
      </c>
      <c r="BN73" s="0" t="n">
        <f aca="false">VLOOKUP(BN$1+1000*$A73,MASTER6!$A$2:$D$8001,4,FALSE())</f>
        <v>16939</v>
      </c>
      <c r="BO73" s="0" t="n">
        <f aca="false">VLOOKUP(BO$1+1000*$A73,MASTER6!$A$2:$D$8001,4,FALSE())</f>
        <v>2301</v>
      </c>
      <c r="BP73" s="0" t="n">
        <f aca="false">VLOOKUP(BP$1+1000*$A73,MASTER6!$A$2:$D$8001,4,FALSE())</f>
        <v>221</v>
      </c>
      <c r="BQ73" s="0" t="n">
        <f aca="false">VLOOKUP(BQ$1+1000*$A73,MASTER6!$A$2:$D$8001,4,FALSE())</f>
        <v>1027</v>
      </c>
      <c r="BR73" s="0" t="n">
        <f aca="false">VLOOKUP(BR$1+1000*$A73,MASTER6!$A$2:$D$8001,4,FALSE())</f>
        <v>13910</v>
      </c>
      <c r="BS73" s="0" t="n">
        <f aca="false">VLOOKUP(BS$1+1000*$A73,MASTER6!$A$2:$D$8001,4,FALSE())</f>
        <v>11947</v>
      </c>
      <c r="BT73" s="0" t="n">
        <f aca="false">VLOOKUP(BT$1+1000*$A73,MASTER6!$A$2:$D$8001,4,FALSE())</f>
        <v>19747</v>
      </c>
      <c r="BU73" s="0" t="n">
        <f aca="false">VLOOKUP(BU$1+1000*$A73,MASTER6!$A$2:$D$8001,4,FALSE())</f>
        <v>228774</v>
      </c>
      <c r="BV73" s="0" t="n">
        <f aca="false">VLOOKUP(BV$1+1000*$A73,MASTER6!$A$2:$D$8001,4,FALSE())</f>
        <v>0</v>
      </c>
      <c r="BW73" s="0" t="e">
        <f aca="false">VLOOKUP(BW$1+1000*$A73,MASTER6!$A$2:$D$8001,4,FALSE())</f>
        <v>#N/A</v>
      </c>
      <c r="BX73" s="0" t="n">
        <f aca="false">VLOOKUP(BX$1+1000*$A73,MASTER6!$A$2:$D$8001,4,FALSE())</f>
        <v>0</v>
      </c>
      <c r="BY73" s="0" t="n">
        <f aca="false">VLOOKUP(BY$1+1000*$A73,MASTER6!$A$2:$D$8001,4,FALSE())</f>
        <v>0</v>
      </c>
      <c r="BZ73" s="0" t="n">
        <f aca="false">VLOOKUP(BZ$1+1000*$A73,MASTER6!$A$2:$D$8001,4,FALSE())</f>
        <v>312</v>
      </c>
      <c r="CA73" s="0" t="n">
        <f aca="false">VLOOKUP(CA$1+1000*$A73,MASTER6!$A$2:$D$8001,4,FALSE())</f>
        <v>247</v>
      </c>
      <c r="CB73" s="0" t="n">
        <f aca="false">VLOOKUP(CB$1+1000*$A73,MASTER6!$A$2:$D$8001,4,FALSE())</f>
        <v>1391</v>
      </c>
      <c r="CC73" s="0" t="n">
        <f aca="false">VLOOKUP(CC$1+1000*$A73,MASTER6!$A$2:$D$8001,4,FALSE())</f>
        <v>0</v>
      </c>
      <c r="CD73" s="0" t="n">
        <f aca="false">VLOOKUP(CD$1+1000*$A73,MASTER6!$A$2:$D$8001,4,FALSE())</f>
        <v>12220</v>
      </c>
      <c r="CE73" s="0" t="n">
        <f aca="false">VLOOKUP(CE$1+1000*$A73,MASTER6!$A$2:$D$8001,4,FALSE())</f>
        <v>41964</v>
      </c>
      <c r="CF73" s="0" t="n">
        <f aca="false">VLOOKUP(CF$1+1000*$A73,MASTER6!$A$2:$D$8001,4,FALSE())</f>
        <v>104</v>
      </c>
      <c r="CG73" s="0" t="n">
        <f aca="false">VLOOKUP(CG$1+1000*$A73,MASTER6!$A$2:$D$8001,4,FALSE())</f>
        <v>4017</v>
      </c>
      <c r="CH73" s="0" t="n">
        <f aca="false">VLOOKUP(CH$1+1000*$A73,MASTER6!$A$2:$D$8001,4,FALSE())</f>
        <v>595062</v>
      </c>
      <c r="CI73" s="0" t="n">
        <f aca="false">VLOOKUP(CI$1+1000*$A73,MASTER6!$A$2:$D$8001,4,FALSE())</f>
        <v>0</v>
      </c>
      <c r="CJ73" s="0" t="e">
        <f aca="false">VLOOKUP(CJ$1+1000*$A73,MASTER6!$A$2:$D$8001,4,FALSE())</f>
        <v>#N/A</v>
      </c>
    </row>
    <row r="74" customFormat="false" ht="12.75" hidden="false" customHeight="false" outlineLevel="0" collapsed="false">
      <c r="A74" s="0" t="n">
        <v>73</v>
      </c>
      <c r="B74" s="0" t="n">
        <f aca="false">VLOOKUP(B$1+1000*$A74,MASTER6!$A$2:$D$8001,4,FALSE())</f>
        <v>39</v>
      </c>
      <c r="C74" s="0" t="n">
        <f aca="false">VLOOKUP(C$1+1000*$A74,MASTER6!$A$2:$D$8001,4,FALSE())</f>
        <v>0</v>
      </c>
      <c r="D74" s="0" t="n">
        <f aca="false">VLOOKUP(D$1+1000*$A74,MASTER6!$A$2:$D$8001,4,FALSE())</f>
        <v>0</v>
      </c>
      <c r="E74" s="0" t="n">
        <f aca="false">VLOOKUP(E$1+1000*$A74,MASTER6!$A$2:$D$8001,4,FALSE())</f>
        <v>0</v>
      </c>
      <c r="F74" s="0" t="n">
        <f aca="false">VLOOKUP(F$1+1000*$A74,MASTER6!$A$2:$D$8001,4,FALSE())</f>
        <v>0</v>
      </c>
      <c r="G74" s="0" t="n">
        <f aca="false">VLOOKUP(G$1+1000*$A74,MASTER6!$A$2:$D$8001,4,FALSE())</f>
        <v>0</v>
      </c>
      <c r="H74" s="0" t="n">
        <f aca="false">VLOOKUP(H$1+1000*$A74,MASTER6!$A$2:$D$8001,4,FALSE())</f>
        <v>0</v>
      </c>
      <c r="I74" s="0" t="n">
        <f aca="false">VLOOKUP(I$1+1000*$A74,MASTER6!$A$2:$D$8001,4,FALSE())</f>
        <v>0</v>
      </c>
      <c r="J74" s="0" t="n">
        <f aca="false">VLOOKUP(J$1+1000*$A74,MASTER6!$A$2:$D$8001,4,FALSE())</f>
        <v>1521</v>
      </c>
      <c r="K74" s="0" t="n">
        <f aca="false">VLOOKUP(K$1+1000*$A74,MASTER6!$A$2:$D$8001,4,FALSE())</f>
        <v>0</v>
      </c>
      <c r="L74" s="0" t="n">
        <f aca="false">VLOOKUP(L$1+1000*$A74,MASTER6!$A$2:$D$8001,4,FALSE())</f>
        <v>0</v>
      </c>
      <c r="M74" s="0" t="n">
        <f aca="false">VLOOKUP(M$1+1000*$A74,MASTER6!$A$2:$D$8001,4,FALSE())</f>
        <v>91</v>
      </c>
      <c r="N74" s="0" t="n">
        <f aca="false">VLOOKUP(N$1+1000*$A74,MASTER6!$A$2:$D$8001,4,FALSE())</f>
        <v>0</v>
      </c>
      <c r="O74" s="0" t="n">
        <f aca="false">VLOOKUP(O$1+1000*$A74,MASTER6!$A$2:$D$8001,4,FALSE())</f>
        <v>598</v>
      </c>
      <c r="P74" s="0" t="n">
        <f aca="false">VLOOKUP(P$1+1000*$A74,MASTER6!$A$2:$D$8001,4,FALSE())</f>
        <v>585</v>
      </c>
      <c r="Q74" s="0" t="n">
        <f aca="false">VLOOKUP(Q$1+1000*$A74,MASTER6!$A$2:$D$8001,4,FALSE())</f>
        <v>5122</v>
      </c>
      <c r="R74" s="0" t="n">
        <f aca="false">VLOOKUP(R$1+1000*$A74,MASTER6!$A$2:$D$8001,4,FALSE())</f>
        <v>2327</v>
      </c>
      <c r="S74" s="0" t="n">
        <f aca="false">VLOOKUP(S$1+1000*$A74,MASTER6!$A$2:$D$8001,4,FALSE())</f>
        <v>6435</v>
      </c>
      <c r="T74" s="0" t="n">
        <f aca="false">VLOOKUP(T$1+1000*$A74,MASTER6!$A$2:$D$8001,4,FALSE())</f>
        <v>4433</v>
      </c>
      <c r="U74" s="0" t="n">
        <f aca="false">VLOOKUP(U$1+1000*$A74,MASTER6!$A$2:$D$8001,4,FALSE())</f>
        <v>1326</v>
      </c>
      <c r="V74" s="0" t="n">
        <f aca="false">VLOOKUP(V$1+1000*$A74,MASTER6!$A$2:$D$8001,4,FALSE())</f>
        <v>3913</v>
      </c>
      <c r="W74" s="0" t="n">
        <f aca="false">VLOOKUP(W$1+1000*$A74,MASTER6!$A$2:$D$8001,4,FALSE())</f>
        <v>1040</v>
      </c>
      <c r="X74" s="0" t="n">
        <f aca="false">VLOOKUP(X$1+1000*$A74,MASTER6!$A$2:$D$8001,4,FALSE())</f>
        <v>0</v>
      </c>
      <c r="Y74" s="0" t="n">
        <f aca="false">VLOOKUP(Y$1+1000*$A74,MASTER6!$A$2:$D$8001,4,FALSE())</f>
        <v>0</v>
      </c>
      <c r="Z74" s="0" t="n">
        <f aca="false">VLOOKUP(Z$1+1000*$A74,MASTER6!$A$2:$D$8001,4,FALSE())</f>
        <v>0</v>
      </c>
      <c r="AA74" s="0" t="n">
        <f aca="false">VLOOKUP(AA$1+1000*$A74,MASTER6!$A$2:$D$8001,4,FALSE())</f>
        <v>0</v>
      </c>
      <c r="AB74" s="0" t="n">
        <f aca="false">VLOOKUP(AB$1+1000*$A74,MASTER6!$A$2:$D$8001,4,FALSE())</f>
        <v>0</v>
      </c>
      <c r="AC74" s="0" t="n">
        <f aca="false">VLOOKUP(AC$1+1000*$A74,MASTER6!$A$2:$D$8001,4,FALSE())</f>
        <v>52</v>
      </c>
      <c r="AD74" s="0" t="n">
        <f aca="false">VLOOKUP(AD$1+1000*$A74,MASTER6!$A$2:$D$8001,4,FALSE())</f>
        <v>104</v>
      </c>
      <c r="AE74" s="0" t="n">
        <f aca="false">VLOOKUP(AE$1+1000*$A74,MASTER6!$A$2:$D$8001,4,FALSE())</f>
        <v>0</v>
      </c>
      <c r="AF74" s="0" t="n">
        <f aca="false">VLOOKUP(AF$1+1000*$A74,MASTER6!$A$2:$D$8001,4,FALSE())</f>
        <v>0</v>
      </c>
      <c r="AG74" s="0" t="n">
        <f aca="false">VLOOKUP(AG$1+1000*$A74,MASTER6!$A$2:$D$8001,4,FALSE())</f>
        <v>0</v>
      </c>
      <c r="AH74" s="0" t="n">
        <f aca="false">VLOOKUP(AH$1+1000*$A74,MASTER6!$A$2:$D$8001,4,FALSE())</f>
        <v>0</v>
      </c>
      <c r="AI74" s="0" t="n">
        <f aca="false">VLOOKUP(AI$1+1000*$A74,MASTER6!$A$2:$D$8001,4,FALSE())</f>
        <v>0</v>
      </c>
      <c r="AJ74" s="0" t="n">
        <f aca="false">VLOOKUP(AJ$1+1000*$A74,MASTER6!$A$2:$D$8001,4,FALSE())</f>
        <v>0</v>
      </c>
      <c r="AK74" s="0" t="n">
        <f aca="false">VLOOKUP(AK$1+1000*$A74,MASTER6!$A$2:$D$8001,4,FALSE())</f>
        <v>0</v>
      </c>
      <c r="AL74" s="0" t="n">
        <f aca="false">VLOOKUP(AL$1+1000*$A74,MASTER6!$A$2:$D$8001,4,FALSE())</f>
        <v>0</v>
      </c>
      <c r="AM74" s="0" t="n">
        <f aca="false">VLOOKUP(AM$1+1000*$A74,MASTER6!$A$2:$D$8001,4,FALSE())</f>
        <v>0</v>
      </c>
      <c r="AN74" s="0" t="n">
        <f aca="false">VLOOKUP(AN$1+1000*$A74,MASTER6!$A$2:$D$8001,4,FALSE())</f>
        <v>0</v>
      </c>
      <c r="AO74" s="0" t="n">
        <f aca="false">VLOOKUP(AO$1+1000*$A74,MASTER6!$A$2:$D$8001,4,FALSE())</f>
        <v>0</v>
      </c>
      <c r="AP74" s="0" t="n">
        <f aca="false">VLOOKUP(AP$1+1000*$A74,MASTER6!$A$2:$D$8001,4,FALSE())</f>
        <v>0</v>
      </c>
      <c r="AQ74" s="0" t="n">
        <f aca="false">VLOOKUP(AQ$1+1000*$A74,MASTER6!$A$2:$D$8001,4,FALSE())</f>
        <v>0</v>
      </c>
      <c r="AR74" s="0" t="n">
        <f aca="false">VLOOKUP(AR$1+1000*$A74,MASTER6!$A$2:$D$8001,4,FALSE())</f>
        <v>0</v>
      </c>
      <c r="AS74" s="0" t="n">
        <f aca="false">VLOOKUP(AS$1+1000*$A74,MASTER6!$A$2:$D$8001,4,FALSE())</f>
        <v>0</v>
      </c>
      <c r="AT74" s="0" t="n">
        <f aca="false">VLOOKUP(AT$1+1000*$A74,MASTER6!$A$2:$D$8001,4,FALSE())</f>
        <v>0</v>
      </c>
      <c r="AU74" s="0" t="n">
        <f aca="false">VLOOKUP(AU$1+1000*$A74,MASTER6!$A$2:$D$8001,4,FALSE())</f>
        <v>0</v>
      </c>
      <c r="AV74" s="0" t="n">
        <f aca="false">VLOOKUP(AV$1+1000*$A74,MASTER6!$A$2:$D$8001,4,FALSE())</f>
        <v>0</v>
      </c>
      <c r="AW74" s="0" t="n">
        <f aca="false">VLOOKUP(AW$1+1000*$A74,MASTER6!$A$2:$D$8001,4,FALSE())</f>
        <v>169</v>
      </c>
      <c r="AX74" s="0" t="n">
        <f aca="false">VLOOKUP(AX$1+1000*$A74,MASTER6!$A$2:$D$8001,4,FALSE())</f>
        <v>117</v>
      </c>
      <c r="AY74" s="0" t="n">
        <f aca="false">VLOOKUP(AY$1+1000*$A74,MASTER6!$A$2:$D$8001,4,FALSE())</f>
        <v>91</v>
      </c>
      <c r="AZ74" s="0" t="n">
        <f aca="false">VLOOKUP(AZ$1+1000*$A74,MASTER6!$A$2:$D$8001,4,FALSE())</f>
        <v>286</v>
      </c>
      <c r="BA74" s="0" t="n">
        <f aca="false">VLOOKUP(BA$1+1000*$A74,MASTER6!$A$2:$D$8001,4,FALSE())</f>
        <v>0</v>
      </c>
      <c r="BB74" s="0" t="n">
        <f aca="false">VLOOKUP(BB$1+1000*$A74,MASTER6!$A$2:$D$8001,4,FALSE())</f>
        <v>0</v>
      </c>
      <c r="BC74" s="0" t="n">
        <f aca="false">VLOOKUP(BC$1+1000*$A74,MASTER6!$A$2:$D$8001,4,FALSE())</f>
        <v>0</v>
      </c>
      <c r="BD74" s="0" t="n">
        <f aca="false">VLOOKUP(BD$1+1000*$A74,MASTER6!$A$2:$D$8001,4,FALSE())</f>
        <v>78</v>
      </c>
      <c r="BE74" s="0" t="n">
        <f aca="false">VLOOKUP(BE$1+1000*$A74,MASTER6!$A$2:$D$8001,4,FALSE())</f>
        <v>0</v>
      </c>
      <c r="BF74" s="0" t="n">
        <f aca="false">VLOOKUP(BF$1+1000*$A74,MASTER6!$A$2:$D$8001,4,FALSE())</f>
        <v>0</v>
      </c>
      <c r="BG74" s="0" t="n">
        <f aca="false">VLOOKUP(BG$1+1000*$A74,MASTER6!$A$2:$D$8001,4,FALSE())</f>
        <v>0</v>
      </c>
      <c r="BH74" s="0" t="n">
        <f aca="false">VLOOKUP(BH$1+1000*$A74,MASTER6!$A$2:$D$8001,4,FALSE())</f>
        <v>0</v>
      </c>
      <c r="BI74" s="0" t="n">
        <f aca="false">VLOOKUP(BI$1+1000*$A74,MASTER6!$A$2:$D$8001,4,FALSE())</f>
        <v>0</v>
      </c>
      <c r="BJ74" s="0" t="n">
        <f aca="false">VLOOKUP(BJ$1+1000*$A74,MASTER6!$A$2:$D$8001,4,FALSE())</f>
        <v>0</v>
      </c>
      <c r="BK74" s="0" t="n">
        <f aca="false">VLOOKUP(BK$1+1000*$A74,MASTER6!$A$2:$D$8001,4,FALSE())</f>
        <v>0</v>
      </c>
      <c r="BL74" s="0" t="n">
        <f aca="false">VLOOKUP(BL$1+1000*$A74,MASTER6!$A$2:$D$8001,4,FALSE())</f>
        <v>0</v>
      </c>
      <c r="BM74" s="0" t="n">
        <f aca="false">VLOOKUP(BM$1+1000*$A74,MASTER6!$A$2:$D$8001,4,FALSE())</f>
        <v>0</v>
      </c>
      <c r="BN74" s="0" t="n">
        <f aca="false">VLOOKUP(BN$1+1000*$A74,MASTER6!$A$2:$D$8001,4,FALSE())</f>
        <v>0</v>
      </c>
      <c r="BO74" s="0" t="n">
        <f aca="false">VLOOKUP(BO$1+1000*$A74,MASTER6!$A$2:$D$8001,4,FALSE())</f>
        <v>0</v>
      </c>
      <c r="BP74" s="0" t="n">
        <f aca="false">VLOOKUP(BP$1+1000*$A74,MASTER6!$A$2:$D$8001,4,FALSE())</f>
        <v>0</v>
      </c>
      <c r="BQ74" s="0" t="n">
        <f aca="false">VLOOKUP(BQ$1+1000*$A74,MASTER6!$A$2:$D$8001,4,FALSE())</f>
        <v>0</v>
      </c>
      <c r="BR74" s="0" t="n">
        <f aca="false">VLOOKUP(BR$1+1000*$A74,MASTER6!$A$2:$D$8001,4,FALSE())</f>
        <v>0</v>
      </c>
      <c r="BS74" s="0" t="n">
        <f aca="false">VLOOKUP(BS$1+1000*$A74,MASTER6!$A$2:$D$8001,4,FALSE())</f>
        <v>0</v>
      </c>
      <c r="BT74" s="0" t="n">
        <f aca="false">VLOOKUP(BT$1+1000*$A74,MASTER6!$A$2:$D$8001,4,FALSE())</f>
        <v>0</v>
      </c>
      <c r="BU74" s="0" t="n">
        <f aca="false">VLOOKUP(BU$1+1000*$A74,MASTER6!$A$2:$D$8001,4,FALSE())</f>
        <v>0</v>
      </c>
      <c r="BV74" s="0" t="n">
        <f aca="false">VLOOKUP(BV$1+1000*$A74,MASTER6!$A$2:$D$8001,4,FALSE())</f>
        <v>21268</v>
      </c>
      <c r="BW74" s="0" t="e">
        <f aca="false">VLOOKUP(BW$1+1000*$A74,MASTER6!$A$2:$D$8001,4,FALSE())</f>
        <v>#N/A</v>
      </c>
      <c r="BX74" s="0" t="n">
        <f aca="false">VLOOKUP(BX$1+1000*$A74,MASTER6!$A$2:$D$8001,4,FALSE())</f>
        <v>0</v>
      </c>
      <c r="BY74" s="0" t="n">
        <f aca="false">VLOOKUP(BY$1+1000*$A74,MASTER6!$A$2:$D$8001,4,FALSE())</f>
        <v>0</v>
      </c>
      <c r="BZ74" s="0" t="n">
        <f aca="false">VLOOKUP(BZ$1+1000*$A74,MASTER6!$A$2:$D$8001,4,FALSE())</f>
        <v>0</v>
      </c>
      <c r="CA74" s="0" t="n">
        <f aca="false">VLOOKUP(CA$1+1000*$A74,MASTER6!$A$2:$D$8001,4,FALSE())</f>
        <v>0</v>
      </c>
      <c r="CB74" s="0" t="n">
        <f aca="false">VLOOKUP(CB$1+1000*$A74,MASTER6!$A$2:$D$8001,4,FALSE())</f>
        <v>0</v>
      </c>
      <c r="CC74" s="0" t="n">
        <f aca="false">VLOOKUP(CC$1+1000*$A74,MASTER6!$A$2:$D$8001,4,FALSE())</f>
        <v>0</v>
      </c>
      <c r="CD74" s="0" t="n">
        <f aca="false">VLOOKUP(CD$1+1000*$A74,MASTER6!$A$2:$D$8001,4,FALSE())</f>
        <v>0</v>
      </c>
      <c r="CE74" s="0" t="n">
        <f aca="false">VLOOKUP(CE$1+1000*$A74,MASTER6!$A$2:$D$8001,4,FALSE())</f>
        <v>0</v>
      </c>
      <c r="CF74" s="0" t="n">
        <f aca="false">VLOOKUP(CF$1+1000*$A74,MASTER6!$A$2:$D$8001,4,FALSE())</f>
        <v>0</v>
      </c>
      <c r="CG74" s="0" t="n">
        <f aca="false">VLOOKUP(CG$1+1000*$A74,MASTER6!$A$2:$D$8001,4,FALSE())</f>
        <v>0</v>
      </c>
      <c r="CH74" s="0" t="n">
        <f aca="false">VLOOKUP(CH$1+1000*$A74,MASTER6!$A$2:$D$8001,4,FALSE())</f>
        <v>58201</v>
      </c>
      <c r="CI74" s="0" t="n">
        <f aca="false">VLOOKUP(CI$1+1000*$A74,MASTER6!$A$2:$D$8001,4,FALSE())</f>
        <v>299</v>
      </c>
      <c r="CJ74" s="0" t="e">
        <f aca="false">VLOOKUP(CJ$1+1000*$A74,MASTER6!$A$2:$D$8001,4,FALSE())</f>
        <v>#N/A</v>
      </c>
    </row>
    <row r="75" customFormat="false" ht="12.75" hidden="false" customHeight="false" outlineLevel="0" collapsed="false">
      <c r="A75" s="0" t="n">
        <v>74</v>
      </c>
      <c r="B75" s="0" t="n">
        <f aca="false">VLOOKUP(B$1+1000*$A75,MASTER6!$A$2:$D$8001,4,FALSE())</f>
        <v>0</v>
      </c>
      <c r="C75" s="0" t="n">
        <f aca="false">VLOOKUP(C$1+1000*$A75,MASTER6!$A$2:$D$8001,4,FALSE())</f>
        <v>78</v>
      </c>
      <c r="D75" s="0" t="n">
        <f aca="false">VLOOKUP(D$1+1000*$A75,MASTER6!$A$2:$D$8001,4,FALSE())</f>
        <v>0</v>
      </c>
      <c r="E75" s="0" t="n">
        <f aca="false">VLOOKUP(E$1+1000*$A75,MASTER6!$A$2:$D$8001,4,FALSE())</f>
        <v>0</v>
      </c>
      <c r="F75" s="0" t="n">
        <f aca="false">VLOOKUP(F$1+1000*$A75,MASTER6!$A$2:$D$8001,4,FALSE())</f>
        <v>0</v>
      </c>
      <c r="G75" s="0" t="n">
        <f aca="false">VLOOKUP(G$1+1000*$A75,MASTER6!$A$2:$D$8001,4,FALSE())</f>
        <v>65</v>
      </c>
      <c r="H75" s="0" t="n">
        <f aca="false">VLOOKUP(H$1+1000*$A75,MASTER6!$A$2:$D$8001,4,FALSE())</f>
        <v>0</v>
      </c>
      <c r="I75" s="0" t="n">
        <f aca="false">VLOOKUP(I$1+1000*$A75,MASTER6!$A$2:$D$8001,4,FALSE())</f>
        <v>0</v>
      </c>
      <c r="J75" s="0" t="n">
        <f aca="false">VLOOKUP(J$1+1000*$A75,MASTER6!$A$2:$D$8001,4,FALSE())</f>
        <v>0</v>
      </c>
      <c r="K75" s="0" t="n">
        <f aca="false">VLOOKUP(K$1+1000*$A75,MASTER6!$A$2:$D$8001,4,FALSE())</f>
        <v>0</v>
      </c>
      <c r="L75" s="0" t="n">
        <f aca="false">VLOOKUP(L$1+1000*$A75,MASTER6!$A$2:$D$8001,4,FALSE())</f>
        <v>117</v>
      </c>
      <c r="M75" s="0" t="n">
        <f aca="false">VLOOKUP(M$1+1000*$A75,MASTER6!$A$2:$D$8001,4,FALSE())</f>
        <v>78</v>
      </c>
      <c r="N75" s="0" t="n">
        <f aca="false">VLOOKUP(N$1+1000*$A75,MASTER6!$A$2:$D$8001,4,FALSE())</f>
        <v>117</v>
      </c>
      <c r="O75" s="0" t="n">
        <f aca="false">VLOOKUP(O$1+1000*$A75,MASTER6!$A$2:$D$8001,4,FALSE())</f>
        <v>169</v>
      </c>
      <c r="P75" s="0" t="n">
        <f aca="false">VLOOKUP(P$1+1000*$A75,MASTER6!$A$2:$D$8001,4,FALSE())</f>
        <v>962</v>
      </c>
      <c r="Q75" s="0" t="n">
        <f aca="false">VLOOKUP(Q$1+1000*$A75,MASTER6!$A$2:$D$8001,4,FALSE())</f>
        <v>208</v>
      </c>
      <c r="R75" s="0" t="n">
        <f aca="false">VLOOKUP(R$1+1000*$A75,MASTER6!$A$2:$D$8001,4,FALSE())</f>
        <v>1638</v>
      </c>
      <c r="S75" s="0" t="n">
        <f aca="false">VLOOKUP(S$1+1000*$A75,MASTER6!$A$2:$D$8001,4,FALSE())</f>
        <v>8060</v>
      </c>
      <c r="T75" s="0" t="n">
        <f aca="false">VLOOKUP(T$1+1000*$A75,MASTER6!$A$2:$D$8001,4,FALSE())</f>
        <v>26858</v>
      </c>
      <c r="U75" s="0" t="n">
        <f aca="false">VLOOKUP(U$1+1000*$A75,MASTER6!$A$2:$D$8001,4,FALSE())</f>
        <v>18343</v>
      </c>
      <c r="V75" s="0" t="n">
        <f aca="false">VLOOKUP(V$1+1000*$A75,MASTER6!$A$2:$D$8001,4,FALSE())</f>
        <v>96408</v>
      </c>
      <c r="W75" s="0" t="n">
        <f aca="false">VLOOKUP(W$1+1000*$A75,MASTER6!$A$2:$D$8001,4,FALSE())</f>
        <v>4303</v>
      </c>
      <c r="X75" s="0" t="n">
        <f aca="false">VLOOKUP(X$1+1000*$A75,MASTER6!$A$2:$D$8001,4,FALSE())</f>
        <v>234</v>
      </c>
      <c r="Y75" s="0" t="n">
        <f aca="false">VLOOKUP(Y$1+1000*$A75,MASTER6!$A$2:$D$8001,4,FALSE())</f>
        <v>78</v>
      </c>
      <c r="Z75" s="0" t="n">
        <f aca="false">VLOOKUP(Z$1+1000*$A75,MASTER6!$A$2:$D$8001,4,FALSE())</f>
        <v>0</v>
      </c>
      <c r="AA75" s="0" t="n">
        <f aca="false">VLOOKUP(AA$1+1000*$A75,MASTER6!$A$2:$D$8001,4,FALSE())</f>
        <v>0</v>
      </c>
      <c r="AB75" s="0" t="n">
        <f aca="false">VLOOKUP(AB$1+1000*$A75,MASTER6!$A$2:$D$8001,4,FALSE())</f>
        <v>0</v>
      </c>
      <c r="AC75" s="0" t="n">
        <f aca="false">VLOOKUP(AC$1+1000*$A75,MASTER6!$A$2:$D$8001,4,FALSE())</f>
        <v>169</v>
      </c>
      <c r="AD75" s="0" t="n">
        <f aca="false">VLOOKUP(AD$1+1000*$A75,MASTER6!$A$2:$D$8001,4,FALSE())</f>
        <v>130</v>
      </c>
      <c r="AE75" s="0" t="n">
        <f aca="false">VLOOKUP(AE$1+1000*$A75,MASTER6!$A$2:$D$8001,4,FALSE())</f>
        <v>0</v>
      </c>
      <c r="AF75" s="0" t="n">
        <f aca="false">VLOOKUP(AF$1+1000*$A75,MASTER6!$A$2:$D$8001,4,FALSE())</f>
        <v>0</v>
      </c>
      <c r="AG75" s="0" t="n">
        <f aca="false">VLOOKUP(AG$1+1000*$A75,MASTER6!$A$2:$D$8001,4,FALSE())</f>
        <v>0</v>
      </c>
      <c r="AH75" s="0" t="n">
        <f aca="false">VLOOKUP(AH$1+1000*$A75,MASTER6!$A$2:$D$8001,4,FALSE())</f>
        <v>0</v>
      </c>
      <c r="AI75" s="0" t="n">
        <f aca="false">VLOOKUP(AI$1+1000*$A75,MASTER6!$A$2:$D$8001,4,FALSE())</f>
        <v>0</v>
      </c>
      <c r="AJ75" s="0" t="n">
        <f aca="false">VLOOKUP(AJ$1+1000*$A75,MASTER6!$A$2:$D$8001,4,FALSE())</f>
        <v>0</v>
      </c>
      <c r="AK75" s="0" t="n">
        <f aca="false">VLOOKUP(AK$1+1000*$A75,MASTER6!$A$2:$D$8001,4,FALSE())</f>
        <v>0</v>
      </c>
      <c r="AL75" s="0" t="n">
        <f aca="false">VLOOKUP(AL$1+1000*$A75,MASTER6!$A$2:$D$8001,4,FALSE())</f>
        <v>0</v>
      </c>
      <c r="AM75" s="0" t="n">
        <f aca="false">VLOOKUP(AM$1+1000*$A75,MASTER6!$A$2:$D$8001,4,FALSE())</f>
        <v>0</v>
      </c>
      <c r="AN75" s="0" t="n">
        <f aca="false">VLOOKUP(AN$1+1000*$A75,MASTER6!$A$2:$D$8001,4,FALSE())</f>
        <v>0</v>
      </c>
      <c r="AO75" s="0" t="n">
        <f aca="false">VLOOKUP(AO$1+1000*$A75,MASTER6!$A$2:$D$8001,4,FALSE())</f>
        <v>0</v>
      </c>
      <c r="AP75" s="0" t="n">
        <f aca="false">VLOOKUP(AP$1+1000*$A75,MASTER6!$A$2:$D$8001,4,FALSE())</f>
        <v>0</v>
      </c>
      <c r="AQ75" s="0" t="n">
        <f aca="false">VLOOKUP(AQ$1+1000*$A75,MASTER6!$A$2:$D$8001,4,FALSE())</f>
        <v>0</v>
      </c>
      <c r="AR75" s="0" t="n">
        <f aca="false">VLOOKUP(AR$1+1000*$A75,MASTER6!$A$2:$D$8001,4,FALSE())</f>
        <v>0</v>
      </c>
      <c r="AS75" s="0" t="n">
        <f aca="false">VLOOKUP(AS$1+1000*$A75,MASTER6!$A$2:$D$8001,4,FALSE())</f>
        <v>0</v>
      </c>
      <c r="AT75" s="0" t="n">
        <f aca="false">VLOOKUP(AT$1+1000*$A75,MASTER6!$A$2:$D$8001,4,FALSE())</f>
        <v>0</v>
      </c>
      <c r="AU75" s="0" t="n">
        <f aca="false">VLOOKUP(AU$1+1000*$A75,MASTER6!$A$2:$D$8001,4,FALSE())</f>
        <v>0</v>
      </c>
      <c r="AV75" s="0" t="n">
        <f aca="false">VLOOKUP(AV$1+1000*$A75,MASTER6!$A$2:$D$8001,4,FALSE())</f>
        <v>0</v>
      </c>
      <c r="AW75" s="0" t="n">
        <f aca="false">VLOOKUP(AW$1+1000*$A75,MASTER6!$A$2:$D$8001,4,FALSE())</f>
        <v>0</v>
      </c>
      <c r="AX75" s="0" t="n">
        <f aca="false">VLOOKUP(AX$1+1000*$A75,MASTER6!$A$2:$D$8001,4,FALSE())</f>
        <v>858</v>
      </c>
      <c r="AY75" s="0" t="n">
        <f aca="false">VLOOKUP(AY$1+1000*$A75,MASTER6!$A$2:$D$8001,4,FALSE())</f>
        <v>325</v>
      </c>
      <c r="AZ75" s="0" t="n">
        <f aca="false">VLOOKUP(AZ$1+1000*$A75,MASTER6!$A$2:$D$8001,4,FALSE())</f>
        <v>845</v>
      </c>
      <c r="BA75" s="0" t="n">
        <f aca="false">VLOOKUP(BA$1+1000*$A75,MASTER6!$A$2:$D$8001,4,FALSE())</f>
        <v>0</v>
      </c>
      <c r="BB75" s="0" t="n">
        <f aca="false">VLOOKUP(BB$1+1000*$A75,MASTER6!$A$2:$D$8001,4,FALSE())</f>
        <v>0</v>
      </c>
      <c r="BC75" s="0" t="n">
        <f aca="false">VLOOKUP(BC$1+1000*$A75,MASTER6!$A$2:$D$8001,4,FALSE())</f>
        <v>0</v>
      </c>
      <c r="BD75" s="0" t="n">
        <f aca="false">VLOOKUP(BD$1+1000*$A75,MASTER6!$A$2:$D$8001,4,FALSE())</f>
        <v>78</v>
      </c>
      <c r="BE75" s="0" t="n">
        <f aca="false">VLOOKUP(BE$1+1000*$A75,MASTER6!$A$2:$D$8001,4,FALSE())</f>
        <v>0</v>
      </c>
      <c r="BF75" s="0" t="n">
        <f aca="false">VLOOKUP(BF$1+1000*$A75,MASTER6!$A$2:$D$8001,4,FALSE())</f>
        <v>0</v>
      </c>
      <c r="BG75" s="0" t="n">
        <f aca="false">VLOOKUP(BG$1+1000*$A75,MASTER6!$A$2:$D$8001,4,FALSE())</f>
        <v>0</v>
      </c>
      <c r="BH75" s="0" t="n">
        <f aca="false">VLOOKUP(BH$1+1000*$A75,MASTER6!$A$2:$D$8001,4,FALSE())</f>
        <v>0</v>
      </c>
      <c r="BI75" s="0" t="n">
        <f aca="false">VLOOKUP(BI$1+1000*$A75,MASTER6!$A$2:$D$8001,4,FALSE())</f>
        <v>0</v>
      </c>
      <c r="BJ75" s="0" t="n">
        <f aca="false">VLOOKUP(BJ$1+1000*$A75,MASTER6!$A$2:$D$8001,4,FALSE())</f>
        <v>0</v>
      </c>
      <c r="BK75" s="0" t="n">
        <f aca="false">VLOOKUP(BK$1+1000*$A75,MASTER6!$A$2:$D$8001,4,FALSE())</f>
        <v>0</v>
      </c>
      <c r="BL75" s="0" t="n">
        <f aca="false">VLOOKUP(BL$1+1000*$A75,MASTER6!$A$2:$D$8001,4,FALSE())</f>
        <v>0</v>
      </c>
      <c r="BM75" s="0" t="n">
        <f aca="false">VLOOKUP(BM$1+1000*$A75,MASTER6!$A$2:$D$8001,4,FALSE())</f>
        <v>0</v>
      </c>
      <c r="BN75" s="0" t="n">
        <f aca="false">VLOOKUP(BN$1+1000*$A75,MASTER6!$A$2:$D$8001,4,FALSE())</f>
        <v>234</v>
      </c>
      <c r="BO75" s="0" t="n">
        <f aca="false">VLOOKUP(BO$1+1000*$A75,MASTER6!$A$2:$D$8001,4,FALSE())</f>
        <v>0</v>
      </c>
      <c r="BP75" s="0" t="n">
        <f aca="false">VLOOKUP(BP$1+1000*$A75,MASTER6!$A$2:$D$8001,4,FALSE())</f>
        <v>0</v>
      </c>
      <c r="BQ75" s="0" t="n">
        <f aca="false">VLOOKUP(BQ$1+1000*$A75,MASTER6!$A$2:$D$8001,4,FALSE())</f>
        <v>0</v>
      </c>
      <c r="BR75" s="0" t="n">
        <f aca="false">VLOOKUP(BR$1+1000*$A75,MASTER6!$A$2:$D$8001,4,FALSE())</f>
        <v>0</v>
      </c>
      <c r="BS75" s="0" t="n">
        <f aca="false">VLOOKUP(BS$1+1000*$A75,MASTER6!$A$2:$D$8001,4,FALSE())</f>
        <v>0</v>
      </c>
      <c r="BT75" s="0" t="n">
        <f aca="false">VLOOKUP(BT$1+1000*$A75,MASTER6!$A$2:$D$8001,4,FALSE())</f>
        <v>0</v>
      </c>
      <c r="BU75" s="0" t="n">
        <f aca="false">VLOOKUP(BU$1+1000*$A75,MASTER6!$A$2:$D$8001,4,FALSE())</f>
        <v>0</v>
      </c>
      <c r="BV75" s="0" t="n">
        <f aca="false">VLOOKUP(BV$1+1000*$A75,MASTER6!$A$2:$D$8001,4,FALSE())</f>
        <v>338</v>
      </c>
      <c r="BW75" s="0" t="e">
        <f aca="false">VLOOKUP(BW$1+1000*$A75,MASTER6!$A$2:$D$8001,4,FALSE())</f>
        <v>#N/A</v>
      </c>
      <c r="BX75" s="0" t="n">
        <f aca="false">VLOOKUP(BX$1+1000*$A75,MASTER6!$A$2:$D$8001,4,FALSE())</f>
        <v>0</v>
      </c>
      <c r="BY75" s="0" t="n">
        <f aca="false">VLOOKUP(BY$1+1000*$A75,MASTER6!$A$2:$D$8001,4,FALSE())</f>
        <v>0</v>
      </c>
      <c r="BZ75" s="0" t="n">
        <f aca="false">VLOOKUP(BZ$1+1000*$A75,MASTER6!$A$2:$D$8001,4,FALSE())</f>
        <v>0</v>
      </c>
      <c r="CA75" s="0" t="n">
        <f aca="false">VLOOKUP(CA$1+1000*$A75,MASTER6!$A$2:$D$8001,4,FALSE())</f>
        <v>0</v>
      </c>
      <c r="CB75" s="0" t="n">
        <f aca="false">VLOOKUP(CB$1+1000*$A75,MASTER6!$A$2:$D$8001,4,FALSE())</f>
        <v>0</v>
      </c>
      <c r="CC75" s="0" t="n">
        <f aca="false">VLOOKUP(CC$1+1000*$A75,MASTER6!$A$2:$D$8001,4,FALSE())</f>
        <v>0</v>
      </c>
      <c r="CD75" s="0" t="n">
        <f aca="false">VLOOKUP(CD$1+1000*$A75,MASTER6!$A$2:$D$8001,4,FALSE())</f>
        <v>0</v>
      </c>
      <c r="CE75" s="0" t="n">
        <f aca="false">VLOOKUP(CE$1+1000*$A75,MASTER6!$A$2:$D$8001,4,FALSE())</f>
        <v>0</v>
      </c>
      <c r="CF75" s="0" t="n">
        <f aca="false">VLOOKUP(CF$1+1000*$A75,MASTER6!$A$2:$D$8001,4,FALSE())</f>
        <v>0</v>
      </c>
      <c r="CG75" s="0" t="n">
        <f aca="false">VLOOKUP(CG$1+1000*$A75,MASTER6!$A$2:$D$8001,4,FALSE())</f>
        <v>0</v>
      </c>
      <c r="CH75" s="0" t="n">
        <f aca="false">VLOOKUP(CH$1+1000*$A75,MASTER6!$A$2:$D$8001,4,FALSE())</f>
        <v>201604</v>
      </c>
      <c r="CI75" s="0" t="n">
        <f aca="false">VLOOKUP(CI$1+1000*$A75,MASTER6!$A$2:$D$8001,4,FALSE())</f>
        <v>0</v>
      </c>
      <c r="CJ75" s="0" t="e">
        <f aca="false">VLOOKUP(CJ$1+1000*$A75,MASTER6!$A$2:$D$8001,4,FALSE())</f>
        <v>#N/A</v>
      </c>
    </row>
    <row r="76" customFormat="false" ht="12.75" hidden="false" customHeight="false" outlineLevel="0" collapsed="false">
      <c r="A76" s="0" t="n">
        <v>75</v>
      </c>
      <c r="B76" s="0" t="n">
        <f aca="false">VLOOKUP(B$1+1000*$A76,MASTER6!$A$2:$D$8001,4,FALSE())</f>
        <v>0</v>
      </c>
      <c r="C76" s="0" t="n">
        <f aca="false">VLOOKUP(C$1+1000*$A76,MASTER6!$A$2:$D$8001,4,FALSE())</f>
        <v>104</v>
      </c>
      <c r="D76" s="0" t="n">
        <f aca="false">VLOOKUP(D$1+1000*$A76,MASTER6!$A$2:$D$8001,4,FALSE())</f>
        <v>0</v>
      </c>
      <c r="E76" s="0" t="n">
        <f aca="false">VLOOKUP(E$1+1000*$A76,MASTER6!$A$2:$D$8001,4,FALSE())</f>
        <v>0</v>
      </c>
      <c r="F76" s="0" t="n">
        <f aca="false">VLOOKUP(F$1+1000*$A76,MASTER6!$A$2:$D$8001,4,FALSE())</f>
        <v>0</v>
      </c>
      <c r="G76" s="0" t="n">
        <f aca="false">VLOOKUP(G$1+1000*$A76,MASTER6!$A$2:$D$8001,4,FALSE())</f>
        <v>0</v>
      </c>
      <c r="H76" s="0" t="n">
        <f aca="false">VLOOKUP(H$1+1000*$A76,MASTER6!$A$2:$D$8001,4,FALSE())</f>
        <v>0</v>
      </c>
      <c r="I76" s="0" t="n">
        <f aca="false">VLOOKUP(I$1+1000*$A76,MASTER6!$A$2:$D$8001,4,FALSE())</f>
        <v>0</v>
      </c>
      <c r="J76" s="0" t="n">
        <f aca="false">VLOOKUP(J$1+1000*$A76,MASTER6!$A$2:$D$8001,4,FALSE())</f>
        <v>0</v>
      </c>
      <c r="K76" s="0" t="n">
        <f aca="false">VLOOKUP(K$1+1000*$A76,MASTER6!$A$2:$D$8001,4,FALSE())</f>
        <v>0</v>
      </c>
      <c r="L76" s="0" t="n">
        <f aca="false">VLOOKUP(L$1+1000*$A76,MASTER6!$A$2:$D$8001,4,FALSE())</f>
        <v>0</v>
      </c>
      <c r="M76" s="0" t="n">
        <f aca="false">VLOOKUP(M$1+1000*$A76,MASTER6!$A$2:$D$8001,4,FALSE())</f>
        <v>0</v>
      </c>
      <c r="N76" s="0" t="n">
        <f aca="false">VLOOKUP(N$1+1000*$A76,MASTER6!$A$2:$D$8001,4,FALSE())</f>
        <v>0</v>
      </c>
      <c r="O76" s="0" t="n">
        <f aca="false">VLOOKUP(O$1+1000*$A76,MASTER6!$A$2:$D$8001,4,FALSE())</f>
        <v>0</v>
      </c>
      <c r="P76" s="0" t="n">
        <f aca="false">VLOOKUP(P$1+1000*$A76,MASTER6!$A$2:$D$8001,4,FALSE())</f>
        <v>0</v>
      </c>
      <c r="Q76" s="0" t="n">
        <f aca="false">VLOOKUP(Q$1+1000*$A76,MASTER6!$A$2:$D$8001,4,FALSE())</f>
        <v>0</v>
      </c>
      <c r="R76" s="0" t="n">
        <f aca="false">VLOOKUP(R$1+1000*$A76,MASTER6!$A$2:$D$8001,4,FALSE())</f>
        <v>0</v>
      </c>
      <c r="S76" s="0" t="n">
        <f aca="false">VLOOKUP(S$1+1000*$A76,MASTER6!$A$2:$D$8001,4,FALSE())</f>
        <v>91</v>
      </c>
      <c r="T76" s="0" t="n">
        <f aca="false">VLOOKUP(T$1+1000*$A76,MASTER6!$A$2:$D$8001,4,FALSE())</f>
        <v>91</v>
      </c>
      <c r="U76" s="0" t="n">
        <f aca="false">VLOOKUP(U$1+1000*$A76,MASTER6!$A$2:$D$8001,4,FALSE())</f>
        <v>0</v>
      </c>
      <c r="V76" s="0" t="n">
        <f aca="false">VLOOKUP(V$1+1000*$A76,MASTER6!$A$2:$D$8001,4,FALSE())</f>
        <v>0</v>
      </c>
      <c r="W76" s="0" t="n">
        <f aca="false">VLOOKUP(W$1+1000*$A76,MASTER6!$A$2:$D$8001,4,FALSE())</f>
        <v>0</v>
      </c>
      <c r="X76" s="0" t="n">
        <f aca="false">VLOOKUP(X$1+1000*$A76,MASTER6!$A$2:$D$8001,4,FALSE())</f>
        <v>117</v>
      </c>
      <c r="Y76" s="0" t="n">
        <f aca="false">VLOOKUP(Y$1+1000*$A76,MASTER6!$A$2:$D$8001,4,FALSE())</f>
        <v>0</v>
      </c>
      <c r="Z76" s="0" t="n">
        <f aca="false">VLOOKUP(Z$1+1000*$A76,MASTER6!$A$2:$D$8001,4,FALSE())</f>
        <v>0</v>
      </c>
      <c r="AA76" s="0" t="n">
        <f aca="false">VLOOKUP(AA$1+1000*$A76,MASTER6!$A$2:$D$8001,4,FALSE())</f>
        <v>0</v>
      </c>
      <c r="AB76" s="0" t="n">
        <f aca="false">VLOOKUP(AB$1+1000*$A76,MASTER6!$A$2:$D$8001,4,FALSE())</f>
        <v>0</v>
      </c>
      <c r="AC76" s="0" t="n">
        <f aca="false">VLOOKUP(AC$1+1000*$A76,MASTER6!$A$2:$D$8001,4,FALSE())</f>
        <v>0</v>
      </c>
      <c r="AD76" s="0" t="n">
        <f aca="false">VLOOKUP(AD$1+1000*$A76,MASTER6!$A$2:$D$8001,4,FALSE())</f>
        <v>0</v>
      </c>
      <c r="AE76" s="0" t="n">
        <f aca="false">VLOOKUP(AE$1+1000*$A76,MASTER6!$A$2:$D$8001,4,FALSE())</f>
        <v>0</v>
      </c>
      <c r="AF76" s="0" t="n">
        <f aca="false">VLOOKUP(AF$1+1000*$A76,MASTER6!$A$2:$D$8001,4,FALSE())</f>
        <v>2210</v>
      </c>
      <c r="AG76" s="0" t="n">
        <f aca="false">VLOOKUP(AG$1+1000*$A76,MASTER6!$A$2:$D$8001,4,FALSE())</f>
        <v>0</v>
      </c>
      <c r="AH76" s="0" t="n">
        <f aca="false">VLOOKUP(AH$1+1000*$A76,MASTER6!$A$2:$D$8001,4,FALSE())</f>
        <v>0</v>
      </c>
      <c r="AI76" s="0" t="n">
        <f aca="false">VLOOKUP(AI$1+1000*$A76,MASTER6!$A$2:$D$8001,4,FALSE())</f>
        <v>0</v>
      </c>
      <c r="AJ76" s="0" t="n">
        <f aca="false">VLOOKUP(AJ$1+1000*$A76,MASTER6!$A$2:$D$8001,4,FALSE())</f>
        <v>0</v>
      </c>
      <c r="AK76" s="0" t="n">
        <f aca="false">VLOOKUP(AK$1+1000*$A76,MASTER6!$A$2:$D$8001,4,FALSE())</f>
        <v>0</v>
      </c>
      <c r="AL76" s="0" t="n">
        <f aca="false">VLOOKUP(AL$1+1000*$A76,MASTER6!$A$2:$D$8001,4,FALSE())</f>
        <v>0</v>
      </c>
      <c r="AM76" s="0" t="n">
        <f aca="false">VLOOKUP(AM$1+1000*$A76,MASTER6!$A$2:$D$8001,4,FALSE())</f>
        <v>65</v>
      </c>
      <c r="AN76" s="0" t="n">
        <f aca="false">VLOOKUP(AN$1+1000*$A76,MASTER6!$A$2:$D$8001,4,FALSE())</f>
        <v>0</v>
      </c>
      <c r="AO76" s="0" t="n">
        <f aca="false">VLOOKUP(AO$1+1000*$A76,MASTER6!$A$2:$D$8001,4,FALSE())</f>
        <v>1300</v>
      </c>
      <c r="AP76" s="0" t="n">
        <f aca="false">VLOOKUP(AP$1+1000*$A76,MASTER6!$A$2:$D$8001,4,FALSE())</f>
        <v>4329</v>
      </c>
      <c r="AQ76" s="0" t="n">
        <f aca="false">VLOOKUP(AQ$1+1000*$A76,MASTER6!$A$2:$D$8001,4,FALSE())</f>
        <v>0</v>
      </c>
      <c r="AR76" s="0" t="n">
        <f aca="false">VLOOKUP(AR$1+1000*$A76,MASTER6!$A$2:$D$8001,4,FALSE())</f>
        <v>130</v>
      </c>
      <c r="AS76" s="0" t="n">
        <f aca="false">VLOOKUP(AS$1+1000*$A76,MASTER6!$A$2:$D$8001,4,FALSE())</f>
        <v>0</v>
      </c>
      <c r="AT76" s="0" t="n">
        <f aca="false">VLOOKUP(AT$1+1000*$A76,MASTER6!$A$2:$D$8001,4,FALSE())</f>
        <v>0</v>
      </c>
      <c r="AU76" s="0" t="n">
        <f aca="false">VLOOKUP(AU$1+1000*$A76,MASTER6!$A$2:$D$8001,4,FALSE())</f>
        <v>0</v>
      </c>
      <c r="AV76" s="0" t="n">
        <f aca="false">VLOOKUP(AV$1+1000*$A76,MASTER6!$A$2:$D$8001,4,FALSE())</f>
        <v>0</v>
      </c>
      <c r="AW76" s="0" t="n">
        <f aca="false">VLOOKUP(AW$1+1000*$A76,MASTER6!$A$2:$D$8001,4,FALSE())</f>
        <v>0</v>
      </c>
      <c r="AX76" s="0" t="n">
        <f aca="false">VLOOKUP(AX$1+1000*$A76,MASTER6!$A$2:$D$8001,4,FALSE())</f>
        <v>91</v>
      </c>
      <c r="AY76" s="0" t="n">
        <f aca="false">VLOOKUP(AY$1+1000*$A76,MASTER6!$A$2:$D$8001,4,FALSE())</f>
        <v>0</v>
      </c>
      <c r="AZ76" s="0" t="n">
        <f aca="false">VLOOKUP(AZ$1+1000*$A76,MASTER6!$A$2:$D$8001,4,FALSE())</f>
        <v>0</v>
      </c>
      <c r="BA76" s="0" t="n">
        <f aca="false">VLOOKUP(BA$1+1000*$A76,MASTER6!$A$2:$D$8001,4,FALSE())</f>
        <v>0</v>
      </c>
      <c r="BB76" s="0" t="n">
        <f aca="false">VLOOKUP(BB$1+1000*$A76,MASTER6!$A$2:$D$8001,4,FALSE())</f>
        <v>0</v>
      </c>
      <c r="BC76" s="0" t="n">
        <f aca="false">VLOOKUP(BC$1+1000*$A76,MASTER6!$A$2:$D$8001,4,FALSE())</f>
        <v>0</v>
      </c>
      <c r="BD76" s="0" t="n">
        <f aca="false">VLOOKUP(BD$1+1000*$A76,MASTER6!$A$2:$D$8001,4,FALSE())</f>
        <v>0</v>
      </c>
      <c r="BE76" s="0" t="n">
        <f aca="false">VLOOKUP(BE$1+1000*$A76,MASTER6!$A$2:$D$8001,4,FALSE())</f>
        <v>0</v>
      </c>
      <c r="BF76" s="0" t="n">
        <f aca="false">VLOOKUP(BF$1+1000*$A76,MASTER6!$A$2:$D$8001,4,FALSE())</f>
        <v>0</v>
      </c>
      <c r="BG76" s="0" t="n">
        <f aca="false">VLOOKUP(BG$1+1000*$A76,MASTER6!$A$2:$D$8001,4,FALSE())</f>
        <v>0</v>
      </c>
      <c r="BH76" s="0" t="n">
        <f aca="false">VLOOKUP(BH$1+1000*$A76,MASTER6!$A$2:$D$8001,4,FALSE())</f>
        <v>0</v>
      </c>
      <c r="BI76" s="0" t="n">
        <f aca="false">VLOOKUP(BI$1+1000*$A76,MASTER6!$A$2:$D$8001,4,FALSE())</f>
        <v>0</v>
      </c>
      <c r="BJ76" s="0" t="n">
        <f aca="false">VLOOKUP(BJ$1+1000*$A76,MASTER6!$A$2:$D$8001,4,FALSE())</f>
        <v>0</v>
      </c>
      <c r="BK76" s="0" t="n">
        <f aca="false">VLOOKUP(BK$1+1000*$A76,MASTER6!$A$2:$D$8001,4,FALSE())</f>
        <v>0</v>
      </c>
      <c r="BL76" s="0" t="n">
        <f aca="false">VLOOKUP(BL$1+1000*$A76,MASTER6!$A$2:$D$8001,4,FALSE())</f>
        <v>0</v>
      </c>
      <c r="BM76" s="0" t="n">
        <f aca="false">VLOOKUP(BM$1+1000*$A76,MASTER6!$A$2:$D$8001,4,FALSE())</f>
        <v>234</v>
      </c>
      <c r="BN76" s="0" t="n">
        <f aca="false">VLOOKUP(BN$1+1000*$A76,MASTER6!$A$2:$D$8001,4,FALSE())</f>
        <v>260</v>
      </c>
      <c r="BO76" s="0" t="n">
        <f aca="false">VLOOKUP(BO$1+1000*$A76,MASTER6!$A$2:$D$8001,4,FALSE())</f>
        <v>0</v>
      </c>
      <c r="BP76" s="0" t="n">
        <f aca="false">VLOOKUP(BP$1+1000*$A76,MASTER6!$A$2:$D$8001,4,FALSE())</f>
        <v>0</v>
      </c>
      <c r="BQ76" s="0" t="n">
        <f aca="false">VLOOKUP(BQ$1+1000*$A76,MASTER6!$A$2:$D$8001,4,FALSE())</f>
        <v>0</v>
      </c>
      <c r="BR76" s="0" t="n">
        <f aca="false">VLOOKUP(BR$1+1000*$A76,MASTER6!$A$2:$D$8001,4,FALSE())</f>
        <v>130</v>
      </c>
      <c r="BS76" s="0" t="n">
        <f aca="false">VLOOKUP(BS$1+1000*$A76,MASTER6!$A$2:$D$8001,4,FALSE())</f>
        <v>0</v>
      </c>
      <c r="BT76" s="0" t="n">
        <f aca="false">VLOOKUP(BT$1+1000*$A76,MASTER6!$A$2:$D$8001,4,FALSE())</f>
        <v>0</v>
      </c>
      <c r="BU76" s="0" t="n">
        <f aca="false">VLOOKUP(BU$1+1000*$A76,MASTER6!$A$2:$D$8001,4,FALSE())</f>
        <v>0</v>
      </c>
      <c r="BV76" s="0" t="n">
        <f aca="false">VLOOKUP(BV$1+1000*$A76,MASTER6!$A$2:$D$8001,4,FALSE())</f>
        <v>0</v>
      </c>
      <c r="BW76" s="0" t="e">
        <f aca="false">VLOOKUP(BW$1+1000*$A76,MASTER6!$A$2:$D$8001,4,FALSE())</f>
        <v>#N/A</v>
      </c>
      <c r="BX76" s="0" t="n">
        <f aca="false">VLOOKUP(BX$1+1000*$A76,MASTER6!$A$2:$D$8001,4,FALSE())</f>
        <v>106184</v>
      </c>
      <c r="BY76" s="0" t="n">
        <f aca="false">VLOOKUP(BY$1+1000*$A76,MASTER6!$A$2:$D$8001,4,FALSE())</f>
        <v>0</v>
      </c>
      <c r="BZ76" s="0" t="n">
        <f aca="false">VLOOKUP(BZ$1+1000*$A76,MASTER6!$A$2:$D$8001,4,FALSE())</f>
        <v>0</v>
      </c>
      <c r="CA76" s="0" t="n">
        <f aca="false">VLOOKUP(CA$1+1000*$A76,MASTER6!$A$2:$D$8001,4,FALSE())</f>
        <v>91</v>
      </c>
      <c r="CB76" s="0" t="n">
        <f aca="false">VLOOKUP(CB$1+1000*$A76,MASTER6!$A$2:$D$8001,4,FALSE())</f>
        <v>2535</v>
      </c>
      <c r="CC76" s="0" t="n">
        <f aca="false">VLOOKUP(CC$1+1000*$A76,MASTER6!$A$2:$D$8001,4,FALSE())</f>
        <v>65</v>
      </c>
      <c r="CD76" s="0" t="n">
        <f aca="false">VLOOKUP(CD$1+1000*$A76,MASTER6!$A$2:$D$8001,4,FALSE())</f>
        <v>0</v>
      </c>
      <c r="CE76" s="0" t="n">
        <f aca="false">VLOOKUP(CE$1+1000*$A76,MASTER6!$A$2:$D$8001,4,FALSE())</f>
        <v>0</v>
      </c>
      <c r="CF76" s="0" t="n">
        <f aca="false">VLOOKUP(CF$1+1000*$A76,MASTER6!$A$2:$D$8001,4,FALSE())</f>
        <v>0</v>
      </c>
      <c r="CG76" s="0" t="n">
        <f aca="false">VLOOKUP(CG$1+1000*$A76,MASTER6!$A$2:$D$8001,4,FALSE())</f>
        <v>143</v>
      </c>
      <c r="CH76" s="0" t="n">
        <f aca="false">VLOOKUP(CH$1+1000*$A76,MASTER6!$A$2:$D$8001,4,FALSE())</f>
        <v>192426</v>
      </c>
      <c r="CI76" s="0" t="n">
        <f aca="false">VLOOKUP(CI$1+1000*$A76,MASTER6!$A$2:$D$8001,4,FALSE())</f>
        <v>91</v>
      </c>
      <c r="CJ76" s="0" t="e">
        <f aca="false">VLOOKUP(CJ$1+1000*$A76,MASTER6!$A$2:$D$8001,4,FALSE())</f>
        <v>#N/A</v>
      </c>
    </row>
    <row r="77" customFormat="false" ht="12.75" hidden="false" customHeight="false" outlineLevel="0" collapsed="false">
      <c r="A77" s="0" t="n">
        <v>76</v>
      </c>
      <c r="B77" s="0" t="n">
        <f aca="false">VLOOKUP(B$1+1000*$A77,MASTER6!$A$2:$D$8001,4,FALSE())</f>
        <v>0</v>
      </c>
      <c r="C77" s="0" t="n">
        <f aca="false">VLOOKUP(C$1+1000*$A77,MASTER6!$A$2:$D$8001,4,FALSE())</f>
        <v>0</v>
      </c>
      <c r="D77" s="0" t="n">
        <f aca="false">VLOOKUP(D$1+1000*$A77,MASTER6!$A$2:$D$8001,4,FALSE())</f>
        <v>0</v>
      </c>
      <c r="E77" s="0" t="n">
        <f aca="false">VLOOKUP(E$1+1000*$A77,MASTER6!$A$2:$D$8001,4,FALSE())</f>
        <v>143</v>
      </c>
      <c r="F77" s="0" t="n">
        <f aca="false">VLOOKUP(F$1+1000*$A77,MASTER6!$A$2:$D$8001,4,FALSE())</f>
        <v>0</v>
      </c>
      <c r="G77" s="0" t="n">
        <f aca="false">VLOOKUP(G$1+1000*$A77,MASTER6!$A$2:$D$8001,4,FALSE())</f>
        <v>0</v>
      </c>
      <c r="H77" s="0" t="n">
        <f aca="false">VLOOKUP(H$1+1000*$A77,MASTER6!$A$2:$D$8001,4,FALSE())</f>
        <v>0</v>
      </c>
      <c r="I77" s="0" t="n">
        <f aca="false">VLOOKUP(I$1+1000*$A77,MASTER6!$A$2:$D$8001,4,FALSE())</f>
        <v>0</v>
      </c>
      <c r="J77" s="0" t="n">
        <f aca="false">VLOOKUP(J$1+1000*$A77,MASTER6!$A$2:$D$8001,4,FALSE())</f>
        <v>0</v>
      </c>
      <c r="K77" s="0" t="n">
        <f aca="false">VLOOKUP(K$1+1000*$A77,MASTER6!$A$2:$D$8001,4,FALSE())</f>
        <v>0</v>
      </c>
      <c r="L77" s="0" t="n">
        <f aca="false">VLOOKUP(L$1+1000*$A77,MASTER6!$A$2:$D$8001,4,FALSE())</f>
        <v>0</v>
      </c>
      <c r="M77" s="0" t="n">
        <f aca="false">VLOOKUP(M$1+1000*$A77,MASTER6!$A$2:$D$8001,4,FALSE())</f>
        <v>0</v>
      </c>
      <c r="N77" s="0" t="n">
        <f aca="false">VLOOKUP(N$1+1000*$A77,MASTER6!$A$2:$D$8001,4,FALSE())</f>
        <v>0</v>
      </c>
      <c r="O77" s="0" t="n">
        <f aca="false">VLOOKUP(O$1+1000*$A77,MASTER6!$A$2:$D$8001,4,FALSE())</f>
        <v>0</v>
      </c>
      <c r="P77" s="0" t="n">
        <f aca="false">VLOOKUP(P$1+1000*$A77,MASTER6!$A$2:$D$8001,4,FALSE())</f>
        <v>0</v>
      </c>
      <c r="Q77" s="0" t="n">
        <f aca="false">VLOOKUP(Q$1+1000*$A77,MASTER6!$A$2:$D$8001,4,FALSE())</f>
        <v>0</v>
      </c>
      <c r="R77" s="0" t="n">
        <f aca="false">VLOOKUP(R$1+1000*$A77,MASTER6!$A$2:$D$8001,4,FALSE())</f>
        <v>0</v>
      </c>
      <c r="S77" s="0" t="n">
        <f aca="false">VLOOKUP(S$1+1000*$A77,MASTER6!$A$2:$D$8001,4,FALSE())</f>
        <v>182</v>
      </c>
      <c r="T77" s="0" t="n">
        <f aca="false">VLOOKUP(T$1+1000*$A77,MASTER6!$A$2:$D$8001,4,FALSE())</f>
        <v>572</v>
      </c>
      <c r="U77" s="0" t="n">
        <f aca="false">VLOOKUP(U$1+1000*$A77,MASTER6!$A$2:$D$8001,4,FALSE())</f>
        <v>91</v>
      </c>
      <c r="V77" s="0" t="n">
        <f aca="false">VLOOKUP(V$1+1000*$A77,MASTER6!$A$2:$D$8001,4,FALSE())</f>
        <v>780</v>
      </c>
      <c r="W77" s="0" t="n">
        <f aca="false">VLOOKUP(W$1+1000*$A77,MASTER6!$A$2:$D$8001,4,FALSE())</f>
        <v>1534</v>
      </c>
      <c r="X77" s="0" t="n">
        <f aca="false">VLOOKUP(X$1+1000*$A77,MASTER6!$A$2:$D$8001,4,FALSE())</f>
        <v>0</v>
      </c>
      <c r="Y77" s="0" t="n">
        <f aca="false">VLOOKUP(Y$1+1000*$A77,MASTER6!$A$2:$D$8001,4,FALSE())</f>
        <v>0</v>
      </c>
      <c r="Z77" s="0" t="n">
        <f aca="false">VLOOKUP(Z$1+1000*$A77,MASTER6!$A$2:$D$8001,4,FALSE())</f>
        <v>104</v>
      </c>
      <c r="AA77" s="0" t="n">
        <f aca="false">VLOOKUP(AA$1+1000*$A77,MASTER6!$A$2:$D$8001,4,FALSE())</f>
        <v>0</v>
      </c>
      <c r="AB77" s="0" t="n">
        <f aca="false">VLOOKUP(AB$1+1000*$A77,MASTER6!$A$2:$D$8001,4,FALSE())</f>
        <v>104</v>
      </c>
      <c r="AC77" s="0" t="n">
        <f aca="false">VLOOKUP(AC$1+1000*$A77,MASTER6!$A$2:$D$8001,4,FALSE())</f>
        <v>0</v>
      </c>
      <c r="AD77" s="0" t="n">
        <f aca="false">VLOOKUP(AD$1+1000*$A77,MASTER6!$A$2:$D$8001,4,FALSE())</f>
        <v>0</v>
      </c>
      <c r="AE77" s="0" t="n">
        <f aca="false">VLOOKUP(AE$1+1000*$A77,MASTER6!$A$2:$D$8001,4,FALSE())</f>
        <v>0</v>
      </c>
      <c r="AF77" s="0" t="n">
        <f aca="false">VLOOKUP(AF$1+1000*$A77,MASTER6!$A$2:$D$8001,4,FALSE())</f>
        <v>0</v>
      </c>
      <c r="AG77" s="0" t="n">
        <f aca="false">VLOOKUP(AG$1+1000*$A77,MASTER6!$A$2:$D$8001,4,FALSE())</f>
        <v>0</v>
      </c>
      <c r="AH77" s="0" t="n">
        <f aca="false">VLOOKUP(AH$1+1000*$A77,MASTER6!$A$2:$D$8001,4,FALSE())</f>
        <v>91</v>
      </c>
      <c r="AI77" s="0" t="n">
        <f aca="false">VLOOKUP(AI$1+1000*$A77,MASTER6!$A$2:$D$8001,4,FALSE())</f>
        <v>0</v>
      </c>
      <c r="AJ77" s="0" t="n">
        <f aca="false">VLOOKUP(AJ$1+1000*$A77,MASTER6!$A$2:$D$8001,4,FALSE())</f>
        <v>0</v>
      </c>
      <c r="AK77" s="0" t="n">
        <f aca="false">VLOOKUP(AK$1+1000*$A77,MASTER6!$A$2:$D$8001,4,FALSE())</f>
        <v>0</v>
      </c>
      <c r="AL77" s="0" t="n">
        <f aca="false">VLOOKUP(AL$1+1000*$A77,MASTER6!$A$2:$D$8001,4,FALSE())</f>
        <v>0</v>
      </c>
      <c r="AM77" s="0" t="n">
        <f aca="false">VLOOKUP(AM$1+1000*$A77,MASTER6!$A$2:$D$8001,4,FALSE())</f>
        <v>1157</v>
      </c>
      <c r="AN77" s="0" t="n">
        <f aca="false">VLOOKUP(AN$1+1000*$A77,MASTER6!$A$2:$D$8001,4,FALSE())</f>
        <v>3263</v>
      </c>
      <c r="AO77" s="0" t="n">
        <f aca="false">VLOOKUP(AO$1+1000*$A77,MASTER6!$A$2:$D$8001,4,FALSE())</f>
        <v>0</v>
      </c>
      <c r="AP77" s="0" t="n">
        <f aca="false">VLOOKUP(AP$1+1000*$A77,MASTER6!$A$2:$D$8001,4,FALSE())</f>
        <v>52</v>
      </c>
      <c r="AQ77" s="0" t="n">
        <f aca="false">VLOOKUP(AQ$1+1000*$A77,MASTER6!$A$2:$D$8001,4,FALSE())</f>
        <v>0</v>
      </c>
      <c r="AR77" s="0" t="n">
        <f aca="false">VLOOKUP(AR$1+1000*$A77,MASTER6!$A$2:$D$8001,4,FALSE())</f>
        <v>0</v>
      </c>
      <c r="AS77" s="0" t="n">
        <f aca="false">VLOOKUP(AS$1+1000*$A77,MASTER6!$A$2:$D$8001,4,FALSE())</f>
        <v>0</v>
      </c>
      <c r="AT77" s="0" t="n">
        <f aca="false">VLOOKUP(AT$1+1000*$A77,MASTER6!$A$2:$D$8001,4,FALSE())</f>
        <v>0</v>
      </c>
      <c r="AU77" s="0" t="n">
        <f aca="false">VLOOKUP(AU$1+1000*$A77,MASTER6!$A$2:$D$8001,4,FALSE())</f>
        <v>0</v>
      </c>
      <c r="AV77" s="0" t="n">
        <f aca="false">VLOOKUP(AV$1+1000*$A77,MASTER6!$A$2:$D$8001,4,FALSE())</f>
        <v>0</v>
      </c>
      <c r="AW77" s="0" t="n">
        <f aca="false">VLOOKUP(AW$1+1000*$A77,MASTER6!$A$2:$D$8001,4,FALSE())</f>
        <v>0</v>
      </c>
      <c r="AX77" s="0" t="n">
        <f aca="false">VLOOKUP(AX$1+1000*$A77,MASTER6!$A$2:$D$8001,4,FALSE())</f>
        <v>7371</v>
      </c>
      <c r="AY77" s="0" t="n">
        <f aca="false">VLOOKUP(AY$1+1000*$A77,MASTER6!$A$2:$D$8001,4,FALSE())</f>
        <v>1482</v>
      </c>
      <c r="AZ77" s="0" t="n">
        <f aca="false">VLOOKUP(AZ$1+1000*$A77,MASTER6!$A$2:$D$8001,4,FALSE())</f>
        <v>6591</v>
      </c>
      <c r="BA77" s="0" t="n">
        <f aca="false">VLOOKUP(BA$1+1000*$A77,MASTER6!$A$2:$D$8001,4,FALSE())</f>
        <v>0</v>
      </c>
      <c r="BB77" s="0" t="n">
        <f aca="false">VLOOKUP(BB$1+1000*$A77,MASTER6!$A$2:$D$8001,4,FALSE())</f>
        <v>0</v>
      </c>
      <c r="BC77" s="0" t="n">
        <f aca="false">VLOOKUP(BC$1+1000*$A77,MASTER6!$A$2:$D$8001,4,FALSE())</f>
        <v>0</v>
      </c>
      <c r="BD77" s="0" t="n">
        <f aca="false">VLOOKUP(BD$1+1000*$A77,MASTER6!$A$2:$D$8001,4,FALSE())</f>
        <v>0</v>
      </c>
      <c r="BE77" s="0" t="n">
        <f aca="false">VLOOKUP(BE$1+1000*$A77,MASTER6!$A$2:$D$8001,4,FALSE())</f>
        <v>0</v>
      </c>
      <c r="BF77" s="0" t="n">
        <f aca="false">VLOOKUP(BF$1+1000*$A77,MASTER6!$A$2:$D$8001,4,FALSE())</f>
        <v>0</v>
      </c>
      <c r="BG77" s="0" t="n">
        <f aca="false">VLOOKUP(BG$1+1000*$A77,MASTER6!$A$2:$D$8001,4,FALSE())</f>
        <v>0</v>
      </c>
      <c r="BH77" s="0" t="n">
        <f aca="false">VLOOKUP(BH$1+1000*$A77,MASTER6!$A$2:$D$8001,4,FALSE())</f>
        <v>0</v>
      </c>
      <c r="BI77" s="0" t="n">
        <f aca="false">VLOOKUP(BI$1+1000*$A77,MASTER6!$A$2:$D$8001,4,FALSE())</f>
        <v>0</v>
      </c>
      <c r="BJ77" s="0" t="n">
        <f aca="false">VLOOKUP(BJ$1+1000*$A77,MASTER6!$A$2:$D$8001,4,FALSE())</f>
        <v>0</v>
      </c>
      <c r="BK77" s="0" t="n">
        <f aca="false">VLOOKUP(BK$1+1000*$A77,MASTER6!$A$2:$D$8001,4,FALSE())</f>
        <v>0</v>
      </c>
      <c r="BL77" s="0" t="n">
        <f aca="false">VLOOKUP(BL$1+1000*$A77,MASTER6!$A$2:$D$8001,4,FALSE())</f>
        <v>0</v>
      </c>
      <c r="BM77" s="0" t="n">
        <f aca="false">VLOOKUP(BM$1+1000*$A77,MASTER6!$A$2:$D$8001,4,FALSE())</f>
        <v>0</v>
      </c>
      <c r="BN77" s="0" t="n">
        <f aca="false">VLOOKUP(BN$1+1000*$A77,MASTER6!$A$2:$D$8001,4,FALSE())</f>
        <v>247</v>
      </c>
      <c r="BO77" s="0" t="n">
        <f aca="false">VLOOKUP(BO$1+1000*$A77,MASTER6!$A$2:$D$8001,4,FALSE())</f>
        <v>0</v>
      </c>
      <c r="BP77" s="0" t="n">
        <f aca="false">VLOOKUP(BP$1+1000*$A77,MASTER6!$A$2:$D$8001,4,FALSE())</f>
        <v>0</v>
      </c>
      <c r="BQ77" s="0" t="n">
        <f aca="false">VLOOKUP(BQ$1+1000*$A77,MASTER6!$A$2:$D$8001,4,FALSE())</f>
        <v>0</v>
      </c>
      <c r="BR77" s="0" t="n">
        <f aca="false">VLOOKUP(BR$1+1000*$A77,MASTER6!$A$2:$D$8001,4,FALSE())</f>
        <v>0</v>
      </c>
      <c r="BS77" s="0" t="n">
        <f aca="false">VLOOKUP(BS$1+1000*$A77,MASTER6!$A$2:$D$8001,4,FALSE())</f>
        <v>0</v>
      </c>
      <c r="BT77" s="0" t="n">
        <f aca="false">VLOOKUP(BT$1+1000*$A77,MASTER6!$A$2:$D$8001,4,FALSE())</f>
        <v>0</v>
      </c>
      <c r="BU77" s="0" t="n">
        <f aca="false">VLOOKUP(BU$1+1000*$A77,MASTER6!$A$2:$D$8001,4,FALSE())</f>
        <v>0</v>
      </c>
      <c r="BV77" s="0" t="n">
        <f aca="false">VLOOKUP(BV$1+1000*$A77,MASTER6!$A$2:$D$8001,4,FALSE())</f>
        <v>0</v>
      </c>
      <c r="BW77" s="0" t="e">
        <f aca="false">VLOOKUP(BW$1+1000*$A77,MASTER6!$A$2:$D$8001,4,FALSE())</f>
        <v>#N/A</v>
      </c>
      <c r="BX77" s="0" t="n">
        <f aca="false">VLOOKUP(BX$1+1000*$A77,MASTER6!$A$2:$D$8001,4,FALSE())</f>
        <v>0</v>
      </c>
      <c r="BY77" s="0" t="n">
        <f aca="false">VLOOKUP(BY$1+1000*$A77,MASTER6!$A$2:$D$8001,4,FALSE())</f>
        <v>88868</v>
      </c>
      <c r="BZ77" s="0" t="n">
        <f aca="false">VLOOKUP(BZ$1+1000*$A77,MASTER6!$A$2:$D$8001,4,FALSE())</f>
        <v>0</v>
      </c>
      <c r="CA77" s="0" t="n">
        <f aca="false">VLOOKUP(CA$1+1000*$A77,MASTER6!$A$2:$D$8001,4,FALSE())</f>
        <v>65</v>
      </c>
      <c r="CB77" s="0" t="n">
        <f aca="false">VLOOKUP(CB$1+1000*$A77,MASTER6!$A$2:$D$8001,4,FALSE())</f>
        <v>208</v>
      </c>
      <c r="CC77" s="0" t="n">
        <f aca="false">VLOOKUP(CC$1+1000*$A77,MASTER6!$A$2:$D$8001,4,FALSE())</f>
        <v>0</v>
      </c>
      <c r="CD77" s="0" t="n">
        <f aca="false">VLOOKUP(CD$1+1000*$A77,MASTER6!$A$2:$D$8001,4,FALSE())</f>
        <v>0</v>
      </c>
      <c r="CE77" s="0" t="n">
        <f aca="false">VLOOKUP(CE$1+1000*$A77,MASTER6!$A$2:$D$8001,4,FALSE())</f>
        <v>0</v>
      </c>
      <c r="CF77" s="0" t="n">
        <f aca="false">VLOOKUP(CF$1+1000*$A77,MASTER6!$A$2:$D$8001,4,FALSE())</f>
        <v>91</v>
      </c>
      <c r="CG77" s="0" t="n">
        <f aca="false">VLOOKUP(CG$1+1000*$A77,MASTER6!$A$2:$D$8001,4,FALSE())</f>
        <v>0</v>
      </c>
      <c r="CH77" s="0" t="n">
        <f aca="false">VLOOKUP(CH$1+1000*$A77,MASTER6!$A$2:$D$8001,4,FALSE())</f>
        <v>116324</v>
      </c>
      <c r="CI77" s="0" t="n">
        <f aca="false">VLOOKUP(CI$1+1000*$A77,MASTER6!$A$2:$D$8001,4,FALSE())</f>
        <v>208</v>
      </c>
      <c r="CJ77" s="0" t="e">
        <f aca="false">VLOOKUP(CJ$1+1000*$A77,MASTER6!$A$2:$D$8001,4,FALSE())</f>
        <v>#N/A</v>
      </c>
    </row>
    <row r="78" customFormat="false" ht="12.75" hidden="false" customHeight="false" outlineLevel="0" collapsed="false">
      <c r="A78" s="0" t="n">
        <v>77</v>
      </c>
      <c r="B78" s="0" t="n">
        <f aca="false">VLOOKUP(B$1+1000*$A78,MASTER6!$A$2:$D$8001,4,FALSE())</f>
        <v>0</v>
      </c>
      <c r="C78" s="0" t="n">
        <f aca="false">VLOOKUP(C$1+1000*$A78,MASTER6!$A$2:$D$8001,4,FALSE())</f>
        <v>0</v>
      </c>
      <c r="D78" s="0" t="n">
        <f aca="false">VLOOKUP(D$1+1000*$A78,MASTER6!$A$2:$D$8001,4,FALSE())</f>
        <v>0</v>
      </c>
      <c r="E78" s="0" t="n">
        <f aca="false">VLOOKUP(E$1+1000*$A78,MASTER6!$A$2:$D$8001,4,FALSE())</f>
        <v>377</v>
      </c>
      <c r="F78" s="0" t="n">
        <f aca="false">VLOOKUP(F$1+1000*$A78,MASTER6!$A$2:$D$8001,4,FALSE())</f>
        <v>0</v>
      </c>
      <c r="G78" s="0" t="n">
        <f aca="false">VLOOKUP(G$1+1000*$A78,MASTER6!$A$2:$D$8001,4,FALSE())</f>
        <v>0</v>
      </c>
      <c r="H78" s="0" t="n">
        <f aca="false">VLOOKUP(H$1+1000*$A78,MASTER6!$A$2:$D$8001,4,FALSE())</f>
        <v>0</v>
      </c>
      <c r="I78" s="0" t="n">
        <f aca="false">VLOOKUP(I$1+1000*$A78,MASTER6!$A$2:$D$8001,4,FALSE())</f>
        <v>0</v>
      </c>
      <c r="J78" s="0" t="n">
        <f aca="false">VLOOKUP(J$1+1000*$A78,MASTER6!$A$2:$D$8001,4,FALSE())</f>
        <v>0</v>
      </c>
      <c r="K78" s="0" t="n">
        <f aca="false">VLOOKUP(K$1+1000*$A78,MASTER6!$A$2:$D$8001,4,FALSE())</f>
        <v>0</v>
      </c>
      <c r="L78" s="0" t="n">
        <f aca="false">VLOOKUP(L$1+1000*$A78,MASTER6!$A$2:$D$8001,4,FALSE())</f>
        <v>0</v>
      </c>
      <c r="M78" s="0" t="n">
        <f aca="false">VLOOKUP(M$1+1000*$A78,MASTER6!$A$2:$D$8001,4,FALSE())</f>
        <v>0</v>
      </c>
      <c r="N78" s="0" t="n">
        <f aca="false">VLOOKUP(N$1+1000*$A78,MASTER6!$A$2:$D$8001,4,FALSE())</f>
        <v>0</v>
      </c>
      <c r="O78" s="0" t="n">
        <f aca="false">VLOOKUP(O$1+1000*$A78,MASTER6!$A$2:$D$8001,4,FALSE())</f>
        <v>0</v>
      </c>
      <c r="P78" s="0" t="n">
        <f aca="false">VLOOKUP(P$1+1000*$A78,MASTER6!$A$2:$D$8001,4,FALSE())</f>
        <v>39</v>
      </c>
      <c r="Q78" s="0" t="n">
        <f aca="false">VLOOKUP(Q$1+1000*$A78,MASTER6!$A$2:$D$8001,4,FALSE())</f>
        <v>0</v>
      </c>
      <c r="R78" s="0" t="n">
        <f aca="false">VLOOKUP(R$1+1000*$A78,MASTER6!$A$2:$D$8001,4,FALSE())</f>
        <v>0</v>
      </c>
      <c r="S78" s="0" t="n">
        <f aca="false">VLOOKUP(S$1+1000*$A78,MASTER6!$A$2:$D$8001,4,FALSE())</f>
        <v>0</v>
      </c>
      <c r="T78" s="0" t="n">
        <f aca="false">VLOOKUP(T$1+1000*$A78,MASTER6!$A$2:$D$8001,4,FALSE())</f>
        <v>0</v>
      </c>
      <c r="U78" s="0" t="n">
        <f aca="false">VLOOKUP(U$1+1000*$A78,MASTER6!$A$2:$D$8001,4,FALSE())</f>
        <v>0</v>
      </c>
      <c r="V78" s="0" t="n">
        <f aca="false">VLOOKUP(V$1+1000*$A78,MASTER6!$A$2:$D$8001,4,FALSE())</f>
        <v>78</v>
      </c>
      <c r="W78" s="0" t="n">
        <f aca="false">VLOOKUP(W$1+1000*$A78,MASTER6!$A$2:$D$8001,4,FALSE())</f>
        <v>0</v>
      </c>
      <c r="X78" s="0" t="n">
        <f aca="false">VLOOKUP(X$1+1000*$A78,MASTER6!$A$2:$D$8001,4,FALSE())</f>
        <v>0</v>
      </c>
      <c r="Y78" s="0" t="n">
        <f aca="false">VLOOKUP(Y$1+1000*$A78,MASTER6!$A$2:$D$8001,4,FALSE())</f>
        <v>0</v>
      </c>
      <c r="Z78" s="0" t="n">
        <f aca="false">VLOOKUP(Z$1+1000*$A78,MASTER6!$A$2:$D$8001,4,FALSE())</f>
        <v>0</v>
      </c>
      <c r="AA78" s="0" t="n">
        <f aca="false">VLOOKUP(AA$1+1000*$A78,MASTER6!$A$2:$D$8001,4,FALSE())</f>
        <v>0</v>
      </c>
      <c r="AB78" s="0" t="n">
        <f aca="false">VLOOKUP(AB$1+1000*$A78,MASTER6!$A$2:$D$8001,4,FALSE())</f>
        <v>0</v>
      </c>
      <c r="AC78" s="0" t="n">
        <f aca="false">VLOOKUP(AC$1+1000*$A78,MASTER6!$A$2:$D$8001,4,FALSE())</f>
        <v>78</v>
      </c>
      <c r="AD78" s="0" t="n">
        <f aca="false">VLOOKUP(AD$1+1000*$A78,MASTER6!$A$2:$D$8001,4,FALSE())</f>
        <v>0</v>
      </c>
      <c r="AE78" s="0" t="n">
        <f aca="false">VLOOKUP(AE$1+1000*$A78,MASTER6!$A$2:$D$8001,4,FALSE())</f>
        <v>0</v>
      </c>
      <c r="AF78" s="0" t="n">
        <f aca="false">VLOOKUP(AF$1+1000*$A78,MASTER6!$A$2:$D$8001,4,FALSE())</f>
        <v>0</v>
      </c>
      <c r="AG78" s="0" t="n">
        <f aca="false">VLOOKUP(AG$1+1000*$A78,MASTER6!$A$2:$D$8001,4,FALSE())</f>
        <v>0</v>
      </c>
      <c r="AH78" s="0" t="n">
        <f aca="false">VLOOKUP(AH$1+1000*$A78,MASTER6!$A$2:$D$8001,4,FALSE())</f>
        <v>143</v>
      </c>
      <c r="AI78" s="0" t="n">
        <f aca="false">VLOOKUP(AI$1+1000*$A78,MASTER6!$A$2:$D$8001,4,FALSE())</f>
        <v>0</v>
      </c>
      <c r="AJ78" s="0" t="n">
        <f aca="false">VLOOKUP(AJ$1+1000*$A78,MASTER6!$A$2:$D$8001,4,FALSE())</f>
        <v>0</v>
      </c>
      <c r="AK78" s="0" t="n">
        <f aca="false">VLOOKUP(AK$1+1000*$A78,MASTER6!$A$2:$D$8001,4,FALSE())</f>
        <v>0</v>
      </c>
      <c r="AL78" s="0" t="n">
        <f aca="false">VLOOKUP(AL$1+1000*$A78,MASTER6!$A$2:$D$8001,4,FALSE())</f>
        <v>52</v>
      </c>
      <c r="AM78" s="0" t="n">
        <f aca="false">VLOOKUP(AM$1+1000*$A78,MASTER6!$A$2:$D$8001,4,FALSE())</f>
        <v>0</v>
      </c>
      <c r="AN78" s="0" t="n">
        <f aca="false">VLOOKUP(AN$1+1000*$A78,MASTER6!$A$2:$D$8001,4,FALSE())</f>
        <v>0</v>
      </c>
      <c r="AO78" s="0" t="n">
        <f aca="false">VLOOKUP(AO$1+1000*$A78,MASTER6!$A$2:$D$8001,4,FALSE())</f>
        <v>0</v>
      </c>
      <c r="AP78" s="0" t="n">
        <f aca="false">VLOOKUP(AP$1+1000*$A78,MASTER6!$A$2:$D$8001,4,FALSE())</f>
        <v>0</v>
      </c>
      <c r="AQ78" s="0" t="n">
        <f aca="false">VLOOKUP(AQ$1+1000*$A78,MASTER6!$A$2:$D$8001,4,FALSE())</f>
        <v>0</v>
      </c>
      <c r="AR78" s="0" t="n">
        <f aca="false">VLOOKUP(AR$1+1000*$A78,MASTER6!$A$2:$D$8001,4,FALSE())</f>
        <v>0</v>
      </c>
      <c r="AS78" s="0" t="n">
        <f aca="false">VLOOKUP(AS$1+1000*$A78,MASTER6!$A$2:$D$8001,4,FALSE())</f>
        <v>0</v>
      </c>
      <c r="AT78" s="0" t="n">
        <f aca="false">VLOOKUP(AT$1+1000*$A78,MASTER6!$A$2:$D$8001,4,FALSE())</f>
        <v>0</v>
      </c>
      <c r="AU78" s="0" t="n">
        <f aca="false">VLOOKUP(AU$1+1000*$A78,MASTER6!$A$2:$D$8001,4,FALSE())</f>
        <v>0</v>
      </c>
      <c r="AV78" s="0" t="n">
        <f aca="false">VLOOKUP(AV$1+1000*$A78,MASTER6!$A$2:$D$8001,4,FALSE())</f>
        <v>0</v>
      </c>
      <c r="AW78" s="0" t="n">
        <f aca="false">VLOOKUP(AW$1+1000*$A78,MASTER6!$A$2:$D$8001,4,FALSE())</f>
        <v>0</v>
      </c>
      <c r="AX78" s="0" t="n">
        <f aca="false">VLOOKUP(AX$1+1000*$A78,MASTER6!$A$2:$D$8001,4,FALSE())</f>
        <v>0</v>
      </c>
      <c r="AY78" s="0" t="n">
        <f aca="false">VLOOKUP(AY$1+1000*$A78,MASTER6!$A$2:$D$8001,4,FALSE())</f>
        <v>0</v>
      </c>
      <c r="AZ78" s="0" t="n">
        <f aca="false">VLOOKUP(AZ$1+1000*$A78,MASTER6!$A$2:$D$8001,4,FALSE())</f>
        <v>0</v>
      </c>
      <c r="BA78" s="0" t="n">
        <f aca="false">VLOOKUP(BA$1+1000*$A78,MASTER6!$A$2:$D$8001,4,FALSE())</f>
        <v>0</v>
      </c>
      <c r="BB78" s="0" t="n">
        <f aca="false">VLOOKUP(BB$1+1000*$A78,MASTER6!$A$2:$D$8001,4,FALSE())</f>
        <v>0</v>
      </c>
      <c r="BC78" s="0" t="n">
        <f aca="false">VLOOKUP(BC$1+1000*$A78,MASTER6!$A$2:$D$8001,4,FALSE())</f>
        <v>0</v>
      </c>
      <c r="BD78" s="0" t="n">
        <f aca="false">VLOOKUP(BD$1+1000*$A78,MASTER6!$A$2:$D$8001,4,FALSE())</f>
        <v>0</v>
      </c>
      <c r="BE78" s="0" t="n">
        <f aca="false">VLOOKUP(BE$1+1000*$A78,MASTER6!$A$2:$D$8001,4,FALSE())</f>
        <v>0</v>
      </c>
      <c r="BF78" s="0" t="n">
        <f aca="false">VLOOKUP(BF$1+1000*$A78,MASTER6!$A$2:$D$8001,4,FALSE())</f>
        <v>0</v>
      </c>
      <c r="BG78" s="0" t="n">
        <f aca="false">VLOOKUP(BG$1+1000*$A78,MASTER6!$A$2:$D$8001,4,FALSE())</f>
        <v>0</v>
      </c>
      <c r="BH78" s="0" t="n">
        <f aca="false">VLOOKUP(BH$1+1000*$A78,MASTER6!$A$2:$D$8001,4,FALSE())</f>
        <v>0</v>
      </c>
      <c r="BI78" s="0" t="n">
        <f aca="false">VLOOKUP(BI$1+1000*$A78,MASTER6!$A$2:$D$8001,4,FALSE())</f>
        <v>0</v>
      </c>
      <c r="BJ78" s="0" t="n">
        <f aca="false">VLOOKUP(BJ$1+1000*$A78,MASTER6!$A$2:$D$8001,4,FALSE())</f>
        <v>0</v>
      </c>
      <c r="BK78" s="0" t="n">
        <f aca="false">VLOOKUP(BK$1+1000*$A78,MASTER6!$A$2:$D$8001,4,FALSE())</f>
        <v>0</v>
      </c>
      <c r="BL78" s="0" t="n">
        <f aca="false">VLOOKUP(BL$1+1000*$A78,MASTER6!$A$2:$D$8001,4,FALSE())</f>
        <v>0</v>
      </c>
      <c r="BM78" s="0" t="n">
        <f aca="false">VLOOKUP(BM$1+1000*$A78,MASTER6!$A$2:$D$8001,4,FALSE())</f>
        <v>156</v>
      </c>
      <c r="BN78" s="0" t="n">
        <f aca="false">VLOOKUP(BN$1+1000*$A78,MASTER6!$A$2:$D$8001,4,FALSE())</f>
        <v>0</v>
      </c>
      <c r="BO78" s="0" t="n">
        <f aca="false">VLOOKUP(BO$1+1000*$A78,MASTER6!$A$2:$D$8001,4,FALSE())</f>
        <v>0</v>
      </c>
      <c r="BP78" s="0" t="n">
        <f aca="false">VLOOKUP(BP$1+1000*$A78,MASTER6!$A$2:$D$8001,4,FALSE())</f>
        <v>0</v>
      </c>
      <c r="BQ78" s="0" t="n">
        <f aca="false">VLOOKUP(BQ$1+1000*$A78,MASTER6!$A$2:$D$8001,4,FALSE())</f>
        <v>0</v>
      </c>
      <c r="BR78" s="0" t="n">
        <f aca="false">VLOOKUP(BR$1+1000*$A78,MASTER6!$A$2:$D$8001,4,FALSE())</f>
        <v>624</v>
      </c>
      <c r="BS78" s="0" t="n">
        <f aca="false">VLOOKUP(BS$1+1000*$A78,MASTER6!$A$2:$D$8001,4,FALSE())</f>
        <v>0</v>
      </c>
      <c r="BT78" s="0" t="n">
        <f aca="false">VLOOKUP(BT$1+1000*$A78,MASTER6!$A$2:$D$8001,4,FALSE())</f>
        <v>0</v>
      </c>
      <c r="BU78" s="0" t="n">
        <f aca="false">VLOOKUP(BU$1+1000*$A78,MASTER6!$A$2:$D$8001,4,FALSE())</f>
        <v>0</v>
      </c>
      <c r="BV78" s="0" t="n">
        <f aca="false">VLOOKUP(BV$1+1000*$A78,MASTER6!$A$2:$D$8001,4,FALSE())</f>
        <v>0</v>
      </c>
      <c r="BW78" s="0" t="e">
        <f aca="false">VLOOKUP(BW$1+1000*$A78,MASTER6!$A$2:$D$8001,4,FALSE())</f>
        <v>#N/A</v>
      </c>
      <c r="BX78" s="0" t="n">
        <f aca="false">VLOOKUP(BX$1+1000*$A78,MASTER6!$A$2:$D$8001,4,FALSE())</f>
        <v>0</v>
      </c>
      <c r="BY78" s="0" t="n">
        <f aca="false">VLOOKUP(BY$1+1000*$A78,MASTER6!$A$2:$D$8001,4,FALSE())</f>
        <v>0</v>
      </c>
      <c r="BZ78" s="0" t="n">
        <f aca="false">VLOOKUP(BZ$1+1000*$A78,MASTER6!$A$2:$D$8001,4,FALSE())</f>
        <v>33397</v>
      </c>
      <c r="CA78" s="0" t="n">
        <f aca="false">VLOOKUP(CA$1+1000*$A78,MASTER6!$A$2:$D$8001,4,FALSE())</f>
        <v>0</v>
      </c>
      <c r="CB78" s="0" t="n">
        <f aca="false">VLOOKUP(CB$1+1000*$A78,MASTER6!$A$2:$D$8001,4,FALSE())</f>
        <v>0</v>
      </c>
      <c r="CC78" s="0" t="n">
        <f aca="false">VLOOKUP(CC$1+1000*$A78,MASTER6!$A$2:$D$8001,4,FALSE())</f>
        <v>0</v>
      </c>
      <c r="CD78" s="0" t="n">
        <f aca="false">VLOOKUP(CD$1+1000*$A78,MASTER6!$A$2:$D$8001,4,FALSE())</f>
        <v>0</v>
      </c>
      <c r="CE78" s="0" t="n">
        <f aca="false">VLOOKUP(CE$1+1000*$A78,MASTER6!$A$2:$D$8001,4,FALSE())</f>
        <v>0</v>
      </c>
      <c r="CF78" s="0" t="n">
        <f aca="false">VLOOKUP(CF$1+1000*$A78,MASTER6!$A$2:$D$8001,4,FALSE())</f>
        <v>0</v>
      </c>
      <c r="CG78" s="0" t="n">
        <f aca="false">VLOOKUP(CG$1+1000*$A78,MASTER6!$A$2:$D$8001,4,FALSE())</f>
        <v>0</v>
      </c>
      <c r="CH78" s="0" t="n">
        <f aca="false">VLOOKUP(CH$1+1000*$A78,MASTER6!$A$2:$D$8001,4,FALSE())</f>
        <v>73463</v>
      </c>
      <c r="CI78" s="0" t="n">
        <f aca="false">VLOOKUP(CI$1+1000*$A78,MASTER6!$A$2:$D$8001,4,FALSE())</f>
        <v>65</v>
      </c>
      <c r="CJ78" s="0" t="e">
        <f aca="false">VLOOKUP(CJ$1+1000*$A78,MASTER6!$A$2:$D$8001,4,FALSE())</f>
        <v>#N/A</v>
      </c>
    </row>
    <row r="79" customFormat="false" ht="12.75" hidden="false" customHeight="false" outlineLevel="0" collapsed="false">
      <c r="A79" s="0" t="n">
        <v>78</v>
      </c>
      <c r="B79" s="0" t="n">
        <f aca="false">VLOOKUP(B$1+1000*$A79,MASTER6!$A$2:$D$8001,4,FALSE())</f>
        <v>104</v>
      </c>
      <c r="C79" s="0" t="n">
        <f aca="false">VLOOKUP(C$1+1000*$A79,MASTER6!$A$2:$D$8001,4,FALSE())</f>
        <v>0</v>
      </c>
      <c r="D79" s="0" t="n">
        <f aca="false">VLOOKUP(D$1+1000*$A79,MASTER6!$A$2:$D$8001,4,FALSE())</f>
        <v>0</v>
      </c>
      <c r="E79" s="0" t="n">
        <f aca="false">VLOOKUP(E$1+1000*$A79,MASTER6!$A$2:$D$8001,4,FALSE())</f>
        <v>0</v>
      </c>
      <c r="F79" s="0" t="n">
        <f aca="false">VLOOKUP(F$1+1000*$A79,MASTER6!$A$2:$D$8001,4,FALSE())</f>
        <v>0</v>
      </c>
      <c r="G79" s="0" t="n">
        <f aca="false">VLOOKUP(G$1+1000*$A79,MASTER6!$A$2:$D$8001,4,FALSE())</f>
        <v>0</v>
      </c>
      <c r="H79" s="0" t="n">
        <f aca="false">VLOOKUP(H$1+1000*$A79,MASTER6!$A$2:$D$8001,4,FALSE())</f>
        <v>0</v>
      </c>
      <c r="I79" s="0" t="n">
        <f aca="false">VLOOKUP(I$1+1000*$A79,MASTER6!$A$2:$D$8001,4,FALSE())</f>
        <v>0</v>
      </c>
      <c r="J79" s="0" t="n">
        <f aca="false">VLOOKUP(J$1+1000*$A79,MASTER6!$A$2:$D$8001,4,FALSE())</f>
        <v>0</v>
      </c>
      <c r="K79" s="0" t="n">
        <f aca="false">VLOOKUP(K$1+1000*$A79,MASTER6!$A$2:$D$8001,4,FALSE())</f>
        <v>0</v>
      </c>
      <c r="L79" s="0" t="n">
        <f aca="false">VLOOKUP(L$1+1000*$A79,MASTER6!$A$2:$D$8001,4,FALSE())</f>
        <v>0</v>
      </c>
      <c r="M79" s="0" t="n">
        <f aca="false">VLOOKUP(M$1+1000*$A79,MASTER6!$A$2:$D$8001,4,FALSE())</f>
        <v>0</v>
      </c>
      <c r="N79" s="0" t="n">
        <f aca="false">VLOOKUP(N$1+1000*$A79,MASTER6!$A$2:$D$8001,4,FALSE())</f>
        <v>0</v>
      </c>
      <c r="O79" s="0" t="n">
        <f aca="false">VLOOKUP(O$1+1000*$A79,MASTER6!$A$2:$D$8001,4,FALSE())</f>
        <v>0</v>
      </c>
      <c r="P79" s="0" t="n">
        <f aca="false">VLOOKUP(P$1+1000*$A79,MASTER6!$A$2:$D$8001,4,FALSE())</f>
        <v>91</v>
      </c>
      <c r="Q79" s="0" t="n">
        <f aca="false">VLOOKUP(Q$1+1000*$A79,MASTER6!$A$2:$D$8001,4,FALSE())</f>
        <v>0</v>
      </c>
      <c r="R79" s="0" t="n">
        <f aca="false">VLOOKUP(R$1+1000*$A79,MASTER6!$A$2:$D$8001,4,FALSE())</f>
        <v>0</v>
      </c>
      <c r="S79" s="0" t="n">
        <f aca="false">VLOOKUP(S$1+1000*$A79,MASTER6!$A$2:$D$8001,4,FALSE())</f>
        <v>0</v>
      </c>
      <c r="T79" s="0" t="n">
        <f aca="false">VLOOKUP(T$1+1000*$A79,MASTER6!$A$2:$D$8001,4,FALSE())</f>
        <v>0</v>
      </c>
      <c r="U79" s="0" t="n">
        <f aca="false">VLOOKUP(U$1+1000*$A79,MASTER6!$A$2:$D$8001,4,FALSE())</f>
        <v>104</v>
      </c>
      <c r="V79" s="0" t="n">
        <f aca="false">VLOOKUP(V$1+1000*$A79,MASTER6!$A$2:$D$8001,4,FALSE())</f>
        <v>0</v>
      </c>
      <c r="W79" s="0" t="n">
        <f aca="false">VLOOKUP(W$1+1000*$A79,MASTER6!$A$2:$D$8001,4,FALSE())</f>
        <v>0</v>
      </c>
      <c r="X79" s="0" t="n">
        <f aca="false">VLOOKUP(X$1+1000*$A79,MASTER6!$A$2:$D$8001,4,FALSE())</f>
        <v>91</v>
      </c>
      <c r="Y79" s="0" t="n">
        <f aca="false">VLOOKUP(Y$1+1000*$A79,MASTER6!$A$2:$D$8001,4,FALSE())</f>
        <v>0</v>
      </c>
      <c r="Z79" s="0" t="n">
        <f aca="false">VLOOKUP(Z$1+1000*$A79,MASTER6!$A$2:$D$8001,4,FALSE())</f>
        <v>0</v>
      </c>
      <c r="AA79" s="0" t="n">
        <f aca="false">VLOOKUP(AA$1+1000*$A79,MASTER6!$A$2:$D$8001,4,FALSE())</f>
        <v>0</v>
      </c>
      <c r="AB79" s="0" t="n">
        <f aca="false">VLOOKUP(AB$1+1000*$A79,MASTER6!$A$2:$D$8001,4,FALSE())</f>
        <v>0</v>
      </c>
      <c r="AC79" s="0" t="n">
        <f aca="false">VLOOKUP(AC$1+1000*$A79,MASTER6!$A$2:$D$8001,4,FALSE())</f>
        <v>0</v>
      </c>
      <c r="AD79" s="0" t="n">
        <f aca="false">VLOOKUP(AD$1+1000*$A79,MASTER6!$A$2:$D$8001,4,FALSE())</f>
        <v>0</v>
      </c>
      <c r="AE79" s="0" t="n">
        <f aca="false">VLOOKUP(AE$1+1000*$A79,MASTER6!$A$2:$D$8001,4,FALSE())</f>
        <v>0</v>
      </c>
      <c r="AF79" s="0" t="n">
        <f aca="false">VLOOKUP(AF$1+1000*$A79,MASTER6!$A$2:$D$8001,4,FALSE())</f>
        <v>104</v>
      </c>
      <c r="AG79" s="0" t="n">
        <f aca="false">VLOOKUP(AG$1+1000*$A79,MASTER6!$A$2:$D$8001,4,FALSE())</f>
        <v>143</v>
      </c>
      <c r="AH79" s="0" t="n">
        <f aca="false">VLOOKUP(AH$1+1000*$A79,MASTER6!$A$2:$D$8001,4,FALSE())</f>
        <v>0</v>
      </c>
      <c r="AI79" s="0" t="n">
        <f aca="false">VLOOKUP(AI$1+1000*$A79,MASTER6!$A$2:$D$8001,4,FALSE())</f>
        <v>0</v>
      </c>
      <c r="AJ79" s="0" t="n">
        <f aca="false">VLOOKUP(AJ$1+1000*$A79,MASTER6!$A$2:$D$8001,4,FALSE())</f>
        <v>0</v>
      </c>
      <c r="AK79" s="0" t="n">
        <f aca="false">VLOOKUP(AK$1+1000*$A79,MASTER6!$A$2:$D$8001,4,FALSE())</f>
        <v>0</v>
      </c>
      <c r="AL79" s="0" t="n">
        <f aca="false">VLOOKUP(AL$1+1000*$A79,MASTER6!$A$2:$D$8001,4,FALSE())</f>
        <v>0</v>
      </c>
      <c r="AM79" s="0" t="n">
        <f aca="false">VLOOKUP(AM$1+1000*$A79,MASTER6!$A$2:$D$8001,4,FALSE())</f>
        <v>0</v>
      </c>
      <c r="AN79" s="0" t="n">
        <f aca="false">VLOOKUP(AN$1+1000*$A79,MASTER6!$A$2:$D$8001,4,FALSE())</f>
        <v>0</v>
      </c>
      <c r="AO79" s="0" t="n">
        <f aca="false">VLOOKUP(AO$1+1000*$A79,MASTER6!$A$2:$D$8001,4,FALSE())</f>
        <v>91</v>
      </c>
      <c r="AP79" s="0" t="n">
        <f aca="false">VLOOKUP(AP$1+1000*$A79,MASTER6!$A$2:$D$8001,4,FALSE())</f>
        <v>0</v>
      </c>
      <c r="AQ79" s="0" t="n">
        <f aca="false">VLOOKUP(AQ$1+1000*$A79,MASTER6!$A$2:$D$8001,4,FALSE())</f>
        <v>0</v>
      </c>
      <c r="AR79" s="0" t="n">
        <f aca="false">VLOOKUP(AR$1+1000*$A79,MASTER6!$A$2:$D$8001,4,FALSE())</f>
        <v>0</v>
      </c>
      <c r="AS79" s="0" t="n">
        <f aca="false">VLOOKUP(AS$1+1000*$A79,MASTER6!$A$2:$D$8001,4,FALSE())</f>
        <v>0</v>
      </c>
      <c r="AT79" s="0" t="n">
        <f aca="false">VLOOKUP(AT$1+1000*$A79,MASTER6!$A$2:$D$8001,4,FALSE())</f>
        <v>0</v>
      </c>
      <c r="AU79" s="0" t="n">
        <f aca="false">VLOOKUP(AU$1+1000*$A79,MASTER6!$A$2:$D$8001,4,FALSE())</f>
        <v>0</v>
      </c>
      <c r="AV79" s="0" t="n">
        <f aca="false">VLOOKUP(AV$1+1000*$A79,MASTER6!$A$2:$D$8001,4,FALSE())</f>
        <v>0</v>
      </c>
      <c r="AW79" s="0" t="n">
        <f aca="false">VLOOKUP(AW$1+1000*$A79,MASTER6!$A$2:$D$8001,4,FALSE())</f>
        <v>0</v>
      </c>
      <c r="AX79" s="0" t="n">
        <f aca="false">VLOOKUP(AX$1+1000*$A79,MASTER6!$A$2:$D$8001,4,FALSE())</f>
        <v>0</v>
      </c>
      <c r="AY79" s="0" t="n">
        <f aca="false">VLOOKUP(AY$1+1000*$A79,MASTER6!$A$2:$D$8001,4,FALSE())</f>
        <v>0</v>
      </c>
      <c r="AZ79" s="0" t="n">
        <f aca="false">VLOOKUP(AZ$1+1000*$A79,MASTER6!$A$2:$D$8001,4,FALSE())</f>
        <v>0</v>
      </c>
      <c r="BA79" s="0" t="n">
        <f aca="false">VLOOKUP(BA$1+1000*$A79,MASTER6!$A$2:$D$8001,4,FALSE())</f>
        <v>0</v>
      </c>
      <c r="BB79" s="0" t="n">
        <f aca="false">VLOOKUP(BB$1+1000*$A79,MASTER6!$A$2:$D$8001,4,FALSE())</f>
        <v>0</v>
      </c>
      <c r="BC79" s="0" t="n">
        <f aca="false">VLOOKUP(BC$1+1000*$A79,MASTER6!$A$2:$D$8001,4,FALSE())</f>
        <v>0</v>
      </c>
      <c r="BD79" s="0" t="n">
        <f aca="false">VLOOKUP(BD$1+1000*$A79,MASTER6!$A$2:$D$8001,4,FALSE())</f>
        <v>0</v>
      </c>
      <c r="BE79" s="0" t="n">
        <f aca="false">VLOOKUP(BE$1+1000*$A79,MASTER6!$A$2:$D$8001,4,FALSE())</f>
        <v>0</v>
      </c>
      <c r="BF79" s="0" t="n">
        <f aca="false">VLOOKUP(BF$1+1000*$A79,MASTER6!$A$2:$D$8001,4,FALSE())</f>
        <v>0</v>
      </c>
      <c r="BG79" s="0" t="n">
        <f aca="false">VLOOKUP(BG$1+1000*$A79,MASTER6!$A$2:$D$8001,4,FALSE())</f>
        <v>0</v>
      </c>
      <c r="BH79" s="0" t="n">
        <f aca="false">VLOOKUP(BH$1+1000*$A79,MASTER6!$A$2:$D$8001,4,FALSE())</f>
        <v>0</v>
      </c>
      <c r="BI79" s="0" t="n">
        <f aca="false">VLOOKUP(BI$1+1000*$A79,MASTER6!$A$2:$D$8001,4,FALSE())</f>
        <v>0</v>
      </c>
      <c r="BJ79" s="0" t="n">
        <f aca="false">VLOOKUP(BJ$1+1000*$A79,MASTER6!$A$2:$D$8001,4,FALSE())</f>
        <v>0</v>
      </c>
      <c r="BK79" s="0" t="n">
        <f aca="false">VLOOKUP(BK$1+1000*$A79,MASTER6!$A$2:$D$8001,4,FALSE())</f>
        <v>0</v>
      </c>
      <c r="BL79" s="0" t="n">
        <f aca="false">VLOOKUP(BL$1+1000*$A79,MASTER6!$A$2:$D$8001,4,FALSE())</f>
        <v>0</v>
      </c>
      <c r="BM79" s="0" t="n">
        <f aca="false">VLOOKUP(BM$1+1000*$A79,MASTER6!$A$2:$D$8001,4,FALSE())</f>
        <v>585</v>
      </c>
      <c r="BN79" s="0" t="n">
        <f aca="false">VLOOKUP(BN$1+1000*$A79,MASTER6!$A$2:$D$8001,4,FALSE())</f>
        <v>234</v>
      </c>
      <c r="BO79" s="0" t="n">
        <f aca="false">VLOOKUP(BO$1+1000*$A79,MASTER6!$A$2:$D$8001,4,FALSE())</f>
        <v>0</v>
      </c>
      <c r="BP79" s="0" t="n">
        <f aca="false">VLOOKUP(BP$1+1000*$A79,MASTER6!$A$2:$D$8001,4,FALSE())</f>
        <v>91</v>
      </c>
      <c r="BQ79" s="0" t="n">
        <f aca="false">VLOOKUP(BQ$1+1000*$A79,MASTER6!$A$2:$D$8001,4,FALSE())</f>
        <v>0</v>
      </c>
      <c r="BR79" s="0" t="n">
        <f aca="false">VLOOKUP(BR$1+1000*$A79,MASTER6!$A$2:$D$8001,4,FALSE())</f>
        <v>0</v>
      </c>
      <c r="BS79" s="0" t="n">
        <f aca="false">VLOOKUP(BS$1+1000*$A79,MASTER6!$A$2:$D$8001,4,FALSE())</f>
        <v>0</v>
      </c>
      <c r="BT79" s="0" t="n">
        <f aca="false">VLOOKUP(BT$1+1000*$A79,MASTER6!$A$2:$D$8001,4,FALSE())</f>
        <v>0</v>
      </c>
      <c r="BU79" s="0" t="n">
        <f aca="false">VLOOKUP(BU$1+1000*$A79,MASTER6!$A$2:$D$8001,4,FALSE())</f>
        <v>247</v>
      </c>
      <c r="BV79" s="0" t="n">
        <f aca="false">VLOOKUP(BV$1+1000*$A79,MASTER6!$A$2:$D$8001,4,FALSE())</f>
        <v>0</v>
      </c>
      <c r="BW79" s="0" t="e">
        <f aca="false">VLOOKUP(BW$1+1000*$A79,MASTER6!$A$2:$D$8001,4,FALSE())</f>
        <v>#N/A</v>
      </c>
      <c r="BX79" s="0" t="n">
        <f aca="false">VLOOKUP(BX$1+1000*$A79,MASTER6!$A$2:$D$8001,4,FALSE())</f>
        <v>0</v>
      </c>
      <c r="BY79" s="0" t="n">
        <f aca="false">VLOOKUP(BY$1+1000*$A79,MASTER6!$A$2:$D$8001,4,FALSE())</f>
        <v>0</v>
      </c>
      <c r="BZ79" s="0" t="n">
        <f aca="false">VLOOKUP(BZ$1+1000*$A79,MASTER6!$A$2:$D$8001,4,FALSE())</f>
        <v>143</v>
      </c>
      <c r="CA79" s="0" t="n">
        <f aca="false">VLOOKUP(CA$1+1000*$A79,MASTER6!$A$2:$D$8001,4,FALSE())</f>
        <v>56394</v>
      </c>
      <c r="CB79" s="0" t="n">
        <f aca="false">VLOOKUP(CB$1+1000*$A79,MASTER6!$A$2:$D$8001,4,FALSE())</f>
        <v>19071</v>
      </c>
      <c r="CC79" s="0" t="n">
        <f aca="false">VLOOKUP(CC$1+1000*$A79,MASTER6!$A$2:$D$8001,4,FALSE())</f>
        <v>0</v>
      </c>
      <c r="CD79" s="0" t="n">
        <f aca="false">VLOOKUP(CD$1+1000*$A79,MASTER6!$A$2:$D$8001,4,FALSE())</f>
        <v>0</v>
      </c>
      <c r="CE79" s="0" t="n">
        <f aca="false">VLOOKUP(CE$1+1000*$A79,MASTER6!$A$2:$D$8001,4,FALSE())</f>
        <v>0</v>
      </c>
      <c r="CF79" s="0" t="n">
        <f aca="false">VLOOKUP(CF$1+1000*$A79,MASTER6!$A$2:$D$8001,4,FALSE())</f>
        <v>0</v>
      </c>
      <c r="CG79" s="0" t="n">
        <f aca="false">VLOOKUP(CG$1+1000*$A79,MASTER6!$A$2:$D$8001,4,FALSE())</f>
        <v>0</v>
      </c>
      <c r="CH79" s="0" t="n">
        <f aca="false">VLOOKUP(CH$1+1000*$A79,MASTER6!$A$2:$D$8001,4,FALSE())</f>
        <v>100061</v>
      </c>
      <c r="CI79" s="0" t="n">
        <f aca="false">VLOOKUP(CI$1+1000*$A79,MASTER6!$A$2:$D$8001,4,FALSE())</f>
        <v>0</v>
      </c>
      <c r="CJ79" s="0" t="e">
        <f aca="false">VLOOKUP(CJ$1+1000*$A79,MASTER6!$A$2:$D$8001,4,FALSE())</f>
        <v>#N/A</v>
      </c>
    </row>
    <row r="80" customFormat="false" ht="12.75" hidden="false" customHeight="false" outlineLevel="0" collapsed="false">
      <c r="A80" s="0" t="n">
        <v>79</v>
      </c>
      <c r="B80" s="0" t="n">
        <f aca="false">VLOOKUP(B$1+1000*$A80,MASTER6!$A$2:$D$8001,4,FALSE())</f>
        <v>0</v>
      </c>
      <c r="C80" s="0" t="n">
        <f aca="false">VLOOKUP(C$1+1000*$A80,MASTER6!$A$2:$D$8001,4,FALSE())</f>
        <v>0</v>
      </c>
      <c r="D80" s="0" t="n">
        <f aca="false">VLOOKUP(D$1+1000*$A80,MASTER6!$A$2:$D$8001,4,FALSE())</f>
        <v>0</v>
      </c>
      <c r="E80" s="0" t="n">
        <f aca="false">VLOOKUP(E$1+1000*$A80,MASTER6!$A$2:$D$8001,4,FALSE())</f>
        <v>182</v>
      </c>
      <c r="F80" s="0" t="n">
        <f aca="false">VLOOKUP(F$1+1000*$A80,MASTER6!$A$2:$D$8001,4,FALSE())</f>
        <v>0</v>
      </c>
      <c r="G80" s="0" t="n">
        <f aca="false">VLOOKUP(G$1+1000*$A80,MASTER6!$A$2:$D$8001,4,FALSE())</f>
        <v>0</v>
      </c>
      <c r="H80" s="0" t="n">
        <f aca="false">VLOOKUP(H$1+1000*$A80,MASTER6!$A$2:$D$8001,4,FALSE())</f>
        <v>0</v>
      </c>
      <c r="I80" s="0" t="n">
        <f aca="false">VLOOKUP(I$1+1000*$A80,MASTER6!$A$2:$D$8001,4,FALSE())</f>
        <v>0</v>
      </c>
      <c r="J80" s="0" t="n">
        <f aca="false">VLOOKUP(J$1+1000*$A80,MASTER6!$A$2:$D$8001,4,FALSE())</f>
        <v>0</v>
      </c>
      <c r="K80" s="0" t="n">
        <f aca="false">VLOOKUP(K$1+1000*$A80,MASTER6!$A$2:$D$8001,4,FALSE())</f>
        <v>0</v>
      </c>
      <c r="L80" s="0" t="n">
        <f aca="false">VLOOKUP(L$1+1000*$A80,MASTER6!$A$2:$D$8001,4,FALSE())</f>
        <v>0</v>
      </c>
      <c r="M80" s="0" t="n">
        <f aca="false">VLOOKUP(M$1+1000*$A80,MASTER6!$A$2:$D$8001,4,FALSE())</f>
        <v>0</v>
      </c>
      <c r="N80" s="0" t="n">
        <f aca="false">VLOOKUP(N$1+1000*$A80,MASTER6!$A$2:$D$8001,4,FALSE())</f>
        <v>0</v>
      </c>
      <c r="O80" s="0" t="n">
        <f aca="false">VLOOKUP(O$1+1000*$A80,MASTER6!$A$2:$D$8001,4,FALSE())</f>
        <v>0</v>
      </c>
      <c r="P80" s="0" t="n">
        <f aca="false">VLOOKUP(P$1+1000*$A80,MASTER6!$A$2:$D$8001,4,FALSE())</f>
        <v>0</v>
      </c>
      <c r="Q80" s="0" t="n">
        <f aca="false">VLOOKUP(Q$1+1000*$A80,MASTER6!$A$2:$D$8001,4,FALSE())</f>
        <v>0</v>
      </c>
      <c r="R80" s="0" t="n">
        <f aca="false">VLOOKUP(R$1+1000*$A80,MASTER6!$A$2:$D$8001,4,FALSE())</f>
        <v>0</v>
      </c>
      <c r="S80" s="0" t="n">
        <f aca="false">VLOOKUP(S$1+1000*$A80,MASTER6!$A$2:$D$8001,4,FALSE())</f>
        <v>0</v>
      </c>
      <c r="T80" s="0" t="n">
        <f aca="false">VLOOKUP(T$1+1000*$A80,MASTER6!$A$2:$D$8001,4,FALSE())</f>
        <v>78</v>
      </c>
      <c r="U80" s="0" t="n">
        <f aca="false">VLOOKUP(U$1+1000*$A80,MASTER6!$A$2:$D$8001,4,FALSE())</f>
        <v>0</v>
      </c>
      <c r="V80" s="0" t="n">
        <f aca="false">VLOOKUP(V$1+1000*$A80,MASTER6!$A$2:$D$8001,4,FALSE())</f>
        <v>0</v>
      </c>
      <c r="W80" s="0" t="n">
        <f aca="false">VLOOKUP(W$1+1000*$A80,MASTER6!$A$2:$D$8001,4,FALSE())</f>
        <v>0</v>
      </c>
      <c r="X80" s="0" t="n">
        <f aca="false">VLOOKUP(X$1+1000*$A80,MASTER6!$A$2:$D$8001,4,FALSE())</f>
        <v>0</v>
      </c>
      <c r="Y80" s="0" t="n">
        <f aca="false">VLOOKUP(Y$1+1000*$A80,MASTER6!$A$2:$D$8001,4,FALSE())</f>
        <v>0</v>
      </c>
      <c r="Z80" s="0" t="n">
        <f aca="false">VLOOKUP(Z$1+1000*$A80,MASTER6!$A$2:$D$8001,4,FALSE())</f>
        <v>0</v>
      </c>
      <c r="AA80" s="0" t="n">
        <f aca="false">VLOOKUP(AA$1+1000*$A80,MASTER6!$A$2:$D$8001,4,FALSE())</f>
        <v>299</v>
      </c>
      <c r="AB80" s="0" t="n">
        <f aca="false">VLOOKUP(AB$1+1000*$A80,MASTER6!$A$2:$D$8001,4,FALSE())</f>
        <v>208</v>
      </c>
      <c r="AC80" s="0" t="n">
        <f aca="false">VLOOKUP(AC$1+1000*$A80,MASTER6!$A$2:$D$8001,4,FALSE())</f>
        <v>0</v>
      </c>
      <c r="AD80" s="0" t="n">
        <f aca="false">VLOOKUP(AD$1+1000*$A80,MASTER6!$A$2:$D$8001,4,FALSE())</f>
        <v>0</v>
      </c>
      <c r="AE80" s="0" t="n">
        <f aca="false">VLOOKUP(AE$1+1000*$A80,MASTER6!$A$2:$D$8001,4,FALSE())</f>
        <v>0</v>
      </c>
      <c r="AF80" s="0" t="n">
        <f aca="false">VLOOKUP(AF$1+1000*$A80,MASTER6!$A$2:$D$8001,4,FALSE())</f>
        <v>78</v>
      </c>
      <c r="AG80" s="0" t="n">
        <f aca="false">VLOOKUP(AG$1+1000*$A80,MASTER6!$A$2:$D$8001,4,FALSE())</f>
        <v>208</v>
      </c>
      <c r="AH80" s="0" t="n">
        <f aca="false">VLOOKUP(AH$1+1000*$A80,MASTER6!$A$2:$D$8001,4,FALSE())</f>
        <v>0</v>
      </c>
      <c r="AI80" s="0" t="n">
        <f aca="false">VLOOKUP(AI$1+1000*$A80,MASTER6!$A$2:$D$8001,4,FALSE())</f>
        <v>0</v>
      </c>
      <c r="AJ80" s="0" t="n">
        <f aca="false">VLOOKUP(AJ$1+1000*$A80,MASTER6!$A$2:$D$8001,4,FALSE())</f>
        <v>0</v>
      </c>
      <c r="AK80" s="0" t="n">
        <f aca="false">VLOOKUP(AK$1+1000*$A80,MASTER6!$A$2:$D$8001,4,FALSE())</f>
        <v>0</v>
      </c>
      <c r="AL80" s="0" t="n">
        <f aca="false">VLOOKUP(AL$1+1000*$A80,MASTER6!$A$2:$D$8001,4,FALSE())</f>
        <v>0</v>
      </c>
      <c r="AM80" s="0" t="n">
        <f aca="false">VLOOKUP(AM$1+1000*$A80,MASTER6!$A$2:$D$8001,4,FALSE())</f>
        <v>117</v>
      </c>
      <c r="AN80" s="0" t="n">
        <f aca="false">VLOOKUP(AN$1+1000*$A80,MASTER6!$A$2:$D$8001,4,FALSE())</f>
        <v>91</v>
      </c>
      <c r="AO80" s="0" t="n">
        <f aca="false">VLOOKUP(AO$1+1000*$A80,MASTER6!$A$2:$D$8001,4,FALSE())</f>
        <v>0</v>
      </c>
      <c r="AP80" s="0" t="n">
        <f aca="false">VLOOKUP(AP$1+1000*$A80,MASTER6!$A$2:$D$8001,4,FALSE())</f>
        <v>65</v>
      </c>
      <c r="AQ80" s="0" t="n">
        <f aca="false">VLOOKUP(AQ$1+1000*$A80,MASTER6!$A$2:$D$8001,4,FALSE())</f>
        <v>0</v>
      </c>
      <c r="AR80" s="0" t="n">
        <f aca="false">VLOOKUP(AR$1+1000*$A80,MASTER6!$A$2:$D$8001,4,FALSE())</f>
        <v>0</v>
      </c>
      <c r="AS80" s="0" t="n">
        <f aca="false">VLOOKUP(AS$1+1000*$A80,MASTER6!$A$2:$D$8001,4,FALSE())</f>
        <v>0</v>
      </c>
      <c r="AT80" s="0" t="n">
        <f aca="false">VLOOKUP(AT$1+1000*$A80,MASTER6!$A$2:$D$8001,4,FALSE())</f>
        <v>0</v>
      </c>
      <c r="AU80" s="0" t="n">
        <f aca="false">VLOOKUP(AU$1+1000*$A80,MASTER6!$A$2:$D$8001,4,FALSE())</f>
        <v>0</v>
      </c>
      <c r="AV80" s="0" t="n">
        <f aca="false">VLOOKUP(AV$1+1000*$A80,MASTER6!$A$2:$D$8001,4,FALSE())</f>
        <v>0</v>
      </c>
      <c r="AW80" s="0" t="n">
        <f aca="false">VLOOKUP(AW$1+1000*$A80,MASTER6!$A$2:$D$8001,4,FALSE())</f>
        <v>169</v>
      </c>
      <c r="AX80" s="0" t="n">
        <f aca="false">VLOOKUP(AX$1+1000*$A80,MASTER6!$A$2:$D$8001,4,FALSE())</f>
        <v>0</v>
      </c>
      <c r="AY80" s="0" t="n">
        <f aca="false">VLOOKUP(AY$1+1000*$A80,MASTER6!$A$2:$D$8001,4,FALSE())</f>
        <v>0</v>
      </c>
      <c r="AZ80" s="0" t="n">
        <f aca="false">VLOOKUP(AZ$1+1000*$A80,MASTER6!$A$2:$D$8001,4,FALSE())</f>
        <v>0</v>
      </c>
      <c r="BA80" s="0" t="n">
        <f aca="false">VLOOKUP(BA$1+1000*$A80,MASTER6!$A$2:$D$8001,4,FALSE())</f>
        <v>650</v>
      </c>
      <c r="BB80" s="0" t="n">
        <f aca="false">VLOOKUP(BB$1+1000*$A80,MASTER6!$A$2:$D$8001,4,FALSE())</f>
        <v>0</v>
      </c>
      <c r="BC80" s="0" t="n">
        <f aca="false">VLOOKUP(BC$1+1000*$A80,MASTER6!$A$2:$D$8001,4,FALSE())</f>
        <v>0</v>
      </c>
      <c r="BD80" s="0" t="n">
        <f aca="false">VLOOKUP(BD$1+1000*$A80,MASTER6!$A$2:$D$8001,4,FALSE())</f>
        <v>0</v>
      </c>
      <c r="BE80" s="0" t="n">
        <f aca="false">VLOOKUP(BE$1+1000*$A80,MASTER6!$A$2:$D$8001,4,FALSE())</f>
        <v>0</v>
      </c>
      <c r="BF80" s="0" t="n">
        <f aca="false">VLOOKUP(BF$1+1000*$A80,MASTER6!$A$2:$D$8001,4,FALSE())</f>
        <v>0</v>
      </c>
      <c r="BG80" s="0" t="n">
        <f aca="false">VLOOKUP(BG$1+1000*$A80,MASTER6!$A$2:$D$8001,4,FALSE())</f>
        <v>0</v>
      </c>
      <c r="BH80" s="0" t="n">
        <f aca="false">VLOOKUP(BH$1+1000*$A80,MASTER6!$A$2:$D$8001,4,FALSE())</f>
        <v>0</v>
      </c>
      <c r="BI80" s="0" t="n">
        <f aca="false">VLOOKUP(BI$1+1000*$A80,MASTER6!$A$2:$D$8001,4,FALSE())</f>
        <v>0</v>
      </c>
      <c r="BJ80" s="0" t="n">
        <f aca="false">VLOOKUP(BJ$1+1000*$A80,MASTER6!$A$2:$D$8001,4,FALSE())</f>
        <v>0</v>
      </c>
      <c r="BK80" s="0" t="n">
        <f aca="false">VLOOKUP(BK$1+1000*$A80,MASTER6!$A$2:$D$8001,4,FALSE())</f>
        <v>0</v>
      </c>
      <c r="BL80" s="0" t="n">
        <f aca="false">VLOOKUP(BL$1+1000*$A80,MASTER6!$A$2:$D$8001,4,FALSE())</f>
        <v>0</v>
      </c>
      <c r="BM80" s="0" t="n">
        <f aca="false">VLOOKUP(BM$1+1000*$A80,MASTER6!$A$2:$D$8001,4,FALSE())</f>
        <v>5018</v>
      </c>
      <c r="BN80" s="0" t="n">
        <f aca="false">VLOOKUP(BN$1+1000*$A80,MASTER6!$A$2:$D$8001,4,FALSE())</f>
        <v>1131</v>
      </c>
      <c r="BO80" s="0" t="n">
        <f aca="false">VLOOKUP(BO$1+1000*$A80,MASTER6!$A$2:$D$8001,4,FALSE())</f>
        <v>0</v>
      </c>
      <c r="BP80" s="0" t="n">
        <f aca="false">VLOOKUP(BP$1+1000*$A80,MASTER6!$A$2:$D$8001,4,FALSE())</f>
        <v>117</v>
      </c>
      <c r="BQ80" s="0" t="n">
        <f aca="false">VLOOKUP(BQ$1+1000*$A80,MASTER6!$A$2:$D$8001,4,FALSE())</f>
        <v>0</v>
      </c>
      <c r="BR80" s="0" t="n">
        <f aca="false">VLOOKUP(BR$1+1000*$A80,MASTER6!$A$2:$D$8001,4,FALSE())</f>
        <v>91</v>
      </c>
      <c r="BS80" s="0" t="n">
        <f aca="false">VLOOKUP(BS$1+1000*$A80,MASTER6!$A$2:$D$8001,4,FALSE())</f>
        <v>0</v>
      </c>
      <c r="BT80" s="0" t="n">
        <f aca="false">VLOOKUP(BT$1+1000*$A80,MASTER6!$A$2:$D$8001,4,FALSE())</f>
        <v>0</v>
      </c>
      <c r="BU80" s="0" t="n">
        <f aca="false">VLOOKUP(BU$1+1000*$A80,MASTER6!$A$2:$D$8001,4,FALSE())</f>
        <v>1417</v>
      </c>
      <c r="BV80" s="0" t="n">
        <f aca="false">VLOOKUP(BV$1+1000*$A80,MASTER6!$A$2:$D$8001,4,FALSE())</f>
        <v>0</v>
      </c>
      <c r="BW80" s="0" t="e">
        <f aca="false">VLOOKUP(BW$1+1000*$A80,MASTER6!$A$2:$D$8001,4,FALSE())</f>
        <v>#N/A</v>
      </c>
      <c r="BX80" s="0" t="n">
        <f aca="false">VLOOKUP(BX$1+1000*$A80,MASTER6!$A$2:$D$8001,4,FALSE())</f>
        <v>1469</v>
      </c>
      <c r="BY80" s="0" t="n">
        <f aca="false">VLOOKUP(BY$1+1000*$A80,MASTER6!$A$2:$D$8001,4,FALSE())</f>
        <v>0</v>
      </c>
      <c r="BZ80" s="0" t="n">
        <f aca="false">VLOOKUP(BZ$1+1000*$A80,MASTER6!$A$2:$D$8001,4,FALSE())</f>
        <v>0</v>
      </c>
      <c r="CA80" s="0" t="n">
        <f aca="false">VLOOKUP(CA$1+1000*$A80,MASTER6!$A$2:$D$8001,4,FALSE())</f>
        <v>36257</v>
      </c>
      <c r="CB80" s="0" t="n">
        <f aca="false">VLOOKUP(CB$1+1000*$A80,MASTER6!$A$2:$D$8001,4,FALSE())</f>
        <v>96213</v>
      </c>
      <c r="CC80" s="0" t="n">
        <f aca="false">VLOOKUP(CC$1+1000*$A80,MASTER6!$A$2:$D$8001,4,FALSE())</f>
        <v>208</v>
      </c>
      <c r="CD80" s="0" t="n">
        <f aca="false">VLOOKUP(CD$1+1000*$A80,MASTER6!$A$2:$D$8001,4,FALSE())</f>
        <v>0</v>
      </c>
      <c r="CE80" s="0" t="n">
        <f aca="false">VLOOKUP(CE$1+1000*$A80,MASTER6!$A$2:$D$8001,4,FALSE())</f>
        <v>0</v>
      </c>
      <c r="CF80" s="0" t="n">
        <f aca="false">VLOOKUP(CF$1+1000*$A80,MASTER6!$A$2:$D$8001,4,FALSE())</f>
        <v>0</v>
      </c>
      <c r="CG80" s="0" t="n">
        <f aca="false">VLOOKUP(CG$1+1000*$A80,MASTER6!$A$2:$D$8001,4,FALSE())</f>
        <v>0</v>
      </c>
      <c r="CH80" s="0" t="n">
        <f aca="false">VLOOKUP(CH$1+1000*$A80,MASTER6!$A$2:$D$8001,4,FALSE())</f>
        <v>220766</v>
      </c>
      <c r="CI80" s="0" t="n">
        <f aca="false">VLOOKUP(CI$1+1000*$A80,MASTER6!$A$2:$D$8001,4,FALSE())</f>
        <v>0</v>
      </c>
      <c r="CJ80" s="0" t="e">
        <f aca="false">VLOOKUP(CJ$1+1000*$A80,MASTER6!$A$2:$D$8001,4,FALSE())</f>
        <v>#N/A</v>
      </c>
    </row>
    <row r="81" customFormat="false" ht="12.75" hidden="false" customHeight="false" outlineLevel="0" collapsed="false">
      <c r="A81" s="0" t="n">
        <v>80</v>
      </c>
      <c r="B81" s="0" t="n">
        <f aca="false">VLOOKUP(B$1+1000*$A81,MASTER6!$A$2:$D$8001,4,FALSE())</f>
        <v>0</v>
      </c>
      <c r="C81" s="0" t="n">
        <f aca="false">VLOOKUP(C$1+1000*$A81,MASTER6!$A$2:$D$8001,4,FALSE())</f>
        <v>247</v>
      </c>
      <c r="D81" s="0" t="n">
        <f aca="false">VLOOKUP(D$1+1000*$A81,MASTER6!$A$2:$D$8001,4,FALSE())</f>
        <v>0</v>
      </c>
      <c r="E81" s="0" t="n">
        <f aca="false">VLOOKUP(E$1+1000*$A81,MASTER6!$A$2:$D$8001,4,FALSE())</f>
        <v>0</v>
      </c>
      <c r="F81" s="0" t="n">
        <f aca="false">VLOOKUP(F$1+1000*$A81,MASTER6!$A$2:$D$8001,4,FALSE())</f>
        <v>0</v>
      </c>
      <c r="G81" s="0" t="n">
        <f aca="false">VLOOKUP(G$1+1000*$A81,MASTER6!$A$2:$D$8001,4,FALSE())</f>
        <v>0</v>
      </c>
      <c r="H81" s="0" t="n">
        <f aca="false">VLOOKUP(H$1+1000*$A81,MASTER6!$A$2:$D$8001,4,FALSE())</f>
        <v>0</v>
      </c>
      <c r="I81" s="0" t="n">
        <f aca="false">VLOOKUP(I$1+1000*$A81,MASTER6!$A$2:$D$8001,4,FALSE())</f>
        <v>0</v>
      </c>
      <c r="J81" s="0" t="n">
        <f aca="false">VLOOKUP(J$1+1000*$A81,MASTER6!$A$2:$D$8001,4,FALSE())</f>
        <v>0</v>
      </c>
      <c r="K81" s="0" t="n">
        <f aca="false">VLOOKUP(K$1+1000*$A81,MASTER6!$A$2:$D$8001,4,FALSE())</f>
        <v>0</v>
      </c>
      <c r="L81" s="0" t="n">
        <f aca="false">VLOOKUP(L$1+1000*$A81,MASTER6!$A$2:$D$8001,4,FALSE())</f>
        <v>0</v>
      </c>
      <c r="M81" s="0" t="n">
        <f aca="false">VLOOKUP(M$1+1000*$A81,MASTER6!$A$2:$D$8001,4,FALSE())</f>
        <v>0</v>
      </c>
      <c r="N81" s="0" t="n">
        <f aca="false">VLOOKUP(N$1+1000*$A81,MASTER6!$A$2:$D$8001,4,FALSE())</f>
        <v>0</v>
      </c>
      <c r="O81" s="0" t="n">
        <f aca="false">VLOOKUP(O$1+1000*$A81,MASTER6!$A$2:$D$8001,4,FALSE())</f>
        <v>0</v>
      </c>
      <c r="P81" s="0" t="n">
        <f aca="false">VLOOKUP(P$1+1000*$A81,MASTER6!$A$2:$D$8001,4,FALSE())</f>
        <v>0</v>
      </c>
      <c r="Q81" s="0" t="n">
        <f aca="false">VLOOKUP(Q$1+1000*$A81,MASTER6!$A$2:$D$8001,4,FALSE())</f>
        <v>0</v>
      </c>
      <c r="R81" s="0" t="n">
        <f aca="false">VLOOKUP(R$1+1000*$A81,MASTER6!$A$2:$D$8001,4,FALSE())</f>
        <v>0</v>
      </c>
      <c r="S81" s="0" t="n">
        <f aca="false">VLOOKUP(S$1+1000*$A81,MASTER6!$A$2:$D$8001,4,FALSE())</f>
        <v>78</v>
      </c>
      <c r="T81" s="0" t="n">
        <f aca="false">VLOOKUP(T$1+1000*$A81,MASTER6!$A$2:$D$8001,4,FALSE())</f>
        <v>104</v>
      </c>
      <c r="U81" s="0" t="n">
        <f aca="false">VLOOKUP(U$1+1000*$A81,MASTER6!$A$2:$D$8001,4,FALSE())</f>
        <v>0</v>
      </c>
      <c r="V81" s="0" t="n">
        <f aca="false">VLOOKUP(V$1+1000*$A81,MASTER6!$A$2:$D$8001,4,FALSE())</f>
        <v>0</v>
      </c>
      <c r="W81" s="0" t="n">
        <f aca="false">VLOOKUP(W$1+1000*$A81,MASTER6!$A$2:$D$8001,4,FALSE())</f>
        <v>91</v>
      </c>
      <c r="X81" s="0" t="n">
        <f aca="false">VLOOKUP(X$1+1000*$A81,MASTER6!$A$2:$D$8001,4,FALSE())</f>
        <v>0</v>
      </c>
      <c r="Y81" s="0" t="n">
        <f aca="false">VLOOKUP(Y$1+1000*$A81,MASTER6!$A$2:$D$8001,4,FALSE())</f>
        <v>0</v>
      </c>
      <c r="Z81" s="0" t="n">
        <f aca="false">VLOOKUP(Z$1+1000*$A81,MASTER6!$A$2:$D$8001,4,FALSE())</f>
        <v>91</v>
      </c>
      <c r="AA81" s="0" t="n">
        <f aca="false">VLOOKUP(AA$1+1000*$A81,MASTER6!$A$2:$D$8001,4,FALSE())</f>
        <v>0</v>
      </c>
      <c r="AB81" s="0" t="n">
        <f aca="false">VLOOKUP(AB$1+1000*$A81,MASTER6!$A$2:$D$8001,4,FALSE())</f>
        <v>0</v>
      </c>
      <c r="AC81" s="0" t="n">
        <f aca="false">VLOOKUP(AC$1+1000*$A81,MASTER6!$A$2:$D$8001,4,FALSE())</f>
        <v>104</v>
      </c>
      <c r="AD81" s="0" t="n">
        <f aca="false">VLOOKUP(AD$1+1000*$A81,MASTER6!$A$2:$D$8001,4,FALSE())</f>
        <v>117</v>
      </c>
      <c r="AE81" s="0" t="n">
        <f aca="false">VLOOKUP(AE$1+1000*$A81,MASTER6!$A$2:$D$8001,4,FALSE())</f>
        <v>0</v>
      </c>
      <c r="AF81" s="0" t="n">
        <f aca="false">VLOOKUP(AF$1+1000*$A81,MASTER6!$A$2:$D$8001,4,FALSE())</f>
        <v>169</v>
      </c>
      <c r="AG81" s="0" t="n">
        <f aca="false">VLOOKUP(AG$1+1000*$A81,MASTER6!$A$2:$D$8001,4,FALSE())</f>
        <v>5980</v>
      </c>
      <c r="AH81" s="0" t="n">
        <f aca="false">VLOOKUP(AH$1+1000*$A81,MASTER6!$A$2:$D$8001,4,FALSE())</f>
        <v>0</v>
      </c>
      <c r="AI81" s="0" t="n">
        <f aca="false">VLOOKUP(AI$1+1000*$A81,MASTER6!$A$2:$D$8001,4,FALSE())</f>
        <v>0</v>
      </c>
      <c r="AJ81" s="0" t="n">
        <f aca="false">VLOOKUP(AJ$1+1000*$A81,MASTER6!$A$2:$D$8001,4,FALSE())</f>
        <v>0</v>
      </c>
      <c r="AK81" s="0" t="n">
        <f aca="false">VLOOKUP(AK$1+1000*$A81,MASTER6!$A$2:$D$8001,4,FALSE())</f>
        <v>0</v>
      </c>
      <c r="AL81" s="0" t="n">
        <f aca="false">VLOOKUP(AL$1+1000*$A81,MASTER6!$A$2:$D$8001,4,FALSE())</f>
        <v>169</v>
      </c>
      <c r="AM81" s="0" t="n">
        <f aca="false">VLOOKUP(AM$1+1000*$A81,MASTER6!$A$2:$D$8001,4,FALSE())</f>
        <v>104</v>
      </c>
      <c r="AN81" s="0" t="n">
        <f aca="false">VLOOKUP(AN$1+1000*$A81,MASTER6!$A$2:$D$8001,4,FALSE())</f>
        <v>0</v>
      </c>
      <c r="AO81" s="0" t="n">
        <f aca="false">VLOOKUP(AO$1+1000*$A81,MASTER6!$A$2:$D$8001,4,FALSE())</f>
        <v>0</v>
      </c>
      <c r="AP81" s="0" t="n">
        <f aca="false">VLOOKUP(AP$1+1000*$A81,MASTER6!$A$2:$D$8001,4,FALSE())</f>
        <v>0</v>
      </c>
      <c r="AQ81" s="0" t="n">
        <f aca="false">VLOOKUP(AQ$1+1000*$A81,MASTER6!$A$2:$D$8001,4,FALSE())</f>
        <v>0</v>
      </c>
      <c r="AR81" s="0" t="n">
        <f aca="false">VLOOKUP(AR$1+1000*$A81,MASTER6!$A$2:$D$8001,4,FALSE())</f>
        <v>0</v>
      </c>
      <c r="AS81" s="0" t="n">
        <f aca="false">VLOOKUP(AS$1+1000*$A81,MASTER6!$A$2:$D$8001,4,FALSE())</f>
        <v>0</v>
      </c>
      <c r="AT81" s="0" t="n">
        <f aca="false">VLOOKUP(AT$1+1000*$A81,MASTER6!$A$2:$D$8001,4,FALSE())</f>
        <v>0</v>
      </c>
      <c r="AU81" s="0" t="n">
        <f aca="false">VLOOKUP(AU$1+1000*$A81,MASTER6!$A$2:$D$8001,4,FALSE())</f>
        <v>0</v>
      </c>
      <c r="AV81" s="0" t="n">
        <f aca="false">VLOOKUP(AV$1+1000*$A81,MASTER6!$A$2:$D$8001,4,FALSE())</f>
        <v>0</v>
      </c>
      <c r="AW81" s="0" t="n">
        <f aca="false">VLOOKUP(AW$1+1000*$A81,MASTER6!$A$2:$D$8001,4,FALSE())</f>
        <v>0</v>
      </c>
      <c r="AX81" s="0" t="n">
        <f aca="false">VLOOKUP(AX$1+1000*$A81,MASTER6!$A$2:$D$8001,4,FALSE())</f>
        <v>0</v>
      </c>
      <c r="AY81" s="0" t="n">
        <f aca="false">VLOOKUP(AY$1+1000*$A81,MASTER6!$A$2:$D$8001,4,FALSE())</f>
        <v>0</v>
      </c>
      <c r="AZ81" s="0" t="n">
        <f aca="false">VLOOKUP(AZ$1+1000*$A81,MASTER6!$A$2:$D$8001,4,FALSE())</f>
        <v>247</v>
      </c>
      <c r="BA81" s="0" t="n">
        <f aca="false">VLOOKUP(BA$1+1000*$A81,MASTER6!$A$2:$D$8001,4,FALSE())</f>
        <v>0</v>
      </c>
      <c r="BB81" s="0" t="n">
        <f aca="false">VLOOKUP(BB$1+1000*$A81,MASTER6!$A$2:$D$8001,4,FALSE())</f>
        <v>0</v>
      </c>
      <c r="BC81" s="0" t="n">
        <f aca="false">VLOOKUP(BC$1+1000*$A81,MASTER6!$A$2:$D$8001,4,FALSE())</f>
        <v>0</v>
      </c>
      <c r="BD81" s="0" t="n">
        <f aca="false">VLOOKUP(BD$1+1000*$A81,MASTER6!$A$2:$D$8001,4,FALSE())</f>
        <v>0</v>
      </c>
      <c r="BE81" s="0" t="n">
        <f aca="false">VLOOKUP(BE$1+1000*$A81,MASTER6!$A$2:$D$8001,4,FALSE())</f>
        <v>0</v>
      </c>
      <c r="BF81" s="0" t="n">
        <f aca="false">VLOOKUP(BF$1+1000*$A81,MASTER6!$A$2:$D$8001,4,FALSE())</f>
        <v>0</v>
      </c>
      <c r="BG81" s="0" t="n">
        <f aca="false">VLOOKUP(BG$1+1000*$A81,MASTER6!$A$2:$D$8001,4,FALSE())</f>
        <v>0</v>
      </c>
      <c r="BH81" s="0" t="n">
        <f aca="false">VLOOKUP(BH$1+1000*$A81,MASTER6!$A$2:$D$8001,4,FALSE())</f>
        <v>0</v>
      </c>
      <c r="BI81" s="0" t="n">
        <f aca="false">VLOOKUP(BI$1+1000*$A81,MASTER6!$A$2:$D$8001,4,FALSE())</f>
        <v>0</v>
      </c>
      <c r="BJ81" s="0" t="n">
        <f aca="false">VLOOKUP(BJ$1+1000*$A81,MASTER6!$A$2:$D$8001,4,FALSE())</f>
        <v>0</v>
      </c>
      <c r="BK81" s="0" t="n">
        <f aca="false">VLOOKUP(BK$1+1000*$A81,MASTER6!$A$2:$D$8001,4,FALSE())</f>
        <v>0</v>
      </c>
      <c r="BL81" s="0" t="n">
        <f aca="false">VLOOKUP(BL$1+1000*$A81,MASTER6!$A$2:$D$8001,4,FALSE())</f>
        <v>0</v>
      </c>
      <c r="BM81" s="0" t="n">
        <f aca="false">VLOOKUP(BM$1+1000*$A81,MASTER6!$A$2:$D$8001,4,FALSE())</f>
        <v>494</v>
      </c>
      <c r="BN81" s="0" t="n">
        <f aca="false">VLOOKUP(BN$1+1000*$A81,MASTER6!$A$2:$D$8001,4,FALSE())</f>
        <v>104</v>
      </c>
      <c r="BO81" s="0" t="n">
        <f aca="false">VLOOKUP(BO$1+1000*$A81,MASTER6!$A$2:$D$8001,4,FALSE())</f>
        <v>0</v>
      </c>
      <c r="BP81" s="0" t="n">
        <f aca="false">VLOOKUP(BP$1+1000*$A81,MASTER6!$A$2:$D$8001,4,FALSE())</f>
        <v>182</v>
      </c>
      <c r="BQ81" s="0" t="n">
        <f aca="false">VLOOKUP(BQ$1+1000*$A81,MASTER6!$A$2:$D$8001,4,FALSE())</f>
        <v>0</v>
      </c>
      <c r="BR81" s="0" t="n">
        <f aca="false">VLOOKUP(BR$1+1000*$A81,MASTER6!$A$2:$D$8001,4,FALSE())</f>
        <v>0</v>
      </c>
      <c r="BS81" s="0" t="n">
        <f aca="false">VLOOKUP(BS$1+1000*$A81,MASTER6!$A$2:$D$8001,4,FALSE())</f>
        <v>0</v>
      </c>
      <c r="BT81" s="0" t="n">
        <f aca="false">VLOOKUP(BT$1+1000*$A81,MASTER6!$A$2:$D$8001,4,FALSE())</f>
        <v>0</v>
      </c>
      <c r="BU81" s="0" t="n">
        <f aca="false">VLOOKUP(BU$1+1000*$A81,MASTER6!$A$2:$D$8001,4,FALSE())</f>
        <v>0</v>
      </c>
      <c r="BV81" s="0" t="n">
        <f aca="false">VLOOKUP(BV$1+1000*$A81,MASTER6!$A$2:$D$8001,4,FALSE())</f>
        <v>0</v>
      </c>
      <c r="BW81" s="0" t="e">
        <f aca="false">VLOOKUP(BW$1+1000*$A81,MASTER6!$A$2:$D$8001,4,FALSE())</f>
        <v>#N/A</v>
      </c>
      <c r="BX81" s="0" t="n">
        <f aca="false">VLOOKUP(BX$1+1000*$A81,MASTER6!$A$2:$D$8001,4,FALSE())</f>
        <v>0</v>
      </c>
      <c r="BY81" s="0" t="n">
        <f aca="false">VLOOKUP(BY$1+1000*$A81,MASTER6!$A$2:$D$8001,4,FALSE())</f>
        <v>0</v>
      </c>
      <c r="BZ81" s="0" t="n">
        <f aca="false">VLOOKUP(BZ$1+1000*$A81,MASTER6!$A$2:$D$8001,4,FALSE())</f>
        <v>0</v>
      </c>
      <c r="CA81" s="0" t="n">
        <f aca="false">VLOOKUP(CA$1+1000*$A81,MASTER6!$A$2:$D$8001,4,FALSE())</f>
        <v>91</v>
      </c>
      <c r="CB81" s="0" t="n">
        <f aca="false">VLOOKUP(CB$1+1000*$A81,MASTER6!$A$2:$D$8001,4,FALSE())</f>
        <v>169</v>
      </c>
      <c r="CC81" s="0" t="n">
        <f aca="false">VLOOKUP(CC$1+1000*$A81,MASTER6!$A$2:$D$8001,4,FALSE())</f>
        <v>82537</v>
      </c>
      <c r="CD81" s="0" t="n">
        <f aca="false">VLOOKUP(CD$1+1000*$A81,MASTER6!$A$2:$D$8001,4,FALSE())</f>
        <v>0</v>
      </c>
      <c r="CE81" s="0" t="n">
        <f aca="false">VLOOKUP(CE$1+1000*$A81,MASTER6!$A$2:$D$8001,4,FALSE())</f>
        <v>0</v>
      </c>
      <c r="CF81" s="0" t="n">
        <f aca="false">VLOOKUP(CF$1+1000*$A81,MASTER6!$A$2:$D$8001,4,FALSE())</f>
        <v>130</v>
      </c>
      <c r="CG81" s="0" t="n">
        <f aca="false">VLOOKUP(CG$1+1000*$A81,MASTER6!$A$2:$D$8001,4,FALSE())</f>
        <v>0</v>
      </c>
      <c r="CH81" s="0" t="n">
        <f aca="false">VLOOKUP(CH$1+1000*$A81,MASTER6!$A$2:$D$8001,4,FALSE())</f>
        <v>118885</v>
      </c>
      <c r="CI81" s="0" t="n">
        <f aca="false">VLOOKUP(CI$1+1000*$A81,MASTER6!$A$2:$D$8001,4,FALSE())</f>
        <v>0</v>
      </c>
      <c r="CJ81" s="0" t="e">
        <f aca="false">VLOOKUP(CJ$1+1000*$A81,MASTER6!$A$2:$D$8001,4,FALSE())</f>
        <v>#N/A</v>
      </c>
    </row>
    <row r="82" customFormat="false" ht="12.75" hidden="false" customHeight="false" outlineLevel="0" collapsed="false">
      <c r="A82" s="0" t="n">
        <v>81</v>
      </c>
      <c r="B82" s="0" t="n">
        <f aca="false">VLOOKUP(B$1+1000*$A82,MASTER6!$A$2:$D$8001,4,FALSE())</f>
        <v>117</v>
      </c>
      <c r="C82" s="0" t="n">
        <f aca="false">VLOOKUP(C$1+1000*$A82,MASTER6!$A$2:$D$8001,4,FALSE())</f>
        <v>104</v>
      </c>
      <c r="D82" s="0" t="n">
        <f aca="false">VLOOKUP(D$1+1000*$A82,MASTER6!$A$2:$D$8001,4,FALSE())</f>
        <v>0</v>
      </c>
      <c r="E82" s="0" t="n">
        <f aca="false">VLOOKUP(E$1+1000*$A82,MASTER6!$A$2:$D$8001,4,FALSE())</f>
        <v>0</v>
      </c>
      <c r="F82" s="0" t="n">
        <f aca="false">VLOOKUP(F$1+1000*$A82,MASTER6!$A$2:$D$8001,4,FALSE())</f>
        <v>0</v>
      </c>
      <c r="G82" s="0" t="n">
        <f aca="false">VLOOKUP(G$1+1000*$A82,MASTER6!$A$2:$D$8001,4,FALSE())</f>
        <v>117</v>
      </c>
      <c r="H82" s="0" t="n">
        <f aca="false">VLOOKUP(H$1+1000*$A82,MASTER6!$A$2:$D$8001,4,FALSE())</f>
        <v>0</v>
      </c>
      <c r="I82" s="0" t="n">
        <f aca="false">VLOOKUP(I$1+1000*$A82,MASTER6!$A$2:$D$8001,4,FALSE())</f>
        <v>0</v>
      </c>
      <c r="J82" s="0" t="n">
        <f aca="false">VLOOKUP(J$1+1000*$A82,MASTER6!$A$2:$D$8001,4,FALSE())</f>
        <v>0</v>
      </c>
      <c r="K82" s="0" t="n">
        <f aca="false">VLOOKUP(K$1+1000*$A82,MASTER6!$A$2:$D$8001,4,FALSE())</f>
        <v>0</v>
      </c>
      <c r="L82" s="0" t="n">
        <f aca="false">VLOOKUP(L$1+1000*$A82,MASTER6!$A$2:$D$8001,4,FALSE())</f>
        <v>0</v>
      </c>
      <c r="M82" s="0" t="n">
        <f aca="false">VLOOKUP(M$1+1000*$A82,MASTER6!$A$2:$D$8001,4,FALSE())</f>
        <v>0</v>
      </c>
      <c r="N82" s="0" t="n">
        <f aca="false">VLOOKUP(N$1+1000*$A82,MASTER6!$A$2:$D$8001,4,FALSE())</f>
        <v>0</v>
      </c>
      <c r="O82" s="0" t="n">
        <f aca="false">VLOOKUP(O$1+1000*$A82,MASTER6!$A$2:$D$8001,4,FALSE())</f>
        <v>0</v>
      </c>
      <c r="P82" s="0" t="n">
        <f aca="false">VLOOKUP(P$1+1000*$A82,MASTER6!$A$2:$D$8001,4,FALSE())</f>
        <v>0</v>
      </c>
      <c r="Q82" s="0" t="n">
        <f aca="false">VLOOKUP(Q$1+1000*$A82,MASTER6!$A$2:$D$8001,4,FALSE())</f>
        <v>0</v>
      </c>
      <c r="R82" s="0" t="n">
        <f aca="false">VLOOKUP(R$1+1000*$A82,MASTER6!$A$2:$D$8001,4,FALSE())</f>
        <v>0</v>
      </c>
      <c r="S82" s="0" t="n">
        <f aca="false">VLOOKUP(S$1+1000*$A82,MASTER6!$A$2:$D$8001,4,FALSE())</f>
        <v>0</v>
      </c>
      <c r="T82" s="0" t="n">
        <f aca="false">VLOOKUP(T$1+1000*$A82,MASTER6!$A$2:$D$8001,4,FALSE())</f>
        <v>130</v>
      </c>
      <c r="U82" s="0" t="n">
        <f aca="false">VLOOKUP(U$1+1000*$A82,MASTER6!$A$2:$D$8001,4,FALSE())</f>
        <v>0</v>
      </c>
      <c r="V82" s="0" t="n">
        <f aca="false">VLOOKUP(V$1+1000*$A82,MASTER6!$A$2:$D$8001,4,FALSE())</f>
        <v>104</v>
      </c>
      <c r="W82" s="0" t="n">
        <f aca="false">VLOOKUP(W$1+1000*$A82,MASTER6!$A$2:$D$8001,4,FALSE())</f>
        <v>0</v>
      </c>
      <c r="X82" s="0" t="n">
        <f aca="false">VLOOKUP(X$1+1000*$A82,MASTER6!$A$2:$D$8001,4,FALSE())</f>
        <v>0</v>
      </c>
      <c r="Y82" s="0" t="n">
        <f aca="false">VLOOKUP(Y$1+1000*$A82,MASTER6!$A$2:$D$8001,4,FALSE())</f>
        <v>0</v>
      </c>
      <c r="Z82" s="0" t="n">
        <f aca="false">VLOOKUP(Z$1+1000*$A82,MASTER6!$A$2:$D$8001,4,FALSE())</f>
        <v>0</v>
      </c>
      <c r="AA82" s="0" t="n">
        <f aca="false">VLOOKUP(AA$1+1000*$A82,MASTER6!$A$2:$D$8001,4,FALSE())</f>
        <v>0</v>
      </c>
      <c r="AB82" s="0" t="n">
        <f aca="false">VLOOKUP(AB$1+1000*$A82,MASTER6!$A$2:$D$8001,4,FALSE())</f>
        <v>0</v>
      </c>
      <c r="AC82" s="0" t="n">
        <f aca="false">VLOOKUP(AC$1+1000*$A82,MASTER6!$A$2:$D$8001,4,FALSE())</f>
        <v>0</v>
      </c>
      <c r="AD82" s="0" t="n">
        <f aca="false">VLOOKUP(AD$1+1000*$A82,MASTER6!$A$2:$D$8001,4,FALSE())</f>
        <v>0</v>
      </c>
      <c r="AE82" s="0" t="n">
        <f aca="false">VLOOKUP(AE$1+1000*$A82,MASTER6!$A$2:$D$8001,4,FALSE())</f>
        <v>0</v>
      </c>
      <c r="AF82" s="0" t="n">
        <f aca="false">VLOOKUP(AF$1+1000*$A82,MASTER6!$A$2:$D$8001,4,FALSE())</f>
        <v>0</v>
      </c>
      <c r="AG82" s="0" t="n">
        <f aca="false">VLOOKUP(AG$1+1000*$A82,MASTER6!$A$2:$D$8001,4,FALSE())</f>
        <v>0</v>
      </c>
      <c r="AH82" s="0" t="n">
        <f aca="false">VLOOKUP(AH$1+1000*$A82,MASTER6!$A$2:$D$8001,4,FALSE())</f>
        <v>0</v>
      </c>
      <c r="AI82" s="0" t="n">
        <f aca="false">VLOOKUP(AI$1+1000*$A82,MASTER6!$A$2:$D$8001,4,FALSE())</f>
        <v>143</v>
      </c>
      <c r="AJ82" s="0" t="n">
        <f aca="false">VLOOKUP(AJ$1+1000*$A82,MASTER6!$A$2:$D$8001,4,FALSE())</f>
        <v>0</v>
      </c>
      <c r="AK82" s="0" t="n">
        <f aca="false">VLOOKUP(AK$1+1000*$A82,MASTER6!$A$2:$D$8001,4,FALSE())</f>
        <v>0</v>
      </c>
      <c r="AL82" s="0" t="n">
        <f aca="false">VLOOKUP(AL$1+1000*$A82,MASTER6!$A$2:$D$8001,4,FALSE())</f>
        <v>0</v>
      </c>
      <c r="AM82" s="0" t="n">
        <f aca="false">VLOOKUP(AM$1+1000*$A82,MASTER6!$A$2:$D$8001,4,FALSE())</f>
        <v>78</v>
      </c>
      <c r="AN82" s="0" t="n">
        <f aca="false">VLOOKUP(AN$1+1000*$A82,MASTER6!$A$2:$D$8001,4,FALSE())</f>
        <v>0</v>
      </c>
      <c r="AO82" s="0" t="n">
        <f aca="false">VLOOKUP(AO$1+1000*$A82,MASTER6!$A$2:$D$8001,4,FALSE())</f>
        <v>0</v>
      </c>
      <c r="AP82" s="0" t="n">
        <f aca="false">VLOOKUP(AP$1+1000*$A82,MASTER6!$A$2:$D$8001,4,FALSE())</f>
        <v>0</v>
      </c>
      <c r="AQ82" s="0" t="n">
        <f aca="false">VLOOKUP(AQ$1+1000*$A82,MASTER6!$A$2:$D$8001,4,FALSE())</f>
        <v>1469</v>
      </c>
      <c r="AR82" s="0" t="n">
        <f aca="false">VLOOKUP(AR$1+1000*$A82,MASTER6!$A$2:$D$8001,4,FALSE())</f>
        <v>156</v>
      </c>
      <c r="AS82" s="0" t="n">
        <f aca="false">VLOOKUP(AS$1+1000*$A82,MASTER6!$A$2:$D$8001,4,FALSE())</f>
        <v>0</v>
      </c>
      <c r="AT82" s="0" t="n">
        <f aca="false">VLOOKUP(AT$1+1000*$A82,MASTER6!$A$2:$D$8001,4,FALSE())</f>
        <v>143</v>
      </c>
      <c r="AU82" s="0" t="n">
        <f aca="false">VLOOKUP(AU$1+1000*$A82,MASTER6!$A$2:$D$8001,4,FALSE())</f>
        <v>325</v>
      </c>
      <c r="AV82" s="0" t="n">
        <f aca="false">VLOOKUP(AV$1+1000*$A82,MASTER6!$A$2:$D$8001,4,FALSE())</f>
        <v>637</v>
      </c>
      <c r="AW82" s="0" t="n">
        <f aca="false">VLOOKUP(AW$1+1000*$A82,MASTER6!$A$2:$D$8001,4,FALSE())</f>
        <v>4225</v>
      </c>
      <c r="AX82" s="0" t="n">
        <f aca="false">VLOOKUP(AX$1+1000*$A82,MASTER6!$A$2:$D$8001,4,FALSE())</f>
        <v>0</v>
      </c>
      <c r="AY82" s="0" t="n">
        <f aca="false">VLOOKUP(AY$1+1000*$A82,MASTER6!$A$2:$D$8001,4,FALSE())</f>
        <v>0</v>
      </c>
      <c r="AZ82" s="0" t="n">
        <f aca="false">VLOOKUP(AZ$1+1000*$A82,MASTER6!$A$2:$D$8001,4,FALSE())</f>
        <v>0</v>
      </c>
      <c r="BA82" s="0" t="n">
        <f aca="false">VLOOKUP(BA$1+1000*$A82,MASTER6!$A$2:$D$8001,4,FALSE())</f>
        <v>104</v>
      </c>
      <c r="BB82" s="0" t="n">
        <f aca="false">VLOOKUP(BB$1+1000*$A82,MASTER6!$A$2:$D$8001,4,FALSE())</f>
        <v>130</v>
      </c>
      <c r="BC82" s="0" t="n">
        <f aca="false">VLOOKUP(BC$1+1000*$A82,MASTER6!$A$2:$D$8001,4,FALSE())</f>
        <v>0</v>
      </c>
      <c r="BD82" s="0" t="n">
        <f aca="false">VLOOKUP(BD$1+1000*$A82,MASTER6!$A$2:$D$8001,4,FALSE())</f>
        <v>0</v>
      </c>
      <c r="BE82" s="0" t="n">
        <f aca="false">VLOOKUP(BE$1+1000*$A82,MASTER6!$A$2:$D$8001,4,FALSE())</f>
        <v>0</v>
      </c>
      <c r="BF82" s="0" t="n">
        <f aca="false">VLOOKUP(BF$1+1000*$A82,MASTER6!$A$2:$D$8001,4,FALSE())</f>
        <v>0</v>
      </c>
      <c r="BG82" s="0" t="n">
        <f aca="false">VLOOKUP(BG$1+1000*$A82,MASTER6!$A$2:$D$8001,4,FALSE())</f>
        <v>0</v>
      </c>
      <c r="BH82" s="0" t="n">
        <f aca="false">VLOOKUP(BH$1+1000*$A82,MASTER6!$A$2:$D$8001,4,FALSE())</f>
        <v>91</v>
      </c>
      <c r="BI82" s="0" t="n">
        <f aca="false">VLOOKUP(BI$1+1000*$A82,MASTER6!$A$2:$D$8001,4,FALSE())</f>
        <v>0</v>
      </c>
      <c r="BJ82" s="0" t="n">
        <f aca="false">VLOOKUP(BJ$1+1000*$A82,MASTER6!$A$2:$D$8001,4,FALSE())</f>
        <v>0</v>
      </c>
      <c r="BK82" s="0" t="n">
        <f aca="false">VLOOKUP(BK$1+1000*$A82,MASTER6!$A$2:$D$8001,4,FALSE())</f>
        <v>0</v>
      </c>
      <c r="BL82" s="0" t="n">
        <f aca="false">VLOOKUP(BL$1+1000*$A82,MASTER6!$A$2:$D$8001,4,FALSE())</f>
        <v>143</v>
      </c>
      <c r="BM82" s="0" t="n">
        <f aca="false">VLOOKUP(BM$1+1000*$A82,MASTER6!$A$2:$D$8001,4,FALSE())</f>
        <v>4238</v>
      </c>
      <c r="BN82" s="0" t="n">
        <f aca="false">VLOOKUP(BN$1+1000*$A82,MASTER6!$A$2:$D$8001,4,FALSE())</f>
        <v>975</v>
      </c>
      <c r="BO82" s="0" t="n">
        <f aca="false">VLOOKUP(BO$1+1000*$A82,MASTER6!$A$2:$D$8001,4,FALSE())</f>
        <v>416</v>
      </c>
      <c r="BP82" s="0" t="n">
        <f aca="false">VLOOKUP(BP$1+1000*$A82,MASTER6!$A$2:$D$8001,4,FALSE())</f>
        <v>0</v>
      </c>
      <c r="BQ82" s="0" t="n">
        <f aca="false">VLOOKUP(BQ$1+1000*$A82,MASTER6!$A$2:$D$8001,4,FALSE())</f>
        <v>2444</v>
      </c>
      <c r="BR82" s="0" t="n">
        <f aca="false">VLOOKUP(BR$1+1000*$A82,MASTER6!$A$2:$D$8001,4,FALSE())</f>
        <v>16055</v>
      </c>
      <c r="BS82" s="0" t="n">
        <f aca="false">VLOOKUP(BS$1+1000*$A82,MASTER6!$A$2:$D$8001,4,FALSE())</f>
        <v>416</v>
      </c>
      <c r="BT82" s="0" t="n">
        <f aca="false">VLOOKUP(BT$1+1000*$A82,MASTER6!$A$2:$D$8001,4,FALSE())</f>
        <v>1586</v>
      </c>
      <c r="BU82" s="0" t="n">
        <f aca="false">VLOOKUP(BU$1+1000*$A82,MASTER6!$A$2:$D$8001,4,FALSE())</f>
        <v>5980</v>
      </c>
      <c r="BV82" s="0" t="n">
        <f aca="false">VLOOKUP(BV$1+1000*$A82,MASTER6!$A$2:$D$8001,4,FALSE())</f>
        <v>0</v>
      </c>
      <c r="BW82" s="0" t="e">
        <f aca="false">VLOOKUP(BW$1+1000*$A82,MASTER6!$A$2:$D$8001,4,FALSE())</f>
        <v>#N/A</v>
      </c>
      <c r="BX82" s="0" t="n">
        <f aca="false">VLOOKUP(BX$1+1000*$A82,MASTER6!$A$2:$D$8001,4,FALSE())</f>
        <v>0</v>
      </c>
      <c r="BY82" s="0" t="n">
        <f aca="false">VLOOKUP(BY$1+1000*$A82,MASTER6!$A$2:$D$8001,4,FALSE())</f>
        <v>0</v>
      </c>
      <c r="BZ82" s="0" t="n">
        <f aca="false">VLOOKUP(BZ$1+1000*$A82,MASTER6!$A$2:$D$8001,4,FALSE())</f>
        <v>0</v>
      </c>
      <c r="CA82" s="0" t="n">
        <f aca="false">VLOOKUP(CA$1+1000*$A82,MASTER6!$A$2:$D$8001,4,FALSE())</f>
        <v>0</v>
      </c>
      <c r="CB82" s="0" t="n">
        <f aca="false">VLOOKUP(CB$1+1000*$A82,MASTER6!$A$2:$D$8001,4,FALSE())</f>
        <v>0</v>
      </c>
      <c r="CC82" s="0" t="n">
        <f aca="false">VLOOKUP(CC$1+1000*$A82,MASTER6!$A$2:$D$8001,4,FALSE())</f>
        <v>104</v>
      </c>
      <c r="CD82" s="0" t="n">
        <f aca="false">VLOOKUP(CD$1+1000*$A82,MASTER6!$A$2:$D$8001,4,FALSE())</f>
        <v>53495</v>
      </c>
      <c r="CE82" s="0" t="n">
        <f aca="false">VLOOKUP(CE$1+1000*$A82,MASTER6!$A$2:$D$8001,4,FALSE())</f>
        <v>3835</v>
      </c>
      <c r="CF82" s="0" t="n">
        <f aca="false">VLOOKUP(CF$1+1000*$A82,MASTER6!$A$2:$D$8001,4,FALSE())</f>
        <v>0</v>
      </c>
      <c r="CG82" s="0" t="n">
        <f aca="false">VLOOKUP(CG$1+1000*$A82,MASTER6!$A$2:$D$8001,4,FALSE())</f>
        <v>3289</v>
      </c>
      <c r="CH82" s="0" t="n">
        <f aca="false">VLOOKUP(CH$1+1000*$A82,MASTER6!$A$2:$D$8001,4,FALSE())</f>
        <v>122642</v>
      </c>
      <c r="CI82" s="0" t="n">
        <f aca="false">VLOOKUP(CI$1+1000*$A82,MASTER6!$A$2:$D$8001,4,FALSE())</f>
        <v>0</v>
      </c>
      <c r="CJ82" s="0" t="e">
        <f aca="false">VLOOKUP(CJ$1+1000*$A82,MASTER6!$A$2:$D$8001,4,FALSE())</f>
        <v>#N/A</v>
      </c>
    </row>
    <row r="83" customFormat="false" ht="12.75" hidden="false" customHeight="false" outlineLevel="0" collapsed="false">
      <c r="A83" s="0" t="n">
        <v>82</v>
      </c>
      <c r="B83" s="0" t="n">
        <f aca="false">VLOOKUP(B$1+1000*$A83,MASTER6!$A$2:$D$8001,4,FALSE())</f>
        <v>195</v>
      </c>
      <c r="C83" s="0" t="n">
        <f aca="false">VLOOKUP(C$1+1000*$A83,MASTER6!$A$2:$D$8001,4,FALSE())</f>
        <v>130</v>
      </c>
      <c r="D83" s="0" t="n">
        <f aca="false">VLOOKUP(D$1+1000*$A83,MASTER6!$A$2:$D$8001,4,FALSE())</f>
        <v>91</v>
      </c>
      <c r="E83" s="0" t="n">
        <f aca="false">VLOOKUP(E$1+1000*$A83,MASTER6!$A$2:$D$8001,4,FALSE())</f>
        <v>0</v>
      </c>
      <c r="F83" s="0" t="n">
        <f aca="false">VLOOKUP(F$1+1000*$A83,MASTER6!$A$2:$D$8001,4,FALSE())</f>
        <v>0</v>
      </c>
      <c r="G83" s="0" t="n">
        <f aca="false">VLOOKUP(G$1+1000*$A83,MASTER6!$A$2:$D$8001,4,FALSE())</f>
        <v>0</v>
      </c>
      <c r="H83" s="0" t="n">
        <f aca="false">VLOOKUP(H$1+1000*$A83,MASTER6!$A$2:$D$8001,4,FALSE())</f>
        <v>0</v>
      </c>
      <c r="I83" s="0" t="n">
        <f aca="false">VLOOKUP(I$1+1000*$A83,MASTER6!$A$2:$D$8001,4,FALSE())</f>
        <v>0</v>
      </c>
      <c r="J83" s="0" t="n">
        <f aca="false">VLOOKUP(J$1+1000*$A83,MASTER6!$A$2:$D$8001,4,FALSE())</f>
        <v>0</v>
      </c>
      <c r="K83" s="0" t="n">
        <f aca="false">VLOOKUP(K$1+1000*$A83,MASTER6!$A$2:$D$8001,4,FALSE())</f>
        <v>0</v>
      </c>
      <c r="L83" s="0" t="n">
        <f aca="false">VLOOKUP(L$1+1000*$A83,MASTER6!$A$2:$D$8001,4,FALSE())</f>
        <v>0</v>
      </c>
      <c r="M83" s="0" t="n">
        <f aca="false">VLOOKUP(M$1+1000*$A83,MASTER6!$A$2:$D$8001,4,FALSE())</f>
        <v>0</v>
      </c>
      <c r="N83" s="0" t="n">
        <f aca="false">VLOOKUP(N$1+1000*$A83,MASTER6!$A$2:$D$8001,4,FALSE())</f>
        <v>0</v>
      </c>
      <c r="O83" s="0" t="n">
        <f aca="false">VLOOKUP(O$1+1000*$A83,MASTER6!$A$2:$D$8001,4,FALSE())</f>
        <v>0</v>
      </c>
      <c r="P83" s="0" t="n">
        <f aca="false">VLOOKUP(P$1+1000*$A83,MASTER6!$A$2:$D$8001,4,FALSE())</f>
        <v>0</v>
      </c>
      <c r="Q83" s="0" t="n">
        <f aca="false">VLOOKUP(Q$1+1000*$A83,MASTER6!$A$2:$D$8001,4,FALSE())</f>
        <v>0</v>
      </c>
      <c r="R83" s="0" t="n">
        <f aca="false">VLOOKUP(R$1+1000*$A83,MASTER6!$A$2:$D$8001,4,FALSE())</f>
        <v>0</v>
      </c>
      <c r="S83" s="0" t="n">
        <f aca="false">VLOOKUP(S$1+1000*$A83,MASTER6!$A$2:$D$8001,4,FALSE())</f>
        <v>0</v>
      </c>
      <c r="T83" s="0" t="n">
        <f aca="false">VLOOKUP(T$1+1000*$A83,MASTER6!$A$2:$D$8001,4,FALSE())</f>
        <v>0</v>
      </c>
      <c r="U83" s="0" t="n">
        <f aca="false">VLOOKUP(U$1+1000*$A83,MASTER6!$A$2:$D$8001,4,FALSE())</f>
        <v>0</v>
      </c>
      <c r="V83" s="0" t="n">
        <f aca="false">VLOOKUP(V$1+1000*$A83,MASTER6!$A$2:$D$8001,4,FALSE())</f>
        <v>0</v>
      </c>
      <c r="W83" s="0" t="n">
        <f aca="false">VLOOKUP(W$1+1000*$A83,MASTER6!$A$2:$D$8001,4,FALSE())</f>
        <v>0</v>
      </c>
      <c r="X83" s="0" t="n">
        <f aca="false">VLOOKUP(X$1+1000*$A83,MASTER6!$A$2:$D$8001,4,FALSE())</f>
        <v>0</v>
      </c>
      <c r="Y83" s="0" t="n">
        <f aca="false">VLOOKUP(Y$1+1000*$A83,MASTER6!$A$2:$D$8001,4,FALSE())</f>
        <v>0</v>
      </c>
      <c r="Z83" s="0" t="n">
        <f aca="false">VLOOKUP(Z$1+1000*$A83,MASTER6!$A$2:$D$8001,4,FALSE())</f>
        <v>0</v>
      </c>
      <c r="AA83" s="0" t="n">
        <f aca="false">VLOOKUP(AA$1+1000*$A83,MASTER6!$A$2:$D$8001,4,FALSE())</f>
        <v>0</v>
      </c>
      <c r="AB83" s="0" t="n">
        <f aca="false">VLOOKUP(AB$1+1000*$A83,MASTER6!$A$2:$D$8001,4,FALSE())</f>
        <v>0</v>
      </c>
      <c r="AC83" s="0" t="n">
        <f aca="false">VLOOKUP(AC$1+1000*$A83,MASTER6!$A$2:$D$8001,4,FALSE())</f>
        <v>0</v>
      </c>
      <c r="AD83" s="0" t="n">
        <f aca="false">VLOOKUP(AD$1+1000*$A83,MASTER6!$A$2:$D$8001,4,FALSE())</f>
        <v>0</v>
      </c>
      <c r="AE83" s="0" t="n">
        <f aca="false">VLOOKUP(AE$1+1000*$A83,MASTER6!$A$2:$D$8001,4,FALSE())</f>
        <v>0</v>
      </c>
      <c r="AF83" s="0" t="n">
        <f aca="false">VLOOKUP(AF$1+1000*$A83,MASTER6!$A$2:$D$8001,4,FALSE())</f>
        <v>0</v>
      </c>
      <c r="AG83" s="0" t="n">
        <f aca="false">VLOOKUP(AG$1+1000*$A83,MASTER6!$A$2:$D$8001,4,FALSE())</f>
        <v>0</v>
      </c>
      <c r="AH83" s="0" t="n">
        <f aca="false">VLOOKUP(AH$1+1000*$A83,MASTER6!$A$2:$D$8001,4,FALSE())</f>
        <v>0</v>
      </c>
      <c r="AI83" s="0" t="n">
        <f aca="false">VLOOKUP(AI$1+1000*$A83,MASTER6!$A$2:$D$8001,4,FALSE())</f>
        <v>0</v>
      </c>
      <c r="AJ83" s="0" t="n">
        <f aca="false">VLOOKUP(AJ$1+1000*$A83,MASTER6!$A$2:$D$8001,4,FALSE())</f>
        <v>0</v>
      </c>
      <c r="AK83" s="0" t="n">
        <f aca="false">VLOOKUP(AK$1+1000*$A83,MASTER6!$A$2:$D$8001,4,FALSE())</f>
        <v>0</v>
      </c>
      <c r="AL83" s="0" t="n">
        <f aca="false">VLOOKUP(AL$1+1000*$A83,MASTER6!$A$2:$D$8001,4,FALSE())</f>
        <v>0</v>
      </c>
      <c r="AM83" s="0" t="n">
        <f aca="false">VLOOKUP(AM$1+1000*$A83,MASTER6!$A$2:$D$8001,4,FALSE())</f>
        <v>0</v>
      </c>
      <c r="AN83" s="0" t="n">
        <f aca="false">VLOOKUP(AN$1+1000*$A83,MASTER6!$A$2:$D$8001,4,FALSE())</f>
        <v>91</v>
      </c>
      <c r="AO83" s="0" t="n">
        <f aca="false">VLOOKUP(AO$1+1000*$A83,MASTER6!$A$2:$D$8001,4,FALSE())</f>
        <v>0</v>
      </c>
      <c r="AP83" s="0" t="n">
        <f aca="false">VLOOKUP(AP$1+1000*$A83,MASTER6!$A$2:$D$8001,4,FALSE())</f>
        <v>0</v>
      </c>
      <c r="AQ83" s="0" t="n">
        <f aca="false">VLOOKUP(AQ$1+1000*$A83,MASTER6!$A$2:$D$8001,4,FALSE())</f>
        <v>299</v>
      </c>
      <c r="AR83" s="0" t="n">
        <f aca="false">VLOOKUP(AR$1+1000*$A83,MASTER6!$A$2:$D$8001,4,FALSE())</f>
        <v>0</v>
      </c>
      <c r="AS83" s="0" t="n">
        <f aca="false">VLOOKUP(AS$1+1000*$A83,MASTER6!$A$2:$D$8001,4,FALSE())</f>
        <v>0</v>
      </c>
      <c r="AT83" s="0" t="n">
        <f aca="false">VLOOKUP(AT$1+1000*$A83,MASTER6!$A$2:$D$8001,4,FALSE())</f>
        <v>0</v>
      </c>
      <c r="AU83" s="0" t="n">
        <f aca="false">VLOOKUP(AU$1+1000*$A83,MASTER6!$A$2:$D$8001,4,FALSE())</f>
        <v>0</v>
      </c>
      <c r="AV83" s="0" t="n">
        <f aca="false">VLOOKUP(AV$1+1000*$A83,MASTER6!$A$2:$D$8001,4,FALSE())</f>
        <v>104</v>
      </c>
      <c r="AW83" s="0" t="n">
        <f aca="false">VLOOKUP(AW$1+1000*$A83,MASTER6!$A$2:$D$8001,4,FALSE())</f>
        <v>1287</v>
      </c>
      <c r="AX83" s="0" t="n">
        <f aca="false">VLOOKUP(AX$1+1000*$A83,MASTER6!$A$2:$D$8001,4,FALSE())</f>
        <v>156</v>
      </c>
      <c r="AY83" s="0" t="n">
        <f aca="false">VLOOKUP(AY$1+1000*$A83,MASTER6!$A$2:$D$8001,4,FALSE())</f>
        <v>0</v>
      </c>
      <c r="AZ83" s="0" t="n">
        <f aca="false">VLOOKUP(AZ$1+1000*$A83,MASTER6!$A$2:$D$8001,4,FALSE())</f>
        <v>0</v>
      </c>
      <c r="BA83" s="0" t="n">
        <f aca="false">VLOOKUP(BA$1+1000*$A83,MASTER6!$A$2:$D$8001,4,FALSE())</f>
        <v>364</v>
      </c>
      <c r="BB83" s="0" t="n">
        <f aca="false">VLOOKUP(BB$1+1000*$A83,MASTER6!$A$2:$D$8001,4,FALSE())</f>
        <v>143</v>
      </c>
      <c r="BC83" s="0" t="n">
        <f aca="false">VLOOKUP(BC$1+1000*$A83,MASTER6!$A$2:$D$8001,4,FALSE())</f>
        <v>0</v>
      </c>
      <c r="BD83" s="0" t="n">
        <f aca="false">VLOOKUP(BD$1+1000*$A83,MASTER6!$A$2:$D$8001,4,FALSE())</f>
        <v>143</v>
      </c>
      <c r="BE83" s="0" t="n">
        <f aca="false">VLOOKUP(BE$1+1000*$A83,MASTER6!$A$2:$D$8001,4,FALSE())</f>
        <v>0</v>
      </c>
      <c r="BF83" s="0" t="n">
        <f aca="false">VLOOKUP(BF$1+1000*$A83,MASTER6!$A$2:$D$8001,4,FALSE())</f>
        <v>0</v>
      </c>
      <c r="BG83" s="0" t="n">
        <f aca="false">VLOOKUP(BG$1+1000*$A83,MASTER6!$A$2:$D$8001,4,FALSE())</f>
        <v>0</v>
      </c>
      <c r="BH83" s="0" t="n">
        <f aca="false">VLOOKUP(BH$1+1000*$A83,MASTER6!$A$2:$D$8001,4,FALSE())</f>
        <v>585</v>
      </c>
      <c r="BI83" s="0" t="n">
        <f aca="false">VLOOKUP(BI$1+1000*$A83,MASTER6!$A$2:$D$8001,4,FALSE())</f>
        <v>0</v>
      </c>
      <c r="BJ83" s="0" t="n">
        <f aca="false">VLOOKUP(BJ$1+1000*$A83,MASTER6!$A$2:$D$8001,4,FALSE())</f>
        <v>0</v>
      </c>
      <c r="BK83" s="0" t="n">
        <f aca="false">VLOOKUP(BK$1+1000*$A83,MASTER6!$A$2:$D$8001,4,FALSE())</f>
        <v>78</v>
      </c>
      <c r="BL83" s="0" t="n">
        <f aca="false">VLOOKUP(BL$1+1000*$A83,MASTER6!$A$2:$D$8001,4,FALSE())</f>
        <v>208</v>
      </c>
      <c r="BM83" s="0" t="n">
        <f aca="false">VLOOKUP(BM$1+1000*$A83,MASTER6!$A$2:$D$8001,4,FALSE())</f>
        <v>1521</v>
      </c>
      <c r="BN83" s="0" t="n">
        <f aca="false">VLOOKUP(BN$1+1000*$A83,MASTER6!$A$2:$D$8001,4,FALSE())</f>
        <v>949</v>
      </c>
      <c r="BO83" s="0" t="n">
        <f aca="false">VLOOKUP(BO$1+1000*$A83,MASTER6!$A$2:$D$8001,4,FALSE())</f>
        <v>208</v>
      </c>
      <c r="BP83" s="0" t="n">
        <f aca="false">VLOOKUP(BP$1+1000*$A83,MASTER6!$A$2:$D$8001,4,FALSE())</f>
        <v>0</v>
      </c>
      <c r="BQ83" s="0" t="n">
        <f aca="false">VLOOKUP(BQ$1+1000*$A83,MASTER6!$A$2:$D$8001,4,FALSE())</f>
        <v>468</v>
      </c>
      <c r="BR83" s="0" t="n">
        <f aca="false">VLOOKUP(BR$1+1000*$A83,MASTER6!$A$2:$D$8001,4,FALSE())</f>
        <v>1742</v>
      </c>
      <c r="BS83" s="0" t="n">
        <f aca="false">VLOOKUP(BS$1+1000*$A83,MASTER6!$A$2:$D$8001,4,FALSE())</f>
        <v>1105</v>
      </c>
      <c r="BT83" s="0" t="n">
        <f aca="false">VLOOKUP(BT$1+1000*$A83,MASTER6!$A$2:$D$8001,4,FALSE())</f>
        <v>1742</v>
      </c>
      <c r="BU83" s="0" t="n">
        <f aca="false">VLOOKUP(BU$1+1000*$A83,MASTER6!$A$2:$D$8001,4,FALSE())</f>
        <v>16406</v>
      </c>
      <c r="BV83" s="0" t="n">
        <f aca="false">VLOOKUP(BV$1+1000*$A83,MASTER6!$A$2:$D$8001,4,FALSE())</f>
        <v>0</v>
      </c>
      <c r="BW83" s="0" t="e">
        <f aca="false">VLOOKUP(BW$1+1000*$A83,MASTER6!$A$2:$D$8001,4,FALSE())</f>
        <v>#N/A</v>
      </c>
      <c r="BX83" s="0" t="n">
        <f aca="false">VLOOKUP(BX$1+1000*$A83,MASTER6!$A$2:$D$8001,4,FALSE())</f>
        <v>0</v>
      </c>
      <c r="BY83" s="0" t="n">
        <f aca="false">VLOOKUP(BY$1+1000*$A83,MASTER6!$A$2:$D$8001,4,FALSE())</f>
        <v>0</v>
      </c>
      <c r="BZ83" s="0" t="n">
        <f aca="false">VLOOKUP(BZ$1+1000*$A83,MASTER6!$A$2:$D$8001,4,FALSE())</f>
        <v>0</v>
      </c>
      <c r="CA83" s="0" t="n">
        <f aca="false">VLOOKUP(CA$1+1000*$A83,MASTER6!$A$2:$D$8001,4,FALSE())</f>
        <v>0</v>
      </c>
      <c r="CB83" s="0" t="n">
        <f aca="false">VLOOKUP(CB$1+1000*$A83,MASTER6!$A$2:$D$8001,4,FALSE())</f>
        <v>0</v>
      </c>
      <c r="CC83" s="0" t="n">
        <f aca="false">VLOOKUP(CC$1+1000*$A83,MASTER6!$A$2:$D$8001,4,FALSE())</f>
        <v>0</v>
      </c>
      <c r="CD83" s="0" t="n">
        <f aca="false">VLOOKUP(CD$1+1000*$A83,MASTER6!$A$2:$D$8001,4,FALSE())</f>
        <v>2886</v>
      </c>
      <c r="CE83" s="0" t="n">
        <f aca="false">VLOOKUP(CE$1+1000*$A83,MASTER6!$A$2:$D$8001,4,FALSE())</f>
        <v>33917</v>
      </c>
      <c r="CF83" s="0" t="n">
        <f aca="false">VLOOKUP(CF$1+1000*$A83,MASTER6!$A$2:$D$8001,4,FALSE())</f>
        <v>0</v>
      </c>
      <c r="CG83" s="0" t="n">
        <f aca="false">VLOOKUP(CG$1+1000*$A83,MASTER6!$A$2:$D$8001,4,FALSE())</f>
        <v>455</v>
      </c>
      <c r="CH83" s="0" t="n">
        <f aca="false">VLOOKUP(CH$1+1000*$A83,MASTER6!$A$2:$D$8001,4,FALSE())</f>
        <v>97097</v>
      </c>
      <c r="CI83" s="0" t="n">
        <f aca="false">VLOOKUP(CI$1+1000*$A83,MASTER6!$A$2:$D$8001,4,FALSE())</f>
        <v>117</v>
      </c>
      <c r="CJ83" s="0" t="e">
        <f aca="false">VLOOKUP(CJ$1+1000*$A83,MASTER6!$A$2:$D$8001,4,FALSE())</f>
        <v>#N/A</v>
      </c>
    </row>
    <row r="84" customFormat="false" ht="12.75" hidden="false" customHeight="false" outlineLevel="0" collapsed="false">
      <c r="A84" s="0" t="n">
        <v>83</v>
      </c>
      <c r="B84" s="0" t="n">
        <f aca="false">VLOOKUP(B$1+1000*$A84,MASTER6!$A$2:$D$8001,4,FALSE())</f>
        <v>0</v>
      </c>
      <c r="C84" s="0" t="n">
        <f aca="false">VLOOKUP(C$1+1000*$A84,MASTER6!$A$2:$D$8001,4,FALSE())</f>
        <v>117</v>
      </c>
      <c r="D84" s="0" t="n">
        <f aca="false">VLOOKUP(D$1+1000*$A84,MASTER6!$A$2:$D$8001,4,FALSE())</f>
        <v>0</v>
      </c>
      <c r="E84" s="0" t="n">
        <f aca="false">VLOOKUP(E$1+1000*$A84,MASTER6!$A$2:$D$8001,4,FALSE())</f>
        <v>0</v>
      </c>
      <c r="F84" s="0" t="n">
        <f aca="false">VLOOKUP(F$1+1000*$A84,MASTER6!$A$2:$D$8001,4,FALSE())</f>
        <v>0</v>
      </c>
      <c r="G84" s="0" t="n">
        <f aca="false">VLOOKUP(G$1+1000*$A84,MASTER6!$A$2:$D$8001,4,FALSE())</f>
        <v>0</v>
      </c>
      <c r="H84" s="0" t="n">
        <f aca="false">VLOOKUP(H$1+1000*$A84,MASTER6!$A$2:$D$8001,4,FALSE())</f>
        <v>0</v>
      </c>
      <c r="I84" s="0" t="n">
        <f aca="false">VLOOKUP(I$1+1000*$A84,MASTER6!$A$2:$D$8001,4,FALSE())</f>
        <v>0</v>
      </c>
      <c r="J84" s="0" t="n">
        <f aca="false">VLOOKUP(J$1+1000*$A84,MASTER6!$A$2:$D$8001,4,FALSE())</f>
        <v>0</v>
      </c>
      <c r="K84" s="0" t="n">
        <f aca="false">VLOOKUP(K$1+1000*$A84,MASTER6!$A$2:$D$8001,4,FALSE())</f>
        <v>0</v>
      </c>
      <c r="L84" s="0" t="n">
        <f aca="false">VLOOKUP(L$1+1000*$A84,MASTER6!$A$2:$D$8001,4,FALSE())</f>
        <v>0</v>
      </c>
      <c r="M84" s="0" t="n">
        <f aca="false">VLOOKUP(M$1+1000*$A84,MASTER6!$A$2:$D$8001,4,FALSE())</f>
        <v>0</v>
      </c>
      <c r="N84" s="0" t="n">
        <f aca="false">VLOOKUP(N$1+1000*$A84,MASTER6!$A$2:$D$8001,4,FALSE())</f>
        <v>0</v>
      </c>
      <c r="O84" s="0" t="n">
        <f aca="false">VLOOKUP(O$1+1000*$A84,MASTER6!$A$2:$D$8001,4,FALSE())</f>
        <v>0</v>
      </c>
      <c r="P84" s="0" t="n">
        <f aca="false">VLOOKUP(P$1+1000*$A84,MASTER6!$A$2:$D$8001,4,FALSE())</f>
        <v>0</v>
      </c>
      <c r="Q84" s="0" t="n">
        <f aca="false">VLOOKUP(Q$1+1000*$A84,MASTER6!$A$2:$D$8001,4,FALSE())</f>
        <v>0</v>
      </c>
      <c r="R84" s="0" t="n">
        <f aca="false">VLOOKUP(R$1+1000*$A84,MASTER6!$A$2:$D$8001,4,FALSE())</f>
        <v>0</v>
      </c>
      <c r="S84" s="0" t="n">
        <f aca="false">VLOOKUP(S$1+1000*$A84,MASTER6!$A$2:$D$8001,4,FALSE())</f>
        <v>0</v>
      </c>
      <c r="T84" s="0" t="n">
        <f aca="false">VLOOKUP(T$1+1000*$A84,MASTER6!$A$2:$D$8001,4,FALSE())</f>
        <v>0</v>
      </c>
      <c r="U84" s="0" t="n">
        <f aca="false">VLOOKUP(U$1+1000*$A84,MASTER6!$A$2:$D$8001,4,FALSE())</f>
        <v>0</v>
      </c>
      <c r="V84" s="0" t="n">
        <f aca="false">VLOOKUP(V$1+1000*$A84,MASTER6!$A$2:$D$8001,4,FALSE())</f>
        <v>0</v>
      </c>
      <c r="W84" s="0" t="n">
        <f aca="false">VLOOKUP(W$1+1000*$A84,MASTER6!$A$2:$D$8001,4,FALSE())</f>
        <v>78</v>
      </c>
      <c r="X84" s="0" t="n">
        <f aca="false">VLOOKUP(X$1+1000*$A84,MASTER6!$A$2:$D$8001,4,FALSE())</f>
        <v>0</v>
      </c>
      <c r="Y84" s="0" t="n">
        <f aca="false">VLOOKUP(Y$1+1000*$A84,MASTER6!$A$2:$D$8001,4,FALSE())</f>
        <v>0</v>
      </c>
      <c r="Z84" s="0" t="n">
        <f aca="false">VLOOKUP(Z$1+1000*$A84,MASTER6!$A$2:$D$8001,4,FALSE())</f>
        <v>0</v>
      </c>
      <c r="AA84" s="0" t="n">
        <f aca="false">VLOOKUP(AA$1+1000*$A84,MASTER6!$A$2:$D$8001,4,FALSE())</f>
        <v>0</v>
      </c>
      <c r="AB84" s="0" t="n">
        <f aca="false">VLOOKUP(AB$1+1000*$A84,MASTER6!$A$2:$D$8001,4,FALSE())</f>
        <v>0</v>
      </c>
      <c r="AC84" s="0" t="n">
        <f aca="false">VLOOKUP(AC$1+1000*$A84,MASTER6!$A$2:$D$8001,4,FALSE())</f>
        <v>0</v>
      </c>
      <c r="AD84" s="0" t="n">
        <f aca="false">VLOOKUP(AD$1+1000*$A84,MASTER6!$A$2:$D$8001,4,FALSE())</f>
        <v>0</v>
      </c>
      <c r="AE84" s="0" t="n">
        <f aca="false">VLOOKUP(AE$1+1000*$A84,MASTER6!$A$2:$D$8001,4,FALSE())</f>
        <v>0</v>
      </c>
      <c r="AF84" s="0" t="n">
        <f aca="false">VLOOKUP(AF$1+1000*$A84,MASTER6!$A$2:$D$8001,4,FALSE())</f>
        <v>0</v>
      </c>
      <c r="AG84" s="0" t="n">
        <f aca="false">VLOOKUP(AG$1+1000*$A84,MASTER6!$A$2:$D$8001,4,FALSE())</f>
        <v>520</v>
      </c>
      <c r="AH84" s="0" t="n">
        <f aca="false">VLOOKUP(AH$1+1000*$A84,MASTER6!$A$2:$D$8001,4,FALSE())</f>
        <v>91</v>
      </c>
      <c r="AI84" s="0" t="n">
        <f aca="false">VLOOKUP(AI$1+1000*$A84,MASTER6!$A$2:$D$8001,4,FALSE())</f>
        <v>0</v>
      </c>
      <c r="AJ84" s="0" t="n">
        <f aca="false">VLOOKUP(AJ$1+1000*$A84,MASTER6!$A$2:$D$8001,4,FALSE())</f>
        <v>0</v>
      </c>
      <c r="AK84" s="0" t="n">
        <f aca="false">VLOOKUP(AK$1+1000*$A84,MASTER6!$A$2:$D$8001,4,FALSE())</f>
        <v>0</v>
      </c>
      <c r="AL84" s="0" t="n">
        <f aca="false">VLOOKUP(AL$1+1000*$A84,MASTER6!$A$2:$D$8001,4,FALSE())</f>
        <v>0</v>
      </c>
      <c r="AM84" s="0" t="n">
        <f aca="false">VLOOKUP(AM$1+1000*$A84,MASTER6!$A$2:$D$8001,4,FALSE())</f>
        <v>0</v>
      </c>
      <c r="AN84" s="0" t="n">
        <f aca="false">VLOOKUP(AN$1+1000*$A84,MASTER6!$A$2:$D$8001,4,FALSE())</f>
        <v>0</v>
      </c>
      <c r="AO84" s="0" t="n">
        <f aca="false">VLOOKUP(AO$1+1000*$A84,MASTER6!$A$2:$D$8001,4,FALSE())</f>
        <v>0</v>
      </c>
      <c r="AP84" s="0" t="n">
        <f aca="false">VLOOKUP(AP$1+1000*$A84,MASTER6!$A$2:$D$8001,4,FALSE())</f>
        <v>0</v>
      </c>
      <c r="AQ84" s="0" t="n">
        <f aca="false">VLOOKUP(AQ$1+1000*$A84,MASTER6!$A$2:$D$8001,4,FALSE())</f>
        <v>0</v>
      </c>
      <c r="AR84" s="0" t="n">
        <f aca="false">VLOOKUP(AR$1+1000*$A84,MASTER6!$A$2:$D$8001,4,FALSE())</f>
        <v>0</v>
      </c>
      <c r="AS84" s="0" t="n">
        <f aca="false">VLOOKUP(AS$1+1000*$A84,MASTER6!$A$2:$D$8001,4,FALSE())</f>
        <v>0</v>
      </c>
      <c r="AT84" s="0" t="n">
        <f aca="false">VLOOKUP(AT$1+1000*$A84,MASTER6!$A$2:$D$8001,4,FALSE())</f>
        <v>0</v>
      </c>
      <c r="AU84" s="0" t="n">
        <f aca="false">VLOOKUP(AU$1+1000*$A84,MASTER6!$A$2:$D$8001,4,FALSE())</f>
        <v>0</v>
      </c>
      <c r="AV84" s="0" t="n">
        <f aca="false">VLOOKUP(AV$1+1000*$A84,MASTER6!$A$2:$D$8001,4,FALSE())</f>
        <v>0</v>
      </c>
      <c r="AW84" s="0" t="n">
        <f aca="false">VLOOKUP(AW$1+1000*$A84,MASTER6!$A$2:$D$8001,4,FALSE())</f>
        <v>0</v>
      </c>
      <c r="AX84" s="0" t="n">
        <f aca="false">VLOOKUP(AX$1+1000*$A84,MASTER6!$A$2:$D$8001,4,FALSE())</f>
        <v>0</v>
      </c>
      <c r="AY84" s="0" t="n">
        <f aca="false">VLOOKUP(AY$1+1000*$A84,MASTER6!$A$2:$D$8001,4,FALSE())</f>
        <v>0</v>
      </c>
      <c r="AZ84" s="0" t="n">
        <f aca="false">VLOOKUP(AZ$1+1000*$A84,MASTER6!$A$2:$D$8001,4,FALSE())</f>
        <v>0</v>
      </c>
      <c r="BA84" s="0" t="n">
        <f aca="false">VLOOKUP(BA$1+1000*$A84,MASTER6!$A$2:$D$8001,4,FALSE())</f>
        <v>0</v>
      </c>
      <c r="BB84" s="0" t="n">
        <f aca="false">VLOOKUP(BB$1+1000*$A84,MASTER6!$A$2:$D$8001,4,FALSE())</f>
        <v>0</v>
      </c>
      <c r="BC84" s="0" t="n">
        <f aca="false">VLOOKUP(BC$1+1000*$A84,MASTER6!$A$2:$D$8001,4,FALSE())</f>
        <v>0</v>
      </c>
      <c r="BD84" s="0" t="n">
        <f aca="false">VLOOKUP(BD$1+1000*$A84,MASTER6!$A$2:$D$8001,4,FALSE())</f>
        <v>0</v>
      </c>
      <c r="BE84" s="0" t="n">
        <f aca="false">VLOOKUP(BE$1+1000*$A84,MASTER6!$A$2:$D$8001,4,FALSE())</f>
        <v>0</v>
      </c>
      <c r="BF84" s="0" t="n">
        <f aca="false">VLOOKUP(BF$1+1000*$A84,MASTER6!$A$2:$D$8001,4,FALSE())</f>
        <v>0</v>
      </c>
      <c r="BG84" s="0" t="n">
        <f aca="false">VLOOKUP(BG$1+1000*$A84,MASTER6!$A$2:$D$8001,4,FALSE())</f>
        <v>0</v>
      </c>
      <c r="BH84" s="0" t="n">
        <f aca="false">VLOOKUP(BH$1+1000*$A84,MASTER6!$A$2:$D$8001,4,FALSE())</f>
        <v>0</v>
      </c>
      <c r="BI84" s="0" t="n">
        <f aca="false">VLOOKUP(BI$1+1000*$A84,MASTER6!$A$2:$D$8001,4,FALSE())</f>
        <v>0</v>
      </c>
      <c r="BJ84" s="0" t="n">
        <f aca="false">VLOOKUP(BJ$1+1000*$A84,MASTER6!$A$2:$D$8001,4,FALSE())</f>
        <v>0</v>
      </c>
      <c r="BK84" s="0" t="n">
        <f aca="false">VLOOKUP(BK$1+1000*$A84,MASTER6!$A$2:$D$8001,4,FALSE())</f>
        <v>0</v>
      </c>
      <c r="BL84" s="0" t="n">
        <f aca="false">VLOOKUP(BL$1+1000*$A84,MASTER6!$A$2:$D$8001,4,FALSE())</f>
        <v>65</v>
      </c>
      <c r="BM84" s="0" t="n">
        <f aca="false">VLOOKUP(BM$1+1000*$A84,MASTER6!$A$2:$D$8001,4,FALSE())</f>
        <v>2041</v>
      </c>
      <c r="BN84" s="0" t="n">
        <f aca="false">VLOOKUP(BN$1+1000*$A84,MASTER6!$A$2:$D$8001,4,FALSE())</f>
        <v>1677</v>
      </c>
      <c r="BO84" s="0" t="n">
        <f aca="false">VLOOKUP(BO$1+1000*$A84,MASTER6!$A$2:$D$8001,4,FALSE())</f>
        <v>234</v>
      </c>
      <c r="BP84" s="0" t="n">
        <f aca="false">VLOOKUP(BP$1+1000*$A84,MASTER6!$A$2:$D$8001,4,FALSE())</f>
        <v>33371</v>
      </c>
      <c r="BQ84" s="0" t="n">
        <f aca="false">VLOOKUP(BQ$1+1000*$A84,MASTER6!$A$2:$D$8001,4,FALSE())</f>
        <v>0</v>
      </c>
      <c r="BR84" s="0" t="n">
        <f aca="false">VLOOKUP(BR$1+1000*$A84,MASTER6!$A$2:$D$8001,4,FALSE())</f>
        <v>0</v>
      </c>
      <c r="BS84" s="0" t="n">
        <f aca="false">VLOOKUP(BS$1+1000*$A84,MASTER6!$A$2:$D$8001,4,FALSE())</f>
        <v>0</v>
      </c>
      <c r="BT84" s="0" t="n">
        <f aca="false">VLOOKUP(BT$1+1000*$A84,MASTER6!$A$2:$D$8001,4,FALSE())</f>
        <v>0</v>
      </c>
      <c r="BU84" s="0" t="n">
        <f aca="false">VLOOKUP(BU$1+1000*$A84,MASTER6!$A$2:$D$8001,4,FALSE())</f>
        <v>117</v>
      </c>
      <c r="BV84" s="0" t="n">
        <f aca="false">VLOOKUP(BV$1+1000*$A84,MASTER6!$A$2:$D$8001,4,FALSE())</f>
        <v>0</v>
      </c>
      <c r="BW84" s="0" t="e">
        <f aca="false">VLOOKUP(BW$1+1000*$A84,MASTER6!$A$2:$D$8001,4,FALSE())</f>
        <v>#N/A</v>
      </c>
      <c r="BX84" s="0" t="n">
        <f aca="false">VLOOKUP(BX$1+1000*$A84,MASTER6!$A$2:$D$8001,4,FALSE())</f>
        <v>0</v>
      </c>
      <c r="BY84" s="0" t="n">
        <f aca="false">VLOOKUP(BY$1+1000*$A84,MASTER6!$A$2:$D$8001,4,FALSE())</f>
        <v>0</v>
      </c>
      <c r="BZ84" s="0" t="n">
        <f aca="false">VLOOKUP(BZ$1+1000*$A84,MASTER6!$A$2:$D$8001,4,FALSE())</f>
        <v>0</v>
      </c>
      <c r="CA84" s="0" t="n">
        <f aca="false">VLOOKUP(CA$1+1000*$A84,MASTER6!$A$2:$D$8001,4,FALSE())</f>
        <v>0</v>
      </c>
      <c r="CB84" s="0" t="n">
        <f aca="false">VLOOKUP(CB$1+1000*$A84,MASTER6!$A$2:$D$8001,4,FALSE())</f>
        <v>0</v>
      </c>
      <c r="CC84" s="0" t="n">
        <f aca="false">VLOOKUP(CC$1+1000*$A84,MASTER6!$A$2:$D$8001,4,FALSE())</f>
        <v>91</v>
      </c>
      <c r="CD84" s="0" t="n">
        <f aca="false">VLOOKUP(CD$1+1000*$A84,MASTER6!$A$2:$D$8001,4,FALSE())</f>
        <v>0</v>
      </c>
      <c r="CE84" s="0" t="n">
        <f aca="false">VLOOKUP(CE$1+1000*$A84,MASTER6!$A$2:$D$8001,4,FALSE())</f>
        <v>0</v>
      </c>
      <c r="CF84" s="0" t="n">
        <f aca="false">VLOOKUP(CF$1+1000*$A84,MASTER6!$A$2:$D$8001,4,FALSE())</f>
        <v>26650</v>
      </c>
      <c r="CG84" s="0" t="n">
        <f aca="false">VLOOKUP(CG$1+1000*$A84,MASTER6!$A$2:$D$8001,4,FALSE())</f>
        <v>117</v>
      </c>
      <c r="CH84" s="0" t="n">
        <f aca="false">VLOOKUP(CH$1+1000*$A84,MASTER6!$A$2:$D$8001,4,FALSE())</f>
        <v>77454</v>
      </c>
      <c r="CI84" s="0" t="n">
        <f aca="false">VLOOKUP(CI$1+1000*$A84,MASTER6!$A$2:$D$8001,4,FALSE())</f>
        <v>0</v>
      </c>
      <c r="CJ84" s="0" t="e">
        <f aca="false">VLOOKUP(CJ$1+1000*$A84,MASTER6!$A$2:$D$8001,4,FALSE())</f>
        <v>#N/A</v>
      </c>
    </row>
    <row r="85" customFormat="false" ht="12.75" hidden="false" customHeight="false" outlineLevel="0" collapsed="false">
      <c r="A85" s="0" t="n">
        <v>84</v>
      </c>
      <c r="B85" s="0" t="n">
        <f aca="false">VLOOKUP(B$1+1000*$A85,MASTER6!$A$2:$D$8001,4,FALSE())</f>
        <v>78</v>
      </c>
      <c r="C85" s="0" t="n">
        <f aca="false">VLOOKUP(C$1+1000*$A85,MASTER6!$A$2:$D$8001,4,FALSE())</f>
        <v>0</v>
      </c>
      <c r="D85" s="0" t="n">
        <f aca="false">VLOOKUP(D$1+1000*$A85,MASTER6!$A$2:$D$8001,4,FALSE())</f>
        <v>0</v>
      </c>
      <c r="E85" s="0" t="n">
        <f aca="false">VLOOKUP(E$1+1000*$A85,MASTER6!$A$2:$D$8001,4,FALSE())</f>
        <v>0</v>
      </c>
      <c r="F85" s="0" t="n">
        <f aca="false">VLOOKUP(F$1+1000*$A85,MASTER6!$A$2:$D$8001,4,FALSE())</f>
        <v>0</v>
      </c>
      <c r="G85" s="0" t="n">
        <f aca="false">VLOOKUP(G$1+1000*$A85,MASTER6!$A$2:$D$8001,4,FALSE())</f>
        <v>0</v>
      </c>
      <c r="H85" s="0" t="n">
        <f aca="false">VLOOKUP(H$1+1000*$A85,MASTER6!$A$2:$D$8001,4,FALSE())</f>
        <v>0</v>
      </c>
      <c r="I85" s="0" t="n">
        <f aca="false">VLOOKUP(I$1+1000*$A85,MASTER6!$A$2:$D$8001,4,FALSE())</f>
        <v>0</v>
      </c>
      <c r="J85" s="0" t="n">
        <f aca="false">VLOOKUP(J$1+1000*$A85,MASTER6!$A$2:$D$8001,4,FALSE())</f>
        <v>0</v>
      </c>
      <c r="K85" s="0" t="n">
        <f aca="false">VLOOKUP(K$1+1000*$A85,MASTER6!$A$2:$D$8001,4,FALSE())</f>
        <v>0</v>
      </c>
      <c r="L85" s="0" t="n">
        <f aca="false">VLOOKUP(L$1+1000*$A85,MASTER6!$A$2:$D$8001,4,FALSE())</f>
        <v>78</v>
      </c>
      <c r="M85" s="0" t="n">
        <f aca="false">VLOOKUP(M$1+1000*$A85,MASTER6!$A$2:$D$8001,4,FALSE())</f>
        <v>0</v>
      </c>
      <c r="N85" s="0" t="n">
        <f aca="false">VLOOKUP(N$1+1000*$A85,MASTER6!$A$2:$D$8001,4,FALSE())</f>
        <v>0</v>
      </c>
      <c r="O85" s="0" t="n">
        <f aca="false">VLOOKUP(O$1+1000*$A85,MASTER6!$A$2:$D$8001,4,FALSE())</f>
        <v>0</v>
      </c>
      <c r="P85" s="0" t="n">
        <f aca="false">VLOOKUP(P$1+1000*$A85,MASTER6!$A$2:$D$8001,4,FALSE())</f>
        <v>0</v>
      </c>
      <c r="Q85" s="0" t="n">
        <f aca="false">VLOOKUP(Q$1+1000*$A85,MASTER6!$A$2:$D$8001,4,FALSE())</f>
        <v>0</v>
      </c>
      <c r="R85" s="0" t="n">
        <f aca="false">VLOOKUP(R$1+1000*$A85,MASTER6!$A$2:$D$8001,4,FALSE())</f>
        <v>0</v>
      </c>
      <c r="S85" s="0" t="n">
        <f aca="false">VLOOKUP(S$1+1000*$A85,MASTER6!$A$2:$D$8001,4,FALSE())</f>
        <v>104</v>
      </c>
      <c r="T85" s="0" t="n">
        <f aca="false">VLOOKUP(T$1+1000*$A85,MASTER6!$A$2:$D$8001,4,FALSE())</f>
        <v>0</v>
      </c>
      <c r="U85" s="0" t="n">
        <f aca="false">VLOOKUP(U$1+1000*$A85,MASTER6!$A$2:$D$8001,4,FALSE())</f>
        <v>0</v>
      </c>
      <c r="V85" s="0" t="n">
        <f aca="false">VLOOKUP(V$1+1000*$A85,MASTER6!$A$2:$D$8001,4,FALSE())</f>
        <v>0</v>
      </c>
      <c r="W85" s="0" t="n">
        <f aca="false">VLOOKUP(W$1+1000*$A85,MASTER6!$A$2:$D$8001,4,FALSE())</f>
        <v>0</v>
      </c>
      <c r="X85" s="0" t="n">
        <f aca="false">VLOOKUP(X$1+1000*$A85,MASTER6!$A$2:$D$8001,4,FALSE())</f>
        <v>0</v>
      </c>
      <c r="Y85" s="0" t="n">
        <f aca="false">VLOOKUP(Y$1+1000*$A85,MASTER6!$A$2:$D$8001,4,FALSE())</f>
        <v>0</v>
      </c>
      <c r="Z85" s="0" t="n">
        <f aca="false">VLOOKUP(Z$1+1000*$A85,MASTER6!$A$2:$D$8001,4,FALSE())</f>
        <v>0</v>
      </c>
      <c r="AA85" s="0" t="n">
        <f aca="false">VLOOKUP(AA$1+1000*$A85,MASTER6!$A$2:$D$8001,4,FALSE())</f>
        <v>0</v>
      </c>
      <c r="AB85" s="0" t="n">
        <f aca="false">VLOOKUP(AB$1+1000*$A85,MASTER6!$A$2:$D$8001,4,FALSE())</f>
        <v>0</v>
      </c>
      <c r="AC85" s="0" t="n">
        <f aca="false">VLOOKUP(AC$1+1000*$A85,MASTER6!$A$2:$D$8001,4,FALSE())</f>
        <v>0</v>
      </c>
      <c r="AD85" s="0" t="n">
        <f aca="false">VLOOKUP(AD$1+1000*$A85,MASTER6!$A$2:$D$8001,4,FALSE())</f>
        <v>0</v>
      </c>
      <c r="AE85" s="0" t="n">
        <f aca="false">VLOOKUP(AE$1+1000*$A85,MASTER6!$A$2:$D$8001,4,FALSE())</f>
        <v>0</v>
      </c>
      <c r="AF85" s="0" t="n">
        <f aca="false">VLOOKUP(AF$1+1000*$A85,MASTER6!$A$2:$D$8001,4,FALSE())</f>
        <v>0</v>
      </c>
      <c r="AG85" s="0" t="n">
        <f aca="false">VLOOKUP(AG$1+1000*$A85,MASTER6!$A$2:$D$8001,4,FALSE())</f>
        <v>0</v>
      </c>
      <c r="AH85" s="0" t="n">
        <f aca="false">VLOOKUP(AH$1+1000*$A85,MASTER6!$A$2:$D$8001,4,FALSE())</f>
        <v>91</v>
      </c>
      <c r="AI85" s="0" t="n">
        <f aca="false">VLOOKUP(AI$1+1000*$A85,MASTER6!$A$2:$D$8001,4,FALSE())</f>
        <v>221</v>
      </c>
      <c r="AJ85" s="0" t="n">
        <f aca="false">VLOOKUP(AJ$1+1000*$A85,MASTER6!$A$2:$D$8001,4,FALSE())</f>
        <v>0</v>
      </c>
      <c r="AK85" s="0" t="n">
        <f aca="false">VLOOKUP(AK$1+1000*$A85,MASTER6!$A$2:$D$8001,4,FALSE())</f>
        <v>0</v>
      </c>
      <c r="AL85" s="0" t="n">
        <f aca="false">VLOOKUP(AL$1+1000*$A85,MASTER6!$A$2:$D$8001,4,FALSE())</f>
        <v>0</v>
      </c>
      <c r="AM85" s="0" t="n">
        <f aca="false">VLOOKUP(AM$1+1000*$A85,MASTER6!$A$2:$D$8001,4,FALSE())</f>
        <v>0</v>
      </c>
      <c r="AN85" s="0" t="n">
        <f aca="false">VLOOKUP(AN$1+1000*$A85,MASTER6!$A$2:$D$8001,4,FALSE())</f>
        <v>0</v>
      </c>
      <c r="AO85" s="0" t="n">
        <f aca="false">VLOOKUP(AO$1+1000*$A85,MASTER6!$A$2:$D$8001,4,FALSE())</f>
        <v>0</v>
      </c>
      <c r="AP85" s="0" t="n">
        <f aca="false">VLOOKUP(AP$1+1000*$A85,MASTER6!$A$2:$D$8001,4,FALSE())</f>
        <v>0</v>
      </c>
      <c r="AQ85" s="0" t="n">
        <f aca="false">VLOOKUP(AQ$1+1000*$A85,MASTER6!$A$2:$D$8001,4,FALSE())</f>
        <v>10348</v>
      </c>
      <c r="AR85" s="0" t="n">
        <f aca="false">VLOOKUP(AR$1+1000*$A85,MASTER6!$A$2:$D$8001,4,FALSE())</f>
        <v>455</v>
      </c>
      <c r="AS85" s="0" t="n">
        <f aca="false">VLOOKUP(AS$1+1000*$A85,MASTER6!$A$2:$D$8001,4,FALSE())</f>
        <v>559</v>
      </c>
      <c r="AT85" s="0" t="n">
        <f aca="false">VLOOKUP(AT$1+1000*$A85,MASTER6!$A$2:$D$8001,4,FALSE())</f>
        <v>676</v>
      </c>
      <c r="AU85" s="0" t="n">
        <f aca="false">VLOOKUP(AU$1+1000*$A85,MASTER6!$A$2:$D$8001,4,FALSE())</f>
        <v>1300</v>
      </c>
      <c r="AV85" s="0" t="n">
        <f aca="false">VLOOKUP(AV$1+1000*$A85,MASTER6!$A$2:$D$8001,4,FALSE())</f>
        <v>4719</v>
      </c>
      <c r="AW85" s="0" t="n">
        <f aca="false">VLOOKUP(AW$1+1000*$A85,MASTER6!$A$2:$D$8001,4,FALSE())</f>
        <v>52455</v>
      </c>
      <c r="AX85" s="0" t="n">
        <f aca="false">VLOOKUP(AX$1+1000*$A85,MASTER6!$A$2:$D$8001,4,FALSE())</f>
        <v>0</v>
      </c>
      <c r="AY85" s="0" t="n">
        <f aca="false">VLOOKUP(AY$1+1000*$A85,MASTER6!$A$2:$D$8001,4,FALSE())</f>
        <v>0</v>
      </c>
      <c r="AZ85" s="0" t="n">
        <f aca="false">VLOOKUP(AZ$1+1000*$A85,MASTER6!$A$2:$D$8001,4,FALSE())</f>
        <v>0</v>
      </c>
      <c r="BA85" s="0" t="n">
        <f aca="false">VLOOKUP(BA$1+1000*$A85,MASTER6!$A$2:$D$8001,4,FALSE())</f>
        <v>65</v>
      </c>
      <c r="BB85" s="0" t="n">
        <f aca="false">VLOOKUP(BB$1+1000*$A85,MASTER6!$A$2:$D$8001,4,FALSE())</f>
        <v>91</v>
      </c>
      <c r="BC85" s="0" t="n">
        <f aca="false">VLOOKUP(BC$1+1000*$A85,MASTER6!$A$2:$D$8001,4,FALSE())</f>
        <v>247</v>
      </c>
      <c r="BD85" s="0" t="n">
        <f aca="false">VLOOKUP(BD$1+1000*$A85,MASTER6!$A$2:$D$8001,4,FALSE())</f>
        <v>520</v>
      </c>
      <c r="BE85" s="0" t="n">
        <f aca="false">VLOOKUP(BE$1+1000*$A85,MASTER6!$A$2:$D$8001,4,FALSE())</f>
        <v>104</v>
      </c>
      <c r="BF85" s="0" t="n">
        <f aca="false">VLOOKUP(BF$1+1000*$A85,MASTER6!$A$2:$D$8001,4,FALSE())</f>
        <v>325</v>
      </c>
      <c r="BG85" s="0" t="n">
        <f aca="false">VLOOKUP(BG$1+1000*$A85,MASTER6!$A$2:$D$8001,4,FALSE())</f>
        <v>78</v>
      </c>
      <c r="BH85" s="0" t="n">
        <f aca="false">VLOOKUP(BH$1+1000*$A85,MASTER6!$A$2:$D$8001,4,FALSE())</f>
        <v>234</v>
      </c>
      <c r="BI85" s="0" t="n">
        <f aca="false">VLOOKUP(BI$1+1000*$A85,MASTER6!$A$2:$D$8001,4,FALSE())</f>
        <v>351</v>
      </c>
      <c r="BJ85" s="0" t="n">
        <f aca="false">VLOOKUP(BJ$1+1000*$A85,MASTER6!$A$2:$D$8001,4,FALSE())</f>
        <v>182</v>
      </c>
      <c r="BK85" s="0" t="n">
        <f aca="false">VLOOKUP(BK$1+1000*$A85,MASTER6!$A$2:$D$8001,4,FALSE())</f>
        <v>0</v>
      </c>
      <c r="BL85" s="0" t="n">
        <f aca="false">VLOOKUP(BL$1+1000*$A85,MASTER6!$A$2:$D$8001,4,FALSE())</f>
        <v>0</v>
      </c>
      <c r="BM85" s="0" t="n">
        <f aca="false">VLOOKUP(BM$1+1000*$A85,MASTER6!$A$2:$D$8001,4,FALSE())</f>
        <v>11219</v>
      </c>
      <c r="BN85" s="0" t="n">
        <f aca="false">VLOOKUP(BN$1+1000*$A85,MASTER6!$A$2:$D$8001,4,FALSE())</f>
        <v>3952</v>
      </c>
      <c r="BO85" s="0" t="n">
        <f aca="false">VLOOKUP(BO$1+1000*$A85,MASTER6!$A$2:$D$8001,4,FALSE())</f>
        <v>3120</v>
      </c>
      <c r="BP85" s="0" t="n">
        <f aca="false">VLOOKUP(BP$1+1000*$A85,MASTER6!$A$2:$D$8001,4,FALSE())</f>
        <v>143</v>
      </c>
      <c r="BQ85" s="0" t="n">
        <f aca="false">VLOOKUP(BQ$1+1000*$A85,MASTER6!$A$2:$D$8001,4,FALSE())</f>
        <v>0</v>
      </c>
      <c r="BR85" s="0" t="n">
        <f aca="false">VLOOKUP(BR$1+1000*$A85,MASTER6!$A$2:$D$8001,4,FALSE())</f>
        <v>611</v>
      </c>
      <c r="BS85" s="0" t="n">
        <f aca="false">VLOOKUP(BS$1+1000*$A85,MASTER6!$A$2:$D$8001,4,FALSE())</f>
        <v>0</v>
      </c>
      <c r="BT85" s="0" t="n">
        <f aca="false">VLOOKUP(BT$1+1000*$A85,MASTER6!$A$2:$D$8001,4,FALSE())</f>
        <v>442</v>
      </c>
      <c r="BU85" s="0" t="n">
        <f aca="false">VLOOKUP(BU$1+1000*$A85,MASTER6!$A$2:$D$8001,4,FALSE())</f>
        <v>663</v>
      </c>
      <c r="BV85" s="0" t="n">
        <f aca="false">VLOOKUP(BV$1+1000*$A85,MASTER6!$A$2:$D$8001,4,FALSE())</f>
        <v>0</v>
      </c>
      <c r="BW85" s="0" t="e">
        <f aca="false">VLOOKUP(BW$1+1000*$A85,MASTER6!$A$2:$D$8001,4,FALSE())</f>
        <v>#N/A</v>
      </c>
      <c r="BX85" s="0" t="n">
        <f aca="false">VLOOKUP(BX$1+1000*$A85,MASTER6!$A$2:$D$8001,4,FALSE())</f>
        <v>0</v>
      </c>
      <c r="BY85" s="0" t="n">
        <f aca="false">VLOOKUP(BY$1+1000*$A85,MASTER6!$A$2:$D$8001,4,FALSE())</f>
        <v>0</v>
      </c>
      <c r="BZ85" s="0" t="n">
        <f aca="false">VLOOKUP(BZ$1+1000*$A85,MASTER6!$A$2:$D$8001,4,FALSE())</f>
        <v>0</v>
      </c>
      <c r="CA85" s="0" t="n">
        <f aca="false">VLOOKUP(CA$1+1000*$A85,MASTER6!$A$2:$D$8001,4,FALSE())</f>
        <v>0</v>
      </c>
      <c r="CB85" s="0" t="n">
        <f aca="false">VLOOKUP(CB$1+1000*$A85,MASTER6!$A$2:$D$8001,4,FALSE())</f>
        <v>0</v>
      </c>
      <c r="CC85" s="0" t="n">
        <f aca="false">VLOOKUP(CC$1+1000*$A85,MASTER6!$A$2:$D$8001,4,FALSE())</f>
        <v>0</v>
      </c>
      <c r="CD85" s="0" t="n">
        <f aca="false">VLOOKUP(CD$1+1000*$A85,MASTER6!$A$2:$D$8001,4,FALSE())</f>
        <v>429</v>
      </c>
      <c r="CE85" s="0" t="n">
        <f aca="false">VLOOKUP(CE$1+1000*$A85,MASTER6!$A$2:$D$8001,4,FALSE())</f>
        <v>247</v>
      </c>
      <c r="CF85" s="0" t="n">
        <f aca="false">VLOOKUP(CF$1+1000*$A85,MASTER6!$A$2:$D$8001,4,FALSE())</f>
        <v>0</v>
      </c>
      <c r="CG85" s="0" t="n">
        <f aca="false">VLOOKUP(CG$1+1000*$A85,MASTER6!$A$2:$D$8001,4,FALSE())</f>
        <v>46176</v>
      </c>
      <c r="CH85" s="0" t="n">
        <f aca="false">VLOOKUP(CH$1+1000*$A85,MASTER6!$A$2:$D$8001,4,FALSE())</f>
        <v>129155</v>
      </c>
      <c r="CI85" s="0" t="n">
        <f aca="false">VLOOKUP(CI$1+1000*$A85,MASTER6!$A$2:$D$8001,4,FALSE())</f>
        <v>143</v>
      </c>
      <c r="CJ85" s="0" t="e">
        <f aca="false">VLOOKUP(CJ$1+1000*$A85,MASTER6!$A$2:$D$8001,4,FALSE())</f>
        <v>#N/A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W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65" min="64" style="0" width="10.56"/>
  </cols>
  <sheetData>
    <row r="1" customFormat="false" ht="12.75" hidden="false" customHeight="false" outlineLevel="0" collapsed="false">
      <c r="A1" s="0" t="s">
        <v>0</v>
      </c>
      <c r="B1" s="0" t="s">
        <v>1</v>
      </c>
      <c r="BJ1" s="0" t="s">
        <v>156</v>
      </c>
      <c r="BN1" s="0" t="s">
        <v>157</v>
      </c>
      <c r="BP1" s="0" t="s">
        <v>158</v>
      </c>
      <c r="BR1" s="0" t="s">
        <v>159</v>
      </c>
      <c r="BT1" s="0" t="s">
        <v>160</v>
      </c>
      <c r="BV1" s="0" t="s">
        <v>161</v>
      </c>
    </row>
    <row r="2" customFormat="false" ht="12.75" hidden="false" customHeight="false" outlineLevel="0" collapsed="false">
      <c r="A2" s="0" t="s">
        <v>2</v>
      </c>
      <c r="B2" s="0" t="n">
        <v>0</v>
      </c>
      <c r="C2" s="0" t="n">
        <v>1</v>
      </c>
      <c r="D2" s="0" t="n">
        <v>2</v>
      </c>
      <c r="E2" s="0" t="n">
        <v>3</v>
      </c>
      <c r="F2" s="0" t="n">
        <v>4</v>
      </c>
      <c r="G2" s="0" t="n">
        <v>5</v>
      </c>
      <c r="H2" s="0" t="n">
        <v>6</v>
      </c>
      <c r="I2" s="0" t="n">
        <v>7</v>
      </c>
      <c r="J2" s="0" t="n">
        <v>8</v>
      </c>
      <c r="K2" s="0" t="n">
        <v>9</v>
      </c>
      <c r="L2" s="0" t="n">
        <v>10</v>
      </c>
      <c r="M2" s="0" t="n">
        <v>11</v>
      </c>
      <c r="N2" s="0" t="n">
        <v>12</v>
      </c>
      <c r="O2" s="0" t="n">
        <v>15</v>
      </c>
      <c r="P2" s="0" t="n">
        <v>19</v>
      </c>
      <c r="Q2" s="0" t="n">
        <v>22</v>
      </c>
      <c r="R2" s="0" t="n">
        <v>26</v>
      </c>
      <c r="S2" s="0" t="n">
        <v>27</v>
      </c>
      <c r="T2" s="0" t="n">
        <v>30</v>
      </c>
      <c r="U2" s="0" t="n">
        <v>31</v>
      </c>
      <c r="V2" s="0" t="n">
        <v>32</v>
      </c>
      <c r="W2" s="0" t="n">
        <v>75</v>
      </c>
      <c r="X2" s="0" t="n">
        <v>76</v>
      </c>
      <c r="Y2" s="0" t="n">
        <v>77</v>
      </c>
      <c r="Z2" s="0" t="n">
        <v>80</v>
      </c>
      <c r="AA2" s="0" t="n">
        <v>86</v>
      </c>
      <c r="AB2" s="0" t="n">
        <v>87</v>
      </c>
      <c r="AC2" s="0" t="n">
        <v>88</v>
      </c>
      <c r="AD2" s="0" t="n">
        <v>89</v>
      </c>
      <c r="AE2" s="0" t="n">
        <v>90</v>
      </c>
      <c r="AF2" s="0" t="n">
        <v>91</v>
      </c>
      <c r="AG2" s="0" t="n">
        <v>92</v>
      </c>
      <c r="AH2" s="0" t="n">
        <v>93</v>
      </c>
      <c r="AI2" s="0" t="n">
        <v>94</v>
      </c>
      <c r="AJ2" s="0" t="n">
        <v>95</v>
      </c>
      <c r="AK2" s="0" t="n">
        <v>96</v>
      </c>
      <c r="AL2" s="0" t="n">
        <v>97</v>
      </c>
      <c r="AM2" s="0" t="n">
        <v>98</v>
      </c>
      <c r="AN2" s="0" t="n">
        <v>99</v>
      </c>
      <c r="AO2" s="0" t="n">
        <v>100</v>
      </c>
      <c r="AP2" s="0" t="n">
        <v>101</v>
      </c>
      <c r="AQ2" s="0" t="n">
        <v>103</v>
      </c>
      <c r="AR2" s="0" t="n">
        <v>858</v>
      </c>
      <c r="AS2" s="0" t="n">
        <v>983</v>
      </c>
      <c r="AT2" s="0" t="n">
        <v>999</v>
      </c>
      <c r="AU2" s="0" t="s">
        <v>7</v>
      </c>
      <c r="AW2" s="0" t="s">
        <v>20</v>
      </c>
      <c r="AX2" s="0" t="s">
        <v>80</v>
      </c>
      <c r="AY2" s="0" t="s">
        <v>162</v>
      </c>
      <c r="AZ2" s="0" t="s">
        <v>163</v>
      </c>
      <c r="BA2" s="0" t="s">
        <v>10</v>
      </c>
      <c r="BB2" s="0" t="s">
        <v>164</v>
      </c>
      <c r="BC2" s="0" t="s">
        <v>165</v>
      </c>
      <c r="BE2" s="0" t="s">
        <v>8</v>
      </c>
      <c r="BF2" s="0" t="s">
        <v>9</v>
      </c>
      <c r="BG2" s="0" t="s">
        <v>10</v>
      </c>
      <c r="BH2" s="0" t="s">
        <v>166</v>
      </c>
      <c r="BJ2" s="0" t="s">
        <v>11</v>
      </c>
      <c r="BL2" s="0" t="s">
        <v>167</v>
      </c>
      <c r="BN2" s="0" t="s">
        <v>6</v>
      </c>
      <c r="BO2" s="0" t="s">
        <v>11</v>
      </c>
      <c r="BP2" s="0" t="s">
        <v>6</v>
      </c>
      <c r="BQ2" s="0" t="s">
        <v>11</v>
      </c>
      <c r="BR2" s="0" t="s">
        <v>6</v>
      </c>
      <c r="BS2" s="0" t="s">
        <v>11</v>
      </c>
      <c r="BT2" s="0" t="s">
        <v>6</v>
      </c>
      <c r="BU2" s="0" t="s">
        <v>11</v>
      </c>
      <c r="BV2" s="0" t="s">
        <v>6</v>
      </c>
      <c r="BW2" s="0" t="s">
        <v>11</v>
      </c>
    </row>
    <row r="3" customFormat="false" ht="12.75" hidden="false" customHeight="false" outlineLevel="0" collapsed="false">
      <c r="A3" s="0" t="n">
        <v>1</v>
      </c>
      <c r="B3" s="0" t="n">
        <v>70434</v>
      </c>
      <c r="C3" s="0" t="n">
        <v>32903</v>
      </c>
      <c r="D3" s="0" t="n">
        <v>221</v>
      </c>
      <c r="E3" s="0" t="n">
        <v>780</v>
      </c>
      <c r="F3" s="0" t="n">
        <v>104</v>
      </c>
      <c r="G3" s="0" t="n">
        <v>65</v>
      </c>
      <c r="H3" s="0" t="n">
        <v>117</v>
      </c>
      <c r="I3" s="0" t="n">
        <v>403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26</v>
      </c>
      <c r="Q3" s="0" t="n">
        <v>0</v>
      </c>
      <c r="R3" s="0" t="n">
        <v>104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52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91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39</v>
      </c>
      <c r="AI3" s="0" t="n">
        <v>117</v>
      </c>
      <c r="AJ3" s="0" t="n">
        <v>0</v>
      </c>
      <c r="AK3" s="0" t="n">
        <v>0</v>
      </c>
      <c r="AL3" s="0" t="n">
        <v>0</v>
      </c>
      <c r="AM3" s="0" t="n">
        <v>52</v>
      </c>
      <c r="AN3" s="0" t="n">
        <v>273</v>
      </c>
      <c r="AO3" s="0" t="n">
        <v>65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f aca="false">SUM(B3:AT3)</f>
        <v>105846</v>
      </c>
      <c r="AW3" s="0" t="n">
        <f aca="false">A3</f>
        <v>1</v>
      </c>
      <c r="AX3" s="0" t="str">
        <f aca="false">VLOOKUP(AW3,'Babblefish-APUMA'!$K$1:$L$59,2)</f>
        <v>Siskiyou County</v>
      </c>
      <c r="AY3" s="0" t="n">
        <f aca="false">SUM(C3:AT3)-MAX(C3:AT3)</f>
        <v>2509</v>
      </c>
      <c r="AZ3" s="0" t="n">
        <f aca="false">MAX(C3:AT3)</f>
        <v>32903</v>
      </c>
      <c r="BA3" s="0" t="n">
        <f aca="false">SUM(C3:AT3)</f>
        <v>35412</v>
      </c>
      <c r="BB3" s="0" t="n">
        <f aca="false">AU3</f>
        <v>105846</v>
      </c>
      <c r="BC3" s="2" t="n">
        <f aca="false">AY3/BA3</f>
        <v>0.0708516886930984</v>
      </c>
      <c r="BE3" s="0" t="n">
        <v>32903</v>
      </c>
      <c r="BF3" s="0" t="n">
        <v>6734</v>
      </c>
      <c r="BG3" s="0" t="n">
        <v>39637</v>
      </c>
      <c r="BH3" s="2" t="n">
        <v>0.169891767792719</v>
      </c>
      <c r="BI3" s="2"/>
      <c r="BJ3" s="28" t="n">
        <f aca="false">-0.0364+0.00000000386*BB3+0.844*BH3</f>
        <v>0.107397217577055</v>
      </c>
      <c r="BK3" s="2"/>
      <c r="BL3" s="1" t="n">
        <f aca="false">BJ3*BB3</f>
        <v>11367.5658916609</v>
      </c>
      <c r="BM3" s="1"/>
      <c r="BN3" s="0" t="n">
        <v>0</v>
      </c>
      <c r="BO3" s="28" t="n">
        <f aca="false">-0.03444+0.00000000383*$BB3+0.299*0+0.84588*$BH3+89876.77*(BN3)</f>
        <v>0.109673438720505</v>
      </c>
      <c r="BP3" s="0" t="n">
        <v>1.09095191256637E-009</v>
      </c>
      <c r="BQ3" s="28" t="n">
        <f aca="false">MIN(MAX(0,-0.03444+0.00000000383*$BB3+0.299*0+0.84588*$BH3+89876.77*(BP3)),1)</f>
        <v>0.109771489954632</v>
      </c>
      <c r="BR3" s="0" t="n">
        <v>6.00587598138244E-008</v>
      </c>
      <c r="BS3" s="28" t="n">
        <f aca="false">MIN(MAX(0,-0.03444+0.00000000383*$BB3+0.299*0+0.84588*$BH3+89876.77*(BR3)),1)</f>
        <v>0.115071326062777</v>
      </c>
      <c r="BT3" s="0" t="n">
        <v>1.06095675020349E-006</v>
      </c>
      <c r="BU3" s="28" t="n">
        <f aca="false">MIN(MAX(0,-0.03444+0.00000000383*$BB3+0.299*0+0.84588*$BH3+89876.77*(BT3)),1)</f>
        <v>0.205028804538492</v>
      </c>
      <c r="BV3" s="0" t="n">
        <v>2.52000163797238E-005</v>
      </c>
      <c r="BW3" s="28" t="n">
        <f aca="false">MIN(MAX(0,-0.03444+0.00000000383*$BB3+0.299*0+0.84588*$BH3+89876.77*(BV3)),1)</f>
        <v>1</v>
      </c>
    </row>
    <row r="4" customFormat="false" ht="12.75" hidden="false" customHeight="false" outlineLevel="0" collapsed="false">
      <c r="A4" s="0" t="n">
        <v>2</v>
      </c>
      <c r="B4" s="0" t="n">
        <v>70551</v>
      </c>
      <c r="C4" s="0" t="n">
        <v>273</v>
      </c>
      <c r="D4" s="0" t="n">
        <v>49764</v>
      </c>
      <c r="E4" s="0" t="n">
        <v>0</v>
      </c>
      <c r="F4" s="0" t="n">
        <v>273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78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104</v>
      </c>
      <c r="AF4" s="0" t="n">
        <v>0</v>
      </c>
      <c r="AG4" s="0" t="n">
        <v>0</v>
      </c>
      <c r="AH4" s="0" t="n">
        <v>0</v>
      </c>
      <c r="AI4" s="0" t="n">
        <v>0</v>
      </c>
      <c r="AJ4" s="0" t="n">
        <v>0</v>
      </c>
      <c r="AK4" s="0" t="n">
        <v>0</v>
      </c>
      <c r="AL4" s="0" t="n">
        <v>0</v>
      </c>
      <c r="AM4" s="0" t="n">
        <v>0</v>
      </c>
      <c r="AN4" s="0" t="n">
        <v>0</v>
      </c>
      <c r="AO4" s="0" t="n">
        <v>0</v>
      </c>
      <c r="AP4" s="0" t="n">
        <v>0</v>
      </c>
      <c r="AQ4" s="0" t="n">
        <v>0</v>
      </c>
      <c r="AR4" s="0" t="n">
        <v>0</v>
      </c>
      <c r="AS4" s="0" t="n">
        <v>0</v>
      </c>
      <c r="AT4" s="0" t="n">
        <v>0</v>
      </c>
      <c r="AU4" s="0" t="n">
        <f aca="false">SUM(B4:AT4)</f>
        <v>121043</v>
      </c>
      <c r="AW4" s="0" t="n">
        <f aca="false">A4</f>
        <v>2</v>
      </c>
      <c r="AX4" s="0" t="str">
        <f aca="false">VLOOKUP(AW4,'Babblefish-APUMA'!$K$1:$L$59,2)</f>
        <v>Humboldt County</v>
      </c>
      <c r="AY4" s="0" t="n">
        <f aca="false">SUM(C4:AT4)-MAX(C4:AT4)</f>
        <v>728</v>
      </c>
      <c r="AZ4" s="0" t="n">
        <f aca="false">MAX(C4:AT4)</f>
        <v>49764</v>
      </c>
      <c r="BA4" s="0" t="n">
        <f aca="false">SUM(C4:AT4)</f>
        <v>50492</v>
      </c>
      <c r="BB4" s="0" t="n">
        <f aca="false">AU4</f>
        <v>121043</v>
      </c>
      <c r="BC4" s="2" t="n">
        <f aca="false">AY4/BA4</f>
        <v>0.0144181256436663</v>
      </c>
      <c r="BE4" s="0" t="n">
        <v>49764</v>
      </c>
      <c r="BF4" s="0" t="n">
        <v>6422</v>
      </c>
      <c r="BG4" s="0" t="n">
        <v>56186</v>
      </c>
      <c r="BH4" s="2" t="n">
        <v>0.114298935677927</v>
      </c>
      <c r="BI4" s="2"/>
      <c r="BJ4" s="28" t="n">
        <f aca="false">-0.0364+0.00000000386*BB4+0.844*BH4</f>
        <v>0.0605355276921703</v>
      </c>
      <c r="BK4" s="2"/>
      <c r="BL4" s="1" t="n">
        <f aca="false">BJ4*BB4</f>
        <v>7327.40187844337</v>
      </c>
      <c r="BM4" s="1"/>
      <c r="BN4" s="0" t="n">
        <v>0</v>
      </c>
      <c r="BO4" s="28" t="n">
        <f aca="false">-0.03444+0.00000000383*$BB4+0.299*0+0.84588*$BH4+89876.77*(BN4)</f>
        <v>0.0627067784012448</v>
      </c>
      <c r="BP4" s="0" t="n">
        <v>4.92854347532749E-012</v>
      </c>
      <c r="BQ4" s="28" t="n">
        <f aca="false">MIN(MAX(0,-0.03444+0.00000000383*$BB4+0.299*0+0.84588*$BH4+89876.77*(BP4)),1)</f>
        <v>0.0627072213628132</v>
      </c>
      <c r="BR4" s="0" t="n">
        <v>5.23542804739538E-011</v>
      </c>
      <c r="BS4" s="28" t="n">
        <f aca="false">MIN(MAX(0,-0.03444+0.00000000383*$BB4+0.299*0+0.84588*$BH4+89876.77*(BR4)),1)</f>
        <v>0.0627114838348695</v>
      </c>
      <c r="BT4" s="0" t="n">
        <v>1.22601706069399E-010</v>
      </c>
      <c r="BU4" s="28" t="n">
        <f aca="false">MIN(MAX(0,-0.03444+0.00000000383*$BB4+0.299*0+0.84588*$BH4+89876.77*(BT4)),1)</f>
        <v>0.0627177974465828</v>
      </c>
      <c r="BV4" s="0" t="n">
        <v>4.32150702260546E-008</v>
      </c>
      <c r="BW4" s="28" t="n">
        <f aca="false">MIN(MAX(0,-0.03444+0.00000000383*$BB4+0.299*0+0.84588*$BH4+89876.77*(BV4)),1)</f>
        <v>0.0665908093284857</v>
      </c>
    </row>
    <row r="5" customFormat="false" ht="12.75" hidden="false" customHeight="false" outlineLevel="0" collapsed="false">
      <c r="A5" s="0" t="n">
        <v>3</v>
      </c>
      <c r="B5" s="0" t="n">
        <v>93327</v>
      </c>
      <c r="C5" s="0" t="n">
        <v>650</v>
      </c>
      <c r="D5" s="0" t="n">
        <v>117</v>
      </c>
      <c r="E5" s="0" t="n">
        <v>55562</v>
      </c>
      <c r="F5" s="0" t="n">
        <v>52</v>
      </c>
      <c r="G5" s="0" t="n">
        <v>1235</v>
      </c>
      <c r="H5" s="0" t="n">
        <v>91</v>
      </c>
      <c r="I5" s="0" t="n">
        <v>0</v>
      </c>
      <c r="J5" s="0" t="n">
        <v>0</v>
      </c>
      <c r="K5" s="0" t="n">
        <v>0</v>
      </c>
      <c r="L5" s="0" t="n">
        <v>91</v>
      </c>
      <c r="M5" s="0" t="n">
        <v>0</v>
      </c>
      <c r="N5" s="0" t="n">
        <v>0</v>
      </c>
      <c r="O5" s="0" t="n">
        <v>0</v>
      </c>
      <c r="P5" s="0" t="n">
        <v>91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299</v>
      </c>
      <c r="AB5" s="0" t="n">
        <v>221</v>
      </c>
      <c r="AC5" s="0" t="n">
        <v>0</v>
      </c>
      <c r="AD5" s="0" t="n">
        <v>117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169</v>
      </c>
      <c r="AJ5" s="0" t="n">
        <v>78</v>
      </c>
      <c r="AK5" s="0" t="n">
        <v>52</v>
      </c>
      <c r="AL5" s="0" t="n">
        <v>0</v>
      </c>
      <c r="AM5" s="0" t="n">
        <v>286</v>
      </c>
      <c r="AN5" s="0" t="n">
        <v>0</v>
      </c>
      <c r="AO5" s="0" t="n">
        <v>52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f aca="false">SUM(B5:AT5)</f>
        <v>152490</v>
      </c>
      <c r="AW5" s="0" t="n">
        <f aca="false">A5</f>
        <v>3</v>
      </c>
      <c r="AX5" s="0" t="str">
        <f aca="false">VLOOKUP(AW5,'Babblefish-APUMA'!$K$1:$L$59,2)</f>
        <v>Shasta County</v>
      </c>
      <c r="AY5" s="0" t="n">
        <f aca="false">SUM(C5:AT5)-MAX(C5:AT5)</f>
        <v>3601</v>
      </c>
      <c r="AZ5" s="0" t="n">
        <f aca="false">MAX(C5:AT5)</f>
        <v>55562</v>
      </c>
      <c r="BA5" s="0" t="n">
        <f aca="false">SUM(C5:AT5)</f>
        <v>59163</v>
      </c>
      <c r="BB5" s="0" t="n">
        <f aca="false">AU5</f>
        <v>152490</v>
      </c>
      <c r="BC5" s="2" t="n">
        <f aca="false">AY5/BA5</f>
        <v>0.0608657437925731</v>
      </c>
      <c r="BE5" s="0" t="n">
        <v>55562</v>
      </c>
      <c r="BF5" s="0" t="n">
        <v>8437</v>
      </c>
      <c r="BG5" s="0" t="n">
        <v>63999</v>
      </c>
      <c r="BH5" s="2" t="n">
        <v>0.131830184846638</v>
      </c>
      <c r="BI5" s="2"/>
      <c r="BJ5" s="28" t="n">
        <f aca="false">-0.0364+0.00000000386*BB5+0.844*BH5</f>
        <v>0.0754532874105627</v>
      </c>
      <c r="BK5" s="2"/>
      <c r="BL5" s="1" t="n">
        <f aca="false">BJ5*BB5</f>
        <v>11505.8717972367</v>
      </c>
      <c r="BM5" s="1"/>
      <c r="BN5" s="0" t="n">
        <v>0</v>
      </c>
      <c r="BO5" s="28" t="n">
        <f aca="false">-0.03444+0.00000000383*$BB5+0.299*0+0.84588*$BH5+89876.77*(BN5)</f>
        <v>0.0776565534580743</v>
      </c>
      <c r="BP5" s="0" t="n">
        <v>8.1476545927866E-009</v>
      </c>
      <c r="BQ5" s="28" t="n">
        <f aca="false">MIN(MAX(0,-0.03444+0.00000000383*$BB5+0.299*0+0.84588*$BH5+89876.77*(BP5)),1)</f>
        <v>0.0783888383359497</v>
      </c>
      <c r="BR5" s="0" t="n">
        <v>1.02100056948678E-007</v>
      </c>
      <c r="BS5" s="28" t="n">
        <f aca="false">MIN(MAX(0,-0.03444+0.00000000383*$BB5+0.299*0+0.84588*$BH5+89876.77*(BR5)),1)</f>
        <v>0.0868329767934376</v>
      </c>
      <c r="BT5" s="0" t="n">
        <v>6.50030943045065E-007</v>
      </c>
      <c r="BU5" s="28" t="n">
        <f aca="false">MIN(MAX(0,-0.03444+0.00000000383*$BB5+0.299*0+0.84588*$BH5+89876.77*(BT5)),1)</f>
        <v>0.136079235019019</v>
      </c>
      <c r="BV5" s="0" t="n">
        <v>1.37243483970945E-005</v>
      </c>
      <c r="BW5" s="28" t="n">
        <f aca="false">MIN(MAX(0,-0.03444+0.00000000383*$BB5+0.299*0+0.84588*$BH5+89876.77*(BV5)),1)</f>
        <v>1</v>
      </c>
    </row>
    <row r="6" customFormat="false" ht="12.75" hidden="false" customHeight="false" outlineLevel="0" collapsed="false">
      <c r="A6" s="0" t="n">
        <v>4</v>
      </c>
      <c r="B6" s="0" t="n">
        <v>79183</v>
      </c>
      <c r="C6" s="0" t="n">
        <v>0</v>
      </c>
      <c r="D6" s="0" t="n">
        <v>0</v>
      </c>
      <c r="E6" s="0" t="n">
        <v>0</v>
      </c>
      <c r="F6" s="0" t="n">
        <v>47697</v>
      </c>
      <c r="G6" s="0" t="n">
        <v>39</v>
      </c>
      <c r="H6" s="0" t="n">
        <v>0</v>
      </c>
      <c r="I6" s="0" t="n">
        <v>182</v>
      </c>
      <c r="J6" s="0" t="n">
        <v>117</v>
      </c>
      <c r="K6" s="0" t="n">
        <v>65</v>
      </c>
      <c r="L6" s="0" t="n">
        <v>0</v>
      </c>
      <c r="M6" s="0" t="n">
        <v>0</v>
      </c>
      <c r="N6" s="0" t="n">
        <v>0</v>
      </c>
      <c r="O6" s="0" t="n">
        <v>312</v>
      </c>
      <c r="P6" s="0" t="n">
        <v>429</v>
      </c>
      <c r="Q6" s="0" t="n">
        <v>117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195</v>
      </c>
      <c r="AB6" s="0" t="n">
        <v>0</v>
      </c>
      <c r="AC6" s="0" t="n">
        <v>0</v>
      </c>
      <c r="AD6" s="0" t="n">
        <v>0</v>
      </c>
      <c r="AE6" s="0" t="n">
        <v>117</v>
      </c>
      <c r="AF6" s="0" t="n">
        <v>0</v>
      </c>
      <c r="AG6" s="0" t="n">
        <v>0</v>
      </c>
      <c r="AH6" s="0" t="n">
        <v>0</v>
      </c>
      <c r="AI6" s="0" t="n">
        <v>0</v>
      </c>
      <c r="AJ6" s="0" t="n">
        <v>0</v>
      </c>
      <c r="AK6" s="0" t="n">
        <v>91</v>
      </c>
      <c r="AL6" s="0" t="n">
        <v>0</v>
      </c>
      <c r="AM6" s="0" t="n">
        <v>182</v>
      </c>
      <c r="AN6" s="0" t="n">
        <v>0</v>
      </c>
      <c r="AO6" s="0" t="n">
        <v>1469</v>
      </c>
      <c r="AP6" s="0" t="n">
        <v>0</v>
      </c>
      <c r="AQ6" s="0" t="n">
        <v>0</v>
      </c>
      <c r="AR6" s="0" t="n">
        <v>0</v>
      </c>
      <c r="AS6" s="0" t="n">
        <v>0</v>
      </c>
      <c r="AT6" s="0" t="n">
        <v>78</v>
      </c>
      <c r="AU6" s="0" t="n">
        <f aca="false">SUM(B6:AT6)</f>
        <v>130273</v>
      </c>
      <c r="AW6" s="0" t="n">
        <f aca="false">A6</f>
        <v>4</v>
      </c>
      <c r="AX6" s="0" t="str">
        <f aca="false">VLOOKUP(AW6,'Babblefish-APUMA'!$K$1:$L$59,2)</f>
        <v>Mendocino County</v>
      </c>
      <c r="AY6" s="0" t="n">
        <f aca="false">SUM(C6:AT6)-MAX(C6:AT6)</f>
        <v>3393</v>
      </c>
      <c r="AZ6" s="0" t="n">
        <f aca="false">MAX(C6:AT6)</f>
        <v>47697</v>
      </c>
      <c r="BA6" s="0" t="n">
        <f aca="false">SUM(C6:AT6)</f>
        <v>51090</v>
      </c>
      <c r="BB6" s="0" t="n">
        <f aca="false">AU6</f>
        <v>130273</v>
      </c>
      <c r="BC6" s="2" t="n">
        <f aca="false">AY6/BA6</f>
        <v>0.066412213740458</v>
      </c>
      <c r="BE6" s="0" t="n">
        <v>47697</v>
      </c>
      <c r="BF6" s="0" t="n">
        <v>6513</v>
      </c>
      <c r="BG6" s="0" t="n">
        <v>54210</v>
      </c>
      <c r="BH6" s="2" t="n">
        <v>0.120143884892086</v>
      </c>
      <c r="BI6" s="2"/>
      <c r="BJ6" s="28" t="n">
        <f aca="false">-0.0364+0.00000000386*BB6+0.844*BH6</f>
        <v>0.0655042926289209</v>
      </c>
      <c r="BK6" s="2"/>
      <c r="BL6" s="1" t="n">
        <f aca="false">BJ6*BB6</f>
        <v>8533.44071364741</v>
      </c>
      <c r="BM6" s="1"/>
      <c r="BN6" s="0" t="n">
        <v>0</v>
      </c>
      <c r="BO6" s="28" t="n">
        <f aca="false">-0.03444+0.00000000383*$BB6+0.299*0+0.84588*$BH6+89876.77*(BN6)</f>
        <v>0.067686254942518</v>
      </c>
      <c r="BP6" s="0" t="n">
        <v>3.7702091533379E-009</v>
      </c>
      <c r="BQ6" s="28" t="n">
        <f aca="false">MIN(MAX(0,-0.03444+0.00000000383*$BB6+0.299*0+0.84588*$BH6+89876.77*(BP6)),1)</f>
        <v>0.0680251091634444</v>
      </c>
      <c r="BR6" s="0" t="n">
        <v>1.25533720998575E-006</v>
      </c>
      <c r="BS6" s="28" t="n">
        <f aca="false">MIN(MAX(0,-0.03444+0.00000000383*$BB6+0.299*0+0.84588*$BH6+89876.77*(BR6)),1)</f>
        <v>0.180511908636849</v>
      </c>
      <c r="BT6" s="0" t="n">
        <v>1.3095165941503E-005</v>
      </c>
      <c r="BU6" s="28" t="n">
        <f aca="false">MIN(MAX(0,-0.03444+0.00000000383*$BB6+0.299*0+0.84588*$BH6+89876.77*(BT6)),1)</f>
        <v>1</v>
      </c>
      <c r="BV6" s="0" t="n">
        <v>1.78338342898149E-005</v>
      </c>
      <c r="BW6" s="28" t="n">
        <f aca="false">MIN(MAX(0,-0.03444+0.00000000383*$BB6+0.299*0+0.84588*$BH6+89876.77*(BV6)),1)</f>
        <v>1</v>
      </c>
    </row>
    <row r="7" customFormat="false" ht="12.75" hidden="false" customHeight="false" outlineLevel="0" collapsed="false">
      <c r="A7" s="0" t="n">
        <v>5</v>
      </c>
      <c r="B7" s="0" t="n">
        <v>66183</v>
      </c>
      <c r="C7" s="0" t="n">
        <v>0</v>
      </c>
      <c r="D7" s="0" t="n">
        <v>533</v>
      </c>
      <c r="E7" s="0" t="n">
        <v>2275</v>
      </c>
      <c r="F7" s="0" t="n">
        <v>65</v>
      </c>
      <c r="G7" s="0" t="n">
        <v>28613</v>
      </c>
      <c r="H7" s="0" t="n">
        <v>1105</v>
      </c>
      <c r="I7" s="0" t="n">
        <v>572</v>
      </c>
      <c r="J7" s="0" t="n">
        <v>0</v>
      </c>
      <c r="K7" s="0" t="n">
        <v>0</v>
      </c>
      <c r="L7" s="0" t="n">
        <v>0</v>
      </c>
      <c r="M7" s="0" t="n">
        <v>143</v>
      </c>
      <c r="N7" s="0" t="n">
        <v>0</v>
      </c>
      <c r="O7" s="0" t="n">
        <v>0</v>
      </c>
      <c r="P7" s="0" t="n">
        <v>169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182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78</v>
      </c>
      <c r="AK7" s="0" t="n">
        <v>0</v>
      </c>
      <c r="AL7" s="0" t="n">
        <v>0</v>
      </c>
      <c r="AM7" s="0" t="n">
        <v>143</v>
      </c>
      <c r="AN7" s="0" t="n">
        <v>286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f aca="false">SUM(B7:AT7)</f>
        <v>100347</v>
      </c>
      <c r="AW7" s="0" t="n">
        <f aca="false">A7</f>
        <v>5</v>
      </c>
      <c r="AX7" s="0" t="str">
        <f aca="false">VLOOKUP(AW7,'Babblefish-APUMA'!$K$1:$L$59,2)</f>
        <v>Trinity County</v>
      </c>
      <c r="AY7" s="0" t="n">
        <f aca="false">SUM(C7:AT7)-MAX(C7:AT7)</f>
        <v>5551</v>
      </c>
      <c r="AZ7" s="0" t="n">
        <f aca="false">MAX(C7:AT7)</f>
        <v>28613</v>
      </c>
      <c r="BA7" s="0" t="n">
        <f aca="false">SUM(C7:AT7)</f>
        <v>34164</v>
      </c>
      <c r="BB7" s="0" t="n">
        <f aca="false">AU7</f>
        <v>100347</v>
      </c>
      <c r="BC7" s="2" t="n">
        <f aca="false">AY7/BA7</f>
        <v>0.16248097412481</v>
      </c>
      <c r="BE7" s="0" t="n">
        <v>28613</v>
      </c>
      <c r="BF7" s="0" t="n">
        <v>10946</v>
      </c>
      <c r="BG7" s="0" t="n">
        <v>39559</v>
      </c>
      <c r="BH7" s="2" t="n">
        <v>0.276700624383832</v>
      </c>
      <c r="BI7" s="2"/>
      <c r="BJ7" s="28" t="n">
        <f aca="false">-0.0364+0.00000000386*BB7+0.844*BH7</f>
        <v>0.197522666399954</v>
      </c>
      <c r="BK7" s="2"/>
      <c r="BL7" s="1" t="n">
        <f aca="false">BJ7*BB7</f>
        <v>19820.8070052362</v>
      </c>
      <c r="BM7" s="1"/>
      <c r="BN7" s="0" t="n">
        <v>0</v>
      </c>
      <c r="BO7" s="28" t="n">
        <f aca="false">-0.03444+0.00000000383*$BB7+0.299*0+0.84588*$BH7+89876.77*(BN7)</f>
        <v>0.199999853163796</v>
      </c>
      <c r="BP7" s="0" t="n">
        <v>3.80909004844556E-008</v>
      </c>
      <c r="BQ7" s="28" t="n">
        <f aca="false">MIN(MAX(0,-0.03444+0.00000000383*$BB7+0.299*0+0.84588*$BH7+89876.77*(BP7)),1)</f>
        <v>0.20342334026573</v>
      </c>
      <c r="BR7" s="0" t="n">
        <v>9.49597226819881E-007</v>
      </c>
      <c r="BS7" s="28" t="n">
        <f aca="false">MIN(MAX(0,-0.03444+0.00000000383*$BB7+0.299*0+0.84588*$BH7+89876.77*(BR7)),1)</f>
        <v>0.285346584711324</v>
      </c>
      <c r="BT7" s="0" t="n">
        <v>7.36256227173282E-006</v>
      </c>
      <c r="BU7" s="28" t="n">
        <f aca="false">MIN(MAX(0,-0.03444+0.00000000383*$BB7+0.299*0+0.84588*$BH7+89876.77*(BT7)),1)</f>
        <v>0.861723169071004</v>
      </c>
      <c r="BV7" s="0" t="n">
        <v>0.000696963535098969</v>
      </c>
      <c r="BW7" s="28" t="n">
        <f aca="false">MIN(MAX(0,-0.03444+0.00000000383*$BB7+0.299*0+0.84588*$BH7+89876.77*(BV7)),1)</f>
        <v>1</v>
      </c>
    </row>
    <row r="8" customFormat="false" ht="12.75" hidden="false" customHeight="false" outlineLevel="0" collapsed="false">
      <c r="A8" s="0" t="n">
        <v>6</v>
      </c>
      <c r="B8" s="0" t="n">
        <v>111722</v>
      </c>
      <c r="C8" s="0" t="n">
        <v>299</v>
      </c>
      <c r="D8" s="0" t="n">
        <v>0</v>
      </c>
      <c r="E8" s="0" t="n">
        <v>65</v>
      </c>
      <c r="F8" s="0" t="n">
        <v>0</v>
      </c>
      <c r="G8" s="0" t="n">
        <v>1391</v>
      </c>
      <c r="H8" s="0" t="n">
        <v>62647</v>
      </c>
      <c r="I8" s="0" t="n">
        <v>260</v>
      </c>
      <c r="J8" s="0" t="n">
        <v>1651</v>
      </c>
      <c r="K8" s="0" t="n">
        <v>117</v>
      </c>
      <c r="L8" s="0" t="n">
        <v>0</v>
      </c>
      <c r="M8" s="0" t="n">
        <v>117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260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78</v>
      </c>
      <c r="AD8" s="0" t="n">
        <v>0</v>
      </c>
      <c r="AE8" s="0" t="n">
        <v>0</v>
      </c>
      <c r="AF8" s="0" t="n">
        <v>117</v>
      </c>
      <c r="AG8" s="0" t="n">
        <v>0</v>
      </c>
      <c r="AH8" s="0" t="n">
        <v>0</v>
      </c>
      <c r="AI8" s="0" t="n">
        <v>130</v>
      </c>
      <c r="AJ8" s="0" t="n">
        <v>0</v>
      </c>
      <c r="AK8" s="0" t="n">
        <v>117</v>
      </c>
      <c r="AL8" s="0" t="n">
        <v>0</v>
      </c>
      <c r="AM8" s="0" t="n">
        <v>156</v>
      </c>
      <c r="AN8" s="0" t="n">
        <v>117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78</v>
      </c>
      <c r="AU8" s="0" t="n">
        <f aca="false">SUM(B8:AT8)</f>
        <v>179322</v>
      </c>
      <c r="AW8" s="0" t="n">
        <f aca="false">A8</f>
        <v>6</v>
      </c>
      <c r="AX8" s="0" t="str">
        <f aca="false">VLOOKUP(AW8,'Babblefish-APUMA'!$K$1:$L$59,2)</f>
        <v>Butte County</v>
      </c>
      <c r="AY8" s="0" t="n">
        <f aca="false">SUM(C8:AT8)-MAX(C8:AT8)</f>
        <v>4953</v>
      </c>
      <c r="AZ8" s="0" t="n">
        <f aca="false">MAX(C8:AT8)</f>
        <v>62647</v>
      </c>
      <c r="BA8" s="0" t="n">
        <f aca="false">SUM(C8:AT8)</f>
        <v>67600</v>
      </c>
      <c r="BB8" s="0" t="n">
        <f aca="false">AU8</f>
        <v>179322</v>
      </c>
      <c r="BC8" s="2" t="n">
        <f aca="false">AY8/BA8</f>
        <v>0.0732692307692308</v>
      </c>
      <c r="BE8" s="0" t="n">
        <v>62647</v>
      </c>
      <c r="BF8" s="0" t="n">
        <v>3887</v>
      </c>
      <c r="BG8" s="0" t="n">
        <v>66534</v>
      </c>
      <c r="BH8" s="2" t="n">
        <v>0.058421258304025</v>
      </c>
      <c r="BI8" s="2"/>
      <c r="BJ8" s="28" t="n">
        <f aca="false">-0.0364+0.00000000386*BB8+0.844*BH8</f>
        <v>0.0135997249285971</v>
      </c>
      <c r="BK8" s="2"/>
      <c r="BL8" s="1" t="n">
        <f aca="false">BJ8*BB8</f>
        <v>2438.72987364589</v>
      </c>
      <c r="BM8" s="1"/>
      <c r="BN8" s="0" t="n">
        <v>0</v>
      </c>
      <c r="BO8" s="28" t="n">
        <f aca="false">-0.03444+0.00000000383*$BB8+0.299*0+0.84588*$BH8+89876.77*(BN8)</f>
        <v>0.0156641772342087</v>
      </c>
      <c r="BP8" s="0" t="n">
        <v>4.08078578675472E-009</v>
      </c>
      <c r="BQ8" s="28" t="n">
        <f aca="false">MIN(MAX(0,-0.03444+0.00000000383*$BB8+0.299*0+0.84588*$BH8+89876.77*(BP8)),1)</f>
        <v>0.0160309450797841</v>
      </c>
      <c r="BR8" s="0" t="n">
        <v>2.6731510330333E-008</v>
      </c>
      <c r="BS8" s="28" t="n">
        <f aca="false">MIN(MAX(0,-0.03444+0.00000000383*$BB8+0.299*0+0.84588*$BH8+89876.77*(BR8)),1)</f>
        <v>0.0180667190399206</v>
      </c>
      <c r="BT8" s="0" t="n">
        <v>3.19926229730013E-006</v>
      </c>
      <c r="BU8" s="28" t="n">
        <f aca="false">MIN(MAX(0,-0.03444+0.00000000383*$BB8+0.299*0+0.84588*$BH8+89876.77*(BT8)),1)</f>
        <v>0.303203538898324</v>
      </c>
      <c r="BV8" s="0" t="n">
        <v>2.71717299558459E-005</v>
      </c>
      <c r="BW8" s="28" t="n">
        <f aca="false">MIN(MAX(0,-0.03444+0.00000000383*$BB8+0.299*0+0.84588*$BH8+89876.77*(BV8)),1)</f>
        <v>1</v>
      </c>
    </row>
    <row r="9" customFormat="false" ht="12.75" hidden="false" customHeight="false" outlineLevel="0" collapsed="false">
      <c r="A9" s="0" t="n">
        <v>7</v>
      </c>
      <c r="B9" s="0" t="n">
        <v>61087</v>
      </c>
      <c r="C9" s="0" t="n">
        <v>104</v>
      </c>
      <c r="D9" s="0" t="n">
        <v>0</v>
      </c>
      <c r="E9" s="0" t="n">
        <v>624</v>
      </c>
      <c r="F9" s="0" t="n">
        <v>377</v>
      </c>
      <c r="G9" s="0" t="n">
        <v>78</v>
      </c>
      <c r="H9" s="0" t="n">
        <v>208</v>
      </c>
      <c r="I9" s="0" t="n">
        <v>32396</v>
      </c>
      <c r="J9" s="0" t="n">
        <v>650</v>
      </c>
      <c r="K9" s="0" t="n">
        <v>78</v>
      </c>
      <c r="L9" s="0" t="n">
        <v>0</v>
      </c>
      <c r="M9" s="0" t="n">
        <v>3822</v>
      </c>
      <c r="N9" s="0" t="n">
        <v>0</v>
      </c>
      <c r="O9" s="0" t="n">
        <v>0</v>
      </c>
      <c r="P9" s="0" t="n">
        <v>117</v>
      </c>
      <c r="Q9" s="0" t="n">
        <v>117</v>
      </c>
      <c r="R9" s="0" t="n">
        <v>91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221</v>
      </c>
      <c r="AB9" s="0" t="n">
        <v>91</v>
      </c>
      <c r="AC9" s="0" t="n">
        <v>26</v>
      </c>
      <c r="AD9" s="0" t="n">
        <v>0</v>
      </c>
      <c r="AE9" s="0" t="n">
        <v>104</v>
      </c>
      <c r="AF9" s="0" t="n">
        <v>0</v>
      </c>
      <c r="AG9" s="0" t="n">
        <v>0</v>
      </c>
      <c r="AH9" s="0" t="n">
        <v>0</v>
      </c>
      <c r="AI9" s="0" t="n">
        <v>1235</v>
      </c>
      <c r="AJ9" s="0" t="n">
        <v>0</v>
      </c>
      <c r="AK9" s="0" t="n">
        <v>182</v>
      </c>
      <c r="AL9" s="0" t="n">
        <v>143</v>
      </c>
      <c r="AM9" s="0" t="n">
        <v>104</v>
      </c>
      <c r="AN9" s="0" t="n">
        <v>0</v>
      </c>
      <c r="AO9" s="0" t="n">
        <v>156</v>
      </c>
      <c r="AP9" s="0" t="n">
        <v>143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f aca="false">SUM(B9:AT9)</f>
        <v>102154</v>
      </c>
      <c r="AW9" s="0" t="n">
        <f aca="false">A9</f>
        <v>7</v>
      </c>
      <c r="AX9" s="0" t="str">
        <f aca="false">VLOOKUP(AW9,'Babblefish-APUMA'!$K$1:$L$59,2)</f>
        <v>Sierra County</v>
      </c>
      <c r="AY9" s="0" t="n">
        <f aca="false">SUM(C9:AT9)-MAX(C9:AT9)</f>
        <v>8671</v>
      </c>
      <c r="AZ9" s="0" t="n">
        <f aca="false">MAX(C9:AT9)</f>
        <v>32396</v>
      </c>
      <c r="BA9" s="0" t="n">
        <f aca="false">SUM(C9:AT9)</f>
        <v>41067</v>
      </c>
      <c r="BB9" s="0" t="n">
        <f aca="false">AU9</f>
        <v>102154</v>
      </c>
      <c r="BC9" s="2" t="n">
        <f aca="false">AY9/BA9</f>
        <v>0.211142766698322</v>
      </c>
      <c r="BE9" s="0" t="n">
        <v>32396</v>
      </c>
      <c r="BF9" s="0" t="n">
        <v>4875</v>
      </c>
      <c r="BG9" s="0" t="n">
        <v>37271</v>
      </c>
      <c r="BH9" s="2" t="n">
        <v>0.130798744332054</v>
      </c>
      <c r="BI9" s="2"/>
      <c r="BJ9" s="28" t="n">
        <f aca="false">-0.0364+0.00000000386*BB9+0.844*BH9</f>
        <v>0.0743884546562539</v>
      </c>
      <c r="BK9" s="2"/>
      <c r="BL9" s="1" t="n">
        <f aca="false">BJ9*BB9</f>
        <v>7599.07819695496</v>
      </c>
      <c r="BM9" s="1"/>
      <c r="BN9" s="0" t="n">
        <v>0</v>
      </c>
      <c r="BO9" s="28" t="n">
        <f aca="false">-0.03444+0.00000000383*$BB9+0.299*0+0.84588*$BH9+89876.77*(BN9)</f>
        <v>0.0765912916755982</v>
      </c>
      <c r="BP9" s="0" t="n">
        <v>1.85293696979731E-006</v>
      </c>
      <c r="BQ9" s="28" t="n">
        <f aca="false">MIN(MAX(0,-0.03444+0.00000000383*$BB9+0.299*0+0.84588*$BH9+89876.77*(BP9)),1)</f>
        <v>0.243127281534568</v>
      </c>
      <c r="BR9" s="0" t="n">
        <v>4.67220388985819E-005</v>
      </c>
      <c r="BS9" s="28" t="n">
        <f aca="false">MIN(MAX(0,-0.03444+0.00000000383*$BB9+0.299*0+0.84588*$BH9+89876.77*(BR9)),1)</f>
        <v>1</v>
      </c>
      <c r="BT9" s="0" t="n">
        <v>0.000838123717197012</v>
      </c>
      <c r="BU9" s="28" t="n">
        <f aca="false">MIN(MAX(0,-0.03444+0.00000000383*$BB9+0.299*0+0.84588*$BH9+89876.77*(BT9)),1)</f>
        <v>1</v>
      </c>
      <c r="BV9" s="0" t="n">
        <v>0.00198748945015926</v>
      </c>
      <c r="BW9" s="28" t="n">
        <f aca="false">MIN(MAX(0,-0.03444+0.00000000383*$BB9+0.299*0+0.84588*$BH9+89876.77*(BV9)),1)</f>
        <v>1</v>
      </c>
    </row>
    <row r="10" customFormat="false" ht="12.75" hidden="false" customHeight="false" outlineLevel="0" collapsed="false">
      <c r="A10" s="0" t="n">
        <v>8</v>
      </c>
      <c r="B10" s="0" t="n">
        <v>74074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403</v>
      </c>
      <c r="H10" s="0" t="n">
        <v>663</v>
      </c>
      <c r="I10" s="0" t="n">
        <v>312</v>
      </c>
      <c r="J10" s="0" t="n">
        <v>38493</v>
      </c>
      <c r="K10" s="0" t="n">
        <v>0</v>
      </c>
      <c r="L10" s="0" t="n">
        <v>1521</v>
      </c>
      <c r="M10" s="0" t="n">
        <v>1196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91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0</v>
      </c>
      <c r="AH10" s="0" t="n">
        <v>0</v>
      </c>
      <c r="AI10" s="0" t="n">
        <v>3640</v>
      </c>
      <c r="AJ10" s="0" t="n">
        <v>0</v>
      </c>
      <c r="AK10" s="0" t="n">
        <v>0</v>
      </c>
      <c r="AL10" s="0" t="n">
        <v>78</v>
      </c>
      <c r="AM10" s="0" t="n">
        <v>0</v>
      </c>
      <c r="AN10" s="0" t="n">
        <v>364</v>
      </c>
      <c r="AO10" s="0" t="n">
        <v>0</v>
      </c>
      <c r="AP10" s="0" t="n">
        <v>78</v>
      </c>
      <c r="AQ10" s="0" t="n">
        <v>0</v>
      </c>
      <c r="AR10" s="0" t="n">
        <v>0</v>
      </c>
      <c r="AS10" s="0" t="n">
        <v>0</v>
      </c>
      <c r="AT10" s="0" t="n">
        <v>0</v>
      </c>
      <c r="AU10" s="0" t="n">
        <f aca="false">SUM(B10:AT10)</f>
        <v>120913</v>
      </c>
      <c r="AW10" s="0" t="n">
        <f aca="false">A10</f>
        <v>8</v>
      </c>
      <c r="AX10" s="0" t="str">
        <f aca="false">VLOOKUP(AW10,'Babblefish-APUMA'!$K$1:$L$59,2)</f>
        <v>Yuba County</v>
      </c>
      <c r="AY10" s="0" t="n">
        <f aca="false">SUM(C10:AT10)-MAX(C10:AT10)</f>
        <v>8346</v>
      </c>
      <c r="AZ10" s="0" t="n">
        <f aca="false">MAX(C10:AT10)</f>
        <v>38493</v>
      </c>
      <c r="BA10" s="0" t="n">
        <f aca="false">SUM(C10:AT10)</f>
        <v>46839</v>
      </c>
      <c r="BB10" s="0" t="n">
        <f aca="false">AU10</f>
        <v>120913</v>
      </c>
      <c r="BC10" s="2" t="n">
        <f aca="false">AY10/BA10</f>
        <v>0.178184845961699</v>
      </c>
      <c r="BE10" s="0" t="n">
        <v>38493</v>
      </c>
      <c r="BF10" s="0" t="n">
        <v>4745</v>
      </c>
      <c r="BG10" s="0" t="n">
        <v>43238</v>
      </c>
      <c r="BH10" s="2" t="n">
        <v>0.109741431148527</v>
      </c>
      <c r="BI10" s="2"/>
      <c r="BJ10" s="28" t="n">
        <f aca="false">-0.0364+0.00000000386*BB10+0.844*BH10</f>
        <v>0.0566884920693566</v>
      </c>
      <c r="BK10" s="2"/>
      <c r="BL10" s="1" t="n">
        <f aca="false">BJ10*BB10</f>
        <v>6854.37564158211</v>
      </c>
      <c r="BM10" s="1"/>
      <c r="BN10" s="0" t="n">
        <v>0</v>
      </c>
      <c r="BO10" s="28" t="n">
        <f aca="false">-0.03444+0.00000000383*$BB10+0.299*0+0.84588*$BH10+89876.77*(BN10)</f>
        <v>0.0588511785699158</v>
      </c>
      <c r="BP10" s="0" t="n">
        <v>5.89317354767229E-007</v>
      </c>
      <c r="BQ10" s="28" t="n">
        <f aca="false">MIN(MAX(0,-0.03444+0.00000000383*$BB10+0.299*0+0.84588*$BH10+89876.77*(BP10)),1)</f>
        <v>0.111817118921338</v>
      </c>
      <c r="BR10" s="0" t="n">
        <v>8.47979779854647E-006</v>
      </c>
      <c r="BS10" s="28" t="n">
        <f aca="false">MIN(MAX(0,-0.03444+0.00000000383*$BB10+0.299*0+0.84588*$BH10+89876.77*(BR10)),1)</f>
        <v>0.820988014956383</v>
      </c>
      <c r="BT10" s="0" t="n">
        <v>0.000625363553900314</v>
      </c>
      <c r="BU10" s="28" t="n">
        <f aca="false">MIN(MAX(0,-0.03444+0.00000000383*$BB10+0.299*0+0.84588*$BH10+89876.77*(BT10)),1)</f>
        <v>1</v>
      </c>
      <c r="BV10" s="0" t="n">
        <v>0.00100805229750585</v>
      </c>
      <c r="BW10" s="28" t="n">
        <f aca="false">MIN(MAX(0,-0.03444+0.00000000383*$BB10+0.299*0+0.84588*$BH10+89876.77*(BV10)),1)</f>
        <v>1</v>
      </c>
    </row>
    <row r="11" customFormat="false" ht="12.75" hidden="false" customHeight="false" outlineLevel="0" collapsed="false">
      <c r="A11" s="0" t="n">
        <v>9</v>
      </c>
      <c r="B11" s="0" t="n">
        <v>57291</v>
      </c>
      <c r="C11" s="0" t="n">
        <v>143</v>
      </c>
      <c r="D11" s="0" t="n">
        <v>0</v>
      </c>
      <c r="E11" s="0" t="n">
        <v>0</v>
      </c>
      <c r="F11" s="0" t="n">
        <v>208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37791</v>
      </c>
      <c r="L11" s="0" t="n">
        <v>104</v>
      </c>
      <c r="M11" s="0" t="n">
        <v>0</v>
      </c>
      <c r="N11" s="0" t="n">
        <v>0</v>
      </c>
      <c r="O11" s="0" t="n">
        <v>429</v>
      </c>
      <c r="P11" s="0" t="n">
        <v>897</v>
      </c>
      <c r="Q11" s="0" t="n">
        <v>195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897</v>
      </c>
      <c r="AB11" s="0" t="n">
        <v>1911</v>
      </c>
      <c r="AC11" s="0" t="n">
        <v>0</v>
      </c>
      <c r="AD11" s="0" t="n">
        <v>0</v>
      </c>
      <c r="AE11" s="0" t="n">
        <v>104</v>
      </c>
      <c r="AF11" s="0" t="n">
        <v>0</v>
      </c>
      <c r="AG11" s="0" t="n">
        <v>0</v>
      </c>
      <c r="AH11" s="0" t="n">
        <v>0</v>
      </c>
      <c r="AI11" s="0" t="n">
        <v>286</v>
      </c>
      <c r="AJ11" s="0" t="n">
        <v>0</v>
      </c>
      <c r="AK11" s="0" t="n">
        <v>91</v>
      </c>
      <c r="AL11" s="0" t="n">
        <v>0</v>
      </c>
      <c r="AM11" s="0" t="n">
        <v>390</v>
      </c>
      <c r="AN11" s="0" t="n">
        <v>6682</v>
      </c>
      <c r="AO11" s="0" t="n">
        <v>1781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f aca="false">SUM(B11:AT11)</f>
        <v>109200</v>
      </c>
      <c r="AW11" s="0" t="n">
        <f aca="false">A11</f>
        <v>9</v>
      </c>
      <c r="AX11" s="0" t="str">
        <f aca="false">VLOOKUP(AW11,'Babblefish-APUMA'!$K$1:$L$59,2)</f>
        <v>Napa County</v>
      </c>
      <c r="AY11" s="0" t="n">
        <f aca="false">SUM(C11:AT11)-MAX(C11:AT11)</f>
        <v>14118</v>
      </c>
      <c r="AZ11" s="0" t="n">
        <f aca="false">MAX(C11:AT11)</f>
        <v>37791</v>
      </c>
      <c r="BA11" s="0" t="n">
        <f aca="false">SUM(C11:AT11)</f>
        <v>51909</v>
      </c>
      <c r="BB11" s="0" t="n">
        <f aca="false">AU11</f>
        <v>109200</v>
      </c>
      <c r="BC11" s="2" t="n">
        <f aca="false">AY11/BA11</f>
        <v>0.271975957926371</v>
      </c>
      <c r="BE11" s="0" t="n">
        <v>37791</v>
      </c>
      <c r="BF11" s="0" t="n">
        <v>8203</v>
      </c>
      <c r="BG11" s="0" t="n">
        <v>45994</v>
      </c>
      <c r="BH11" s="2" t="n">
        <v>0.178349349915206</v>
      </c>
      <c r="BI11" s="2"/>
      <c r="BJ11" s="28" t="n">
        <f aca="false">-0.0364+0.00000000386*BB11+0.844*BH11</f>
        <v>0.114548363328434</v>
      </c>
      <c r="BK11" s="2"/>
      <c r="BL11" s="1" t="n">
        <f aca="false">BJ11*BB11</f>
        <v>12508.681275465</v>
      </c>
      <c r="BM11" s="1"/>
      <c r="BN11" s="0" t="n">
        <v>0</v>
      </c>
      <c r="BO11" s="28" t="n">
        <f aca="false">-0.03444+0.00000000383*$BB11+0.299*0+0.84588*$BH11+89876.77*(BN11)</f>
        <v>0.116840384106275</v>
      </c>
      <c r="BP11" s="0" t="n">
        <v>3.00652603193644E-006</v>
      </c>
      <c r="BQ11" s="28" t="n">
        <f aca="false">MIN(MAX(0,-0.03444+0.00000000383*$BB11+0.299*0+0.84588*$BH11+89876.77*(BP11)),1)</f>
        <v>0.387057232777639</v>
      </c>
      <c r="BR11" s="0" t="n">
        <v>0.00256008380420322</v>
      </c>
      <c r="BS11" s="28" t="n">
        <f aca="false">MIN(MAX(0,-0.03444+0.00000000383*$BB11+0.299*0+0.84588*$BH11+89876.77*(BR11)),1)</f>
        <v>1</v>
      </c>
      <c r="BT11" s="0" t="n">
        <v>0.00476092055291616</v>
      </c>
      <c r="BU11" s="28" t="n">
        <f aca="false">MIN(MAX(0,-0.03444+0.00000000383*$BB11+0.299*0+0.84588*$BH11+89876.77*(BT11)),1)</f>
        <v>1</v>
      </c>
      <c r="BV11" s="0" t="n">
        <v>0.00547169725566326</v>
      </c>
      <c r="BW11" s="28" t="n">
        <f aca="false">MIN(MAX(0,-0.03444+0.00000000383*$BB11+0.299*0+0.84588*$BH11+89876.77*(BV11)),1)</f>
        <v>1</v>
      </c>
    </row>
    <row r="12" customFormat="false" ht="12.75" hidden="false" customHeight="false" outlineLevel="0" collapsed="false">
      <c r="A12" s="0" t="n">
        <v>10</v>
      </c>
      <c r="B12" s="0" t="n">
        <v>75231</v>
      </c>
      <c r="C12" s="0" t="n">
        <v>65</v>
      </c>
      <c r="D12" s="0" t="n">
        <v>0</v>
      </c>
      <c r="E12" s="0" t="n">
        <v>221</v>
      </c>
      <c r="F12" s="0" t="n">
        <v>0</v>
      </c>
      <c r="G12" s="0" t="n">
        <v>182</v>
      </c>
      <c r="H12" s="0" t="n">
        <v>221</v>
      </c>
      <c r="I12" s="0" t="n">
        <v>0</v>
      </c>
      <c r="J12" s="0" t="n">
        <v>507</v>
      </c>
      <c r="K12" s="0" t="n">
        <v>169</v>
      </c>
      <c r="L12" s="0" t="n">
        <v>44408</v>
      </c>
      <c r="M12" s="0" t="n">
        <v>208</v>
      </c>
      <c r="N12" s="0" t="n">
        <v>195</v>
      </c>
      <c r="O12" s="0" t="n">
        <v>0</v>
      </c>
      <c r="P12" s="0" t="n">
        <v>0</v>
      </c>
      <c r="Q12" s="0" t="n">
        <v>78</v>
      </c>
      <c r="R12" s="0" t="n">
        <v>117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312</v>
      </c>
      <c r="AB12" s="0" t="n">
        <v>299</v>
      </c>
      <c r="AC12" s="0" t="n">
        <v>0</v>
      </c>
      <c r="AD12" s="0" t="n">
        <v>0</v>
      </c>
      <c r="AE12" s="0" t="n">
        <v>78</v>
      </c>
      <c r="AF12" s="0" t="n">
        <v>0</v>
      </c>
      <c r="AG12" s="0" t="n">
        <v>0</v>
      </c>
      <c r="AH12" s="0" t="n">
        <v>0</v>
      </c>
      <c r="AI12" s="0" t="n">
        <v>17108</v>
      </c>
      <c r="AJ12" s="0" t="n">
        <v>0</v>
      </c>
      <c r="AK12" s="0" t="n">
        <v>0</v>
      </c>
      <c r="AL12" s="0" t="n">
        <v>351</v>
      </c>
      <c r="AM12" s="0" t="n">
        <v>65</v>
      </c>
      <c r="AN12" s="0" t="n">
        <v>2184</v>
      </c>
      <c r="AO12" s="0" t="n">
        <v>0</v>
      </c>
      <c r="AP12" s="0" t="n">
        <v>117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f aca="false">SUM(B12:AT12)</f>
        <v>142116</v>
      </c>
      <c r="AW12" s="0" t="n">
        <f aca="false">A12</f>
        <v>10</v>
      </c>
      <c r="AX12" s="0" t="str">
        <f aca="false">VLOOKUP(AW12,'Babblefish-APUMA'!$K$1:$L$59,2)</f>
        <v>Yolo County</v>
      </c>
      <c r="AY12" s="0" t="n">
        <f aca="false">SUM(C12:AT12)-MAX(C12:AT12)</f>
        <v>22477</v>
      </c>
      <c r="AZ12" s="0" t="n">
        <f aca="false">MAX(C12:AT12)</f>
        <v>44408</v>
      </c>
      <c r="BA12" s="0" t="n">
        <f aca="false">SUM(C12:AT12)</f>
        <v>66885</v>
      </c>
      <c r="BB12" s="0" t="n">
        <f aca="false">AU12</f>
        <v>142116</v>
      </c>
      <c r="BC12" s="2" t="n">
        <f aca="false">AY12/BA12</f>
        <v>0.336054421768708</v>
      </c>
      <c r="BE12" s="0" t="n">
        <v>44408</v>
      </c>
      <c r="BF12" s="0" t="n">
        <v>25779</v>
      </c>
      <c r="BG12" s="0" t="n">
        <v>70187</v>
      </c>
      <c r="BH12" s="2" t="n">
        <v>0.367290238933136</v>
      </c>
      <c r="BI12" s="2"/>
      <c r="BJ12" s="28" t="n">
        <f aca="false">-0.0364+0.00000000386*BB12+0.844*BH12</f>
        <v>0.274141529419567</v>
      </c>
      <c r="BK12" s="2"/>
      <c r="BL12" s="1" t="n">
        <f aca="false">BJ12*BB12</f>
        <v>38959.8975949911</v>
      </c>
      <c r="BM12" s="1"/>
      <c r="BN12" s="0" t="n">
        <v>0</v>
      </c>
      <c r="BO12" s="28" t="n">
        <f aca="false">-0.03444+0.00000000383*$BB12+0.299*0+0.84588*$BH12+89876.77*(BN12)</f>
        <v>0.276787771588761</v>
      </c>
      <c r="BP12" s="0" t="n">
        <v>1.52675527315477E-006</v>
      </c>
      <c r="BQ12" s="28" t="n">
        <f aca="false">MIN(MAX(0,-0.03444+0.00000000383*$BB12+0.299*0+0.84588*$BH12+89876.77*(BP12)),1)</f>
        <v>0.414007604120379</v>
      </c>
      <c r="BR12" s="0" t="n">
        <v>6.05999360448229E-005</v>
      </c>
      <c r="BS12" s="28" t="n">
        <f aca="false">MIN(MAX(0,-0.03444+0.00000000383*$BB12+0.299*0+0.84588*$BH12+89876.77*(BR12)),1)</f>
        <v>1</v>
      </c>
      <c r="BT12" s="0" t="n">
        <v>0.0110073482280216</v>
      </c>
      <c r="BU12" s="28" t="n">
        <f aca="false">MIN(MAX(0,-0.03444+0.00000000383*$BB12+0.299*0+0.84588*$BH12+89876.77*(BT12)),1)</f>
        <v>1</v>
      </c>
      <c r="BV12" s="0" t="n">
        <v>0.0127537663584207</v>
      </c>
      <c r="BW12" s="28" t="n">
        <f aca="false">MIN(MAX(0,-0.03444+0.00000000383*$BB12+0.299*0+0.84588*$BH12+89876.77*(BV12)),1)</f>
        <v>1</v>
      </c>
    </row>
    <row r="13" customFormat="false" ht="12.75" hidden="false" customHeight="false" outlineLevel="0" collapsed="false">
      <c r="A13" s="0" t="n">
        <v>11</v>
      </c>
      <c r="B13" s="0" t="n">
        <v>90948</v>
      </c>
      <c r="C13" s="0" t="n">
        <v>0</v>
      </c>
      <c r="D13" s="0" t="n">
        <v>0</v>
      </c>
      <c r="E13" s="0" t="n">
        <v>429</v>
      </c>
      <c r="F13" s="0" t="n">
        <v>1456</v>
      </c>
      <c r="G13" s="0" t="n">
        <v>416</v>
      </c>
      <c r="H13" s="0" t="n">
        <v>0</v>
      </c>
      <c r="I13" s="0" t="n">
        <v>1872</v>
      </c>
      <c r="J13" s="0" t="n">
        <v>247</v>
      </c>
      <c r="K13" s="0" t="n">
        <v>0</v>
      </c>
      <c r="L13" s="0" t="n">
        <v>1131</v>
      </c>
      <c r="M13" s="0" t="n">
        <v>46007</v>
      </c>
      <c r="N13" s="0" t="n">
        <v>104</v>
      </c>
      <c r="O13" s="0" t="n">
        <v>0</v>
      </c>
      <c r="P13" s="0" t="n">
        <v>91</v>
      </c>
      <c r="Q13" s="0" t="n">
        <v>26</v>
      </c>
      <c r="R13" s="0" t="n">
        <v>312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104</v>
      </c>
      <c r="AB13" s="0" t="n">
        <v>624</v>
      </c>
      <c r="AC13" s="0" t="n">
        <v>117</v>
      </c>
      <c r="AD13" s="0" t="n">
        <v>0</v>
      </c>
      <c r="AE13" s="0" t="n">
        <v>221</v>
      </c>
      <c r="AF13" s="0" t="n">
        <v>0</v>
      </c>
      <c r="AG13" s="0" t="n">
        <v>182</v>
      </c>
      <c r="AH13" s="0" t="n">
        <v>169</v>
      </c>
      <c r="AI13" s="0" t="n">
        <v>25571</v>
      </c>
      <c r="AJ13" s="0" t="n">
        <v>0</v>
      </c>
      <c r="AK13" s="0" t="n">
        <v>143</v>
      </c>
      <c r="AL13" s="0" t="n">
        <v>208</v>
      </c>
      <c r="AM13" s="0" t="n">
        <v>442</v>
      </c>
      <c r="AN13" s="0" t="n">
        <v>377</v>
      </c>
      <c r="AO13" s="0" t="n">
        <v>26</v>
      </c>
      <c r="AP13" s="0" t="n">
        <v>195</v>
      </c>
      <c r="AQ13" s="0" t="n">
        <v>156</v>
      </c>
      <c r="AR13" s="0" t="n">
        <v>0</v>
      </c>
      <c r="AS13" s="0" t="n">
        <v>0</v>
      </c>
      <c r="AT13" s="0" t="n">
        <v>117</v>
      </c>
      <c r="AU13" s="0" t="n">
        <f aca="false">SUM(B13:AT13)</f>
        <v>171691</v>
      </c>
      <c r="AW13" s="0" t="n">
        <f aca="false">A13</f>
        <v>11</v>
      </c>
      <c r="AX13" s="0" t="str">
        <f aca="false">VLOOKUP(AW13,'Babblefish-APUMA'!$K$1:$L$59,2)</f>
        <v>Placer County</v>
      </c>
      <c r="AY13" s="0" t="n">
        <f aca="false">SUM(C13:AT13)-MAX(C13:AT13)</f>
        <v>34736</v>
      </c>
      <c r="AZ13" s="0" t="n">
        <f aca="false">MAX(C13:AT13)</f>
        <v>46007</v>
      </c>
      <c r="BA13" s="0" t="n">
        <f aca="false">SUM(C13:AT13)</f>
        <v>80743</v>
      </c>
      <c r="BB13" s="0" t="n">
        <f aca="false">AU13</f>
        <v>171691</v>
      </c>
      <c r="BC13" s="2" t="n">
        <f aca="false">AY13/BA13</f>
        <v>0.430204475929802</v>
      </c>
      <c r="BE13" s="0" t="n">
        <v>46007</v>
      </c>
      <c r="BF13" s="0" t="n">
        <v>26338</v>
      </c>
      <c r="BG13" s="0" t="n">
        <v>72345</v>
      </c>
      <c r="BH13" s="2" t="n">
        <v>0.364061096136568</v>
      </c>
      <c r="BI13" s="2"/>
      <c r="BJ13" s="28" t="n">
        <f aca="false">-0.0364+0.00000000386*BB13+0.844*BH13</f>
        <v>0.271530292399263</v>
      </c>
      <c r="BK13" s="2"/>
      <c r="BL13" s="1" t="n">
        <f aca="false">BJ13*BB13</f>
        <v>46619.3074323219</v>
      </c>
      <c r="BM13" s="1"/>
      <c r="BN13" s="0" t="n">
        <v>0</v>
      </c>
      <c r="BO13" s="28" t="n">
        <f aca="false">-0.03444+0.00000000383*$BB13+0.299*0+0.84588*$BH13+89876.77*(BN13)</f>
        <v>0.27416957653</v>
      </c>
      <c r="BP13" s="0" t="n">
        <v>3.8149659200157E-006</v>
      </c>
      <c r="BQ13" s="28" t="n">
        <f aca="false">MIN(MAX(0,-0.03444+0.00000000383*$BB13+0.299*0+0.84588*$BH13+89876.77*(BP13)),1)</f>
        <v>0.61704639108109</v>
      </c>
      <c r="BR13" s="0" t="n">
        <v>3.68743284459827E-005</v>
      </c>
      <c r="BS13" s="28" t="n">
        <f aca="false">MIN(MAX(0,-0.03444+0.00000000383*$BB13+0.299*0+0.84588*$BH13+89876.77*(BR13)),1)</f>
        <v>1</v>
      </c>
      <c r="BT13" s="0" t="n">
        <v>0.0239009080690566</v>
      </c>
      <c r="BU13" s="28" t="n">
        <f aca="false">MIN(MAX(0,-0.03444+0.00000000383*$BB13+0.299*0+0.84588*$BH13+89876.77*(BT13)),1)</f>
        <v>1</v>
      </c>
      <c r="BV13" s="0" t="n">
        <v>0.0339905050913549</v>
      </c>
      <c r="BW13" s="28" t="n">
        <f aca="false">MIN(MAX(0,-0.03444+0.00000000383*$BB13+0.299*0+0.84588*$BH13+89876.77*(BV13)),1)</f>
        <v>1</v>
      </c>
    </row>
    <row r="14" customFormat="false" ht="12.75" hidden="false" customHeight="false" outlineLevel="0" collapsed="false">
      <c r="A14" s="0" t="n">
        <v>12</v>
      </c>
      <c r="B14" s="0" t="n">
        <v>66781</v>
      </c>
      <c r="C14" s="0" t="n">
        <v>0</v>
      </c>
      <c r="D14" s="0" t="n">
        <v>143</v>
      </c>
      <c r="E14" s="0" t="n">
        <v>299</v>
      </c>
      <c r="F14" s="0" t="n">
        <v>0</v>
      </c>
      <c r="G14" s="0" t="n">
        <v>5811</v>
      </c>
      <c r="H14" s="0" t="n">
        <v>143</v>
      </c>
      <c r="I14" s="0" t="n">
        <v>130</v>
      </c>
      <c r="J14" s="0" t="n">
        <v>0</v>
      </c>
      <c r="K14" s="0" t="n">
        <v>0</v>
      </c>
      <c r="L14" s="0" t="n">
        <v>494</v>
      </c>
      <c r="M14" s="0" t="n">
        <v>1651</v>
      </c>
      <c r="N14" s="0" t="n">
        <v>30693</v>
      </c>
      <c r="O14" s="0" t="n">
        <v>0</v>
      </c>
      <c r="P14" s="0" t="n">
        <v>156</v>
      </c>
      <c r="Q14" s="0" t="n">
        <v>182</v>
      </c>
      <c r="R14" s="0" t="n">
        <v>312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26</v>
      </c>
      <c r="AB14" s="0" t="n">
        <v>91</v>
      </c>
      <c r="AC14" s="0" t="n">
        <v>0</v>
      </c>
      <c r="AD14" s="0" t="n">
        <v>0</v>
      </c>
      <c r="AE14" s="0" t="n">
        <v>78</v>
      </c>
      <c r="AF14" s="0" t="n">
        <v>0</v>
      </c>
      <c r="AG14" s="0" t="n">
        <v>169</v>
      </c>
      <c r="AH14" s="0" t="n">
        <v>0</v>
      </c>
      <c r="AI14" s="0" t="n">
        <v>15028</v>
      </c>
      <c r="AJ14" s="0" t="n">
        <v>0</v>
      </c>
      <c r="AK14" s="0" t="n">
        <v>117</v>
      </c>
      <c r="AL14" s="0" t="n">
        <v>182</v>
      </c>
      <c r="AM14" s="0" t="n">
        <v>91</v>
      </c>
      <c r="AN14" s="0" t="n">
        <v>117</v>
      </c>
      <c r="AO14" s="0" t="n">
        <v>91</v>
      </c>
      <c r="AP14" s="0" t="n">
        <v>0</v>
      </c>
      <c r="AQ14" s="0" t="n">
        <v>78</v>
      </c>
      <c r="AR14" s="0" t="n">
        <v>0</v>
      </c>
      <c r="AS14" s="0" t="n">
        <v>0</v>
      </c>
      <c r="AT14" s="0" t="n">
        <v>0</v>
      </c>
      <c r="AU14" s="0" t="n">
        <f aca="false">SUM(B14:AT14)</f>
        <v>122863</v>
      </c>
      <c r="AW14" s="0" t="n">
        <f aca="false">A14</f>
        <v>12</v>
      </c>
      <c r="AX14" s="0" t="str">
        <f aca="false">VLOOKUP(AW14,'Babblefish-APUMA'!$K$1:$L$59,2)</f>
        <v>El Dorado County</v>
      </c>
      <c r="AY14" s="0" t="n">
        <f aca="false">SUM(C14:AT14)-MAX(C14:AT14)</f>
        <v>25389</v>
      </c>
      <c r="AZ14" s="0" t="n">
        <f aca="false">MAX(C14:AT14)</f>
        <v>30693</v>
      </c>
      <c r="BA14" s="0" t="n">
        <f aca="false">SUM(C14:AT14)</f>
        <v>56082</v>
      </c>
      <c r="BB14" s="0" t="n">
        <f aca="false">AU14</f>
        <v>122863</v>
      </c>
      <c r="BC14" s="2" t="n">
        <f aca="false">AY14/BA14</f>
        <v>0.452712100139082</v>
      </c>
      <c r="BE14" s="0" t="n">
        <v>30693</v>
      </c>
      <c r="BF14" s="0" t="n">
        <v>4576</v>
      </c>
      <c r="BG14" s="0" t="n">
        <v>35269</v>
      </c>
      <c r="BH14" s="2" t="n">
        <v>0.129745669001106</v>
      </c>
      <c r="BI14" s="2"/>
      <c r="BJ14" s="28" t="n">
        <f aca="false">-0.0364+0.00000000386*BB14+0.844*BH14</f>
        <v>0.0735795958169333</v>
      </c>
      <c r="BK14" s="2"/>
      <c r="BL14" s="1" t="n">
        <f aca="false">BJ14*BB14</f>
        <v>9040.20988085588</v>
      </c>
      <c r="BM14" s="1"/>
      <c r="BN14" s="0" t="n">
        <v>0</v>
      </c>
      <c r="BO14" s="28" t="n">
        <f aca="false">-0.03444+0.00000000383*$BB14+0.299*0+0.84588*$BH14+89876.77*(BN14)</f>
        <v>0.0757798317846554</v>
      </c>
      <c r="BP14" s="0" t="n">
        <v>1.4529245444939E-005</v>
      </c>
      <c r="BQ14" s="28" t="n">
        <f aca="false">MIN(MAX(0,-0.03444+0.00000000383*$BB14+0.299*0+0.84588*$BH14+89876.77*(BP14)),1)</f>
        <v>1</v>
      </c>
      <c r="BR14" s="0" t="n">
        <v>7.59444180100744E-005</v>
      </c>
      <c r="BS14" s="28" t="n">
        <f aca="false">MIN(MAX(0,-0.03444+0.00000000383*$BB14+0.299*0+0.84588*$BH14+89876.77*(BR14)),1)</f>
        <v>1</v>
      </c>
      <c r="BT14" s="0" t="n">
        <v>0.0167221142332214</v>
      </c>
      <c r="BU14" s="28" t="n">
        <f aca="false">MIN(MAX(0,-0.03444+0.00000000383*$BB14+0.299*0+0.84588*$BH14+89876.77*(BT14)),1)</f>
        <v>1</v>
      </c>
      <c r="BV14" s="0" t="n">
        <v>0.0420037833795753</v>
      </c>
      <c r="BW14" s="28" t="n">
        <f aca="false">MIN(MAX(0,-0.03444+0.00000000383*$BB14+0.299*0+0.84588*$BH14+89876.77*(BV14)),1)</f>
        <v>1</v>
      </c>
    </row>
    <row r="15" customFormat="false" ht="12.75" hidden="false" customHeight="false" outlineLevel="0" collapsed="false">
      <c r="A15" s="0" t="n">
        <v>15</v>
      </c>
      <c r="B15" s="0" t="n">
        <v>103519</v>
      </c>
      <c r="C15" s="0" t="n">
        <v>0</v>
      </c>
      <c r="D15" s="0" t="n">
        <v>0</v>
      </c>
      <c r="E15" s="0" t="n">
        <v>104</v>
      </c>
      <c r="F15" s="0" t="n">
        <v>130</v>
      </c>
      <c r="G15" s="0" t="n">
        <v>0</v>
      </c>
      <c r="H15" s="0" t="n">
        <v>0</v>
      </c>
      <c r="I15" s="0" t="n">
        <v>0</v>
      </c>
      <c r="J15" s="0" t="n">
        <v>195</v>
      </c>
      <c r="K15" s="0" t="n">
        <v>104</v>
      </c>
      <c r="L15" s="0" t="n">
        <v>65</v>
      </c>
      <c r="M15" s="0" t="n">
        <v>0</v>
      </c>
      <c r="N15" s="0" t="n">
        <v>0</v>
      </c>
      <c r="O15" s="0" t="n">
        <v>72592</v>
      </c>
      <c r="P15" s="0" t="n">
        <v>33098</v>
      </c>
      <c r="Q15" s="0" t="n">
        <v>3744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5122</v>
      </c>
      <c r="AB15" s="0" t="n">
        <v>4394</v>
      </c>
      <c r="AC15" s="0" t="n">
        <v>91</v>
      </c>
      <c r="AD15" s="0" t="n">
        <v>0</v>
      </c>
      <c r="AE15" s="0" t="n">
        <v>247</v>
      </c>
      <c r="AF15" s="0" t="n">
        <v>0</v>
      </c>
      <c r="AG15" s="0" t="n">
        <v>0</v>
      </c>
      <c r="AH15" s="0" t="n">
        <v>0</v>
      </c>
      <c r="AI15" s="0" t="n">
        <v>325</v>
      </c>
      <c r="AJ15" s="0" t="n">
        <v>0</v>
      </c>
      <c r="AK15" s="0" t="n">
        <v>156</v>
      </c>
      <c r="AL15" s="0" t="n">
        <v>0</v>
      </c>
      <c r="AM15" s="0" t="n">
        <v>351</v>
      </c>
      <c r="AN15" s="0" t="n">
        <v>1027</v>
      </c>
      <c r="AO15" s="0" t="n">
        <v>3029</v>
      </c>
      <c r="AP15" s="0" t="n">
        <v>104</v>
      </c>
      <c r="AQ15" s="0" t="n">
        <v>0</v>
      </c>
      <c r="AR15" s="0" t="n">
        <v>0</v>
      </c>
      <c r="AS15" s="0" t="n">
        <v>0</v>
      </c>
      <c r="AT15" s="0" t="n">
        <v>533</v>
      </c>
      <c r="AU15" s="0" t="n">
        <f aca="false">SUM(B15:AT15)</f>
        <v>228930</v>
      </c>
      <c r="AW15" s="0" t="n">
        <f aca="false">A15</f>
        <v>15</v>
      </c>
      <c r="AX15" s="0" t="str">
        <f aca="false">VLOOKUP(AW15,'Babblefish-APUMA'!$K$1:$L$59,2)</f>
        <v>Marin County </v>
      </c>
      <c r="AY15" s="0" t="n">
        <f aca="false">SUM(C15:AT15)-MAX(C15:AT15)</f>
        <v>52819</v>
      </c>
      <c r="AZ15" s="0" t="n">
        <f aca="false">MAX(C15:AT15)</f>
        <v>72592</v>
      </c>
      <c r="BA15" s="0" t="n">
        <f aca="false">SUM(C15:AT15)</f>
        <v>125411</v>
      </c>
      <c r="BB15" s="0" t="n">
        <f aca="false">AU15</f>
        <v>228930</v>
      </c>
      <c r="BC15" s="2" t="n">
        <f aca="false">AY15/BA15</f>
        <v>0.421167202239038</v>
      </c>
      <c r="BE15" s="0" t="n">
        <v>72592</v>
      </c>
      <c r="BF15" s="0" t="n">
        <v>31954</v>
      </c>
      <c r="BG15" s="0" t="n">
        <v>104546</v>
      </c>
      <c r="BH15" s="2" t="n">
        <v>0.305645361850286</v>
      </c>
      <c r="BI15" s="2"/>
      <c r="BJ15" s="28" t="n">
        <f aca="false">-0.0364+0.00000000386*BB15+0.844*BH15</f>
        <v>0.222448355201641</v>
      </c>
      <c r="BK15" s="2"/>
      <c r="BL15" s="1" t="n">
        <f aca="false">BJ15*BB15</f>
        <v>50925.1019563118</v>
      </c>
      <c r="BM15" s="1"/>
      <c r="BN15" s="0" t="n">
        <v>0</v>
      </c>
      <c r="BO15" s="28" t="n">
        <f aca="false">-0.03444+0.00000000383*$BB15+0.299*0+0.84588*$BH15+89876.77*(BN15)</f>
        <v>0.22497610058192</v>
      </c>
      <c r="BP15" s="0" t="n">
        <v>0.000204566505132356</v>
      </c>
      <c r="BQ15" s="28" t="n">
        <f aca="false">MIN(MAX(0,-0.03444+0.00000000383*$BB15+0.299*0+0.84588*$BH15+89876.77*(BP15)),1)</f>
        <v>1</v>
      </c>
      <c r="BR15" s="0" t="n">
        <v>0.00655891401161599</v>
      </c>
      <c r="BS15" s="28" t="n">
        <f aca="false">MIN(MAX(0,-0.03444+0.00000000383*$BB15+0.299*0+0.84588*$BH15+89876.77*(BR15)),1)</f>
        <v>1</v>
      </c>
      <c r="BT15" s="0" t="n">
        <v>0.0291066271026651</v>
      </c>
      <c r="BU15" s="28" t="n">
        <f aca="false">MIN(MAX(0,-0.03444+0.00000000383*$BB15+0.299*0+0.84588*$BH15+89876.77*(BT15)),1)</f>
        <v>1</v>
      </c>
      <c r="BV15" s="0" t="n">
        <v>0.0307325032224284</v>
      </c>
      <c r="BW15" s="28" t="n">
        <f aca="false">MIN(MAX(0,-0.03444+0.00000000383*$BB15+0.299*0+0.84588*$BH15+89876.77*(BV15)),1)</f>
        <v>1</v>
      </c>
    </row>
    <row r="16" customFormat="false" ht="12.75" hidden="false" customHeight="false" outlineLevel="0" collapsed="false">
      <c r="A16" s="0" t="n">
        <v>19</v>
      </c>
      <c r="B16" s="0" t="n">
        <v>347230</v>
      </c>
      <c r="C16" s="0" t="n">
        <v>143</v>
      </c>
      <c r="D16" s="0" t="n">
        <v>78</v>
      </c>
      <c r="E16" s="0" t="n">
        <v>156</v>
      </c>
      <c r="F16" s="0" t="n">
        <v>182</v>
      </c>
      <c r="G16" s="0" t="n">
        <v>0</v>
      </c>
      <c r="H16" s="0" t="n">
        <v>0</v>
      </c>
      <c r="I16" s="0" t="n">
        <v>78</v>
      </c>
      <c r="J16" s="0" t="n">
        <v>0</v>
      </c>
      <c r="K16" s="0" t="n">
        <v>130</v>
      </c>
      <c r="L16" s="0" t="n">
        <v>0</v>
      </c>
      <c r="M16" s="0" t="n">
        <v>117</v>
      </c>
      <c r="N16" s="0" t="n">
        <v>0</v>
      </c>
      <c r="O16" s="0" t="n">
        <v>4095</v>
      </c>
      <c r="P16" s="0" t="n">
        <v>313768</v>
      </c>
      <c r="Q16" s="0" t="n">
        <v>29393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104</v>
      </c>
      <c r="W16" s="0" t="n">
        <v>0</v>
      </c>
      <c r="X16" s="0" t="n">
        <v>299</v>
      </c>
      <c r="Y16" s="0" t="n">
        <v>0</v>
      </c>
      <c r="Z16" s="0" t="n">
        <v>0</v>
      </c>
      <c r="AA16" s="0" t="n">
        <v>19760</v>
      </c>
      <c r="AB16" s="0" t="n">
        <v>6149</v>
      </c>
      <c r="AC16" s="0" t="n">
        <v>0</v>
      </c>
      <c r="AD16" s="0" t="n">
        <v>0</v>
      </c>
      <c r="AE16" s="0" t="n">
        <v>767</v>
      </c>
      <c r="AF16" s="0" t="n">
        <v>247</v>
      </c>
      <c r="AG16" s="0" t="n">
        <v>0</v>
      </c>
      <c r="AH16" s="0" t="n">
        <v>0</v>
      </c>
      <c r="AI16" s="0" t="n">
        <v>104</v>
      </c>
      <c r="AJ16" s="0" t="n">
        <v>117</v>
      </c>
      <c r="AK16" s="0" t="n">
        <v>104</v>
      </c>
      <c r="AL16" s="0" t="n">
        <v>117</v>
      </c>
      <c r="AM16" s="0" t="n">
        <v>8359</v>
      </c>
      <c r="AN16" s="0" t="n">
        <v>442</v>
      </c>
      <c r="AO16" s="0" t="n">
        <v>637</v>
      </c>
      <c r="AP16" s="0" t="n">
        <v>234</v>
      </c>
      <c r="AQ16" s="0" t="n">
        <v>0</v>
      </c>
      <c r="AR16" s="0" t="n">
        <v>0</v>
      </c>
      <c r="AS16" s="0" t="n">
        <v>0</v>
      </c>
      <c r="AT16" s="0" t="n">
        <v>351</v>
      </c>
      <c r="AU16" s="0" t="n">
        <f aca="false">SUM(B16:AT16)</f>
        <v>733161</v>
      </c>
      <c r="AW16" s="0" t="n">
        <f aca="false">A16</f>
        <v>19</v>
      </c>
      <c r="AX16" s="0" t="str">
        <f aca="false">VLOOKUP(AW16,'Babblefish-APUMA'!$K$1:$L$59,2)</f>
        <v>San Francisco city </v>
      </c>
      <c r="AY16" s="0" t="n">
        <f aca="false">SUM(C16:AT16)-MAX(C16:AT16)</f>
        <v>72163</v>
      </c>
      <c r="AZ16" s="0" t="n">
        <f aca="false">MAX(C16:AT16)</f>
        <v>313768</v>
      </c>
      <c r="BA16" s="0" t="n">
        <f aca="false">SUM(C16:AT16)</f>
        <v>385931</v>
      </c>
      <c r="BB16" s="0" t="n">
        <f aca="false">AU16</f>
        <v>733161</v>
      </c>
      <c r="BC16" s="2" t="n">
        <f aca="false">AY16/BA16</f>
        <v>0.186984201839189</v>
      </c>
      <c r="BE16" s="0" t="n">
        <v>313768</v>
      </c>
      <c r="BF16" s="0" t="n">
        <v>255632</v>
      </c>
      <c r="BG16" s="0" t="n">
        <v>569400</v>
      </c>
      <c r="BH16" s="2" t="n">
        <v>0.448949771689498</v>
      </c>
      <c r="BI16" s="2"/>
      <c r="BJ16" s="28" t="n">
        <f aca="false">-0.0364+0.00000000386*BB16+0.844*BH16</f>
        <v>0.345343608765936</v>
      </c>
      <c r="BK16" s="2"/>
      <c r="BL16" s="1" t="n">
        <f aca="false">BJ16*BB16</f>
        <v>253192.465546443</v>
      </c>
      <c r="BM16" s="1"/>
      <c r="BN16" s="0" t="n">
        <v>0</v>
      </c>
      <c r="BO16" s="28" t="n">
        <f aca="false">-0.03444+0.00000000383*$BB16+0.299*0+0.84588*$BH16+89876.77*(BN16)</f>
        <v>0.348125639506712</v>
      </c>
      <c r="BP16" s="0" t="n">
        <v>2.70421998834251E-006</v>
      </c>
      <c r="BQ16" s="28" t="n">
        <f aca="false">MIN(MAX(0,-0.03444+0.00000000383*$BB16+0.299*0+0.84588*$BH16+89876.77*(BP16)),1)</f>
        <v>0.591172197428374</v>
      </c>
      <c r="BR16" s="0" t="n">
        <v>0.000660819345179692</v>
      </c>
      <c r="BS16" s="28" t="n">
        <f aca="false">MIN(MAX(0,-0.03444+0.00000000383*$BB16+0.299*0+0.84588*$BH16+89876.77*(BR16)),1)</f>
        <v>1</v>
      </c>
      <c r="BT16" s="0" t="n">
        <v>0.0010839981074908</v>
      </c>
      <c r="BU16" s="28" t="n">
        <f aca="false">MIN(MAX(0,-0.03444+0.00000000383*$BB16+0.299*0+0.84588*$BH16+89876.77*(BT16)),1)</f>
        <v>1</v>
      </c>
      <c r="BV16" s="0" t="n">
        <v>0.00120317858337227</v>
      </c>
      <c r="BW16" s="28" t="n">
        <f aca="false">MIN(MAX(0,-0.03444+0.00000000383*$BB16+0.299*0+0.84588*$BH16+89876.77*(BV16)),1)</f>
        <v>1</v>
      </c>
    </row>
    <row r="17" customFormat="false" ht="12.75" hidden="false" customHeight="false" outlineLevel="0" collapsed="false">
      <c r="A17" s="0" t="n">
        <v>22</v>
      </c>
      <c r="B17" s="0" t="n">
        <v>313391</v>
      </c>
      <c r="C17" s="0" t="n">
        <v>169</v>
      </c>
      <c r="D17" s="0" t="n">
        <v>0</v>
      </c>
      <c r="E17" s="0" t="n">
        <v>221</v>
      </c>
      <c r="F17" s="0" t="n">
        <v>0</v>
      </c>
      <c r="G17" s="0" t="n">
        <v>182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78</v>
      </c>
      <c r="M17" s="0" t="n">
        <v>78</v>
      </c>
      <c r="N17" s="0" t="n">
        <v>0</v>
      </c>
      <c r="O17" s="0" t="n">
        <v>1196</v>
      </c>
      <c r="P17" s="0" t="n">
        <v>80925</v>
      </c>
      <c r="Q17" s="0" t="n">
        <v>203580</v>
      </c>
      <c r="R17" s="0" t="n">
        <v>0</v>
      </c>
      <c r="S17" s="0" t="n">
        <v>0</v>
      </c>
      <c r="T17" s="0" t="n">
        <v>0</v>
      </c>
      <c r="U17" s="0" t="n">
        <v>0</v>
      </c>
      <c r="V17" s="0" t="n">
        <v>0</v>
      </c>
      <c r="W17" s="0" t="n">
        <v>0</v>
      </c>
      <c r="X17" s="0" t="n">
        <v>325</v>
      </c>
      <c r="Y17" s="0" t="n">
        <v>0</v>
      </c>
      <c r="Z17" s="0" t="n">
        <v>0</v>
      </c>
      <c r="AA17" s="0" t="n">
        <v>13689</v>
      </c>
      <c r="AB17" s="0" t="n">
        <v>3458</v>
      </c>
      <c r="AC17" s="0" t="n">
        <v>104</v>
      </c>
      <c r="AD17" s="0" t="n">
        <v>0</v>
      </c>
      <c r="AE17" s="0" t="n">
        <v>481</v>
      </c>
      <c r="AF17" s="0" t="n">
        <v>0</v>
      </c>
      <c r="AG17" s="0" t="n">
        <v>0</v>
      </c>
      <c r="AH17" s="0" t="n">
        <v>143</v>
      </c>
      <c r="AI17" s="0" t="n">
        <v>0</v>
      </c>
      <c r="AJ17" s="0" t="n">
        <v>0</v>
      </c>
      <c r="AK17" s="0" t="n">
        <v>91</v>
      </c>
      <c r="AL17" s="0" t="n">
        <v>0</v>
      </c>
      <c r="AM17" s="0" t="n">
        <v>45721</v>
      </c>
      <c r="AN17" s="0" t="n">
        <v>65</v>
      </c>
      <c r="AO17" s="0" t="n">
        <v>312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234</v>
      </c>
      <c r="AU17" s="0" t="n">
        <f aca="false">SUM(B17:AT17)</f>
        <v>664443</v>
      </c>
      <c r="AW17" s="0" t="n">
        <f aca="false">A17</f>
        <v>22</v>
      </c>
      <c r="AX17" s="0" t="str">
        <f aca="false">VLOOKUP(AW17,'Babblefish-APUMA'!$K$1:$L$59,2)</f>
        <v>San Mateo County </v>
      </c>
      <c r="AY17" s="0" t="n">
        <f aca="false">SUM(C17:AT17)-MAX(C17:AT17)</f>
        <v>147472</v>
      </c>
      <c r="AZ17" s="0" t="n">
        <f aca="false">MAX(C17:AT17)</f>
        <v>203580</v>
      </c>
      <c r="BA17" s="0" t="n">
        <f aca="false">SUM(C17:AT17)</f>
        <v>351052</v>
      </c>
      <c r="BB17" s="0" t="n">
        <f aca="false">AU17</f>
        <v>664443</v>
      </c>
      <c r="BC17" s="2" t="n">
        <f aca="false">AY17/BA17</f>
        <v>0.420085913198045</v>
      </c>
      <c r="BE17" s="0" t="n">
        <v>203580</v>
      </c>
      <c r="BF17" s="0" t="n">
        <v>111423</v>
      </c>
      <c r="BG17" s="0" t="n">
        <v>315003</v>
      </c>
      <c r="BH17" s="2" t="n">
        <v>0.353720440757707</v>
      </c>
      <c r="BI17" s="2"/>
      <c r="BJ17" s="28" t="n">
        <f aca="false">-0.0364+0.00000000386*BB17+0.844*BH17</f>
        <v>0.264704801979505</v>
      </c>
      <c r="BK17" s="2"/>
      <c r="BL17" s="1" t="n">
        <f aca="false">BJ17*BB17</f>
        <v>175881.252741668</v>
      </c>
      <c r="BM17" s="1"/>
      <c r="BN17" s="0" t="n">
        <v>0</v>
      </c>
      <c r="BO17" s="28" t="n">
        <f aca="false">-0.03444+0.00000000383*$BB17+0.299*0+0.84588*$BH17+89876.77*(BN17)</f>
        <v>0.267309863118129</v>
      </c>
      <c r="BP17" s="0" t="n">
        <v>0.000133215931692541</v>
      </c>
      <c r="BQ17" s="28" t="n">
        <f aca="false">MIN(MAX(0,-0.03444+0.00000000383*$BB17+0.299*0+0.84588*$BH17+89876.77*(BP17)),1)</f>
        <v>1</v>
      </c>
      <c r="BR17" s="0" t="n">
        <v>0.00194920599329327</v>
      </c>
      <c r="BS17" s="28" t="n">
        <f aca="false">MIN(MAX(0,-0.03444+0.00000000383*$BB17+0.299*0+0.84588*$BH17+89876.77*(BR17)),1)</f>
        <v>1</v>
      </c>
      <c r="BT17" s="0" t="n">
        <v>0.0299042930530973</v>
      </c>
      <c r="BU17" s="28" t="n">
        <f aca="false">MIN(MAX(0,-0.03444+0.00000000383*$BB17+0.299*0+0.84588*$BH17+89876.77*(BT17)),1)</f>
        <v>1</v>
      </c>
      <c r="BV17" s="0" t="n">
        <v>0.0310278844235707</v>
      </c>
      <c r="BW17" s="28" t="n">
        <f aca="false">MIN(MAX(0,-0.03444+0.00000000383*$BB17+0.299*0+0.84588*$BH17+89876.77*(BV17)),1)</f>
        <v>1</v>
      </c>
    </row>
    <row r="18" customFormat="false" ht="12.75" hidden="false" customHeight="false" outlineLevel="0" collapsed="false">
      <c r="A18" s="0" t="n">
        <v>26</v>
      </c>
      <c r="B18" s="0" t="n">
        <v>95186</v>
      </c>
      <c r="C18" s="0" t="n">
        <v>0</v>
      </c>
      <c r="D18" s="0" t="n">
        <v>0</v>
      </c>
      <c r="E18" s="0" t="n">
        <v>26</v>
      </c>
      <c r="F18" s="0" t="n">
        <v>0</v>
      </c>
      <c r="G18" s="0" t="n">
        <v>208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169</v>
      </c>
      <c r="N18" s="0" t="n">
        <v>208</v>
      </c>
      <c r="O18" s="0" t="n">
        <v>0</v>
      </c>
      <c r="P18" s="0" t="n">
        <v>0</v>
      </c>
      <c r="Q18" s="0" t="n">
        <v>299</v>
      </c>
      <c r="R18" s="0" t="n">
        <v>49543</v>
      </c>
      <c r="S18" s="0" t="n">
        <v>520</v>
      </c>
      <c r="T18" s="0" t="n">
        <v>130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481</v>
      </c>
      <c r="AB18" s="0" t="n">
        <v>247</v>
      </c>
      <c r="AC18" s="0" t="n">
        <v>26</v>
      </c>
      <c r="AD18" s="0" t="n">
        <v>0</v>
      </c>
      <c r="AE18" s="0" t="n">
        <v>429</v>
      </c>
      <c r="AF18" s="0" t="n">
        <v>52</v>
      </c>
      <c r="AG18" s="0" t="n">
        <v>0</v>
      </c>
      <c r="AH18" s="0" t="n">
        <v>65</v>
      </c>
      <c r="AI18" s="0" t="n">
        <v>1274</v>
      </c>
      <c r="AJ18" s="0" t="n">
        <v>0</v>
      </c>
      <c r="AK18" s="0" t="n">
        <v>0</v>
      </c>
      <c r="AL18" s="0" t="n">
        <v>2990</v>
      </c>
      <c r="AM18" s="0" t="n">
        <v>559</v>
      </c>
      <c r="AN18" s="0" t="n">
        <v>65</v>
      </c>
      <c r="AO18" s="0" t="n">
        <v>299</v>
      </c>
      <c r="AP18" s="0" t="n">
        <v>1768</v>
      </c>
      <c r="AQ18" s="0" t="n">
        <v>0</v>
      </c>
      <c r="AR18" s="0" t="n">
        <v>0</v>
      </c>
      <c r="AS18" s="0" t="n">
        <v>0</v>
      </c>
      <c r="AT18" s="0" t="n">
        <v>0</v>
      </c>
      <c r="AU18" s="0" t="n">
        <f aca="false">SUM(B18:AT18)</f>
        <v>154544</v>
      </c>
      <c r="AW18" s="0" t="n">
        <f aca="false">A18</f>
        <v>26</v>
      </c>
      <c r="AX18" s="0" t="str">
        <f aca="false">VLOOKUP(AW18,'Babblefish-APUMA'!$K$1:$L$59,2)</f>
        <v>Tuolumne County</v>
      </c>
      <c r="AY18" s="0" t="n">
        <f aca="false">SUM(C18:AT18)-MAX(C18:AT18)</f>
        <v>9815</v>
      </c>
      <c r="AZ18" s="0" t="n">
        <f aca="false">MAX(C18:AT18)</f>
        <v>49543</v>
      </c>
      <c r="BA18" s="0" t="n">
        <f aca="false">SUM(C18:AT18)</f>
        <v>59358</v>
      </c>
      <c r="BB18" s="0" t="n">
        <f aca="false">AU18</f>
        <v>154544</v>
      </c>
      <c r="BC18" s="2" t="n">
        <f aca="false">AY18/BA18</f>
        <v>0.165352606219886</v>
      </c>
      <c r="BE18" s="0" t="n">
        <v>49543</v>
      </c>
      <c r="BF18" s="0" t="n">
        <v>4524</v>
      </c>
      <c r="BG18" s="0" t="n">
        <v>54067</v>
      </c>
      <c r="BH18" s="2" t="n">
        <v>0.0836739600865593</v>
      </c>
      <c r="BI18" s="2"/>
      <c r="BJ18" s="28" t="n">
        <f aca="false">-0.0364+0.00000000386*BB18+0.844*BH18</f>
        <v>0.034817362153056</v>
      </c>
      <c r="BK18" s="2"/>
      <c r="BL18" s="1" t="n">
        <f aca="false">BJ18*BB18</f>
        <v>5380.81441658189</v>
      </c>
      <c r="BM18" s="1"/>
      <c r="BN18" s="0" t="n">
        <v>0</v>
      </c>
      <c r="BO18" s="28" t="n">
        <f aca="false">-0.03444+0.00000000383*$BB18+0.299*0+0.84588*$BH18+89876.77*(BN18)</f>
        <v>0.0369300328780188</v>
      </c>
      <c r="BP18" s="0" t="n">
        <v>1.68478143242413E-007</v>
      </c>
      <c r="BQ18" s="28" t="n">
        <f aca="false">MIN(MAX(0,-0.03444+0.00000000383*$BB18+0.299*0+0.84588*$BH18+89876.77*(BP18)),1)</f>
        <v>0.0520723042082442</v>
      </c>
      <c r="BR18" s="0" t="n">
        <v>6.50361719199184E-006</v>
      </c>
      <c r="BS18" s="28" t="n">
        <f aca="false">MIN(MAX(0,-0.03444+0.00000000383*$BB18+0.299*0+0.84588*$BH18+89876.77*(BR18)),1)</f>
        <v>0.621454139410716</v>
      </c>
      <c r="BT18" s="0" t="n">
        <v>0.000437707152492376</v>
      </c>
      <c r="BU18" s="28" t="n">
        <f aca="false">MIN(MAX(0,-0.03444+0.00000000383*$BB18+0.299*0+0.84588*$BH18+89876.77*(BT18)),1)</f>
        <v>1</v>
      </c>
      <c r="BV18" s="0" t="n">
        <v>0.000747556768304588</v>
      </c>
      <c r="BW18" s="28" t="n">
        <f aca="false">MIN(MAX(0,-0.03444+0.00000000383*$BB18+0.299*0+0.84588*$BH18+89876.77*(BV18)),1)</f>
        <v>1</v>
      </c>
    </row>
    <row r="19" customFormat="false" ht="12.75" hidden="false" customHeight="false" outlineLevel="0" collapsed="false">
      <c r="A19" s="0" t="n">
        <v>27</v>
      </c>
      <c r="B19" s="0" t="n">
        <v>78299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143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429</v>
      </c>
      <c r="S19" s="0" t="n">
        <v>34346</v>
      </c>
      <c r="T19" s="0" t="n">
        <v>1105</v>
      </c>
      <c r="U19" s="0" t="n">
        <v>156</v>
      </c>
      <c r="V19" s="0" t="n">
        <v>78</v>
      </c>
      <c r="W19" s="0" t="n">
        <v>130</v>
      </c>
      <c r="X19" s="0" t="n">
        <v>351</v>
      </c>
      <c r="Y19" s="0" t="n">
        <v>13</v>
      </c>
      <c r="Z19" s="0" t="n">
        <v>0</v>
      </c>
      <c r="AA19" s="0" t="n">
        <v>91</v>
      </c>
      <c r="AB19" s="0" t="n">
        <v>91</v>
      </c>
      <c r="AC19" s="0" t="n">
        <v>7631</v>
      </c>
      <c r="AD19" s="0" t="n">
        <v>143</v>
      </c>
      <c r="AE19" s="0" t="n">
        <v>91</v>
      </c>
      <c r="AF19" s="0" t="n">
        <v>1326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91</v>
      </c>
      <c r="AM19" s="0" t="n">
        <v>4108</v>
      </c>
      <c r="AN19" s="0" t="n">
        <v>91</v>
      </c>
      <c r="AO19" s="0" t="n">
        <v>0</v>
      </c>
      <c r="AP19" s="0" t="n">
        <v>260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f aca="false">SUM(B19:AT19)</f>
        <v>128973</v>
      </c>
      <c r="AW19" s="0" t="n">
        <f aca="false">A19</f>
        <v>27</v>
      </c>
      <c r="AX19" s="0" t="str">
        <f aca="false">VLOOKUP(AW19,'Babblefish-APUMA'!$K$1:$L$59,2)</f>
        <v>San Benito County</v>
      </c>
      <c r="AY19" s="0" t="n">
        <f aca="false">SUM(C19:AT19)-MAX(C19:AT19)</f>
        <v>16328</v>
      </c>
      <c r="AZ19" s="0" t="n">
        <f aca="false">MAX(C19:AT19)</f>
        <v>34346</v>
      </c>
      <c r="BA19" s="0" t="n">
        <f aca="false">SUM(C19:AT19)</f>
        <v>50674</v>
      </c>
      <c r="BB19" s="0" t="n">
        <f aca="false">AU19</f>
        <v>128973</v>
      </c>
      <c r="BC19" s="2" t="n">
        <f aca="false">AY19/BA19</f>
        <v>0.322216521292971</v>
      </c>
      <c r="BE19" s="0" t="n">
        <v>34346</v>
      </c>
      <c r="BF19" s="0" t="n">
        <v>8645</v>
      </c>
      <c r="BG19" s="0" t="n">
        <v>42991</v>
      </c>
      <c r="BH19" s="2" t="n">
        <v>0.201088599939522</v>
      </c>
      <c r="BI19" s="2"/>
      <c r="BJ19" s="28" t="n">
        <f aca="false">-0.0364+0.00000000386*BB19+0.844*BH19</f>
        <v>0.133816614128957</v>
      </c>
      <c r="BK19" s="2"/>
      <c r="BL19" s="1" t="n">
        <f aca="false">BJ19*BB19</f>
        <v>17258.7301740539</v>
      </c>
      <c r="BM19" s="1"/>
      <c r="BN19" s="0" t="n">
        <v>0</v>
      </c>
      <c r="BO19" s="28" t="n">
        <f aca="false">-0.03444+0.00000000383*$BB19+0.299*0+0.84588*$BH19+89876.77*(BN19)</f>
        <v>0.136150791506843</v>
      </c>
      <c r="BP19" s="0" t="n">
        <v>1.23528400138277E-007</v>
      </c>
      <c r="BQ19" s="28" t="n">
        <f aca="false">MIN(MAX(0,-0.03444+0.00000000383*$BB19+0.299*0+0.84588*$BH19+89876.77*(BP19)),1)</f>
        <v>0.147253125114539</v>
      </c>
      <c r="BR19" s="0" t="n">
        <v>5.90264534430496E-007</v>
      </c>
      <c r="BS19" s="28" t="n">
        <f aca="false">MIN(MAX(0,-0.03444+0.00000000383*$BB19+0.299*0+0.84588*$BH19+89876.77*(BR19)),1)</f>
        <v>0.18920186130701</v>
      </c>
      <c r="BT19" s="0" t="n">
        <v>0.000158341932563232</v>
      </c>
      <c r="BU19" s="28" t="n">
        <f aca="false">MIN(MAX(0,-0.03444+0.00000000383*$BB19+0.299*0+0.84588*$BH19+89876.77*(BT19)),1)</f>
        <v>1</v>
      </c>
      <c r="BV19" s="0" t="n">
        <v>0.0107793163685643</v>
      </c>
      <c r="BW19" s="28" t="n">
        <f aca="false">MIN(MAX(0,-0.03444+0.00000000383*$BB19+0.299*0+0.84588*$BH19+89876.77*(BV19)),1)</f>
        <v>1</v>
      </c>
    </row>
    <row r="20" customFormat="false" ht="12.75" hidden="false" customHeight="false" outlineLevel="0" collapsed="false">
      <c r="A20" s="0" t="n">
        <v>30</v>
      </c>
      <c r="B20" s="0" t="n">
        <v>108225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182</v>
      </c>
      <c r="Q20" s="0" t="n">
        <v>0</v>
      </c>
      <c r="R20" s="0" t="n">
        <v>0</v>
      </c>
      <c r="S20" s="0" t="n">
        <v>1261</v>
      </c>
      <c r="T20" s="0" t="n">
        <v>59956</v>
      </c>
      <c r="U20" s="0" t="n">
        <v>195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52</v>
      </c>
      <c r="AB20" s="0" t="n">
        <v>0</v>
      </c>
      <c r="AC20" s="0" t="n">
        <v>572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117</v>
      </c>
      <c r="AM20" s="0" t="n">
        <v>949</v>
      </c>
      <c r="AN20" s="0" t="n">
        <v>0</v>
      </c>
      <c r="AO20" s="0" t="n">
        <v>0</v>
      </c>
      <c r="AP20" s="0" t="n">
        <v>5148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f aca="false">SUM(B20:AT20)</f>
        <v>176657</v>
      </c>
      <c r="AW20" s="0" t="n">
        <f aca="false">A20</f>
        <v>30</v>
      </c>
      <c r="AX20" s="0" t="str">
        <f aca="false">VLOOKUP(AW20,'Babblefish-APUMA'!$K$1:$L$59,2)</f>
        <v>Merced County</v>
      </c>
      <c r="AY20" s="0" t="n">
        <f aca="false">SUM(C20:AT20)-MAX(C20:AT20)</f>
        <v>8476</v>
      </c>
      <c r="AZ20" s="0" t="n">
        <f aca="false">MAX(C20:AT20)</f>
        <v>59956</v>
      </c>
      <c r="BA20" s="0" t="n">
        <f aca="false">SUM(C20:AT20)</f>
        <v>68432</v>
      </c>
      <c r="BB20" s="0" t="n">
        <f aca="false">AU20</f>
        <v>176657</v>
      </c>
      <c r="BC20" s="2" t="n">
        <f aca="false">AY20/BA20</f>
        <v>0.123860182370821</v>
      </c>
      <c r="BE20" s="0" t="n">
        <v>59956</v>
      </c>
      <c r="BF20" s="0" t="n">
        <v>6682</v>
      </c>
      <c r="BG20" s="0" t="n">
        <v>66638</v>
      </c>
      <c r="BH20" s="2" t="n">
        <v>0.100273117440499</v>
      </c>
      <c r="BI20" s="2"/>
      <c r="BJ20" s="28" t="n">
        <f aca="false">-0.0364+0.00000000386*BB20+0.844*BH20</f>
        <v>0.0489124071397815</v>
      </c>
      <c r="BK20" s="2"/>
      <c r="BL20" s="1" t="n">
        <f aca="false">BJ20*BB20</f>
        <v>8640.71910809238</v>
      </c>
      <c r="BM20" s="1"/>
      <c r="BN20" s="0" t="n">
        <v>0</v>
      </c>
      <c r="BO20" s="28" t="n">
        <f aca="false">-0.03444+0.00000000383*$BB20+0.299*0+0.84588*$BH20+89876.77*(BN20)</f>
        <v>0.0510556208905696</v>
      </c>
      <c r="BP20" s="0" t="n">
        <v>1.21588145538841E-008</v>
      </c>
      <c r="BQ20" s="28" t="n">
        <f aca="false">MIN(MAX(0,-0.03444+0.00000000383*$BB20+0.299*0+0.84588*$BH20+89876.77*(BP20)),1)</f>
        <v>0.0521484158697017</v>
      </c>
      <c r="BR20" s="0" t="n">
        <v>4.92843152927129E-008</v>
      </c>
      <c r="BS20" s="28" t="n">
        <f aca="false">MIN(MAX(0,-0.03444+0.00000000383*$BB20+0.299*0+0.84588*$BH20+89876.77*(BR20)),1)</f>
        <v>0.0554851359607403</v>
      </c>
      <c r="BT20" s="0" t="n">
        <v>9.34391969189893E-005</v>
      </c>
      <c r="BU20" s="28" t="n">
        <f aca="false">MIN(MAX(0,-0.03444+0.00000000383*$BB20+0.299*0+0.84588*$BH20+89876.77*(BT20)),1)</f>
        <v>1</v>
      </c>
      <c r="BV20" s="0" t="n">
        <v>0.000235356859564728</v>
      </c>
      <c r="BW20" s="28" t="n">
        <f aca="false">MIN(MAX(0,-0.03444+0.00000000383*$BB20+0.299*0+0.84588*$BH20+89876.77*(BV20)),1)</f>
        <v>1</v>
      </c>
    </row>
    <row r="21" customFormat="false" ht="12.75" hidden="false" customHeight="false" outlineLevel="0" collapsed="false">
      <c r="A21" s="0" t="n">
        <v>31</v>
      </c>
      <c r="B21" s="0" t="n">
        <v>63609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30563</v>
      </c>
      <c r="V21" s="0" t="n">
        <v>117</v>
      </c>
      <c r="W21" s="0" t="n">
        <v>1417</v>
      </c>
      <c r="X21" s="0" t="n">
        <v>0</v>
      </c>
      <c r="Y21" s="0" t="n">
        <v>0</v>
      </c>
      <c r="Z21" s="0" t="n">
        <v>507</v>
      </c>
      <c r="AA21" s="0" t="n">
        <v>169</v>
      </c>
      <c r="AB21" s="0" t="n">
        <v>0</v>
      </c>
      <c r="AC21" s="0" t="n">
        <v>2483</v>
      </c>
      <c r="AD21" s="0" t="n">
        <v>247</v>
      </c>
      <c r="AE21" s="0" t="n">
        <v>91</v>
      </c>
      <c r="AF21" s="0" t="n">
        <v>0</v>
      </c>
      <c r="AG21" s="0" t="n">
        <v>0</v>
      </c>
      <c r="AH21" s="0" t="n">
        <v>0</v>
      </c>
      <c r="AI21" s="0" t="n">
        <v>0</v>
      </c>
      <c r="AJ21" s="0" t="n">
        <v>0</v>
      </c>
      <c r="AK21" s="0" t="n">
        <v>0</v>
      </c>
      <c r="AL21" s="0" t="n">
        <v>0</v>
      </c>
      <c r="AM21" s="0" t="n">
        <v>104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f aca="false">SUM(B21:AT21)</f>
        <v>99307</v>
      </c>
      <c r="AW21" s="0" t="n">
        <f aca="false">A21</f>
        <v>31</v>
      </c>
      <c r="AX21" s="0" t="str">
        <f aca="false">VLOOKUP(AW21,'Babblefish-APUMA'!$K$1:$L$59,2)</f>
        <v>Kings County</v>
      </c>
      <c r="AY21" s="0" t="n">
        <f aca="false">SUM(C21:AT21)-MAX(C21:AT21)</f>
        <v>5135</v>
      </c>
      <c r="AZ21" s="0" t="n">
        <f aca="false">MAX(C21:AT21)</f>
        <v>30563</v>
      </c>
      <c r="BA21" s="0" t="n">
        <f aca="false">SUM(C21:AT21)</f>
        <v>35698</v>
      </c>
      <c r="BB21" s="0" t="n">
        <f aca="false">AU21</f>
        <v>99307</v>
      </c>
      <c r="BC21" s="2" t="n">
        <f aca="false">AY21/BA21</f>
        <v>0.143845593590677</v>
      </c>
      <c r="BE21" s="0" t="n">
        <v>30563</v>
      </c>
      <c r="BF21" s="0" t="n">
        <v>7306</v>
      </c>
      <c r="BG21" s="0" t="n">
        <v>37869</v>
      </c>
      <c r="BH21" s="2" t="n">
        <v>0.192928252660487</v>
      </c>
      <c r="BI21" s="2"/>
      <c r="BJ21" s="28" t="n">
        <f aca="false">-0.0364+0.00000000386*BB21+0.844*BH21</f>
        <v>0.126814770265451</v>
      </c>
      <c r="BK21" s="2"/>
      <c r="BL21" s="1" t="n">
        <f aca="false">BJ21*BB21</f>
        <v>12593.5943907512</v>
      </c>
      <c r="BM21" s="1"/>
      <c r="BN21" s="0" t="n">
        <v>0</v>
      </c>
      <c r="BO21" s="28" t="n">
        <f aca="false">-0.03444+0.00000000383*$BB21+0.299*0+0.84588*$BH21+89876.77*(BN21)</f>
        <v>0.129134496170453</v>
      </c>
      <c r="BP21" s="0" t="n">
        <v>6.23869140612278E-010</v>
      </c>
      <c r="BQ21" s="28" t="n">
        <f aca="false">MIN(MAX(0,-0.03444+0.00000000383*$BB21+0.299*0+0.84588*$BH21+89876.77*(BP21)),1)</f>
        <v>0.129190567513714</v>
      </c>
      <c r="BR21" s="0" t="n">
        <v>6.10459127704425E-009</v>
      </c>
      <c r="BS21" s="28" t="n">
        <f aca="false">MIN(MAX(0,-0.03444+0.00000000383*$BB21+0.299*0+0.84588*$BH21+89876.77*(BR21)),1)</f>
        <v>0.129683157116604</v>
      </c>
      <c r="BT21" s="0" t="n">
        <v>1.663057332053E-008</v>
      </c>
      <c r="BU21" s="28" t="n">
        <f aca="false">MIN(MAX(0,-0.03444+0.00000000383*$BB21+0.299*0+0.84588*$BH21+89876.77*(BT21)),1)</f>
        <v>0.130629198383751</v>
      </c>
      <c r="BV21" s="0" t="n">
        <v>0.000428140439853289</v>
      </c>
      <c r="BW21" s="28" t="n">
        <f aca="false">MIN(MAX(0,-0.03444+0.00000000383*$BB21+0.299*0+0.84588*$BH21+89876.77*(BV21)),1)</f>
        <v>1</v>
      </c>
    </row>
    <row r="22" customFormat="false" ht="12.75" hidden="false" customHeight="false" outlineLevel="0" collapsed="false">
      <c r="A22" s="0" t="n">
        <v>32</v>
      </c>
      <c r="B22" s="0" t="n">
        <v>187317</v>
      </c>
      <c r="C22" s="0" t="n">
        <v>0</v>
      </c>
      <c r="D22" s="0" t="n">
        <v>0</v>
      </c>
      <c r="E22" s="0" t="n">
        <v>65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377</v>
      </c>
      <c r="R22" s="0" t="n">
        <v>0</v>
      </c>
      <c r="S22" s="0" t="n">
        <v>0</v>
      </c>
      <c r="T22" s="0" t="n">
        <v>13</v>
      </c>
      <c r="U22" s="0" t="n">
        <v>0</v>
      </c>
      <c r="V22" s="0" t="n">
        <v>169559</v>
      </c>
      <c r="W22" s="0" t="n">
        <v>0</v>
      </c>
      <c r="X22" s="0" t="n">
        <v>0</v>
      </c>
      <c r="Y22" s="0" t="n">
        <v>0</v>
      </c>
      <c r="Z22" s="0" t="n">
        <v>5109</v>
      </c>
      <c r="AA22" s="0" t="n">
        <v>156</v>
      </c>
      <c r="AB22" s="0" t="n">
        <v>0</v>
      </c>
      <c r="AC22" s="0" t="n">
        <v>143</v>
      </c>
      <c r="AD22" s="0" t="n">
        <v>0</v>
      </c>
      <c r="AE22" s="0" t="n">
        <v>1599</v>
      </c>
      <c r="AF22" s="0" t="n">
        <v>208</v>
      </c>
      <c r="AG22" s="0" t="n">
        <v>91</v>
      </c>
      <c r="AH22" s="0" t="n">
        <v>156</v>
      </c>
      <c r="AI22" s="0" t="n">
        <v>0</v>
      </c>
      <c r="AJ22" s="0" t="n">
        <v>481</v>
      </c>
      <c r="AK22" s="0" t="n">
        <v>65</v>
      </c>
      <c r="AL22" s="0" t="n">
        <v>0</v>
      </c>
      <c r="AM22" s="0" t="n">
        <v>104</v>
      </c>
      <c r="AN22" s="0" t="n">
        <v>0</v>
      </c>
      <c r="AO22" s="0" t="n">
        <v>0</v>
      </c>
      <c r="AP22" s="0" t="n">
        <v>0</v>
      </c>
      <c r="AQ22" s="0" t="n">
        <v>2015</v>
      </c>
      <c r="AR22" s="0" t="n">
        <v>0</v>
      </c>
      <c r="AS22" s="0" t="n">
        <v>0</v>
      </c>
      <c r="AT22" s="0" t="n">
        <v>0</v>
      </c>
      <c r="AU22" s="0" t="n">
        <f aca="false">SUM(B22:AT22)</f>
        <v>367458</v>
      </c>
      <c r="AW22" s="0" t="n">
        <f aca="false">A22</f>
        <v>32</v>
      </c>
      <c r="AX22" s="0" t="str">
        <f aca="false">VLOOKUP(AW22,'Babblefish-APUMA'!$K$1:$L$59,2)</f>
        <v>Santa Barbara County </v>
      </c>
      <c r="AY22" s="0" t="n">
        <f aca="false">SUM(C22:AT22)-MAX(C22:AT22)</f>
        <v>10582</v>
      </c>
      <c r="AZ22" s="0" t="n">
        <f aca="false">MAX(C22:AT22)</f>
        <v>169559</v>
      </c>
      <c r="BA22" s="0" t="n">
        <f aca="false">SUM(C22:AT22)</f>
        <v>180141</v>
      </c>
      <c r="BB22" s="0" t="n">
        <f aca="false">AU22</f>
        <v>367458</v>
      </c>
      <c r="BC22" s="2" t="n">
        <f aca="false">AY22/BA22</f>
        <v>0.0587428736378726</v>
      </c>
      <c r="BE22" s="0" t="n">
        <v>169559</v>
      </c>
      <c r="BF22" s="0" t="n">
        <v>13559</v>
      </c>
      <c r="BG22" s="0" t="n">
        <v>183118</v>
      </c>
      <c r="BH22" s="2" t="n">
        <v>0.0740451512139713</v>
      </c>
      <c r="BI22" s="2"/>
      <c r="BJ22" s="28" t="n">
        <f aca="false">-0.0364+0.00000000386*BB22+0.844*BH22</f>
        <v>0.0275124955045918</v>
      </c>
      <c r="BK22" s="2"/>
      <c r="BL22" s="1" t="n">
        <f aca="false">BJ22*BB22</f>
        <v>10109.6865731263</v>
      </c>
      <c r="BM22" s="1"/>
      <c r="BN22" s="0" t="n">
        <v>0</v>
      </c>
      <c r="BO22" s="28" t="n">
        <f aca="false">-0.03444+0.00000000383*$BB22+0.299*0+0.84588*$BH22+89876.77*(BN22)</f>
        <v>0.0296006766488741</v>
      </c>
      <c r="BP22" s="0" t="n">
        <v>2.46127338191252E-010</v>
      </c>
      <c r="BQ22" s="28" t="n">
        <f aca="false">MIN(MAX(0,-0.03444+0.00000000383*$BB22+0.299*0+0.84588*$BH22+89876.77*(BP22)),1)</f>
        <v>0.0296227977790394</v>
      </c>
      <c r="BR22" s="0" t="n">
        <v>2.09257625920017E-009</v>
      </c>
      <c r="BS22" s="28" t="n">
        <f aca="false">MIN(MAX(0,-0.03444+0.00000000383*$BB22+0.299*0+0.84588*$BH22+89876.77*(BR22)),1)</f>
        <v>0.0297887506440296</v>
      </c>
      <c r="BT22" s="0" t="n">
        <v>4.02134599339306E-009</v>
      </c>
      <c r="BU22" s="28" t="n">
        <f aca="false">MIN(MAX(0,-0.03444+0.00000000383*$BB22+0.299*0+0.84588*$BH22+89876.77*(BT22)),1)</f>
        <v>0.0299621022378127</v>
      </c>
      <c r="BV22" s="0" t="n">
        <v>20137.0448470233</v>
      </c>
      <c r="BW22" s="28" t="n">
        <f aca="false">MIN(MAX(0,-0.03444+0.00000000383*$BB22+0.299*0+0.84588*$BH22+89876.77*(BV22)),1)</f>
        <v>1</v>
      </c>
    </row>
    <row r="23" customFormat="false" ht="12.75" hidden="false" customHeight="false" outlineLevel="0" collapsed="false">
      <c r="A23" s="0" t="n">
        <v>75</v>
      </c>
      <c r="B23" s="0" t="n">
        <v>192426</v>
      </c>
      <c r="C23" s="0" t="n">
        <v>0</v>
      </c>
      <c r="D23" s="0" t="n">
        <v>104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91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2210</v>
      </c>
      <c r="V23" s="0" t="n">
        <v>0</v>
      </c>
      <c r="W23" s="0" t="n">
        <v>106184</v>
      </c>
      <c r="X23" s="0" t="n">
        <v>0</v>
      </c>
      <c r="Y23" s="0" t="n">
        <v>0</v>
      </c>
      <c r="Z23" s="0" t="n">
        <v>65</v>
      </c>
      <c r="AA23" s="0" t="n">
        <v>0</v>
      </c>
      <c r="AB23" s="0" t="n">
        <v>91</v>
      </c>
      <c r="AC23" s="0" t="n">
        <v>5629</v>
      </c>
      <c r="AD23" s="0" t="n">
        <v>2626</v>
      </c>
      <c r="AE23" s="0" t="n">
        <v>494</v>
      </c>
      <c r="AF23" s="0" t="n">
        <v>65</v>
      </c>
      <c r="AG23" s="0" t="n">
        <v>273</v>
      </c>
      <c r="AH23" s="0" t="n">
        <v>130</v>
      </c>
      <c r="AI23" s="0" t="n">
        <v>0</v>
      </c>
      <c r="AJ23" s="0" t="n">
        <v>0</v>
      </c>
      <c r="AK23" s="0" t="n">
        <v>0</v>
      </c>
      <c r="AL23" s="0" t="n">
        <v>117</v>
      </c>
      <c r="AM23" s="0" t="n">
        <v>91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91</v>
      </c>
      <c r="AU23" s="0" t="n">
        <f aca="false">SUM(B23:AT23)</f>
        <v>310687</v>
      </c>
      <c r="AW23" s="0" t="n">
        <f aca="false">A23</f>
        <v>75</v>
      </c>
      <c r="AX23" s="0" t="str">
        <f aca="false">VLOOKUP(AW23,'Babblefish-APUMA'!$K$1:$L$59,2)</f>
        <v>Tulare County</v>
      </c>
      <c r="AY23" s="0" t="n">
        <f aca="false">SUM(C23:AT23)-MAX(C23:AT23)</f>
        <v>12077</v>
      </c>
      <c r="AZ23" s="0" t="n">
        <f aca="false">MAX(C23:AT23)</f>
        <v>106184</v>
      </c>
      <c r="BA23" s="0" t="n">
        <f aca="false">SUM(C23:AT23)</f>
        <v>118261</v>
      </c>
      <c r="BB23" s="0" t="n">
        <f aca="false">AU23</f>
        <v>310687</v>
      </c>
      <c r="BC23" s="2" t="n">
        <f aca="false">AY23/BA23</f>
        <v>0.102121578542377</v>
      </c>
      <c r="BE23" s="0" t="n">
        <v>106184</v>
      </c>
      <c r="BF23" s="0" t="n">
        <v>6331</v>
      </c>
      <c r="BG23" s="0" t="n">
        <v>112515</v>
      </c>
      <c r="BH23" s="2" t="n">
        <v>0.0562680531484691</v>
      </c>
      <c r="BI23" s="2"/>
      <c r="BJ23" s="28" t="n">
        <f aca="false">-0.0364+0.00000000386*BB23+0.844*BH23</f>
        <v>0.0122894886773079</v>
      </c>
      <c r="BK23" s="2"/>
      <c r="BL23" s="1" t="n">
        <f aca="false">BJ23*BB23</f>
        <v>3818.18436868676</v>
      </c>
      <c r="BM23" s="1"/>
      <c r="BN23" s="0" t="n">
        <v>0</v>
      </c>
      <c r="BO23" s="28" t="n">
        <f aca="false">-0.03444+0.00000000383*$BB23+0.299*0+0.84588*$BH23+89876.77*(BN23)</f>
        <v>0.014345952007227</v>
      </c>
      <c r="BP23" s="0" t="n">
        <v>1.20468759520345E-009</v>
      </c>
      <c r="BQ23" s="28" t="n">
        <f aca="false">MIN(MAX(0,-0.03444+0.00000000383*$BB23+0.299*0+0.84588*$BH23+89876.77*(BP23)),1)</f>
        <v>0.014454225437143</v>
      </c>
      <c r="BR23" s="0" t="n">
        <v>2.35532127433761E-009</v>
      </c>
      <c r="BS23" s="28" t="n">
        <f aca="false">MIN(MAX(0,-0.03444+0.00000000383*$BB23+0.299*0+0.84588*$BH23+89876.77*(BR23)),1)</f>
        <v>0.0145576406756768</v>
      </c>
      <c r="BT23" s="0" t="n">
        <v>6.07327502382133E-009</v>
      </c>
      <c r="BU23" s="28" t="n">
        <f aca="false">MIN(MAX(0,-0.03444+0.00000000383*$BB23+0.299*0+0.84588*$BH23+89876.77*(BT23)),1)</f>
        <v>0.0148917983496898</v>
      </c>
      <c r="BV23" s="0" t="n">
        <v>0.000105844464816751</v>
      </c>
      <c r="BW23" s="28" t="n">
        <f aca="false">MIN(MAX(0,-0.03444+0.00000000383*$BB23+0.299*0+0.84588*$BH23+89876.77*(BV23)),1)</f>
        <v>1</v>
      </c>
    </row>
    <row r="24" customFormat="false" ht="12.75" hidden="false" customHeight="false" outlineLevel="0" collapsed="false">
      <c r="A24" s="0" t="n">
        <v>76</v>
      </c>
      <c r="B24" s="0" t="n">
        <v>116324</v>
      </c>
      <c r="C24" s="0" t="n">
        <v>0</v>
      </c>
      <c r="D24" s="0" t="n">
        <v>0</v>
      </c>
      <c r="E24" s="0" t="n">
        <v>0</v>
      </c>
      <c r="F24" s="0" t="n">
        <v>143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572</v>
      </c>
      <c r="Q24" s="0" t="n">
        <v>1534</v>
      </c>
      <c r="R24" s="0" t="n">
        <v>0</v>
      </c>
      <c r="S24" s="0" t="n">
        <v>104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88868</v>
      </c>
      <c r="Y24" s="0" t="n">
        <v>0</v>
      </c>
      <c r="Z24" s="0" t="n">
        <v>0</v>
      </c>
      <c r="AA24" s="0" t="n">
        <v>871</v>
      </c>
      <c r="AB24" s="0" t="n">
        <v>182</v>
      </c>
      <c r="AC24" s="0" t="n">
        <v>52</v>
      </c>
      <c r="AD24" s="0" t="n">
        <v>273</v>
      </c>
      <c r="AE24" s="0" t="n">
        <v>247</v>
      </c>
      <c r="AF24" s="0" t="n">
        <v>4420</v>
      </c>
      <c r="AG24" s="0" t="n">
        <v>0</v>
      </c>
      <c r="AH24" s="0" t="n">
        <v>0</v>
      </c>
      <c r="AI24" s="0" t="n">
        <v>0</v>
      </c>
      <c r="AJ24" s="0" t="n">
        <v>0</v>
      </c>
      <c r="AK24" s="0" t="n">
        <v>91</v>
      </c>
      <c r="AL24" s="0" t="n">
        <v>0</v>
      </c>
      <c r="AM24" s="0" t="n">
        <v>15444</v>
      </c>
      <c r="AN24" s="0" t="n">
        <v>0</v>
      </c>
      <c r="AO24" s="0" t="n">
        <v>0</v>
      </c>
      <c r="AP24" s="0" t="n">
        <v>104</v>
      </c>
      <c r="AQ24" s="0" t="n">
        <v>91</v>
      </c>
      <c r="AR24" s="0" t="n">
        <v>0</v>
      </c>
      <c r="AS24" s="0" t="n">
        <v>0</v>
      </c>
      <c r="AT24" s="0" t="n">
        <v>208</v>
      </c>
      <c r="AU24" s="0" t="n">
        <f aca="false">SUM(B24:AT24)</f>
        <v>229528</v>
      </c>
      <c r="AW24" s="0" t="n">
        <f aca="false">A24</f>
        <v>76</v>
      </c>
      <c r="AX24" s="0" t="str">
        <f aca="false">VLOOKUP(AW24,'Babblefish-APUMA'!$K$1:$L$59,2)</f>
        <v>Santa Cruz County</v>
      </c>
      <c r="AY24" s="0" t="n">
        <f aca="false">SUM(C24:AT24)-MAX(C24:AT24)</f>
        <v>24336</v>
      </c>
      <c r="AZ24" s="0" t="n">
        <f aca="false">MAX(C24:AT24)</f>
        <v>88868</v>
      </c>
      <c r="BA24" s="0" t="n">
        <f aca="false">SUM(C24:AT24)</f>
        <v>113204</v>
      </c>
      <c r="BB24" s="0" t="n">
        <f aca="false">AU24</f>
        <v>229528</v>
      </c>
      <c r="BC24" s="2" t="n">
        <f aca="false">AY24/BA24</f>
        <v>0.214974735875057</v>
      </c>
      <c r="BE24" s="0" t="n">
        <v>88868</v>
      </c>
      <c r="BF24" s="0" t="n">
        <v>13572</v>
      </c>
      <c r="BG24" s="0" t="n">
        <v>102440</v>
      </c>
      <c r="BH24" s="2" t="n">
        <v>0.13248730964467</v>
      </c>
      <c r="BI24" s="2"/>
      <c r="BJ24" s="28" t="n">
        <f aca="false">-0.0364+0.00000000386*BB24+0.844*BH24</f>
        <v>0.0763052674201015</v>
      </c>
      <c r="BK24" s="2"/>
      <c r="BL24" s="1" t="n">
        <f aca="false">BJ24*BB24</f>
        <v>17514.1954204011</v>
      </c>
      <c r="BM24" s="1"/>
      <c r="BN24" s="0" t="n">
        <v>0</v>
      </c>
      <c r="BO24" s="28" t="n">
        <f aca="false">-0.03444+0.00000000383*$BB24+0.299*0+0.84588*$BH24+89876.77*(BN24)</f>
        <v>0.0785074577222335</v>
      </c>
      <c r="BP24" s="0" t="n">
        <v>3.75142296402048E-007</v>
      </c>
      <c r="BQ24" s="28" t="n">
        <f aca="false">MIN(MAX(0,-0.03444+0.00000000383*$BB24+0.299*0+0.84588*$BH24+89876.77*(BP24)),1)</f>
        <v>0.112224035613232</v>
      </c>
      <c r="BR24" s="0" t="n">
        <v>5.4830468358371E-006</v>
      </c>
      <c r="BS24" s="28" t="n">
        <f aca="false">MIN(MAX(0,-0.03444+0.00000000383*$BB24+0.299*0+0.84588*$BH24+89876.77*(BR24)),1)</f>
        <v>0.571305997085993</v>
      </c>
      <c r="BT24" s="0" t="n">
        <v>0.00078051345019771</v>
      </c>
      <c r="BU24" s="28" t="n">
        <f aca="false">MIN(MAX(0,-0.03444+0.00000000383*$BB24+0.299*0+0.84588*$BH24+89876.77*(BT24)),1)</f>
        <v>1</v>
      </c>
      <c r="BV24" s="0" t="n">
        <v>0.00207889721259302</v>
      </c>
      <c r="BW24" s="28" t="n">
        <f aca="false">MIN(MAX(0,-0.03444+0.00000000383*$BB24+0.299*0+0.84588*$BH24+89876.77*(BV24)),1)</f>
        <v>1</v>
      </c>
    </row>
    <row r="25" customFormat="false" ht="12.75" hidden="false" customHeight="false" outlineLevel="0" collapsed="false">
      <c r="A25" s="0" t="n">
        <v>77</v>
      </c>
      <c r="B25" s="0" t="n">
        <v>73463</v>
      </c>
      <c r="C25" s="0" t="n">
        <v>0</v>
      </c>
      <c r="D25" s="0" t="n">
        <v>0</v>
      </c>
      <c r="E25" s="0" t="n">
        <v>0</v>
      </c>
      <c r="F25" s="0" t="n">
        <v>377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39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33397</v>
      </c>
      <c r="Z25" s="0" t="n">
        <v>0</v>
      </c>
      <c r="AA25" s="0" t="n">
        <v>78</v>
      </c>
      <c r="AB25" s="0" t="n">
        <v>0</v>
      </c>
      <c r="AC25" s="0" t="n">
        <v>0</v>
      </c>
      <c r="AD25" s="0" t="n">
        <v>0</v>
      </c>
      <c r="AE25" s="0" t="n">
        <v>156</v>
      </c>
      <c r="AF25" s="0" t="n">
        <v>0</v>
      </c>
      <c r="AG25" s="0" t="n">
        <v>0</v>
      </c>
      <c r="AH25" s="0" t="n">
        <v>624</v>
      </c>
      <c r="AI25" s="0" t="n">
        <v>78</v>
      </c>
      <c r="AJ25" s="0" t="n">
        <v>0</v>
      </c>
      <c r="AK25" s="0" t="n">
        <v>195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65</v>
      </c>
      <c r="AU25" s="0" t="n">
        <f aca="false">SUM(B25:AT25)</f>
        <v>108472</v>
      </c>
      <c r="AW25" s="0" t="n">
        <f aca="false">A25</f>
        <v>77</v>
      </c>
      <c r="AX25" s="0" t="str">
        <f aca="false">VLOOKUP(AW25,'Babblefish-APUMA'!$K$1:$L$59,2)</f>
        <v>Imperial County</v>
      </c>
      <c r="AY25" s="0" t="n">
        <f aca="false">SUM(C25:AT25)-MAX(C25:AT25)</f>
        <v>1612</v>
      </c>
      <c r="AZ25" s="0" t="n">
        <f aca="false">MAX(C25:AT25)</f>
        <v>33397</v>
      </c>
      <c r="BA25" s="0" t="n">
        <f aca="false">SUM(C25:AT25)</f>
        <v>35009</v>
      </c>
      <c r="BB25" s="0" t="n">
        <f aca="false">AU25</f>
        <v>108472</v>
      </c>
      <c r="BC25" s="2" t="n">
        <f aca="false">AY25/BA25</f>
        <v>0.0460453026364649</v>
      </c>
      <c r="BE25" s="0" t="n">
        <v>33397</v>
      </c>
      <c r="BF25" s="0" t="n">
        <v>1443</v>
      </c>
      <c r="BG25" s="0" t="n">
        <v>34840</v>
      </c>
      <c r="BH25" s="2" t="n">
        <v>0.0414179104477612</v>
      </c>
      <c r="BI25" s="2"/>
      <c r="BJ25" s="28" t="n">
        <f aca="false">-0.0364+0.00000000386*BB25+0.844*BH25</f>
        <v>-0.00102458166208956</v>
      </c>
      <c r="BK25" s="2"/>
      <c r="BL25" s="1" t="n">
        <f aca="false">BJ25*BB25</f>
        <v>-111.138422050179</v>
      </c>
      <c r="BM25" s="1"/>
      <c r="BN25" s="0" t="n">
        <v>0</v>
      </c>
      <c r="BO25" s="28" t="n">
        <f aca="false">-0.03444+0.00000000383*$BB25+0.299*0+0.84588*$BH25+89876.77*(BN25)</f>
        <v>0.00101002984955224</v>
      </c>
      <c r="BP25" s="0" t="n">
        <v>2.05710351413005E-010</v>
      </c>
      <c r="BQ25" s="28" t="n">
        <f aca="false">MIN(MAX(0,-0.03444+0.00000000383*$BB25+0.299*0+0.84588*$BH25+89876.77*(BP25)),1)</f>
        <v>0.0010285184314928</v>
      </c>
      <c r="BR25" s="0" t="n">
        <v>3.90871904805919E-009</v>
      </c>
      <c r="BS25" s="28" t="n">
        <f aca="false">MIN(MAX(0,-0.03444+0.00000000383*$BB25+0.299*0+0.84588*$BH25+89876.77*(BR25)),1)</f>
        <v>0.00136133289242927</v>
      </c>
      <c r="BT25" s="0" t="n">
        <v>3.03965714571658E-008</v>
      </c>
      <c r="BU25" s="28" t="n">
        <f aca="false">MIN(MAX(0,-0.03444+0.00000000383*$BB25+0.299*0+0.84588*$BH25+89876.77*(BT25)),1)</f>
        <v>0.00374197551119649</v>
      </c>
      <c r="BV25" s="0" t="n">
        <v>3.84123421009676E-006</v>
      </c>
      <c r="BW25" s="28" t="n">
        <f aca="false">MIN(MAX(0,-0.03444+0.00000000383*$BB25+0.299*0+0.84588*$BH25+89876.77*(BV25)),1)</f>
        <v>0.34624775346655</v>
      </c>
    </row>
    <row r="26" customFormat="false" ht="12.75" hidden="false" customHeight="false" outlineLevel="0" collapsed="false">
      <c r="A26" s="0" t="n">
        <v>80</v>
      </c>
      <c r="B26" s="0" t="n">
        <v>118885</v>
      </c>
      <c r="C26" s="0" t="n">
        <v>0</v>
      </c>
      <c r="D26" s="0" t="n">
        <v>247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104</v>
      </c>
      <c r="Q26" s="0" t="n">
        <v>91</v>
      </c>
      <c r="R26" s="0" t="n">
        <v>0</v>
      </c>
      <c r="S26" s="0" t="n">
        <v>0</v>
      </c>
      <c r="T26" s="0" t="n">
        <v>0</v>
      </c>
      <c r="U26" s="0" t="n">
        <v>169</v>
      </c>
      <c r="V26" s="0" t="n">
        <v>5980</v>
      </c>
      <c r="W26" s="0" t="n">
        <v>0</v>
      </c>
      <c r="X26" s="0" t="n">
        <v>0</v>
      </c>
      <c r="Y26" s="0" t="n">
        <v>0</v>
      </c>
      <c r="Z26" s="0" t="n">
        <v>82537</v>
      </c>
      <c r="AA26" s="0" t="n">
        <v>0</v>
      </c>
      <c r="AB26" s="0" t="n">
        <v>78</v>
      </c>
      <c r="AC26" s="0" t="n">
        <v>0</v>
      </c>
      <c r="AD26" s="0" t="n">
        <v>260</v>
      </c>
      <c r="AE26" s="0" t="n">
        <v>598</v>
      </c>
      <c r="AF26" s="0" t="n">
        <v>104</v>
      </c>
      <c r="AG26" s="0" t="n">
        <v>0</v>
      </c>
      <c r="AH26" s="0" t="n">
        <v>0</v>
      </c>
      <c r="AI26" s="0" t="n">
        <v>221</v>
      </c>
      <c r="AJ26" s="0" t="n">
        <v>0</v>
      </c>
      <c r="AK26" s="0" t="n">
        <v>169</v>
      </c>
      <c r="AL26" s="0" t="n">
        <v>0</v>
      </c>
      <c r="AM26" s="0" t="n">
        <v>247</v>
      </c>
      <c r="AN26" s="0" t="n">
        <v>0</v>
      </c>
      <c r="AO26" s="0" t="n">
        <v>0</v>
      </c>
      <c r="AP26" s="0" t="n">
        <v>91</v>
      </c>
      <c r="AQ26" s="0" t="n">
        <v>312</v>
      </c>
      <c r="AR26" s="0" t="n">
        <v>0</v>
      </c>
      <c r="AS26" s="0" t="n">
        <v>0</v>
      </c>
      <c r="AT26" s="0" t="n">
        <v>0</v>
      </c>
      <c r="AU26" s="0" t="n">
        <f aca="false">SUM(B26:AT26)</f>
        <v>210093</v>
      </c>
      <c r="AW26" s="0" t="n">
        <f aca="false">A26</f>
        <v>80</v>
      </c>
      <c r="AX26" s="0" t="str">
        <f aca="false">VLOOKUP(AW26,'Babblefish-APUMA'!$K$1:$L$59,2)</f>
        <v>San Luis Obispo County </v>
      </c>
      <c r="AY26" s="0" t="n">
        <f aca="false">SUM(C26:AT26)-MAX(C26:AT26)</f>
        <v>8671</v>
      </c>
      <c r="AZ26" s="0" t="n">
        <f aca="false">MAX(C26:AT26)</f>
        <v>82537</v>
      </c>
      <c r="BA26" s="0" t="n">
        <f aca="false">SUM(C26:AT26)</f>
        <v>91208</v>
      </c>
      <c r="BB26" s="0" t="n">
        <f aca="false">AU26</f>
        <v>210093</v>
      </c>
      <c r="BC26" s="2" t="n">
        <f aca="false">AY26/BA26</f>
        <v>0.0950684150513113</v>
      </c>
      <c r="BE26" s="0" t="n">
        <v>82537</v>
      </c>
      <c r="BF26" s="0" t="n">
        <v>8385</v>
      </c>
      <c r="BG26" s="0" t="n">
        <v>90922</v>
      </c>
      <c r="BH26" s="2" t="n">
        <v>0.0922219044895625</v>
      </c>
      <c r="BI26" s="2"/>
      <c r="BJ26" s="28" t="n">
        <f aca="false">-0.0364+0.00000000386*BB26+0.844*BH26</f>
        <v>0.0422462463691907</v>
      </c>
      <c r="BK26" s="2"/>
      <c r="BL26" s="1" t="n">
        <f aca="false">BJ26*BB26</f>
        <v>8875.64063844239</v>
      </c>
      <c r="BM26" s="1"/>
      <c r="BN26" s="0" t="n">
        <v>0</v>
      </c>
      <c r="BO26" s="28" t="n">
        <f aca="false">-0.03444+0.00000000383*$BB26+0.299*0+0.84588*$BH26+89876.77*(BN26)</f>
        <v>0.0443733207596311</v>
      </c>
      <c r="BP26" s="0" t="n">
        <v>4.71961493980159E-010</v>
      </c>
      <c r="BQ26" s="28" t="n">
        <f aca="false">MIN(MAX(0,-0.03444+0.00000000383*$BB26+0.299*0+0.84588*$BH26+89876.77*(BP26)),1)</f>
        <v>0.0444157391342744</v>
      </c>
      <c r="BR26" s="0" t="n">
        <v>1.97911616807982E-009</v>
      </c>
      <c r="BS26" s="28" t="n">
        <f aca="false">MIN(MAX(0,-0.03444+0.00000000383*$BB26+0.299*0+0.84588*$BH26+89876.77*(BR26)),1)</f>
        <v>0.0445511973282729</v>
      </c>
      <c r="BT26" s="0" t="n">
        <v>2.48000288498742E-008</v>
      </c>
      <c r="BU26" s="28" t="n">
        <f aca="false">MIN(MAX(0,-0.03444+0.00000000383*$BB26+0.299*0+0.84588*$BH26+89876.77*(BT26)),1)</f>
        <v>0.0466022672485646</v>
      </c>
      <c r="BV26" s="0" t="n">
        <v>8.16855079957116E-005</v>
      </c>
      <c r="BW26" s="28" t="n">
        <f aca="false">MIN(MAX(0,-0.03444+0.00000000383*$BB26+0.299*0+0.84588*$BH26+89876.77*(BV26)),1)</f>
        <v>1</v>
      </c>
    </row>
    <row r="27" customFormat="false" ht="12.75" hidden="false" customHeight="false" outlineLevel="0" collapsed="false">
      <c r="A27" s="0" t="n">
        <v>86</v>
      </c>
      <c r="B27" s="0" t="n">
        <v>634894</v>
      </c>
      <c r="C27" s="0" t="n">
        <v>91</v>
      </c>
      <c r="D27" s="0" t="n">
        <v>78</v>
      </c>
      <c r="E27" s="0" t="n">
        <v>130</v>
      </c>
      <c r="F27" s="0" t="n">
        <v>0</v>
      </c>
      <c r="G27" s="0" t="n">
        <v>0</v>
      </c>
      <c r="H27" s="0" t="n">
        <v>143</v>
      </c>
      <c r="I27" s="0" t="n">
        <v>0</v>
      </c>
      <c r="J27" s="0" t="n">
        <v>0</v>
      </c>
      <c r="K27" s="0" t="n">
        <v>169</v>
      </c>
      <c r="L27" s="0" t="n">
        <v>91</v>
      </c>
      <c r="M27" s="0" t="n">
        <v>286</v>
      </c>
      <c r="N27" s="0" t="n">
        <v>195</v>
      </c>
      <c r="O27" s="0" t="n">
        <v>2028</v>
      </c>
      <c r="P27" s="0" t="n">
        <v>61607</v>
      </c>
      <c r="Q27" s="0" t="n">
        <v>24635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442</v>
      </c>
      <c r="Y27" s="0" t="n">
        <v>0</v>
      </c>
      <c r="Z27" s="0" t="n">
        <v>0</v>
      </c>
      <c r="AA27" s="0" t="n">
        <v>448058</v>
      </c>
      <c r="AB27" s="0" t="n">
        <v>35737</v>
      </c>
      <c r="AC27" s="0" t="n">
        <v>65</v>
      </c>
      <c r="AD27" s="0" t="n">
        <v>0</v>
      </c>
      <c r="AE27" s="0" t="n">
        <v>1768</v>
      </c>
      <c r="AF27" s="0" t="n">
        <v>0</v>
      </c>
      <c r="AG27" s="0" t="n">
        <v>260</v>
      </c>
      <c r="AH27" s="0" t="n">
        <v>0</v>
      </c>
      <c r="AI27" s="0" t="n">
        <v>481</v>
      </c>
      <c r="AJ27" s="0" t="n">
        <v>0</v>
      </c>
      <c r="AK27" s="0" t="n">
        <v>0</v>
      </c>
      <c r="AL27" s="0" t="n">
        <v>793</v>
      </c>
      <c r="AM27" s="0" t="n">
        <v>52273</v>
      </c>
      <c r="AN27" s="0" t="n">
        <v>1404</v>
      </c>
      <c r="AO27" s="0" t="n">
        <v>1027</v>
      </c>
      <c r="AP27" s="0" t="n">
        <v>299</v>
      </c>
      <c r="AQ27" s="0" t="n">
        <v>0</v>
      </c>
      <c r="AR27" s="0" t="n">
        <v>0</v>
      </c>
      <c r="AS27" s="0" t="n">
        <v>0</v>
      </c>
      <c r="AT27" s="0" t="n">
        <v>403</v>
      </c>
      <c r="AU27" s="0" t="n">
        <f aca="false">SUM(B27:AT27)</f>
        <v>1267357</v>
      </c>
      <c r="AW27" s="0" t="n">
        <f aca="false">A27</f>
        <v>86</v>
      </c>
      <c r="AX27" s="0" t="str">
        <f aca="false">VLOOKUP(AW27,'Babblefish-APUMA'!$K$1:$L$59,2)</f>
        <v>Alameda County </v>
      </c>
      <c r="AY27" s="0" t="n">
        <f aca="false">SUM(C27:AT27)-MAX(C27:AT27)</f>
        <v>184405</v>
      </c>
      <c r="AZ27" s="0" t="n">
        <f aca="false">MAX(C27:AT27)</f>
        <v>448058</v>
      </c>
      <c r="BA27" s="0" t="n">
        <f aca="false">SUM(C27:AT27)</f>
        <v>632463</v>
      </c>
      <c r="BB27" s="0" t="n">
        <f aca="false">AU27</f>
        <v>1267357</v>
      </c>
      <c r="BC27" s="2" t="n">
        <f aca="false">AY27/BA27</f>
        <v>0.291566463176502</v>
      </c>
      <c r="BE27" s="0" t="n">
        <v>448058</v>
      </c>
      <c r="BF27" s="0" t="n">
        <v>182403</v>
      </c>
      <c r="BG27" s="0" t="n">
        <v>630461</v>
      </c>
      <c r="BH27" s="2" t="n">
        <v>0.289316864960719</v>
      </c>
      <c r="BI27" s="2"/>
      <c r="BJ27" s="28" t="n">
        <f aca="false">-0.0364+0.00000000386*BB27+0.844*BH27</f>
        <v>0.212675432046847</v>
      </c>
      <c r="BK27" s="2"/>
      <c r="BL27" s="1" t="n">
        <f aca="false">BJ27*BB27</f>
        <v>269535.697532596</v>
      </c>
      <c r="BM27" s="1"/>
      <c r="BN27" s="0" t="n">
        <v>0</v>
      </c>
      <c r="BO27" s="28" t="n">
        <f aca="false">-0.03444+0.00000000383*$BB27+0.299*0+0.84588*$BH27+89876.77*(BN27)</f>
        <v>0.215141327042973</v>
      </c>
      <c r="BP27" s="0" t="n">
        <v>2.13049868827749E-005</v>
      </c>
      <c r="BQ27" s="28" t="n">
        <f aca="false">MIN(MAX(0,-0.03444+0.00000000383*$BB27+0.299*0+0.84588*$BH27+89876.77*(BP27)),1)</f>
        <v>1</v>
      </c>
      <c r="BR27" s="0" t="n">
        <v>0.000912226501208507</v>
      </c>
      <c r="BS27" s="28" t="n">
        <f aca="false">MIN(MAX(0,-0.03444+0.00000000383*$BB27+0.299*0+0.84588*$BH27+89876.77*(BR27)),1)</f>
        <v>1</v>
      </c>
      <c r="BT27" s="0" t="n">
        <v>0.00679986336730259</v>
      </c>
      <c r="BU27" s="28" t="n">
        <f aca="false">MIN(MAX(0,-0.03444+0.00000000383*$BB27+0.299*0+0.84588*$BH27+89876.77*(BT27)),1)</f>
        <v>1</v>
      </c>
      <c r="BV27" s="0" t="n">
        <v>0.00718219094491901</v>
      </c>
      <c r="BW27" s="28" t="n">
        <f aca="false">MIN(MAX(0,-0.03444+0.00000000383*$BB27+0.299*0+0.84588*$BH27+89876.77*(BV27)),1)</f>
        <v>1</v>
      </c>
    </row>
    <row r="28" customFormat="false" ht="12.75" hidden="false" customHeight="false" outlineLevel="0" collapsed="false">
      <c r="A28" s="0" t="n">
        <v>87</v>
      </c>
      <c r="B28" s="0" t="n">
        <v>401882</v>
      </c>
      <c r="C28" s="0" t="n">
        <v>273</v>
      </c>
      <c r="D28" s="0" t="n">
        <v>117</v>
      </c>
      <c r="E28" s="0" t="n">
        <v>0</v>
      </c>
      <c r="F28" s="0" t="n">
        <v>182</v>
      </c>
      <c r="G28" s="0" t="n">
        <v>0</v>
      </c>
      <c r="H28" s="0" t="n">
        <v>143</v>
      </c>
      <c r="I28" s="0" t="n">
        <v>0</v>
      </c>
      <c r="J28" s="0" t="n">
        <v>0</v>
      </c>
      <c r="K28" s="0" t="n">
        <v>533</v>
      </c>
      <c r="L28" s="0" t="n">
        <v>156</v>
      </c>
      <c r="M28" s="0" t="n">
        <v>338</v>
      </c>
      <c r="N28" s="0" t="n">
        <v>234</v>
      </c>
      <c r="O28" s="0" t="n">
        <v>3653</v>
      </c>
      <c r="P28" s="0" t="n">
        <v>45435</v>
      </c>
      <c r="Q28" s="0" t="n">
        <v>7215</v>
      </c>
      <c r="R28" s="0" t="n">
        <v>130</v>
      </c>
      <c r="S28" s="0" t="n">
        <v>0</v>
      </c>
      <c r="T28" s="0" t="n">
        <v>0</v>
      </c>
      <c r="U28" s="0" t="n">
        <v>117</v>
      </c>
      <c r="V28" s="0" t="n">
        <v>104</v>
      </c>
      <c r="W28" s="0" t="n">
        <v>117</v>
      </c>
      <c r="X28" s="0" t="n">
        <v>52</v>
      </c>
      <c r="Y28" s="0" t="n">
        <v>0</v>
      </c>
      <c r="Z28" s="0" t="n">
        <v>52</v>
      </c>
      <c r="AA28" s="0" t="n">
        <v>83265</v>
      </c>
      <c r="AB28" s="0" t="n">
        <v>243971</v>
      </c>
      <c r="AC28" s="0" t="n">
        <v>104</v>
      </c>
      <c r="AD28" s="0" t="n">
        <v>0</v>
      </c>
      <c r="AE28" s="0" t="n">
        <v>806</v>
      </c>
      <c r="AF28" s="0" t="n">
        <v>0</v>
      </c>
      <c r="AG28" s="0" t="n">
        <v>208</v>
      </c>
      <c r="AH28" s="0" t="n">
        <v>0</v>
      </c>
      <c r="AI28" s="0" t="n">
        <v>559</v>
      </c>
      <c r="AJ28" s="0" t="n">
        <v>169</v>
      </c>
      <c r="AK28" s="0" t="n">
        <v>494</v>
      </c>
      <c r="AL28" s="0" t="n">
        <v>624</v>
      </c>
      <c r="AM28" s="0" t="n">
        <v>5668</v>
      </c>
      <c r="AN28" s="0" t="n">
        <v>6058</v>
      </c>
      <c r="AO28" s="0" t="n">
        <v>442</v>
      </c>
      <c r="AP28" s="0" t="n">
        <v>0</v>
      </c>
      <c r="AQ28" s="0" t="n">
        <v>0</v>
      </c>
      <c r="AR28" s="0" t="n">
        <v>78</v>
      </c>
      <c r="AS28" s="0" t="n">
        <v>0</v>
      </c>
      <c r="AT28" s="0" t="n">
        <v>351</v>
      </c>
      <c r="AU28" s="0" t="n">
        <f aca="false">SUM(B28:AT28)</f>
        <v>803530</v>
      </c>
      <c r="AW28" s="0" t="n">
        <f aca="false">A28</f>
        <v>87</v>
      </c>
      <c r="AX28" s="0" t="str">
        <f aca="false">VLOOKUP(AW28,'Babblefish-APUMA'!$K$1:$L$59,2)</f>
        <v>Contra Costa County </v>
      </c>
      <c r="AY28" s="0" t="n">
        <f aca="false">SUM(C28:AT28)-MAX(C28:AT28)</f>
        <v>157677</v>
      </c>
      <c r="AZ28" s="0" t="n">
        <f aca="false">MAX(C28:AT28)</f>
        <v>243971</v>
      </c>
      <c r="BA28" s="0" t="n">
        <f aca="false">SUM(C28:AT28)</f>
        <v>401648</v>
      </c>
      <c r="BB28" s="0" t="n">
        <f aca="false">AU28</f>
        <v>803530</v>
      </c>
      <c r="BC28" s="2" t="n">
        <f aca="false">AY28/BA28</f>
        <v>0.392575090626618</v>
      </c>
      <c r="BE28" s="0" t="n">
        <v>243971</v>
      </c>
      <c r="BF28" s="0" t="n">
        <v>97955</v>
      </c>
      <c r="BG28" s="0" t="n">
        <v>341926</v>
      </c>
      <c r="BH28" s="2" t="n">
        <v>0.286480115580564</v>
      </c>
      <c r="BI28" s="2"/>
      <c r="BJ28" s="28" t="n">
        <f aca="false">-0.0364+0.00000000386*BB28+0.844*BH28</f>
        <v>0.208490843349996</v>
      </c>
      <c r="BK28" s="2"/>
      <c r="BL28" s="1" t="n">
        <f aca="false">BJ28*BB28</f>
        <v>167528.647357022</v>
      </c>
      <c r="BM28" s="1"/>
      <c r="BN28" s="0" t="n">
        <v>0</v>
      </c>
      <c r="BO28" s="28" t="n">
        <f aca="false">-0.03444+0.00000000383*$BB28+0.299*0+0.84588*$BH28+89876.77*(BN28)</f>
        <v>0.210965320067288</v>
      </c>
      <c r="BP28" s="0" t="n">
        <v>8.52339298083931E-005</v>
      </c>
      <c r="BQ28" s="28" t="n">
        <f aca="false">MIN(MAX(0,-0.03444+0.00000000383*$BB28+0.299*0+0.84588*$BH28+89876.77*(BP28)),1)</f>
        <v>1</v>
      </c>
      <c r="BR28" s="0" t="n">
        <v>0.0107955819590313</v>
      </c>
      <c r="BS28" s="28" t="n">
        <f aca="false">MIN(MAX(0,-0.03444+0.00000000383*$BB28+0.299*0+0.84588*$BH28+89876.77*(BR28)),1)</f>
        <v>1</v>
      </c>
      <c r="BT28" s="0" t="n">
        <v>0.0220099394162855</v>
      </c>
      <c r="BU28" s="28" t="n">
        <f aca="false">MIN(MAX(0,-0.03444+0.00000000383*$BB28+0.299*0+0.84588*$BH28+89876.77*(BT28)),1)</f>
        <v>1</v>
      </c>
      <c r="BV28" s="0" t="n">
        <v>0.023594705296233</v>
      </c>
      <c r="BW28" s="28" t="n">
        <f aca="false">MIN(MAX(0,-0.03444+0.00000000383*$BB28+0.299*0+0.84588*$BH28+89876.77*(BV28)),1)</f>
        <v>1</v>
      </c>
    </row>
    <row r="29" customFormat="false" ht="12.75" hidden="false" customHeight="false" outlineLevel="0" collapsed="false">
      <c r="A29" s="0" t="n">
        <v>88</v>
      </c>
      <c r="B29" s="0" t="n">
        <v>405808</v>
      </c>
      <c r="C29" s="0" t="n">
        <v>0</v>
      </c>
      <c r="D29" s="0" t="n">
        <v>117</v>
      </c>
      <c r="E29" s="0" t="n">
        <v>0</v>
      </c>
      <c r="F29" s="0" t="n">
        <v>351</v>
      </c>
      <c r="G29" s="0" t="n">
        <v>195</v>
      </c>
      <c r="H29" s="0" t="n">
        <v>182</v>
      </c>
      <c r="I29" s="0" t="n">
        <v>0</v>
      </c>
      <c r="J29" s="0" t="n">
        <v>91</v>
      </c>
      <c r="K29" s="0" t="n">
        <v>0</v>
      </c>
      <c r="L29" s="0" t="n">
        <v>0</v>
      </c>
      <c r="M29" s="0" t="n">
        <v>195</v>
      </c>
      <c r="N29" s="0" t="n">
        <v>0</v>
      </c>
      <c r="O29" s="0" t="n">
        <v>0</v>
      </c>
      <c r="P29" s="0" t="n">
        <v>364</v>
      </c>
      <c r="Q29" s="0" t="n">
        <v>377</v>
      </c>
      <c r="R29" s="0" t="n">
        <v>0</v>
      </c>
      <c r="S29" s="0" t="n">
        <v>4706</v>
      </c>
      <c r="T29" s="0" t="n">
        <v>1313</v>
      </c>
      <c r="U29" s="0" t="n">
        <v>2951</v>
      </c>
      <c r="V29" s="0" t="n">
        <v>91</v>
      </c>
      <c r="W29" s="0" t="n">
        <v>3107</v>
      </c>
      <c r="X29" s="0" t="n">
        <v>78</v>
      </c>
      <c r="Y29" s="0" t="n">
        <v>0</v>
      </c>
      <c r="Z29" s="0" t="n">
        <v>78</v>
      </c>
      <c r="AA29" s="0" t="n">
        <v>208</v>
      </c>
      <c r="AB29" s="0" t="n">
        <v>169</v>
      </c>
      <c r="AC29" s="0" t="n">
        <v>250822</v>
      </c>
      <c r="AD29" s="0" t="n">
        <v>104</v>
      </c>
      <c r="AE29" s="0" t="n">
        <v>741</v>
      </c>
      <c r="AF29" s="0" t="n">
        <v>520</v>
      </c>
      <c r="AG29" s="0" t="n">
        <v>117</v>
      </c>
      <c r="AH29" s="0" t="n">
        <v>130</v>
      </c>
      <c r="AI29" s="0" t="n">
        <v>143</v>
      </c>
      <c r="AJ29" s="0" t="n">
        <v>0</v>
      </c>
      <c r="AK29" s="0" t="n">
        <v>104</v>
      </c>
      <c r="AL29" s="0" t="n">
        <v>143</v>
      </c>
      <c r="AM29" s="0" t="n">
        <v>91</v>
      </c>
      <c r="AN29" s="0" t="n">
        <v>0</v>
      </c>
      <c r="AO29" s="0" t="n">
        <v>0</v>
      </c>
      <c r="AP29" s="0" t="n">
        <v>195</v>
      </c>
      <c r="AQ29" s="0" t="n">
        <v>377</v>
      </c>
      <c r="AR29" s="0" t="n">
        <v>0</v>
      </c>
      <c r="AS29" s="0" t="n">
        <v>0</v>
      </c>
      <c r="AT29" s="0" t="n">
        <v>0</v>
      </c>
      <c r="AU29" s="0" t="n">
        <f aca="false">SUM(B29:AT29)</f>
        <v>673868</v>
      </c>
      <c r="AW29" s="0" t="n">
        <f aca="false">A29</f>
        <v>88</v>
      </c>
      <c r="AX29" s="0" t="str">
        <f aca="false">VLOOKUP(AW29,'Babblefish-APUMA'!$K$1:$L$59,2)</f>
        <v>Fresno County </v>
      </c>
      <c r="AY29" s="0" t="n">
        <f aca="false">SUM(C29:AT29)-MAX(C29:AT29)</f>
        <v>17238</v>
      </c>
      <c r="AZ29" s="0" t="n">
        <f aca="false">MAX(C29:AT29)</f>
        <v>250822</v>
      </c>
      <c r="BA29" s="0" t="n">
        <f aca="false">SUM(C29:AT29)</f>
        <v>268060</v>
      </c>
      <c r="BB29" s="0" t="n">
        <f aca="false">AU29</f>
        <v>673868</v>
      </c>
      <c r="BC29" s="2" t="n">
        <f aca="false">AY29/BA29</f>
        <v>0.0643064985451018</v>
      </c>
      <c r="BE29" s="0" t="n">
        <v>250822</v>
      </c>
      <c r="BF29" s="0" t="n">
        <v>18941</v>
      </c>
      <c r="BG29" s="0" t="n">
        <v>269763</v>
      </c>
      <c r="BH29" s="2" t="n">
        <v>0.0702134836875331</v>
      </c>
      <c r="BI29" s="2"/>
      <c r="BJ29" s="28" t="n">
        <f aca="false">-0.0364+0.00000000386*BB29+0.844*BH29</f>
        <v>0.025461310712278</v>
      </c>
      <c r="BK29" s="2"/>
      <c r="BL29" s="1" t="n">
        <f aca="false">BJ29*BB29</f>
        <v>17157.5625270613</v>
      </c>
      <c r="BM29" s="1"/>
      <c r="BN29" s="0" t="n">
        <v>0</v>
      </c>
      <c r="BO29" s="28" t="n">
        <f aca="false">-0.03444+0.00000000383*$BB29+0.299*0+0.84588*$BH29+89876.77*(BN29)</f>
        <v>0.0275330960216105</v>
      </c>
      <c r="BP29" s="0" t="n">
        <v>1.88833306955881E-009</v>
      </c>
      <c r="BQ29" s="28" t="n">
        <f aca="false">MIN(MAX(0,-0.03444+0.00000000383*$BB29+0.299*0+0.84588*$BH29+89876.77*(BP29)),1)</f>
        <v>0.0277028132985867</v>
      </c>
      <c r="BR29" s="0" t="n">
        <v>9.04287748729025E-009</v>
      </c>
      <c r="BS29" s="28" t="n">
        <f aca="false">MIN(MAX(0,-0.03444+0.00000000383*$BB29+0.299*0+0.84588*$BH29+89876.77*(BR29)),1)</f>
        <v>0.0283458406416739</v>
      </c>
      <c r="BT29" s="0" t="n">
        <v>3.65678794628241E-008</v>
      </c>
      <c r="BU29" s="28" t="n">
        <f aca="false">MIN(MAX(0,-0.03444+0.00000000383*$BB29+0.299*0+0.84588*$BH29+89876.77*(BT29)),1)</f>
        <v>0.0308196989134785</v>
      </c>
      <c r="BV29" s="0" t="n">
        <v>1.71009191010513E-005</v>
      </c>
      <c r="BW29" s="28" t="n">
        <f aca="false">MIN(MAX(0,-0.03444+0.00000000383*$BB29+0.299*0+0.84588*$BH29+89876.77*(BV29)),1)</f>
        <v>1</v>
      </c>
    </row>
    <row r="30" customFormat="false" ht="12.75" hidden="false" customHeight="false" outlineLevel="0" collapsed="false">
      <c r="A30" s="0" t="n">
        <v>89</v>
      </c>
      <c r="B30" s="0" t="n">
        <v>320827</v>
      </c>
      <c r="C30" s="0" t="n">
        <v>104</v>
      </c>
      <c r="D30" s="0" t="n">
        <v>0</v>
      </c>
      <c r="E30" s="0" t="n">
        <v>0</v>
      </c>
      <c r="F30" s="0" t="n">
        <v>182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91</v>
      </c>
      <c r="P30" s="0" t="n">
        <v>78</v>
      </c>
      <c r="Q30" s="0" t="n">
        <v>0</v>
      </c>
      <c r="R30" s="0" t="n">
        <v>299</v>
      </c>
      <c r="S30" s="0" t="n">
        <v>208</v>
      </c>
      <c r="T30" s="0" t="n">
        <v>0</v>
      </c>
      <c r="U30" s="0" t="n">
        <v>182</v>
      </c>
      <c r="V30" s="0" t="n">
        <v>351</v>
      </c>
      <c r="W30" s="0" t="n">
        <v>1469</v>
      </c>
      <c r="X30" s="0" t="n">
        <v>0</v>
      </c>
      <c r="Y30" s="0" t="n">
        <v>143</v>
      </c>
      <c r="Z30" s="0" t="n">
        <v>208</v>
      </c>
      <c r="AA30" s="0" t="n">
        <v>104</v>
      </c>
      <c r="AB30" s="0" t="n">
        <v>0</v>
      </c>
      <c r="AC30" s="0" t="n">
        <v>156</v>
      </c>
      <c r="AD30" s="0" t="n">
        <v>207935</v>
      </c>
      <c r="AE30" s="0" t="n">
        <v>7618</v>
      </c>
      <c r="AF30" s="0" t="n">
        <v>208</v>
      </c>
      <c r="AG30" s="0" t="n">
        <v>169</v>
      </c>
      <c r="AH30" s="0" t="n">
        <v>91</v>
      </c>
      <c r="AI30" s="0" t="n">
        <v>0</v>
      </c>
      <c r="AJ30" s="0" t="n">
        <v>1664</v>
      </c>
      <c r="AK30" s="0" t="n">
        <v>0</v>
      </c>
      <c r="AL30" s="0" t="n">
        <v>91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208</v>
      </c>
      <c r="AR30" s="0" t="n">
        <v>0</v>
      </c>
      <c r="AS30" s="0" t="n">
        <v>0</v>
      </c>
      <c r="AT30" s="0" t="n">
        <v>0</v>
      </c>
      <c r="AU30" s="0" t="n">
        <f aca="false">SUM(B30:AT30)</f>
        <v>542386</v>
      </c>
      <c r="AW30" s="0" t="n">
        <f aca="false">A30</f>
        <v>89</v>
      </c>
      <c r="AX30" s="0" t="str">
        <f aca="false">VLOOKUP(AW30,'Babblefish-APUMA'!$K$1:$L$59,2)</f>
        <v>Kern County </v>
      </c>
      <c r="AY30" s="0" t="n">
        <f aca="false">SUM(C30:AT30)-MAX(C30:AT30)</f>
        <v>13624</v>
      </c>
      <c r="AZ30" s="0" t="n">
        <f aca="false">MAX(C30:AT30)</f>
        <v>207935</v>
      </c>
      <c r="BA30" s="0" t="n">
        <f aca="false">SUM(C30:AT30)</f>
        <v>221559</v>
      </c>
      <c r="BB30" s="0" t="n">
        <f aca="false">AU30</f>
        <v>542386</v>
      </c>
      <c r="BC30" s="2" t="n">
        <f aca="false">AY30/BA30</f>
        <v>0.0614915214457549</v>
      </c>
      <c r="BE30" s="0" t="n">
        <v>207935</v>
      </c>
      <c r="BF30" s="0" t="n">
        <v>16198</v>
      </c>
      <c r="BG30" s="0" t="n">
        <v>224133</v>
      </c>
      <c r="BH30" s="2" t="n">
        <v>0.0722695899309785</v>
      </c>
      <c r="BI30" s="2"/>
      <c r="BJ30" s="28" t="n">
        <f aca="false">-0.0364+0.00000000386*BB30+0.844*BH30</f>
        <v>0.0266891438617458</v>
      </c>
      <c r="BK30" s="2"/>
      <c r="BL30" s="1" t="n">
        <f aca="false">BJ30*BB30</f>
        <v>14475.8179825969</v>
      </c>
      <c r="BM30" s="1"/>
      <c r="BN30" s="0" t="n">
        <v>0</v>
      </c>
      <c r="BO30" s="28" t="n">
        <f aca="false">-0.03444+0.00000000383*$BB30+0.299*0+0.84588*$BH30+89876.77*(BN30)</f>
        <v>0.0287687391108161</v>
      </c>
      <c r="BP30" s="0" t="n">
        <v>6.90454312779211E-010</v>
      </c>
      <c r="BQ30" s="28" t="n">
        <f aca="false">MIN(MAX(0,-0.03444+0.00000000383*$BB30+0.299*0+0.84588*$BH30+89876.77*(BP30)),1)</f>
        <v>0.0288307949142812</v>
      </c>
      <c r="BR30" s="0" t="n">
        <v>1.94034976670076E-009</v>
      </c>
      <c r="BS30" s="28" t="n">
        <f aca="false">MIN(MAX(0,-0.03444+0.00000000383*$BB30+0.299*0+0.84588*$BH30+89876.77*(BR30)),1)</f>
        <v>0.0289431314805174</v>
      </c>
      <c r="BT30" s="0" t="n">
        <v>5.77276096601647E-009</v>
      </c>
      <c r="BU30" s="28" t="n">
        <f aca="false">MIN(MAX(0,-0.03444+0.00000000383*$BB30+0.299*0+0.84588*$BH30+89876.77*(BT30)),1)</f>
        <v>0.0292875762204237</v>
      </c>
      <c r="BV30" s="0" t="n">
        <v>1.42975279627911E-005</v>
      </c>
      <c r="BW30" s="28" t="n">
        <f aca="false">MIN(MAX(0,-0.03444+0.00000000383*$BB30+0.299*0+0.84588*$BH30+89876.77*(BV30)),1)</f>
        <v>1</v>
      </c>
    </row>
    <row r="31" customFormat="false" ht="12.75" hidden="false" customHeight="false" outlineLevel="0" collapsed="false">
      <c r="A31" s="0" t="n">
        <v>90</v>
      </c>
      <c r="B31" s="0" t="n">
        <v>4714869</v>
      </c>
      <c r="C31" s="0" t="n">
        <v>1573</v>
      </c>
      <c r="D31" s="0" t="n">
        <v>2535</v>
      </c>
      <c r="E31" s="0" t="n">
        <v>1079</v>
      </c>
      <c r="F31" s="0" t="n">
        <v>533</v>
      </c>
      <c r="G31" s="0" t="n">
        <v>312</v>
      </c>
      <c r="H31" s="0" t="n">
        <v>273</v>
      </c>
      <c r="I31" s="0" t="n">
        <v>273</v>
      </c>
      <c r="J31" s="0" t="n">
        <v>364</v>
      </c>
      <c r="K31" s="0" t="n">
        <v>156</v>
      </c>
      <c r="L31" s="0" t="n">
        <v>156</v>
      </c>
      <c r="M31" s="0" t="n">
        <v>520</v>
      </c>
      <c r="N31" s="0" t="n">
        <v>91</v>
      </c>
      <c r="O31" s="0" t="n">
        <v>65</v>
      </c>
      <c r="P31" s="0" t="n">
        <v>1755</v>
      </c>
      <c r="Q31" s="0" t="n">
        <v>2353</v>
      </c>
      <c r="R31" s="0" t="n">
        <v>858</v>
      </c>
      <c r="S31" s="0" t="n">
        <v>91</v>
      </c>
      <c r="T31" s="0" t="n">
        <v>0</v>
      </c>
      <c r="U31" s="0" t="n">
        <v>962</v>
      </c>
      <c r="V31" s="0" t="n">
        <v>1131</v>
      </c>
      <c r="W31" s="0" t="n">
        <v>0</v>
      </c>
      <c r="X31" s="0" t="n">
        <v>0</v>
      </c>
      <c r="Y31" s="0" t="n">
        <v>208</v>
      </c>
      <c r="Z31" s="0" t="n">
        <v>429</v>
      </c>
      <c r="AA31" s="0" t="n">
        <v>1443</v>
      </c>
      <c r="AB31" s="0" t="n">
        <v>1300</v>
      </c>
      <c r="AC31" s="0" t="n">
        <v>650</v>
      </c>
      <c r="AD31" s="0" t="n">
        <v>9503</v>
      </c>
      <c r="AE31" s="0" t="n">
        <v>3859648</v>
      </c>
      <c r="AF31" s="0" t="n">
        <v>793</v>
      </c>
      <c r="AG31" s="0" t="n">
        <v>136591</v>
      </c>
      <c r="AH31" s="0" t="n">
        <v>6617</v>
      </c>
      <c r="AI31" s="0" t="n">
        <v>468</v>
      </c>
      <c r="AJ31" s="0" t="n">
        <v>32331</v>
      </c>
      <c r="AK31" s="0" t="n">
        <v>3419</v>
      </c>
      <c r="AL31" s="0" t="n">
        <v>156</v>
      </c>
      <c r="AM31" s="0" t="n">
        <v>520</v>
      </c>
      <c r="AN31" s="0" t="n">
        <v>455</v>
      </c>
      <c r="AO31" s="0" t="n">
        <v>0</v>
      </c>
      <c r="AP31" s="0" t="n">
        <v>156</v>
      </c>
      <c r="AQ31" s="0" t="n">
        <v>21801</v>
      </c>
      <c r="AR31" s="0" t="n">
        <v>0</v>
      </c>
      <c r="AS31" s="0" t="n">
        <v>0</v>
      </c>
      <c r="AT31" s="0" t="n">
        <v>2301</v>
      </c>
      <c r="AU31" s="0" t="n">
        <f aca="false">SUM(B31:AT31)</f>
        <v>8808738</v>
      </c>
      <c r="AW31" s="0" t="n">
        <f aca="false">A31</f>
        <v>90</v>
      </c>
      <c r="AX31" s="0" t="str">
        <f aca="false">VLOOKUP(AW31,'Babblefish-APUMA'!$K$1:$L$59,2)</f>
        <v>Los Angeles County </v>
      </c>
      <c r="AY31" s="0" t="n">
        <f aca="false">SUM(C31:AT31)-MAX(C31:AT31)</f>
        <v>234221</v>
      </c>
      <c r="AZ31" s="0" t="n">
        <f aca="false">MAX(C31:AT31)</f>
        <v>3859648</v>
      </c>
      <c r="BA31" s="0" t="n">
        <f aca="false">SUM(C31:AT31)</f>
        <v>4093869</v>
      </c>
      <c r="BB31" s="0" t="n">
        <f aca="false">AU31</f>
        <v>8808738</v>
      </c>
      <c r="BC31" s="2" t="n">
        <f aca="false">AY31/BA31</f>
        <v>0.057212626979515</v>
      </c>
      <c r="BE31" s="0" t="n">
        <v>3859648</v>
      </c>
      <c r="BF31" s="0" t="n">
        <v>458328</v>
      </c>
      <c r="BG31" s="0" t="n">
        <v>4317976</v>
      </c>
      <c r="BH31" s="2" t="n">
        <v>0.106144174956044</v>
      </c>
      <c r="BI31" s="2"/>
      <c r="BJ31" s="28" t="n">
        <f aca="false">-0.0364+0.00000000386*BB31+0.844*BH31</f>
        <v>0.0871874123429013</v>
      </c>
      <c r="BK31" s="2"/>
      <c r="BL31" s="1" t="n">
        <f aca="false">BJ31*BB31</f>
        <v>768011.072226584</v>
      </c>
      <c r="BM31" s="1"/>
      <c r="BN31" s="0" t="n">
        <v>0</v>
      </c>
      <c r="BO31" s="28" t="n">
        <f aca="false">-0.03444+0.00000000383*$BB31+0.299*0+0.84588*$BH31+89876.77*(BN31)</f>
        <v>0.0890827012518187</v>
      </c>
      <c r="BP31" s="0" t="n">
        <v>1.70712920501656E-009</v>
      </c>
      <c r="BQ31" s="28" t="n">
        <f aca="false">MIN(MAX(0,-0.03444+0.00000000383*$BB31+0.299*0+0.84588*$BH31+89876.77*(BP31)),1)</f>
        <v>0.0892361325107383</v>
      </c>
      <c r="BR31" s="0" t="n">
        <v>5.95388406241852E-009</v>
      </c>
      <c r="BS31" s="28" t="n">
        <f aca="false">MIN(MAX(0,-0.03444+0.00000000383*$BB31+0.299*0+0.84588*$BH31+89876.77*(BR31)),1)</f>
        <v>0.0896178171203033</v>
      </c>
      <c r="BT31" s="0" t="n">
        <v>1.34100539609785E-008</v>
      </c>
      <c r="BU31" s="28" t="n">
        <f aca="false">MIN(MAX(0,-0.03444+0.00000000383*$BB31+0.299*0+0.84588*$BH31+89876.77*(BT31)),1)</f>
        <v>0.0902879535873571</v>
      </c>
      <c r="BV31" s="0" t="n">
        <v>1.03227097453813E-005</v>
      </c>
      <c r="BW31" s="28" t="n">
        <f aca="false">MIN(MAX(0,-0.03444+0.00000000383*$BB31+0.299*0+0.84588*$BH31+89876.77*(BV31)),1)</f>
        <v>1</v>
      </c>
    </row>
    <row r="32" customFormat="false" ht="12.75" hidden="false" customHeight="false" outlineLevel="0" collapsed="false">
      <c r="A32" s="0" t="n">
        <v>91</v>
      </c>
      <c r="B32" s="0" t="n">
        <v>195273</v>
      </c>
      <c r="C32" s="0" t="n">
        <v>91</v>
      </c>
      <c r="D32" s="0" t="n">
        <v>0</v>
      </c>
      <c r="E32" s="0" t="n">
        <v>130</v>
      </c>
      <c r="F32" s="0" t="n">
        <v>78</v>
      </c>
      <c r="G32" s="0" t="n">
        <v>0</v>
      </c>
      <c r="H32" s="0" t="n">
        <v>0</v>
      </c>
      <c r="I32" s="0" t="n">
        <v>0</v>
      </c>
      <c r="J32" s="0" t="n">
        <v>130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247</v>
      </c>
      <c r="R32" s="0" t="n">
        <v>0</v>
      </c>
      <c r="S32" s="0" t="n">
        <v>390</v>
      </c>
      <c r="T32" s="0" t="n">
        <v>0</v>
      </c>
      <c r="U32" s="0" t="n">
        <v>0</v>
      </c>
      <c r="V32" s="0" t="n">
        <v>65</v>
      </c>
      <c r="W32" s="0" t="n">
        <v>0</v>
      </c>
      <c r="X32" s="0" t="n">
        <v>6643</v>
      </c>
      <c r="Y32" s="0" t="n">
        <v>91</v>
      </c>
      <c r="Z32" s="0" t="n">
        <v>494</v>
      </c>
      <c r="AA32" s="0" t="n">
        <v>208</v>
      </c>
      <c r="AB32" s="0" t="n">
        <v>130</v>
      </c>
      <c r="AC32" s="0" t="n">
        <v>91</v>
      </c>
      <c r="AD32" s="0" t="n">
        <v>0</v>
      </c>
      <c r="AE32" s="0" t="n">
        <v>260</v>
      </c>
      <c r="AF32" s="0" t="n">
        <v>152750</v>
      </c>
      <c r="AG32" s="0" t="n">
        <v>0</v>
      </c>
      <c r="AH32" s="0" t="n">
        <v>0</v>
      </c>
      <c r="AI32" s="0" t="n">
        <v>0</v>
      </c>
      <c r="AJ32" s="0" t="n">
        <v>143</v>
      </c>
      <c r="AK32" s="0" t="n">
        <v>0</v>
      </c>
      <c r="AL32" s="0" t="n">
        <v>0</v>
      </c>
      <c r="AM32" s="0" t="n">
        <v>2275</v>
      </c>
      <c r="AN32" s="0" t="n">
        <v>0</v>
      </c>
      <c r="AO32" s="0" t="n">
        <v>0</v>
      </c>
      <c r="AP32" s="0" t="n">
        <v>0</v>
      </c>
      <c r="AQ32" s="0" t="n">
        <v>143</v>
      </c>
      <c r="AR32" s="0" t="n">
        <v>0</v>
      </c>
      <c r="AS32" s="0" t="n">
        <v>0</v>
      </c>
      <c r="AT32" s="0" t="n">
        <v>195</v>
      </c>
      <c r="AU32" s="0" t="n">
        <f aca="false">SUM(B32:AT32)</f>
        <v>359827</v>
      </c>
      <c r="AW32" s="0" t="n">
        <f aca="false">A32</f>
        <v>91</v>
      </c>
      <c r="AX32" s="0" t="str">
        <f aca="false">VLOOKUP(AW32,'Babblefish-APUMA'!$K$1:$L$59,2)</f>
        <v>Monterey County </v>
      </c>
      <c r="AY32" s="0" t="n">
        <f aca="false">SUM(C32:AT32)-MAX(C32:AT32)</f>
        <v>11804</v>
      </c>
      <c r="AZ32" s="0" t="n">
        <f aca="false">MAX(C32:AT32)</f>
        <v>152750</v>
      </c>
      <c r="BA32" s="0" t="n">
        <f aca="false">SUM(C32:AT32)</f>
        <v>164554</v>
      </c>
      <c r="BB32" s="0" t="n">
        <f aca="false">AU32</f>
        <v>359827</v>
      </c>
      <c r="BC32" s="2" t="n">
        <f aca="false">AY32/BA32</f>
        <v>0.0717332911992416</v>
      </c>
      <c r="BE32" s="0" t="n">
        <v>152750</v>
      </c>
      <c r="BF32" s="0" t="n">
        <v>10127</v>
      </c>
      <c r="BG32" s="0" t="n">
        <v>162877</v>
      </c>
      <c r="BH32" s="2" t="n">
        <v>0.0621757522547689</v>
      </c>
      <c r="BI32" s="2"/>
      <c r="BJ32" s="28" t="n">
        <f aca="false">-0.0364+0.00000000386*BB32+0.844*BH32</f>
        <v>0.017465267123025</v>
      </c>
      <c r="BK32" s="2"/>
      <c r="BL32" s="1" t="n">
        <f aca="false">BJ32*BB32</f>
        <v>6284.47467307671</v>
      </c>
      <c r="BM32" s="1"/>
      <c r="BN32" s="0" t="n">
        <v>0</v>
      </c>
      <c r="BO32" s="28" t="n">
        <f aca="false">-0.03444+0.00000000383*$BB32+0.299*0+0.84588*$BH32+89876.77*(BN32)</f>
        <v>0.0195313627272639</v>
      </c>
      <c r="BP32" s="0" t="n">
        <v>1.90665737397158E-009</v>
      </c>
      <c r="BQ32" s="28" t="n">
        <f aca="false">MIN(MAX(0,-0.03444+0.00000000383*$BB32+0.299*0+0.84588*$BH32+89876.77*(BP32)),1)</f>
        <v>0.0197027269335332</v>
      </c>
      <c r="BR32" s="0" t="n">
        <v>1.66695688509337E-008</v>
      </c>
      <c r="BS32" s="28" t="n">
        <f aca="false">MIN(MAX(0,-0.03444+0.00000000383*$BB32+0.299*0+0.84588*$BH32+89876.77*(BR32)),1)</f>
        <v>0.0210295697328785</v>
      </c>
      <c r="BT32" s="0" t="n">
        <v>3.24749100707464E-006</v>
      </c>
      <c r="BU32" s="28" t="n">
        <f aca="false">MIN(MAX(0,-0.03444+0.00000000383*$BB32+0.299*0+0.84588*$BH32+89876.77*(BT32)),1)</f>
        <v>0.311405365047179</v>
      </c>
      <c r="BV32" s="0" t="n">
        <v>2.48888759890772E-005</v>
      </c>
      <c r="BW32" s="28" t="n">
        <f aca="false">MIN(MAX(0,-0.03444+0.00000000383*$BB32+0.299*0+0.84588*$BH32+89876.77*(BV32)),1)</f>
        <v>1</v>
      </c>
    </row>
    <row r="33" customFormat="false" ht="12.75" hidden="false" customHeight="false" outlineLevel="0" collapsed="false">
      <c r="A33" s="0" t="n">
        <v>92</v>
      </c>
      <c r="B33" s="0" t="n">
        <v>1138865</v>
      </c>
      <c r="C33" s="0" t="n">
        <v>390</v>
      </c>
      <c r="D33" s="0" t="n">
        <v>104</v>
      </c>
      <c r="E33" s="0" t="n">
        <v>364</v>
      </c>
      <c r="F33" s="0" t="n">
        <v>182</v>
      </c>
      <c r="G33" s="0" t="n">
        <v>65</v>
      </c>
      <c r="H33" s="0" t="n">
        <v>78</v>
      </c>
      <c r="I33" s="0" t="n">
        <v>78</v>
      </c>
      <c r="J33" s="0" t="n">
        <v>0</v>
      </c>
      <c r="K33" s="0" t="n">
        <v>286</v>
      </c>
      <c r="L33" s="0" t="n">
        <v>325</v>
      </c>
      <c r="M33" s="0" t="n">
        <v>598</v>
      </c>
      <c r="N33" s="0" t="n">
        <v>78</v>
      </c>
      <c r="O33" s="0" t="n">
        <v>0</v>
      </c>
      <c r="P33" s="0" t="n">
        <v>481</v>
      </c>
      <c r="Q33" s="0" t="n">
        <v>143</v>
      </c>
      <c r="R33" s="0" t="n">
        <v>0</v>
      </c>
      <c r="S33" s="0" t="n">
        <v>0</v>
      </c>
      <c r="T33" s="0" t="n">
        <v>0</v>
      </c>
      <c r="U33" s="0" t="n">
        <v>195</v>
      </c>
      <c r="V33" s="0" t="n">
        <v>611</v>
      </c>
      <c r="W33" s="0" t="n">
        <v>0</v>
      </c>
      <c r="X33" s="0" t="n">
        <v>0</v>
      </c>
      <c r="Y33" s="0" t="n">
        <v>351</v>
      </c>
      <c r="Z33" s="0" t="n">
        <v>429</v>
      </c>
      <c r="AA33" s="0" t="n">
        <v>403</v>
      </c>
      <c r="AB33" s="0" t="n">
        <v>403</v>
      </c>
      <c r="AC33" s="0" t="n">
        <v>208</v>
      </c>
      <c r="AD33" s="0" t="n">
        <v>221</v>
      </c>
      <c r="AE33" s="0" t="n">
        <v>198133</v>
      </c>
      <c r="AF33" s="0" t="n">
        <v>0</v>
      </c>
      <c r="AG33" s="0" t="n">
        <v>1047085</v>
      </c>
      <c r="AH33" s="0" t="n">
        <v>9178</v>
      </c>
      <c r="AI33" s="0" t="n">
        <v>143</v>
      </c>
      <c r="AJ33" s="0" t="n">
        <v>9529</v>
      </c>
      <c r="AK33" s="0" t="n">
        <v>7098</v>
      </c>
      <c r="AL33" s="0" t="n">
        <v>78</v>
      </c>
      <c r="AM33" s="0" t="n">
        <v>416</v>
      </c>
      <c r="AN33" s="0" t="n">
        <v>0</v>
      </c>
      <c r="AO33" s="0" t="n">
        <v>78</v>
      </c>
      <c r="AP33" s="0" t="n">
        <v>0</v>
      </c>
      <c r="AQ33" s="0" t="n">
        <v>468</v>
      </c>
      <c r="AR33" s="0" t="n">
        <v>0</v>
      </c>
      <c r="AS33" s="0" t="n">
        <v>0</v>
      </c>
      <c r="AT33" s="0" t="n">
        <v>637</v>
      </c>
      <c r="AU33" s="0" t="n">
        <f aca="false">SUM(B33:AT33)</f>
        <v>2417701</v>
      </c>
      <c r="AW33" s="0" t="n">
        <f aca="false">A33</f>
        <v>92</v>
      </c>
      <c r="AX33" s="0" t="str">
        <f aca="false">VLOOKUP(AW33,'Babblefish-APUMA'!$K$1:$L$59,2)</f>
        <v>Orange County </v>
      </c>
      <c r="AY33" s="0" t="n">
        <f aca="false">SUM(C33:AT33)-MAX(C33:AT33)</f>
        <v>231751</v>
      </c>
      <c r="AZ33" s="0" t="n">
        <f aca="false">MAX(C33:AT33)</f>
        <v>1047085</v>
      </c>
      <c r="BA33" s="0" t="n">
        <f aca="false">SUM(C33:AT33)</f>
        <v>1278836</v>
      </c>
      <c r="BB33" s="0" t="n">
        <f aca="false">AU33</f>
        <v>2417701</v>
      </c>
      <c r="BC33" s="2" t="n">
        <f aca="false">AY33/BA33</f>
        <v>0.18122026592933</v>
      </c>
      <c r="BE33" s="0" t="n">
        <v>1047085</v>
      </c>
      <c r="BF33" s="0" t="n">
        <v>230425</v>
      </c>
      <c r="BG33" s="0" t="n">
        <v>1277510</v>
      </c>
      <c r="BH33" s="2" t="n">
        <v>0.180370408059428</v>
      </c>
      <c r="BI33" s="2"/>
      <c r="BJ33" s="28" t="n">
        <f aca="false">-0.0364+0.00000000386*BB33+0.844*BH33</f>
        <v>0.125164950262157</v>
      </c>
      <c r="BK33" s="2"/>
      <c r="BL33" s="1" t="n">
        <f aca="false">BJ33*BB33</f>
        <v>302611.425413768</v>
      </c>
      <c r="BM33" s="1"/>
      <c r="BN33" s="0" t="n">
        <v>0</v>
      </c>
      <c r="BO33" s="28" t="n">
        <f aca="false">-0.03444+0.00000000383*$BB33+0.299*0+0.84588*$BH33+89876.77*(BN33)</f>
        <v>0.127391515599309</v>
      </c>
      <c r="BP33" s="0" t="n">
        <v>6.76918336690636E-008</v>
      </c>
      <c r="BQ33" s="28" t="n">
        <f aca="false">MIN(MAX(0,-0.03444+0.00000000383*$BB33+0.299*0+0.84588*$BH33+89876.77*(BP33)),1)</f>
        <v>0.133475438964862</v>
      </c>
      <c r="BR33" s="0" t="n">
        <v>1.13380901032848E-007</v>
      </c>
      <c r="BS33" s="28" t="n">
        <f aca="false">MIN(MAX(0,-0.03444+0.00000000383*$BB33+0.299*0+0.84588*$BH33+89876.77*(BR33)),1)</f>
        <v>0.137581824763831</v>
      </c>
      <c r="BT33" s="0" t="n">
        <v>1.96775835449275E-007</v>
      </c>
      <c r="BU33" s="28" t="n">
        <f aca="false">MIN(MAX(0,-0.03444+0.00000000383*$BB33+0.299*0+0.84588*$BH33+89876.77*(BT33)),1)</f>
        <v>0.145077092103541</v>
      </c>
      <c r="BV33" s="0" t="n">
        <v>0.00106883612267642</v>
      </c>
      <c r="BW33" s="28" t="n">
        <f aca="false">MIN(MAX(0,-0.03444+0.00000000383*$BB33+0.299*0+0.84588*$BH33+89876.77*(BV33)),1)</f>
        <v>1</v>
      </c>
    </row>
    <row r="34" customFormat="false" ht="12.75" hidden="false" customHeight="false" outlineLevel="0" collapsed="false">
      <c r="A34" s="0" t="n">
        <v>93</v>
      </c>
      <c r="B34" s="0" t="n">
        <v>687843</v>
      </c>
      <c r="C34" s="0" t="n">
        <v>364</v>
      </c>
      <c r="D34" s="0" t="n">
        <v>351</v>
      </c>
      <c r="E34" s="0" t="n">
        <v>260</v>
      </c>
      <c r="F34" s="0" t="n">
        <v>39</v>
      </c>
      <c r="G34" s="0" t="n">
        <v>0</v>
      </c>
      <c r="H34" s="0" t="n">
        <v>117</v>
      </c>
      <c r="I34" s="0" t="n">
        <v>104</v>
      </c>
      <c r="J34" s="0" t="n">
        <v>0</v>
      </c>
      <c r="K34" s="0" t="n">
        <v>104</v>
      </c>
      <c r="L34" s="0" t="n">
        <v>130</v>
      </c>
      <c r="M34" s="0" t="n">
        <v>91</v>
      </c>
      <c r="N34" s="0" t="n">
        <v>0</v>
      </c>
      <c r="O34" s="0" t="n">
        <v>0</v>
      </c>
      <c r="P34" s="0" t="n">
        <v>130</v>
      </c>
      <c r="Q34" s="0" t="n">
        <v>104</v>
      </c>
      <c r="R34" s="0" t="n">
        <v>0</v>
      </c>
      <c r="S34" s="0" t="n">
        <v>0</v>
      </c>
      <c r="T34" s="0" t="n">
        <v>0</v>
      </c>
      <c r="U34" s="0" t="n">
        <v>104</v>
      </c>
      <c r="V34" s="0" t="n">
        <v>104</v>
      </c>
      <c r="W34" s="0" t="n">
        <v>0</v>
      </c>
      <c r="X34" s="0" t="n">
        <v>104</v>
      </c>
      <c r="Y34" s="0" t="n">
        <v>143</v>
      </c>
      <c r="Z34" s="0" t="n">
        <v>208</v>
      </c>
      <c r="AA34" s="0" t="n">
        <v>247</v>
      </c>
      <c r="AB34" s="0" t="n">
        <v>0</v>
      </c>
      <c r="AC34" s="0" t="n">
        <v>91</v>
      </c>
      <c r="AD34" s="0" t="n">
        <v>0</v>
      </c>
      <c r="AE34" s="0" t="n">
        <v>37401</v>
      </c>
      <c r="AF34" s="0" t="n">
        <v>234</v>
      </c>
      <c r="AG34" s="0" t="n">
        <v>48828</v>
      </c>
      <c r="AH34" s="0" t="n">
        <v>345176</v>
      </c>
      <c r="AI34" s="0" t="n">
        <v>104</v>
      </c>
      <c r="AJ34" s="0" t="n">
        <v>40846</v>
      </c>
      <c r="AK34" s="0" t="n">
        <v>7150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117</v>
      </c>
      <c r="AR34" s="0" t="n">
        <v>0</v>
      </c>
      <c r="AS34" s="0" t="n">
        <v>0</v>
      </c>
      <c r="AT34" s="0" t="n">
        <v>117</v>
      </c>
      <c r="AU34" s="0" t="n">
        <f aca="false">SUM(B34:AT34)</f>
        <v>1170611</v>
      </c>
      <c r="AW34" s="0" t="n">
        <f aca="false">A34</f>
        <v>93</v>
      </c>
      <c r="AX34" s="0" t="str">
        <f aca="false">VLOOKUP(AW34,'Babblefish-APUMA'!$K$1:$L$59,2)</f>
        <v>Riverside County </v>
      </c>
      <c r="AY34" s="0" t="n">
        <f aca="false">SUM(C34:AT34)-MAX(C34:AT34)</f>
        <v>137592</v>
      </c>
      <c r="AZ34" s="0" t="n">
        <f aca="false">MAX(C34:AT34)</f>
        <v>345176</v>
      </c>
      <c r="BA34" s="0" t="n">
        <f aca="false">SUM(C34:AT34)</f>
        <v>482768</v>
      </c>
      <c r="BB34" s="0" t="n">
        <f aca="false">AU34</f>
        <v>1170611</v>
      </c>
      <c r="BC34" s="2" t="n">
        <f aca="false">AY34/BA34</f>
        <v>0.285006462731581</v>
      </c>
      <c r="BE34" s="0" t="n">
        <v>345176</v>
      </c>
      <c r="BF34" s="0" t="n">
        <v>60385</v>
      </c>
      <c r="BG34" s="0" t="n">
        <v>405561</v>
      </c>
      <c r="BH34" s="2" t="n">
        <v>0.148892521716832</v>
      </c>
      <c r="BI34" s="2"/>
      <c r="BJ34" s="28" t="n">
        <f aca="false">-0.0364+0.00000000386*BB34+0.844*BH34</f>
        <v>0.093783846789006</v>
      </c>
      <c r="BK34" s="2"/>
      <c r="BL34" s="1" t="n">
        <f aca="false">BJ34*BB34</f>
        <v>109784.402673525</v>
      </c>
      <c r="BM34" s="1"/>
      <c r="BN34" s="0" t="n">
        <v>0</v>
      </c>
      <c r="BO34" s="28" t="n">
        <f aca="false">-0.03444+0.00000000383*$BB34+0.299*0+0.84588*$BH34+89876.77*(BN34)</f>
        <v>0.0959886463998336</v>
      </c>
      <c r="BP34" s="0" t="n">
        <v>8.73094233479556E-007</v>
      </c>
      <c r="BQ34" s="28" t="n">
        <f aca="false">MIN(MAX(0,-0.03444+0.00000000383*$BB34+0.299*0+0.84588*$BH34+89876.77*(BP34)),1)</f>
        <v>0.174459536010602</v>
      </c>
      <c r="BR34" s="0" t="n">
        <v>2.21940220476248E-006</v>
      </c>
      <c r="BS34" s="28" t="n">
        <f aca="false">MIN(MAX(0,-0.03444+0.00000000383*$BB34+0.299*0+0.84588*$BH34+89876.77*(BR34)),1)</f>
        <v>0.295461347894764</v>
      </c>
      <c r="BT34" s="0" t="n">
        <v>4.96052748586899E-006</v>
      </c>
      <c r="BU34" s="28" t="n">
        <f aca="false">MIN(MAX(0,-0.03444+0.00000000383*$BB34+0.299*0+0.84588*$BH34+89876.77*(BT34)),1)</f>
        <v>0.541824834325959</v>
      </c>
      <c r="BV34" s="0" t="n">
        <v>0.00658206356457392</v>
      </c>
      <c r="BW34" s="28" t="n">
        <f aca="false">MIN(MAX(0,-0.03444+0.00000000383*$BB34+0.299*0+0.84588*$BH34+89876.77*(BV34)),1)</f>
        <v>1</v>
      </c>
    </row>
    <row r="35" customFormat="false" ht="12.75" hidden="false" customHeight="false" outlineLevel="0" collapsed="false">
      <c r="A35" s="0" t="n">
        <v>94</v>
      </c>
      <c r="B35" s="0" t="n">
        <v>559078</v>
      </c>
      <c r="C35" s="0" t="n">
        <v>390</v>
      </c>
      <c r="D35" s="0" t="n">
        <v>481</v>
      </c>
      <c r="E35" s="0" t="n">
        <v>117</v>
      </c>
      <c r="F35" s="0" t="n">
        <v>104</v>
      </c>
      <c r="G35" s="0" t="n">
        <v>286</v>
      </c>
      <c r="H35" s="0" t="n">
        <v>169</v>
      </c>
      <c r="I35" s="0" t="n">
        <v>403</v>
      </c>
      <c r="J35" s="0" t="n">
        <v>429</v>
      </c>
      <c r="K35" s="0" t="n">
        <v>234</v>
      </c>
      <c r="L35" s="0" t="n">
        <v>18044</v>
      </c>
      <c r="M35" s="0" t="n">
        <v>16146</v>
      </c>
      <c r="N35" s="0" t="n">
        <v>2574</v>
      </c>
      <c r="O35" s="0" t="n">
        <v>312</v>
      </c>
      <c r="P35" s="0" t="n">
        <v>1482</v>
      </c>
      <c r="Q35" s="0" t="n">
        <v>481</v>
      </c>
      <c r="R35" s="0" t="n">
        <v>741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52</v>
      </c>
      <c r="AA35" s="0" t="n">
        <v>1677</v>
      </c>
      <c r="AB35" s="0" t="n">
        <v>1495</v>
      </c>
      <c r="AC35" s="0" t="n">
        <v>117</v>
      </c>
      <c r="AD35" s="0" t="n">
        <v>0</v>
      </c>
      <c r="AE35" s="0" t="n">
        <v>351</v>
      </c>
      <c r="AF35" s="0" t="n">
        <v>221</v>
      </c>
      <c r="AG35" s="0" t="n">
        <v>169</v>
      </c>
      <c r="AH35" s="0" t="n">
        <v>0</v>
      </c>
      <c r="AI35" s="0" t="n">
        <v>424983</v>
      </c>
      <c r="AJ35" s="0" t="n">
        <v>130</v>
      </c>
      <c r="AK35" s="0" t="n">
        <v>689</v>
      </c>
      <c r="AL35" s="0" t="n">
        <v>6344</v>
      </c>
      <c r="AM35" s="0" t="n">
        <v>1222</v>
      </c>
      <c r="AN35" s="0" t="n">
        <v>2327</v>
      </c>
      <c r="AO35" s="0" t="n">
        <v>0</v>
      </c>
      <c r="AP35" s="0" t="n">
        <v>182</v>
      </c>
      <c r="AQ35" s="0" t="n">
        <v>0</v>
      </c>
      <c r="AR35" s="0" t="n">
        <v>0</v>
      </c>
      <c r="AS35" s="0" t="n">
        <v>0</v>
      </c>
      <c r="AT35" s="0" t="n">
        <v>130</v>
      </c>
      <c r="AU35" s="0" t="n">
        <f aca="false">SUM(B35:AT35)</f>
        <v>1041560</v>
      </c>
      <c r="AW35" s="0" t="n">
        <f aca="false">A35</f>
        <v>94</v>
      </c>
      <c r="AX35" s="0" t="str">
        <f aca="false">VLOOKUP(AW35,'Babblefish-APUMA'!$K$1:$L$59,2)</f>
        <v>Sacramento County </v>
      </c>
      <c r="AY35" s="0" t="n">
        <f aca="false">SUM(C35:AT35)-MAX(C35:AT35)</f>
        <v>57499</v>
      </c>
      <c r="AZ35" s="0" t="n">
        <f aca="false">MAX(C35:AT35)</f>
        <v>424983</v>
      </c>
      <c r="BA35" s="0" t="n">
        <f aca="false">SUM(C35:AT35)</f>
        <v>482482</v>
      </c>
      <c r="BB35" s="0" t="n">
        <f aca="false">AU35</f>
        <v>1041560</v>
      </c>
      <c r="BC35" s="2" t="n">
        <f aca="false">AY35/BA35</f>
        <v>0.119173357762569</v>
      </c>
      <c r="BE35" s="0" t="n">
        <v>424983</v>
      </c>
      <c r="BF35" s="0" t="n">
        <v>74555</v>
      </c>
      <c r="BG35" s="0" t="n">
        <v>499538</v>
      </c>
      <c r="BH35" s="2" t="n">
        <v>0.149247905064279</v>
      </c>
      <c r="BI35" s="2"/>
      <c r="BJ35" s="28" t="n">
        <f aca="false">-0.0364+0.00000000386*BB35+0.844*BH35</f>
        <v>0.0935856534742518</v>
      </c>
      <c r="BK35" s="2"/>
      <c r="BL35" s="1" t="n">
        <f aca="false">BJ35*BB35</f>
        <v>97475.0732326417</v>
      </c>
      <c r="BM35" s="1"/>
      <c r="BN35" s="0" t="n">
        <v>0</v>
      </c>
      <c r="BO35" s="28" t="n">
        <f aca="false">-0.03444+0.00000000383*$BB35+0.299*0+0.84588*$BH35+89876.77*(BN35)</f>
        <v>0.0957949927357727</v>
      </c>
      <c r="BP35" s="0" t="n">
        <v>4.84874317714098E-007</v>
      </c>
      <c r="BQ35" s="28" t="n">
        <f aca="false">MIN(MAX(0,-0.03444+0.00000000383*$BB35+0.299*0+0.84588*$BH35+89876.77*(BP35)),1)</f>
        <v>0.13937393026787</v>
      </c>
      <c r="BR35" s="0" t="n">
        <v>1.43777257880681E-005</v>
      </c>
      <c r="BS35" s="28" t="n">
        <f aca="false">MIN(MAX(0,-0.03444+0.00000000383*$BB35+0.299*0+0.84588*$BH35+89876.77*(BR35)),1)</f>
        <v>1</v>
      </c>
      <c r="BT35" s="0" t="n">
        <v>0.000157380846439714</v>
      </c>
      <c r="BU35" s="28" t="n">
        <f aca="false">MIN(MAX(0,-0.03444+0.00000000383*$BB35+0.299*0+0.84588*$BH35+89876.77*(BT35)),1)</f>
        <v>1</v>
      </c>
      <c r="BV35" s="0" t="n">
        <v>0.000200102624423062</v>
      </c>
      <c r="BW35" s="28" t="n">
        <f aca="false">MIN(MAX(0,-0.03444+0.00000000383*$BB35+0.299*0+0.84588*$BH35+89876.77*(BV35)),1)</f>
        <v>1</v>
      </c>
    </row>
    <row r="36" customFormat="false" ht="12.75" hidden="false" customHeight="false" outlineLevel="0" collapsed="false">
      <c r="A36" s="0" t="n">
        <v>95</v>
      </c>
      <c r="B36" s="0" t="n">
        <v>822029</v>
      </c>
      <c r="C36" s="0" t="n">
        <v>390</v>
      </c>
      <c r="D36" s="0" t="n">
        <v>676</v>
      </c>
      <c r="E36" s="0" t="n">
        <v>546</v>
      </c>
      <c r="F36" s="0" t="n">
        <v>208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104</v>
      </c>
      <c r="M36" s="0" t="n">
        <v>78</v>
      </c>
      <c r="N36" s="0" t="n">
        <v>260</v>
      </c>
      <c r="O36" s="0" t="n">
        <v>156</v>
      </c>
      <c r="P36" s="0" t="n">
        <v>273</v>
      </c>
      <c r="Q36" s="0" t="n">
        <v>0</v>
      </c>
      <c r="R36" s="0" t="n">
        <v>0</v>
      </c>
      <c r="S36" s="0" t="n">
        <v>0</v>
      </c>
      <c r="T36" s="0" t="n">
        <v>117</v>
      </c>
      <c r="U36" s="0" t="n">
        <v>0</v>
      </c>
      <c r="V36" s="0" t="n">
        <v>221</v>
      </c>
      <c r="W36" s="0" t="n">
        <v>0</v>
      </c>
      <c r="X36" s="0" t="n">
        <v>0</v>
      </c>
      <c r="Y36" s="0" t="n">
        <v>312</v>
      </c>
      <c r="Z36" s="0" t="n">
        <v>0</v>
      </c>
      <c r="AA36" s="0" t="n">
        <v>78</v>
      </c>
      <c r="AB36" s="0" t="n">
        <v>52</v>
      </c>
      <c r="AC36" s="0" t="n">
        <v>0</v>
      </c>
      <c r="AD36" s="0" t="n">
        <v>1638</v>
      </c>
      <c r="AE36" s="0" t="n">
        <v>119886</v>
      </c>
      <c r="AF36" s="0" t="n">
        <v>299</v>
      </c>
      <c r="AG36" s="0" t="n">
        <v>29679</v>
      </c>
      <c r="AH36" s="0" t="n">
        <v>37102</v>
      </c>
      <c r="AI36" s="0" t="n">
        <v>0</v>
      </c>
      <c r="AJ36" s="0" t="n">
        <v>414232</v>
      </c>
      <c r="AK36" s="0" t="n">
        <v>767</v>
      </c>
      <c r="AL36" s="0" t="n">
        <v>130</v>
      </c>
      <c r="AM36" s="0" t="n">
        <v>221</v>
      </c>
      <c r="AN36" s="0" t="n">
        <v>0</v>
      </c>
      <c r="AO36" s="0" t="n">
        <v>117</v>
      </c>
      <c r="AP36" s="0" t="n">
        <v>65</v>
      </c>
      <c r="AQ36" s="0" t="n">
        <v>325</v>
      </c>
      <c r="AR36" s="0" t="n">
        <v>0</v>
      </c>
      <c r="AS36" s="0" t="n">
        <v>0</v>
      </c>
      <c r="AT36" s="0" t="n">
        <v>117</v>
      </c>
      <c r="AU36" s="0" t="n">
        <f aca="false">SUM(B36:AT36)</f>
        <v>1430078</v>
      </c>
      <c r="AW36" s="0" t="n">
        <f aca="false">A36</f>
        <v>95</v>
      </c>
      <c r="AX36" s="0" t="str">
        <f aca="false">VLOOKUP(AW36,'Babblefish-APUMA'!$K$1:$L$59,2)</f>
        <v>San Bernardino County </v>
      </c>
      <c r="AY36" s="0" t="n">
        <f aca="false">SUM(C36:AT36)-MAX(C36:AT36)</f>
        <v>193817</v>
      </c>
      <c r="AZ36" s="0" t="n">
        <f aca="false">MAX(C36:AT36)</f>
        <v>414232</v>
      </c>
      <c r="BA36" s="0" t="n">
        <f aca="false">SUM(C36:AT36)</f>
        <v>608049</v>
      </c>
      <c r="BB36" s="0" t="n">
        <f aca="false">AU36</f>
        <v>1430078</v>
      </c>
      <c r="BC36" s="2" t="n">
        <f aca="false">AY36/BA36</f>
        <v>0.318752271609689</v>
      </c>
      <c r="BE36" s="0" t="n">
        <v>414232</v>
      </c>
      <c r="BF36" s="0" t="n">
        <v>87646</v>
      </c>
      <c r="BG36" s="0" t="n">
        <v>501878</v>
      </c>
      <c r="BH36" s="2" t="n">
        <v>0.174636066932601</v>
      </c>
      <c r="BI36" s="2"/>
      <c r="BJ36" s="28" t="n">
        <f aca="false">-0.0364+0.00000000386*BB36+0.844*BH36</f>
        <v>0.116512941571115</v>
      </c>
      <c r="BK36" s="2"/>
      <c r="BL36" s="1" t="n">
        <f aca="false">BJ36*BB36</f>
        <v>166622.594456138</v>
      </c>
      <c r="BM36" s="1"/>
      <c r="BN36" s="0" t="n">
        <v>0</v>
      </c>
      <c r="BO36" s="28" t="n">
        <f aca="false">-0.03444+0.00000000383*$BB36+0.299*0+0.84588*$BH36+89876.77*(BN36)</f>
        <v>0.118758355036949</v>
      </c>
      <c r="BP36" s="0" t="n">
        <v>8.62186280055579E-007</v>
      </c>
      <c r="BQ36" s="28" t="n">
        <f aca="false">MIN(MAX(0,-0.03444+0.00000000383*$BB36+0.299*0+0.84588*$BH36+89876.77*(BP36)),1)</f>
        <v>0.19624887302666</v>
      </c>
      <c r="BR36" s="0" t="n">
        <v>1.80934349780233E-006</v>
      </c>
      <c r="BS36" s="28" t="n">
        <f aca="false">MIN(MAX(0,-0.03444+0.00000000383*$BB36+0.299*0+0.84588*$BH36+89876.77*(BR36)),1)</f>
        <v>0.281376304439924</v>
      </c>
      <c r="BT36" s="0" t="n">
        <v>4.24706906746989E-006</v>
      </c>
      <c r="BU36" s="28" t="n">
        <f aca="false">MIN(MAX(0,-0.03444+0.00000000383*$BB36+0.299*0+0.84588*$BH36+89876.77*(BT36)),1)</f>
        <v>0.500471204788055</v>
      </c>
      <c r="BV36" s="0" t="n">
        <v>0.0103061976328785</v>
      </c>
      <c r="BW36" s="28" t="n">
        <f aca="false">MIN(MAX(0,-0.03444+0.00000000383*$BB36+0.299*0+0.84588*$BH36+89876.77*(BV36)),1)</f>
        <v>1</v>
      </c>
    </row>
    <row r="37" customFormat="false" ht="12.75" hidden="false" customHeight="false" outlineLevel="0" collapsed="false">
      <c r="A37" s="0" t="n">
        <v>96</v>
      </c>
      <c r="B37" s="0" t="n">
        <v>1264757</v>
      </c>
      <c r="C37" s="0" t="n">
        <v>572</v>
      </c>
      <c r="D37" s="0" t="n">
        <v>169</v>
      </c>
      <c r="E37" s="0" t="n">
        <v>130</v>
      </c>
      <c r="F37" s="0" t="n">
        <v>390</v>
      </c>
      <c r="G37" s="0" t="n">
        <v>78</v>
      </c>
      <c r="H37" s="0" t="n">
        <v>130</v>
      </c>
      <c r="I37" s="0" t="n">
        <v>208</v>
      </c>
      <c r="J37" s="0" t="n">
        <v>260</v>
      </c>
      <c r="K37" s="0" t="n">
        <v>78</v>
      </c>
      <c r="L37" s="0" t="n">
        <v>0</v>
      </c>
      <c r="M37" s="0" t="n">
        <v>169</v>
      </c>
      <c r="N37" s="0" t="n">
        <v>260</v>
      </c>
      <c r="O37" s="0" t="n">
        <v>143</v>
      </c>
      <c r="P37" s="0" t="n">
        <v>1209</v>
      </c>
      <c r="Q37" s="0" t="n">
        <v>949</v>
      </c>
      <c r="R37" s="0" t="n">
        <v>286</v>
      </c>
      <c r="S37" s="0" t="n">
        <v>0</v>
      </c>
      <c r="T37" s="0" t="n">
        <v>208</v>
      </c>
      <c r="U37" s="0" t="n">
        <v>65</v>
      </c>
      <c r="V37" s="0" t="n">
        <v>91</v>
      </c>
      <c r="W37" s="0" t="n">
        <v>39</v>
      </c>
      <c r="X37" s="0" t="n">
        <v>169</v>
      </c>
      <c r="Y37" s="0" t="n">
        <v>182</v>
      </c>
      <c r="Z37" s="0" t="n">
        <v>0</v>
      </c>
      <c r="AA37" s="0" t="n">
        <v>1287</v>
      </c>
      <c r="AB37" s="0" t="n">
        <v>182</v>
      </c>
      <c r="AC37" s="0" t="n">
        <v>143</v>
      </c>
      <c r="AD37" s="0" t="n">
        <v>390</v>
      </c>
      <c r="AE37" s="0" t="n">
        <v>7631</v>
      </c>
      <c r="AF37" s="0" t="n">
        <v>351</v>
      </c>
      <c r="AG37" s="0" t="n">
        <v>13065</v>
      </c>
      <c r="AH37" s="0" t="n">
        <v>5590</v>
      </c>
      <c r="AI37" s="0" t="n">
        <v>221</v>
      </c>
      <c r="AJ37" s="0" t="n">
        <v>1456</v>
      </c>
      <c r="AK37" s="0" t="n">
        <v>1184040</v>
      </c>
      <c r="AL37" s="0" t="n">
        <v>169</v>
      </c>
      <c r="AM37" s="0" t="n">
        <v>403</v>
      </c>
      <c r="AN37" s="0" t="n">
        <v>65</v>
      </c>
      <c r="AO37" s="0" t="n">
        <v>91</v>
      </c>
      <c r="AP37" s="0" t="n">
        <v>234</v>
      </c>
      <c r="AQ37" s="0" t="n">
        <v>429</v>
      </c>
      <c r="AR37" s="0" t="n">
        <v>0</v>
      </c>
      <c r="AS37" s="0" t="n">
        <v>117</v>
      </c>
      <c r="AT37" s="0" t="n">
        <v>4251</v>
      </c>
      <c r="AU37" s="0" t="n">
        <f aca="false">SUM(B37:AT37)</f>
        <v>2490657</v>
      </c>
      <c r="AW37" s="0" t="n">
        <f aca="false">A37</f>
        <v>96</v>
      </c>
      <c r="AX37" s="0" t="str">
        <f aca="false">VLOOKUP(AW37,'Babblefish-APUMA'!$K$1:$L$59,2)</f>
        <v>San Diego County </v>
      </c>
      <c r="AY37" s="0" t="n">
        <f aca="false">SUM(C37:AT37)-MAX(C37:AT37)</f>
        <v>41860</v>
      </c>
      <c r="AZ37" s="0" t="n">
        <f aca="false">MAX(C37:AT37)</f>
        <v>1184040</v>
      </c>
      <c r="BA37" s="0" t="n">
        <f aca="false">SUM(C37:AT37)</f>
        <v>1225900</v>
      </c>
      <c r="BB37" s="0" t="n">
        <f aca="false">AU37</f>
        <v>2490657</v>
      </c>
      <c r="BC37" s="2" t="n">
        <f aca="false">AY37/BA37</f>
        <v>0.0341463414634146</v>
      </c>
      <c r="BE37" s="0" t="n">
        <v>1184040</v>
      </c>
      <c r="BF37" s="0" t="n">
        <v>22412</v>
      </c>
      <c r="BG37" s="0" t="n">
        <v>1206452</v>
      </c>
      <c r="BH37" s="2" t="n">
        <v>0.0185767854833843</v>
      </c>
      <c r="BI37" s="2"/>
      <c r="BJ37" s="28" t="n">
        <f aca="false">-0.0364+0.00000000386*BB37+0.844*BH37</f>
        <v>-0.0111072570320236</v>
      </c>
      <c r="BK37" s="2"/>
      <c r="BL37" s="1" t="n">
        <f aca="false">BJ37*BB37</f>
        <v>-27664.3674776089</v>
      </c>
      <c r="BM37" s="1"/>
      <c r="BN37" s="0" t="n">
        <v>0</v>
      </c>
      <c r="BO37" s="28" t="n">
        <f aca="false">-0.03444+0.00000000383*$BB37+0.299*0+0.84588*$BH37+89876.77*(BN37)</f>
        <v>-0.00918705238531485</v>
      </c>
      <c r="BP37" s="0" t="n">
        <v>1.86965227763584E-010</v>
      </c>
      <c r="BQ37" s="28" t="n">
        <f aca="false">MIN(MAX(0,-0.03444+0.00000000383*$BB37+0.299*0+0.84588*$BH37+89876.77*(BP37)),1)</f>
        <v>0</v>
      </c>
      <c r="BR37" s="0" t="n">
        <v>1.78953296928086E-009</v>
      </c>
      <c r="BS37" s="28" t="n">
        <f aca="false">MIN(MAX(0,-0.03444+0.00000000383*$BB37+0.299*0+0.84588*$BH37+89876.77*(BR37)),1)</f>
        <v>0</v>
      </c>
      <c r="BT37" s="0" t="n">
        <v>6.51329909934278E-009</v>
      </c>
      <c r="BU37" s="28" t="n">
        <f aca="false">MIN(MAX(0,-0.03444+0.00000000383*$BB37+0.299*0+0.84588*$BH37+89876.77*(BT37)),1)</f>
        <v>0</v>
      </c>
      <c r="BV37" s="0" t="n">
        <v>8.87431906975235E-007</v>
      </c>
      <c r="BW37" s="28" t="n">
        <f aca="false">MIN(MAX(0,-0.03444+0.00000000383*$BB37+0.299*0+0.84588*$BH37+89876.77*(BV37)),1)</f>
        <v>0.0705724610085597</v>
      </c>
    </row>
    <row r="38" customFormat="false" ht="12.75" hidden="false" customHeight="false" outlineLevel="0" collapsed="false">
      <c r="A38" s="0" t="n">
        <v>97</v>
      </c>
      <c r="B38" s="0" t="n">
        <v>154115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130</v>
      </c>
      <c r="M38" s="0" t="n">
        <v>0</v>
      </c>
      <c r="N38" s="0" t="n">
        <v>0</v>
      </c>
      <c r="O38" s="0" t="n">
        <v>0</v>
      </c>
      <c r="P38" s="0" t="n">
        <v>585</v>
      </c>
      <c r="Q38" s="0" t="n">
        <v>728</v>
      </c>
      <c r="R38" s="0" t="n">
        <v>91</v>
      </c>
      <c r="S38" s="0" t="n">
        <v>0</v>
      </c>
      <c r="T38" s="0" t="n">
        <v>91</v>
      </c>
      <c r="U38" s="0" t="n">
        <v>0</v>
      </c>
      <c r="V38" s="0" t="n">
        <v>65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9776</v>
      </c>
      <c r="AB38" s="0" t="n">
        <v>2015</v>
      </c>
      <c r="AC38" s="0" t="n">
        <v>91</v>
      </c>
      <c r="AD38" s="0" t="n">
        <v>0</v>
      </c>
      <c r="AE38" s="0" t="n">
        <v>65</v>
      </c>
      <c r="AF38" s="0" t="n">
        <v>0</v>
      </c>
      <c r="AG38" s="0" t="n">
        <v>0</v>
      </c>
      <c r="AH38" s="0" t="n">
        <v>0</v>
      </c>
      <c r="AI38" s="0" t="n">
        <v>2171</v>
      </c>
      <c r="AJ38" s="0" t="n">
        <v>0</v>
      </c>
      <c r="AK38" s="0" t="n">
        <v>0</v>
      </c>
      <c r="AL38" s="0" t="n">
        <v>85462</v>
      </c>
      <c r="AM38" s="0" t="n">
        <v>3159</v>
      </c>
      <c r="AN38" s="0" t="n">
        <v>234</v>
      </c>
      <c r="AO38" s="0" t="n">
        <v>0</v>
      </c>
      <c r="AP38" s="0" t="n">
        <v>4927</v>
      </c>
      <c r="AQ38" s="0" t="n">
        <v>0</v>
      </c>
      <c r="AR38" s="0" t="n">
        <v>0</v>
      </c>
      <c r="AS38" s="0" t="n">
        <v>0</v>
      </c>
      <c r="AT38" s="0" t="n">
        <v>117</v>
      </c>
      <c r="AU38" s="0" t="n">
        <f aca="false">SUM(B38:AT38)</f>
        <v>263822</v>
      </c>
      <c r="AW38" s="0" t="n">
        <f aca="false">A38</f>
        <v>97</v>
      </c>
      <c r="AX38" s="0" t="str">
        <f aca="false">VLOOKUP(AW38,'Babblefish-APUMA'!$K$1:$L$59,2)</f>
        <v>San Joaquin County </v>
      </c>
      <c r="AY38" s="0" t="n">
        <f aca="false">SUM(C38:AT38)-MAX(C38:AT38)</f>
        <v>24245</v>
      </c>
      <c r="AZ38" s="0" t="n">
        <f aca="false">MAX(C38:AT38)</f>
        <v>85462</v>
      </c>
      <c r="BA38" s="0" t="n">
        <f aca="false">SUM(C38:AT38)</f>
        <v>109707</v>
      </c>
      <c r="BB38" s="0" t="n">
        <f aca="false">AU38</f>
        <v>263822</v>
      </c>
      <c r="BC38" s="2" t="n">
        <f aca="false">AY38/BA38</f>
        <v>0.220997748548406</v>
      </c>
      <c r="BE38" s="0" t="n">
        <v>85462</v>
      </c>
      <c r="BF38" s="0" t="n">
        <v>22607</v>
      </c>
      <c r="BG38" s="0" t="n">
        <v>108069</v>
      </c>
      <c r="BH38" s="2" t="n">
        <v>0.209190424636112</v>
      </c>
      <c r="BI38" s="2"/>
      <c r="BJ38" s="28" t="n">
        <f aca="false">-0.0364+0.00000000386*BB38+0.844*BH38</f>
        <v>0.141175071312879</v>
      </c>
      <c r="BK38" s="2"/>
      <c r="BL38" s="1" t="n">
        <f aca="false">BJ38*BB38</f>
        <v>37245.0896639063</v>
      </c>
      <c r="BM38" s="1"/>
      <c r="BN38" s="0" t="n">
        <v>0</v>
      </c>
      <c r="BO38" s="28" t="n">
        <f aca="false">-0.03444+0.00000000383*$BB38+0.299*0+0.84588*$BH38+89876.77*(BN38)</f>
        <v>0.143520434651195</v>
      </c>
      <c r="BP38" s="0" t="n">
        <v>1.57346262151389E-006</v>
      </c>
      <c r="BQ38" s="28" t="n">
        <f aca="false">MIN(MAX(0,-0.03444+0.00000000383*$BB38+0.299*0+0.84588*$BH38+89876.77*(BP38)),1)</f>
        <v>0.284938172788596</v>
      </c>
      <c r="BR38" s="0" t="n">
        <v>0.000297812491047481</v>
      </c>
      <c r="BS38" s="28" t="n">
        <f aca="false">MIN(MAX(0,-0.03444+0.00000000383*$BB38+0.299*0+0.84588*$BH38+89876.77*(BR38)),1)</f>
        <v>1</v>
      </c>
      <c r="BT38" s="0" t="n">
        <v>0.00222331464081967</v>
      </c>
      <c r="BU38" s="28" t="n">
        <f aca="false">MIN(MAX(0,-0.03444+0.00000000383*$BB38+0.299*0+0.84588*$BH38+89876.77*(BT38)),1)</f>
        <v>1</v>
      </c>
      <c r="BV38" s="0" t="n">
        <v>0.00234964141789403</v>
      </c>
      <c r="BW38" s="28" t="n">
        <f aca="false">MIN(MAX(0,-0.03444+0.00000000383*$BB38+0.299*0+0.84588*$BH38+89876.77*(BV38)),1)</f>
        <v>1</v>
      </c>
    </row>
    <row r="39" customFormat="false" ht="12.75" hidden="false" customHeight="false" outlineLevel="0" collapsed="false">
      <c r="A39" s="0" t="n">
        <v>98</v>
      </c>
      <c r="B39" s="0" t="n">
        <v>686517</v>
      </c>
      <c r="C39" s="0" t="n">
        <v>91</v>
      </c>
      <c r="D39" s="0" t="n">
        <v>143</v>
      </c>
      <c r="E39" s="0" t="n">
        <v>234</v>
      </c>
      <c r="F39" s="0" t="n">
        <v>182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338</v>
      </c>
      <c r="M39" s="0" t="n">
        <v>156</v>
      </c>
      <c r="N39" s="0" t="n">
        <v>52</v>
      </c>
      <c r="O39" s="0" t="n">
        <v>468</v>
      </c>
      <c r="P39" s="0" t="n">
        <v>8112</v>
      </c>
      <c r="Q39" s="0" t="n">
        <v>32188</v>
      </c>
      <c r="R39" s="0" t="n">
        <v>0</v>
      </c>
      <c r="S39" s="0" t="n">
        <v>1183</v>
      </c>
      <c r="T39" s="0" t="n">
        <v>0</v>
      </c>
      <c r="U39" s="0" t="n">
        <v>0</v>
      </c>
      <c r="V39" s="0" t="n">
        <v>65</v>
      </c>
      <c r="W39" s="0" t="n">
        <v>0</v>
      </c>
      <c r="X39" s="0" t="n">
        <v>4875</v>
      </c>
      <c r="Y39" s="0" t="n">
        <v>0</v>
      </c>
      <c r="Z39" s="0" t="n">
        <v>130</v>
      </c>
      <c r="AA39" s="0" t="n">
        <v>23764</v>
      </c>
      <c r="AB39" s="0" t="n">
        <v>12389</v>
      </c>
      <c r="AC39" s="0" t="n">
        <v>0</v>
      </c>
      <c r="AD39" s="0" t="n">
        <v>195</v>
      </c>
      <c r="AE39" s="0" t="n">
        <v>975</v>
      </c>
      <c r="AF39" s="0" t="n">
        <v>715</v>
      </c>
      <c r="AG39" s="0" t="n">
        <v>156</v>
      </c>
      <c r="AH39" s="0" t="n">
        <v>0</v>
      </c>
      <c r="AI39" s="0" t="n">
        <v>741</v>
      </c>
      <c r="AJ39" s="0" t="n">
        <v>0</v>
      </c>
      <c r="AK39" s="0" t="n">
        <v>221</v>
      </c>
      <c r="AL39" s="0" t="n">
        <v>780</v>
      </c>
      <c r="AM39" s="0" t="n">
        <v>714948</v>
      </c>
      <c r="AN39" s="0" t="n">
        <v>403</v>
      </c>
      <c r="AO39" s="0" t="n">
        <v>273</v>
      </c>
      <c r="AP39" s="0" t="n">
        <v>156</v>
      </c>
      <c r="AQ39" s="0" t="n">
        <v>130</v>
      </c>
      <c r="AR39" s="0" t="n">
        <v>0</v>
      </c>
      <c r="AS39" s="0" t="n">
        <v>0</v>
      </c>
      <c r="AT39" s="0" t="n">
        <v>182</v>
      </c>
      <c r="AU39" s="0" t="n">
        <f aca="false">SUM(B39:AT39)</f>
        <v>1490762</v>
      </c>
      <c r="AW39" s="0" t="n">
        <f aca="false">A39</f>
        <v>98</v>
      </c>
      <c r="AX39" s="0" t="str">
        <f aca="false">VLOOKUP(AW39,'Babblefish-APUMA'!$K$1:$L$59,2)</f>
        <v>Santa Clara County </v>
      </c>
      <c r="AY39" s="0" t="n">
        <f aca="false">SUM(C39:AT39)-MAX(C39:AT39)</f>
        <v>89297</v>
      </c>
      <c r="AZ39" s="0" t="n">
        <f aca="false">MAX(C39:AT39)</f>
        <v>714948</v>
      </c>
      <c r="BA39" s="0" t="n">
        <f aca="false">SUM(C39:AT39)</f>
        <v>804245</v>
      </c>
      <c r="BB39" s="0" t="n">
        <f aca="false">AU39</f>
        <v>1490762</v>
      </c>
      <c r="BC39" s="2" t="n">
        <f aca="false">AY39/BA39</f>
        <v>0.111032085993696</v>
      </c>
      <c r="BE39" s="0" t="n">
        <v>714948</v>
      </c>
      <c r="BF39" s="0" t="n">
        <v>149006</v>
      </c>
      <c r="BG39" s="0" t="n">
        <v>863954</v>
      </c>
      <c r="BH39" s="2" t="n">
        <v>0.172469830569683</v>
      </c>
      <c r="BI39" s="2"/>
      <c r="BJ39" s="28" t="n">
        <f aca="false">-0.0364+0.00000000386*BB39+0.844*BH39</f>
        <v>0.114918878320813</v>
      </c>
      <c r="BK39" s="2"/>
      <c r="BL39" s="1" t="n">
        <f aca="false">BJ39*BB39</f>
        <v>171316.696883291</v>
      </c>
      <c r="BM39" s="1"/>
      <c r="BN39" s="0" t="n">
        <v>0</v>
      </c>
      <c r="BO39" s="28" t="n">
        <f aca="false">-0.03444+0.00000000383*$BB39+0.299*0+0.84588*$BH39+89876.77*(BN39)</f>
        <v>0.117158398742284</v>
      </c>
      <c r="BP39" s="0" t="n">
        <v>4.13395783532831E-007</v>
      </c>
      <c r="BQ39" s="28" t="n">
        <f aca="false">MIN(MAX(0,-0.03444+0.00000000383*$BB39+0.299*0+0.84588*$BH39+89876.77*(BP39)),1)</f>
        <v>0.154313076497834</v>
      </c>
      <c r="BR39" s="0" t="n">
        <v>7.84865016139501E-005</v>
      </c>
      <c r="BS39" s="28" t="n">
        <f aca="false">MIN(MAX(0,-0.03444+0.00000000383*$BB39+0.299*0+0.84588*$BH39+89876.77*(BR39)),1)</f>
        <v>1</v>
      </c>
      <c r="BT39" s="0" t="n">
        <v>0.000113830331837003</v>
      </c>
      <c r="BU39" s="28" t="n">
        <f aca="false">MIN(MAX(0,-0.03444+0.00000000383*$BB39+0.299*0+0.84588*$BH39+89876.77*(BT39)),1)</f>
        <v>1</v>
      </c>
      <c r="BV39" s="0" t="n">
        <v>0.000150883911420075</v>
      </c>
      <c r="BW39" s="28" t="n">
        <f aca="false">MIN(MAX(0,-0.03444+0.00000000383*$BB39+0.299*0+0.84588*$BH39+89876.77*(BV39)),1)</f>
        <v>1</v>
      </c>
    </row>
    <row r="40" customFormat="false" ht="12.75" hidden="false" customHeight="false" outlineLevel="0" collapsed="false">
      <c r="A40" s="0" t="n">
        <v>99</v>
      </c>
      <c r="B40" s="0" t="n">
        <v>183391</v>
      </c>
      <c r="C40" s="0" t="n">
        <v>130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104</v>
      </c>
      <c r="K40" s="0" t="n">
        <v>4212</v>
      </c>
      <c r="L40" s="0" t="n">
        <v>2691</v>
      </c>
      <c r="M40" s="0" t="n">
        <v>260</v>
      </c>
      <c r="N40" s="0" t="n">
        <v>91</v>
      </c>
      <c r="O40" s="0" t="n">
        <v>1508</v>
      </c>
      <c r="P40" s="0" t="n">
        <v>8268</v>
      </c>
      <c r="Q40" s="0" t="n">
        <v>2535</v>
      </c>
      <c r="R40" s="0" t="n">
        <v>0</v>
      </c>
      <c r="S40" s="0" t="n">
        <v>65</v>
      </c>
      <c r="T40" s="0" t="n">
        <v>52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104</v>
      </c>
      <c r="AA40" s="0" t="n">
        <v>9542</v>
      </c>
      <c r="AB40" s="0" t="n">
        <v>23712</v>
      </c>
      <c r="AC40" s="0" t="n">
        <v>0</v>
      </c>
      <c r="AD40" s="0" t="n">
        <v>0</v>
      </c>
      <c r="AE40" s="0" t="n">
        <v>78</v>
      </c>
      <c r="AF40" s="0" t="n">
        <v>78</v>
      </c>
      <c r="AG40" s="0" t="n">
        <v>169</v>
      </c>
      <c r="AH40" s="0" t="n">
        <v>0</v>
      </c>
      <c r="AI40" s="0" t="n">
        <v>3783</v>
      </c>
      <c r="AJ40" s="0" t="n">
        <v>0</v>
      </c>
      <c r="AK40" s="0" t="n">
        <v>0</v>
      </c>
      <c r="AL40" s="0" t="n">
        <v>156</v>
      </c>
      <c r="AM40" s="0" t="n">
        <v>936</v>
      </c>
      <c r="AN40" s="0" t="n">
        <v>99255</v>
      </c>
      <c r="AO40" s="0" t="n">
        <v>1118</v>
      </c>
      <c r="AP40" s="0" t="n">
        <v>91</v>
      </c>
      <c r="AQ40" s="0" t="n">
        <v>0</v>
      </c>
      <c r="AR40" s="0" t="n">
        <v>0</v>
      </c>
      <c r="AS40" s="0" t="n">
        <v>0</v>
      </c>
      <c r="AT40" s="0" t="n">
        <v>494</v>
      </c>
      <c r="AU40" s="0" t="n">
        <f aca="false">SUM(B40:AT40)</f>
        <v>342823</v>
      </c>
      <c r="AW40" s="0" t="n">
        <f aca="false">A40</f>
        <v>99</v>
      </c>
      <c r="AX40" s="0" t="str">
        <f aca="false">VLOOKUP(AW40,'Babblefish-APUMA'!$K$1:$L$59,2)</f>
        <v>Solano</v>
      </c>
      <c r="AY40" s="0" t="n">
        <f aca="false">SUM(C40:AT40)-MAX(C40:AT40)</f>
        <v>60177</v>
      </c>
      <c r="AZ40" s="0" t="n">
        <f aca="false">MAX(C40:AT40)</f>
        <v>99255</v>
      </c>
      <c r="BA40" s="0" t="n">
        <f aca="false">SUM(C40:AT40)</f>
        <v>159432</v>
      </c>
      <c r="BB40" s="0" t="n">
        <f aca="false">AU40</f>
        <v>342823</v>
      </c>
      <c r="BC40" s="2" t="n">
        <f aca="false">AY40/BA40</f>
        <v>0.377446183953033</v>
      </c>
      <c r="BE40" s="0" t="n">
        <v>99255</v>
      </c>
      <c r="BF40" s="0" t="n">
        <v>25012</v>
      </c>
      <c r="BG40" s="0" t="n">
        <v>124267</v>
      </c>
      <c r="BH40" s="2" t="n">
        <v>0.201276284130139</v>
      </c>
      <c r="BI40" s="2"/>
      <c r="BJ40" s="28" t="n">
        <f aca="false">-0.0364+0.00000000386*BB40+0.844*BH40</f>
        <v>0.134800480585837</v>
      </c>
      <c r="BK40" s="2"/>
      <c r="BL40" s="1" t="n">
        <f aca="false">BJ40*BB40</f>
        <v>46212.7051558785</v>
      </c>
      <c r="BM40" s="1"/>
      <c r="BN40" s="0" t="n">
        <v>0</v>
      </c>
      <c r="BO40" s="28" t="n">
        <f aca="false">-0.03444+0.00000000383*$BB40+0.299*0+0.84588*$BH40+89876.77*(BN40)</f>
        <v>0.137128595310002</v>
      </c>
      <c r="BP40" s="0" t="n">
        <v>4.28816175144103E-005</v>
      </c>
      <c r="BQ40" s="28" t="n">
        <f aca="false">MIN(MAX(0,-0.03444+0.00000000383*$BB40+0.299*0+0.84588*$BH40+89876.77*(BP40)),1)</f>
        <v>1</v>
      </c>
      <c r="BR40" s="0" t="n">
        <v>0.00733419948584366</v>
      </c>
      <c r="BS40" s="28" t="n">
        <f aca="false">MIN(MAX(0,-0.03444+0.00000000383*$BB40+0.299*0+0.84588*$BH40+89876.77*(BR40)),1)</f>
        <v>1</v>
      </c>
      <c r="BT40" s="0" t="n">
        <v>0.0190597373837307</v>
      </c>
      <c r="BU40" s="28" t="n">
        <f aca="false">MIN(MAX(0,-0.03444+0.00000000383*$BB40+0.299*0+0.84588*$BH40+89876.77*(BT40)),1)</f>
        <v>1</v>
      </c>
      <c r="BV40" s="0" t="n">
        <v>0.0198834437606732</v>
      </c>
      <c r="BW40" s="28" t="n">
        <f aca="false">MIN(MAX(0,-0.03444+0.00000000383*$BB40+0.299*0+0.84588*$BH40+89876.77*(BV40)),1)</f>
        <v>1</v>
      </c>
    </row>
    <row r="41" customFormat="false" ht="12.75" hidden="false" customHeight="false" outlineLevel="0" collapsed="false">
      <c r="A41" s="0" t="n">
        <v>100</v>
      </c>
      <c r="B41" s="0" t="n">
        <v>195936</v>
      </c>
      <c r="C41" s="0" t="n">
        <v>156</v>
      </c>
      <c r="D41" s="0" t="n">
        <v>91</v>
      </c>
      <c r="E41" s="0" t="n">
        <v>130</v>
      </c>
      <c r="F41" s="0" t="n">
        <v>598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1625</v>
      </c>
      <c r="L41" s="0" t="n">
        <v>130</v>
      </c>
      <c r="M41" s="0" t="n">
        <v>0</v>
      </c>
      <c r="N41" s="0" t="n">
        <v>78</v>
      </c>
      <c r="O41" s="0" t="n">
        <v>17290</v>
      </c>
      <c r="P41" s="0" t="n">
        <v>8619</v>
      </c>
      <c r="Q41" s="0" t="n">
        <v>1313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91</v>
      </c>
      <c r="AA41" s="0" t="n">
        <v>2171</v>
      </c>
      <c r="AB41" s="0" t="n">
        <v>1365</v>
      </c>
      <c r="AC41" s="0" t="n">
        <v>0</v>
      </c>
      <c r="AD41" s="0" t="n">
        <v>0</v>
      </c>
      <c r="AE41" s="0" t="n">
        <v>156</v>
      </c>
      <c r="AF41" s="0" t="n">
        <v>0</v>
      </c>
      <c r="AG41" s="0" t="n">
        <v>0</v>
      </c>
      <c r="AH41" s="0" t="n">
        <v>130</v>
      </c>
      <c r="AI41" s="0" t="n">
        <v>117</v>
      </c>
      <c r="AJ41" s="0" t="n">
        <v>0</v>
      </c>
      <c r="AK41" s="0" t="n">
        <v>273</v>
      </c>
      <c r="AL41" s="0" t="n">
        <v>130</v>
      </c>
      <c r="AM41" s="0" t="n">
        <v>351</v>
      </c>
      <c r="AN41" s="0" t="n">
        <v>1768</v>
      </c>
      <c r="AO41" s="0" t="n">
        <v>146120</v>
      </c>
      <c r="AP41" s="0" t="n">
        <v>0</v>
      </c>
      <c r="AQ41" s="0" t="n">
        <v>0</v>
      </c>
      <c r="AR41" s="0" t="n">
        <v>0</v>
      </c>
      <c r="AS41" s="0" t="n">
        <v>0</v>
      </c>
      <c r="AT41" s="0" t="n">
        <v>0</v>
      </c>
      <c r="AU41" s="0" t="n">
        <f aca="false">SUM(B41:AT41)</f>
        <v>378638</v>
      </c>
      <c r="AW41" s="0" t="n">
        <f aca="false">A41</f>
        <v>100</v>
      </c>
      <c r="AX41" s="0" t="str">
        <f aca="false">VLOOKUP(AW41,'Babblefish-APUMA'!$K$1:$L$59,2)</f>
        <v>Sonoma County </v>
      </c>
      <c r="AY41" s="0" t="n">
        <f aca="false">SUM(C41:AT41)-MAX(C41:AT41)</f>
        <v>36582</v>
      </c>
      <c r="AZ41" s="0" t="n">
        <f aca="false">MAX(C41:AT41)</f>
        <v>146120</v>
      </c>
      <c r="BA41" s="0" t="n">
        <f aca="false">SUM(C41:AT41)</f>
        <v>182702</v>
      </c>
      <c r="BB41" s="0" t="n">
        <f aca="false">AU41</f>
        <v>378638</v>
      </c>
      <c r="BC41" s="2" t="n">
        <f aca="false">AY41/BA41</f>
        <v>0.200227693183435</v>
      </c>
      <c r="BE41" s="0" t="n">
        <v>146120</v>
      </c>
      <c r="BF41" s="0" t="n">
        <v>11063</v>
      </c>
      <c r="BG41" s="0" t="n">
        <v>157183</v>
      </c>
      <c r="BH41" s="2" t="n">
        <v>0.0703829294516583</v>
      </c>
      <c r="BI41" s="2"/>
      <c r="BJ41" s="28" t="n">
        <f aca="false">-0.0364+0.00000000386*BB41+0.844*BH41</f>
        <v>0.0244647351371996</v>
      </c>
      <c r="BK41" s="2"/>
      <c r="BL41" s="1" t="n">
        <f aca="false">BJ41*BB41</f>
        <v>9263.27838287897</v>
      </c>
      <c r="BM41" s="1"/>
      <c r="BN41" s="0" t="n">
        <v>0</v>
      </c>
      <c r="BO41" s="28" t="n">
        <f aca="false">-0.03444+0.00000000383*$BB41+0.299*0+0.84588*$BH41+89876.77*(BN41)</f>
        <v>0.0265456959045687</v>
      </c>
      <c r="BP41" s="0" t="n">
        <v>5.01366257914178E-006</v>
      </c>
      <c r="BQ41" s="28" t="n">
        <f aca="false">MIN(MAX(0,-0.03444+0.00000000383*$BB41+0.299*0+0.84588*$BH41+89876.77*(BP41)),1)</f>
        <v>0.477157494387701</v>
      </c>
      <c r="BR41" s="0" t="n">
        <v>0.00072550521962311</v>
      </c>
      <c r="BS41" s="28" t="n">
        <f aca="false">MIN(MAX(0,-0.03444+0.00000000383*$BB41+0.299*0+0.84588*$BH41+89876.77*(BR41)),1)</f>
        <v>1</v>
      </c>
      <c r="BT41" s="0" t="n">
        <v>0.00137101201006123</v>
      </c>
      <c r="BU41" s="28" t="n">
        <f aca="false">MIN(MAX(0,-0.03444+0.00000000383*$BB41+0.299*0+0.84588*$BH41+89876.77*(BT41)),1)</f>
        <v>1</v>
      </c>
      <c r="BV41" s="0" t="n">
        <v>0.00160729863392086</v>
      </c>
      <c r="BW41" s="28" t="n">
        <f aca="false">MIN(MAX(0,-0.03444+0.00000000383*$BB41+0.299*0+0.84588*$BH41+89876.77*(BV41)),1)</f>
        <v>1</v>
      </c>
    </row>
    <row r="42" customFormat="false" ht="12.75" hidden="false" customHeight="false" outlineLevel="0" collapsed="false">
      <c r="A42" s="0" t="n">
        <v>101</v>
      </c>
      <c r="B42" s="0" t="n">
        <v>219609</v>
      </c>
      <c r="C42" s="0" t="n">
        <v>208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156</v>
      </c>
      <c r="O42" s="0" t="n">
        <v>0</v>
      </c>
      <c r="P42" s="0" t="n">
        <v>169</v>
      </c>
      <c r="Q42" s="0" t="n">
        <v>208</v>
      </c>
      <c r="R42" s="0" t="n">
        <v>494</v>
      </c>
      <c r="S42" s="0" t="n">
        <v>117</v>
      </c>
      <c r="T42" s="0" t="n">
        <v>3653</v>
      </c>
      <c r="U42" s="0" t="n">
        <v>0</v>
      </c>
      <c r="V42" s="0" t="n">
        <v>0</v>
      </c>
      <c r="W42" s="0" t="n">
        <v>0</v>
      </c>
      <c r="X42" s="0" t="n">
        <v>234</v>
      </c>
      <c r="Y42" s="0" t="n">
        <v>0</v>
      </c>
      <c r="Z42" s="0" t="n">
        <v>0</v>
      </c>
      <c r="AA42" s="0" t="n">
        <v>5499</v>
      </c>
      <c r="AB42" s="0" t="n">
        <v>676</v>
      </c>
      <c r="AC42" s="0" t="n">
        <v>182</v>
      </c>
      <c r="AD42" s="0" t="n">
        <v>0</v>
      </c>
      <c r="AE42" s="0" t="n">
        <v>78</v>
      </c>
      <c r="AF42" s="0" t="n">
        <v>0</v>
      </c>
      <c r="AG42" s="0" t="n">
        <v>0</v>
      </c>
      <c r="AH42" s="0" t="n">
        <v>78</v>
      </c>
      <c r="AI42" s="0" t="n">
        <v>234</v>
      </c>
      <c r="AJ42" s="0" t="n">
        <v>91</v>
      </c>
      <c r="AK42" s="0" t="n">
        <v>0</v>
      </c>
      <c r="AL42" s="0" t="n">
        <v>8528</v>
      </c>
      <c r="AM42" s="0" t="n">
        <v>3458</v>
      </c>
      <c r="AN42" s="0" t="n">
        <v>208</v>
      </c>
      <c r="AO42" s="0" t="n">
        <v>0</v>
      </c>
      <c r="AP42" s="0" t="n">
        <v>119210</v>
      </c>
      <c r="AQ42" s="0" t="n">
        <v>0</v>
      </c>
      <c r="AR42" s="0" t="n">
        <v>0</v>
      </c>
      <c r="AS42" s="0" t="n">
        <v>0</v>
      </c>
      <c r="AT42" s="0" t="n">
        <v>0</v>
      </c>
      <c r="AU42" s="0" t="n">
        <f aca="false">SUM(B42:AT42)</f>
        <v>363090</v>
      </c>
      <c r="AW42" s="0" t="n">
        <f aca="false">A42</f>
        <v>101</v>
      </c>
      <c r="AX42" s="0" t="str">
        <f aca="false">VLOOKUP(AW42,'Babblefish-APUMA'!$K$1:$L$59,2)</f>
        <v>Stanislaus County </v>
      </c>
      <c r="AY42" s="0" t="n">
        <f aca="false">SUM(C42:AT42)-MAX(C42:AT42)</f>
        <v>24271</v>
      </c>
      <c r="AZ42" s="0" t="n">
        <f aca="false">MAX(C42:AT42)</f>
        <v>119210</v>
      </c>
      <c r="BA42" s="0" t="n">
        <f aca="false">SUM(C42:AT42)</f>
        <v>143481</v>
      </c>
      <c r="BB42" s="0" t="n">
        <f aca="false">AU42</f>
        <v>363090</v>
      </c>
      <c r="BC42" s="2" t="n">
        <f aca="false">AY42/BA42</f>
        <v>0.16915828576606</v>
      </c>
      <c r="BE42" s="0" t="n">
        <v>119210</v>
      </c>
      <c r="BF42" s="0" t="n">
        <v>14547</v>
      </c>
      <c r="BG42" s="0" t="n">
        <v>133757</v>
      </c>
      <c r="BH42" s="2" t="n">
        <v>0.108756924871222</v>
      </c>
      <c r="BI42" s="2"/>
      <c r="BJ42" s="28" t="n">
        <f aca="false">-0.0364+0.00000000386*BB42+0.844*BH42</f>
        <v>0.0567923719913111</v>
      </c>
      <c r="BK42" s="2"/>
      <c r="BL42" s="1" t="n">
        <f aca="false">BJ42*BB42</f>
        <v>20620.7423463251</v>
      </c>
      <c r="BM42" s="1"/>
      <c r="BN42" s="0" t="n">
        <v>0</v>
      </c>
      <c r="BO42" s="28" t="n">
        <f aca="false">-0.03444+0.00000000383*$BB42+0.299*0+0.84588*$BH42+89876.77*(BN42)</f>
        <v>0.058945942310069</v>
      </c>
      <c r="BP42" s="0" t="n">
        <v>3.24330766805805E-007</v>
      </c>
      <c r="BQ42" s="28" t="n">
        <f aca="false">MIN(MAX(0,-0.03444+0.00000000383*$BB42+0.299*0+0.84588*$BH42+89876.77*(BP42)),1)</f>
        <v>0.088095744042198</v>
      </c>
      <c r="BR42" s="0" t="n">
        <v>2.52320590745868E-005</v>
      </c>
      <c r="BS42" s="28" t="n">
        <f aca="false">MIN(MAX(0,-0.03444+0.00000000383*$BB42+0.299*0+0.84588*$BH42+89876.77*(BR42)),1)</f>
        <v>1</v>
      </c>
      <c r="BT42" s="0" t="n">
        <v>0.000369005963980829</v>
      </c>
      <c r="BU42" s="28" t="n">
        <f aca="false">MIN(MAX(0,-0.03444+0.00000000383*$BB42+0.299*0+0.84588*$BH42+89876.77*(BT42)),1)</f>
        <v>1</v>
      </c>
      <c r="BV42" s="0" t="n">
        <v>0.000818791077791754</v>
      </c>
      <c r="BW42" s="28" t="n">
        <f aca="false">MIN(MAX(0,-0.03444+0.00000000383*$BB42+0.299*0+0.84588*$BH42+89876.77*(BV42)),1)</f>
        <v>1</v>
      </c>
    </row>
    <row r="43" customFormat="false" ht="12.75" hidden="false" customHeight="false" outlineLevel="0" collapsed="false">
      <c r="A43" s="0" t="n">
        <v>103</v>
      </c>
      <c r="B43" s="0" t="n">
        <v>331552</v>
      </c>
      <c r="C43" s="0" t="n">
        <v>65</v>
      </c>
      <c r="D43" s="0" t="n">
        <v>117</v>
      </c>
      <c r="E43" s="0" t="n">
        <v>52</v>
      </c>
      <c r="F43" s="0" t="n">
        <v>117</v>
      </c>
      <c r="G43" s="0" t="n">
        <v>0</v>
      </c>
      <c r="H43" s="0" t="n">
        <v>104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91</v>
      </c>
      <c r="P43" s="0" t="n">
        <v>117</v>
      </c>
      <c r="Q43" s="0" t="n">
        <v>1794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4381</v>
      </c>
      <c r="W43" s="0" t="n">
        <v>0</v>
      </c>
      <c r="X43" s="0" t="n">
        <v>0</v>
      </c>
      <c r="Y43" s="0" t="n">
        <v>0</v>
      </c>
      <c r="Z43" s="0" t="n">
        <v>429</v>
      </c>
      <c r="AA43" s="0" t="n">
        <v>117</v>
      </c>
      <c r="AB43" s="0" t="n">
        <v>221</v>
      </c>
      <c r="AC43" s="0" t="n">
        <v>0</v>
      </c>
      <c r="AD43" s="0" t="n">
        <v>481</v>
      </c>
      <c r="AE43" s="0" t="n">
        <v>76375</v>
      </c>
      <c r="AF43" s="0" t="n">
        <v>169</v>
      </c>
      <c r="AG43" s="0" t="n">
        <v>299</v>
      </c>
      <c r="AH43" s="0" t="n">
        <v>143</v>
      </c>
      <c r="AI43" s="0" t="n">
        <v>104</v>
      </c>
      <c r="AJ43" s="0" t="n">
        <v>533</v>
      </c>
      <c r="AK43" s="0" t="n">
        <v>533</v>
      </c>
      <c r="AL43" s="0" t="n">
        <v>91</v>
      </c>
      <c r="AM43" s="0" t="n">
        <v>65</v>
      </c>
      <c r="AN43" s="0" t="n">
        <v>0</v>
      </c>
      <c r="AO43" s="0" t="n">
        <v>0</v>
      </c>
      <c r="AP43" s="0" t="n">
        <v>0</v>
      </c>
      <c r="AQ43" s="0" t="n">
        <v>249158</v>
      </c>
      <c r="AR43" s="0" t="n">
        <v>0</v>
      </c>
      <c r="AS43" s="0" t="n">
        <v>0</v>
      </c>
      <c r="AT43" s="0" t="n">
        <v>0</v>
      </c>
      <c r="AU43" s="0" t="n">
        <f aca="false">SUM(B43:AT43)</f>
        <v>667108</v>
      </c>
      <c r="AW43" s="0" t="n">
        <f aca="false">A43</f>
        <v>103</v>
      </c>
      <c r="AX43" s="0" t="str">
        <f aca="false">VLOOKUP(AW43,'Babblefish-APUMA'!$K$1:$L$59,2)</f>
        <v>Ventura County </v>
      </c>
      <c r="AY43" s="0" t="n">
        <f aca="false">SUM(C43:AT43)-MAX(C43:AT43)</f>
        <v>86398</v>
      </c>
      <c r="AZ43" s="0" t="n">
        <f aca="false">MAX(C43:AT43)</f>
        <v>249158</v>
      </c>
      <c r="BA43" s="0" t="n">
        <f aca="false">SUM(C43:AT43)</f>
        <v>335556</v>
      </c>
      <c r="BB43" s="0" t="n">
        <f aca="false">AU43</f>
        <v>667108</v>
      </c>
      <c r="BC43" s="2" t="n">
        <f aca="false">AY43/BA43</f>
        <v>0.257477142414381</v>
      </c>
      <c r="BE43" s="0" t="n">
        <v>249158</v>
      </c>
      <c r="BF43" s="0" t="n">
        <v>26650</v>
      </c>
      <c r="BG43" s="0" t="n">
        <v>275808</v>
      </c>
      <c r="BH43" s="2" t="n">
        <v>0.0966251885369533</v>
      </c>
      <c r="BI43" s="2"/>
      <c r="BJ43" s="28" t="n">
        <f aca="false">-0.0364+0.00000000386*BB43+0.844*BH43</f>
        <v>0.0477266960051885</v>
      </c>
      <c r="BK43" s="2"/>
      <c r="BL43" s="1" t="n">
        <f aca="false">BJ43*BB43</f>
        <v>31838.8607186293</v>
      </c>
      <c r="BM43" s="1"/>
      <c r="BN43" s="0" t="n">
        <v>0</v>
      </c>
      <c r="BO43" s="28" t="n">
        <f aca="false">-0.03444+0.00000000383*$BB43+0.299*0+0.84588*$BH43+89876.77*(BN43)</f>
        <v>0.049848338119638</v>
      </c>
      <c r="BP43" s="0" t="n">
        <v>2.85410290152067E-007</v>
      </c>
      <c r="BQ43" s="28" t="n">
        <f aca="false">MIN(MAX(0,-0.03444+0.00000000383*$BB43+0.299*0+0.84588*$BH43+89876.77*(BP43)),1)</f>
        <v>0.0755000931232686</v>
      </c>
      <c r="BR43" s="0" t="n">
        <v>6.48330643316854E-007</v>
      </c>
      <c r="BS43" s="28" t="n">
        <f aca="false">MIN(MAX(0,-0.03444+0.00000000383*$BB43+0.299*0+0.84588*$BH43+89876.77*(BR43)),1)</f>
        <v>0.108118202232979</v>
      </c>
      <c r="BT43" s="0" t="n">
        <v>7.53804774102294E-007</v>
      </c>
      <c r="BU43" s="28" t="n">
        <f aca="false">MIN(MAX(0,-0.03444+0.00000000383*$BB43+0.299*0+0.84588*$BH43+89876.77*(BT43)),1)</f>
        <v>0.117597876426532</v>
      </c>
      <c r="BV43" s="0" t="n">
        <v>0.004394957928098</v>
      </c>
      <c r="BW43" s="28" t="n">
        <f aca="false">MIN(MAX(0,-0.03444+0.00000000383*$BB43+0.299*0+0.84588*$BH43+89876.77*(BV43)),1)</f>
        <v>1</v>
      </c>
    </row>
    <row r="44" customFormat="false" ht="12.75" hidden="false" customHeight="false" outlineLevel="0" collapsed="false">
      <c r="A44" s="0" t="s">
        <v>7</v>
      </c>
      <c r="B44" s="0" t="n">
        <v>15631931</v>
      </c>
      <c r="C44" s="0" t="n">
        <v>39637</v>
      </c>
      <c r="D44" s="0" t="n">
        <v>56186</v>
      </c>
      <c r="E44" s="0" t="n">
        <v>63999</v>
      </c>
      <c r="F44" s="0" t="n">
        <v>54210</v>
      </c>
      <c r="G44" s="0" t="n">
        <v>39559</v>
      </c>
      <c r="H44" s="0" t="n">
        <v>66534</v>
      </c>
      <c r="I44" s="0" t="n">
        <v>37271</v>
      </c>
      <c r="J44" s="0" t="n">
        <v>43238</v>
      </c>
      <c r="K44" s="0" t="n">
        <v>45994</v>
      </c>
      <c r="L44" s="0" t="n">
        <v>70187</v>
      </c>
      <c r="M44" s="0" t="n">
        <v>72345</v>
      </c>
      <c r="N44" s="0" t="n">
        <v>35269</v>
      </c>
      <c r="O44" s="0" t="n">
        <v>104546</v>
      </c>
      <c r="P44" s="0" t="n">
        <v>569400</v>
      </c>
      <c r="Q44" s="0" t="n">
        <v>315003</v>
      </c>
      <c r="R44" s="0" t="n">
        <v>54067</v>
      </c>
      <c r="S44" s="0" t="n">
        <v>42991</v>
      </c>
      <c r="T44" s="0" t="n">
        <v>66638</v>
      </c>
      <c r="U44" s="0" t="n">
        <v>37869</v>
      </c>
      <c r="V44" s="0" t="n">
        <v>183118</v>
      </c>
      <c r="W44" s="0" t="n">
        <v>112515</v>
      </c>
      <c r="X44" s="0" t="n">
        <v>102440</v>
      </c>
      <c r="Y44" s="0" t="n">
        <v>34840</v>
      </c>
      <c r="Z44" s="0" t="n">
        <v>90922</v>
      </c>
      <c r="AA44" s="0" t="n">
        <v>630461</v>
      </c>
      <c r="AB44" s="0" t="n">
        <v>341926</v>
      </c>
      <c r="AC44" s="0" t="n">
        <v>269763</v>
      </c>
      <c r="AD44" s="0" t="n">
        <v>224133</v>
      </c>
      <c r="AE44" s="0" t="n">
        <v>4317976</v>
      </c>
      <c r="AF44" s="0" t="n">
        <v>162877</v>
      </c>
      <c r="AG44" s="0" t="n">
        <v>1277510</v>
      </c>
      <c r="AH44" s="0" t="n">
        <v>405561</v>
      </c>
      <c r="AI44" s="0" t="n">
        <v>499538</v>
      </c>
      <c r="AJ44" s="0" t="n">
        <v>501878</v>
      </c>
      <c r="AK44" s="0" t="n">
        <v>1206452</v>
      </c>
      <c r="AL44" s="0" t="n">
        <v>108069</v>
      </c>
      <c r="AM44" s="0" t="n">
        <v>863954</v>
      </c>
      <c r="AN44" s="0" t="n">
        <v>124267</v>
      </c>
      <c r="AO44" s="0" t="n">
        <v>157183</v>
      </c>
      <c r="AP44" s="0" t="n">
        <v>133757</v>
      </c>
      <c r="AQ44" s="0" t="n">
        <v>275808</v>
      </c>
      <c r="AR44" s="0" t="n">
        <v>78</v>
      </c>
      <c r="AS44" s="0" t="n">
        <v>117</v>
      </c>
      <c r="AT44" s="0" t="n">
        <v>11050</v>
      </c>
      <c r="AU44" s="0" t="n">
        <f aca="false">SUM(B44:AT44)</f>
        <v>29483067</v>
      </c>
      <c r="BC44" s="2"/>
      <c r="BH44" s="2"/>
      <c r="BI44" s="2"/>
      <c r="BJ44" s="2"/>
      <c r="BK44" s="2"/>
      <c r="BL44" s="2"/>
      <c r="BM44" s="2"/>
      <c r="BO44" s="28"/>
    </row>
    <row r="45" customFormat="false" ht="12.75" hidden="false" customHeight="false" outlineLevel="0" collapsed="false">
      <c r="A45" s="0" t="n">
        <v>0</v>
      </c>
      <c r="B45" s="0" t="s">
        <v>8</v>
      </c>
      <c r="C45" s="0" t="n">
        <f aca="false">MAX(C3:C43)</f>
        <v>32903</v>
      </c>
      <c r="D45" s="0" t="n">
        <f aca="false">MAX(D3:D43)</f>
        <v>49764</v>
      </c>
      <c r="E45" s="0" t="n">
        <f aca="false">MAX(E3:E43)</f>
        <v>55562</v>
      </c>
      <c r="F45" s="0" t="n">
        <f aca="false">MAX(F3:F43)</f>
        <v>47697</v>
      </c>
      <c r="G45" s="0" t="n">
        <f aca="false">MAX(G3:G43)</f>
        <v>28613</v>
      </c>
      <c r="H45" s="0" t="n">
        <f aca="false">MAX(H3:H43)</f>
        <v>62647</v>
      </c>
      <c r="I45" s="0" t="n">
        <f aca="false">MAX(I3:I43)</f>
        <v>32396</v>
      </c>
      <c r="J45" s="0" t="n">
        <f aca="false">MAX(J3:J43)</f>
        <v>38493</v>
      </c>
      <c r="K45" s="0" t="n">
        <f aca="false">MAX(K3:K43)</f>
        <v>37791</v>
      </c>
      <c r="L45" s="0" t="n">
        <f aca="false">MAX(L3:L43)</f>
        <v>44408</v>
      </c>
      <c r="M45" s="0" t="n">
        <f aca="false">MAX(M3:M43)</f>
        <v>46007</v>
      </c>
      <c r="N45" s="0" t="n">
        <f aca="false">MAX(N3:N43)</f>
        <v>30693</v>
      </c>
      <c r="O45" s="0" t="n">
        <f aca="false">MAX(O3:O43)</f>
        <v>72592</v>
      </c>
      <c r="P45" s="0" t="n">
        <f aca="false">MAX(P3:P43)</f>
        <v>313768</v>
      </c>
      <c r="Q45" s="0" t="n">
        <f aca="false">MAX(Q3:Q43)</f>
        <v>203580</v>
      </c>
      <c r="R45" s="0" t="n">
        <f aca="false">MAX(R3:R43)</f>
        <v>49543</v>
      </c>
      <c r="S45" s="0" t="n">
        <f aca="false">MAX(S3:S43)</f>
        <v>34346</v>
      </c>
      <c r="T45" s="0" t="n">
        <f aca="false">MAX(T3:T43)</f>
        <v>59956</v>
      </c>
      <c r="U45" s="0" t="n">
        <f aca="false">MAX(U3:U43)</f>
        <v>30563</v>
      </c>
      <c r="V45" s="0" t="n">
        <f aca="false">MAX(V3:V43)</f>
        <v>169559</v>
      </c>
      <c r="W45" s="0" t="n">
        <f aca="false">MAX(W3:W43)</f>
        <v>106184</v>
      </c>
      <c r="X45" s="0" t="n">
        <f aca="false">MAX(X3:X43)</f>
        <v>88868</v>
      </c>
      <c r="Y45" s="0" t="n">
        <f aca="false">MAX(Y3:Y43)</f>
        <v>33397</v>
      </c>
      <c r="Z45" s="0" t="n">
        <f aca="false">MAX(Z3:Z43)</f>
        <v>82537</v>
      </c>
      <c r="AA45" s="0" t="n">
        <f aca="false">MAX(AA3:AA43)</f>
        <v>448058</v>
      </c>
      <c r="AB45" s="0" t="n">
        <f aca="false">MAX(AB3:AB43)</f>
        <v>243971</v>
      </c>
      <c r="AC45" s="0" t="n">
        <f aca="false">MAX(AC3:AC43)</f>
        <v>250822</v>
      </c>
      <c r="AD45" s="0" t="n">
        <f aca="false">MAX(AD3:AD43)</f>
        <v>207935</v>
      </c>
      <c r="AE45" s="0" t="n">
        <f aca="false">MAX(AE3:AE43)</f>
        <v>3859648</v>
      </c>
      <c r="AF45" s="0" t="n">
        <f aca="false">MAX(AF3:AF43)</f>
        <v>152750</v>
      </c>
      <c r="AG45" s="0" t="n">
        <f aca="false">MAX(AG3:AG43)</f>
        <v>1047085</v>
      </c>
      <c r="AH45" s="0" t="n">
        <f aca="false">MAX(AH3:AH43)</f>
        <v>345176</v>
      </c>
      <c r="AI45" s="0" t="n">
        <f aca="false">MAX(AI3:AI43)</f>
        <v>424983</v>
      </c>
      <c r="AJ45" s="0" t="n">
        <f aca="false">MAX(AJ3:AJ43)</f>
        <v>414232</v>
      </c>
      <c r="AK45" s="0" t="n">
        <f aca="false">MAX(AK3:AK43)</f>
        <v>1184040</v>
      </c>
      <c r="AL45" s="0" t="n">
        <f aca="false">MAX(AL3:AL43)</f>
        <v>85462</v>
      </c>
      <c r="AM45" s="0" t="n">
        <f aca="false">MAX(AM3:AM43)</f>
        <v>714948</v>
      </c>
      <c r="AN45" s="0" t="n">
        <f aca="false">MAX(AN3:AN43)</f>
        <v>99255</v>
      </c>
      <c r="AO45" s="0" t="n">
        <f aca="false">MAX(AO3:AO43)</f>
        <v>146120</v>
      </c>
      <c r="AP45" s="0" t="n">
        <f aca="false">MAX(AP3:AP43)</f>
        <v>119210</v>
      </c>
      <c r="AQ45" s="0" t="n">
        <f aca="false">MAX(AQ3:AQ43)</f>
        <v>249158</v>
      </c>
      <c r="AX45" s="0" t="s">
        <v>155</v>
      </c>
      <c r="AY45" s="0" t="n">
        <f aca="false">SUM(AY3:AY43)</f>
        <v>2106416</v>
      </c>
      <c r="AZ45" s="0" t="n">
        <f aca="false">SUM(AZ3:AZ43)</f>
        <v>11744720</v>
      </c>
      <c r="BA45" s="0" t="n">
        <f aca="false">SUM(BA3:BA43)</f>
        <v>13851136</v>
      </c>
      <c r="BB45" s="0" t="n">
        <f aca="false">SUM(BB3:BB43)</f>
        <v>29483067</v>
      </c>
      <c r="BC45" s="2"/>
      <c r="BE45" s="0" t="n">
        <f aca="false">SUM(BE3:BE43)</f>
        <v>11744720</v>
      </c>
      <c r="BF45" s="0" t="n">
        <f aca="false">SUM(BF3:BF43)</f>
        <v>2095171</v>
      </c>
      <c r="BG45" s="0" t="n">
        <f aca="false">SUM(BG3:BG43)</f>
        <v>13839891</v>
      </c>
      <c r="BH45" s="2"/>
      <c r="BI45" s="2"/>
      <c r="BJ45" s="2"/>
      <c r="BK45" s="2" t="s">
        <v>155</v>
      </c>
      <c r="BL45" s="2" t="n">
        <f aca="false">SUM(BL3:BL43)</f>
        <v>2954974.38784286</v>
      </c>
      <c r="BM45" s="2"/>
    </row>
    <row r="46" customFormat="false" ht="12.75" hidden="false" customHeight="false" outlineLevel="0" collapsed="false">
      <c r="A46" s="0" t="n">
        <v>0</v>
      </c>
      <c r="B46" s="0" t="s">
        <v>9</v>
      </c>
      <c r="C46" s="0" t="n">
        <f aca="false">SUM(C3:C43)-MAX(C3:C43)</f>
        <v>6734</v>
      </c>
      <c r="D46" s="0" t="n">
        <f aca="false">SUM(D3:D43)-MAX(D3:D43)</f>
        <v>6422</v>
      </c>
      <c r="E46" s="0" t="n">
        <f aca="false">SUM(E3:E43)-MAX(E3:E43)</f>
        <v>8437</v>
      </c>
      <c r="F46" s="0" t="n">
        <f aca="false">SUM(F3:F43)-MAX(F3:F43)</f>
        <v>6513</v>
      </c>
      <c r="G46" s="0" t="n">
        <f aca="false">SUM(G3:G43)-MAX(G3:G43)</f>
        <v>10946</v>
      </c>
      <c r="H46" s="0" t="n">
        <f aca="false">SUM(H3:H43)-MAX(H3:H43)</f>
        <v>3887</v>
      </c>
      <c r="I46" s="0" t="n">
        <f aca="false">SUM(I3:I43)-MAX(I3:I43)</f>
        <v>4875</v>
      </c>
      <c r="J46" s="0" t="n">
        <f aca="false">SUM(J3:J43)-MAX(J3:J43)</f>
        <v>4745</v>
      </c>
      <c r="K46" s="0" t="n">
        <f aca="false">SUM(K3:K43)-MAX(K3:K43)</f>
        <v>8203</v>
      </c>
      <c r="L46" s="0" t="n">
        <f aca="false">SUM(L3:L43)-MAX(L3:L43)</f>
        <v>25779</v>
      </c>
      <c r="M46" s="0" t="n">
        <f aca="false">SUM(M3:M43)-MAX(M3:M43)</f>
        <v>26338</v>
      </c>
      <c r="N46" s="0" t="n">
        <f aca="false">SUM(N3:N43)-MAX(N3:N43)</f>
        <v>4576</v>
      </c>
      <c r="O46" s="0" t="n">
        <f aca="false">SUM(O3:O43)-MAX(O3:O43)</f>
        <v>31954</v>
      </c>
      <c r="P46" s="0" t="n">
        <f aca="false">SUM(P3:P43)-MAX(P3:P43)</f>
        <v>255632</v>
      </c>
      <c r="Q46" s="0" t="n">
        <f aca="false">SUM(Q3:Q43)-MAX(Q3:Q43)</f>
        <v>111423</v>
      </c>
      <c r="R46" s="0" t="n">
        <f aca="false">SUM(R3:R43)-MAX(R3:R43)</f>
        <v>4524</v>
      </c>
      <c r="S46" s="0" t="n">
        <f aca="false">SUM(S3:S43)-MAX(S3:S43)</f>
        <v>8645</v>
      </c>
      <c r="T46" s="0" t="n">
        <f aca="false">SUM(T3:T43)-MAX(T3:T43)</f>
        <v>6682</v>
      </c>
      <c r="U46" s="0" t="n">
        <f aca="false">SUM(U3:U43)-MAX(U3:U43)</f>
        <v>7306</v>
      </c>
      <c r="V46" s="0" t="n">
        <f aca="false">SUM(V3:V43)-MAX(V3:V43)</f>
        <v>13559</v>
      </c>
      <c r="W46" s="0" t="n">
        <f aca="false">SUM(W3:W43)-MAX(W3:W43)</f>
        <v>6331</v>
      </c>
      <c r="X46" s="0" t="n">
        <f aca="false">SUM(X3:X43)-MAX(X3:X43)</f>
        <v>13572</v>
      </c>
      <c r="Y46" s="0" t="n">
        <f aca="false">SUM(Y3:Y43)-MAX(Y3:Y43)</f>
        <v>1443</v>
      </c>
      <c r="Z46" s="0" t="n">
        <f aca="false">SUM(Z3:Z43)-MAX(Z3:Z43)</f>
        <v>8385</v>
      </c>
      <c r="AA46" s="0" t="n">
        <f aca="false">SUM(AA3:AA43)-MAX(AA3:AA43)</f>
        <v>182403</v>
      </c>
      <c r="AB46" s="0" t="n">
        <f aca="false">SUM(AB3:AB43)-MAX(AB3:AB43)</f>
        <v>97955</v>
      </c>
      <c r="AC46" s="0" t="n">
        <f aca="false">SUM(AC3:AC43)-MAX(AC3:AC43)</f>
        <v>18941</v>
      </c>
      <c r="AD46" s="0" t="n">
        <f aca="false">SUM(AD3:AD43)-MAX(AD3:AD43)</f>
        <v>16198</v>
      </c>
      <c r="AE46" s="0" t="n">
        <f aca="false">SUM(AE3:AE43)-MAX(AE3:AE43)</f>
        <v>458328</v>
      </c>
      <c r="AF46" s="0" t="n">
        <f aca="false">SUM(AF3:AF43)-MAX(AF3:AF43)</f>
        <v>10127</v>
      </c>
      <c r="AG46" s="0" t="n">
        <f aca="false">SUM(AG3:AG43)-MAX(AG3:AG43)</f>
        <v>230425</v>
      </c>
      <c r="AH46" s="0" t="n">
        <f aca="false">SUM(AH3:AH43)-MAX(AH3:AH43)</f>
        <v>60385</v>
      </c>
      <c r="AI46" s="0" t="n">
        <f aca="false">SUM(AI3:AI43)-MAX(AI3:AI43)</f>
        <v>74555</v>
      </c>
      <c r="AJ46" s="0" t="n">
        <f aca="false">SUM(AJ3:AJ43)-MAX(AJ3:AJ43)</f>
        <v>87646</v>
      </c>
      <c r="AK46" s="0" t="n">
        <f aca="false">SUM(AK3:AK43)-MAX(AK3:AK43)</f>
        <v>22412</v>
      </c>
      <c r="AL46" s="0" t="n">
        <f aca="false">SUM(AL3:AL43)-MAX(AL3:AL43)</f>
        <v>22607</v>
      </c>
      <c r="AM46" s="0" t="n">
        <f aca="false">SUM(AM3:AM43)-MAX(AM3:AM43)</f>
        <v>149006</v>
      </c>
      <c r="AN46" s="0" t="n">
        <f aca="false">SUM(AN3:AN43)-MAX(AN3:AN43)</f>
        <v>25012</v>
      </c>
      <c r="AO46" s="0" t="n">
        <f aca="false">SUM(AO3:AO43)-MAX(AO3:AO43)</f>
        <v>11063</v>
      </c>
      <c r="AP46" s="0" t="n">
        <f aca="false">SUM(AP3:AP43)-MAX(AP3:AP43)</f>
        <v>14547</v>
      </c>
      <c r="AQ46" s="0" t="n">
        <f aca="false">SUM(AQ3:AQ43)-MAX(AQ3:AQ43)</f>
        <v>26650</v>
      </c>
      <c r="BC46" s="2"/>
      <c r="BH46" s="2"/>
      <c r="BI46" s="2"/>
      <c r="BJ46" s="2"/>
      <c r="BK46" s="2" t="s">
        <v>168</v>
      </c>
      <c r="BL46" s="2" t="n">
        <f aca="false">BL45/BB45</f>
        <v>0.100226153128603</v>
      </c>
      <c r="BM46" s="2"/>
    </row>
    <row r="47" customFormat="false" ht="12.75" hidden="false" customHeight="false" outlineLevel="0" collapsed="false">
      <c r="A47" s="0" t="n">
        <v>0</v>
      </c>
      <c r="B47" s="0" t="s">
        <v>10</v>
      </c>
      <c r="C47" s="0" t="n">
        <f aca="false">SUM(C3:C43)</f>
        <v>39637</v>
      </c>
      <c r="D47" s="0" t="n">
        <f aca="false">SUM(D3:D43)</f>
        <v>56186</v>
      </c>
      <c r="E47" s="0" t="n">
        <f aca="false">SUM(E3:E43)</f>
        <v>63999</v>
      </c>
      <c r="F47" s="0" t="n">
        <f aca="false">SUM(F3:F43)</f>
        <v>54210</v>
      </c>
      <c r="G47" s="0" t="n">
        <f aca="false">SUM(G3:G43)</f>
        <v>39559</v>
      </c>
      <c r="H47" s="0" t="n">
        <f aca="false">SUM(H3:H43)</f>
        <v>66534</v>
      </c>
      <c r="I47" s="0" t="n">
        <f aca="false">SUM(I3:I43)</f>
        <v>37271</v>
      </c>
      <c r="J47" s="0" t="n">
        <f aca="false">SUM(J3:J43)</f>
        <v>43238</v>
      </c>
      <c r="K47" s="0" t="n">
        <f aca="false">SUM(K3:K43)</f>
        <v>45994</v>
      </c>
      <c r="L47" s="0" t="n">
        <f aca="false">SUM(L3:L43)</f>
        <v>70187</v>
      </c>
      <c r="M47" s="0" t="n">
        <f aca="false">SUM(M3:M43)</f>
        <v>72345</v>
      </c>
      <c r="N47" s="0" t="n">
        <f aca="false">SUM(N3:N43)</f>
        <v>35269</v>
      </c>
      <c r="O47" s="0" t="n">
        <f aca="false">SUM(O3:O43)</f>
        <v>104546</v>
      </c>
      <c r="P47" s="0" t="n">
        <f aca="false">SUM(P3:P43)</f>
        <v>569400</v>
      </c>
      <c r="Q47" s="0" t="n">
        <f aca="false">SUM(Q3:Q43)</f>
        <v>315003</v>
      </c>
      <c r="R47" s="0" t="n">
        <f aca="false">SUM(R3:R43)</f>
        <v>54067</v>
      </c>
      <c r="S47" s="0" t="n">
        <f aca="false">SUM(S3:S43)</f>
        <v>42991</v>
      </c>
      <c r="T47" s="0" t="n">
        <f aca="false">SUM(T3:T43)</f>
        <v>66638</v>
      </c>
      <c r="U47" s="0" t="n">
        <f aca="false">SUM(U3:U43)</f>
        <v>37869</v>
      </c>
      <c r="V47" s="0" t="n">
        <f aca="false">SUM(V3:V43)</f>
        <v>183118</v>
      </c>
      <c r="W47" s="0" t="n">
        <f aca="false">SUM(W3:W43)</f>
        <v>112515</v>
      </c>
      <c r="X47" s="0" t="n">
        <f aca="false">SUM(X3:X43)</f>
        <v>102440</v>
      </c>
      <c r="Y47" s="0" t="n">
        <f aca="false">SUM(Y3:Y43)</f>
        <v>34840</v>
      </c>
      <c r="Z47" s="0" t="n">
        <f aca="false">SUM(Z3:Z43)</f>
        <v>90922</v>
      </c>
      <c r="AA47" s="0" t="n">
        <f aca="false">SUM(AA3:AA43)</f>
        <v>630461</v>
      </c>
      <c r="AB47" s="0" t="n">
        <f aca="false">SUM(AB3:AB43)</f>
        <v>341926</v>
      </c>
      <c r="AC47" s="0" t="n">
        <f aca="false">SUM(AC3:AC43)</f>
        <v>269763</v>
      </c>
      <c r="AD47" s="0" t="n">
        <f aca="false">SUM(AD3:AD43)</f>
        <v>224133</v>
      </c>
      <c r="AE47" s="0" t="n">
        <f aca="false">SUM(AE3:AE43)</f>
        <v>4317976</v>
      </c>
      <c r="AF47" s="0" t="n">
        <f aca="false">SUM(AF3:AF43)</f>
        <v>162877</v>
      </c>
      <c r="AG47" s="0" t="n">
        <f aca="false">SUM(AG3:AG43)</f>
        <v>1277510</v>
      </c>
      <c r="AH47" s="0" t="n">
        <f aca="false">SUM(AH3:AH43)</f>
        <v>405561</v>
      </c>
      <c r="AI47" s="0" t="n">
        <f aca="false">SUM(AI3:AI43)</f>
        <v>499538</v>
      </c>
      <c r="AJ47" s="0" t="n">
        <f aca="false">SUM(AJ3:AJ43)</f>
        <v>501878</v>
      </c>
      <c r="AK47" s="0" t="n">
        <f aca="false">SUM(AK3:AK43)</f>
        <v>1206452</v>
      </c>
      <c r="AL47" s="0" t="n">
        <f aca="false">SUM(AL3:AL43)</f>
        <v>108069</v>
      </c>
      <c r="AM47" s="0" t="n">
        <f aca="false">SUM(AM3:AM43)</f>
        <v>863954</v>
      </c>
      <c r="AN47" s="0" t="n">
        <f aca="false">SUM(AN3:AN43)</f>
        <v>124267</v>
      </c>
      <c r="AO47" s="0" t="n">
        <f aca="false">SUM(AO3:AO43)</f>
        <v>157183</v>
      </c>
      <c r="AP47" s="0" t="n">
        <f aca="false">SUM(AP3:AP43)</f>
        <v>133757</v>
      </c>
      <c r="AQ47" s="0" t="n">
        <f aca="false">SUM(AQ3:AQ43)</f>
        <v>275808</v>
      </c>
      <c r="BC47" s="2"/>
      <c r="BH47" s="2"/>
      <c r="BI47" s="2"/>
      <c r="BJ47" s="2"/>
      <c r="BK47" s="2"/>
      <c r="BL47" s="2"/>
      <c r="BM47" s="2"/>
    </row>
    <row r="48" customFormat="false" ht="12.75" hidden="false" customHeight="false" outlineLevel="0" collapsed="false">
      <c r="A48" s="0" t="n">
        <v>0</v>
      </c>
      <c r="B48" s="0" t="s">
        <v>166</v>
      </c>
      <c r="C48" s="0" t="n">
        <f aca="false">C46/C47</f>
        <v>0.169891767792719</v>
      </c>
      <c r="D48" s="0" t="n">
        <f aca="false">D46/D47</f>
        <v>0.114298935677927</v>
      </c>
      <c r="E48" s="0" t="n">
        <f aca="false">E46/E47</f>
        <v>0.131830184846638</v>
      </c>
      <c r="F48" s="0" t="n">
        <f aca="false">F46/F47</f>
        <v>0.120143884892086</v>
      </c>
      <c r="G48" s="0" t="n">
        <f aca="false">G46/G47</f>
        <v>0.276700624383832</v>
      </c>
      <c r="H48" s="0" t="n">
        <f aca="false">H46/H47</f>
        <v>0.058421258304025</v>
      </c>
      <c r="I48" s="0" t="n">
        <f aca="false">I46/I47</f>
        <v>0.130798744332054</v>
      </c>
      <c r="J48" s="0" t="n">
        <f aca="false">J46/J47</f>
        <v>0.109741431148527</v>
      </c>
      <c r="K48" s="0" t="n">
        <f aca="false">K46/K47</f>
        <v>0.178349349915206</v>
      </c>
      <c r="L48" s="0" t="n">
        <f aca="false">L46/L47</f>
        <v>0.367290238933136</v>
      </c>
      <c r="M48" s="0" t="n">
        <f aca="false">M46/M47</f>
        <v>0.364061096136568</v>
      </c>
      <c r="N48" s="0" t="n">
        <f aca="false">N46/N47</f>
        <v>0.129745669001106</v>
      </c>
      <c r="O48" s="0" t="n">
        <f aca="false">O46/O47</f>
        <v>0.305645361850286</v>
      </c>
      <c r="P48" s="0" t="n">
        <f aca="false">P46/P47</f>
        <v>0.448949771689498</v>
      </c>
      <c r="Q48" s="0" t="n">
        <f aca="false">Q46/Q47</f>
        <v>0.353720440757707</v>
      </c>
      <c r="R48" s="0" t="n">
        <f aca="false">R46/R47</f>
        <v>0.0836739600865593</v>
      </c>
      <c r="S48" s="0" t="n">
        <f aca="false">S46/S47</f>
        <v>0.201088599939522</v>
      </c>
      <c r="T48" s="0" t="n">
        <f aca="false">T46/T47</f>
        <v>0.100273117440499</v>
      </c>
      <c r="U48" s="0" t="n">
        <f aca="false">U46/U47</f>
        <v>0.192928252660487</v>
      </c>
      <c r="V48" s="0" t="n">
        <f aca="false">V46/V47</f>
        <v>0.0740451512139713</v>
      </c>
      <c r="W48" s="0" t="n">
        <f aca="false">W46/W47</f>
        <v>0.0562680531484691</v>
      </c>
      <c r="X48" s="0" t="n">
        <f aca="false">X46/X47</f>
        <v>0.13248730964467</v>
      </c>
      <c r="Y48" s="0" t="n">
        <f aca="false">Y46/Y47</f>
        <v>0.0414179104477612</v>
      </c>
      <c r="Z48" s="0" t="n">
        <f aca="false">Z46/Z47</f>
        <v>0.0922219044895625</v>
      </c>
      <c r="AA48" s="0" t="n">
        <f aca="false">AA46/AA47</f>
        <v>0.289316864960719</v>
      </c>
      <c r="AB48" s="0" t="n">
        <f aca="false">AB46/AB47</f>
        <v>0.286480115580564</v>
      </c>
      <c r="AC48" s="0" t="n">
        <f aca="false">AC46/AC47</f>
        <v>0.0702134836875331</v>
      </c>
      <c r="AD48" s="0" t="n">
        <f aca="false">AD46/AD47</f>
        <v>0.0722695899309785</v>
      </c>
      <c r="AE48" s="0" t="n">
        <f aca="false">AE46/AE47</f>
        <v>0.106144174956044</v>
      </c>
      <c r="AF48" s="0" t="n">
        <f aca="false">AF46/AF47</f>
        <v>0.0621757522547689</v>
      </c>
      <c r="AG48" s="0" t="n">
        <f aca="false">AG46/AG47</f>
        <v>0.180370408059428</v>
      </c>
      <c r="AH48" s="0" t="n">
        <f aca="false">AH46/AH47</f>
        <v>0.148892521716832</v>
      </c>
      <c r="AI48" s="0" t="n">
        <f aca="false">AI46/AI47</f>
        <v>0.149247905064279</v>
      </c>
      <c r="AJ48" s="0" t="n">
        <f aca="false">AJ46/AJ47</f>
        <v>0.174636066932601</v>
      </c>
      <c r="AK48" s="0" t="n">
        <f aca="false">AK46/AK47</f>
        <v>0.0185767854833843</v>
      </c>
      <c r="AL48" s="0" t="n">
        <f aca="false">AL46/AL47</f>
        <v>0.209190424636112</v>
      </c>
      <c r="AM48" s="0" t="n">
        <f aca="false">AM46/AM47</f>
        <v>0.172469830569683</v>
      </c>
      <c r="AN48" s="0" t="n">
        <f aca="false">AN46/AN47</f>
        <v>0.201276284130139</v>
      </c>
      <c r="AO48" s="0" t="n">
        <f aca="false">AO46/AO47</f>
        <v>0.0703829294516583</v>
      </c>
      <c r="AP48" s="0" t="n">
        <f aca="false">AP46/AP47</f>
        <v>0.108756924871222</v>
      </c>
      <c r="AQ48" s="0" t="n">
        <f aca="false">AQ46/AQ47</f>
        <v>0.0966251885369533</v>
      </c>
    </row>
    <row r="50" customFormat="false" ht="12.75" hidden="false" customHeight="false" outlineLevel="0" collapsed="false">
      <c r="B50" s="0" t="s">
        <v>11</v>
      </c>
      <c r="C50" s="0" t="n">
        <v>0.109673438720505</v>
      </c>
      <c r="D50" s="0" t="n">
        <v>0.0627067784012448</v>
      </c>
      <c r="E50" s="0" t="n">
        <v>0.0776565534580743</v>
      </c>
      <c r="F50" s="0" t="n">
        <v>0.067686254942518</v>
      </c>
      <c r="G50" s="0" t="n">
        <v>0.199999853163796</v>
      </c>
      <c r="H50" s="0" t="n">
        <v>0.0156641772342087</v>
      </c>
      <c r="I50" s="0" t="n">
        <v>0.0765912916755982</v>
      </c>
      <c r="J50" s="0" t="n">
        <v>0.0588511785699158</v>
      </c>
      <c r="K50" s="0" t="n">
        <v>0.116840384106275</v>
      </c>
      <c r="L50" s="0" t="n">
        <v>0.276787771588761</v>
      </c>
      <c r="M50" s="0" t="n">
        <v>0.27416957653</v>
      </c>
      <c r="N50" s="0" t="n">
        <v>0.0757798317846554</v>
      </c>
      <c r="O50" s="0" t="n">
        <v>0.22497610058192</v>
      </c>
      <c r="P50" s="0" t="n">
        <v>0.348125639506712</v>
      </c>
      <c r="Q50" s="0" t="n">
        <v>0.267309863118129</v>
      </c>
      <c r="R50" s="0" t="n">
        <v>0.0369300328780188</v>
      </c>
      <c r="S50" s="0" t="n">
        <v>0.136150791506843</v>
      </c>
      <c r="T50" s="0" t="n">
        <v>0.0510556208905696</v>
      </c>
      <c r="U50" s="0" t="n">
        <v>0.129134496170453</v>
      </c>
      <c r="V50" s="0" t="n">
        <v>0.0296006766488741</v>
      </c>
      <c r="W50" s="0" t="n">
        <v>0.014345952007227</v>
      </c>
      <c r="X50" s="0" t="n">
        <v>0.0785074577222335</v>
      </c>
      <c r="Y50" s="0" t="n">
        <v>0.00101002984955224</v>
      </c>
      <c r="Z50" s="0" t="n">
        <v>0.0443733207596311</v>
      </c>
      <c r="AA50" s="0" t="n">
        <v>0.215141327042973</v>
      </c>
      <c r="AB50" s="0" t="n">
        <v>0.210965320067288</v>
      </c>
      <c r="AC50" s="0" t="n">
        <v>0.0275330960216105</v>
      </c>
      <c r="AD50" s="0" t="n">
        <v>0.0287687391108161</v>
      </c>
      <c r="AE50" s="0" t="n">
        <v>0.0890827012518187</v>
      </c>
      <c r="AF50" s="0" t="n">
        <v>0.0195313627272639</v>
      </c>
      <c r="AG50" s="0" t="n">
        <v>0.127391515599309</v>
      </c>
      <c r="AH50" s="0" t="n">
        <v>0.0959886463998336</v>
      </c>
      <c r="AI50" s="0" t="n">
        <v>0.0957949927357727</v>
      </c>
      <c r="AJ50" s="0" t="n">
        <v>0.118758355036949</v>
      </c>
      <c r="AK50" s="0" t="n">
        <v>-0.00918705238531485</v>
      </c>
      <c r="AL50" s="0" t="n">
        <v>0.143520434651195</v>
      </c>
      <c r="AM50" s="0" t="n">
        <v>0.117158398742284</v>
      </c>
      <c r="AN50" s="0" t="n">
        <v>0.137128595310002</v>
      </c>
      <c r="AO50" s="0" t="n">
        <v>0.0265456959045687</v>
      </c>
      <c r="AP50" s="0" t="n">
        <v>0.058945942310069</v>
      </c>
      <c r="AQ50" s="0" t="n">
        <v>0.049848338119638</v>
      </c>
      <c r="AR50" s="0" t="n">
        <v>0.160213461089638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U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0546875" defaultRowHeight="12.75" customHeight="false" zeroHeight="false" outlineLevelRow="0" outlineLevelCol="0"/>
  <cols>
    <col collapsed="false" customWidth="true" hidden="false" outlineLevel="0" max="1" min="1" style="0" width="12.7"/>
    <col collapsed="false" customWidth="true" hidden="false" outlineLevel="0" max="46" min="2" style="0" width="9.56"/>
    <col collapsed="false" customWidth="true" hidden="false" outlineLevel="0" max="47" min="47" style="0" width="10.56"/>
  </cols>
  <sheetData>
    <row r="1" customFormat="false" ht="12.75" hidden="false" customHeight="false" outlineLevel="0" collapsed="false">
      <c r="A1" s="29" t="s">
        <v>0</v>
      </c>
      <c r="B1" s="30" t="s">
        <v>1</v>
      </c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2"/>
    </row>
    <row r="2" customFormat="false" ht="12.75" hidden="false" customHeight="false" outlineLevel="0" collapsed="false">
      <c r="A2" s="30" t="s">
        <v>2</v>
      </c>
      <c r="B2" s="29" t="n">
        <v>0</v>
      </c>
      <c r="C2" s="31" t="n">
        <v>1</v>
      </c>
      <c r="D2" s="31" t="n">
        <v>2</v>
      </c>
      <c r="E2" s="31" t="n">
        <v>3</v>
      </c>
      <c r="F2" s="31" t="n">
        <v>4</v>
      </c>
      <c r="G2" s="31" t="n">
        <v>5</v>
      </c>
      <c r="H2" s="31" t="n">
        <v>6</v>
      </c>
      <c r="I2" s="31" t="n">
        <v>7</v>
      </c>
      <c r="J2" s="31" t="n">
        <v>8</v>
      </c>
      <c r="K2" s="31" t="n">
        <v>9</v>
      </c>
      <c r="L2" s="31" t="n">
        <v>10</v>
      </c>
      <c r="M2" s="31" t="n">
        <v>11</v>
      </c>
      <c r="N2" s="31" t="n">
        <v>12</v>
      </c>
      <c r="O2" s="31" t="n">
        <v>15</v>
      </c>
      <c r="P2" s="31" t="n">
        <v>19</v>
      </c>
      <c r="Q2" s="31" t="n">
        <v>22</v>
      </c>
      <c r="R2" s="31" t="n">
        <v>26</v>
      </c>
      <c r="S2" s="31" t="n">
        <v>27</v>
      </c>
      <c r="T2" s="31" t="n">
        <v>30</v>
      </c>
      <c r="U2" s="31" t="n">
        <v>31</v>
      </c>
      <c r="V2" s="31" t="n">
        <v>32</v>
      </c>
      <c r="W2" s="31" t="n">
        <v>75</v>
      </c>
      <c r="X2" s="31" t="n">
        <v>76</v>
      </c>
      <c r="Y2" s="31" t="n">
        <v>77</v>
      </c>
      <c r="Z2" s="31" t="n">
        <v>80</v>
      </c>
      <c r="AA2" s="31" t="n">
        <v>86</v>
      </c>
      <c r="AB2" s="31" t="n">
        <v>87</v>
      </c>
      <c r="AC2" s="31" t="n">
        <v>88</v>
      </c>
      <c r="AD2" s="31" t="n">
        <v>89</v>
      </c>
      <c r="AE2" s="31" t="n">
        <v>90</v>
      </c>
      <c r="AF2" s="31" t="n">
        <v>91</v>
      </c>
      <c r="AG2" s="31" t="n">
        <v>92</v>
      </c>
      <c r="AH2" s="31" t="n">
        <v>93</v>
      </c>
      <c r="AI2" s="31" t="n">
        <v>94</v>
      </c>
      <c r="AJ2" s="31" t="n">
        <v>95</v>
      </c>
      <c r="AK2" s="31" t="n">
        <v>96</v>
      </c>
      <c r="AL2" s="31" t="n">
        <v>97</v>
      </c>
      <c r="AM2" s="31" t="n">
        <v>98</v>
      </c>
      <c r="AN2" s="31" t="n">
        <v>99</v>
      </c>
      <c r="AO2" s="31" t="n">
        <v>100</v>
      </c>
      <c r="AP2" s="31" t="n">
        <v>101</v>
      </c>
      <c r="AQ2" s="31" t="n">
        <v>103</v>
      </c>
      <c r="AR2" s="31" t="n">
        <v>858</v>
      </c>
      <c r="AS2" s="31" t="n">
        <v>983</v>
      </c>
      <c r="AT2" s="31" t="n">
        <v>999</v>
      </c>
      <c r="AU2" s="33" t="s">
        <v>7</v>
      </c>
    </row>
    <row r="3" customFormat="false" ht="12.75" hidden="false" customHeight="false" outlineLevel="0" collapsed="false">
      <c r="A3" s="29" t="n">
        <v>1</v>
      </c>
      <c r="B3" s="34" t="n">
        <v>70434</v>
      </c>
      <c r="C3" s="35" t="n">
        <v>32903</v>
      </c>
      <c r="D3" s="35" t="n">
        <v>221</v>
      </c>
      <c r="E3" s="35" t="n">
        <v>780</v>
      </c>
      <c r="F3" s="35" t="n">
        <v>104</v>
      </c>
      <c r="G3" s="35" t="n">
        <v>65</v>
      </c>
      <c r="H3" s="35" t="n">
        <v>117</v>
      </c>
      <c r="I3" s="35" t="n">
        <v>403</v>
      </c>
      <c r="J3" s="35"/>
      <c r="K3" s="35"/>
      <c r="L3" s="35"/>
      <c r="M3" s="35"/>
      <c r="N3" s="35"/>
      <c r="O3" s="35"/>
      <c r="P3" s="35" t="n">
        <v>26</v>
      </c>
      <c r="Q3" s="35"/>
      <c r="R3" s="35" t="n">
        <v>104</v>
      </c>
      <c r="S3" s="35"/>
      <c r="T3" s="35"/>
      <c r="U3" s="35"/>
      <c r="V3" s="35"/>
      <c r="W3" s="35" t="n">
        <v>52</v>
      </c>
      <c r="X3" s="35"/>
      <c r="Y3" s="35"/>
      <c r="Z3" s="35"/>
      <c r="AA3" s="35"/>
      <c r="AB3" s="35"/>
      <c r="AC3" s="35" t="n">
        <v>91</v>
      </c>
      <c r="AD3" s="35"/>
      <c r="AE3" s="35"/>
      <c r="AF3" s="35"/>
      <c r="AG3" s="35"/>
      <c r="AH3" s="35" t="n">
        <v>39</v>
      </c>
      <c r="AI3" s="35" t="n">
        <v>117</v>
      </c>
      <c r="AJ3" s="35"/>
      <c r="AK3" s="35"/>
      <c r="AL3" s="35"/>
      <c r="AM3" s="35" t="n">
        <v>52</v>
      </c>
      <c r="AN3" s="35" t="n">
        <v>273</v>
      </c>
      <c r="AO3" s="35" t="n">
        <v>65</v>
      </c>
      <c r="AP3" s="35"/>
      <c r="AQ3" s="35"/>
      <c r="AR3" s="35"/>
      <c r="AS3" s="35"/>
      <c r="AT3" s="35"/>
      <c r="AU3" s="36" t="n">
        <v>105846</v>
      </c>
    </row>
    <row r="4" customFormat="false" ht="12.75" hidden="false" customHeight="false" outlineLevel="0" collapsed="false">
      <c r="A4" s="37" t="n">
        <v>2</v>
      </c>
      <c r="B4" s="38" t="n">
        <v>70551</v>
      </c>
      <c r="C4" s="39" t="n">
        <v>273</v>
      </c>
      <c r="D4" s="39" t="n">
        <v>49764</v>
      </c>
      <c r="E4" s="39" t="n">
        <v>0</v>
      </c>
      <c r="F4" s="39" t="n">
        <v>273</v>
      </c>
      <c r="G4" s="39" t="n">
        <v>0</v>
      </c>
      <c r="H4" s="39" t="n">
        <v>0</v>
      </c>
      <c r="I4" s="39" t="n">
        <v>0</v>
      </c>
      <c r="J4" s="39"/>
      <c r="K4" s="39"/>
      <c r="L4" s="39"/>
      <c r="M4" s="39"/>
      <c r="N4" s="39"/>
      <c r="O4" s="39" t="n">
        <v>78</v>
      </c>
      <c r="P4" s="39" t="n">
        <v>0</v>
      </c>
      <c r="Q4" s="39"/>
      <c r="R4" s="39" t="n">
        <v>0</v>
      </c>
      <c r="S4" s="39"/>
      <c r="T4" s="39"/>
      <c r="U4" s="39"/>
      <c r="V4" s="39"/>
      <c r="W4" s="39" t="n">
        <v>0</v>
      </c>
      <c r="X4" s="39"/>
      <c r="Y4" s="39"/>
      <c r="Z4" s="39"/>
      <c r="AA4" s="39"/>
      <c r="AB4" s="39"/>
      <c r="AC4" s="39" t="n">
        <v>0</v>
      </c>
      <c r="AD4" s="39"/>
      <c r="AE4" s="39" t="n">
        <v>104</v>
      </c>
      <c r="AF4" s="39"/>
      <c r="AG4" s="39"/>
      <c r="AH4" s="39" t="n">
        <v>0</v>
      </c>
      <c r="AI4" s="39" t="n">
        <v>0</v>
      </c>
      <c r="AJ4" s="39"/>
      <c r="AK4" s="39"/>
      <c r="AL4" s="39"/>
      <c r="AM4" s="39" t="n">
        <v>0</v>
      </c>
      <c r="AN4" s="39" t="n">
        <v>0</v>
      </c>
      <c r="AO4" s="39" t="n">
        <v>0</v>
      </c>
      <c r="AP4" s="39"/>
      <c r="AQ4" s="39"/>
      <c r="AR4" s="39"/>
      <c r="AS4" s="39"/>
      <c r="AT4" s="39"/>
      <c r="AU4" s="40" t="n">
        <v>121043</v>
      </c>
    </row>
    <row r="5" customFormat="false" ht="12.75" hidden="false" customHeight="false" outlineLevel="0" collapsed="false">
      <c r="A5" s="37" t="n">
        <v>3</v>
      </c>
      <c r="B5" s="38" t="n">
        <v>93327</v>
      </c>
      <c r="C5" s="39" t="n">
        <v>650</v>
      </c>
      <c r="D5" s="39" t="n">
        <v>117</v>
      </c>
      <c r="E5" s="39" t="n">
        <v>55562</v>
      </c>
      <c r="F5" s="39" t="n">
        <v>52</v>
      </c>
      <c r="G5" s="39" t="n">
        <v>1235</v>
      </c>
      <c r="H5" s="39" t="n">
        <v>91</v>
      </c>
      <c r="I5" s="39" t="n">
        <v>0</v>
      </c>
      <c r="J5" s="39"/>
      <c r="K5" s="39"/>
      <c r="L5" s="39" t="n">
        <v>91</v>
      </c>
      <c r="M5" s="39"/>
      <c r="N5" s="39"/>
      <c r="O5" s="39" t="n">
        <v>0</v>
      </c>
      <c r="P5" s="39" t="n">
        <v>91</v>
      </c>
      <c r="Q5" s="39"/>
      <c r="R5" s="39" t="n">
        <v>0</v>
      </c>
      <c r="S5" s="39"/>
      <c r="T5" s="39"/>
      <c r="U5" s="39"/>
      <c r="V5" s="39"/>
      <c r="W5" s="39" t="n">
        <v>0</v>
      </c>
      <c r="X5" s="39"/>
      <c r="Y5" s="39"/>
      <c r="Z5" s="39"/>
      <c r="AA5" s="39" t="n">
        <v>299</v>
      </c>
      <c r="AB5" s="39" t="n">
        <v>221</v>
      </c>
      <c r="AC5" s="39" t="n">
        <v>0</v>
      </c>
      <c r="AD5" s="39" t="n">
        <v>117</v>
      </c>
      <c r="AE5" s="39" t="n">
        <v>0</v>
      </c>
      <c r="AF5" s="39"/>
      <c r="AG5" s="39"/>
      <c r="AH5" s="39" t="n">
        <v>0</v>
      </c>
      <c r="AI5" s="39" t="n">
        <v>169</v>
      </c>
      <c r="AJ5" s="39" t="n">
        <v>78</v>
      </c>
      <c r="AK5" s="39" t="n">
        <v>52</v>
      </c>
      <c r="AL5" s="39"/>
      <c r="AM5" s="39" t="n">
        <v>286</v>
      </c>
      <c r="AN5" s="39" t="n">
        <v>0</v>
      </c>
      <c r="AO5" s="39" t="n">
        <v>52</v>
      </c>
      <c r="AP5" s="39"/>
      <c r="AQ5" s="39"/>
      <c r="AR5" s="39"/>
      <c r="AS5" s="39"/>
      <c r="AT5" s="39"/>
      <c r="AU5" s="40" t="n">
        <v>152490</v>
      </c>
    </row>
    <row r="6" customFormat="false" ht="12.75" hidden="false" customHeight="false" outlineLevel="0" collapsed="false">
      <c r="A6" s="37" t="n">
        <v>4</v>
      </c>
      <c r="B6" s="38" t="n">
        <v>79183</v>
      </c>
      <c r="C6" s="39" t="n">
        <v>0</v>
      </c>
      <c r="D6" s="39" t="n">
        <v>0</v>
      </c>
      <c r="E6" s="39" t="n">
        <v>0</v>
      </c>
      <c r="F6" s="39" t="n">
        <v>47697</v>
      </c>
      <c r="G6" s="39" t="n">
        <v>39</v>
      </c>
      <c r="H6" s="39" t="n">
        <v>0</v>
      </c>
      <c r="I6" s="39" t="n">
        <v>182</v>
      </c>
      <c r="J6" s="39" t="n">
        <v>117</v>
      </c>
      <c r="K6" s="39" t="n">
        <v>65</v>
      </c>
      <c r="L6" s="39" t="n">
        <v>0</v>
      </c>
      <c r="M6" s="39"/>
      <c r="N6" s="39"/>
      <c r="O6" s="39" t="n">
        <v>312</v>
      </c>
      <c r="P6" s="39" t="n">
        <v>429</v>
      </c>
      <c r="Q6" s="39" t="n">
        <v>117</v>
      </c>
      <c r="R6" s="39" t="n">
        <v>0</v>
      </c>
      <c r="S6" s="39"/>
      <c r="T6" s="39"/>
      <c r="U6" s="39"/>
      <c r="V6" s="39"/>
      <c r="W6" s="39" t="n">
        <v>0</v>
      </c>
      <c r="X6" s="39"/>
      <c r="Y6" s="39"/>
      <c r="Z6" s="39"/>
      <c r="AA6" s="39" t="n">
        <v>195</v>
      </c>
      <c r="AB6" s="39" t="n">
        <v>0</v>
      </c>
      <c r="AC6" s="39" t="n">
        <v>0</v>
      </c>
      <c r="AD6" s="39" t="n">
        <v>0</v>
      </c>
      <c r="AE6" s="39" t="n">
        <v>117</v>
      </c>
      <c r="AF6" s="39"/>
      <c r="AG6" s="39"/>
      <c r="AH6" s="39" t="n">
        <v>0</v>
      </c>
      <c r="AI6" s="39" t="n">
        <v>0</v>
      </c>
      <c r="AJ6" s="39" t="n">
        <v>0</v>
      </c>
      <c r="AK6" s="39" t="n">
        <v>91</v>
      </c>
      <c r="AL6" s="39"/>
      <c r="AM6" s="39" t="n">
        <v>182</v>
      </c>
      <c r="AN6" s="39" t="n">
        <v>0</v>
      </c>
      <c r="AO6" s="39" t="n">
        <v>1469</v>
      </c>
      <c r="AP6" s="39"/>
      <c r="AQ6" s="39"/>
      <c r="AR6" s="39"/>
      <c r="AS6" s="39"/>
      <c r="AT6" s="39" t="n">
        <v>78</v>
      </c>
      <c r="AU6" s="40" t="n">
        <v>130273</v>
      </c>
    </row>
    <row r="7" customFormat="false" ht="12.75" hidden="false" customHeight="false" outlineLevel="0" collapsed="false">
      <c r="A7" s="37" t="n">
        <v>5</v>
      </c>
      <c r="B7" s="38" t="n">
        <v>66183</v>
      </c>
      <c r="C7" s="39" t="n">
        <v>0</v>
      </c>
      <c r="D7" s="39" t="n">
        <v>533</v>
      </c>
      <c r="E7" s="39" t="n">
        <v>2275</v>
      </c>
      <c r="F7" s="39" t="n">
        <v>65</v>
      </c>
      <c r="G7" s="39" t="n">
        <v>28613</v>
      </c>
      <c r="H7" s="39" t="n">
        <v>1105</v>
      </c>
      <c r="I7" s="39" t="n">
        <v>572</v>
      </c>
      <c r="J7" s="39" t="n">
        <v>0</v>
      </c>
      <c r="K7" s="39" t="n">
        <v>0</v>
      </c>
      <c r="L7" s="39" t="n">
        <v>0</v>
      </c>
      <c r="M7" s="39" t="n">
        <v>143</v>
      </c>
      <c r="N7" s="39"/>
      <c r="O7" s="39" t="n">
        <v>0</v>
      </c>
      <c r="P7" s="39" t="n">
        <v>169</v>
      </c>
      <c r="Q7" s="39" t="n">
        <v>0</v>
      </c>
      <c r="R7" s="39" t="n">
        <v>0</v>
      </c>
      <c r="S7" s="39"/>
      <c r="T7" s="39"/>
      <c r="U7" s="39"/>
      <c r="V7" s="39"/>
      <c r="W7" s="39" t="n">
        <v>0</v>
      </c>
      <c r="X7" s="39"/>
      <c r="Y7" s="39"/>
      <c r="Z7" s="39"/>
      <c r="AA7" s="39" t="n">
        <v>0</v>
      </c>
      <c r="AB7" s="39" t="n">
        <v>182</v>
      </c>
      <c r="AC7" s="39" t="n">
        <v>0</v>
      </c>
      <c r="AD7" s="39" t="n">
        <v>0</v>
      </c>
      <c r="AE7" s="39" t="n">
        <v>0</v>
      </c>
      <c r="AF7" s="39"/>
      <c r="AG7" s="39"/>
      <c r="AH7" s="39" t="n">
        <v>0</v>
      </c>
      <c r="AI7" s="39" t="n">
        <v>0</v>
      </c>
      <c r="AJ7" s="39" t="n">
        <v>78</v>
      </c>
      <c r="AK7" s="39" t="n">
        <v>0</v>
      </c>
      <c r="AL7" s="39"/>
      <c r="AM7" s="39" t="n">
        <v>143</v>
      </c>
      <c r="AN7" s="39" t="n">
        <v>286</v>
      </c>
      <c r="AO7" s="39" t="n">
        <v>0</v>
      </c>
      <c r="AP7" s="39"/>
      <c r="AQ7" s="39"/>
      <c r="AR7" s="39"/>
      <c r="AS7" s="39"/>
      <c r="AT7" s="39" t="n">
        <v>0</v>
      </c>
      <c r="AU7" s="40" t="n">
        <v>100347</v>
      </c>
    </row>
    <row r="8" customFormat="false" ht="12.75" hidden="false" customHeight="false" outlineLevel="0" collapsed="false">
      <c r="A8" s="37" t="n">
        <v>6</v>
      </c>
      <c r="B8" s="38" t="n">
        <v>111722</v>
      </c>
      <c r="C8" s="39" t="n">
        <v>299</v>
      </c>
      <c r="D8" s="39" t="n">
        <v>0</v>
      </c>
      <c r="E8" s="39" t="n">
        <v>65</v>
      </c>
      <c r="F8" s="39" t="n">
        <v>0</v>
      </c>
      <c r="G8" s="39" t="n">
        <v>1391</v>
      </c>
      <c r="H8" s="39" t="n">
        <v>62647</v>
      </c>
      <c r="I8" s="39" t="n">
        <v>260</v>
      </c>
      <c r="J8" s="39" t="n">
        <v>1651</v>
      </c>
      <c r="K8" s="39" t="n">
        <v>117</v>
      </c>
      <c r="L8" s="39" t="n">
        <v>0</v>
      </c>
      <c r="M8" s="39" t="n">
        <v>117</v>
      </c>
      <c r="N8" s="39"/>
      <c r="O8" s="39" t="n">
        <v>0</v>
      </c>
      <c r="P8" s="39" t="n">
        <v>0</v>
      </c>
      <c r="Q8" s="39" t="n">
        <v>0</v>
      </c>
      <c r="R8" s="39" t="n">
        <v>260</v>
      </c>
      <c r="S8" s="39"/>
      <c r="T8" s="39"/>
      <c r="U8" s="39"/>
      <c r="V8" s="39"/>
      <c r="W8" s="39" t="n">
        <v>0</v>
      </c>
      <c r="X8" s="39"/>
      <c r="Y8" s="39"/>
      <c r="Z8" s="39"/>
      <c r="AA8" s="39" t="n">
        <v>0</v>
      </c>
      <c r="AB8" s="39" t="n">
        <v>0</v>
      </c>
      <c r="AC8" s="39" t="n">
        <v>78</v>
      </c>
      <c r="AD8" s="39" t="n">
        <v>0</v>
      </c>
      <c r="AE8" s="39" t="n">
        <v>0</v>
      </c>
      <c r="AF8" s="39" t="n">
        <v>117</v>
      </c>
      <c r="AG8" s="39"/>
      <c r="AH8" s="39" t="n">
        <v>0</v>
      </c>
      <c r="AI8" s="39" t="n">
        <v>130</v>
      </c>
      <c r="AJ8" s="39" t="n">
        <v>0</v>
      </c>
      <c r="AK8" s="39" t="n">
        <v>117</v>
      </c>
      <c r="AL8" s="39"/>
      <c r="AM8" s="39" t="n">
        <v>156</v>
      </c>
      <c r="AN8" s="39" t="n">
        <v>117</v>
      </c>
      <c r="AO8" s="39" t="n">
        <v>0</v>
      </c>
      <c r="AP8" s="39"/>
      <c r="AQ8" s="39"/>
      <c r="AR8" s="39"/>
      <c r="AS8" s="39"/>
      <c r="AT8" s="39" t="n">
        <v>78</v>
      </c>
      <c r="AU8" s="40" t="n">
        <v>179322</v>
      </c>
    </row>
    <row r="9" customFormat="false" ht="12.75" hidden="false" customHeight="false" outlineLevel="0" collapsed="false">
      <c r="A9" s="37" t="n">
        <v>7</v>
      </c>
      <c r="B9" s="38" t="n">
        <v>61087</v>
      </c>
      <c r="C9" s="39" t="n">
        <v>104</v>
      </c>
      <c r="D9" s="39" t="n">
        <v>0</v>
      </c>
      <c r="E9" s="39" t="n">
        <v>624</v>
      </c>
      <c r="F9" s="39" t="n">
        <v>377</v>
      </c>
      <c r="G9" s="39" t="n">
        <v>78</v>
      </c>
      <c r="H9" s="39" t="n">
        <v>208</v>
      </c>
      <c r="I9" s="39" t="n">
        <v>32396</v>
      </c>
      <c r="J9" s="39" t="n">
        <v>650</v>
      </c>
      <c r="K9" s="39" t="n">
        <v>78</v>
      </c>
      <c r="L9" s="39" t="n">
        <v>0</v>
      </c>
      <c r="M9" s="39" t="n">
        <v>3822</v>
      </c>
      <c r="N9" s="39"/>
      <c r="O9" s="39" t="n">
        <v>0</v>
      </c>
      <c r="P9" s="39" t="n">
        <v>117</v>
      </c>
      <c r="Q9" s="39" t="n">
        <v>117</v>
      </c>
      <c r="R9" s="39" t="n">
        <v>91</v>
      </c>
      <c r="S9" s="39"/>
      <c r="T9" s="39"/>
      <c r="U9" s="39"/>
      <c r="V9" s="39"/>
      <c r="W9" s="39" t="n">
        <v>0</v>
      </c>
      <c r="X9" s="39"/>
      <c r="Y9" s="39"/>
      <c r="Z9" s="39"/>
      <c r="AA9" s="39" t="n">
        <v>221</v>
      </c>
      <c r="AB9" s="39" t="n">
        <v>91</v>
      </c>
      <c r="AC9" s="39" t="n">
        <v>26</v>
      </c>
      <c r="AD9" s="39" t="n">
        <v>0</v>
      </c>
      <c r="AE9" s="39" t="n">
        <v>104</v>
      </c>
      <c r="AF9" s="39" t="n">
        <v>0</v>
      </c>
      <c r="AG9" s="39"/>
      <c r="AH9" s="39" t="n">
        <v>0</v>
      </c>
      <c r="AI9" s="39" t="n">
        <v>1235</v>
      </c>
      <c r="AJ9" s="39" t="n">
        <v>0</v>
      </c>
      <c r="AK9" s="39" t="n">
        <v>182</v>
      </c>
      <c r="AL9" s="39" t="n">
        <v>143</v>
      </c>
      <c r="AM9" s="39" t="n">
        <v>104</v>
      </c>
      <c r="AN9" s="39" t="n">
        <v>0</v>
      </c>
      <c r="AO9" s="39" t="n">
        <v>156</v>
      </c>
      <c r="AP9" s="39" t="n">
        <v>143</v>
      </c>
      <c r="AQ9" s="39"/>
      <c r="AR9" s="39"/>
      <c r="AS9" s="39"/>
      <c r="AT9" s="39" t="n">
        <v>0</v>
      </c>
      <c r="AU9" s="40" t="n">
        <v>102154</v>
      </c>
    </row>
    <row r="10" customFormat="false" ht="12.75" hidden="false" customHeight="false" outlineLevel="0" collapsed="false">
      <c r="A10" s="37" t="n">
        <v>8</v>
      </c>
      <c r="B10" s="38" t="n">
        <v>74074</v>
      </c>
      <c r="C10" s="39" t="n">
        <v>0</v>
      </c>
      <c r="D10" s="39" t="n">
        <v>0</v>
      </c>
      <c r="E10" s="39" t="n">
        <v>0</v>
      </c>
      <c r="F10" s="39" t="n">
        <v>0</v>
      </c>
      <c r="G10" s="39" t="n">
        <v>403</v>
      </c>
      <c r="H10" s="39" t="n">
        <v>663</v>
      </c>
      <c r="I10" s="39" t="n">
        <v>312</v>
      </c>
      <c r="J10" s="39" t="n">
        <v>38493</v>
      </c>
      <c r="K10" s="39" t="n">
        <v>0</v>
      </c>
      <c r="L10" s="39" t="n">
        <v>1521</v>
      </c>
      <c r="M10" s="39" t="n">
        <v>1196</v>
      </c>
      <c r="N10" s="39"/>
      <c r="O10" s="39" t="n">
        <v>0</v>
      </c>
      <c r="P10" s="39" t="n">
        <v>0</v>
      </c>
      <c r="Q10" s="39" t="n">
        <v>0</v>
      </c>
      <c r="R10" s="39" t="n">
        <v>0</v>
      </c>
      <c r="S10" s="39"/>
      <c r="T10" s="39"/>
      <c r="U10" s="39"/>
      <c r="V10" s="39"/>
      <c r="W10" s="39" t="n">
        <v>0</v>
      </c>
      <c r="X10" s="39"/>
      <c r="Y10" s="39"/>
      <c r="Z10" s="39"/>
      <c r="AA10" s="39" t="n">
        <v>91</v>
      </c>
      <c r="AB10" s="39" t="n">
        <v>0</v>
      </c>
      <c r="AC10" s="39" t="n">
        <v>0</v>
      </c>
      <c r="AD10" s="39" t="n">
        <v>0</v>
      </c>
      <c r="AE10" s="39" t="n">
        <v>0</v>
      </c>
      <c r="AF10" s="39" t="n">
        <v>0</v>
      </c>
      <c r="AG10" s="39"/>
      <c r="AH10" s="39" t="n">
        <v>0</v>
      </c>
      <c r="AI10" s="39" t="n">
        <v>3640</v>
      </c>
      <c r="AJ10" s="39" t="n">
        <v>0</v>
      </c>
      <c r="AK10" s="39" t="n">
        <v>0</v>
      </c>
      <c r="AL10" s="39" t="n">
        <v>78</v>
      </c>
      <c r="AM10" s="39" t="n">
        <v>0</v>
      </c>
      <c r="AN10" s="39" t="n">
        <v>364</v>
      </c>
      <c r="AO10" s="39" t="n">
        <v>0</v>
      </c>
      <c r="AP10" s="39" t="n">
        <v>78</v>
      </c>
      <c r="AQ10" s="39"/>
      <c r="AR10" s="39"/>
      <c r="AS10" s="39"/>
      <c r="AT10" s="39" t="n">
        <v>0</v>
      </c>
      <c r="AU10" s="40" t="n">
        <v>120913</v>
      </c>
    </row>
    <row r="11" customFormat="false" ht="12.75" hidden="false" customHeight="false" outlineLevel="0" collapsed="false">
      <c r="A11" s="37" t="n">
        <v>9</v>
      </c>
      <c r="B11" s="38" t="n">
        <v>57291</v>
      </c>
      <c r="C11" s="39" t="n">
        <v>143</v>
      </c>
      <c r="D11" s="39" t="n">
        <v>0</v>
      </c>
      <c r="E11" s="39" t="n">
        <v>0</v>
      </c>
      <c r="F11" s="39" t="n">
        <v>208</v>
      </c>
      <c r="G11" s="39" t="n">
        <v>0</v>
      </c>
      <c r="H11" s="39" t="n">
        <v>0</v>
      </c>
      <c r="I11" s="39" t="n">
        <v>0</v>
      </c>
      <c r="J11" s="39" t="n">
        <v>0</v>
      </c>
      <c r="K11" s="39" t="n">
        <v>37791</v>
      </c>
      <c r="L11" s="39" t="n">
        <v>104</v>
      </c>
      <c r="M11" s="39" t="n">
        <v>0</v>
      </c>
      <c r="N11" s="39"/>
      <c r="O11" s="39" t="n">
        <v>429</v>
      </c>
      <c r="P11" s="39" t="n">
        <v>897</v>
      </c>
      <c r="Q11" s="39" t="n">
        <v>195</v>
      </c>
      <c r="R11" s="39" t="n">
        <v>0</v>
      </c>
      <c r="S11" s="39"/>
      <c r="T11" s="39"/>
      <c r="U11" s="39"/>
      <c r="V11" s="39"/>
      <c r="W11" s="39" t="n">
        <v>0</v>
      </c>
      <c r="X11" s="39"/>
      <c r="Y11" s="39"/>
      <c r="Z11" s="39"/>
      <c r="AA11" s="39" t="n">
        <v>897</v>
      </c>
      <c r="AB11" s="39" t="n">
        <v>1911</v>
      </c>
      <c r="AC11" s="39" t="n">
        <v>0</v>
      </c>
      <c r="AD11" s="39" t="n">
        <v>0</v>
      </c>
      <c r="AE11" s="39" t="n">
        <v>104</v>
      </c>
      <c r="AF11" s="39" t="n">
        <v>0</v>
      </c>
      <c r="AG11" s="39"/>
      <c r="AH11" s="39" t="n">
        <v>0</v>
      </c>
      <c r="AI11" s="39" t="n">
        <v>286</v>
      </c>
      <c r="AJ11" s="39" t="n">
        <v>0</v>
      </c>
      <c r="AK11" s="39" t="n">
        <v>91</v>
      </c>
      <c r="AL11" s="39" t="n">
        <v>0</v>
      </c>
      <c r="AM11" s="39" t="n">
        <v>390</v>
      </c>
      <c r="AN11" s="39" t="n">
        <v>6682</v>
      </c>
      <c r="AO11" s="39" t="n">
        <v>1781</v>
      </c>
      <c r="AP11" s="39" t="n">
        <v>0</v>
      </c>
      <c r="AQ11" s="39"/>
      <c r="AR11" s="39"/>
      <c r="AS11" s="39"/>
      <c r="AT11" s="39" t="n">
        <v>0</v>
      </c>
      <c r="AU11" s="40" t="n">
        <v>109200</v>
      </c>
    </row>
    <row r="12" customFormat="false" ht="12.75" hidden="false" customHeight="false" outlineLevel="0" collapsed="false">
      <c r="A12" s="37" t="n">
        <v>10</v>
      </c>
      <c r="B12" s="38" t="n">
        <v>75231</v>
      </c>
      <c r="C12" s="39" t="n">
        <v>65</v>
      </c>
      <c r="D12" s="39" t="n">
        <v>0</v>
      </c>
      <c r="E12" s="39" t="n">
        <v>221</v>
      </c>
      <c r="F12" s="39" t="n">
        <v>0</v>
      </c>
      <c r="G12" s="39" t="n">
        <v>182</v>
      </c>
      <c r="H12" s="39" t="n">
        <v>221</v>
      </c>
      <c r="I12" s="39" t="n">
        <v>0</v>
      </c>
      <c r="J12" s="39" t="n">
        <v>507</v>
      </c>
      <c r="K12" s="39" t="n">
        <v>169</v>
      </c>
      <c r="L12" s="39" t="n">
        <v>44408</v>
      </c>
      <c r="M12" s="39" t="n">
        <v>208</v>
      </c>
      <c r="N12" s="39" t="n">
        <v>195</v>
      </c>
      <c r="O12" s="39" t="n">
        <v>0</v>
      </c>
      <c r="P12" s="39" t="n">
        <v>0</v>
      </c>
      <c r="Q12" s="39" t="n">
        <v>78</v>
      </c>
      <c r="R12" s="39" t="n">
        <v>117</v>
      </c>
      <c r="S12" s="39"/>
      <c r="T12" s="39"/>
      <c r="U12" s="39"/>
      <c r="V12" s="39"/>
      <c r="W12" s="39" t="n">
        <v>0</v>
      </c>
      <c r="X12" s="39"/>
      <c r="Y12" s="39"/>
      <c r="Z12" s="39"/>
      <c r="AA12" s="39" t="n">
        <v>312</v>
      </c>
      <c r="AB12" s="39" t="n">
        <v>299</v>
      </c>
      <c r="AC12" s="39" t="n">
        <v>0</v>
      </c>
      <c r="AD12" s="39" t="n">
        <v>0</v>
      </c>
      <c r="AE12" s="39" t="n">
        <v>78</v>
      </c>
      <c r="AF12" s="39" t="n">
        <v>0</v>
      </c>
      <c r="AG12" s="39"/>
      <c r="AH12" s="39" t="n">
        <v>0</v>
      </c>
      <c r="AI12" s="39" t="n">
        <v>17108</v>
      </c>
      <c r="AJ12" s="39" t="n">
        <v>0</v>
      </c>
      <c r="AK12" s="39" t="n">
        <v>0</v>
      </c>
      <c r="AL12" s="39" t="n">
        <v>351</v>
      </c>
      <c r="AM12" s="39" t="n">
        <v>65</v>
      </c>
      <c r="AN12" s="39" t="n">
        <v>2184</v>
      </c>
      <c r="AO12" s="39" t="n">
        <v>0</v>
      </c>
      <c r="AP12" s="39" t="n">
        <v>117</v>
      </c>
      <c r="AQ12" s="39"/>
      <c r="AR12" s="39"/>
      <c r="AS12" s="39"/>
      <c r="AT12" s="39" t="n">
        <v>0</v>
      </c>
      <c r="AU12" s="40" t="n">
        <v>142116</v>
      </c>
    </row>
    <row r="13" customFormat="false" ht="12.75" hidden="false" customHeight="false" outlineLevel="0" collapsed="false">
      <c r="A13" s="37" t="n">
        <v>11</v>
      </c>
      <c r="B13" s="38" t="n">
        <v>90948</v>
      </c>
      <c r="C13" s="39" t="n">
        <v>0</v>
      </c>
      <c r="D13" s="39" t="n">
        <v>0</v>
      </c>
      <c r="E13" s="39" t="n">
        <v>429</v>
      </c>
      <c r="F13" s="39" t="n">
        <v>1456</v>
      </c>
      <c r="G13" s="39" t="n">
        <v>416</v>
      </c>
      <c r="H13" s="39" t="n">
        <v>0</v>
      </c>
      <c r="I13" s="39" t="n">
        <v>1872</v>
      </c>
      <c r="J13" s="39" t="n">
        <v>247</v>
      </c>
      <c r="K13" s="39" t="n">
        <v>0</v>
      </c>
      <c r="L13" s="39" t="n">
        <v>1131</v>
      </c>
      <c r="M13" s="39" t="n">
        <v>46007</v>
      </c>
      <c r="N13" s="39" t="n">
        <v>104</v>
      </c>
      <c r="O13" s="39" t="n">
        <v>0</v>
      </c>
      <c r="P13" s="39" t="n">
        <v>91</v>
      </c>
      <c r="Q13" s="39" t="n">
        <v>26</v>
      </c>
      <c r="R13" s="39" t="n">
        <v>312</v>
      </c>
      <c r="S13" s="39"/>
      <c r="T13" s="39"/>
      <c r="U13" s="39"/>
      <c r="V13" s="39"/>
      <c r="W13" s="39" t="n">
        <v>0</v>
      </c>
      <c r="X13" s="39"/>
      <c r="Y13" s="39"/>
      <c r="Z13" s="39"/>
      <c r="AA13" s="39" t="n">
        <v>104</v>
      </c>
      <c r="AB13" s="39" t="n">
        <v>624</v>
      </c>
      <c r="AC13" s="39" t="n">
        <v>117</v>
      </c>
      <c r="AD13" s="39" t="n">
        <v>0</v>
      </c>
      <c r="AE13" s="39" t="n">
        <v>221</v>
      </c>
      <c r="AF13" s="39" t="n">
        <v>0</v>
      </c>
      <c r="AG13" s="39" t="n">
        <v>182</v>
      </c>
      <c r="AH13" s="39" t="n">
        <v>169</v>
      </c>
      <c r="AI13" s="39" t="n">
        <v>25571</v>
      </c>
      <c r="AJ13" s="39" t="n">
        <v>0</v>
      </c>
      <c r="AK13" s="39" t="n">
        <v>143</v>
      </c>
      <c r="AL13" s="39" t="n">
        <v>208</v>
      </c>
      <c r="AM13" s="39" t="n">
        <v>442</v>
      </c>
      <c r="AN13" s="39" t="n">
        <v>377</v>
      </c>
      <c r="AO13" s="39" t="n">
        <v>26</v>
      </c>
      <c r="AP13" s="39" t="n">
        <v>195</v>
      </c>
      <c r="AQ13" s="39" t="n">
        <v>156</v>
      </c>
      <c r="AR13" s="39"/>
      <c r="AS13" s="39"/>
      <c r="AT13" s="39" t="n">
        <v>117</v>
      </c>
      <c r="AU13" s="40" t="n">
        <v>171691</v>
      </c>
    </row>
    <row r="14" customFormat="false" ht="12.75" hidden="false" customHeight="false" outlineLevel="0" collapsed="false">
      <c r="A14" s="37" t="n">
        <v>12</v>
      </c>
      <c r="B14" s="38" t="n">
        <v>66781</v>
      </c>
      <c r="C14" s="39" t="n">
        <v>0</v>
      </c>
      <c r="D14" s="39" t="n">
        <v>143</v>
      </c>
      <c r="E14" s="39" t="n">
        <v>299</v>
      </c>
      <c r="F14" s="39" t="n">
        <v>0</v>
      </c>
      <c r="G14" s="39" t="n">
        <v>5811</v>
      </c>
      <c r="H14" s="39" t="n">
        <v>143</v>
      </c>
      <c r="I14" s="39" t="n">
        <v>130</v>
      </c>
      <c r="J14" s="39" t="n">
        <v>0</v>
      </c>
      <c r="K14" s="39" t="n">
        <v>0</v>
      </c>
      <c r="L14" s="39" t="n">
        <v>494</v>
      </c>
      <c r="M14" s="39" t="n">
        <v>1651</v>
      </c>
      <c r="N14" s="39" t="n">
        <v>30693</v>
      </c>
      <c r="O14" s="39" t="n">
        <v>0</v>
      </c>
      <c r="P14" s="39" t="n">
        <v>156</v>
      </c>
      <c r="Q14" s="39" t="n">
        <v>182</v>
      </c>
      <c r="R14" s="39" t="n">
        <v>312</v>
      </c>
      <c r="S14" s="39"/>
      <c r="T14" s="39"/>
      <c r="U14" s="39"/>
      <c r="V14" s="39"/>
      <c r="W14" s="39" t="n">
        <v>0</v>
      </c>
      <c r="X14" s="39"/>
      <c r="Y14" s="39"/>
      <c r="Z14" s="39"/>
      <c r="AA14" s="39" t="n">
        <v>26</v>
      </c>
      <c r="AB14" s="39" t="n">
        <v>91</v>
      </c>
      <c r="AC14" s="39" t="n">
        <v>0</v>
      </c>
      <c r="AD14" s="39" t="n">
        <v>0</v>
      </c>
      <c r="AE14" s="39" t="n">
        <v>78</v>
      </c>
      <c r="AF14" s="39" t="n">
        <v>0</v>
      </c>
      <c r="AG14" s="39" t="n">
        <v>169</v>
      </c>
      <c r="AH14" s="39" t="n">
        <v>0</v>
      </c>
      <c r="AI14" s="39" t="n">
        <v>15028</v>
      </c>
      <c r="AJ14" s="39" t="n">
        <v>0</v>
      </c>
      <c r="AK14" s="39" t="n">
        <v>117</v>
      </c>
      <c r="AL14" s="39" t="n">
        <v>182</v>
      </c>
      <c r="AM14" s="39" t="n">
        <v>91</v>
      </c>
      <c r="AN14" s="39" t="n">
        <v>117</v>
      </c>
      <c r="AO14" s="39" t="n">
        <v>91</v>
      </c>
      <c r="AP14" s="39" t="n">
        <v>0</v>
      </c>
      <c r="AQ14" s="39" t="n">
        <v>78</v>
      </c>
      <c r="AR14" s="39"/>
      <c r="AS14" s="39"/>
      <c r="AT14" s="39" t="n">
        <v>0</v>
      </c>
      <c r="AU14" s="40" t="n">
        <v>122863</v>
      </c>
    </row>
    <row r="15" customFormat="false" ht="12.75" hidden="false" customHeight="false" outlineLevel="0" collapsed="false">
      <c r="A15" s="37" t="n">
        <v>15</v>
      </c>
      <c r="B15" s="38" t="n">
        <v>103519</v>
      </c>
      <c r="C15" s="39" t="n">
        <v>0</v>
      </c>
      <c r="D15" s="39" t="n">
        <v>0</v>
      </c>
      <c r="E15" s="39" t="n">
        <v>104</v>
      </c>
      <c r="F15" s="39" t="n">
        <v>130</v>
      </c>
      <c r="G15" s="39" t="n">
        <v>0</v>
      </c>
      <c r="H15" s="39" t="n">
        <v>0</v>
      </c>
      <c r="I15" s="39" t="n">
        <v>0</v>
      </c>
      <c r="J15" s="39" t="n">
        <v>195</v>
      </c>
      <c r="K15" s="39" t="n">
        <v>104</v>
      </c>
      <c r="L15" s="39" t="n">
        <v>65</v>
      </c>
      <c r="M15" s="39" t="n">
        <v>0</v>
      </c>
      <c r="N15" s="39" t="n">
        <v>0</v>
      </c>
      <c r="O15" s="39" t="n">
        <v>72592</v>
      </c>
      <c r="P15" s="39" t="n">
        <v>33098</v>
      </c>
      <c r="Q15" s="39" t="n">
        <v>3744</v>
      </c>
      <c r="R15" s="39" t="n">
        <v>0</v>
      </c>
      <c r="S15" s="39"/>
      <c r="T15" s="39"/>
      <c r="U15" s="39"/>
      <c r="V15" s="39"/>
      <c r="W15" s="39" t="n">
        <v>0</v>
      </c>
      <c r="X15" s="39"/>
      <c r="Y15" s="39"/>
      <c r="Z15" s="39" t="n">
        <v>0</v>
      </c>
      <c r="AA15" s="39" t="n">
        <v>5122</v>
      </c>
      <c r="AB15" s="39" t="n">
        <v>4394</v>
      </c>
      <c r="AC15" s="39" t="n">
        <v>91</v>
      </c>
      <c r="AD15" s="39" t="n">
        <v>0</v>
      </c>
      <c r="AE15" s="39" t="n">
        <v>247</v>
      </c>
      <c r="AF15" s="39" t="n">
        <v>0</v>
      </c>
      <c r="AG15" s="39" t="n">
        <v>0</v>
      </c>
      <c r="AH15" s="39" t="n">
        <v>0</v>
      </c>
      <c r="AI15" s="39" t="n">
        <v>325</v>
      </c>
      <c r="AJ15" s="39" t="n">
        <v>0</v>
      </c>
      <c r="AK15" s="39" t="n">
        <v>156</v>
      </c>
      <c r="AL15" s="39" t="n">
        <v>0</v>
      </c>
      <c r="AM15" s="39" t="n">
        <v>351</v>
      </c>
      <c r="AN15" s="39" t="n">
        <v>1027</v>
      </c>
      <c r="AO15" s="39" t="n">
        <v>3029</v>
      </c>
      <c r="AP15" s="39" t="n">
        <v>104</v>
      </c>
      <c r="AQ15" s="39" t="n">
        <v>0</v>
      </c>
      <c r="AR15" s="39"/>
      <c r="AS15" s="39"/>
      <c r="AT15" s="39" t="n">
        <v>533</v>
      </c>
      <c r="AU15" s="40" t="n">
        <v>228930</v>
      </c>
    </row>
    <row r="16" customFormat="false" ht="12.75" hidden="false" customHeight="false" outlineLevel="0" collapsed="false">
      <c r="A16" s="37" t="n">
        <v>19</v>
      </c>
      <c r="B16" s="38" t="n">
        <v>347230</v>
      </c>
      <c r="C16" s="39" t="n">
        <v>143</v>
      </c>
      <c r="D16" s="39" t="n">
        <v>78</v>
      </c>
      <c r="E16" s="39" t="n">
        <v>156</v>
      </c>
      <c r="F16" s="39" t="n">
        <v>182</v>
      </c>
      <c r="G16" s="39" t="n">
        <v>0</v>
      </c>
      <c r="H16" s="39" t="n">
        <v>0</v>
      </c>
      <c r="I16" s="39" t="n">
        <v>78</v>
      </c>
      <c r="J16" s="39" t="n">
        <v>0</v>
      </c>
      <c r="K16" s="39" t="n">
        <v>130</v>
      </c>
      <c r="L16" s="39" t="n">
        <v>0</v>
      </c>
      <c r="M16" s="39" t="n">
        <v>117</v>
      </c>
      <c r="N16" s="39" t="n">
        <v>0</v>
      </c>
      <c r="O16" s="39" t="n">
        <v>4095</v>
      </c>
      <c r="P16" s="39" t="n">
        <v>313768</v>
      </c>
      <c r="Q16" s="39" t="n">
        <v>29393</v>
      </c>
      <c r="R16" s="39" t="n">
        <v>0</v>
      </c>
      <c r="S16" s="39" t="n">
        <v>0</v>
      </c>
      <c r="T16" s="39" t="n">
        <v>0</v>
      </c>
      <c r="U16" s="39" t="n">
        <v>0</v>
      </c>
      <c r="V16" s="39" t="n">
        <v>104</v>
      </c>
      <c r="W16" s="39" t="n">
        <v>0</v>
      </c>
      <c r="X16" s="39" t="n">
        <v>299</v>
      </c>
      <c r="Y16" s="39"/>
      <c r="Z16" s="39" t="n">
        <v>0</v>
      </c>
      <c r="AA16" s="39" t="n">
        <v>19760</v>
      </c>
      <c r="AB16" s="39" t="n">
        <v>6149</v>
      </c>
      <c r="AC16" s="39" t="n">
        <v>0</v>
      </c>
      <c r="AD16" s="39" t="n">
        <v>0</v>
      </c>
      <c r="AE16" s="39" t="n">
        <v>767</v>
      </c>
      <c r="AF16" s="39" t="n">
        <v>247</v>
      </c>
      <c r="AG16" s="39" t="n">
        <v>0</v>
      </c>
      <c r="AH16" s="39" t="n">
        <v>0</v>
      </c>
      <c r="AI16" s="39" t="n">
        <v>104</v>
      </c>
      <c r="AJ16" s="39" t="n">
        <v>117</v>
      </c>
      <c r="AK16" s="39" t="n">
        <v>104</v>
      </c>
      <c r="AL16" s="39" t="n">
        <v>117</v>
      </c>
      <c r="AM16" s="39" t="n">
        <v>8359</v>
      </c>
      <c r="AN16" s="39" t="n">
        <v>442</v>
      </c>
      <c r="AO16" s="39" t="n">
        <v>637</v>
      </c>
      <c r="AP16" s="39" t="n">
        <v>234</v>
      </c>
      <c r="AQ16" s="39" t="n">
        <v>0</v>
      </c>
      <c r="AR16" s="39" t="n">
        <v>0</v>
      </c>
      <c r="AS16" s="39"/>
      <c r="AT16" s="39" t="n">
        <v>351</v>
      </c>
      <c r="AU16" s="40" t="n">
        <v>733161</v>
      </c>
    </row>
    <row r="17" customFormat="false" ht="12.75" hidden="false" customHeight="false" outlineLevel="0" collapsed="false">
      <c r="A17" s="37" t="n">
        <v>22</v>
      </c>
      <c r="B17" s="38" t="n">
        <v>313391</v>
      </c>
      <c r="C17" s="39" t="n">
        <v>169</v>
      </c>
      <c r="D17" s="39" t="n">
        <v>0</v>
      </c>
      <c r="E17" s="39" t="n">
        <v>221</v>
      </c>
      <c r="F17" s="39" t="n">
        <v>0</v>
      </c>
      <c r="G17" s="39" t="n">
        <v>182</v>
      </c>
      <c r="H17" s="39" t="n">
        <v>0</v>
      </c>
      <c r="I17" s="39" t="n">
        <v>0</v>
      </c>
      <c r="J17" s="39" t="n">
        <v>0</v>
      </c>
      <c r="K17" s="39" t="n">
        <v>0</v>
      </c>
      <c r="L17" s="39" t="n">
        <v>78</v>
      </c>
      <c r="M17" s="39" t="n">
        <v>78</v>
      </c>
      <c r="N17" s="39" t="n">
        <v>0</v>
      </c>
      <c r="O17" s="39" t="n">
        <v>1196</v>
      </c>
      <c r="P17" s="39" t="n">
        <v>80925</v>
      </c>
      <c r="Q17" s="39" t="n">
        <v>203580</v>
      </c>
      <c r="R17" s="39" t="n">
        <v>0</v>
      </c>
      <c r="S17" s="39" t="n">
        <v>0</v>
      </c>
      <c r="T17" s="39" t="n">
        <v>0</v>
      </c>
      <c r="U17" s="39" t="n">
        <v>0</v>
      </c>
      <c r="V17" s="39" t="n">
        <v>0</v>
      </c>
      <c r="W17" s="39" t="n">
        <v>0</v>
      </c>
      <c r="X17" s="39" t="n">
        <v>325</v>
      </c>
      <c r="Y17" s="39"/>
      <c r="Z17" s="39" t="n">
        <v>0</v>
      </c>
      <c r="AA17" s="39" t="n">
        <v>13689</v>
      </c>
      <c r="AB17" s="39" t="n">
        <v>3458</v>
      </c>
      <c r="AC17" s="39" t="n">
        <v>104</v>
      </c>
      <c r="AD17" s="39" t="n">
        <v>0</v>
      </c>
      <c r="AE17" s="39" t="n">
        <v>481</v>
      </c>
      <c r="AF17" s="39" t="n">
        <v>0</v>
      </c>
      <c r="AG17" s="39" t="n">
        <v>0</v>
      </c>
      <c r="AH17" s="39" t="n">
        <v>143</v>
      </c>
      <c r="AI17" s="39" t="n">
        <v>0</v>
      </c>
      <c r="AJ17" s="39" t="n">
        <v>0</v>
      </c>
      <c r="AK17" s="39" t="n">
        <v>91</v>
      </c>
      <c r="AL17" s="39" t="n">
        <v>0</v>
      </c>
      <c r="AM17" s="39" t="n">
        <v>45721</v>
      </c>
      <c r="AN17" s="39" t="n">
        <v>65</v>
      </c>
      <c r="AO17" s="39" t="n">
        <v>312</v>
      </c>
      <c r="AP17" s="39" t="n">
        <v>0</v>
      </c>
      <c r="AQ17" s="39" t="n">
        <v>0</v>
      </c>
      <c r="AR17" s="39" t="n">
        <v>0</v>
      </c>
      <c r="AS17" s="39"/>
      <c r="AT17" s="39" t="n">
        <v>234</v>
      </c>
      <c r="AU17" s="40" t="n">
        <v>664443</v>
      </c>
    </row>
    <row r="18" customFormat="false" ht="12.75" hidden="false" customHeight="false" outlineLevel="0" collapsed="false">
      <c r="A18" s="37" t="n">
        <v>26</v>
      </c>
      <c r="B18" s="38" t="n">
        <v>95186</v>
      </c>
      <c r="C18" s="39" t="n">
        <v>0</v>
      </c>
      <c r="D18" s="39" t="n">
        <v>0</v>
      </c>
      <c r="E18" s="39" t="n">
        <v>26</v>
      </c>
      <c r="F18" s="39" t="n">
        <v>0</v>
      </c>
      <c r="G18" s="39" t="n">
        <v>208</v>
      </c>
      <c r="H18" s="39" t="n">
        <v>0</v>
      </c>
      <c r="I18" s="39" t="n">
        <v>0</v>
      </c>
      <c r="J18" s="39" t="n">
        <v>0</v>
      </c>
      <c r="K18" s="39" t="n">
        <v>0</v>
      </c>
      <c r="L18" s="39" t="n">
        <v>0</v>
      </c>
      <c r="M18" s="39" t="n">
        <v>169</v>
      </c>
      <c r="N18" s="39" t="n">
        <v>208</v>
      </c>
      <c r="O18" s="39" t="n">
        <v>0</v>
      </c>
      <c r="P18" s="39" t="n">
        <v>0</v>
      </c>
      <c r="Q18" s="39" t="n">
        <v>299</v>
      </c>
      <c r="R18" s="39" t="n">
        <v>49543</v>
      </c>
      <c r="S18" s="39" t="n">
        <v>520</v>
      </c>
      <c r="T18" s="39" t="n">
        <v>130</v>
      </c>
      <c r="U18" s="39" t="n">
        <v>0</v>
      </c>
      <c r="V18" s="39" t="n">
        <v>0</v>
      </c>
      <c r="W18" s="39" t="n">
        <v>0</v>
      </c>
      <c r="X18" s="39" t="n">
        <v>0</v>
      </c>
      <c r="Y18" s="39"/>
      <c r="Z18" s="39" t="n">
        <v>0</v>
      </c>
      <c r="AA18" s="39" t="n">
        <v>481</v>
      </c>
      <c r="AB18" s="39" t="n">
        <v>247</v>
      </c>
      <c r="AC18" s="39" t="n">
        <v>26</v>
      </c>
      <c r="AD18" s="39" t="n">
        <v>0</v>
      </c>
      <c r="AE18" s="39" t="n">
        <v>429</v>
      </c>
      <c r="AF18" s="39" t="n">
        <v>52</v>
      </c>
      <c r="AG18" s="39" t="n">
        <v>0</v>
      </c>
      <c r="AH18" s="39" t="n">
        <v>65</v>
      </c>
      <c r="AI18" s="39" t="n">
        <v>1274</v>
      </c>
      <c r="AJ18" s="39" t="n">
        <v>0</v>
      </c>
      <c r="AK18" s="39" t="n">
        <v>0</v>
      </c>
      <c r="AL18" s="39" t="n">
        <v>2990</v>
      </c>
      <c r="AM18" s="39" t="n">
        <v>559</v>
      </c>
      <c r="AN18" s="39" t="n">
        <v>65</v>
      </c>
      <c r="AO18" s="39" t="n">
        <v>299</v>
      </c>
      <c r="AP18" s="39" t="n">
        <v>1768</v>
      </c>
      <c r="AQ18" s="39" t="n">
        <v>0</v>
      </c>
      <c r="AR18" s="39" t="n">
        <v>0</v>
      </c>
      <c r="AS18" s="39"/>
      <c r="AT18" s="39" t="n">
        <v>0</v>
      </c>
      <c r="AU18" s="40" t="n">
        <v>154544</v>
      </c>
    </row>
    <row r="19" customFormat="false" ht="12.75" hidden="false" customHeight="false" outlineLevel="0" collapsed="false">
      <c r="A19" s="37" t="n">
        <v>27</v>
      </c>
      <c r="B19" s="38" t="n">
        <v>78299</v>
      </c>
      <c r="C19" s="39" t="n">
        <v>0</v>
      </c>
      <c r="D19" s="39" t="n">
        <v>0</v>
      </c>
      <c r="E19" s="39" t="n">
        <v>0</v>
      </c>
      <c r="F19" s="39" t="n">
        <v>0</v>
      </c>
      <c r="G19" s="39" t="n">
        <v>0</v>
      </c>
      <c r="H19" s="39" t="n">
        <v>0</v>
      </c>
      <c r="I19" s="39" t="n">
        <v>0</v>
      </c>
      <c r="J19" s="39" t="n">
        <v>0</v>
      </c>
      <c r="K19" s="39" t="n">
        <v>143</v>
      </c>
      <c r="L19" s="39" t="n">
        <v>0</v>
      </c>
      <c r="M19" s="39" t="n">
        <v>0</v>
      </c>
      <c r="N19" s="39" t="n">
        <v>0</v>
      </c>
      <c r="O19" s="39" t="n">
        <v>0</v>
      </c>
      <c r="P19" s="39" t="n">
        <v>0</v>
      </c>
      <c r="Q19" s="39" t="n">
        <v>0</v>
      </c>
      <c r="R19" s="39" t="n">
        <v>429</v>
      </c>
      <c r="S19" s="39" t="n">
        <v>34346</v>
      </c>
      <c r="T19" s="39" t="n">
        <v>1105</v>
      </c>
      <c r="U19" s="39" t="n">
        <v>156</v>
      </c>
      <c r="V19" s="39" t="n">
        <v>78</v>
      </c>
      <c r="W19" s="39" t="n">
        <v>130</v>
      </c>
      <c r="X19" s="39" t="n">
        <v>351</v>
      </c>
      <c r="Y19" s="39" t="n">
        <v>13</v>
      </c>
      <c r="Z19" s="39" t="n">
        <v>0</v>
      </c>
      <c r="AA19" s="39" t="n">
        <v>91</v>
      </c>
      <c r="AB19" s="39" t="n">
        <v>91</v>
      </c>
      <c r="AC19" s="39" t="n">
        <v>7631</v>
      </c>
      <c r="AD19" s="39" t="n">
        <v>143</v>
      </c>
      <c r="AE19" s="39" t="n">
        <v>91</v>
      </c>
      <c r="AF19" s="39" t="n">
        <v>1326</v>
      </c>
      <c r="AG19" s="39" t="n">
        <v>0</v>
      </c>
      <c r="AH19" s="39" t="n">
        <v>0</v>
      </c>
      <c r="AI19" s="39" t="n">
        <v>0</v>
      </c>
      <c r="AJ19" s="39" t="n">
        <v>0</v>
      </c>
      <c r="AK19" s="39" t="n">
        <v>0</v>
      </c>
      <c r="AL19" s="39" t="n">
        <v>91</v>
      </c>
      <c r="AM19" s="39" t="n">
        <v>4108</v>
      </c>
      <c r="AN19" s="39" t="n">
        <v>91</v>
      </c>
      <c r="AO19" s="39" t="n">
        <v>0</v>
      </c>
      <c r="AP19" s="39" t="n">
        <v>260</v>
      </c>
      <c r="AQ19" s="39" t="n">
        <v>0</v>
      </c>
      <c r="AR19" s="39" t="n">
        <v>0</v>
      </c>
      <c r="AS19" s="39"/>
      <c r="AT19" s="39" t="n">
        <v>0</v>
      </c>
      <c r="AU19" s="40" t="n">
        <v>128973</v>
      </c>
    </row>
    <row r="20" customFormat="false" ht="12.75" hidden="false" customHeight="false" outlineLevel="0" collapsed="false">
      <c r="A20" s="37" t="n">
        <v>30</v>
      </c>
      <c r="B20" s="38" t="n">
        <v>108225</v>
      </c>
      <c r="C20" s="39" t="n">
        <v>0</v>
      </c>
      <c r="D20" s="39" t="n">
        <v>0</v>
      </c>
      <c r="E20" s="39" t="n">
        <v>0</v>
      </c>
      <c r="F20" s="39" t="n">
        <v>0</v>
      </c>
      <c r="G20" s="39" t="n">
        <v>0</v>
      </c>
      <c r="H20" s="39" t="n">
        <v>0</v>
      </c>
      <c r="I20" s="39" t="n">
        <v>0</v>
      </c>
      <c r="J20" s="39" t="n">
        <v>0</v>
      </c>
      <c r="K20" s="39" t="n">
        <v>0</v>
      </c>
      <c r="L20" s="39" t="n">
        <v>0</v>
      </c>
      <c r="M20" s="39" t="n">
        <v>0</v>
      </c>
      <c r="N20" s="39" t="n">
        <v>0</v>
      </c>
      <c r="O20" s="39" t="n">
        <v>0</v>
      </c>
      <c r="P20" s="39" t="n">
        <v>182</v>
      </c>
      <c r="Q20" s="39" t="n">
        <v>0</v>
      </c>
      <c r="R20" s="39" t="n">
        <v>0</v>
      </c>
      <c r="S20" s="39" t="n">
        <v>1261</v>
      </c>
      <c r="T20" s="39" t="n">
        <v>59956</v>
      </c>
      <c r="U20" s="39" t="n">
        <v>195</v>
      </c>
      <c r="V20" s="39" t="n">
        <v>0</v>
      </c>
      <c r="W20" s="39" t="n">
        <v>0</v>
      </c>
      <c r="X20" s="39" t="n">
        <v>0</v>
      </c>
      <c r="Y20" s="39" t="n">
        <v>0</v>
      </c>
      <c r="Z20" s="39" t="n">
        <v>0</v>
      </c>
      <c r="AA20" s="39" t="n">
        <v>52</v>
      </c>
      <c r="AB20" s="39" t="n">
        <v>0</v>
      </c>
      <c r="AC20" s="39" t="n">
        <v>572</v>
      </c>
      <c r="AD20" s="39" t="n">
        <v>0</v>
      </c>
      <c r="AE20" s="39" t="n">
        <v>0</v>
      </c>
      <c r="AF20" s="39" t="n">
        <v>0</v>
      </c>
      <c r="AG20" s="39" t="n">
        <v>0</v>
      </c>
      <c r="AH20" s="39" t="n">
        <v>0</v>
      </c>
      <c r="AI20" s="39" t="n">
        <v>0</v>
      </c>
      <c r="AJ20" s="39" t="n">
        <v>0</v>
      </c>
      <c r="AK20" s="39" t="n">
        <v>0</v>
      </c>
      <c r="AL20" s="39" t="n">
        <v>117</v>
      </c>
      <c r="AM20" s="39" t="n">
        <v>949</v>
      </c>
      <c r="AN20" s="39" t="n">
        <v>0</v>
      </c>
      <c r="AO20" s="39" t="n">
        <v>0</v>
      </c>
      <c r="AP20" s="39" t="n">
        <v>5148</v>
      </c>
      <c r="AQ20" s="39" t="n">
        <v>0</v>
      </c>
      <c r="AR20" s="39" t="n">
        <v>0</v>
      </c>
      <c r="AS20" s="39"/>
      <c r="AT20" s="39" t="n">
        <v>0</v>
      </c>
      <c r="AU20" s="40" t="n">
        <v>176657</v>
      </c>
    </row>
    <row r="21" customFormat="false" ht="12.75" hidden="false" customHeight="false" outlineLevel="0" collapsed="false">
      <c r="A21" s="37" t="n">
        <v>31</v>
      </c>
      <c r="B21" s="38" t="n">
        <v>63609</v>
      </c>
      <c r="C21" s="39" t="n">
        <v>0</v>
      </c>
      <c r="D21" s="39" t="n">
        <v>0</v>
      </c>
      <c r="E21" s="39" t="n">
        <v>0</v>
      </c>
      <c r="F21" s="39" t="n">
        <v>0</v>
      </c>
      <c r="G21" s="39" t="n">
        <v>0</v>
      </c>
      <c r="H21" s="39" t="n">
        <v>0</v>
      </c>
      <c r="I21" s="39" t="n">
        <v>0</v>
      </c>
      <c r="J21" s="39" t="n">
        <v>0</v>
      </c>
      <c r="K21" s="39" t="n">
        <v>0</v>
      </c>
      <c r="L21" s="39" t="n">
        <v>0</v>
      </c>
      <c r="M21" s="39" t="n">
        <v>0</v>
      </c>
      <c r="N21" s="39" t="n">
        <v>0</v>
      </c>
      <c r="O21" s="39" t="n">
        <v>0</v>
      </c>
      <c r="P21" s="39" t="n">
        <v>0</v>
      </c>
      <c r="Q21" s="39" t="n">
        <v>0</v>
      </c>
      <c r="R21" s="39" t="n">
        <v>0</v>
      </c>
      <c r="S21" s="39" t="n">
        <v>0</v>
      </c>
      <c r="T21" s="39" t="n">
        <v>0</v>
      </c>
      <c r="U21" s="39" t="n">
        <v>30563</v>
      </c>
      <c r="V21" s="39" t="n">
        <v>117</v>
      </c>
      <c r="W21" s="39" t="n">
        <v>1417</v>
      </c>
      <c r="X21" s="39" t="n">
        <v>0</v>
      </c>
      <c r="Y21" s="39" t="n">
        <v>0</v>
      </c>
      <c r="Z21" s="39" t="n">
        <v>507</v>
      </c>
      <c r="AA21" s="39" t="n">
        <v>169</v>
      </c>
      <c r="AB21" s="39" t="n">
        <v>0</v>
      </c>
      <c r="AC21" s="39" t="n">
        <v>2483</v>
      </c>
      <c r="AD21" s="39" t="n">
        <v>247</v>
      </c>
      <c r="AE21" s="39" t="n">
        <v>91</v>
      </c>
      <c r="AF21" s="39" t="n">
        <v>0</v>
      </c>
      <c r="AG21" s="39" t="n">
        <v>0</v>
      </c>
      <c r="AH21" s="39" t="n">
        <v>0</v>
      </c>
      <c r="AI21" s="39" t="n">
        <v>0</v>
      </c>
      <c r="AJ21" s="39" t="n">
        <v>0</v>
      </c>
      <c r="AK21" s="39" t="n">
        <v>0</v>
      </c>
      <c r="AL21" s="39" t="n">
        <v>0</v>
      </c>
      <c r="AM21" s="39" t="n">
        <v>104</v>
      </c>
      <c r="AN21" s="39" t="n">
        <v>0</v>
      </c>
      <c r="AO21" s="39" t="n">
        <v>0</v>
      </c>
      <c r="AP21" s="39" t="n">
        <v>0</v>
      </c>
      <c r="AQ21" s="39" t="n">
        <v>0</v>
      </c>
      <c r="AR21" s="39" t="n">
        <v>0</v>
      </c>
      <c r="AS21" s="39"/>
      <c r="AT21" s="39" t="n">
        <v>0</v>
      </c>
      <c r="AU21" s="40" t="n">
        <v>99307</v>
      </c>
    </row>
    <row r="22" customFormat="false" ht="12.75" hidden="false" customHeight="false" outlineLevel="0" collapsed="false">
      <c r="A22" s="37" t="n">
        <v>32</v>
      </c>
      <c r="B22" s="38" t="n">
        <v>187317</v>
      </c>
      <c r="C22" s="39" t="n">
        <v>0</v>
      </c>
      <c r="D22" s="39" t="n">
        <v>0</v>
      </c>
      <c r="E22" s="39" t="n">
        <v>65</v>
      </c>
      <c r="F22" s="39" t="n">
        <v>0</v>
      </c>
      <c r="G22" s="39" t="n">
        <v>0</v>
      </c>
      <c r="H22" s="39" t="n">
        <v>0</v>
      </c>
      <c r="I22" s="39" t="n">
        <v>0</v>
      </c>
      <c r="J22" s="39" t="n">
        <v>0</v>
      </c>
      <c r="K22" s="39" t="n">
        <v>0</v>
      </c>
      <c r="L22" s="39" t="n">
        <v>0</v>
      </c>
      <c r="M22" s="39" t="n">
        <v>0</v>
      </c>
      <c r="N22" s="39" t="n">
        <v>0</v>
      </c>
      <c r="O22" s="39" t="n">
        <v>0</v>
      </c>
      <c r="P22" s="39" t="n">
        <v>0</v>
      </c>
      <c r="Q22" s="39" t="n">
        <v>377</v>
      </c>
      <c r="R22" s="39" t="n">
        <v>0</v>
      </c>
      <c r="S22" s="39" t="n">
        <v>0</v>
      </c>
      <c r="T22" s="39" t="n">
        <v>13</v>
      </c>
      <c r="U22" s="39" t="n">
        <v>0</v>
      </c>
      <c r="V22" s="39" t="n">
        <v>169559</v>
      </c>
      <c r="W22" s="39" t="n">
        <v>0</v>
      </c>
      <c r="X22" s="39" t="n">
        <v>0</v>
      </c>
      <c r="Y22" s="39" t="n">
        <v>0</v>
      </c>
      <c r="Z22" s="39" t="n">
        <v>5109</v>
      </c>
      <c r="AA22" s="39" t="n">
        <v>156</v>
      </c>
      <c r="AB22" s="39" t="n">
        <v>0</v>
      </c>
      <c r="AC22" s="39" t="n">
        <v>143</v>
      </c>
      <c r="AD22" s="39" t="n">
        <v>0</v>
      </c>
      <c r="AE22" s="39" t="n">
        <v>1599</v>
      </c>
      <c r="AF22" s="39" t="n">
        <v>208</v>
      </c>
      <c r="AG22" s="39" t="n">
        <v>91</v>
      </c>
      <c r="AH22" s="39" t="n">
        <v>156</v>
      </c>
      <c r="AI22" s="39" t="n">
        <v>0</v>
      </c>
      <c r="AJ22" s="39" t="n">
        <v>481</v>
      </c>
      <c r="AK22" s="39" t="n">
        <v>65</v>
      </c>
      <c r="AL22" s="39" t="n">
        <v>0</v>
      </c>
      <c r="AM22" s="39" t="n">
        <v>104</v>
      </c>
      <c r="AN22" s="39" t="n">
        <v>0</v>
      </c>
      <c r="AO22" s="39" t="n">
        <v>0</v>
      </c>
      <c r="AP22" s="39" t="n">
        <v>0</v>
      </c>
      <c r="AQ22" s="39" t="n">
        <v>2015</v>
      </c>
      <c r="AR22" s="39" t="n">
        <v>0</v>
      </c>
      <c r="AS22" s="39"/>
      <c r="AT22" s="39" t="n">
        <v>0</v>
      </c>
      <c r="AU22" s="40" t="n">
        <v>367458</v>
      </c>
    </row>
    <row r="23" customFormat="false" ht="12.75" hidden="false" customHeight="false" outlineLevel="0" collapsed="false">
      <c r="A23" s="37" t="n">
        <v>75</v>
      </c>
      <c r="B23" s="38" t="n">
        <v>192426</v>
      </c>
      <c r="C23" s="39" t="n">
        <v>0</v>
      </c>
      <c r="D23" s="39" t="n">
        <v>104</v>
      </c>
      <c r="E23" s="39" t="n">
        <v>0</v>
      </c>
      <c r="F23" s="39" t="n">
        <v>0</v>
      </c>
      <c r="G23" s="39" t="n">
        <v>0</v>
      </c>
      <c r="H23" s="39" t="n">
        <v>0</v>
      </c>
      <c r="I23" s="39" t="n">
        <v>0</v>
      </c>
      <c r="J23" s="39" t="n">
        <v>0</v>
      </c>
      <c r="K23" s="39" t="n">
        <v>0</v>
      </c>
      <c r="L23" s="39" t="n">
        <v>0</v>
      </c>
      <c r="M23" s="39" t="n">
        <v>0</v>
      </c>
      <c r="N23" s="39" t="n">
        <v>0</v>
      </c>
      <c r="O23" s="39" t="n">
        <v>0</v>
      </c>
      <c r="P23" s="39" t="n">
        <v>91</v>
      </c>
      <c r="Q23" s="39" t="n">
        <v>0</v>
      </c>
      <c r="R23" s="39" t="n">
        <v>0</v>
      </c>
      <c r="S23" s="39" t="n">
        <v>0</v>
      </c>
      <c r="T23" s="39" t="n">
        <v>0</v>
      </c>
      <c r="U23" s="39" t="n">
        <v>2210</v>
      </c>
      <c r="V23" s="39" t="n">
        <v>0</v>
      </c>
      <c r="W23" s="39" t="n">
        <v>106184</v>
      </c>
      <c r="X23" s="39" t="n">
        <v>0</v>
      </c>
      <c r="Y23" s="39" t="n">
        <v>0</v>
      </c>
      <c r="Z23" s="39" t="n">
        <v>65</v>
      </c>
      <c r="AA23" s="39" t="n">
        <v>0</v>
      </c>
      <c r="AB23" s="39" t="n">
        <v>91</v>
      </c>
      <c r="AC23" s="39" t="n">
        <v>5629</v>
      </c>
      <c r="AD23" s="39" t="n">
        <v>2626</v>
      </c>
      <c r="AE23" s="39" t="n">
        <v>494</v>
      </c>
      <c r="AF23" s="39" t="n">
        <v>65</v>
      </c>
      <c r="AG23" s="39" t="n">
        <v>273</v>
      </c>
      <c r="AH23" s="39" t="n">
        <v>130</v>
      </c>
      <c r="AI23" s="39" t="n">
        <v>0</v>
      </c>
      <c r="AJ23" s="39" t="n">
        <v>0</v>
      </c>
      <c r="AK23" s="39" t="n">
        <v>0</v>
      </c>
      <c r="AL23" s="39" t="n">
        <v>117</v>
      </c>
      <c r="AM23" s="39" t="n">
        <v>91</v>
      </c>
      <c r="AN23" s="39" t="n">
        <v>0</v>
      </c>
      <c r="AO23" s="39" t="n">
        <v>0</v>
      </c>
      <c r="AP23" s="39" t="n">
        <v>0</v>
      </c>
      <c r="AQ23" s="39" t="n">
        <v>0</v>
      </c>
      <c r="AR23" s="39" t="n">
        <v>0</v>
      </c>
      <c r="AS23" s="39" t="n">
        <v>0</v>
      </c>
      <c r="AT23" s="39" t="n">
        <v>91</v>
      </c>
      <c r="AU23" s="40" t="n">
        <v>310687</v>
      </c>
    </row>
    <row r="24" customFormat="false" ht="12.75" hidden="false" customHeight="false" outlineLevel="0" collapsed="false">
      <c r="A24" s="37" t="n">
        <v>76</v>
      </c>
      <c r="B24" s="38" t="n">
        <v>116324</v>
      </c>
      <c r="C24" s="39" t="n">
        <v>0</v>
      </c>
      <c r="D24" s="39" t="n">
        <v>0</v>
      </c>
      <c r="E24" s="39" t="n">
        <v>0</v>
      </c>
      <c r="F24" s="39" t="n">
        <v>143</v>
      </c>
      <c r="G24" s="39" t="n">
        <v>0</v>
      </c>
      <c r="H24" s="39" t="n">
        <v>0</v>
      </c>
      <c r="I24" s="39" t="n">
        <v>0</v>
      </c>
      <c r="J24" s="39" t="n">
        <v>0</v>
      </c>
      <c r="K24" s="39" t="n">
        <v>0</v>
      </c>
      <c r="L24" s="39" t="n">
        <v>0</v>
      </c>
      <c r="M24" s="39" t="n">
        <v>0</v>
      </c>
      <c r="N24" s="39" t="n">
        <v>0</v>
      </c>
      <c r="O24" s="39" t="n">
        <v>0</v>
      </c>
      <c r="P24" s="39" t="n">
        <v>572</v>
      </c>
      <c r="Q24" s="39" t="n">
        <v>1534</v>
      </c>
      <c r="R24" s="39" t="n">
        <v>0</v>
      </c>
      <c r="S24" s="39" t="n">
        <v>104</v>
      </c>
      <c r="T24" s="39" t="n">
        <v>0</v>
      </c>
      <c r="U24" s="39" t="n">
        <v>0</v>
      </c>
      <c r="V24" s="39" t="n">
        <v>0</v>
      </c>
      <c r="W24" s="39" t="n">
        <v>0</v>
      </c>
      <c r="X24" s="39" t="n">
        <v>88868</v>
      </c>
      <c r="Y24" s="39" t="n">
        <v>0</v>
      </c>
      <c r="Z24" s="39" t="n">
        <v>0</v>
      </c>
      <c r="AA24" s="39" t="n">
        <v>871</v>
      </c>
      <c r="AB24" s="39" t="n">
        <v>182</v>
      </c>
      <c r="AC24" s="39" t="n">
        <v>52</v>
      </c>
      <c r="AD24" s="39" t="n">
        <v>273</v>
      </c>
      <c r="AE24" s="39" t="n">
        <v>247</v>
      </c>
      <c r="AF24" s="39" t="n">
        <v>4420</v>
      </c>
      <c r="AG24" s="39" t="n">
        <v>0</v>
      </c>
      <c r="AH24" s="39" t="n">
        <v>0</v>
      </c>
      <c r="AI24" s="39" t="n">
        <v>0</v>
      </c>
      <c r="AJ24" s="39" t="n">
        <v>0</v>
      </c>
      <c r="AK24" s="39" t="n">
        <v>91</v>
      </c>
      <c r="AL24" s="39" t="n">
        <v>0</v>
      </c>
      <c r="AM24" s="39" t="n">
        <v>15444</v>
      </c>
      <c r="AN24" s="39" t="n">
        <v>0</v>
      </c>
      <c r="AO24" s="39" t="n">
        <v>0</v>
      </c>
      <c r="AP24" s="39" t="n">
        <v>104</v>
      </c>
      <c r="AQ24" s="39" t="n">
        <v>91</v>
      </c>
      <c r="AR24" s="39" t="n">
        <v>0</v>
      </c>
      <c r="AS24" s="39" t="n">
        <v>0</v>
      </c>
      <c r="AT24" s="39" t="n">
        <v>208</v>
      </c>
      <c r="AU24" s="40" t="n">
        <v>229528</v>
      </c>
    </row>
    <row r="25" customFormat="false" ht="12.75" hidden="false" customHeight="false" outlineLevel="0" collapsed="false">
      <c r="A25" s="37" t="n">
        <v>77</v>
      </c>
      <c r="B25" s="38" t="n">
        <v>73463</v>
      </c>
      <c r="C25" s="39" t="n">
        <v>0</v>
      </c>
      <c r="D25" s="39" t="n">
        <v>0</v>
      </c>
      <c r="E25" s="39" t="n">
        <v>0</v>
      </c>
      <c r="F25" s="39" t="n">
        <v>377</v>
      </c>
      <c r="G25" s="39" t="n">
        <v>0</v>
      </c>
      <c r="H25" s="39" t="n">
        <v>0</v>
      </c>
      <c r="I25" s="39" t="n">
        <v>0</v>
      </c>
      <c r="J25" s="39" t="n">
        <v>0</v>
      </c>
      <c r="K25" s="39" t="n">
        <v>0</v>
      </c>
      <c r="L25" s="39" t="n">
        <v>0</v>
      </c>
      <c r="M25" s="39" t="n">
        <v>0</v>
      </c>
      <c r="N25" s="39" t="n">
        <v>0</v>
      </c>
      <c r="O25" s="39" t="n">
        <v>39</v>
      </c>
      <c r="P25" s="39" t="n">
        <v>0</v>
      </c>
      <c r="Q25" s="39" t="n">
        <v>0</v>
      </c>
      <c r="R25" s="39" t="n">
        <v>0</v>
      </c>
      <c r="S25" s="39" t="n">
        <v>0</v>
      </c>
      <c r="T25" s="39" t="n">
        <v>0</v>
      </c>
      <c r="U25" s="39" t="n">
        <v>0</v>
      </c>
      <c r="V25" s="39" t="n">
        <v>0</v>
      </c>
      <c r="W25" s="39" t="n">
        <v>0</v>
      </c>
      <c r="X25" s="39" t="n">
        <v>0</v>
      </c>
      <c r="Y25" s="39" t="n">
        <v>33397</v>
      </c>
      <c r="Z25" s="39" t="n">
        <v>0</v>
      </c>
      <c r="AA25" s="39" t="n">
        <v>78</v>
      </c>
      <c r="AB25" s="39" t="n">
        <v>0</v>
      </c>
      <c r="AC25" s="39" t="n">
        <v>0</v>
      </c>
      <c r="AD25" s="39" t="n">
        <v>0</v>
      </c>
      <c r="AE25" s="39" t="n">
        <v>156</v>
      </c>
      <c r="AF25" s="39" t="n">
        <v>0</v>
      </c>
      <c r="AG25" s="39" t="n">
        <v>0</v>
      </c>
      <c r="AH25" s="39" t="n">
        <v>624</v>
      </c>
      <c r="AI25" s="39" t="n">
        <v>78</v>
      </c>
      <c r="AJ25" s="39" t="n">
        <v>0</v>
      </c>
      <c r="AK25" s="39" t="n">
        <v>195</v>
      </c>
      <c r="AL25" s="39" t="n">
        <v>0</v>
      </c>
      <c r="AM25" s="39" t="n">
        <v>0</v>
      </c>
      <c r="AN25" s="39" t="n">
        <v>0</v>
      </c>
      <c r="AO25" s="39" t="n">
        <v>0</v>
      </c>
      <c r="AP25" s="39" t="n">
        <v>0</v>
      </c>
      <c r="AQ25" s="39" t="n">
        <v>0</v>
      </c>
      <c r="AR25" s="39" t="n">
        <v>0</v>
      </c>
      <c r="AS25" s="39" t="n">
        <v>0</v>
      </c>
      <c r="AT25" s="39" t="n">
        <v>65</v>
      </c>
      <c r="AU25" s="40" t="n">
        <v>108472</v>
      </c>
    </row>
    <row r="26" customFormat="false" ht="12.75" hidden="false" customHeight="false" outlineLevel="0" collapsed="false">
      <c r="A26" s="37" t="n">
        <v>80</v>
      </c>
      <c r="B26" s="38" t="n">
        <v>118885</v>
      </c>
      <c r="C26" s="39" t="n">
        <v>0</v>
      </c>
      <c r="D26" s="39" t="n">
        <v>247</v>
      </c>
      <c r="E26" s="39" t="n">
        <v>0</v>
      </c>
      <c r="F26" s="39" t="n">
        <v>0</v>
      </c>
      <c r="G26" s="39" t="n">
        <v>0</v>
      </c>
      <c r="H26" s="39" t="n">
        <v>0</v>
      </c>
      <c r="I26" s="39" t="n">
        <v>0</v>
      </c>
      <c r="J26" s="39" t="n">
        <v>0</v>
      </c>
      <c r="K26" s="39" t="n">
        <v>0</v>
      </c>
      <c r="L26" s="39" t="n">
        <v>0</v>
      </c>
      <c r="M26" s="39" t="n">
        <v>0</v>
      </c>
      <c r="N26" s="39" t="n">
        <v>0</v>
      </c>
      <c r="O26" s="39" t="n">
        <v>0</v>
      </c>
      <c r="P26" s="39" t="n">
        <v>104</v>
      </c>
      <c r="Q26" s="39" t="n">
        <v>91</v>
      </c>
      <c r="R26" s="39" t="n">
        <v>0</v>
      </c>
      <c r="S26" s="39" t="n">
        <v>0</v>
      </c>
      <c r="T26" s="39" t="n">
        <v>0</v>
      </c>
      <c r="U26" s="39" t="n">
        <v>169</v>
      </c>
      <c r="V26" s="39" t="n">
        <v>5980</v>
      </c>
      <c r="W26" s="39" t="n">
        <v>0</v>
      </c>
      <c r="X26" s="39" t="n">
        <v>0</v>
      </c>
      <c r="Y26" s="39" t="n">
        <v>0</v>
      </c>
      <c r="Z26" s="39" t="n">
        <v>82537</v>
      </c>
      <c r="AA26" s="39" t="n">
        <v>0</v>
      </c>
      <c r="AB26" s="39" t="n">
        <v>78</v>
      </c>
      <c r="AC26" s="39" t="n">
        <v>0</v>
      </c>
      <c r="AD26" s="39" t="n">
        <v>260</v>
      </c>
      <c r="AE26" s="39" t="n">
        <v>598</v>
      </c>
      <c r="AF26" s="39" t="n">
        <v>104</v>
      </c>
      <c r="AG26" s="39" t="n">
        <v>0</v>
      </c>
      <c r="AH26" s="39" t="n">
        <v>0</v>
      </c>
      <c r="AI26" s="39" t="n">
        <v>221</v>
      </c>
      <c r="AJ26" s="39" t="n">
        <v>0</v>
      </c>
      <c r="AK26" s="39" t="n">
        <v>169</v>
      </c>
      <c r="AL26" s="39" t="n">
        <v>0</v>
      </c>
      <c r="AM26" s="39" t="n">
        <v>247</v>
      </c>
      <c r="AN26" s="39" t="n">
        <v>0</v>
      </c>
      <c r="AO26" s="39" t="n">
        <v>0</v>
      </c>
      <c r="AP26" s="39" t="n">
        <v>91</v>
      </c>
      <c r="AQ26" s="39" t="n">
        <v>312</v>
      </c>
      <c r="AR26" s="39" t="n">
        <v>0</v>
      </c>
      <c r="AS26" s="39" t="n">
        <v>0</v>
      </c>
      <c r="AT26" s="39" t="n">
        <v>0</v>
      </c>
      <c r="AU26" s="40" t="n">
        <v>210093</v>
      </c>
    </row>
    <row r="27" customFormat="false" ht="12.75" hidden="false" customHeight="false" outlineLevel="0" collapsed="false">
      <c r="A27" s="37" t="n">
        <v>86</v>
      </c>
      <c r="B27" s="38" t="n">
        <v>634894</v>
      </c>
      <c r="C27" s="39" t="n">
        <v>91</v>
      </c>
      <c r="D27" s="39" t="n">
        <v>78</v>
      </c>
      <c r="E27" s="39" t="n">
        <v>130</v>
      </c>
      <c r="F27" s="39" t="n">
        <v>0</v>
      </c>
      <c r="G27" s="39" t="n">
        <v>0</v>
      </c>
      <c r="H27" s="39" t="n">
        <v>143</v>
      </c>
      <c r="I27" s="39" t="n">
        <v>0</v>
      </c>
      <c r="J27" s="39" t="n">
        <v>0</v>
      </c>
      <c r="K27" s="39" t="n">
        <v>169</v>
      </c>
      <c r="L27" s="39" t="n">
        <v>91</v>
      </c>
      <c r="M27" s="39" t="n">
        <v>286</v>
      </c>
      <c r="N27" s="39" t="n">
        <v>195</v>
      </c>
      <c r="O27" s="39" t="n">
        <v>2028</v>
      </c>
      <c r="P27" s="39" t="n">
        <v>61607</v>
      </c>
      <c r="Q27" s="39" t="n">
        <v>24635</v>
      </c>
      <c r="R27" s="39" t="n">
        <v>0</v>
      </c>
      <c r="S27" s="39" t="n">
        <v>0</v>
      </c>
      <c r="T27" s="39" t="n">
        <v>0</v>
      </c>
      <c r="U27" s="39" t="n">
        <v>0</v>
      </c>
      <c r="V27" s="39" t="n">
        <v>0</v>
      </c>
      <c r="W27" s="39" t="n">
        <v>0</v>
      </c>
      <c r="X27" s="39" t="n">
        <v>442</v>
      </c>
      <c r="Y27" s="39" t="n">
        <v>0</v>
      </c>
      <c r="Z27" s="39" t="n">
        <v>0</v>
      </c>
      <c r="AA27" s="39" t="n">
        <v>448058</v>
      </c>
      <c r="AB27" s="39" t="n">
        <v>35737</v>
      </c>
      <c r="AC27" s="39" t="n">
        <v>65</v>
      </c>
      <c r="AD27" s="39" t="n">
        <v>0</v>
      </c>
      <c r="AE27" s="39" t="n">
        <v>1768</v>
      </c>
      <c r="AF27" s="39" t="n">
        <v>0</v>
      </c>
      <c r="AG27" s="39" t="n">
        <v>260</v>
      </c>
      <c r="AH27" s="39" t="n">
        <v>0</v>
      </c>
      <c r="AI27" s="39" t="n">
        <v>481</v>
      </c>
      <c r="AJ27" s="39" t="n">
        <v>0</v>
      </c>
      <c r="AK27" s="39" t="n">
        <v>0</v>
      </c>
      <c r="AL27" s="39" t="n">
        <v>793</v>
      </c>
      <c r="AM27" s="39" t="n">
        <v>52273</v>
      </c>
      <c r="AN27" s="39" t="n">
        <v>1404</v>
      </c>
      <c r="AO27" s="39" t="n">
        <v>1027</v>
      </c>
      <c r="AP27" s="39" t="n">
        <v>299</v>
      </c>
      <c r="AQ27" s="39" t="n">
        <v>0</v>
      </c>
      <c r="AR27" s="39" t="n">
        <v>0</v>
      </c>
      <c r="AS27" s="39" t="n">
        <v>0</v>
      </c>
      <c r="AT27" s="39" t="n">
        <v>403</v>
      </c>
      <c r="AU27" s="40" t="n">
        <v>1267357</v>
      </c>
    </row>
    <row r="28" customFormat="false" ht="12.75" hidden="false" customHeight="false" outlineLevel="0" collapsed="false">
      <c r="A28" s="37" t="n">
        <v>87</v>
      </c>
      <c r="B28" s="38" t="n">
        <v>401882</v>
      </c>
      <c r="C28" s="39" t="n">
        <v>273</v>
      </c>
      <c r="D28" s="39" t="n">
        <v>117</v>
      </c>
      <c r="E28" s="39" t="n">
        <v>0</v>
      </c>
      <c r="F28" s="39" t="n">
        <v>182</v>
      </c>
      <c r="G28" s="39" t="n">
        <v>0</v>
      </c>
      <c r="H28" s="39" t="n">
        <v>143</v>
      </c>
      <c r="I28" s="39" t="n">
        <v>0</v>
      </c>
      <c r="J28" s="39" t="n">
        <v>0</v>
      </c>
      <c r="K28" s="39" t="n">
        <v>533</v>
      </c>
      <c r="L28" s="39" t="n">
        <v>156</v>
      </c>
      <c r="M28" s="39" t="n">
        <v>338</v>
      </c>
      <c r="N28" s="39" t="n">
        <v>234</v>
      </c>
      <c r="O28" s="39" t="n">
        <v>3653</v>
      </c>
      <c r="P28" s="39" t="n">
        <v>45435</v>
      </c>
      <c r="Q28" s="39" t="n">
        <v>7215</v>
      </c>
      <c r="R28" s="39" t="n">
        <v>130</v>
      </c>
      <c r="S28" s="39" t="n">
        <v>0</v>
      </c>
      <c r="T28" s="39" t="n">
        <v>0</v>
      </c>
      <c r="U28" s="39" t="n">
        <v>117</v>
      </c>
      <c r="V28" s="39" t="n">
        <v>104</v>
      </c>
      <c r="W28" s="39" t="n">
        <v>117</v>
      </c>
      <c r="X28" s="39" t="n">
        <v>52</v>
      </c>
      <c r="Y28" s="39"/>
      <c r="Z28" s="39" t="n">
        <v>52</v>
      </c>
      <c r="AA28" s="39" t="n">
        <v>83265</v>
      </c>
      <c r="AB28" s="39" t="n">
        <v>243971</v>
      </c>
      <c r="AC28" s="39" t="n">
        <v>104</v>
      </c>
      <c r="AD28" s="39" t="n">
        <v>0</v>
      </c>
      <c r="AE28" s="39" t="n">
        <v>806</v>
      </c>
      <c r="AF28" s="39" t="n">
        <v>0</v>
      </c>
      <c r="AG28" s="39" t="n">
        <v>208</v>
      </c>
      <c r="AH28" s="39" t="n">
        <v>0</v>
      </c>
      <c r="AI28" s="39" t="n">
        <v>559</v>
      </c>
      <c r="AJ28" s="39" t="n">
        <v>169</v>
      </c>
      <c r="AK28" s="39" t="n">
        <v>494</v>
      </c>
      <c r="AL28" s="39" t="n">
        <v>624</v>
      </c>
      <c r="AM28" s="39" t="n">
        <v>5668</v>
      </c>
      <c r="AN28" s="39" t="n">
        <v>6058</v>
      </c>
      <c r="AO28" s="39" t="n">
        <v>442</v>
      </c>
      <c r="AP28" s="39" t="n">
        <v>0</v>
      </c>
      <c r="AQ28" s="39" t="n">
        <v>0</v>
      </c>
      <c r="AR28" s="39" t="n">
        <v>78</v>
      </c>
      <c r="AS28" s="39"/>
      <c r="AT28" s="39" t="n">
        <v>351</v>
      </c>
      <c r="AU28" s="40" t="n">
        <v>803530</v>
      </c>
    </row>
    <row r="29" customFormat="false" ht="12.75" hidden="false" customHeight="false" outlineLevel="0" collapsed="false">
      <c r="A29" s="37" t="n">
        <v>88</v>
      </c>
      <c r="B29" s="38" t="n">
        <v>405808</v>
      </c>
      <c r="C29" s="39" t="n">
        <v>0</v>
      </c>
      <c r="D29" s="39" t="n">
        <v>117</v>
      </c>
      <c r="E29" s="39" t="n">
        <v>0</v>
      </c>
      <c r="F29" s="39" t="n">
        <v>351</v>
      </c>
      <c r="G29" s="39" t="n">
        <v>195</v>
      </c>
      <c r="H29" s="39" t="n">
        <v>182</v>
      </c>
      <c r="I29" s="39" t="n">
        <v>0</v>
      </c>
      <c r="J29" s="39" t="n">
        <v>91</v>
      </c>
      <c r="K29" s="39" t="n">
        <v>0</v>
      </c>
      <c r="L29" s="39" t="n">
        <v>0</v>
      </c>
      <c r="M29" s="39" t="n">
        <v>195</v>
      </c>
      <c r="N29" s="39" t="n">
        <v>0</v>
      </c>
      <c r="O29" s="39" t="n">
        <v>0</v>
      </c>
      <c r="P29" s="39" t="n">
        <v>364</v>
      </c>
      <c r="Q29" s="39" t="n">
        <v>377</v>
      </c>
      <c r="R29" s="39" t="n">
        <v>0</v>
      </c>
      <c r="S29" s="39" t="n">
        <v>4706</v>
      </c>
      <c r="T29" s="39" t="n">
        <v>1313</v>
      </c>
      <c r="U29" s="39" t="n">
        <v>2951</v>
      </c>
      <c r="V29" s="39" t="n">
        <v>91</v>
      </c>
      <c r="W29" s="39" t="n">
        <v>3107</v>
      </c>
      <c r="X29" s="39" t="n">
        <v>78</v>
      </c>
      <c r="Y29" s="39" t="n">
        <v>0</v>
      </c>
      <c r="Z29" s="39" t="n">
        <v>78</v>
      </c>
      <c r="AA29" s="39" t="n">
        <v>208</v>
      </c>
      <c r="AB29" s="39" t="n">
        <v>169</v>
      </c>
      <c r="AC29" s="39" t="n">
        <v>250822</v>
      </c>
      <c r="AD29" s="39" t="n">
        <v>104</v>
      </c>
      <c r="AE29" s="39" t="n">
        <v>741</v>
      </c>
      <c r="AF29" s="39" t="n">
        <v>520</v>
      </c>
      <c r="AG29" s="39" t="n">
        <v>117</v>
      </c>
      <c r="AH29" s="39" t="n">
        <v>130</v>
      </c>
      <c r="AI29" s="39" t="n">
        <v>143</v>
      </c>
      <c r="AJ29" s="39" t="n">
        <v>0</v>
      </c>
      <c r="AK29" s="39" t="n">
        <v>104</v>
      </c>
      <c r="AL29" s="39" t="n">
        <v>143</v>
      </c>
      <c r="AM29" s="39" t="n">
        <v>91</v>
      </c>
      <c r="AN29" s="39" t="n">
        <v>0</v>
      </c>
      <c r="AO29" s="39" t="n">
        <v>0</v>
      </c>
      <c r="AP29" s="39" t="n">
        <v>195</v>
      </c>
      <c r="AQ29" s="39" t="n">
        <v>377</v>
      </c>
      <c r="AR29" s="39" t="n">
        <v>0</v>
      </c>
      <c r="AS29" s="39" t="n">
        <v>0</v>
      </c>
      <c r="AT29" s="39" t="n">
        <v>0</v>
      </c>
      <c r="AU29" s="40" t="n">
        <v>673868</v>
      </c>
    </row>
    <row r="30" customFormat="false" ht="12.75" hidden="false" customHeight="false" outlineLevel="0" collapsed="false">
      <c r="A30" s="37" t="n">
        <v>89</v>
      </c>
      <c r="B30" s="38" t="n">
        <v>320827</v>
      </c>
      <c r="C30" s="39" t="n">
        <v>104</v>
      </c>
      <c r="D30" s="39" t="n">
        <v>0</v>
      </c>
      <c r="E30" s="39" t="n">
        <v>0</v>
      </c>
      <c r="F30" s="39" t="n">
        <v>182</v>
      </c>
      <c r="G30" s="39" t="n">
        <v>0</v>
      </c>
      <c r="H30" s="39" t="n">
        <v>0</v>
      </c>
      <c r="I30" s="39" t="n">
        <v>0</v>
      </c>
      <c r="J30" s="39" t="n">
        <v>0</v>
      </c>
      <c r="K30" s="39" t="n">
        <v>0</v>
      </c>
      <c r="L30" s="39" t="n">
        <v>0</v>
      </c>
      <c r="M30" s="39" t="n">
        <v>0</v>
      </c>
      <c r="N30" s="39" t="n">
        <v>0</v>
      </c>
      <c r="O30" s="39" t="n">
        <v>91</v>
      </c>
      <c r="P30" s="39" t="n">
        <v>78</v>
      </c>
      <c r="Q30" s="39" t="n">
        <v>0</v>
      </c>
      <c r="R30" s="39" t="n">
        <v>299</v>
      </c>
      <c r="S30" s="39" t="n">
        <v>208</v>
      </c>
      <c r="T30" s="39" t="n">
        <v>0</v>
      </c>
      <c r="U30" s="39" t="n">
        <v>182</v>
      </c>
      <c r="V30" s="39" t="n">
        <v>351</v>
      </c>
      <c r="W30" s="39" t="n">
        <v>1469</v>
      </c>
      <c r="X30" s="39" t="n">
        <v>0</v>
      </c>
      <c r="Y30" s="39" t="n">
        <v>143</v>
      </c>
      <c r="Z30" s="39" t="n">
        <v>208</v>
      </c>
      <c r="AA30" s="39" t="n">
        <v>104</v>
      </c>
      <c r="AB30" s="39" t="n">
        <v>0</v>
      </c>
      <c r="AC30" s="39" t="n">
        <v>156</v>
      </c>
      <c r="AD30" s="39" t="n">
        <v>207935</v>
      </c>
      <c r="AE30" s="39" t="n">
        <v>7618</v>
      </c>
      <c r="AF30" s="39" t="n">
        <v>208</v>
      </c>
      <c r="AG30" s="39" t="n">
        <v>169</v>
      </c>
      <c r="AH30" s="39" t="n">
        <v>91</v>
      </c>
      <c r="AI30" s="39" t="n">
        <v>0</v>
      </c>
      <c r="AJ30" s="39" t="n">
        <v>1664</v>
      </c>
      <c r="AK30" s="39" t="n">
        <v>0</v>
      </c>
      <c r="AL30" s="39" t="n">
        <v>91</v>
      </c>
      <c r="AM30" s="39" t="n">
        <v>0</v>
      </c>
      <c r="AN30" s="39" t="n">
        <v>0</v>
      </c>
      <c r="AO30" s="39" t="n">
        <v>0</v>
      </c>
      <c r="AP30" s="39" t="n">
        <v>0</v>
      </c>
      <c r="AQ30" s="39" t="n">
        <v>208</v>
      </c>
      <c r="AR30" s="39" t="n">
        <v>0</v>
      </c>
      <c r="AS30" s="39" t="n">
        <v>0</v>
      </c>
      <c r="AT30" s="39" t="n">
        <v>0</v>
      </c>
      <c r="AU30" s="40" t="n">
        <v>542386</v>
      </c>
    </row>
    <row r="31" customFormat="false" ht="12.75" hidden="false" customHeight="false" outlineLevel="0" collapsed="false">
      <c r="A31" s="37" t="n">
        <v>90</v>
      </c>
      <c r="B31" s="38" t="n">
        <v>4714869</v>
      </c>
      <c r="C31" s="39" t="n">
        <v>1573</v>
      </c>
      <c r="D31" s="39" t="n">
        <v>2535</v>
      </c>
      <c r="E31" s="39" t="n">
        <v>1079</v>
      </c>
      <c r="F31" s="39" t="n">
        <v>533</v>
      </c>
      <c r="G31" s="39" t="n">
        <v>312</v>
      </c>
      <c r="H31" s="39" t="n">
        <v>273</v>
      </c>
      <c r="I31" s="39" t="n">
        <v>273</v>
      </c>
      <c r="J31" s="39" t="n">
        <v>364</v>
      </c>
      <c r="K31" s="39" t="n">
        <v>156</v>
      </c>
      <c r="L31" s="39" t="n">
        <v>156</v>
      </c>
      <c r="M31" s="39" t="n">
        <v>520</v>
      </c>
      <c r="N31" s="39" t="n">
        <v>91</v>
      </c>
      <c r="O31" s="39" t="n">
        <v>65</v>
      </c>
      <c r="P31" s="39" t="n">
        <v>1755</v>
      </c>
      <c r="Q31" s="39" t="n">
        <v>2353</v>
      </c>
      <c r="R31" s="39" t="n">
        <v>858</v>
      </c>
      <c r="S31" s="39" t="n">
        <v>91</v>
      </c>
      <c r="T31" s="39" t="n">
        <v>0</v>
      </c>
      <c r="U31" s="39" t="n">
        <v>962</v>
      </c>
      <c r="V31" s="39" t="n">
        <v>1131</v>
      </c>
      <c r="W31" s="39" t="n">
        <v>0</v>
      </c>
      <c r="X31" s="39" t="n">
        <v>0</v>
      </c>
      <c r="Y31" s="39" t="n">
        <v>208</v>
      </c>
      <c r="Z31" s="39" t="n">
        <v>429</v>
      </c>
      <c r="AA31" s="39" t="n">
        <v>1443</v>
      </c>
      <c r="AB31" s="39" t="n">
        <v>1300</v>
      </c>
      <c r="AC31" s="39" t="n">
        <v>650</v>
      </c>
      <c r="AD31" s="39" t="n">
        <v>9503</v>
      </c>
      <c r="AE31" s="39" t="n">
        <v>3859648</v>
      </c>
      <c r="AF31" s="39" t="n">
        <v>793</v>
      </c>
      <c r="AG31" s="39" t="n">
        <v>136591</v>
      </c>
      <c r="AH31" s="39" t="n">
        <v>6617</v>
      </c>
      <c r="AI31" s="39" t="n">
        <v>468</v>
      </c>
      <c r="AJ31" s="39" t="n">
        <v>32331</v>
      </c>
      <c r="AK31" s="39" t="n">
        <v>3419</v>
      </c>
      <c r="AL31" s="39" t="n">
        <v>156</v>
      </c>
      <c r="AM31" s="39" t="n">
        <v>520</v>
      </c>
      <c r="AN31" s="39" t="n">
        <v>455</v>
      </c>
      <c r="AO31" s="39" t="n">
        <v>0</v>
      </c>
      <c r="AP31" s="39" t="n">
        <v>156</v>
      </c>
      <c r="AQ31" s="39" t="n">
        <v>21801</v>
      </c>
      <c r="AR31" s="39" t="n">
        <v>0</v>
      </c>
      <c r="AS31" s="39" t="n">
        <v>0</v>
      </c>
      <c r="AT31" s="39" t="n">
        <v>2301</v>
      </c>
      <c r="AU31" s="40" t="n">
        <v>8808738</v>
      </c>
    </row>
    <row r="32" customFormat="false" ht="12.75" hidden="false" customHeight="false" outlineLevel="0" collapsed="false">
      <c r="A32" s="37" t="n">
        <v>91</v>
      </c>
      <c r="B32" s="38" t="n">
        <v>195273</v>
      </c>
      <c r="C32" s="39" t="n">
        <v>91</v>
      </c>
      <c r="D32" s="39" t="n">
        <v>0</v>
      </c>
      <c r="E32" s="39" t="n">
        <v>130</v>
      </c>
      <c r="F32" s="39" t="n">
        <v>78</v>
      </c>
      <c r="G32" s="39" t="n">
        <v>0</v>
      </c>
      <c r="H32" s="39" t="n">
        <v>0</v>
      </c>
      <c r="I32" s="39" t="n">
        <v>0</v>
      </c>
      <c r="J32" s="39" t="n">
        <v>130</v>
      </c>
      <c r="K32" s="39" t="n">
        <v>0</v>
      </c>
      <c r="L32" s="39" t="n">
        <v>0</v>
      </c>
      <c r="M32" s="39" t="n">
        <v>0</v>
      </c>
      <c r="N32" s="39" t="n">
        <v>0</v>
      </c>
      <c r="O32" s="39" t="n">
        <v>0</v>
      </c>
      <c r="P32" s="39" t="n">
        <v>0</v>
      </c>
      <c r="Q32" s="39" t="n">
        <v>247</v>
      </c>
      <c r="R32" s="39" t="n">
        <v>0</v>
      </c>
      <c r="S32" s="39" t="n">
        <v>390</v>
      </c>
      <c r="T32" s="39" t="n">
        <v>0</v>
      </c>
      <c r="U32" s="39" t="n">
        <v>0</v>
      </c>
      <c r="V32" s="39" t="n">
        <v>65</v>
      </c>
      <c r="W32" s="39" t="n">
        <v>0</v>
      </c>
      <c r="X32" s="39" t="n">
        <v>6643</v>
      </c>
      <c r="Y32" s="39" t="n">
        <v>91</v>
      </c>
      <c r="Z32" s="39" t="n">
        <v>494</v>
      </c>
      <c r="AA32" s="39" t="n">
        <v>208</v>
      </c>
      <c r="AB32" s="39" t="n">
        <v>130</v>
      </c>
      <c r="AC32" s="39" t="n">
        <v>91</v>
      </c>
      <c r="AD32" s="39" t="n">
        <v>0</v>
      </c>
      <c r="AE32" s="39" t="n">
        <v>260</v>
      </c>
      <c r="AF32" s="39" t="n">
        <v>152750</v>
      </c>
      <c r="AG32" s="39" t="n">
        <v>0</v>
      </c>
      <c r="AH32" s="39" t="n">
        <v>0</v>
      </c>
      <c r="AI32" s="39" t="n">
        <v>0</v>
      </c>
      <c r="AJ32" s="39" t="n">
        <v>143</v>
      </c>
      <c r="AK32" s="39" t="n">
        <v>0</v>
      </c>
      <c r="AL32" s="39" t="n">
        <v>0</v>
      </c>
      <c r="AM32" s="39" t="n">
        <v>2275</v>
      </c>
      <c r="AN32" s="39" t="n">
        <v>0</v>
      </c>
      <c r="AO32" s="39" t="n">
        <v>0</v>
      </c>
      <c r="AP32" s="39" t="n">
        <v>0</v>
      </c>
      <c r="AQ32" s="39" t="n">
        <v>143</v>
      </c>
      <c r="AR32" s="39" t="n">
        <v>0</v>
      </c>
      <c r="AS32" s="39" t="n">
        <v>0</v>
      </c>
      <c r="AT32" s="39" t="n">
        <v>195</v>
      </c>
      <c r="AU32" s="40" t="n">
        <v>359827</v>
      </c>
    </row>
    <row r="33" customFormat="false" ht="12.75" hidden="false" customHeight="false" outlineLevel="0" collapsed="false">
      <c r="A33" s="37" t="n">
        <v>92</v>
      </c>
      <c r="B33" s="38" t="n">
        <v>1138865</v>
      </c>
      <c r="C33" s="39" t="n">
        <v>390</v>
      </c>
      <c r="D33" s="39" t="n">
        <v>104</v>
      </c>
      <c r="E33" s="39" t="n">
        <v>364</v>
      </c>
      <c r="F33" s="39" t="n">
        <v>182</v>
      </c>
      <c r="G33" s="39" t="n">
        <v>65</v>
      </c>
      <c r="H33" s="39" t="n">
        <v>78</v>
      </c>
      <c r="I33" s="39" t="n">
        <v>78</v>
      </c>
      <c r="J33" s="39" t="n">
        <v>0</v>
      </c>
      <c r="K33" s="39" t="n">
        <v>286</v>
      </c>
      <c r="L33" s="39" t="n">
        <v>325</v>
      </c>
      <c r="M33" s="39" t="n">
        <v>598</v>
      </c>
      <c r="N33" s="39" t="n">
        <v>78</v>
      </c>
      <c r="O33" s="39" t="n">
        <v>0</v>
      </c>
      <c r="P33" s="39" t="n">
        <v>481</v>
      </c>
      <c r="Q33" s="39" t="n">
        <v>143</v>
      </c>
      <c r="R33" s="39" t="n">
        <v>0</v>
      </c>
      <c r="S33" s="39" t="n">
        <v>0</v>
      </c>
      <c r="T33" s="39" t="n">
        <v>0</v>
      </c>
      <c r="U33" s="39" t="n">
        <v>195</v>
      </c>
      <c r="V33" s="39" t="n">
        <v>611</v>
      </c>
      <c r="W33" s="39" t="n">
        <v>0</v>
      </c>
      <c r="X33" s="39" t="n">
        <v>0</v>
      </c>
      <c r="Y33" s="39" t="n">
        <v>351</v>
      </c>
      <c r="Z33" s="39" t="n">
        <v>429</v>
      </c>
      <c r="AA33" s="39" t="n">
        <v>403</v>
      </c>
      <c r="AB33" s="39" t="n">
        <v>403</v>
      </c>
      <c r="AC33" s="39" t="n">
        <v>208</v>
      </c>
      <c r="AD33" s="39" t="n">
        <v>221</v>
      </c>
      <c r="AE33" s="39" t="n">
        <v>198133</v>
      </c>
      <c r="AF33" s="39" t="n">
        <v>0</v>
      </c>
      <c r="AG33" s="39" t="n">
        <v>1047085</v>
      </c>
      <c r="AH33" s="39" t="n">
        <v>9178</v>
      </c>
      <c r="AI33" s="39" t="n">
        <v>143</v>
      </c>
      <c r="AJ33" s="39" t="n">
        <v>9529</v>
      </c>
      <c r="AK33" s="39" t="n">
        <v>7098</v>
      </c>
      <c r="AL33" s="39" t="n">
        <v>78</v>
      </c>
      <c r="AM33" s="39" t="n">
        <v>416</v>
      </c>
      <c r="AN33" s="39" t="n">
        <v>0</v>
      </c>
      <c r="AO33" s="39" t="n">
        <v>78</v>
      </c>
      <c r="AP33" s="39" t="n">
        <v>0</v>
      </c>
      <c r="AQ33" s="39" t="n">
        <v>468</v>
      </c>
      <c r="AR33" s="39" t="n">
        <v>0</v>
      </c>
      <c r="AS33" s="39" t="n">
        <v>0</v>
      </c>
      <c r="AT33" s="39" t="n">
        <v>637</v>
      </c>
      <c r="AU33" s="40" t="n">
        <v>2417701</v>
      </c>
    </row>
    <row r="34" customFormat="false" ht="12.75" hidden="false" customHeight="false" outlineLevel="0" collapsed="false">
      <c r="A34" s="37" t="n">
        <v>93</v>
      </c>
      <c r="B34" s="38" t="n">
        <v>687843</v>
      </c>
      <c r="C34" s="39" t="n">
        <v>364</v>
      </c>
      <c r="D34" s="39" t="n">
        <v>351</v>
      </c>
      <c r="E34" s="39" t="n">
        <v>260</v>
      </c>
      <c r="F34" s="39" t="n">
        <v>39</v>
      </c>
      <c r="G34" s="39" t="n">
        <v>0</v>
      </c>
      <c r="H34" s="39" t="n">
        <v>117</v>
      </c>
      <c r="I34" s="39" t="n">
        <v>104</v>
      </c>
      <c r="J34" s="39" t="n">
        <v>0</v>
      </c>
      <c r="K34" s="39" t="n">
        <v>104</v>
      </c>
      <c r="L34" s="39" t="n">
        <v>130</v>
      </c>
      <c r="M34" s="39" t="n">
        <v>91</v>
      </c>
      <c r="N34" s="39" t="n">
        <v>0</v>
      </c>
      <c r="O34" s="39" t="n">
        <v>0</v>
      </c>
      <c r="P34" s="39" t="n">
        <v>130</v>
      </c>
      <c r="Q34" s="39" t="n">
        <v>104</v>
      </c>
      <c r="R34" s="39" t="n">
        <v>0</v>
      </c>
      <c r="S34" s="39" t="n">
        <v>0</v>
      </c>
      <c r="T34" s="39" t="n">
        <v>0</v>
      </c>
      <c r="U34" s="39" t="n">
        <v>104</v>
      </c>
      <c r="V34" s="39" t="n">
        <v>104</v>
      </c>
      <c r="W34" s="39" t="n">
        <v>0</v>
      </c>
      <c r="X34" s="39" t="n">
        <v>104</v>
      </c>
      <c r="Y34" s="39" t="n">
        <v>143</v>
      </c>
      <c r="Z34" s="39" t="n">
        <v>208</v>
      </c>
      <c r="AA34" s="39" t="n">
        <v>247</v>
      </c>
      <c r="AB34" s="39" t="n">
        <v>0</v>
      </c>
      <c r="AC34" s="39" t="n">
        <v>91</v>
      </c>
      <c r="AD34" s="39" t="n">
        <v>0</v>
      </c>
      <c r="AE34" s="39" t="n">
        <v>37401</v>
      </c>
      <c r="AF34" s="39" t="n">
        <v>234</v>
      </c>
      <c r="AG34" s="39" t="n">
        <v>48828</v>
      </c>
      <c r="AH34" s="39" t="n">
        <v>345176</v>
      </c>
      <c r="AI34" s="39" t="n">
        <v>104</v>
      </c>
      <c r="AJ34" s="39" t="n">
        <v>40846</v>
      </c>
      <c r="AK34" s="39" t="n">
        <v>7150</v>
      </c>
      <c r="AL34" s="39" t="n">
        <v>0</v>
      </c>
      <c r="AM34" s="39" t="n">
        <v>0</v>
      </c>
      <c r="AN34" s="39" t="n">
        <v>0</v>
      </c>
      <c r="AO34" s="39" t="n">
        <v>0</v>
      </c>
      <c r="AP34" s="39" t="n">
        <v>0</v>
      </c>
      <c r="AQ34" s="39" t="n">
        <v>117</v>
      </c>
      <c r="AR34" s="39" t="n">
        <v>0</v>
      </c>
      <c r="AS34" s="39" t="n">
        <v>0</v>
      </c>
      <c r="AT34" s="39" t="n">
        <v>117</v>
      </c>
      <c r="AU34" s="40" t="n">
        <v>1170611</v>
      </c>
    </row>
    <row r="35" customFormat="false" ht="12.75" hidden="false" customHeight="false" outlineLevel="0" collapsed="false">
      <c r="A35" s="37" t="n">
        <v>94</v>
      </c>
      <c r="B35" s="38" t="n">
        <v>559078</v>
      </c>
      <c r="C35" s="39" t="n">
        <v>390</v>
      </c>
      <c r="D35" s="39" t="n">
        <v>481</v>
      </c>
      <c r="E35" s="39" t="n">
        <v>117</v>
      </c>
      <c r="F35" s="39" t="n">
        <v>104</v>
      </c>
      <c r="G35" s="39" t="n">
        <v>286</v>
      </c>
      <c r="H35" s="39" t="n">
        <v>169</v>
      </c>
      <c r="I35" s="39" t="n">
        <v>403</v>
      </c>
      <c r="J35" s="39" t="n">
        <v>429</v>
      </c>
      <c r="K35" s="39" t="n">
        <v>234</v>
      </c>
      <c r="L35" s="39" t="n">
        <v>18044</v>
      </c>
      <c r="M35" s="39" t="n">
        <v>16146</v>
      </c>
      <c r="N35" s="39" t="n">
        <v>2574</v>
      </c>
      <c r="O35" s="39" t="n">
        <v>312</v>
      </c>
      <c r="P35" s="39" t="n">
        <v>1482</v>
      </c>
      <c r="Q35" s="39" t="n">
        <v>481</v>
      </c>
      <c r="R35" s="39" t="n">
        <v>741</v>
      </c>
      <c r="S35" s="39" t="n">
        <v>0</v>
      </c>
      <c r="T35" s="39" t="n">
        <v>0</v>
      </c>
      <c r="U35" s="39" t="n">
        <v>0</v>
      </c>
      <c r="V35" s="39" t="n">
        <v>0</v>
      </c>
      <c r="W35" s="39" t="n">
        <v>0</v>
      </c>
      <c r="X35" s="39" t="n">
        <v>0</v>
      </c>
      <c r="Y35" s="39" t="n">
        <v>0</v>
      </c>
      <c r="Z35" s="39" t="n">
        <v>52</v>
      </c>
      <c r="AA35" s="39" t="n">
        <v>1677</v>
      </c>
      <c r="AB35" s="39" t="n">
        <v>1495</v>
      </c>
      <c r="AC35" s="39" t="n">
        <v>117</v>
      </c>
      <c r="AD35" s="39" t="n">
        <v>0</v>
      </c>
      <c r="AE35" s="39" t="n">
        <v>351</v>
      </c>
      <c r="AF35" s="39" t="n">
        <v>221</v>
      </c>
      <c r="AG35" s="39" t="n">
        <v>169</v>
      </c>
      <c r="AH35" s="39" t="n">
        <v>0</v>
      </c>
      <c r="AI35" s="39" t="n">
        <v>424983</v>
      </c>
      <c r="AJ35" s="39" t="n">
        <v>130</v>
      </c>
      <c r="AK35" s="39" t="n">
        <v>689</v>
      </c>
      <c r="AL35" s="39" t="n">
        <v>6344</v>
      </c>
      <c r="AM35" s="39" t="n">
        <v>1222</v>
      </c>
      <c r="AN35" s="39" t="n">
        <v>2327</v>
      </c>
      <c r="AO35" s="39" t="n">
        <v>0</v>
      </c>
      <c r="AP35" s="39" t="n">
        <v>182</v>
      </c>
      <c r="AQ35" s="39" t="n">
        <v>0</v>
      </c>
      <c r="AR35" s="39" t="n">
        <v>0</v>
      </c>
      <c r="AS35" s="39"/>
      <c r="AT35" s="39" t="n">
        <v>130</v>
      </c>
      <c r="AU35" s="40" t="n">
        <v>1041560</v>
      </c>
    </row>
    <row r="36" customFormat="false" ht="12.75" hidden="false" customHeight="false" outlineLevel="0" collapsed="false">
      <c r="A36" s="37" t="n">
        <v>95</v>
      </c>
      <c r="B36" s="38" t="n">
        <v>822029</v>
      </c>
      <c r="C36" s="39" t="n">
        <v>390</v>
      </c>
      <c r="D36" s="39" t="n">
        <v>676</v>
      </c>
      <c r="E36" s="39" t="n">
        <v>546</v>
      </c>
      <c r="F36" s="39" t="n">
        <v>208</v>
      </c>
      <c r="G36" s="39" t="n">
        <v>0</v>
      </c>
      <c r="H36" s="39" t="n">
        <v>0</v>
      </c>
      <c r="I36" s="39" t="n">
        <v>0</v>
      </c>
      <c r="J36" s="39" t="n">
        <v>0</v>
      </c>
      <c r="K36" s="39" t="n">
        <v>0</v>
      </c>
      <c r="L36" s="39" t="n">
        <v>104</v>
      </c>
      <c r="M36" s="39" t="n">
        <v>78</v>
      </c>
      <c r="N36" s="39" t="n">
        <v>260</v>
      </c>
      <c r="O36" s="39" t="n">
        <v>156</v>
      </c>
      <c r="P36" s="39" t="n">
        <v>273</v>
      </c>
      <c r="Q36" s="39" t="n">
        <v>0</v>
      </c>
      <c r="R36" s="39" t="n">
        <v>0</v>
      </c>
      <c r="S36" s="39" t="n">
        <v>0</v>
      </c>
      <c r="T36" s="39" t="n">
        <v>117</v>
      </c>
      <c r="U36" s="39" t="n">
        <v>0</v>
      </c>
      <c r="V36" s="39" t="n">
        <v>221</v>
      </c>
      <c r="W36" s="39" t="n">
        <v>0</v>
      </c>
      <c r="X36" s="39" t="n">
        <v>0</v>
      </c>
      <c r="Y36" s="39" t="n">
        <v>312</v>
      </c>
      <c r="Z36" s="39" t="n">
        <v>0</v>
      </c>
      <c r="AA36" s="39" t="n">
        <v>78</v>
      </c>
      <c r="AB36" s="39" t="n">
        <v>52</v>
      </c>
      <c r="AC36" s="39" t="n">
        <v>0</v>
      </c>
      <c r="AD36" s="39" t="n">
        <v>1638</v>
      </c>
      <c r="AE36" s="39" t="n">
        <v>119886</v>
      </c>
      <c r="AF36" s="39" t="n">
        <v>299</v>
      </c>
      <c r="AG36" s="39" t="n">
        <v>29679</v>
      </c>
      <c r="AH36" s="39" t="n">
        <v>37102</v>
      </c>
      <c r="AI36" s="39" t="n">
        <v>0</v>
      </c>
      <c r="AJ36" s="39" t="n">
        <v>414232</v>
      </c>
      <c r="AK36" s="39" t="n">
        <v>767</v>
      </c>
      <c r="AL36" s="39" t="n">
        <v>130</v>
      </c>
      <c r="AM36" s="39" t="n">
        <v>221</v>
      </c>
      <c r="AN36" s="39" t="n">
        <v>0</v>
      </c>
      <c r="AO36" s="39" t="n">
        <v>117</v>
      </c>
      <c r="AP36" s="39" t="n">
        <v>65</v>
      </c>
      <c r="AQ36" s="39" t="n">
        <v>325</v>
      </c>
      <c r="AR36" s="39" t="n">
        <v>0</v>
      </c>
      <c r="AS36" s="39" t="n">
        <v>0</v>
      </c>
      <c r="AT36" s="39" t="n">
        <v>117</v>
      </c>
      <c r="AU36" s="40" t="n">
        <v>1430078</v>
      </c>
    </row>
    <row r="37" customFormat="false" ht="12.75" hidden="false" customHeight="false" outlineLevel="0" collapsed="false">
      <c r="A37" s="37" t="n">
        <v>96</v>
      </c>
      <c r="B37" s="38" t="n">
        <v>1264757</v>
      </c>
      <c r="C37" s="39" t="n">
        <v>572</v>
      </c>
      <c r="D37" s="39" t="n">
        <v>169</v>
      </c>
      <c r="E37" s="39" t="n">
        <v>130</v>
      </c>
      <c r="F37" s="39" t="n">
        <v>390</v>
      </c>
      <c r="G37" s="39" t="n">
        <v>78</v>
      </c>
      <c r="H37" s="39" t="n">
        <v>130</v>
      </c>
      <c r="I37" s="39" t="n">
        <v>208</v>
      </c>
      <c r="J37" s="39" t="n">
        <v>260</v>
      </c>
      <c r="K37" s="39" t="n">
        <v>78</v>
      </c>
      <c r="L37" s="39" t="n">
        <v>0</v>
      </c>
      <c r="M37" s="39" t="n">
        <v>169</v>
      </c>
      <c r="N37" s="39" t="n">
        <v>260</v>
      </c>
      <c r="O37" s="39" t="n">
        <v>143</v>
      </c>
      <c r="P37" s="39" t="n">
        <v>1209</v>
      </c>
      <c r="Q37" s="39" t="n">
        <v>949</v>
      </c>
      <c r="R37" s="39" t="n">
        <v>286</v>
      </c>
      <c r="S37" s="39" t="n">
        <v>0</v>
      </c>
      <c r="T37" s="39" t="n">
        <v>208</v>
      </c>
      <c r="U37" s="39" t="n">
        <v>65</v>
      </c>
      <c r="V37" s="39" t="n">
        <v>91</v>
      </c>
      <c r="W37" s="39" t="n">
        <v>39</v>
      </c>
      <c r="X37" s="39" t="n">
        <v>169</v>
      </c>
      <c r="Y37" s="39" t="n">
        <v>182</v>
      </c>
      <c r="Z37" s="39" t="n">
        <v>0</v>
      </c>
      <c r="AA37" s="39" t="n">
        <v>1287</v>
      </c>
      <c r="AB37" s="39" t="n">
        <v>182</v>
      </c>
      <c r="AC37" s="39" t="n">
        <v>143</v>
      </c>
      <c r="AD37" s="39" t="n">
        <v>390</v>
      </c>
      <c r="AE37" s="39" t="n">
        <v>7631</v>
      </c>
      <c r="AF37" s="39" t="n">
        <v>351</v>
      </c>
      <c r="AG37" s="39" t="n">
        <v>13065</v>
      </c>
      <c r="AH37" s="39" t="n">
        <v>5590</v>
      </c>
      <c r="AI37" s="39" t="n">
        <v>221</v>
      </c>
      <c r="AJ37" s="39" t="n">
        <v>1456</v>
      </c>
      <c r="AK37" s="39" t="n">
        <v>1184040</v>
      </c>
      <c r="AL37" s="39" t="n">
        <v>169</v>
      </c>
      <c r="AM37" s="39" t="n">
        <v>403</v>
      </c>
      <c r="AN37" s="39" t="n">
        <v>65</v>
      </c>
      <c r="AO37" s="39" t="n">
        <v>91</v>
      </c>
      <c r="AP37" s="39" t="n">
        <v>234</v>
      </c>
      <c r="AQ37" s="39" t="n">
        <v>429</v>
      </c>
      <c r="AR37" s="39" t="n">
        <v>0</v>
      </c>
      <c r="AS37" s="39" t="n">
        <v>117</v>
      </c>
      <c r="AT37" s="39" t="n">
        <v>4251</v>
      </c>
      <c r="AU37" s="40" t="n">
        <v>2490657</v>
      </c>
    </row>
    <row r="38" customFormat="false" ht="12.75" hidden="false" customHeight="false" outlineLevel="0" collapsed="false">
      <c r="A38" s="37" t="n">
        <v>97</v>
      </c>
      <c r="B38" s="38" t="n">
        <v>154115</v>
      </c>
      <c r="C38" s="39" t="n">
        <v>0</v>
      </c>
      <c r="D38" s="39" t="n">
        <v>0</v>
      </c>
      <c r="E38" s="39" t="n">
        <v>0</v>
      </c>
      <c r="F38" s="39" t="n">
        <v>0</v>
      </c>
      <c r="G38" s="39" t="n">
        <v>0</v>
      </c>
      <c r="H38" s="39" t="n">
        <v>0</v>
      </c>
      <c r="I38" s="39" t="n">
        <v>0</v>
      </c>
      <c r="J38" s="39" t="n">
        <v>0</v>
      </c>
      <c r="K38" s="39" t="n">
        <v>0</v>
      </c>
      <c r="L38" s="39" t="n">
        <v>130</v>
      </c>
      <c r="M38" s="39" t="n">
        <v>0</v>
      </c>
      <c r="N38" s="39" t="n">
        <v>0</v>
      </c>
      <c r="O38" s="39" t="n">
        <v>0</v>
      </c>
      <c r="P38" s="39" t="n">
        <v>585</v>
      </c>
      <c r="Q38" s="39" t="n">
        <v>728</v>
      </c>
      <c r="R38" s="39" t="n">
        <v>91</v>
      </c>
      <c r="S38" s="39" t="n">
        <v>0</v>
      </c>
      <c r="T38" s="39" t="n">
        <v>91</v>
      </c>
      <c r="U38" s="39" t="n">
        <v>0</v>
      </c>
      <c r="V38" s="39" t="n">
        <v>65</v>
      </c>
      <c r="W38" s="39" t="n">
        <v>0</v>
      </c>
      <c r="X38" s="39" t="n">
        <v>0</v>
      </c>
      <c r="Y38" s="39"/>
      <c r="Z38" s="39" t="n">
        <v>0</v>
      </c>
      <c r="AA38" s="39" t="n">
        <v>9776</v>
      </c>
      <c r="AB38" s="39" t="n">
        <v>2015</v>
      </c>
      <c r="AC38" s="39" t="n">
        <v>91</v>
      </c>
      <c r="AD38" s="39" t="n">
        <v>0</v>
      </c>
      <c r="AE38" s="39" t="n">
        <v>65</v>
      </c>
      <c r="AF38" s="39" t="n">
        <v>0</v>
      </c>
      <c r="AG38" s="39" t="n">
        <v>0</v>
      </c>
      <c r="AH38" s="39" t="n">
        <v>0</v>
      </c>
      <c r="AI38" s="39" t="n">
        <v>2171</v>
      </c>
      <c r="AJ38" s="39" t="n">
        <v>0</v>
      </c>
      <c r="AK38" s="39" t="n">
        <v>0</v>
      </c>
      <c r="AL38" s="39" t="n">
        <v>85462</v>
      </c>
      <c r="AM38" s="39" t="n">
        <v>3159</v>
      </c>
      <c r="AN38" s="39" t="n">
        <v>234</v>
      </c>
      <c r="AO38" s="39" t="n">
        <v>0</v>
      </c>
      <c r="AP38" s="39" t="n">
        <v>4927</v>
      </c>
      <c r="AQ38" s="39" t="n">
        <v>0</v>
      </c>
      <c r="AR38" s="39" t="n">
        <v>0</v>
      </c>
      <c r="AS38" s="39"/>
      <c r="AT38" s="39" t="n">
        <v>117</v>
      </c>
      <c r="AU38" s="40" t="n">
        <v>263822</v>
      </c>
    </row>
    <row r="39" customFormat="false" ht="12.75" hidden="false" customHeight="false" outlineLevel="0" collapsed="false">
      <c r="A39" s="37" t="n">
        <v>98</v>
      </c>
      <c r="B39" s="38" t="n">
        <v>686517</v>
      </c>
      <c r="C39" s="39" t="n">
        <v>91</v>
      </c>
      <c r="D39" s="39" t="n">
        <v>143</v>
      </c>
      <c r="E39" s="39" t="n">
        <v>234</v>
      </c>
      <c r="F39" s="39" t="n">
        <v>182</v>
      </c>
      <c r="G39" s="39" t="n">
        <v>0</v>
      </c>
      <c r="H39" s="39" t="n">
        <v>0</v>
      </c>
      <c r="I39" s="39" t="n">
        <v>0</v>
      </c>
      <c r="J39" s="39" t="n">
        <v>0</v>
      </c>
      <c r="K39" s="39" t="n">
        <v>0</v>
      </c>
      <c r="L39" s="39" t="n">
        <v>338</v>
      </c>
      <c r="M39" s="39" t="n">
        <v>156</v>
      </c>
      <c r="N39" s="39" t="n">
        <v>52</v>
      </c>
      <c r="O39" s="39" t="n">
        <v>468</v>
      </c>
      <c r="P39" s="39" t="n">
        <v>8112</v>
      </c>
      <c r="Q39" s="39" t="n">
        <v>32188</v>
      </c>
      <c r="R39" s="39" t="n">
        <v>0</v>
      </c>
      <c r="S39" s="39" t="n">
        <v>1183</v>
      </c>
      <c r="T39" s="39" t="n">
        <v>0</v>
      </c>
      <c r="U39" s="39" t="n">
        <v>0</v>
      </c>
      <c r="V39" s="39" t="n">
        <v>65</v>
      </c>
      <c r="W39" s="39" t="n">
        <v>0</v>
      </c>
      <c r="X39" s="39" t="n">
        <v>4875</v>
      </c>
      <c r="Y39" s="39" t="n">
        <v>0</v>
      </c>
      <c r="Z39" s="39" t="n">
        <v>130</v>
      </c>
      <c r="AA39" s="39" t="n">
        <v>23764</v>
      </c>
      <c r="AB39" s="39" t="n">
        <v>12389</v>
      </c>
      <c r="AC39" s="39" t="n">
        <v>0</v>
      </c>
      <c r="AD39" s="39" t="n">
        <v>195</v>
      </c>
      <c r="AE39" s="39" t="n">
        <v>975</v>
      </c>
      <c r="AF39" s="39" t="n">
        <v>715</v>
      </c>
      <c r="AG39" s="39" t="n">
        <v>156</v>
      </c>
      <c r="AH39" s="39" t="n">
        <v>0</v>
      </c>
      <c r="AI39" s="39" t="n">
        <v>741</v>
      </c>
      <c r="AJ39" s="39" t="n">
        <v>0</v>
      </c>
      <c r="AK39" s="39" t="n">
        <v>221</v>
      </c>
      <c r="AL39" s="39" t="n">
        <v>780</v>
      </c>
      <c r="AM39" s="39" t="n">
        <v>714948</v>
      </c>
      <c r="AN39" s="39" t="n">
        <v>403</v>
      </c>
      <c r="AO39" s="39" t="n">
        <v>273</v>
      </c>
      <c r="AP39" s="39" t="n">
        <v>156</v>
      </c>
      <c r="AQ39" s="39" t="n">
        <v>130</v>
      </c>
      <c r="AR39" s="39" t="n">
        <v>0</v>
      </c>
      <c r="AS39" s="39" t="n">
        <v>0</v>
      </c>
      <c r="AT39" s="39" t="n">
        <v>182</v>
      </c>
      <c r="AU39" s="40" t="n">
        <v>1490762</v>
      </c>
    </row>
    <row r="40" customFormat="false" ht="12.75" hidden="false" customHeight="false" outlineLevel="0" collapsed="false">
      <c r="A40" s="37" t="n">
        <v>99</v>
      </c>
      <c r="B40" s="38" t="n">
        <v>183391</v>
      </c>
      <c r="C40" s="39" t="n">
        <v>130</v>
      </c>
      <c r="D40" s="39" t="n">
        <v>0</v>
      </c>
      <c r="E40" s="39" t="n">
        <v>0</v>
      </c>
      <c r="F40" s="39" t="n">
        <v>0</v>
      </c>
      <c r="G40" s="39" t="n">
        <v>0</v>
      </c>
      <c r="H40" s="39" t="n">
        <v>0</v>
      </c>
      <c r="I40" s="39" t="n">
        <v>0</v>
      </c>
      <c r="J40" s="39" t="n">
        <v>104</v>
      </c>
      <c r="K40" s="39" t="n">
        <v>4212</v>
      </c>
      <c r="L40" s="39" t="n">
        <v>2691</v>
      </c>
      <c r="M40" s="39" t="n">
        <v>260</v>
      </c>
      <c r="N40" s="39" t="n">
        <v>91</v>
      </c>
      <c r="O40" s="39" t="n">
        <v>1508</v>
      </c>
      <c r="P40" s="39" t="n">
        <v>8268</v>
      </c>
      <c r="Q40" s="39" t="n">
        <v>2535</v>
      </c>
      <c r="R40" s="39" t="n">
        <v>0</v>
      </c>
      <c r="S40" s="39" t="n">
        <v>65</v>
      </c>
      <c r="T40" s="39" t="n">
        <v>52</v>
      </c>
      <c r="U40" s="39" t="n">
        <v>0</v>
      </c>
      <c r="V40" s="39" t="n">
        <v>0</v>
      </c>
      <c r="W40" s="39" t="n">
        <v>0</v>
      </c>
      <c r="X40" s="39" t="n">
        <v>0</v>
      </c>
      <c r="Y40" s="39" t="n">
        <v>0</v>
      </c>
      <c r="Z40" s="39" t="n">
        <v>104</v>
      </c>
      <c r="AA40" s="39" t="n">
        <v>9542</v>
      </c>
      <c r="AB40" s="39" t="n">
        <v>23712</v>
      </c>
      <c r="AC40" s="39" t="n">
        <v>0</v>
      </c>
      <c r="AD40" s="39" t="n">
        <v>0</v>
      </c>
      <c r="AE40" s="39" t="n">
        <v>78</v>
      </c>
      <c r="AF40" s="39" t="n">
        <v>78</v>
      </c>
      <c r="AG40" s="39" t="n">
        <v>169</v>
      </c>
      <c r="AH40" s="39" t="n">
        <v>0</v>
      </c>
      <c r="AI40" s="39" t="n">
        <v>3783</v>
      </c>
      <c r="AJ40" s="39" t="n">
        <v>0</v>
      </c>
      <c r="AK40" s="39" t="n">
        <v>0</v>
      </c>
      <c r="AL40" s="39" t="n">
        <v>156</v>
      </c>
      <c r="AM40" s="39" t="n">
        <v>936</v>
      </c>
      <c r="AN40" s="39" t="n">
        <v>99255</v>
      </c>
      <c r="AO40" s="39" t="n">
        <v>1118</v>
      </c>
      <c r="AP40" s="39" t="n">
        <v>91</v>
      </c>
      <c r="AQ40" s="39" t="n">
        <v>0</v>
      </c>
      <c r="AR40" s="39" t="n">
        <v>0</v>
      </c>
      <c r="AS40" s="39" t="n">
        <v>0</v>
      </c>
      <c r="AT40" s="39" t="n">
        <v>494</v>
      </c>
      <c r="AU40" s="40" t="n">
        <v>342823</v>
      </c>
    </row>
    <row r="41" customFormat="false" ht="12.75" hidden="false" customHeight="false" outlineLevel="0" collapsed="false">
      <c r="A41" s="37" t="n">
        <v>100</v>
      </c>
      <c r="B41" s="38" t="n">
        <v>195936</v>
      </c>
      <c r="C41" s="39" t="n">
        <v>156</v>
      </c>
      <c r="D41" s="39" t="n">
        <v>91</v>
      </c>
      <c r="E41" s="39" t="n">
        <v>130</v>
      </c>
      <c r="F41" s="39" t="n">
        <v>598</v>
      </c>
      <c r="G41" s="39" t="n">
        <v>0</v>
      </c>
      <c r="H41" s="39" t="n">
        <v>0</v>
      </c>
      <c r="I41" s="39" t="n">
        <v>0</v>
      </c>
      <c r="J41" s="39" t="n">
        <v>0</v>
      </c>
      <c r="K41" s="39" t="n">
        <v>1625</v>
      </c>
      <c r="L41" s="39" t="n">
        <v>130</v>
      </c>
      <c r="M41" s="39" t="n">
        <v>0</v>
      </c>
      <c r="N41" s="39" t="n">
        <v>78</v>
      </c>
      <c r="O41" s="39" t="n">
        <v>17290</v>
      </c>
      <c r="P41" s="39" t="n">
        <v>8619</v>
      </c>
      <c r="Q41" s="39" t="n">
        <v>1313</v>
      </c>
      <c r="R41" s="39" t="n">
        <v>0</v>
      </c>
      <c r="S41" s="39"/>
      <c r="T41" s="39"/>
      <c r="U41" s="39"/>
      <c r="V41" s="39"/>
      <c r="W41" s="39" t="n">
        <v>0</v>
      </c>
      <c r="X41" s="39"/>
      <c r="Y41" s="39"/>
      <c r="Z41" s="39" t="n">
        <v>91</v>
      </c>
      <c r="AA41" s="39" t="n">
        <v>2171</v>
      </c>
      <c r="AB41" s="39" t="n">
        <v>1365</v>
      </c>
      <c r="AC41" s="39" t="n">
        <v>0</v>
      </c>
      <c r="AD41" s="39" t="n">
        <v>0</v>
      </c>
      <c r="AE41" s="39" t="n">
        <v>156</v>
      </c>
      <c r="AF41" s="39" t="n">
        <v>0</v>
      </c>
      <c r="AG41" s="39" t="n">
        <v>0</v>
      </c>
      <c r="AH41" s="39" t="n">
        <v>130</v>
      </c>
      <c r="AI41" s="39" t="n">
        <v>117</v>
      </c>
      <c r="AJ41" s="39" t="n">
        <v>0</v>
      </c>
      <c r="AK41" s="39" t="n">
        <v>273</v>
      </c>
      <c r="AL41" s="39" t="n">
        <v>130</v>
      </c>
      <c r="AM41" s="39" t="n">
        <v>351</v>
      </c>
      <c r="AN41" s="39" t="n">
        <v>1768</v>
      </c>
      <c r="AO41" s="39" t="n">
        <v>146120</v>
      </c>
      <c r="AP41" s="39" t="n">
        <v>0</v>
      </c>
      <c r="AQ41" s="39" t="n">
        <v>0</v>
      </c>
      <c r="AR41" s="39"/>
      <c r="AS41" s="39"/>
      <c r="AT41" s="39" t="n">
        <v>0</v>
      </c>
      <c r="AU41" s="40" t="n">
        <v>378638</v>
      </c>
    </row>
    <row r="42" customFormat="false" ht="12.75" hidden="false" customHeight="false" outlineLevel="0" collapsed="false">
      <c r="A42" s="37" t="n">
        <v>101</v>
      </c>
      <c r="B42" s="38" t="n">
        <v>219609</v>
      </c>
      <c r="C42" s="39" t="n">
        <v>208</v>
      </c>
      <c r="D42" s="39" t="n">
        <v>0</v>
      </c>
      <c r="E42" s="39" t="n">
        <v>0</v>
      </c>
      <c r="F42" s="39" t="n">
        <v>0</v>
      </c>
      <c r="G42" s="39" t="n">
        <v>0</v>
      </c>
      <c r="H42" s="39" t="n">
        <v>0</v>
      </c>
      <c r="I42" s="39" t="n">
        <v>0</v>
      </c>
      <c r="J42" s="39" t="n">
        <v>0</v>
      </c>
      <c r="K42" s="39" t="n">
        <v>0</v>
      </c>
      <c r="L42" s="39" t="n">
        <v>0</v>
      </c>
      <c r="M42" s="39" t="n">
        <v>0</v>
      </c>
      <c r="N42" s="39" t="n">
        <v>156</v>
      </c>
      <c r="O42" s="39" t="n">
        <v>0</v>
      </c>
      <c r="P42" s="39" t="n">
        <v>169</v>
      </c>
      <c r="Q42" s="39" t="n">
        <v>208</v>
      </c>
      <c r="R42" s="39" t="n">
        <v>494</v>
      </c>
      <c r="S42" s="39" t="n">
        <v>117</v>
      </c>
      <c r="T42" s="39" t="n">
        <v>3653</v>
      </c>
      <c r="U42" s="39" t="n">
        <v>0</v>
      </c>
      <c r="V42" s="39" t="n">
        <v>0</v>
      </c>
      <c r="W42" s="39" t="n">
        <v>0</v>
      </c>
      <c r="X42" s="39" t="n">
        <v>234</v>
      </c>
      <c r="Y42" s="39"/>
      <c r="Z42" s="39" t="n">
        <v>0</v>
      </c>
      <c r="AA42" s="39" t="n">
        <v>5499</v>
      </c>
      <c r="AB42" s="39" t="n">
        <v>676</v>
      </c>
      <c r="AC42" s="39" t="n">
        <v>182</v>
      </c>
      <c r="AD42" s="39" t="n">
        <v>0</v>
      </c>
      <c r="AE42" s="39" t="n">
        <v>78</v>
      </c>
      <c r="AF42" s="39" t="n">
        <v>0</v>
      </c>
      <c r="AG42" s="39" t="n">
        <v>0</v>
      </c>
      <c r="AH42" s="39" t="n">
        <v>78</v>
      </c>
      <c r="AI42" s="39" t="n">
        <v>234</v>
      </c>
      <c r="AJ42" s="39" t="n">
        <v>91</v>
      </c>
      <c r="AK42" s="39" t="n">
        <v>0</v>
      </c>
      <c r="AL42" s="39" t="n">
        <v>8528</v>
      </c>
      <c r="AM42" s="39" t="n">
        <v>3458</v>
      </c>
      <c r="AN42" s="39" t="n">
        <v>208</v>
      </c>
      <c r="AO42" s="39" t="n">
        <v>0</v>
      </c>
      <c r="AP42" s="39" t="n">
        <v>119210</v>
      </c>
      <c r="AQ42" s="39" t="n">
        <v>0</v>
      </c>
      <c r="AR42" s="39" t="n">
        <v>0</v>
      </c>
      <c r="AS42" s="39"/>
      <c r="AT42" s="39" t="n">
        <v>0</v>
      </c>
      <c r="AU42" s="40" t="n">
        <v>363090</v>
      </c>
    </row>
    <row r="43" customFormat="false" ht="12.75" hidden="false" customHeight="false" outlineLevel="0" collapsed="false">
      <c r="A43" s="37" t="n">
        <v>103</v>
      </c>
      <c r="B43" s="38" t="n">
        <v>331552</v>
      </c>
      <c r="C43" s="39" t="n">
        <v>65</v>
      </c>
      <c r="D43" s="39" t="n">
        <v>117</v>
      </c>
      <c r="E43" s="39" t="n">
        <v>52</v>
      </c>
      <c r="F43" s="39" t="n">
        <v>117</v>
      </c>
      <c r="G43" s="39" t="n">
        <v>0</v>
      </c>
      <c r="H43" s="39" t="n">
        <v>104</v>
      </c>
      <c r="I43" s="39" t="n">
        <v>0</v>
      </c>
      <c r="J43" s="39" t="n">
        <v>0</v>
      </c>
      <c r="K43" s="39" t="n">
        <v>0</v>
      </c>
      <c r="L43" s="39" t="n">
        <v>0</v>
      </c>
      <c r="M43" s="39" t="n">
        <v>0</v>
      </c>
      <c r="N43" s="39" t="n">
        <v>0</v>
      </c>
      <c r="O43" s="39" t="n">
        <v>91</v>
      </c>
      <c r="P43" s="39" t="n">
        <v>117</v>
      </c>
      <c r="Q43" s="39" t="n">
        <v>1794</v>
      </c>
      <c r="R43" s="39" t="n">
        <v>0</v>
      </c>
      <c r="S43" s="39" t="n">
        <v>0</v>
      </c>
      <c r="T43" s="39" t="n">
        <v>0</v>
      </c>
      <c r="U43" s="39" t="n">
        <v>0</v>
      </c>
      <c r="V43" s="39" t="n">
        <v>4381</v>
      </c>
      <c r="W43" s="39" t="n">
        <v>0</v>
      </c>
      <c r="X43" s="39" t="n">
        <v>0</v>
      </c>
      <c r="Y43" s="39" t="n">
        <v>0</v>
      </c>
      <c r="Z43" s="39" t="n">
        <v>429</v>
      </c>
      <c r="AA43" s="39" t="n">
        <v>117</v>
      </c>
      <c r="AB43" s="39" t="n">
        <v>221</v>
      </c>
      <c r="AC43" s="39" t="n">
        <v>0</v>
      </c>
      <c r="AD43" s="39" t="n">
        <v>481</v>
      </c>
      <c r="AE43" s="39" t="n">
        <v>76375</v>
      </c>
      <c r="AF43" s="39" t="n">
        <v>169</v>
      </c>
      <c r="AG43" s="39" t="n">
        <v>299</v>
      </c>
      <c r="AH43" s="39" t="n">
        <v>143</v>
      </c>
      <c r="AI43" s="39" t="n">
        <v>104</v>
      </c>
      <c r="AJ43" s="39" t="n">
        <v>533</v>
      </c>
      <c r="AK43" s="39" t="n">
        <v>533</v>
      </c>
      <c r="AL43" s="39" t="n">
        <v>91</v>
      </c>
      <c r="AM43" s="39" t="n">
        <v>65</v>
      </c>
      <c r="AN43" s="39" t="n">
        <v>0</v>
      </c>
      <c r="AO43" s="39" t="n">
        <v>0</v>
      </c>
      <c r="AP43" s="39" t="n">
        <v>0</v>
      </c>
      <c r="AQ43" s="39" t="n">
        <v>249158</v>
      </c>
      <c r="AR43" s="39" t="n">
        <v>0</v>
      </c>
      <c r="AS43" s="39" t="n">
        <v>0</v>
      </c>
      <c r="AT43" s="39" t="n">
        <v>0</v>
      </c>
      <c r="AU43" s="40" t="n">
        <v>667108</v>
      </c>
    </row>
    <row r="44" customFormat="false" ht="12.75" hidden="false" customHeight="false" outlineLevel="0" collapsed="false">
      <c r="A44" s="41" t="s">
        <v>7</v>
      </c>
      <c r="B44" s="42" t="n">
        <v>15631931</v>
      </c>
      <c r="C44" s="43" t="n">
        <v>39637</v>
      </c>
      <c r="D44" s="43" t="n">
        <v>56186</v>
      </c>
      <c r="E44" s="43" t="n">
        <v>63999</v>
      </c>
      <c r="F44" s="43" t="n">
        <v>54210</v>
      </c>
      <c r="G44" s="43" t="n">
        <v>39559</v>
      </c>
      <c r="H44" s="43" t="n">
        <v>66534</v>
      </c>
      <c r="I44" s="43" t="n">
        <v>37271</v>
      </c>
      <c r="J44" s="43" t="n">
        <v>43238</v>
      </c>
      <c r="K44" s="43" t="n">
        <v>45994</v>
      </c>
      <c r="L44" s="43" t="n">
        <v>70187</v>
      </c>
      <c r="M44" s="43" t="n">
        <v>72345</v>
      </c>
      <c r="N44" s="43" t="n">
        <v>35269</v>
      </c>
      <c r="O44" s="43" t="n">
        <v>104546</v>
      </c>
      <c r="P44" s="43" t="n">
        <v>569400</v>
      </c>
      <c r="Q44" s="43" t="n">
        <v>315003</v>
      </c>
      <c r="R44" s="43" t="n">
        <v>54067</v>
      </c>
      <c r="S44" s="43" t="n">
        <v>42991</v>
      </c>
      <c r="T44" s="43" t="n">
        <v>66638</v>
      </c>
      <c r="U44" s="43" t="n">
        <v>37869</v>
      </c>
      <c r="V44" s="43" t="n">
        <v>183118</v>
      </c>
      <c r="W44" s="43" t="n">
        <v>112515</v>
      </c>
      <c r="X44" s="43" t="n">
        <v>102440</v>
      </c>
      <c r="Y44" s="43" t="n">
        <v>34840</v>
      </c>
      <c r="Z44" s="43" t="n">
        <v>90922</v>
      </c>
      <c r="AA44" s="43" t="n">
        <v>630461</v>
      </c>
      <c r="AB44" s="43" t="n">
        <v>341926</v>
      </c>
      <c r="AC44" s="43" t="n">
        <v>269763</v>
      </c>
      <c r="AD44" s="43" t="n">
        <v>224133</v>
      </c>
      <c r="AE44" s="43" t="n">
        <v>4317976</v>
      </c>
      <c r="AF44" s="43" t="n">
        <v>162877</v>
      </c>
      <c r="AG44" s="43" t="n">
        <v>1277510</v>
      </c>
      <c r="AH44" s="43" t="n">
        <v>405561</v>
      </c>
      <c r="AI44" s="43" t="n">
        <v>499538</v>
      </c>
      <c r="AJ44" s="43" t="n">
        <v>501878</v>
      </c>
      <c r="AK44" s="43" t="n">
        <v>1206452</v>
      </c>
      <c r="AL44" s="43" t="n">
        <v>108069</v>
      </c>
      <c r="AM44" s="43" t="n">
        <v>863954</v>
      </c>
      <c r="AN44" s="43" t="n">
        <v>124267</v>
      </c>
      <c r="AO44" s="43" t="n">
        <v>157183</v>
      </c>
      <c r="AP44" s="43" t="n">
        <v>133757</v>
      </c>
      <c r="AQ44" s="43" t="n">
        <v>275808</v>
      </c>
      <c r="AR44" s="43" t="n">
        <v>78</v>
      </c>
      <c r="AS44" s="43" t="n">
        <v>117</v>
      </c>
      <c r="AT44" s="43" t="n">
        <v>11050</v>
      </c>
      <c r="AU44" s="44" t="n">
        <v>29483067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" activeCellId="0" sqref="I3"/>
    </sheetView>
  </sheetViews>
  <sheetFormatPr defaultColWidth="9.0546875" defaultRowHeight="12.75" customHeight="false" zeroHeight="false" outlineLevelRow="0" outlineLevelCol="0"/>
  <sheetData>
    <row r="1" customFormat="false" ht="12.75" hidden="false" customHeight="false" outlineLevel="0" collapsed="false">
      <c r="B1" s="0" t="s">
        <v>169</v>
      </c>
      <c r="C1" s="0" t="s">
        <v>170</v>
      </c>
      <c r="D1" s="0" t="s">
        <v>171</v>
      </c>
      <c r="E1" s="0" t="s">
        <v>2</v>
      </c>
      <c r="F1" s="0" t="s">
        <v>1</v>
      </c>
    </row>
    <row r="2" customFormat="false" ht="12.75" hidden="false" customHeight="false" outlineLevel="0" collapsed="false">
      <c r="A2" s="0" t="n">
        <f aca="false">B2*1000+C2</f>
        <v>1000</v>
      </c>
      <c r="B2" s="0" t="n">
        <v>1</v>
      </c>
      <c r="C2" s="0" t="n">
        <v>0</v>
      </c>
      <c r="D2" s="0" t="n">
        <v>70434</v>
      </c>
      <c r="E2" s="0" t="n">
        <f aca="false">VLOOKUP(B2,'Babblefish-APUMA'!$A$1:$B$86,2)</f>
        <v>1</v>
      </c>
      <c r="F2" s="0" t="n">
        <f aca="false">IF(C2&gt;1,IF(C2&lt;99,VLOOKUP(C2,'Babblefish-APUMA'!$A$1:$B$86,2),C2),C2)</f>
        <v>0</v>
      </c>
    </row>
    <row r="3" customFormat="false" ht="12.75" hidden="false" customHeight="false" outlineLevel="0" collapsed="false">
      <c r="A3" s="0" t="n">
        <f aca="false">B3*1000+C3</f>
        <v>1001</v>
      </c>
      <c r="B3" s="0" t="n">
        <v>1</v>
      </c>
      <c r="C3" s="0" t="n">
        <v>1</v>
      </c>
      <c r="D3" s="0" t="n">
        <v>32903</v>
      </c>
      <c r="E3" s="0" t="n">
        <f aca="false">VLOOKUP(B3,'Babblefish-APUMA'!$A$1:$B$86,2)</f>
        <v>1</v>
      </c>
      <c r="F3" s="0" t="n">
        <f aca="false">IF(C3&gt;1,IF(C3&lt;99,VLOOKUP(C3,'Babblefish-APUMA'!$A$1:$B$86,2),C3),C3)</f>
        <v>1</v>
      </c>
    </row>
    <row r="4" customFormat="false" ht="12.75" hidden="false" customHeight="false" outlineLevel="0" collapsed="false">
      <c r="A4" s="0" t="n">
        <f aca="false">B4*1000+C4</f>
        <v>1002</v>
      </c>
      <c r="B4" s="0" t="n">
        <v>1</v>
      </c>
      <c r="C4" s="0" t="n">
        <v>2</v>
      </c>
      <c r="D4" s="0" t="n">
        <v>221</v>
      </c>
      <c r="E4" s="0" t="n">
        <f aca="false">VLOOKUP(B4,'Babblefish-APUMA'!$A$1:$B$86,2)</f>
        <v>1</v>
      </c>
      <c r="F4" s="0" t="n">
        <f aca="false">IF(C4&gt;1,IF(C4&lt;99,VLOOKUP(C4,'Babblefish-APUMA'!$A$1:$B$86,2),C4),C4)</f>
        <v>2</v>
      </c>
    </row>
    <row r="5" customFormat="false" ht="12.75" hidden="false" customHeight="false" outlineLevel="0" collapsed="false">
      <c r="A5" s="0" t="n">
        <f aca="false">B5*1000+C5</f>
        <v>1003</v>
      </c>
      <c r="B5" s="0" t="n">
        <v>1</v>
      </c>
      <c r="C5" s="0" t="n">
        <v>3</v>
      </c>
      <c r="D5" s="0" t="n">
        <v>780</v>
      </c>
      <c r="E5" s="0" t="n">
        <f aca="false">VLOOKUP(B5,'Babblefish-APUMA'!$A$1:$B$86,2)</f>
        <v>1</v>
      </c>
      <c r="F5" s="0" t="n">
        <f aca="false">IF(C5&gt;1,IF(C5&lt;99,VLOOKUP(C5,'Babblefish-APUMA'!$A$1:$B$86,2),C5),C5)</f>
        <v>3</v>
      </c>
    </row>
    <row r="6" customFormat="false" ht="12.75" hidden="false" customHeight="false" outlineLevel="0" collapsed="false">
      <c r="A6" s="0" t="n">
        <f aca="false">B6*1000+C6</f>
        <v>1004</v>
      </c>
      <c r="B6" s="0" t="n">
        <v>1</v>
      </c>
      <c r="C6" s="0" t="n">
        <v>4</v>
      </c>
      <c r="D6" s="0" t="n">
        <v>104</v>
      </c>
      <c r="E6" s="0" t="n">
        <f aca="false">VLOOKUP(B6,'Babblefish-APUMA'!$A$1:$B$86,2)</f>
        <v>1</v>
      </c>
      <c r="F6" s="0" t="n">
        <f aca="false">IF(C6&gt;1,IF(C6&lt;99,VLOOKUP(C6,'Babblefish-APUMA'!$A$1:$B$86,2),C6),C6)</f>
        <v>4</v>
      </c>
    </row>
    <row r="7" customFormat="false" ht="12.75" hidden="false" customHeight="false" outlineLevel="0" collapsed="false">
      <c r="A7" s="0" t="n">
        <f aca="false">B7*1000+C7</f>
        <v>1005</v>
      </c>
      <c r="B7" s="0" t="n">
        <v>1</v>
      </c>
      <c r="C7" s="0" t="n">
        <v>5</v>
      </c>
      <c r="D7" s="0" t="n">
        <v>65</v>
      </c>
      <c r="E7" s="0" t="n">
        <f aca="false">VLOOKUP(B7,'Babblefish-APUMA'!$A$1:$B$86,2)</f>
        <v>1</v>
      </c>
      <c r="F7" s="0" t="n">
        <f aca="false">IF(C7&gt;1,IF(C7&lt;99,VLOOKUP(C7,'Babblefish-APUMA'!$A$1:$B$86,2),C7),C7)</f>
        <v>5</v>
      </c>
    </row>
    <row r="8" customFormat="false" ht="12.75" hidden="false" customHeight="false" outlineLevel="0" collapsed="false">
      <c r="A8" s="0" t="n">
        <f aca="false">B8*1000+C8</f>
        <v>1006</v>
      </c>
      <c r="B8" s="0" t="n">
        <v>1</v>
      </c>
      <c r="C8" s="0" t="n">
        <v>6</v>
      </c>
      <c r="D8" s="0" t="n">
        <v>117</v>
      </c>
      <c r="E8" s="0" t="n">
        <f aca="false">VLOOKUP(B8,'Babblefish-APUMA'!$A$1:$B$86,2)</f>
        <v>1</v>
      </c>
      <c r="F8" s="0" t="n">
        <f aca="false">IF(C8&gt;1,IF(C8&lt;99,VLOOKUP(C8,'Babblefish-APUMA'!$A$1:$B$86,2),C8),C8)</f>
        <v>6</v>
      </c>
    </row>
    <row r="9" customFormat="false" ht="12.75" hidden="false" customHeight="false" outlineLevel="0" collapsed="false">
      <c r="A9" s="0" t="n">
        <f aca="false">B9*1000+C9</f>
        <v>1007</v>
      </c>
      <c r="B9" s="0" t="n">
        <v>1</v>
      </c>
      <c r="C9" s="0" t="n">
        <v>7</v>
      </c>
      <c r="D9" s="0" t="n">
        <v>403</v>
      </c>
      <c r="E9" s="0" t="n">
        <f aca="false">VLOOKUP(B9,'Babblefish-APUMA'!$A$1:$B$86,2)</f>
        <v>1</v>
      </c>
      <c r="F9" s="0" t="n">
        <f aca="false">IF(C9&gt;1,IF(C9&lt;99,VLOOKUP(C9,'Babblefish-APUMA'!$A$1:$B$86,2),C9),C9)</f>
        <v>7</v>
      </c>
    </row>
    <row r="10" customFormat="false" ht="12.75" hidden="false" customHeight="false" outlineLevel="0" collapsed="false">
      <c r="A10" s="0" t="n">
        <f aca="false">B10*1000+C10</f>
        <v>1014</v>
      </c>
      <c r="B10" s="0" t="n">
        <v>1</v>
      </c>
      <c r="C10" s="0" t="n">
        <v>14</v>
      </c>
      <c r="D10" s="0" t="n">
        <v>65</v>
      </c>
      <c r="E10" s="0" t="n">
        <f aca="false">VLOOKUP(B10,'Babblefish-APUMA'!$A$1:$B$86,2)</f>
        <v>1</v>
      </c>
      <c r="F10" s="0" t="n">
        <f aca="false">IF(C10&gt;1,IF(C10&lt;99,VLOOKUP(C10,'Babblefish-APUMA'!$A$1:$B$86,2),C10),C10)</f>
        <v>100</v>
      </c>
    </row>
    <row r="11" customFormat="false" ht="12.75" hidden="false" customHeight="false" outlineLevel="0" collapsed="false">
      <c r="A11" s="0" t="n">
        <f aca="false">B11*1000+C11</f>
        <v>1016</v>
      </c>
      <c r="B11" s="0" t="n">
        <v>1</v>
      </c>
      <c r="C11" s="0" t="n">
        <v>16</v>
      </c>
      <c r="D11" s="0" t="n">
        <v>273</v>
      </c>
      <c r="E11" s="0" t="n">
        <f aca="false">VLOOKUP(B11,'Babblefish-APUMA'!$A$1:$B$86,2)</f>
        <v>1</v>
      </c>
      <c r="F11" s="0" t="n">
        <f aca="false">IF(C11&gt;1,IF(C11&lt;99,VLOOKUP(C11,'Babblefish-APUMA'!$A$1:$B$86,2),C11),C11)</f>
        <v>99</v>
      </c>
    </row>
    <row r="12" customFormat="false" ht="12.75" hidden="false" customHeight="false" outlineLevel="0" collapsed="false">
      <c r="A12" s="0" t="n">
        <f aca="false">B12*1000+C12</f>
        <v>1019</v>
      </c>
      <c r="B12" s="0" t="n">
        <v>1</v>
      </c>
      <c r="C12" s="0" t="n">
        <v>19</v>
      </c>
      <c r="D12" s="0" t="n">
        <v>26</v>
      </c>
      <c r="E12" s="0" t="n">
        <f aca="false">VLOOKUP(B12,'Babblefish-APUMA'!$A$1:$B$86,2)</f>
        <v>1</v>
      </c>
      <c r="F12" s="0" t="n">
        <f aca="false">IF(C12&gt;1,IF(C12&lt;99,VLOOKUP(C12,'Babblefish-APUMA'!$A$1:$B$86,2),C12),C12)</f>
        <v>19</v>
      </c>
    </row>
    <row r="13" customFormat="false" ht="12.75" hidden="false" customHeight="false" outlineLevel="0" collapsed="false">
      <c r="A13" s="0" t="n">
        <f aca="false">B13*1000+C13</f>
        <v>1026</v>
      </c>
      <c r="B13" s="0" t="n">
        <v>1</v>
      </c>
      <c r="C13" s="0" t="n">
        <v>26</v>
      </c>
      <c r="D13" s="0" t="n">
        <v>104</v>
      </c>
      <c r="E13" s="0" t="n">
        <f aca="false">VLOOKUP(B13,'Babblefish-APUMA'!$A$1:$B$86,2)</f>
        <v>1</v>
      </c>
      <c r="F13" s="0" t="n">
        <f aca="false">IF(C13&gt;1,IF(C13&lt;99,VLOOKUP(C13,'Babblefish-APUMA'!$A$1:$B$86,2),C13),C13)</f>
        <v>26</v>
      </c>
    </row>
    <row r="14" customFormat="false" ht="12.75" hidden="false" customHeight="false" outlineLevel="0" collapsed="false">
      <c r="A14" s="0" t="n">
        <f aca="false">B14*1000+C14</f>
        <v>1028</v>
      </c>
      <c r="B14" s="0" t="n">
        <v>1</v>
      </c>
      <c r="C14" s="0" t="n">
        <v>28</v>
      </c>
      <c r="D14" s="0" t="n">
        <v>117</v>
      </c>
      <c r="E14" s="0" t="n">
        <f aca="false">VLOOKUP(B14,'Babblefish-APUMA'!$A$1:$B$86,2)</f>
        <v>1</v>
      </c>
      <c r="F14" s="0" t="n">
        <f aca="false">IF(C14&gt;1,IF(C14&lt;99,VLOOKUP(C14,'Babblefish-APUMA'!$A$1:$B$86,2),C14),C14)</f>
        <v>94</v>
      </c>
    </row>
    <row r="15" customFormat="false" ht="12.75" hidden="false" customHeight="false" outlineLevel="0" collapsed="false">
      <c r="A15" s="0" t="n">
        <f aca="false">B15*1000+C15</f>
        <v>1040</v>
      </c>
      <c r="B15" s="0" t="n">
        <v>1</v>
      </c>
      <c r="C15" s="0" t="n">
        <v>40</v>
      </c>
      <c r="D15" s="0" t="n">
        <v>91</v>
      </c>
      <c r="E15" s="0" t="n">
        <f aca="false">VLOOKUP(B15,'Babblefish-APUMA'!$A$1:$B$86,2)</f>
        <v>1</v>
      </c>
      <c r="F15" s="0" t="n">
        <f aca="false">IF(C15&gt;1,IF(C15&lt;99,VLOOKUP(C15,'Babblefish-APUMA'!$A$1:$B$86,2),C15),C15)</f>
        <v>88</v>
      </c>
    </row>
    <row r="16" customFormat="false" ht="12.75" hidden="false" customHeight="false" outlineLevel="0" collapsed="false">
      <c r="A16" s="0" t="n">
        <f aca="false">B16*1000+C16</f>
        <v>1049</v>
      </c>
      <c r="B16" s="0" t="n">
        <v>1</v>
      </c>
      <c r="C16" s="0" t="n">
        <v>49</v>
      </c>
      <c r="D16" s="0" t="n">
        <v>52</v>
      </c>
      <c r="E16" s="0" t="n">
        <f aca="false">VLOOKUP(B16,'Babblefish-APUMA'!$A$1:$B$86,2)</f>
        <v>1</v>
      </c>
      <c r="F16" s="0" t="n">
        <f aca="false">IF(C16&gt;1,IF(C16&lt;99,VLOOKUP(C16,'Babblefish-APUMA'!$A$1:$B$86,2),C16),C16)</f>
        <v>98</v>
      </c>
    </row>
    <row r="17" customFormat="false" ht="12.75" hidden="false" customHeight="false" outlineLevel="0" collapsed="false">
      <c r="A17" s="0" t="n">
        <f aca="false">B17*1000+C17</f>
        <v>1069</v>
      </c>
      <c r="B17" s="0" t="n">
        <v>1</v>
      </c>
      <c r="C17" s="0" t="n">
        <v>69</v>
      </c>
      <c r="D17" s="0" t="n">
        <v>39</v>
      </c>
      <c r="E17" s="0" t="n">
        <f aca="false">VLOOKUP(B17,'Babblefish-APUMA'!$A$1:$B$86,2)</f>
        <v>1</v>
      </c>
      <c r="F17" s="0" t="n">
        <f aca="false">IF(C17&gt;1,IF(C17&lt;99,VLOOKUP(C17,'Babblefish-APUMA'!$A$1:$B$86,2),C17),C17)</f>
        <v>93</v>
      </c>
    </row>
    <row r="18" customFormat="false" ht="12.75" hidden="false" customHeight="false" outlineLevel="0" collapsed="false">
      <c r="A18" s="0" t="n">
        <f aca="false">B18*1000+C18</f>
        <v>1075</v>
      </c>
      <c r="B18" s="0" t="n">
        <v>1</v>
      </c>
      <c r="C18" s="0" t="n">
        <v>75</v>
      </c>
      <c r="D18" s="0" t="n">
        <v>52</v>
      </c>
      <c r="E18" s="0" t="n">
        <f aca="false">VLOOKUP(B18,'Babblefish-APUMA'!$A$1:$B$86,2)</f>
        <v>1</v>
      </c>
      <c r="F18" s="0" t="n">
        <f aca="false">IF(C18&gt;1,IF(C18&lt;99,VLOOKUP(C18,'Babblefish-APUMA'!$A$1:$B$86,2),C18),C18)</f>
        <v>75</v>
      </c>
    </row>
    <row r="19" customFormat="false" ht="12.75" hidden="false" customHeight="false" outlineLevel="0" collapsed="false">
      <c r="A19" s="0" t="n">
        <f aca="false">B19*1000+C19</f>
        <v>2000</v>
      </c>
      <c r="B19" s="0" t="n">
        <v>2</v>
      </c>
      <c r="C19" s="0" t="n">
        <v>0</v>
      </c>
      <c r="D19" s="0" t="n">
        <v>70551</v>
      </c>
      <c r="E19" s="0" t="n">
        <f aca="false">VLOOKUP(B19,'Babblefish-APUMA'!$A$1:$B$86,2)</f>
        <v>2</v>
      </c>
      <c r="F19" s="0" t="n">
        <f aca="false">IF(C19&gt;1,IF(C19&lt;99,VLOOKUP(C19,'Babblefish-APUMA'!$A$1:$B$86,2),C19),C19)</f>
        <v>0</v>
      </c>
    </row>
    <row r="20" customFormat="false" ht="12.75" hidden="false" customHeight="false" outlineLevel="0" collapsed="false">
      <c r="A20" s="0" t="n">
        <f aca="false">B20*1000+C20</f>
        <v>2001</v>
      </c>
      <c r="B20" s="0" t="n">
        <v>2</v>
      </c>
      <c r="C20" s="0" t="n">
        <v>1</v>
      </c>
      <c r="D20" s="0" t="n">
        <v>273</v>
      </c>
      <c r="E20" s="0" t="n">
        <f aca="false">VLOOKUP(B20,'Babblefish-APUMA'!$A$1:$B$86,2)</f>
        <v>2</v>
      </c>
      <c r="F20" s="0" t="n">
        <f aca="false">IF(C20&gt;1,IF(C20&lt;99,VLOOKUP(C20,'Babblefish-APUMA'!$A$1:$B$86,2),C20),C20)</f>
        <v>1</v>
      </c>
    </row>
    <row r="21" customFormat="false" ht="12.75" hidden="false" customHeight="false" outlineLevel="0" collapsed="false">
      <c r="A21" s="0" t="n">
        <f aca="false">B21*1000+C21</f>
        <v>2002</v>
      </c>
      <c r="B21" s="0" t="n">
        <v>2</v>
      </c>
      <c r="C21" s="0" t="n">
        <v>2</v>
      </c>
      <c r="D21" s="0" t="n">
        <v>49764</v>
      </c>
      <c r="E21" s="0" t="n">
        <f aca="false">VLOOKUP(B21,'Babblefish-APUMA'!$A$1:$B$86,2)</f>
        <v>2</v>
      </c>
      <c r="F21" s="0" t="n">
        <f aca="false">IF(C21&gt;1,IF(C21&lt;99,VLOOKUP(C21,'Babblefish-APUMA'!$A$1:$B$86,2),C21),C21)</f>
        <v>2</v>
      </c>
    </row>
    <row r="22" customFormat="false" ht="12.75" hidden="false" customHeight="false" outlineLevel="0" collapsed="false">
      <c r="A22" s="0" t="n">
        <f aca="false">B22*1000+C22</f>
        <v>2003</v>
      </c>
      <c r="B22" s="0" t="n">
        <v>2</v>
      </c>
      <c r="C22" s="0" t="n">
        <v>3</v>
      </c>
      <c r="D22" s="0" t="n">
        <v>0</v>
      </c>
      <c r="E22" s="0" t="n">
        <f aca="false">VLOOKUP(B22,'Babblefish-APUMA'!$A$1:$B$86,2)</f>
        <v>2</v>
      </c>
      <c r="F22" s="0" t="n">
        <f aca="false">IF(C22&gt;1,IF(C22&lt;99,VLOOKUP(C22,'Babblefish-APUMA'!$A$1:$B$86,2),C22),C22)</f>
        <v>3</v>
      </c>
    </row>
    <row r="23" customFormat="false" ht="12.75" hidden="false" customHeight="false" outlineLevel="0" collapsed="false">
      <c r="A23" s="0" t="n">
        <f aca="false">B23*1000+C23</f>
        <v>2004</v>
      </c>
      <c r="B23" s="0" t="n">
        <v>2</v>
      </c>
      <c r="C23" s="0" t="n">
        <v>4</v>
      </c>
      <c r="D23" s="0" t="n">
        <v>273</v>
      </c>
      <c r="E23" s="0" t="n">
        <f aca="false">VLOOKUP(B23,'Babblefish-APUMA'!$A$1:$B$86,2)</f>
        <v>2</v>
      </c>
      <c r="F23" s="0" t="n">
        <f aca="false">IF(C23&gt;1,IF(C23&lt;99,VLOOKUP(C23,'Babblefish-APUMA'!$A$1:$B$86,2),C23),C23)</f>
        <v>4</v>
      </c>
    </row>
    <row r="24" customFormat="false" ht="12.75" hidden="false" customHeight="false" outlineLevel="0" collapsed="false">
      <c r="A24" s="0" t="n">
        <f aca="false">B24*1000+C24</f>
        <v>2005</v>
      </c>
      <c r="B24" s="0" t="n">
        <v>2</v>
      </c>
      <c r="C24" s="0" t="n">
        <v>5</v>
      </c>
      <c r="D24" s="0" t="n">
        <v>0</v>
      </c>
      <c r="E24" s="0" t="n">
        <f aca="false">VLOOKUP(B24,'Babblefish-APUMA'!$A$1:$B$86,2)</f>
        <v>2</v>
      </c>
      <c r="F24" s="0" t="n">
        <f aca="false">IF(C24&gt;1,IF(C24&lt;99,VLOOKUP(C24,'Babblefish-APUMA'!$A$1:$B$86,2),C24),C24)</f>
        <v>5</v>
      </c>
    </row>
    <row r="25" customFormat="false" ht="12.75" hidden="false" customHeight="false" outlineLevel="0" collapsed="false">
      <c r="A25" s="0" t="n">
        <f aca="false">B25*1000+C25</f>
        <v>2006</v>
      </c>
      <c r="B25" s="0" t="n">
        <v>2</v>
      </c>
      <c r="C25" s="0" t="n">
        <v>6</v>
      </c>
      <c r="D25" s="0" t="n">
        <v>0</v>
      </c>
      <c r="E25" s="0" t="n">
        <f aca="false">VLOOKUP(B25,'Babblefish-APUMA'!$A$1:$B$86,2)</f>
        <v>2</v>
      </c>
      <c r="F25" s="0" t="n">
        <f aca="false">IF(C25&gt;1,IF(C25&lt;99,VLOOKUP(C25,'Babblefish-APUMA'!$A$1:$B$86,2),C25),C25)</f>
        <v>6</v>
      </c>
    </row>
    <row r="26" customFormat="false" ht="12.75" hidden="false" customHeight="false" outlineLevel="0" collapsed="false">
      <c r="A26" s="0" t="n">
        <f aca="false">B26*1000+C26</f>
        <v>2007</v>
      </c>
      <c r="B26" s="0" t="n">
        <v>2</v>
      </c>
      <c r="C26" s="0" t="n">
        <v>7</v>
      </c>
      <c r="D26" s="0" t="n">
        <v>0</v>
      </c>
      <c r="E26" s="0" t="n">
        <f aca="false">VLOOKUP(B26,'Babblefish-APUMA'!$A$1:$B$86,2)</f>
        <v>2</v>
      </c>
      <c r="F26" s="0" t="n">
        <f aca="false">IF(C26&gt;1,IF(C26&lt;99,VLOOKUP(C26,'Babblefish-APUMA'!$A$1:$B$86,2),C26),C26)</f>
        <v>7</v>
      </c>
    </row>
    <row r="27" customFormat="false" ht="12.75" hidden="false" customHeight="false" outlineLevel="0" collapsed="false">
      <c r="A27" s="0" t="n">
        <f aca="false">B27*1000+C27</f>
        <v>2014</v>
      </c>
      <c r="B27" s="0" t="n">
        <v>2</v>
      </c>
      <c r="C27" s="0" t="n">
        <v>14</v>
      </c>
      <c r="D27" s="0" t="n">
        <v>0</v>
      </c>
      <c r="E27" s="0" t="n">
        <f aca="false">VLOOKUP(B27,'Babblefish-APUMA'!$A$1:$B$86,2)</f>
        <v>2</v>
      </c>
      <c r="F27" s="0" t="n">
        <f aca="false">IF(C27&gt;1,IF(C27&lt;99,VLOOKUP(C27,'Babblefish-APUMA'!$A$1:$B$86,2),C27),C27)</f>
        <v>100</v>
      </c>
    </row>
    <row r="28" customFormat="false" ht="12.75" hidden="false" customHeight="false" outlineLevel="0" collapsed="false">
      <c r="A28" s="0" t="n">
        <f aca="false">B28*1000+C28</f>
        <v>2015</v>
      </c>
      <c r="B28" s="0" t="n">
        <v>2</v>
      </c>
      <c r="C28" s="0" t="n">
        <v>15</v>
      </c>
      <c r="D28" s="0" t="n">
        <v>78</v>
      </c>
      <c r="E28" s="0" t="n">
        <f aca="false">VLOOKUP(B28,'Babblefish-APUMA'!$A$1:$B$86,2)</f>
        <v>2</v>
      </c>
      <c r="F28" s="0" t="n">
        <f aca="false">IF(C28&gt;1,IF(C28&lt;99,VLOOKUP(C28,'Babblefish-APUMA'!$A$1:$B$86,2),C28),C28)</f>
        <v>15</v>
      </c>
    </row>
    <row r="29" customFormat="false" ht="12.75" hidden="false" customHeight="false" outlineLevel="0" collapsed="false">
      <c r="A29" s="0" t="n">
        <f aca="false">B29*1000+C29</f>
        <v>2016</v>
      </c>
      <c r="B29" s="0" t="n">
        <v>2</v>
      </c>
      <c r="C29" s="0" t="n">
        <v>16</v>
      </c>
      <c r="D29" s="0" t="n">
        <v>0</v>
      </c>
      <c r="E29" s="0" t="n">
        <f aca="false">VLOOKUP(B29,'Babblefish-APUMA'!$A$1:$B$86,2)</f>
        <v>2</v>
      </c>
      <c r="F29" s="0" t="n">
        <f aca="false">IF(C29&gt;1,IF(C29&lt;99,VLOOKUP(C29,'Babblefish-APUMA'!$A$1:$B$86,2),C29),C29)</f>
        <v>99</v>
      </c>
    </row>
    <row r="30" customFormat="false" ht="12.75" hidden="false" customHeight="false" outlineLevel="0" collapsed="false">
      <c r="A30" s="0" t="n">
        <f aca="false">B30*1000+C30</f>
        <v>2019</v>
      </c>
      <c r="B30" s="0" t="n">
        <v>2</v>
      </c>
      <c r="C30" s="0" t="n">
        <v>19</v>
      </c>
      <c r="D30" s="0" t="n">
        <v>0</v>
      </c>
      <c r="E30" s="0" t="n">
        <f aca="false">VLOOKUP(B30,'Babblefish-APUMA'!$A$1:$B$86,2)</f>
        <v>2</v>
      </c>
      <c r="F30" s="0" t="n">
        <f aca="false">IF(C30&gt;1,IF(C30&lt;99,VLOOKUP(C30,'Babblefish-APUMA'!$A$1:$B$86,2),C30),C30)</f>
        <v>19</v>
      </c>
    </row>
    <row r="31" customFormat="false" ht="12.75" hidden="false" customHeight="false" outlineLevel="0" collapsed="false">
      <c r="A31" s="0" t="n">
        <f aca="false">B31*1000+C31</f>
        <v>2026</v>
      </c>
      <c r="B31" s="0" t="n">
        <v>2</v>
      </c>
      <c r="C31" s="0" t="n">
        <v>26</v>
      </c>
      <c r="D31" s="0" t="n">
        <v>0</v>
      </c>
      <c r="E31" s="0" t="n">
        <f aca="false">VLOOKUP(B31,'Babblefish-APUMA'!$A$1:$B$86,2)</f>
        <v>2</v>
      </c>
      <c r="F31" s="0" t="n">
        <f aca="false">IF(C31&gt;1,IF(C31&lt;99,VLOOKUP(C31,'Babblefish-APUMA'!$A$1:$B$86,2),C31),C31)</f>
        <v>26</v>
      </c>
    </row>
    <row r="32" customFormat="false" ht="12.75" hidden="false" customHeight="false" outlineLevel="0" collapsed="false">
      <c r="A32" s="0" t="n">
        <f aca="false">B32*1000+C32</f>
        <v>2028</v>
      </c>
      <c r="B32" s="0" t="n">
        <v>2</v>
      </c>
      <c r="C32" s="0" t="n">
        <v>28</v>
      </c>
      <c r="D32" s="0" t="n">
        <v>0</v>
      </c>
      <c r="E32" s="0" t="n">
        <f aca="false">VLOOKUP(B32,'Babblefish-APUMA'!$A$1:$B$86,2)</f>
        <v>2</v>
      </c>
      <c r="F32" s="0" t="n">
        <f aca="false">IF(C32&gt;1,IF(C32&lt;99,VLOOKUP(C32,'Babblefish-APUMA'!$A$1:$B$86,2),C32),C32)</f>
        <v>94</v>
      </c>
    </row>
    <row r="33" customFormat="false" ht="12.75" hidden="false" customHeight="false" outlineLevel="0" collapsed="false">
      <c r="A33" s="0" t="n">
        <f aca="false">B33*1000+C33</f>
        <v>2040</v>
      </c>
      <c r="B33" s="0" t="n">
        <v>2</v>
      </c>
      <c r="C33" s="0" t="n">
        <v>40</v>
      </c>
      <c r="D33" s="0" t="n">
        <v>0</v>
      </c>
      <c r="E33" s="0" t="n">
        <f aca="false">VLOOKUP(B33,'Babblefish-APUMA'!$A$1:$B$86,2)</f>
        <v>2</v>
      </c>
      <c r="F33" s="0" t="n">
        <f aca="false">IF(C33&gt;1,IF(C33&lt;99,VLOOKUP(C33,'Babblefish-APUMA'!$A$1:$B$86,2),C33),C33)</f>
        <v>88</v>
      </c>
    </row>
    <row r="34" customFormat="false" ht="12.75" hidden="false" customHeight="false" outlineLevel="0" collapsed="false">
      <c r="A34" s="0" t="n">
        <f aca="false">B34*1000+C34</f>
        <v>2049</v>
      </c>
      <c r="B34" s="0" t="n">
        <v>2</v>
      </c>
      <c r="C34" s="0" t="n">
        <v>49</v>
      </c>
      <c r="D34" s="0" t="n">
        <v>0</v>
      </c>
      <c r="E34" s="0" t="n">
        <f aca="false">VLOOKUP(B34,'Babblefish-APUMA'!$A$1:$B$86,2)</f>
        <v>2</v>
      </c>
      <c r="F34" s="0" t="n">
        <f aca="false">IF(C34&gt;1,IF(C34&lt;99,VLOOKUP(C34,'Babblefish-APUMA'!$A$1:$B$86,2),C34),C34)</f>
        <v>98</v>
      </c>
    </row>
    <row r="35" customFormat="false" ht="12.75" hidden="false" customHeight="false" outlineLevel="0" collapsed="false">
      <c r="A35" s="0" t="n">
        <f aca="false">B35*1000+C35</f>
        <v>2065</v>
      </c>
      <c r="B35" s="0" t="n">
        <v>2</v>
      </c>
      <c r="C35" s="0" t="n">
        <v>65</v>
      </c>
      <c r="D35" s="0" t="n">
        <v>104</v>
      </c>
      <c r="E35" s="0" t="n">
        <f aca="false">VLOOKUP(B35,'Babblefish-APUMA'!$A$1:$B$86,2)</f>
        <v>2</v>
      </c>
      <c r="F35" s="0" t="n">
        <f aca="false">IF(C35&gt;1,IF(C35&lt;99,VLOOKUP(C35,'Babblefish-APUMA'!$A$1:$B$86,2),C35),C35)</f>
        <v>90</v>
      </c>
    </row>
    <row r="36" customFormat="false" ht="12.75" hidden="false" customHeight="false" outlineLevel="0" collapsed="false">
      <c r="A36" s="0" t="n">
        <f aca="false">B36*1000+C36</f>
        <v>2069</v>
      </c>
      <c r="B36" s="0" t="n">
        <v>2</v>
      </c>
      <c r="C36" s="0" t="n">
        <v>69</v>
      </c>
      <c r="D36" s="0" t="n">
        <v>0</v>
      </c>
      <c r="E36" s="0" t="n">
        <f aca="false">VLOOKUP(B36,'Babblefish-APUMA'!$A$1:$B$86,2)</f>
        <v>2</v>
      </c>
      <c r="F36" s="0" t="n">
        <f aca="false">IF(C36&gt;1,IF(C36&lt;99,VLOOKUP(C36,'Babblefish-APUMA'!$A$1:$B$86,2),C36),C36)</f>
        <v>93</v>
      </c>
    </row>
    <row r="37" customFormat="false" ht="12.75" hidden="false" customHeight="false" outlineLevel="0" collapsed="false">
      <c r="A37" s="0" t="n">
        <f aca="false">B37*1000+C37</f>
        <v>2075</v>
      </c>
      <c r="B37" s="0" t="n">
        <v>2</v>
      </c>
      <c r="C37" s="0" t="n">
        <v>75</v>
      </c>
      <c r="D37" s="0" t="n">
        <v>0</v>
      </c>
      <c r="E37" s="0" t="n">
        <f aca="false">VLOOKUP(B37,'Babblefish-APUMA'!$A$1:$B$86,2)</f>
        <v>2</v>
      </c>
      <c r="F37" s="0" t="n">
        <f aca="false">IF(C37&gt;1,IF(C37&lt;99,VLOOKUP(C37,'Babblefish-APUMA'!$A$1:$B$86,2),C37),C37)</f>
        <v>75</v>
      </c>
    </row>
    <row r="38" customFormat="false" ht="12.75" hidden="false" customHeight="false" outlineLevel="0" collapsed="false">
      <c r="A38" s="0" t="n">
        <f aca="false">B38*1000+C38</f>
        <v>3000</v>
      </c>
      <c r="B38" s="0" t="n">
        <v>3</v>
      </c>
      <c r="C38" s="0" t="n">
        <v>0</v>
      </c>
      <c r="D38" s="0" t="n">
        <v>93327</v>
      </c>
      <c r="E38" s="0" t="n">
        <f aca="false">VLOOKUP(B38,'Babblefish-APUMA'!$A$1:$B$86,2)</f>
        <v>3</v>
      </c>
      <c r="F38" s="0" t="n">
        <f aca="false">IF(C38&gt;1,IF(C38&lt;99,VLOOKUP(C38,'Babblefish-APUMA'!$A$1:$B$86,2),C38),C38)</f>
        <v>0</v>
      </c>
    </row>
    <row r="39" customFormat="false" ht="12.75" hidden="false" customHeight="false" outlineLevel="0" collapsed="false">
      <c r="A39" s="0" t="n">
        <f aca="false">B39*1000+C39</f>
        <v>3001</v>
      </c>
      <c r="B39" s="0" t="n">
        <v>3</v>
      </c>
      <c r="C39" s="0" t="n">
        <v>1</v>
      </c>
      <c r="D39" s="0" t="n">
        <v>650</v>
      </c>
      <c r="E39" s="0" t="n">
        <f aca="false">VLOOKUP(B39,'Babblefish-APUMA'!$A$1:$B$86,2)</f>
        <v>3</v>
      </c>
      <c r="F39" s="0" t="n">
        <f aca="false">IF(C39&gt;1,IF(C39&lt;99,VLOOKUP(C39,'Babblefish-APUMA'!$A$1:$B$86,2),C39),C39)</f>
        <v>1</v>
      </c>
    </row>
    <row r="40" customFormat="false" ht="12.75" hidden="false" customHeight="false" outlineLevel="0" collapsed="false">
      <c r="A40" s="0" t="n">
        <f aca="false">B40*1000+C40</f>
        <v>3002</v>
      </c>
      <c r="B40" s="0" t="n">
        <v>3</v>
      </c>
      <c r="C40" s="0" t="n">
        <v>2</v>
      </c>
      <c r="D40" s="0" t="n">
        <v>117</v>
      </c>
      <c r="E40" s="0" t="n">
        <f aca="false">VLOOKUP(B40,'Babblefish-APUMA'!$A$1:$B$86,2)</f>
        <v>3</v>
      </c>
      <c r="F40" s="0" t="n">
        <f aca="false">IF(C40&gt;1,IF(C40&lt;99,VLOOKUP(C40,'Babblefish-APUMA'!$A$1:$B$86,2),C40),C40)</f>
        <v>2</v>
      </c>
    </row>
    <row r="41" customFormat="false" ht="12.75" hidden="false" customHeight="false" outlineLevel="0" collapsed="false">
      <c r="A41" s="0" t="n">
        <f aca="false">B41*1000+C41</f>
        <v>3003</v>
      </c>
      <c r="B41" s="0" t="n">
        <v>3</v>
      </c>
      <c r="C41" s="0" t="n">
        <v>3</v>
      </c>
      <c r="D41" s="0" t="n">
        <v>55562</v>
      </c>
      <c r="E41" s="0" t="n">
        <f aca="false">VLOOKUP(B41,'Babblefish-APUMA'!$A$1:$B$86,2)</f>
        <v>3</v>
      </c>
      <c r="F41" s="0" t="n">
        <f aca="false">IF(C41&gt;1,IF(C41&lt;99,VLOOKUP(C41,'Babblefish-APUMA'!$A$1:$B$86,2),C41),C41)</f>
        <v>3</v>
      </c>
    </row>
    <row r="42" customFormat="false" ht="12.75" hidden="false" customHeight="false" outlineLevel="0" collapsed="false">
      <c r="A42" s="0" t="n">
        <f aca="false">B42*1000+C42</f>
        <v>3004</v>
      </c>
      <c r="B42" s="0" t="n">
        <v>3</v>
      </c>
      <c r="C42" s="0" t="n">
        <v>4</v>
      </c>
      <c r="D42" s="0" t="n">
        <v>52</v>
      </c>
      <c r="E42" s="0" t="n">
        <f aca="false">VLOOKUP(B42,'Babblefish-APUMA'!$A$1:$B$86,2)</f>
        <v>3</v>
      </c>
      <c r="F42" s="0" t="n">
        <f aca="false">IF(C42&gt;1,IF(C42&lt;99,VLOOKUP(C42,'Babblefish-APUMA'!$A$1:$B$86,2),C42),C42)</f>
        <v>4</v>
      </c>
    </row>
    <row r="43" customFormat="false" ht="12.75" hidden="false" customHeight="false" outlineLevel="0" collapsed="false">
      <c r="A43" s="0" t="n">
        <f aca="false">B43*1000+C43</f>
        <v>3005</v>
      </c>
      <c r="B43" s="0" t="n">
        <v>3</v>
      </c>
      <c r="C43" s="0" t="n">
        <v>5</v>
      </c>
      <c r="D43" s="0" t="n">
        <v>1235</v>
      </c>
      <c r="E43" s="0" t="n">
        <f aca="false">VLOOKUP(B43,'Babblefish-APUMA'!$A$1:$B$86,2)</f>
        <v>3</v>
      </c>
      <c r="F43" s="0" t="n">
        <f aca="false">IF(C43&gt;1,IF(C43&lt;99,VLOOKUP(C43,'Babblefish-APUMA'!$A$1:$B$86,2),C43),C43)</f>
        <v>5</v>
      </c>
    </row>
    <row r="44" customFormat="false" ht="12.75" hidden="false" customHeight="false" outlineLevel="0" collapsed="false">
      <c r="A44" s="0" t="n">
        <f aca="false">B44*1000+C44</f>
        <v>3006</v>
      </c>
      <c r="B44" s="0" t="n">
        <v>3</v>
      </c>
      <c r="C44" s="0" t="n">
        <v>6</v>
      </c>
      <c r="D44" s="0" t="n">
        <v>91</v>
      </c>
      <c r="E44" s="0" t="n">
        <f aca="false">VLOOKUP(B44,'Babblefish-APUMA'!$A$1:$B$86,2)</f>
        <v>3</v>
      </c>
      <c r="F44" s="0" t="n">
        <f aca="false">IF(C44&gt;1,IF(C44&lt;99,VLOOKUP(C44,'Babblefish-APUMA'!$A$1:$B$86,2),C44),C44)</f>
        <v>6</v>
      </c>
    </row>
    <row r="45" customFormat="false" ht="12.75" hidden="false" customHeight="false" outlineLevel="0" collapsed="false">
      <c r="A45" s="0" t="n">
        <f aca="false">B45*1000+C45</f>
        <v>3007</v>
      </c>
      <c r="B45" s="0" t="n">
        <v>3</v>
      </c>
      <c r="C45" s="0" t="n">
        <v>7</v>
      </c>
      <c r="D45" s="0" t="n">
        <v>0</v>
      </c>
      <c r="E45" s="0" t="n">
        <f aca="false">VLOOKUP(B45,'Babblefish-APUMA'!$A$1:$B$86,2)</f>
        <v>3</v>
      </c>
      <c r="F45" s="0" t="n">
        <f aca="false">IF(C45&gt;1,IF(C45&lt;99,VLOOKUP(C45,'Babblefish-APUMA'!$A$1:$B$86,2),C45),C45)</f>
        <v>7</v>
      </c>
    </row>
    <row r="46" customFormat="false" ht="12.75" hidden="false" customHeight="false" outlineLevel="0" collapsed="false">
      <c r="A46" s="0" t="n">
        <f aca="false">B46*1000+C46</f>
        <v>3010</v>
      </c>
      <c r="B46" s="0" t="n">
        <v>3</v>
      </c>
      <c r="C46" s="0" t="n">
        <v>10</v>
      </c>
      <c r="D46" s="0" t="n">
        <v>91</v>
      </c>
      <c r="E46" s="0" t="n">
        <f aca="false">VLOOKUP(B46,'Babblefish-APUMA'!$A$1:$B$86,2)</f>
        <v>3</v>
      </c>
      <c r="F46" s="0" t="n">
        <f aca="false">IF(C46&gt;1,IF(C46&lt;99,VLOOKUP(C46,'Babblefish-APUMA'!$A$1:$B$86,2),C46),C46)</f>
        <v>10</v>
      </c>
    </row>
    <row r="47" customFormat="false" ht="12.75" hidden="false" customHeight="false" outlineLevel="0" collapsed="false">
      <c r="A47" s="0" t="n">
        <f aca="false">B47*1000+C47</f>
        <v>3014</v>
      </c>
      <c r="B47" s="0" t="n">
        <v>3</v>
      </c>
      <c r="C47" s="0" t="n">
        <v>14</v>
      </c>
      <c r="D47" s="0" t="n">
        <v>52</v>
      </c>
      <c r="E47" s="0" t="n">
        <f aca="false">VLOOKUP(B47,'Babblefish-APUMA'!$A$1:$B$86,2)</f>
        <v>3</v>
      </c>
      <c r="F47" s="0" t="n">
        <f aca="false">IF(C47&gt;1,IF(C47&lt;99,VLOOKUP(C47,'Babblefish-APUMA'!$A$1:$B$86,2),C47),C47)</f>
        <v>100</v>
      </c>
    </row>
    <row r="48" customFormat="false" ht="12.75" hidden="false" customHeight="false" outlineLevel="0" collapsed="false">
      <c r="A48" s="0" t="n">
        <f aca="false">B48*1000+C48</f>
        <v>3015</v>
      </c>
      <c r="B48" s="0" t="n">
        <v>3</v>
      </c>
      <c r="C48" s="0" t="n">
        <v>15</v>
      </c>
      <c r="D48" s="0" t="n">
        <v>0</v>
      </c>
      <c r="E48" s="0" t="n">
        <f aca="false">VLOOKUP(B48,'Babblefish-APUMA'!$A$1:$B$86,2)</f>
        <v>3</v>
      </c>
      <c r="F48" s="0" t="n">
        <f aca="false">IF(C48&gt;1,IF(C48&lt;99,VLOOKUP(C48,'Babblefish-APUMA'!$A$1:$B$86,2),C48),C48)</f>
        <v>15</v>
      </c>
    </row>
    <row r="49" customFormat="false" ht="12.75" hidden="false" customHeight="false" outlineLevel="0" collapsed="false">
      <c r="A49" s="0" t="n">
        <f aca="false">B49*1000+C49</f>
        <v>3016</v>
      </c>
      <c r="B49" s="0" t="n">
        <v>3</v>
      </c>
      <c r="C49" s="0" t="n">
        <v>16</v>
      </c>
      <c r="D49" s="0" t="n">
        <v>0</v>
      </c>
      <c r="E49" s="0" t="n">
        <f aca="false">VLOOKUP(B49,'Babblefish-APUMA'!$A$1:$B$86,2)</f>
        <v>3</v>
      </c>
      <c r="F49" s="0" t="n">
        <f aca="false">IF(C49&gt;1,IF(C49&lt;99,VLOOKUP(C49,'Babblefish-APUMA'!$A$1:$B$86,2),C49),C49)</f>
        <v>99</v>
      </c>
    </row>
    <row r="50" customFormat="false" ht="12.75" hidden="false" customHeight="false" outlineLevel="0" collapsed="false">
      <c r="A50" s="0" t="n">
        <f aca="false">B50*1000+C50</f>
        <v>3017</v>
      </c>
      <c r="B50" s="0" t="n">
        <v>3</v>
      </c>
      <c r="C50" s="0" t="n">
        <v>17</v>
      </c>
      <c r="D50" s="0" t="n">
        <v>91</v>
      </c>
      <c r="E50" s="0" t="n">
        <f aca="false">VLOOKUP(B50,'Babblefish-APUMA'!$A$1:$B$86,2)</f>
        <v>3</v>
      </c>
      <c r="F50" s="0" t="n">
        <f aca="false">IF(C50&gt;1,IF(C50&lt;99,VLOOKUP(C50,'Babblefish-APUMA'!$A$1:$B$86,2),C50),C50)</f>
        <v>87</v>
      </c>
    </row>
    <row r="51" customFormat="false" ht="12.75" hidden="false" customHeight="false" outlineLevel="0" collapsed="false">
      <c r="A51" s="0" t="n">
        <f aca="false">B51*1000+C51</f>
        <v>3018</v>
      </c>
      <c r="B51" s="0" t="n">
        <v>3</v>
      </c>
      <c r="C51" s="0" t="n">
        <v>18</v>
      </c>
      <c r="D51" s="0" t="n">
        <v>130</v>
      </c>
      <c r="E51" s="0" t="n">
        <f aca="false">VLOOKUP(B51,'Babblefish-APUMA'!$A$1:$B$86,2)</f>
        <v>3</v>
      </c>
      <c r="F51" s="0" t="n">
        <f aca="false">IF(C51&gt;1,IF(C51&lt;99,VLOOKUP(C51,'Babblefish-APUMA'!$A$1:$B$86,2),C51),C51)</f>
        <v>87</v>
      </c>
    </row>
    <row r="52" customFormat="false" ht="12.75" hidden="false" customHeight="false" outlineLevel="0" collapsed="false">
      <c r="A52" s="0" t="n">
        <f aca="false">B52*1000+C52</f>
        <v>3019</v>
      </c>
      <c r="B52" s="0" t="n">
        <v>3</v>
      </c>
      <c r="C52" s="0" t="n">
        <v>19</v>
      </c>
      <c r="D52" s="0" t="n">
        <v>91</v>
      </c>
      <c r="E52" s="0" t="n">
        <f aca="false">VLOOKUP(B52,'Babblefish-APUMA'!$A$1:$B$86,2)</f>
        <v>3</v>
      </c>
      <c r="F52" s="0" t="n">
        <f aca="false">IF(C52&gt;1,IF(C52&lt;99,VLOOKUP(C52,'Babblefish-APUMA'!$A$1:$B$86,2),C52),C52)</f>
        <v>19</v>
      </c>
    </row>
    <row r="53" customFormat="false" ht="12.75" hidden="false" customHeight="false" outlineLevel="0" collapsed="false">
      <c r="A53" s="0" t="n">
        <f aca="false">B53*1000+C53</f>
        <v>3021</v>
      </c>
      <c r="B53" s="0" t="n">
        <v>3</v>
      </c>
      <c r="C53" s="0" t="n">
        <v>21</v>
      </c>
      <c r="D53" s="0" t="n">
        <v>299</v>
      </c>
      <c r="E53" s="0" t="n">
        <f aca="false">VLOOKUP(B53,'Babblefish-APUMA'!$A$1:$B$86,2)</f>
        <v>3</v>
      </c>
      <c r="F53" s="0" t="n">
        <f aca="false">IF(C53&gt;1,IF(C53&lt;99,VLOOKUP(C53,'Babblefish-APUMA'!$A$1:$B$86,2),C53),C53)</f>
        <v>86</v>
      </c>
    </row>
    <row r="54" customFormat="false" ht="12.75" hidden="false" customHeight="false" outlineLevel="0" collapsed="false">
      <c r="A54" s="0" t="n">
        <f aca="false">B54*1000+C54</f>
        <v>3026</v>
      </c>
      <c r="B54" s="0" t="n">
        <v>3</v>
      </c>
      <c r="C54" s="0" t="n">
        <v>26</v>
      </c>
      <c r="D54" s="0" t="n">
        <v>0</v>
      </c>
      <c r="E54" s="0" t="n">
        <f aca="false">VLOOKUP(B54,'Babblefish-APUMA'!$A$1:$B$86,2)</f>
        <v>3</v>
      </c>
      <c r="F54" s="0" t="n">
        <f aca="false">IF(C54&gt;1,IF(C54&lt;99,VLOOKUP(C54,'Babblefish-APUMA'!$A$1:$B$86,2),C54),C54)</f>
        <v>26</v>
      </c>
    </row>
    <row r="55" customFormat="false" ht="12.75" hidden="false" customHeight="false" outlineLevel="0" collapsed="false">
      <c r="A55" s="0" t="n">
        <f aca="false">B55*1000+C55</f>
        <v>3028</v>
      </c>
      <c r="B55" s="0" t="n">
        <v>3</v>
      </c>
      <c r="C55" s="0" t="n">
        <v>28</v>
      </c>
      <c r="D55" s="0" t="n">
        <v>169</v>
      </c>
      <c r="E55" s="0" t="n">
        <f aca="false">VLOOKUP(B55,'Babblefish-APUMA'!$A$1:$B$86,2)</f>
        <v>3</v>
      </c>
      <c r="F55" s="0" t="n">
        <f aca="false">IF(C55&gt;1,IF(C55&lt;99,VLOOKUP(C55,'Babblefish-APUMA'!$A$1:$B$86,2),C55),C55)</f>
        <v>94</v>
      </c>
    </row>
    <row r="56" customFormat="false" ht="12.75" hidden="false" customHeight="false" outlineLevel="0" collapsed="false">
      <c r="A56" s="0" t="n">
        <f aca="false">B56*1000+C56</f>
        <v>3035</v>
      </c>
      <c r="B56" s="0" t="n">
        <v>3</v>
      </c>
      <c r="C56" s="0" t="n">
        <v>35</v>
      </c>
      <c r="D56" s="0" t="n">
        <v>52</v>
      </c>
      <c r="E56" s="0" t="n">
        <f aca="false">VLOOKUP(B56,'Babblefish-APUMA'!$A$1:$B$86,2)</f>
        <v>3</v>
      </c>
      <c r="F56" s="0" t="n">
        <f aca="false">IF(C56&gt;1,IF(C56&lt;99,VLOOKUP(C56,'Babblefish-APUMA'!$A$1:$B$86,2),C56),C56)</f>
        <v>96</v>
      </c>
    </row>
    <row r="57" customFormat="false" ht="12.75" hidden="false" customHeight="false" outlineLevel="0" collapsed="false">
      <c r="A57" s="0" t="n">
        <f aca="false">B57*1000+C57</f>
        <v>3040</v>
      </c>
      <c r="B57" s="0" t="n">
        <v>3</v>
      </c>
      <c r="C57" s="0" t="n">
        <v>40</v>
      </c>
      <c r="D57" s="0" t="n">
        <v>0</v>
      </c>
      <c r="E57" s="0" t="n">
        <f aca="false">VLOOKUP(B57,'Babblefish-APUMA'!$A$1:$B$86,2)</f>
        <v>3</v>
      </c>
      <c r="F57" s="0" t="n">
        <f aca="false">IF(C57&gt;1,IF(C57&lt;99,VLOOKUP(C57,'Babblefish-APUMA'!$A$1:$B$86,2),C57),C57)</f>
        <v>88</v>
      </c>
    </row>
    <row r="58" customFormat="false" ht="12.75" hidden="false" customHeight="false" outlineLevel="0" collapsed="false">
      <c r="A58" s="0" t="n">
        <f aca="false">B58*1000+C58</f>
        <v>3049</v>
      </c>
      <c r="B58" s="0" t="n">
        <v>3</v>
      </c>
      <c r="C58" s="0" t="n">
        <v>49</v>
      </c>
      <c r="D58" s="0" t="n">
        <v>182</v>
      </c>
      <c r="E58" s="0" t="n">
        <f aca="false">VLOOKUP(B58,'Babblefish-APUMA'!$A$1:$B$86,2)</f>
        <v>3</v>
      </c>
      <c r="F58" s="0" t="n">
        <f aca="false">IF(C58&gt;1,IF(C58&lt;99,VLOOKUP(C58,'Babblefish-APUMA'!$A$1:$B$86,2),C58),C58)</f>
        <v>98</v>
      </c>
    </row>
    <row r="59" customFormat="false" ht="12.75" hidden="false" customHeight="false" outlineLevel="0" collapsed="false">
      <c r="A59" s="0" t="n">
        <f aca="false">B59*1000+C59</f>
        <v>3051</v>
      </c>
      <c r="B59" s="0" t="n">
        <v>3</v>
      </c>
      <c r="C59" s="0" t="n">
        <v>51</v>
      </c>
      <c r="D59" s="0" t="n">
        <v>104</v>
      </c>
      <c r="E59" s="0" t="n">
        <f aca="false">VLOOKUP(B59,'Babblefish-APUMA'!$A$1:$B$86,2)</f>
        <v>3</v>
      </c>
      <c r="F59" s="0" t="n">
        <f aca="false">IF(C59&gt;1,IF(C59&lt;99,VLOOKUP(C59,'Babblefish-APUMA'!$A$1:$B$86,2),C59),C59)</f>
        <v>98</v>
      </c>
    </row>
    <row r="60" customFormat="false" ht="12.75" hidden="false" customHeight="false" outlineLevel="0" collapsed="false">
      <c r="A60" s="0" t="n">
        <f aca="false">B60*1000+C60</f>
        <v>3065</v>
      </c>
      <c r="B60" s="0" t="n">
        <v>3</v>
      </c>
      <c r="C60" s="0" t="n">
        <v>65</v>
      </c>
      <c r="D60" s="0" t="n">
        <v>0</v>
      </c>
      <c r="E60" s="0" t="n">
        <f aca="false">VLOOKUP(B60,'Babblefish-APUMA'!$A$1:$B$86,2)</f>
        <v>3</v>
      </c>
      <c r="F60" s="0" t="n">
        <f aca="false">IF(C60&gt;1,IF(C60&lt;99,VLOOKUP(C60,'Babblefish-APUMA'!$A$1:$B$86,2),C60),C60)</f>
        <v>90</v>
      </c>
    </row>
    <row r="61" customFormat="false" ht="12.75" hidden="false" customHeight="false" outlineLevel="0" collapsed="false">
      <c r="A61" s="0" t="n">
        <f aca="false">B61*1000+C61</f>
        <v>3069</v>
      </c>
      <c r="B61" s="0" t="n">
        <v>3</v>
      </c>
      <c r="C61" s="0" t="n">
        <v>69</v>
      </c>
      <c r="D61" s="0" t="n">
        <v>0</v>
      </c>
      <c r="E61" s="0" t="n">
        <f aca="false">VLOOKUP(B61,'Babblefish-APUMA'!$A$1:$B$86,2)</f>
        <v>3</v>
      </c>
      <c r="F61" s="0" t="n">
        <f aca="false">IF(C61&gt;1,IF(C61&lt;99,VLOOKUP(C61,'Babblefish-APUMA'!$A$1:$B$86,2),C61),C61)</f>
        <v>93</v>
      </c>
    </row>
    <row r="62" customFormat="false" ht="12.75" hidden="false" customHeight="false" outlineLevel="0" collapsed="false">
      <c r="A62" s="0" t="n">
        <f aca="false">B62*1000+C62</f>
        <v>3072</v>
      </c>
      <c r="B62" s="0" t="n">
        <v>3</v>
      </c>
      <c r="C62" s="0" t="n">
        <v>72</v>
      </c>
      <c r="D62" s="0" t="n">
        <v>78</v>
      </c>
      <c r="E62" s="0" t="n">
        <f aca="false">VLOOKUP(B62,'Babblefish-APUMA'!$A$1:$B$86,2)</f>
        <v>3</v>
      </c>
      <c r="F62" s="0" t="n">
        <f aca="false">IF(C62&gt;1,IF(C62&lt;99,VLOOKUP(C62,'Babblefish-APUMA'!$A$1:$B$86,2),C62),C62)</f>
        <v>95</v>
      </c>
    </row>
    <row r="63" customFormat="false" ht="12.75" hidden="false" customHeight="false" outlineLevel="0" collapsed="false">
      <c r="A63" s="0" t="n">
        <f aca="false">B63*1000+C63</f>
        <v>3075</v>
      </c>
      <c r="B63" s="0" t="n">
        <v>3</v>
      </c>
      <c r="C63" s="0" t="n">
        <v>75</v>
      </c>
      <c r="D63" s="0" t="n">
        <v>0</v>
      </c>
      <c r="E63" s="0" t="n">
        <f aca="false">VLOOKUP(B63,'Babblefish-APUMA'!$A$1:$B$86,2)</f>
        <v>3</v>
      </c>
      <c r="F63" s="0" t="n">
        <f aca="false">IF(C63&gt;1,IF(C63&lt;99,VLOOKUP(C63,'Babblefish-APUMA'!$A$1:$B$86,2),C63),C63)</f>
        <v>75</v>
      </c>
    </row>
    <row r="64" customFormat="false" ht="12.75" hidden="false" customHeight="false" outlineLevel="0" collapsed="false">
      <c r="A64" s="0" t="n">
        <f aca="false">B64*1000+C64</f>
        <v>3079</v>
      </c>
      <c r="B64" s="0" t="n">
        <v>3</v>
      </c>
      <c r="C64" s="0" t="n">
        <v>79</v>
      </c>
      <c r="D64" s="0" t="n">
        <v>117</v>
      </c>
      <c r="E64" s="0" t="n">
        <f aca="false">VLOOKUP(B64,'Babblefish-APUMA'!$A$1:$B$86,2)</f>
        <v>3</v>
      </c>
      <c r="F64" s="0" t="n">
        <f aca="false">IF(C64&gt;1,IF(C64&lt;99,VLOOKUP(C64,'Babblefish-APUMA'!$A$1:$B$86,2),C64),C64)</f>
        <v>89</v>
      </c>
    </row>
    <row r="65" customFormat="false" ht="12.75" hidden="false" customHeight="false" outlineLevel="0" collapsed="false">
      <c r="A65" s="0" t="n">
        <f aca="false">B65*1000+C65</f>
        <v>4000</v>
      </c>
      <c r="B65" s="0" t="n">
        <v>4</v>
      </c>
      <c r="C65" s="0" t="n">
        <v>0</v>
      </c>
      <c r="D65" s="0" t="n">
        <v>79183</v>
      </c>
      <c r="E65" s="0" t="n">
        <f aca="false">VLOOKUP(B65,'Babblefish-APUMA'!$A$1:$B$86,2)</f>
        <v>4</v>
      </c>
      <c r="F65" s="0" t="n">
        <f aca="false">IF(C65&gt;1,IF(C65&lt;99,VLOOKUP(C65,'Babblefish-APUMA'!$A$1:$B$86,2),C65),C65)</f>
        <v>0</v>
      </c>
    </row>
    <row r="66" customFormat="false" ht="12.75" hidden="false" customHeight="false" outlineLevel="0" collapsed="false">
      <c r="A66" s="0" t="n">
        <f aca="false">B66*1000+C66</f>
        <v>4001</v>
      </c>
      <c r="B66" s="0" t="n">
        <v>4</v>
      </c>
      <c r="C66" s="0" t="n">
        <v>1</v>
      </c>
      <c r="D66" s="0" t="n">
        <v>0</v>
      </c>
      <c r="E66" s="0" t="n">
        <f aca="false">VLOOKUP(B66,'Babblefish-APUMA'!$A$1:$B$86,2)</f>
        <v>4</v>
      </c>
      <c r="F66" s="0" t="n">
        <f aca="false">IF(C66&gt;1,IF(C66&lt;99,VLOOKUP(C66,'Babblefish-APUMA'!$A$1:$B$86,2),C66),C66)</f>
        <v>1</v>
      </c>
    </row>
    <row r="67" customFormat="false" ht="12.75" hidden="false" customHeight="false" outlineLevel="0" collapsed="false">
      <c r="A67" s="0" t="n">
        <f aca="false">B67*1000+C67</f>
        <v>4002</v>
      </c>
      <c r="B67" s="0" t="n">
        <v>4</v>
      </c>
      <c r="C67" s="0" t="n">
        <v>2</v>
      </c>
      <c r="D67" s="0" t="n">
        <v>0</v>
      </c>
      <c r="E67" s="0" t="n">
        <f aca="false">VLOOKUP(B67,'Babblefish-APUMA'!$A$1:$B$86,2)</f>
        <v>4</v>
      </c>
      <c r="F67" s="0" t="n">
        <f aca="false">IF(C67&gt;1,IF(C67&lt;99,VLOOKUP(C67,'Babblefish-APUMA'!$A$1:$B$86,2),C67),C67)</f>
        <v>2</v>
      </c>
    </row>
    <row r="68" customFormat="false" ht="12.75" hidden="false" customHeight="false" outlineLevel="0" collapsed="false">
      <c r="A68" s="0" t="n">
        <f aca="false">B68*1000+C68</f>
        <v>4003</v>
      </c>
      <c r="B68" s="0" t="n">
        <v>4</v>
      </c>
      <c r="C68" s="0" t="n">
        <v>3</v>
      </c>
      <c r="D68" s="0" t="n">
        <v>0</v>
      </c>
      <c r="E68" s="0" t="n">
        <f aca="false">VLOOKUP(B68,'Babblefish-APUMA'!$A$1:$B$86,2)</f>
        <v>4</v>
      </c>
      <c r="F68" s="0" t="n">
        <f aca="false">IF(C68&gt;1,IF(C68&lt;99,VLOOKUP(C68,'Babblefish-APUMA'!$A$1:$B$86,2),C68),C68)</f>
        <v>3</v>
      </c>
    </row>
    <row r="69" customFormat="false" ht="12.75" hidden="false" customHeight="false" outlineLevel="0" collapsed="false">
      <c r="A69" s="0" t="n">
        <f aca="false">B69*1000+C69</f>
        <v>4004</v>
      </c>
      <c r="B69" s="0" t="n">
        <v>4</v>
      </c>
      <c r="C69" s="0" t="n">
        <v>4</v>
      </c>
      <c r="D69" s="0" t="n">
        <v>47697</v>
      </c>
      <c r="E69" s="0" t="n">
        <f aca="false">VLOOKUP(B69,'Babblefish-APUMA'!$A$1:$B$86,2)</f>
        <v>4</v>
      </c>
      <c r="F69" s="0" t="n">
        <f aca="false">IF(C69&gt;1,IF(C69&lt;99,VLOOKUP(C69,'Babblefish-APUMA'!$A$1:$B$86,2),C69),C69)</f>
        <v>4</v>
      </c>
    </row>
    <row r="70" customFormat="false" ht="12.75" hidden="false" customHeight="false" outlineLevel="0" collapsed="false">
      <c r="A70" s="0" t="n">
        <f aca="false">B70*1000+C70</f>
        <v>4005</v>
      </c>
      <c r="B70" s="0" t="n">
        <v>4</v>
      </c>
      <c r="C70" s="0" t="n">
        <v>5</v>
      </c>
      <c r="D70" s="0" t="n">
        <v>39</v>
      </c>
      <c r="E70" s="0" t="n">
        <f aca="false">VLOOKUP(B70,'Babblefish-APUMA'!$A$1:$B$86,2)</f>
        <v>4</v>
      </c>
      <c r="F70" s="0" t="n">
        <f aca="false">IF(C70&gt;1,IF(C70&lt;99,VLOOKUP(C70,'Babblefish-APUMA'!$A$1:$B$86,2),C70),C70)</f>
        <v>5</v>
      </c>
    </row>
    <row r="71" customFormat="false" ht="12.75" hidden="false" customHeight="false" outlineLevel="0" collapsed="false">
      <c r="A71" s="0" t="n">
        <f aca="false">B71*1000+C71</f>
        <v>4006</v>
      </c>
      <c r="B71" s="0" t="n">
        <v>4</v>
      </c>
      <c r="C71" s="0" t="n">
        <v>6</v>
      </c>
      <c r="D71" s="0" t="n">
        <v>0</v>
      </c>
      <c r="E71" s="0" t="n">
        <f aca="false">VLOOKUP(B71,'Babblefish-APUMA'!$A$1:$B$86,2)</f>
        <v>4</v>
      </c>
      <c r="F71" s="0" t="n">
        <f aca="false">IF(C71&gt;1,IF(C71&lt;99,VLOOKUP(C71,'Babblefish-APUMA'!$A$1:$B$86,2),C71),C71)</f>
        <v>6</v>
      </c>
    </row>
    <row r="72" customFormat="false" ht="12.75" hidden="false" customHeight="false" outlineLevel="0" collapsed="false">
      <c r="A72" s="0" t="n">
        <f aca="false">B72*1000+C72</f>
        <v>4007</v>
      </c>
      <c r="B72" s="0" t="n">
        <v>4</v>
      </c>
      <c r="C72" s="0" t="n">
        <v>7</v>
      </c>
      <c r="D72" s="0" t="n">
        <v>182</v>
      </c>
      <c r="E72" s="0" t="n">
        <f aca="false">VLOOKUP(B72,'Babblefish-APUMA'!$A$1:$B$86,2)</f>
        <v>4</v>
      </c>
      <c r="F72" s="0" t="n">
        <f aca="false">IF(C72&gt;1,IF(C72&lt;99,VLOOKUP(C72,'Babblefish-APUMA'!$A$1:$B$86,2),C72),C72)</f>
        <v>7</v>
      </c>
    </row>
    <row r="73" customFormat="false" ht="12.75" hidden="false" customHeight="false" outlineLevel="0" collapsed="false">
      <c r="A73" s="0" t="n">
        <f aca="false">B73*1000+C73</f>
        <v>4008</v>
      </c>
      <c r="B73" s="0" t="n">
        <v>4</v>
      </c>
      <c r="C73" s="0" t="n">
        <v>8</v>
      </c>
      <c r="D73" s="0" t="n">
        <v>117</v>
      </c>
      <c r="E73" s="0" t="n">
        <f aca="false">VLOOKUP(B73,'Babblefish-APUMA'!$A$1:$B$86,2)</f>
        <v>4</v>
      </c>
      <c r="F73" s="0" t="n">
        <f aca="false">IF(C73&gt;1,IF(C73&lt;99,VLOOKUP(C73,'Babblefish-APUMA'!$A$1:$B$86,2),C73),C73)</f>
        <v>8</v>
      </c>
    </row>
    <row r="74" customFormat="false" ht="12.75" hidden="false" customHeight="false" outlineLevel="0" collapsed="false">
      <c r="A74" s="0" t="n">
        <f aca="false">B74*1000+C74</f>
        <v>4009</v>
      </c>
      <c r="B74" s="0" t="n">
        <v>4</v>
      </c>
      <c r="C74" s="0" t="n">
        <v>9</v>
      </c>
      <c r="D74" s="0" t="n">
        <v>65</v>
      </c>
      <c r="E74" s="0" t="n">
        <f aca="false">VLOOKUP(B74,'Babblefish-APUMA'!$A$1:$B$86,2)</f>
        <v>4</v>
      </c>
      <c r="F74" s="0" t="n">
        <f aca="false">IF(C74&gt;1,IF(C74&lt;99,VLOOKUP(C74,'Babblefish-APUMA'!$A$1:$B$86,2),C74),C74)</f>
        <v>9</v>
      </c>
    </row>
    <row r="75" customFormat="false" ht="12.75" hidden="false" customHeight="false" outlineLevel="0" collapsed="false">
      <c r="A75" s="0" t="n">
        <f aca="false">B75*1000+C75</f>
        <v>4010</v>
      </c>
      <c r="B75" s="0" t="n">
        <v>4</v>
      </c>
      <c r="C75" s="0" t="n">
        <v>10</v>
      </c>
      <c r="D75" s="0" t="n">
        <v>0</v>
      </c>
      <c r="E75" s="0" t="n">
        <f aca="false">VLOOKUP(B75,'Babblefish-APUMA'!$A$1:$B$86,2)</f>
        <v>4</v>
      </c>
      <c r="F75" s="0" t="n">
        <f aca="false">IF(C75&gt;1,IF(C75&lt;99,VLOOKUP(C75,'Babblefish-APUMA'!$A$1:$B$86,2),C75),C75)</f>
        <v>10</v>
      </c>
    </row>
    <row r="76" customFormat="false" ht="12.75" hidden="false" customHeight="false" outlineLevel="0" collapsed="false">
      <c r="A76" s="0" t="n">
        <f aca="false">B76*1000+C76</f>
        <v>4013</v>
      </c>
      <c r="B76" s="0" t="n">
        <v>4</v>
      </c>
      <c r="C76" s="0" t="n">
        <v>13</v>
      </c>
      <c r="D76" s="0" t="n">
        <v>260</v>
      </c>
      <c r="E76" s="0" t="n">
        <f aca="false">VLOOKUP(B76,'Babblefish-APUMA'!$A$1:$B$86,2)</f>
        <v>4</v>
      </c>
      <c r="F76" s="0" t="n">
        <f aca="false">IF(C76&gt;1,IF(C76&lt;99,VLOOKUP(C76,'Babblefish-APUMA'!$A$1:$B$86,2),C76),C76)</f>
        <v>100</v>
      </c>
    </row>
    <row r="77" customFormat="false" ht="12.75" hidden="false" customHeight="false" outlineLevel="0" collapsed="false">
      <c r="A77" s="0" t="n">
        <f aca="false">B77*1000+C77</f>
        <v>4014</v>
      </c>
      <c r="B77" s="0" t="n">
        <v>4</v>
      </c>
      <c r="C77" s="0" t="n">
        <v>14</v>
      </c>
      <c r="D77" s="0" t="n">
        <v>1209</v>
      </c>
      <c r="E77" s="0" t="n">
        <f aca="false">VLOOKUP(B77,'Babblefish-APUMA'!$A$1:$B$86,2)</f>
        <v>4</v>
      </c>
      <c r="F77" s="0" t="n">
        <f aca="false">IF(C77&gt;1,IF(C77&lt;99,VLOOKUP(C77,'Babblefish-APUMA'!$A$1:$B$86,2),C77),C77)</f>
        <v>100</v>
      </c>
    </row>
    <row r="78" customFormat="false" ht="12.75" hidden="false" customHeight="false" outlineLevel="0" collapsed="false">
      <c r="A78" s="0" t="n">
        <f aca="false">B78*1000+C78</f>
        <v>4015</v>
      </c>
      <c r="B78" s="0" t="n">
        <v>4</v>
      </c>
      <c r="C78" s="0" t="n">
        <v>15</v>
      </c>
      <c r="D78" s="0" t="n">
        <v>312</v>
      </c>
      <c r="E78" s="0" t="n">
        <f aca="false">VLOOKUP(B78,'Babblefish-APUMA'!$A$1:$B$86,2)</f>
        <v>4</v>
      </c>
      <c r="F78" s="0" t="n">
        <f aca="false">IF(C78&gt;1,IF(C78&lt;99,VLOOKUP(C78,'Babblefish-APUMA'!$A$1:$B$86,2),C78),C78)</f>
        <v>15</v>
      </c>
    </row>
    <row r="79" customFormat="false" ht="12.75" hidden="false" customHeight="false" outlineLevel="0" collapsed="false">
      <c r="A79" s="0" t="n">
        <f aca="false">B79*1000+C79</f>
        <v>4016</v>
      </c>
      <c r="B79" s="0" t="n">
        <v>4</v>
      </c>
      <c r="C79" s="0" t="n">
        <v>16</v>
      </c>
      <c r="D79" s="0" t="n">
        <v>0</v>
      </c>
      <c r="E79" s="0" t="n">
        <f aca="false">VLOOKUP(B79,'Babblefish-APUMA'!$A$1:$B$86,2)</f>
        <v>4</v>
      </c>
      <c r="F79" s="0" t="n">
        <f aca="false">IF(C79&gt;1,IF(C79&lt;99,VLOOKUP(C79,'Babblefish-APUMA'!$A$1:$B$86,2),C79),C79)</f>
        <v>99</v>
      </c>
    </row>
    <row r="80" customFormat="false" ht="12.75" hidden="false" customHeight="false" outlineLevel="0" collapsed="false">
      <c r="A80" s="0" t="n">
        <f aca="false">B80*1000+C80</f>
        <v>4017</v>
      </c>
      <c r="B80" s="0" t="n">
        <v>4</v>
      </c>
      <c r="C80" s="0" t="n">
        <v>17</v>
      </c>
      <c r="D80" s="0" t="n">
        <v>0</v>
      </c>
      <c r="E80" s="0" t="n">
        <f aca="false">VLOOKUP(B80,'Babblefish-APUMA'!$A$1:$B$86,2)</f>
        <v>4</v>
      </c>
      <c r="F80" s="0" t="n">
        <f aca="false">IF(C80&gt;1,IF(C80&lt;99,VLOOKUP(C80,'Babblefish-APUMA'!$A$1:$B$86,2),C80),C80)</f>
        <v>87</v>
      </c>
    </row>
    <row r="81" customFormat="false" ht="12.75" hidden="false" customHeight="false" outlineLevel="0" collapsed="false">
      <c r="A81" s="0" t="n">
        <f aca="false">B81*1000+C81</f>
        <v>4018</v>
      </c>
      <c r="B81" s="0" t="n">
        <v>4</v>
      </c>
      <c r="C81" s="0" t="n">
        <v>18</v>
      </c>
      <c r="D81" s="0" t="n">
        <v>0</v>
      </c>
      <c r="E81" s="0" t="n">
        <f aca="false">VLOOKUP(B81,'Babblefish-APUMA'!$A$1:$B$86,2)</f>
        <v>4</v>
      </c>
      <c r="F81" s="0" t="n">
        <f aca="false">IF(C81&gt;1,IF(C81&lt;99,VLOOKUP(C81,'Babblefish-APUMA'!$A$1:$B$86,2),C81),C81)</f>
        <v>87</v>
      </c>
    </row>
    <row r="82" customFormat="false" ht="12.75" hidden="false" customHeight="false" outlineLevel="0" collapsed="false">
      <c r="A82" s="0" t="n">
        <f aca="false">B82*1000+C82</f>
        <v>4019</v>
      </c>
      <c r="B82" s="0" t="n">
        <v>4</v>
      </c>
      <c r="C82" s="0" t="n">
        <v>19</v>
      </c>
      <c r="D82" s="0" t="n">
        <v>429</v>
      </c>
      <c r="E82" s="0" t="n">
        <f aca="false">VLOOKUP(B82,'Babblefish-APUMA'!$A$1:$B$86,2)</f>
        <v>4</v>
      </c>
      <c r="F82" s="0" t="n">
        <f aca="false">IF(C82&gt;1,IF(C82&lt;99,VLOOKUP(C82,'Babblefish-APUMA'!$A$1:$B$86,2),C82),C82)</f>
        <v>19</v>
      </c>
    </row>
    <row r="83" customFormat="false" ht="12.75" hidden="false" customHeight="false" outlineLevel="0" collapsed="false">
      <c r="A83" s="0" t="n">
        <f aca="false">B83*1000+C83</f>
        <v>4021</v>
      </c>
      <c r="B83" s="0" t="n">
        <v>4</v>
      </c>
      <c r="C83" s="0" t="n">
        <v>21</v>
      </c>
      <c r="D83" s="0" t="n">
        <v>195</v>
      </c>
      <c r="E83" s="0" t="n">
        <f aca="false">VLOOKUP(B83,'Babblefish-APUMA'!$A$1:$B$86,2)</f>
        <v>4</v>
      </c>
      <c r="F83" s="0" t="n">
        <f aca="false">IF(C83&gt;1,IF(C83&lt;99,VLOOKUP(C83,'Babblefish-APUMA'!$A$1:$B$86,2),C83),C83)</f>
        <v>86</v>
      </c>
    </row>
    <row r="84" customFormat="false" ht="12.75" hidden="false" customHeight="false" outlineLevel="0" collapsed="false">
      <c r="A84" s="0" t="n">
        <f aca="false">B84*1000+C84</f>
        <v>4022</v>
      </c>
      <c r="B84" s="0" t="n">
        <v>4</v>
      </c>
      <c r="C84" s="0" t="n">
        <v>22</v>
      </c>
      <c r="D84" s="0" t="n">
        <v>117</v>
      </c>
      <c r="E84" s="0" t="n">
        <f aca="false">VLOOKUP(B84,'Babblefish-APUMA'!$A$1:$B$86,2)</f>
        <v>4</v>
      </c>
      <c r="F84" s="0" t="n">
        <f aca="false">IF(C84&gt;1,IF(C84&lt;99,VLOOKUP(C84,'Babblefish-APUMA'!$A$1:$B$86,2),C84),C84)</f>
        <v>22</v>
      </c>
    </row>
    <row r="85" customFormat="false" ht="12.75" hidden="false" customHeight="false" outlineLevel="0" collapsed="false">
      <c r="A85" s="0" t="n">
        <f aca="false">B85*1000+C85</f>
        <v>4026</v>
      </c>
      <c r="B85" s="0" t="n">
        <v>4</v>
      </c>
      <c r="C85" s="0" t="n">
        <v>26</v>
      </c>
      <c r="D85" s="0" t="n">
        <v>0</v>
      </c>
      <c r="E85" s="0" t="n">
        <f aca="false">VLOOKUP(B85,'Babblefish-APUMA'!$A$1:$B$86,2)</f>
        <v>4</v>
      </c>
      <c r="F85" s="0" t="n">
        <f aca="false">IF(C85&gt;1,IF(C85&lt;99,VLOOKUP(C85,'Babblefish-APUMA'!$A$1:$B$86,2),C85),C85)</f>
        <v>26</v>
      </c>
    </row>
    <row r="86" customFormat="false" ht="12.75" hidden="false" customHeight="false" outlineLevel="0" collapsed="false">
      <c r="A86" s="0" t="n">
        <f aca="false">B86*1000+C86</f>
        <v>4028</v>
      </c>
      <c r="B86" s="0" t="n">
        <v>4</v>
      </c>
      <c r="C86" s="0" t="n">
        <v>28</v>
      </c>
      <c r="D86" s="0" t="n">
        <v>0</v>
      </c>
      <c r="E86" s="0" t="n">
        <f aca="false">VLOOKUP(B86,'Babblefish-APUMA'!$A$1:$B$86,2)</f>
        <v>4</v>
      </c>
      <c r="F86" s="0" t="n">
        <f aca="false">IF(C86&gt;1,IF(C86&lt;99,VLOOKUP(C86,'Babblefish-APUMA'!$A$1:$B$86,2),C86),C86)</f>
        <v>94</v>
      </c>
    </row>
    <row r="87" customFormat="false" ht="12.75" hidden="false" customHeight="false" outlineLevel="0" collapsed="false">
      <c r="A87" s="0" t="n">
        <f aca="false">B87*1000+C87</f>
        <v>4034</v>
      </c>
      <c r="B87" s="0" t="n">
        <v>4</v>
      </c>
      <c r="C87" s="0" t="n">
        <v>34</v>
      </c>
      <c r="D87" s="0" t="n">
        <v>91</v>
      </c>
      <c r="E87" s="0" t="n">
        <f aca="false">VLOOKUP(B87,'Babblefish-APUMA'!$A$1:$B$86,2)</f>
        <v>4</v>
      </c>
      <c r="F87" s="0" t="n">
        <f aca="false">IF(C87&gt;1,IF(C87&lt;99,VLOOKUP(C87,'Babblefish-APUMA'!$A$1:$B$86,2),C87),C87)</f>
        <v>96</v>
      </c>
    </row>
    <row r="88" customFormat="false" ht="12.75" hidden="false" customHeight="false" outlineLevel="0" collapsed="false">
      <c r="A88" s="0" t="n">
        <f aca="false">B88*1000+C88</f>
        <v>4035</v>
      </c>
      <c r="B88" s="0" t="n">
        <v>4</v>
      </c>
      <c r="C88" s="0" t="n">
        <v>35</v>
      </c>
      <c r="D88" s="0" t="n">
        <v>0</v>
      </c>
      <c r="E88" s="0" t="n">
        <f aca="false">VLOOKUP(B88,'Babblefish-APUMA'!$A$1:$B$86,2)</f>
        <v>4</v>
      </c>
      <c r="F88" s="0" t="n">
        <f aca="false">IF(C88&gt;1,IF(C88&lt;99,VLOOKUP(C88,'Babblefish-APUMA'!$A$1:$B$86,2),C88),C88)</f>
        <v>96</v>
      </c>
    </row>
    <row r="89" customFormat="false" ht="12.75" hidden="false" customHeight="false" outlineLevel="0" collapsed="false">
      <c r="A89" s="0" t="n">
        <f aca="false">B89*1000+C89</f>
        <v>4040</v>
      </c>
      <c r="B89" s="0" t="n">
        <v>4</v>
      </c>
      <c r="C89" s="0" t="n">
        <v>40</v>
      </c>
      <c r="D89" s="0" t="n">
        <v>0</v>
      </c>
      <c r="E89" s="0" t="n">
        <f aca="false">VLOOKUP(B89,'Babblefish-APUMA'!$A$1:$B$86,2)</f>
        <v>4</v>
      </c>
      <c r="F89" s="0" t="n">
        <f aca="false">IF(C89&gt;1,IF(C89&lt;99,VLOOKUP(C89,'Babblefish-APUMA'!$A$1:$B$86,2),C89),C89)</f>
        <v>88</v>
      </c>
    </row>
    <row r="90" customFormat="false" ht="12.75" hidden="false" customHeight="false" outlineLevel="0" collapsed="false">
      <c r="A90" s="0" t="n">
        <f aca="false">B90*1000+C90</f>
        <v>4049</v>
      </c>
      <c r="B90" s="0" t="n">
        <v>4</v>
      </c>
      <c r="C90" s="0" t="n">
        <v>49</v>
      </c>
      <c r="D90" s="0" t="n">
        <v>0</v>
      </c>
      <c r="E90" s="0" t="n">
        <f aca="false">VLOOKUP(B90,'Babblefish-APUMA'!$A$1:$B$86,2)</f>
        <v>4</v>
      </c>
      <c r="F90" s="0" t="n">
        <f aca="false">IF(C90&gt;1,IF(C90&lt;99,VLOOKUP(C90,'Babblefish-APUMA'!$A$1:$B$86,2),C90),C90)</f>
        <v>98</v>
      </c>
    </row>
    <row r="91" customFormat="false" ht="12.75" hidden="false" customHeight="false" outlineLevel="0" collapsed="false">
      <c r="A91" s="0" t="n">
        <f aca="false">B91*1000+C91</f>
        <v>4050</v>
      </c>
      <c r="B91" s="0" t="n">
        <v>4</v>
      </c>
      <c r="C91" s="0" t="n">
        <v>50</v>
      </c>
      <c r="D91" s="0" t="n">
        <v>130</v>
      </c>
      <c r="E91" s="0" t="n">
        <f aca="false">VLOOKUP(B91,'Babblefish-APUMA'!$A$1:$B$86,2)</f>
        <v>4</v>
      </c>
      <c r="F91" s="0" t="n">
        <f aca="false">IF(C91&gt;1,IF(C91&lt;99,VLOOKUP(C91,'Babblefish-APUMA'!$A$1:$B$86,2),C91),C91)</f>
        <v>98</v>
      </c>
    </row>
    <row r="92" customFormat="false" ht="12.75" hidden="false" customHeight="false" outlineLevel="0" collapsed="false">
      <c r="A92" s="0" t="n">
        <f aca="false">B92*1000+C92</f>
        <v>4051</v>
      </c>
      <c r="B92" s="0" t="n">
        <v>4</v>
      </c>
      <c r="C92" s="0" t="n">
        <v>51</v>
      </c>
      <c r="D92" s="0" t="n">
        <v>52</v>
      </c>
      <c r="E92" s="0" t="n">
        <f aca="false">VLOOKUP(B92,'Babblefish-APUMA'!$A$1:$B$86,2)</f>
        <v>4</v>
      </c>
      <c r="F92" s="0" t="n">
        <f aca="false">IF(C92&gt;1,IF(C92&lt;99,VLOOKUP(C92,'Babblefish-APUMA'!$A$1:$B$86,2),C92),C92)</f>
        <v>98</v>
      </c>
    </row>
    <row r="93" customFormat="false" ht="12.75" hidden="false" customHeight="false" outlineLevel="0" collapsed="false">
      <c r="A93" s="0" t="n">
        <f aca="false">B93*1000+C93</f>
        <v>4065</v>
      </c>
      <c r="B93" s="0" t="n">
        <v>4</v>
      </c>
      <c r="C93" s="0" t="n">
        <v>65</v>
      </c>
      <c r="D93" s="0" t="n">
        <v>117</v>
      </c>
      <c r="E93" s="0" t="n">
        <f aca="false">VLOOKUP(B93,'Babblefish-APUMA'!$A$1:$B$86,2)</f>
        <v>4</v>
      </c>
      <c r="F93" s="0" t="n">
        <f aca="false">IF(C93&gt;1,IF(C93&lt;99,VLOOKUP(C93,'Babblefish-APUMA'!$A$1:$B$86,2),C93),C93)</f>
        <v>90</v>
      </c>
    </row>
    <row r="94" customFormat="false" ht="12.75" hidden="false" customHeight="false" outlineLevel="0" collapsed="false">
      <c r="A94" s="0" t="n">
        <f aca="false">B94*1000+C94</f>
        <v>4069</v>
      </c>
      <c r="B94" s="0" t="n">
        <v>4</v>
      </c>
      <c r="C94" s="0" t="n">
        <v>69</v>
      </c>
      <c r="D94" s="0" t="n">
        <v>0</v>
      </c>
      <c r="E94" s="0" t="n">
        <f aca="false">VLOOKUP(B94,'Babblefish-APUMA'!$A$1:$B$86,2)</f>
        <v>4</v>
      </c>
      <c r="F94" s="0" t="n">
        <f aca="false">IF(C94&gt;1,IF(C94&lt;99,VLOOKUP(C94,'Babblefish-APUMA'!$A$1:$B$86,2),C94),C94)</f>
        <v>93</v>
      </c>
    </row>
    <row r="95" customFormat="false" ht="12.75" hidden="false" customHeight="false" outlineLevel="0" collapsed="false">
      <c r="A95" s="0" t="n">
        <f aca="false">B95*1000+C95</f>
        <v>4072</v>
      </c>
      <c r="B95" s="0" t="n">
        <v>4</v>
      </c>
      <c r="C95" s="0" t="n">
        <v>72</v>
      </c>
      <c r="D95" s="0" t="n">
        <v>0</v>
      </c>
      <c r="E95" s="0" t="n">
        <f aca="false">VLOOKUP(B95,'Babblefish-APUMA'!$A$1:$B$86,2)</f>
        <v>4</v>
      </c>
      <c r="F95" s="0" t="n">
        <f aca="false">IF(C95&gt;1,IF(C95&lt;99,VLOOKUP(C95,'Babblefish-APUMA'!$A$1:$B$86,2),C95),C95)</f>
        <v>95</v>
      </c>
    </row>
    <row r="96" customFormat="false" ht="12.75" hidden="false" customHeight="false" outlineLevel="0" collapsed="false">
      <c r="A96" s="0" t="n">
        <f aca="false">B96*1000+C96</f>
        <v>4075</v>
      </c>
      <c r="B96" s="0" t="n">
        <v>4</v>
      </c>
      <c r="C96" s="0" t="n">
        <v>75</v>
      </c>
      <c r="D96" s="0" t="n">
        <v>0</v>
      </c>
      <c r="E96" s="0" t="n">
        <f aca="false">VLOOKUP(B96,'Babblefish-APUMA'!$A$1:$B$86,2)</f>
        <v>4</v>
      </c>
      <c r="F96" s="0" t="n">
        <f aca="false">IF(C96&gt;1,IF(C96&lt;99,VLOOKUP(C96,'Babblefish-APUMA'!$A$1:$B$86,2),C96),C96)</f>
        <v>75</v>
      </c>
    </row>
    <row r="97" customFormat="false" ht="12.75" hidden="false" customHeight="false" outlineLevel="0" collapsed="false">
      <c r="A97" s="0" t="n">
        <f aca="false">B97*1000+C97</f>
        <v>4079</v>
      </c>
      <c r="B97" s="0" t="n">
        <v>4</v>
      </c>
      <c r="C97" s="0" t="n">
        <v>79</v>
      </c>
      <c r="D97" s="0" t="n">
        <v>0</v>
      </c>
      <c r="E97" s="0" t="n">
        <f aca="false">VLOOKUP(B97,'Babblefish-APUMA'!$A$1:$B$86,2)</f>
        <v>4</v>
      </c>
      <c r="F97" s="0" t="n">
        <f aca="false">IF(C97&gt;1,IF(C97&lt;99,VLOOKUP(C97,'Babblefish-APUMA'!$A$1:$B$86,2),C97),C97)</f>
        <v>89</v>
      </c>
    </row>
    <row r="98" customFormat="false" ht="12.75" hidden="false" customHeight="false" outlineLevel="0" collapsed="false">
      <c r="A98" s="0" t="n">
        <f aca="false">B98*1000+C98</f>
        <v>4999</v>
      </c>
      <c r="B98" s="0" t="n">
        <v>4</v>
      </c>
      <c r="C98" s="0" t="n">
        <v>999</v>
      </c>
      <c r="D98" s="0" t="n">
        <v>78</v>
      </c>
      <c r="E98" s="0" t="n">
        <f aca="false">VLOOKUP(B98,'Babblefish-APUMA'!$A$1:$B$86,2)</f>
        <v>4</v>
      </c>
      <c r="F98" s="0" t="n">
        <f aca="false">IF(C98&gt;1,IF(C98&lt;99,VLOOKUP(C98,'Babblefish-APUMA'!$A$1:$B$86,2),C98),C98)</f>
        <v>999</v>
      </c>
    </row>
    <row r="99" customFormat="false" ht="12.75" hidden="false" customHeight="false" outlineLevel="0" collapsed="false">
      <c r="A99" s="0" t="n">
        <f aca="false">B99*1000+C99</f>
        <v>5000</v>
      </c>
      <c r="B99" s="0" t="n">
        <v>5</v>
      </c>
      <c r="C99" s="0" t="n">
        <v>0</v>
      </c>
      <c r="D99" s="0" t="n">
        <v>66183</v>
      </c>
      <c r="E99" s="0" t="n">
        <f aca="false">VLOOKUP(B99,'Babblefish-APUMA'!$A$1:$B$86,2)</f>
        <v>5</v>
      </c>
      <c r="F99" s="0" t="n">
        <f aca="false">IF(C99&gt;1,IF(C99&lt;99,VLOOKUP(C99,'Babblefish-APUMA'!$A$1:$B$86,2),C99),C99)</f>
        <v>0</v>
      </c>
    </row>
    <row r="100" customFormat="false" ht="12.75" hidden="false" customHeight="false" outlineLevel="0" collapsed="false">
      <c r="A100" s="0" t="n">
        <f aca="false">B100*1000+C100</f>
        <v>5001</v>
      </c>
      <c r="B100" s="0" t="n">
        <v>5</v>
      </c>
      <c r="C100" s="0" t="n">
        <v>1</v>
      </c>
      <c r="D100" s="0" t="n">
        <v>0</v>
      </c>
      <c r="E100" s="0" t="n">
        <f aca="false">VLOOKUP(B100,'Babblefish-APUMA'!$A$1:$B$86,2)</f>
        <v>5</v>
      </c>
      <c r="F100" s="0" t="n">
        <f aca="false">IF(C100&gt;1,IF(C100&lt;99,VLOOKUP(C100,'Babblefish-APUMA'!$A$1:$B$86,2),C100),C100)</f>
        <v>1</v>
      </c>
    </row>
    <row r="101" customFormat="false" ht="12.75" hidden="false" customHeight="false" outlineLevel="0" collapsed="false">
      <c r="A101" s="0" t="n">
        <f aca="false">B101*1000+C101</f>
        <v>5002</v>
      </c>
      <c r="B101" s="0" t="n">
        <v>5</v>
      </c>
      <c r="C101" s="0" t="n">
        <v>2</v>
      </c>
      <c r="D101" s="0" t="n">
        <v>533</v>
      </c>
      <c r="E101" s="0" t="n">
        <f aca="false">VLOOKUP(B101,'Babblefish-APUMA'!$A$1:$B$86,2)</f>
        <v>5</v>
      </c>
      <c r="F101" s="0" t="n">
        <f aca="false">IF(C101&gt;1,IF(C101&lt;99,VLOOKUP(C101,'Babblefish-APUMA'!$A$1:$B$86,2),C101),C101)</f>
        <v>2</v>
      </c>
    </row>
    <row r="102" customFormat="false" ht="12.75" hidden="false" customHeight="false" outlineLevel="0" collapsed="false">
      <c r="A102" s="0" t="n">
        <f aca="false">B102*1000+C102</f>
        <v>5003</v>
      </c>
      <c r="B102" s="0" t="n">
        <v>5</v>
      </c>
      <c r="C102" s="0" t="n">
        <v>3</v>
      </c>
      <c r="D102" s="0" t="n">
        <v>2275</v>
      </c>
      <c r="E102" s="0" t="n">
        <f aca="false">VLOOKUP(B102,'Babblefish-APUMA'!$A$1:$B$86,2)</f>
        <v>5</v>
      </c>
      <c r="F102" s="0" t="n">
        <f aca="false">IF(C102&gt;1,IF(C102&lt;99,VLOOKUP(C102,'Babblefish-APUMA'!$A$1:$B$86,2),C102),C102)</f>
        <v>3</v>
      </c>
    </row>
    <row r="103" customFormat="false" ht="12.75" hidden="false" customHeight="false" outlineLevel="0" collapsed="false">
      <c r="A103" s="0" t="n">
        <f aca="false">B103*1000+C103</f>
        <v>5004</v>
      </c>
      <c r="B103" s="0" t="n">
        <v>5</v>
      </c>
      <c r="C103" s="0" t="n">
        <v>4</v>
      </c>
      <c r="D103" s="0" t="n">
        <v>65</v>
      </c>
      <c r="E103" s="0" t="n">
        <f aca="false">VLOOKUP(B103,'Babblefish-APUMA'!$A$1:$B$86,2)</f>
        <v>5</v>
      </c>
      <c r="F103" s="0" t="n">
        <f aca="false">IF(C103&gt;1,IF(C103&lt;99,VLOOKUP(C103,'Babblefish-APUMA'!$A$1:$B$86,2),C103),C103)</f>
        <v>4</v>
      </c>
    </row>
    <row r="104" customFormat="false" ht="12.75" hidden="false" customHeight="false" outlineLevel="0" collapsed="false">
      <c r="A104" s="0" t="n">
        <f aca="false">B104*1000+C104</f>
        <v>5005</v>
      </c>
      <c r="B104" s="0" t="n">
        <v>5</v>
      </c>
      <c r="C104" s="0" t="n">
        <v>5</v>
      </c>
      <c r="D104" s="0" t="n">
        <v>28613</v>
      </c>
      <c r="E104" s="0" t="n">
        <f aca="false">VLOOKUP(B104,'Babblefish-APUMA'!$A$1:$B$86,2)</f>
        <v>5</v>
      </c>
      <c r="F104" s="0" t="n">
        <f aca="false">IF(C104&gt;1,IF(C104&lt;99,VLOOKUP(C104,'Babblefish-APUMA'!$A$1:$B$86,2),C104),C104)</f>
        <v>5</v>
      </c>
    </row>
    <row r="105" customFormat="false" ht="12.75" hidden="false" customHeight="false" outlineLevel="0" collapsed="false">
      <c r="A105" s="0" t="n">
        <f aca="false">B105*1000+C105</f>
        <v>5006</v>
      </c>
      <c r="B105" s="0" t="n">
        <v>5</v>
      </c>
      <c r="C105" s="0" t="n">
        <v>6</v>
      </c>
      <c r="D105" s="0" t="n">
        <v>1105</v>
      </c>
      <c r="E105" s="0" t="n">
        <f aca="false">VLOOKUP(B105,'Babblefish-APUMA'!$A$1:$B$86,2)</f>
        <v>5</v>
      </c>
      <c r="F105" s="0" t="n">
        <f aca="false">IF(C105&gt;1,IF(C105&lt;99,VLOOKUP(C105,'Babblefish-APUMA'!$A$1:$B$86,2),C105),C105)</f>
        <v>6</v>
      </c>
    </row>
    <row r="106" customFormat="false" ht="12.75" hidden="false" customHeight="false" outlineLevel="0" collapsed="false">
      <c r="A106" s="0" t="n">
        <f aca="false">B106*1000+C106</f>
        <v>5007</v>
      </c>
      <c r="B106" s="0" t="n">
        <v>5</v>
      </c>
      <c r="C106" s="0" t="n">
        <v>7</v>
      </c>
      <c r="D106" s="0" t="n">
        <v>572</v>
      </c>
      <c r="E106" s="0" t="n">
        <f aca="false">VLOOKUP(B106,'Babblefish-APUMA'!$A$1:$B$86,2)</f>
        <v>5</v>
      </c>
      <c r="F106" s="0" t="n">
        <f aca="false">IF(C106&gt;1,IF(C106&lt;99,VLOOKUP(C106,'Babblefish-APUMA'!$A$1:$B$86,2),C106),C106)</f>
        <v>7</v>
      </c>
    </row>
    <row r="107" customFormat="false" ht="12.75" hidden="false" customHeight="false" outlineLevel="0" collapsed="false">
      <c r="A107" s="0" t="n">
        <f aca="false">B107*1000+C107</f>
        <v>5008</v>
      </c>
      <c r="B107" s="0" t="n">
        <v>5</v>
      </c>
      <c r="C107" s="0" t="n">
        <v>8</v>
      </c>
      <c r="D107" s="0" t="n">
        <v>0</v>
      </c>
      <c r="E107" s="0" t="n">
        <f aca="false">VLOOKUP(B107,'Babblefish-APUMA'!$A$1:$B$86,2)</f>
        <v>5</v>
      </c>
      <c r="F107" s="0" t="n">
        <f aca="false">IF(C107&gt;1,IF(C107&lt;99,VLOOKUP(C107,'Babblefish-APUMA'!$A$1:$B$86,2),C107),C107)</f>
        <v>8</v>
      </c>
    </row>
    <row r="108" customFormat="false" ht="12.75" hidden="false" customHeight="false" outlineLevel="0" collapsed="false">
      <c r="A108" s="0" t="n">
        <f aca="false">B108*1000+C108</f>
        <v>5009</v>
      </c>
      <c r="B108" s="0" t="n">
        <v>5</v>
      </c>
      <c r="C108" s="0" t="n">
        <v>9</v>
      </c>
      <c r="D108" s="0" t="n">
        <v>0</v>
      </c>
      <c r="E108" s="0" t="n">
        <f aca="false">VLOOKUP(B108,'Babblefish-APUMA'!$A$1:$B$86,2)</f>
        <v>5</v>
      </c>
      <c r="F108" s="0" t="n">
        <f aca="false">IF(C108&gt;1,IF(C108&lt;99,VLOOKUP(C108,'Babblefish-APUMA'!$A$1:$B$86,2),C108),C108)</f>
        <v>9</v>
      </c>
    </row>
    <row r="109" customFormat="false" ht="12.75" hidden="false" customHeight="false" outlineLevel="0" collapsed="false">
      <c r="A109" s="0" t="n">
        <f aca="false">B109*1000+C109</f>
        <v>5010</v>
      </c>
      <c r="B109" s="0" t="n">
        <v>5</v>
      </c>
      <c r="C109" s="0" t="n">
        <v>10</v>
      </c>
      <c r="D109" s="0" t="n">
        <v>0</v>
      </c>
      <c r="E109" s="0" t="n">
        <f aca="false">VLOOKUP(B109,'Babblefish-APUMA'!$A$1:$B$86,2)</f>
        <v>5</v>
      </c>
      <c r="F109" s="0" t="n">
        <f aca="false">IF(C109&gt;1,IF(C109&lt;99,VLOOKUP(C109,'Babblefish-APUMA'!$A$1:$B$86,2),C109),C109)</f>
        <v>10</v>
      </c>
    </row>
    <row r="110" customFormat="false" ht="12.75" hidden="false" customHeight="false" outlineLevel="0" collapsed="false">
      <c r="A110" s="0" t="n">
        <f aca="false">B110*1000+C110</f>
        <v>5011</v>
      </c>
      <c r="B110" s="0" t="n">
        <v>5</v>
      </c>
      <c r="C110" s="0" t="n">
        <v>11</v>
      </c>
      <c r="D110" s="0" t="n">
        <v>143</v>
      </c>
      <c r="E110" s="0" t="n">
        <f aca="false">VLOOKUP(B110,'Babblefish-APUMA'!$A$1:$B$86,2)</f>
        <v>5</v>
      </c>
      <c r="F110" s="0" t="n">
        <f aca="false">IF(C110&gt;1,IF(C110&lt;99,VLOOKUP(C110,'Babblefish-APUMA'!$A$1:$B$86,2),C110),C110)</f>
        <v>11</v>
      </c>
    </row>
    <row r="111" customFormat="false" ht="12.75" hidden="false" customHeight="false" outlineLevel="0" collapsed="false">
      <c r="A111" s="0" t="n">
        <f aca="false">B111*1000+C111</f>
        <v>5013</v>
      </c>
      <c r="B111" s="0" t="n">
        <v>5</v>
      </c>
      <c r="C111" s="0" t="n">
        <v>13</v>
      </c>
      <c r="D111" s="0" t="n">
        <v>0</v>
      </c>
      <c r="E111" s="0" t="n">
        <f aca="false">VLOOKUP(B111,'Babblefish-APUMA'!$A$1:$B$86,2)</f>
        <v>5</v>
      </c>
      <c r="F111" s="0" t="n">
        <f aca="false">IF(C111&gt;1,IF(C111&lt;99,VLOOKUP(C111,'Babblefish-APUMA'!$A$1:$B$86,2),C111),C111)</f>
        <v>100</v>
      </c>
    </row>
    <row r="112" customFormat="false" ht="12.75" hidden="false" customHeight="false" outlineLevel="0" collapsed="false">
      <c r="A112" s="0" t="n">
        <f aca="false">B112*1000+C112</f>
        <v>5014</v>
      </c>
      <c r="B112" s="0" t="n">
        <v>5</v>
      </c>
      <c r="C112" s="0" t="n">
        <v>14</v>
      </c>
      <c r="D112" s="0" t="n">
        <v>0</v>
      </c>
      <c r="E112" s="0" t="n">
        <f aca="false">VLOOKUP(B112,'Babblefish-APUMA'!$A$1:$B$86,2)</f>
        <v>5</v>
      </c>
      <c r="F112" s="0" t="n">
        <f aca="false">IF(C112&gt;1,IF(C112&lt;99,VLOOKUP(C112,'Babblefish-APUMA'!$A$1:$B$86,2),C112),C112)</f>
        <v>100</v>
      </c>
    </row>
    <row r="113" customFormat="false" ht="12.75" hidden="false" customHeight="false" outlineLevel="0" collapsed="false">
      <c r="A113" s="0" t="n">
        <f aca="false">B113*1000+C113</f>
        <v>5015</v>
      </c>
      <c r="B113" s="0" t="n">
        <v>5</v>
      </c>
      <c r="C113" s="0" t="n">
        <v>15</v>
      </c>
      <c r="D113" s="0" t="n">
        <v>0</v>
      </c>
      <c r="E113" s="0" t="n">
        <f aca="false">VLOOKUP(B113,'Babblefish-APUMA'!$A$1:$B$86,2)</f>
        <v>5</v>
      </c>
      <c r="F113" s="0" t="n">
        <f aca="false">IF(C113&gt;1,IF(C113&lt;99,VLOOKUP(C113,'Babblefish-APUMA'!$A$1:$B$86,2),C113),C113)</f>
        <v>15</v>
      </c>
    </row>
    <row r="114" customFormat="false" ht="12.75" hidden="false" customHeight="false" outlineLevel="0" collapsed="false">
      <c r="A114" s="0" t="n">
        <f aca="false">B114*1000+C114</f>
        <v>5016</v>
      </c>
      <c r="B114" s="0" t="n">
        <v>5</v>
      </c>
      <c r="C114" s="0" t="n">
        <v>16</v>
      </c>
      <c r="D114" s="0" t="n">
        <v>286</v>
      </c>
      <c r="E114" s="0" t="n">
        <f aca="false">VLOOKUP(B114,'Babblefish-APUMA'!$A$1:$B$86,2)</f>
        <v>5</v>
      </c>
      <c r="F114" s="0" t="n">
        <f aca="false">IF(C114&gt;1,IF(C114&lt;99,VLOOKUP(C114,'Babblefish-APUMA'!$A$1:$B$86,2),C114),C114)</f>
        <v>99</v>
      </c>
    </row>
    <row r="115" customFormat="false" ht="12.75" hidden="false" customHeight="false" outlineLevel="0" collapsed="false">
      <c r="A115" s="0" t="n">
        <f aca="false">B115*1000+C115</f>
        <v>5017</v>
      </c>
      <c r="B115" s="0" t="n">
        <v>5</v>
      </c>
      <c r="C115" s="0" t="n">
        <v>17</v>
      </c>
      <c r="D115" s="0" t="n">
        <v>0</v>
      </c>
      <c r="E115" s="0" t="n">
        <f aca="false">VLOOKUP(B115,'Babblefish-APUMA'!$A$1:$B$86,2)</f>
        <v>5</v>
      </c>
      <c r="F115" s="0" t="n">
        <f aca="false">IF(C115&gt;1,IF(C115&lt;99,VLOOKUP(C115,'Babblefish-APUMA'!$A$1:$B$86,2),C115),C115)</f>
        <v>87</v>
      </c>
    </row>
    <row r="116" customFormat="false" ht="12.75" hidden="false" customHeight="false" outlineLevel="0" collapsed="false">
      <c r="A116" s="0" t="n">
        <f aca="false">B116*1000+C116</f>
        <v>5018</v>
      </c>
      <c r="B116" s="0" t="n">
        <v>5</v>
      </c>
      <c r="C116" s="0" t="n">
        <v>18</v>
      </c>
      <c r="D116" s="0" t="n">
        <v>182</v>
      </c>
      <c r="E116" s="0" t="n">
        <f aca="false">VLOOKUP(B116,'Babblefish-APUMA'!$A$1:$B$86,2)</f>
        <v>5</v>
      </c>
      <c r="F116" s="0" t="n">
        <f aca="false">IF(C116&gt;1,IF(C116&lt;99,VLOOKUP(C116,'Babblefish-APUMA'!$A$1:$B$86,2),C116),C116)</f>
        <v>87</v>
      </c>
    </row>
    <row r="117" customFormat="false" ht="12.75" hidden="false" customHeight="false" outlineLevel="0" collapsed="false">
      <c r="A117" s="0" t="n">
        <f aca="false">B117*1000+C117</f>
        <v>5019</v>
      </c>
      <c r="B117" s="0" t="n">
        <v>5</v>
      </c>
      <c r="C117" s="0" t="n">
        <v>19</v>
      </c>
      <c r="D117" s="0" t="n">
        <v>169</v>
      </c>
      <c r="E117" s="0" t="n">
        <f aca="false">VLOOKUP(B117,'Babblefish-APUMA'!$A$1:$B$86,2)</f>
        <v>5</v>
      </c>
      <c r="F117" s="0" t="n">
        <f aca="false">IF(C117&gt;1,IF(C117&lt;99,VLOOKUP(C117,'Babblefish-APUMA'!$A$1:$B$86,2),C117),C117)</f>
        <v>19</v>
      </c>
    </row>
    <row r="118" customFormat="false" ht="12.75" hidden="false" customHeight="false" outlineLevel="0" collapsed="false">
      <c r="A118" s="0" t="n">
        <f aca="false">B118*1000+C118</f>
        <v>5021</v>
      </c>
      <c r="B118" s="0" t="n">
        <v>5</v>
      </c>
      <c r="C118" s="0" t="n">
        <v>21</v>
      </c>
      <c r="D118" s="0" t="n">
        <v>0</v>
      </c>
      <c r="E118" s="0" t="n">
        <f aca="false">VLOOKUP(B118,'Babblefish-APUMA'!$A$1:$B$86,2)</f>
        <v>5</v>
      </c>
      <c r="F118" s="0" t="n">
        <f aca="false">IF(C118&gt;1,IF(C118&lt;99,VLOOKUP(C118,'Babblefish-APUMA'!$A$1:$B$86,2),C118),C118)</f>
        <v>86</v>
      </c>
    </row>
    <row r="119" customFormat="false" ht="12.75" hidden="false" customHeight="false" outlineLevel="0" collapsed="false">
      <c r="A119" s="0" t="n">
        <f aca="false">B119*1000+C119</f>
        <v>5022</v>
      </c>
      <c r="B119" s="0" t="n">
        <v>5</v>
      </c>
      <c r="C119" s="0" t="n">
        <v>22</v>
      </c>
      <c r="D119" s="0" t="n">
        <v>0</v>
      </c>
      <c r="E119" s="0" t="n">
        <f aca="false">VLOOKUP(B119,'Babblefish-APUMA'!$A$1:$B$86,2)</f>
        <v>5</v>
      </c>
      <c r="F119" s="0" t="n">
        <f aca="false">IF(C119&gt;1,IF(C119&lt;99,VLOOKUP(C119,'Babblefish-APUMA'!$A$1:$B$86,2),C119),C119)</f>
        <v>22</v>
      </c>
    </row>
    <row r="120" customFormat="false" ht="12.75" hidden="false" customHeight="false" outlineLevel="0" collapsed="false">
      <c r="A120" s="0" t="n">
        <f aca="false">B120*1000+C120</f>
        <v>5026</v>
      </c>
      <c r="B120" s="0" t="n">
        <v>5</v>
      </c>
      <c r="C120" s="0" t="n">
        <v>26</v>
      </c>
      <c r="D120" s="0" t="n">
        <v>0</v>
      </c>
      <c r="E120" s="0" t="n">
        <f aca="false">VLOOKUP(B120,'Babblefish-APUMA'!$A$1:$B$86,2)</f>
        <v>5</v>
      </c>
      <c r="F120" s="0" t="n">
        <f aca="false">IF(C120&gt;1,IF(C120&lt;99,VLOOKUP(C120,'Babblefish-APUMA'!$A$1:$B$86,2),C120),C120)</f>
        <v>26</v>
      </c>
    </row>
    <row r="121" customFormat="false" ht="12.75" hidden="false" customHeight="false" outlineLevel="0" collapsed="false">
      <c r="A121" s="0" t="n">
        <f aca="false">B121*1000+C121</f>
        <v>5028</v>
      </c>
      <c r="B121" s="0" t="n">
        <v>5</v>
      </c>
      <c r="C121" s="0" t="n">
        <v>28</v>
      </c>
      <c r="D121" s="0" t="n">
        <v>0</v>
      </c>
      <c r="E121" s="0" t="n">
        <f aca="false">VLOOKUP(B121,'Babblefish-APUMA'!$A$1:$B$86,2)</f>
        <v>5</v>
      </c>
      <c r="F121" s="0" t="n">
        <f aca="false">IF(C121&gt;1,IF(C121&lt;99,VLOOKUP(C121,'Babblefish-APUMA'!$A$1:$B$86,2),C121),C121)</f>
        <v>94</v>
      </c>
    </row>
    <row r="122" customFormat="false" ht="12.75" hidden="false" customHeight="false" outlineLevel="0" collapsed="false">
      <c r="A122" s="0" t="n">
        <f aca="false">B122*1000+C122</f>
        <v>5034</v>
      </c>
      <c r="B122" s="0" t="n">
        <v>5</v>
      </c>
      <c r="C122" s="0" t="n">
        <v>34</v>
      </c>
      <c r="D122" s="0" t="n">
        <v>0</v>
      </c>
      <c r="E122" s="0" t="n">
        <f aca="false">VLOOKUP(B122,'Babblefish-APUMA'!$A$1:$B$86,2)</f>
        <v>5</v>
      </c>
      <c r="F122" s="0" t="n">
        <f aca="false">IF(C122&gt;1,IF(C122&lt;99,VLOOKUP(C122,'Babblefish-APUMA'!$A$1:$B$86,2),C122),C122)</f>
        <v>96</v>
      </c>
    </row>
    <row r="123" customFormat="false" ht="12.75" hidden="false" customHeight="false" outlineLevel="0" collapsed="false">
      <c r="A123" s="0" t="n">
        <f aca="false">B123*1000+C123</f>
        <v>5035</v>
      </c>
      <c r="B123" s="0" t="n">
        <v>5</v>
      </c>
      <c r="C123" s="0" t="n">
        <v>35</v>
      </c>
      <c r="D123" s="0" t="n">
        <v>0</v>
      </c>
      <c r="E123" s="0" t="n">
        <f aca="false">VLOOKUP(B123,'Babblefish-APUMA'!$A$1:$B$86,2)</f>
        <v>5</v>
      </c>
      <c r="F123" s="0" t="n">
        <f aca="false">IF(C123&gt;1,IF(C123&lt;99,VLOOKUP(C123,'Babblefish-APUMA'!$A$1:$B$86,2),C123),C123)</f>
        <v>96</v>
      </c>
    </row>
    <row r="124" customFormat="false" ht="12.75" hidden="false" customHeight="false" outlineLevel="0" collapsed="false">
      <c r="A124" s="0" t="n">
        <f aca="false">B124*1000+C124</f>
        <v>5040</v>
      </c>
      <c r="B124" s="0" t="n">
        <v>5</v>
      </c>
      <c r="C124" s="0" t="n">
        <v>40</v>
      </c>
      <c r="D124" s="0" t="n">
        <v>0</v>
      </c>
      <c r="E124" s="0" t="n">
        <f aca="false">VLOOKUP(B124,'Babblefish-APUMA'!$A$1:$B$86,2)</f>
        <v>5</v>
      </c>
      <c r="F124" s="0" t="n">
        <f aca="false">IF(C124&gt;1,IF(C124&lt;99,VLOOKUP(C124,'Babblefish-APUMA'!$A$1:$B$86,2),C124),C124)</f>
        <v>88</v>
      </c>
    </row>
    <row r="125" customFormat="false" ht="12.75" hidden="false" customHeight="false" outlineLevel="0" collapsed="false">
      <c r="A125" s="0" t="n">
        <f aca="false">B125*1000+C125</f>
        <v>5049</v>
      </c>
      <c r="B125" s="0" t="n">
        <v>5</v>
      </c>
      <c r="C125" s="0" t="n">
        <v>49</v>
      </c>
      <c r="D125" s="0" t="n">
        <v>143</v>
      </c>
      <c r="E125" s="0" t="n">
        <f aca="false">VLOOKUP(B125,'Babblefish-APUMA'!$A$1:$B$86,2)</f>
        <v>5</v>
      </c>
      <c r="F125" s="0" t="n">
        <f aca="false">IF(C125&gt;1,IF(C125&lt;99,VLOOKUP(C125,'Babblefish-APUMA'!$A$1:$B$86,2),C125),C125)</f>
        <v>98</v>
      </c>
    </row>
    <row r="126" customFormat="false" ht="12.75" hidden="false" customHeight="false" outlineLevel="0" collapsed="false">
      <c r="A126" s="0" t="n">
        <f aca="false">B126*1000+C126</f>
        <v>5050</v>
      </c>
      <c r="B126" s="0" t="n">
        <v>5</v>
      </c>
      <c r="C126" s="0" t="n">
        <v>50</v>
      </c>
      <c r="D126" s="0" t="n">
        <v>0</v>
      </c>
      <c r="E126" s="0" t="n">
        <f aca="false">VLOOKUP(B126,'Babblefish-APUMA'!$A$1:$B$86,2)</f>
        <v>5</v>
      </c>
      <c r="F126" s="0" t="n">
        <f aca="false">IF(C126&gt;1,IF(C126&lt;99,VLOOKUP(C126,'Babblefish-APUMA'!$A$1:$B$86,2),C126),C126)</f>
        <v>98</v>
      </c>
    </row>
    <row r="127" customFormat="false" ht="12.75" hidden="false" customHeight="false" outlineLevel="0" collapsed="false">
      <c r="A127" s="0" t="n">
        <f aca="false">B127*1000+C127</f>
        <v>5051</v>
      </c>
      <c r="B127" s="0" t="n">
        <v>5</v>
      </c>
      <c r="C127" s="0" t="n">
        <v>51</v>
      </c>
      <c r="D127" s="0" t="n">
        <v>0</v>
      </c>
      <c r="E127" s="0" t="n">
        <f aca="false">VLOOKUP(B127,'Babblefish-APUMA'!$A$1:$B$86,2)</f>
        <v>5</v>
      </c>
      <c r="F127" s="0" t="n">
        <f aca="false">IF(C127&gt;1,IF(C127&lt;99,VLOOKUP(C127,'Babblefish-APUMA'!$A$1:$B$86,2),C127),C127)</f>
        <v>98</v>
      </c>
    </row>
    <row r="128" customFormat="false" ht="12.75" hidden="false" customHeight="false" outlineLevel="0" collapsed="false">
      <c r="A128" s="0" t="n">
        <f aca="false">B128*1000+C128</f>
        <v>5065</v>
      </c>
      <c r="B128" s="0" t="n">
        <v>5</v>
      </c>
      <c r="C128" s="0" t="n">
        <v>65</v>
      </c>
      <c r="D128" s="0" t="n">
        <v>0</v>
      </c>
      <c r="E128" s="0" t="n">
        <f aca="false">VLOOKUP(B128,'Babblefish-APUMA'!$A$1:$B$86,2)</f>
        <v>5</v>
      </c>
      <c r="F128" s="0" t="n">
        <f aca="false">IF(C128&gt;1,IF(C128&lt;99,VLOOKUP(C128,'Babblefish-APUMA'!$A$1:$B$86,2),C128),C128)</f>
        <v>90</v>
      </c>
    </row>
    <row r="129" customFormat="false" ht="12.75" hidden="false" customHeight="false" outlineLevel="0" collapsed="false">
      <c r="A129" s="0" t="n">
        <f aca="false">B129*1000+C129</f>
        <v>5069</v>
      </c>
      <c r="B129" s="0" t="n">
        <v>5</v>
      </c>
      <c r="C129" s="0" t="n">
        <v>69</v>
      </c>
      <c r="D129" s="0" t="n">
        <v>0</v>
      </c>
      <c r="E129" s="0" t="n">
        <f aca="false">VLOOKUP(B129,'Babblefish-APUMA'!$A$1:$B$86,2)</f>
        <v>5</v>
      </c>
      <c r="F129" s="0" t="n">
        <f aca="false">IF(C129&gt;1,IF(C129&lt;99,VLOOKUP(C129,'Babblefish-APUMA'!$A$1:$B$86,2),C129),C129)</f>
        <v>93</v>
      </c>
    </row>
    <row r="130" customFormat="false" ht="12.75" hidden="false" customHeight="false" outlineLevel="0" collapsed="false">
      <c r="A130" s="0" t="n">
        <f aca="false">B130*1000+C130</f>
        <v>5072</v>
      </c>
      <c r="B130" s="0" t="n">
        <v>5</v>
      </c>
      <c r="C130" s="0" t="n">
        <v>72</v>
      </c>
      <c r="D130" s="0" t="n">
        <v>78</v>
      </c>
      <c r="E130" s="0" t="n">
        <f aca="false">VLOOKUP(B130,'Babblefish-APUMA'!$A$1:$B$86,2)</f>
        <v>5</v>
      </c>
      <c r="F130" s="0" t="n">
        <f aca="false">IF(C130&gt;1,IF(C130&lt;99,VLOOKUP(C130,'Babblefish-APUMA'!$A$1:$B$86,2),C130),C130)</f>
        <v>95</v>
      </c>
    </row>
    <row r="131" customFormat="false" ht="12.75" hidden="false" customHeight="false" outlineLevel="0" collapsed="false">
      <c r="A131" s="0" t="n">
        <f aca="false">B131*1000+C131</f>
        <v>5075</v>
      </c>
      <c r="B131" s="0" t="n">
        <v>5</v>
      </c>
      <c r="C131" s="0" t="n">
        <v>75</v>
      </c>
      <c r="D131" s="0" t="n">
        <v>0</v>
      </c>
      <c r="E131" s="0" t="n">
        <f aca="false">VLOOKUP(B131,'Babblefish-APUMA'!$A$1:$B$86,2)</f>
        <v>5</v>
      </c>
      <c r="F131" s="0" t="n">
        <f aca="false">IF(C131&gt;1,IF(C131&lt;99,VLOOKUP(C131,'Babblefish-APUMA'!$A$1:$B$86,2),C131),C131)</f>
        <v>75</v>
      </c>
    </row>
    <row r="132" customFormat="false" ht="12.75" hidden="false" customHeight="false" outlineLevel="0" collapsed="false">
      <c r="A132" s="0" t="n">
        <f aca="false">B132*1000+C132</f>
        <v>5079</v>
      </c>
      <c r="B132" s="0" t="n">
        <v>5</v>
      </c>
      <c r="C132" s="0" t="n">
        <v>79</v>
      </c>
      <c r="D132" s="0" t="n">
        <v>0</v>
      </c>
      <c r="E132" s="0" t="n">
        <f aca="false">VLOOKUP(B132,'Babblefish-APUMA'!$A$1:$B$86,2)</f>
        <v>5</v>
      </c>
      <c r="F132" s="0" t="n">
        <f aca="false">IF(C132&gt;1,IF(C132&lt;99,VLOOKUP(C132,'Babblefish-APUMA'!$A$1:$B$86,2),C132),C132)</f>
        <v>89</v>
      </c>
    </row>
    <row r="133" customFormat="false" ht="12.75" hidden="false" customHeight="false" outlineLevel="0" collapsed="false">
      <c r="A133" s="0" t="n">
        <f aca="false">B133*1000+C133</f>
        <v>5999</v>
      </c>
      <c r="B133" s="0" t="n">
        <v>5</v>
      </c>
      <c r="C133" s="0" t="n">
        <v>999</v>
      </c>
      <c r="D133" s="0" t="n">
        <v>0</v>
      </c>
      <c r="E133" s="0" t="n">
        <f aca="false">VLOOKUP(B133,'Babblefish-APUMA'!$A$1:$B$86,2)</f>
        <v>5</v>
      </c>
      <c r="F133" s="0" t="n">
        <f aca="false">IF(C133&gt;1,IF(C133&lt;99,VLOOKUP(C133,'Babblefish-APUMA'!$A$1:$B$86,2),C133),C133)</f>
        <v>999</v>
      </c>
    </row>
    <row r="134" customFormat="false" ht="12.75" hidden="false" customHeight="false" outlineLevel="0" collapsed="false">
      <c r="A134" s="0" t="n">
        <f aca="false">B134*1000+C134</f>
        <v>6000</v>
      </c>
      <c r="B134" s="0" t="n">
        <v>6</v>
      </c>
      <c r="C134" s="0" t="n">
        <v>0</v>
      </c>
      <c r="D134" s="0" t="n">
        <v>111722</v>
      </c>
      <c r="E134" s="0" t="n">
        <f aca="false">VLOOKUP(B134,'Babblefish-APUMA'!$A$1:$B$86,2)</f>
        <v>6</v>
      </c>
      <c r="F134" s="0" t="n">
        <f aca="false">IF(C134&gt;1,IF(C134&lt;99,VLOOKUP(C134,'Babblefish-APUMA'!$A$1:$B$86,2),C134),C134)</f>
        <v>0</v>
      </c>
    </row>
    <row r="135" customFormat="false" ht="12.75" hidden="false" customHeight="false" outlineLevel="0" collapsed="false">
      <c r="A135" s="0" t="n">
        <f aca="false">B135*1000+C135</f>
        <v>6001</v>
      </c>
      <c r="B135" s="0" t="n">
        <v>6</v>
      </c>
      <c r="C135" s="0" t="n">
        <v>1</v>
      </c>
      <c r="D135" s="0" t="n">
        <v>299</v>
      </c>
      <c r="E135" s="0" t="n">
        <f aca="false">VLOOKUP(B135,'Babblefish-APUMA'!$A$1:$B$86,2)</f>
        <v>6</v>
      </c>
      <c r="F135" s="0" t="n">
        <f aca="false">IF(C135&gt;1,IF(C135&lt;99,VLOOKUP(C135,'Babblefish-APUMA'!$A$1:$B$86,2),C135),C135)</f>
        <v>1</v>
      </c>
    </row>
    <row r="136" customFormat="false" ht="12.75" hidden="false" customHeight="false" outlineLevel="0" collapsed="false">
      <c r="A136" s="0" t="n">
        <f aca="false">B136*1000+C136</f>
        <v>6002</v>
      </c>
      <c r="B136" s="0" t="n">
        <v>6</v>
      </c>
      <c r="C136" s="0" t="n">
        <v>2</v>
      </c>
      <c r="D136" s="0" t="n">
        <v>0</v>
      </c>
      <c r="E136" s="0" t="n">
        <f aca="false">VLOOKUP(B136,'Babblefish-APUMA'!$A$1:$B$86,2)</f>
        <v>6</v>
      </c>
      <c r="F136" s="0" t="n">
        <f aca="false">IF(C136&gt;1,IF(C136&lt;99,VLOOKUP(C136,'Babblefish-APUMA'!$A$1:$B$86,2),C136),C136)</f>
        <v>2</v>
      </c>
    </row>
    <row r="137" customFormat="false" ht="12.75" hidden="false" customHeight="false" outlineLevel="0" collapsed="false">
      <c r="A137" s="0" t="n">
        <f aca="false">B137*1000+C137</f>
        <v>6003</v>
      </c>
      <c r="B137" s="0" t="n">
        <v>6</v>
      </c>
      <c r="C137" s="0" t="n">
        <v>3</v>
      </c>
      <c r="D137" s="0" t="n">
        <v>65</v>
      </c>
      <c r="E137" s="0" t="n">
        <f aca="false">VLOOKUP(B137,'Babblefish-APUMA'!$A$1:$B$86,2)</f>
        <v>6</v>
      </c>
      <c r="F137" s="0" t="n">
        <f aca="false">IF(C137&gt;1,IF(C137&lt;99,VLOOKUP(C137,'Babblefish-APUMA'!$A$1:$B$86,2),C137),C137)</f>
        <v>3</v>
      </c>
    </row>
    <row r="138" customFormat="false" ht="12.75" hidden="false" customHeight="false" outlineLevel="0" collapsed="false">
      <c r="A138" s="0" t="n">
        <f aca="false">B138*1000+C138</f>
        <v>6004</v>
      </c>
      <c r="B138" s="0" t="n">
        <v>6</v>
      </c>
      <c r="C138" s="0" t="n">
        <v>4</v>
      </c>
      <c r="D138" s="0" t="n">
        <v>0</v>
      </c>
      <c r="E138" s="0" t="n">
        <f aca="false">VLOOKUP(B138,'Babblefish-APUMA'!$A$1:$B$86,2)</f>
        <v>6</v>
      </c>
      <c r="F138" s="0" t="n">
        <f aca="false">IF(C138&gt;1,IF(C138&lt;99,VLOOKUP(C138,'Babblefish-APUMA'!$A$1:$B$86,2),C138),C138)</f>
        <v>4</v>
      </c>
    </row>
    <row r="139" customFormat="false" ht="12.75" hidden="false" customHeight="false" outlineLevel="0" collapsed="false">
      <c r="A139" s="0" t="n">
        <f aca="false">B139*1000+C139</f>
        <v>6005</v>
      </c>
      <c r="B139" s="0" t="n">
        <v>6</v>
      </c>
      <c r="C139" s="0" t="n">
        <v>5</v>
      </c>
      <c r="D139" s="0" t="n">
        <v>1391</v>
      </c>
      <c r="E139" s="0" t="n">
        <f aca="false">VLOOKUP(B139,'Babblefish-APUMA'!$A$1:$B$86,2)</f>
        <v>6</v>
      </c>
      <c r="F139" s="0" t="n">
        <f aca="false">IF(C139&gt;1,IF(C139&lt;99,VLOOKUP(C139,'Babblefish-APUMA'!$A$1:$B$86,2),C139),C139)</f>
        <v>5</v>
      </c>
    </row>
    <row r="140" customFormat="false" ht="12.75" hidden="false" customHeight="false" outlineLevel="0" collapsed="false">
      <c r="A140" s="0" t="n">
        <f aca="false">B140*1000+C140</f>
        <v>6006</v>
      </c>
      <c r="B140" s="0" t="n">
        <v>6</v>
      </c>
      <c r="C140" s="0" t="n">
        <v>6</v>
      </c>
      <c r="D140" s="0" t="n">
        <v>62647</v>
      </c>
      <c r="E140" s="0" t="n">
        <f aca="false">VLOOKUP(B140,'Babblefish-APUMA'!$A$1:$B$86,2)</f>
        <v>6</v>
      </c>
      <c r="F140" s="0" t="n">
        <f aca="false">IF(C140&gt;1,IF(C140&lt;99,VLOOKUP(C140,'Babblefish-APUMA'!$A$1:$B$86,2),C140),C140)</f>
        <v>6</v>
      </c>
    </row>
    <row r="141" customFormat="false" ht="12.75" hidden="false" customHeight="false" outlineLevel="0" collapsed="false">
      <c r="A141" s="0" t="n">
        <f aca="false">B141*1000+C141</f>
        <v>6007</v>
      </c>
      <c r="B141" s="0" t="n">
        <v>6</v>
      </c>
      <c r="C141" s="0" t="n">
        <v>7</v>
      </c>
      <c r="D141" s="0" t="n">
        <v>260</v>
      </c>
      <c r="E141" s="0" t="n">
        <f aca="false">VLOOKUP(B141,'Babblefish-APUMA'!$A$1:$B$86,2)</f>
        <v>6</v>
      </c>
      <c r="F141" s="0" t="n">
        <f aca="false">IF(C141&gt;1,IF(C141&lt;99,VLOOKUP(C141,'Babblefish-APUMA'!$A$1:$B$86,2),C141),C141)</f>
        <v>7</v>
      </c>
    </row>
    <row r="142" customFormat="false" ht="12.75" hidden="false" customHeight="false" outlineLevel="0" collapsed="false">
      <c r="A142" s="0" t="n">
        <f aca="false">B142*1000+C142</f>
        <v>6008</v>
      </c>
      <c r="B142" s="0" t="n">
        <v>6</v>
      </c>
      <c r="C142" s="0" t="n">
        <v>8</v>
      </c>
      <c r="D142" s="0" t="n">
        <v>1651</v>
      </c>
      <c r="E142" s="0" t="n">
        <f aca="false">VLOOKUP(B142,'Babblefish-APUMA'!$A$1:$B$86,2)</f>
        <v>6</v>
      </c>
      <c r="F142" s="0" t="n">
        <f aca="false">IF(C142&gt;1,IF(C142&lt;99,VLOOKUP(C142,'Babblefish-APUMA'!$A$1:$B$86,2),C142),C142)</f>
        <v>8</v>
      </c>
    </row>
    <row r="143" customFormat="false" ht="12.75" hidden="false" customHeight="false" outlineLevel="0" collapsed="false">
      <c r="A143" s="0" t="n">
        <f aca="false">B143*1000+C143</f>
        <v>6009</v>
      </c>
      <c r="B143" s="0" t="n">
        <v>6</v>
      </c>
      <c r="C143" s="0" t="n">
        <v>9</v>
      </c>
      <c r="D143" s="0" t="n">
        <v>117</v>
      </c>
      <c r="E143" s="0" t="n">
        <f aca="false">VLOOKUP(B143,'Babblefish-APUMA'!$A$1:$B$86,2)</f>
        <v>6</v>
      </c>
      <c r="F143" s="0" t="n">
        <f aca="false">IF(C143&gt;1,IF(C143&lt;99,VLOOKUP(C143,'Babblefish-APUMA'!$A$1:$B$86,2),C143),C143)</f>
        <v>9</v>
      </c>
    </row>
    <row r="144" customFormat="false" ht="12.75" hidden="false" customHeight="false" outlineLevel="0" collapsed="false">
      <c r="A144" s="0" t="n">
        <f aca="false">B144*1000+C144</f>
        <v>6010</v>
      </c>
      <c r="B144" s="0" t="n">
        <v>6</v>
      </c>
      <c r="C144" s="0" t="n">
        <v>10</v>
      </c>
      <c r="D144" s="0" t="n">
        <v>0</v>
      </c>
      <c r="E144" s="0" t="n">
        <f aca="false">VLOOKUP(B144,'Babblefish-APUMA'!$A$1:$B$86,2)</f>
        <v>6</v>
      </c>
      <c r="F144" s="0" t="n">
        <f aca="false">IF(C144&gt;1,IF(C144&lt;99,VLOOKUP(C144,'Babblefish-APUMA'!$A$1:$B$86,2),C144),C144)</f>
        <v>10</v>
      </c>
    </row>
    <row r="145" customFormat="false" ht="12.75" hidden="false" customHeight="false" outlineLevel="0" collapsed="false">
      <c r="A145" s="0" t="n">
        <f aca="false">B145*1000+C145</f>
        <v>6011</v>
      </c>
      <c r="B145" s="0" t="n">
        <v>6</v>
      </c>
      <c r="C145" s="0" t="n">
        <v>11</v>
      </c>
      <c r="D145" s="0" t="n">
        <v>117</v>
      </c>
      <c r="E145" s="0" t="n">
        <f aca="false">VLOOKUP(B145,'Babblefish-APUMA'!$A$1:$B$86,2)</f>
        <v>6</v>
      </c>
      <c r="F145" s="0" t="n">
        <f aca="false">IF(C145&gt;1,IF(C145&lt;99,VLOOKUP(C145,'Babblefish-APUMA'!$A$1:$B$86,2),C145),C145)</f>
        <v>11</v>
      </c>
    </row>
    <row r="146" customFormat="false" ht="12.75" hidden="false" customHeight="false" outlineLevel="0" collapsed="false">
      <c r="A146" s="0" t="n">
        <f aca="false">B146*1000+C146</f>
        <v>6013</v>
      </c>
      <c r="B146" s="0" t="n">
        <v>6</v>
      </c>
      <c r="C146" s="0" t="n">
        <v>13</v>
      </c>
      <c r="D146" s="0" t="n">
        <v>0</v>
      </c>
      <c r="E146" s="0" t="n">
        <f aca="false">VLOOKUP(B146,'Babblefish-APUMA'!$A$1:$B$86,2)</f>
        <v>6</v>
      </c>
      <c r="F146" s="0" t="n">
        <f aca="false">IF(C146&gt;1,IF(C146&lt;99,VLOOKUP(C146,'Babblefish-APUMA'!$A$1:$B$86,2),C146),C146)</f>
        <v>100</v>
      </c>
    </row>
    <row r="147" customFormat="false" ht="12.75" hidden="false" customHeight="false" outlineLevel="0" collapsed="false">
      <c r="A147" s="0" t="n">
        <f aca="false">B147*1000+C147</f>
        <v>6014</v>
      </c>
      <c r="B147" s="0" t="n">
        <v>6</v>
      </c>
      <c r="C147" s="0" t="n">
        <v>14</v>
      </c>
      <c r="D147" s="0" t="n">
        <v>0</v>
      </c>
      <c r="E147" s="0" t="n">
        <f aca="false">VLOOKUP(B147,'Babblefish-APUMA'!$A$1:$B$86,2)</f>
        <v>6</v>
      </c>
      <c r="F147" s="0" t="n">
        <f aca="false">IF(C147&gt;1,IF(C147&lt;99,VLOOKUP(C147,'Babblefish-APUMA'!$A$1:$B$86,2),C147),C147)</f>
        <v>100</v>
      </c>
    </row>
    <row r="148" customFormat="false" ht="12.75" hidden="false" customHeight="false" outlineLevel="0" collapsed="false">
      <c r="A148" s="0" t="n">
        <f aca="false">B148*1000+C148</f>
        <v>6015</v>
      </c>
      <c r="B148" s="0" t="n">
        <v>6</v>
      </c>
      <c r="C148" s="0" t="n">
        <v>15</v>
      </c>
      <c r="D148" s="0" t="n">
        <v>0</v>
      </c>
      <c r="E148" s="0" t="n">
        <f aca="false">VLOOKUP(B148,'Babblefish-APUMA'!$A$1:$B$86,2)</f>
        <v>6</v>
      </c>
      <c r="F148" s="0" t="n">
        <f aca="false">IF(C148&gt;1,IF(C148&lt;99,VLOOKUP(C148,'Babblefish-APUMA'!$A$1:$B$86,2),C148),C148)</f>
        <v>15</v>
      </c>
    </row>
    <row r="149" customFormat="false" ht="12.75" hidden="false" customHeight="false" outlineLevel="0" collapsed="false">
      <c r="A149" s="0" t="n">
        <f aca="false">B149*1000+C149</f>
        <v>6016</v>
      </c>
      <c r="B149" s="0" t="n">
        <v>6</v>
      </c>
      <c r="C149" s="0" t="n">
        <v>16</v>
      </c>
      <c r="D149" s="0" t="n">
        <v>117</v>
      </c>
      <c r="E149" s="0" t="n">
        <f aca="false">VLOOKUP(B149,'Babblefish-APUMA'!$A$1:$B$86,2)</f>
        <v>6</v>
      </c>
      <c r="F149" s="0" t="n">
        <f aca="false">IF(C149&gt;1,IF(C149&lt;99,VLOOKUP(C149,'Babblefish-APUMA'!$A$1:$B$86,2),C149),C149)</f>
        <v>99</v>
      </c>
    </row>
    <row r="150" customFormat="false" ht="12.75" hidden="false" customHeight="false" outlineLevel="0" collapsed="false">
      <c r="A150" s="0" t="n">
        <f aca="false">B150*1000+C150</f>
        <v>6017</v>
      </c>
      <c r="B150" s="0" t="n">
        <v>6</v>
      </c>
      <c r="C150" s="0" t="n">
        <v>17</v>
      </c>
      <c r="D150" s="0" t="n">
        <v>0</v>
      </c>
      <c r="E150" s="0" t="n">
        <f aca="false">VLOOKUP(B150,'Babblefish-APUMA'!$A$1:$B$86,2)</f>
        <v>6</v>
      </c>
      <c r="F150" s="0" t="n">
        <f aca="false">IF(C150&gt;1,IF(C150&lt;99,VLOOKUP(C150,'Babblefish-APUMA'!$A$1:$B$86,2),C150),C150)</f>
        <v>87</v>
      </c>
    </row>
    <row r="151" customFormat="false" ht="12.75" hidden="false" customHeight="false" outlineLevel="0" collapsed="false">
      <c r="A151" s="0" t="n">
        <f aca="false">B151*1000+C151</f>
        <v>6018</v>
      </c>
      <c r="B151" s="0" t="n">
        <v>6</v>
      </c>
      <c r="C151" s="0" t="n">
        <v>18</v>
      </c>
      <c r="D151" s="0" t="n">
        <v>0</v>
      </c>
      <c r="E151" s="0" t="n">
        <f aca="false">VLOOKUP(B151,'Babblefish-APUMA'!$A$1:$B$86,2)</f>
        <v>6</v>
      </c>
      <c r="F151" s="0" t="n">
        <f aca="false">IF(C151&gt;1,IF(C151&lt;99,VLOOKUP(C151,'Babblefish-APUMA'!$A$1:$B$86,2),C151),C151)</f>
        <v>87</v>
      </c>
    </row>
    <row r="152" customFormat="false" ht="12.75" hidden="false" customHeight="false" outlineLevel="0" collapsed="false">
      <c r="A152" s="0" t="n">
        <f aca="false">B152*1000+C152</f>
        <v>6019</v>
      </c>
      <c r="B152" s="0" t="n">
        <v>6</v>
      </c>
      <c r="C152" s="0" t="n">
        <v>19</v>
      </c>
      <c r="D152" s="0" t="n">
        <v>0</v>
      </c>
      <c r="E152" s="0" t="n">
        <f aca="false">VLOOKUP(B152,'Babblefish-APUMA'!$A$1:$B$86,2)</f>
        <v>6</v>
      </c>
      <c r="F152" s="0" t="n">
        <f aca="false">IF(C152&gt;1,IF(C152&lt;99,VLOOKUP(C152,'Babblefish-APUMA'!$A$1:$B$86,2),C152),C152)</f>
        <v>19</v>
      </c>
    </row>
    <row r="153" customFormat="false" ht="12.75" hidden="false" customHeight="false" outlineLevel="0" collapsed="false">
      <c r="A153" s="0" t="n">
        <f aca="false">B153*1000+C153</f>
        <v>6021</v>
      </c>
      <c r="B153" s="0" t="n">
        <v>6</v>
      </c>
      <c r="C153" s="0" t="n">
        <v>21</v>
      </c>
      <c r="D153" s="0" t="n">
        <v>0</v>
      </c>
      <c r="E153" s="0" t="n">
        <f aca="false">VLOOKUP(B153,'Babblefish-APUMA'!$A$1:$B$86,2)</f>
        <v>6</v>
      </c>
      <c r="F153" s="0" t="n">
        <f aca="false">IF(C153&gt;1,IF(C153&lt;99,VLOOKUP(C153,'Babblefish-APUMA'!$A$1:$B$86,2),C153),C153)</f>
        <v>86</v>
      </c>
    </row>
    <row r="154" customFormat="false" ht="12.75" hidden="false" customHeight="false" outlineLevel="0" collapsed="false">
      <c r="A154" s="0" t="n">
        <f aca="false">B154*1000+C154</f>
        <v>6022</v>
      </c>
      <c r="B154" s="0" t="n">
        <v>6</v>
      </c>
      <c r="C154" s="0" t="n">
        <v>22</v>
      </c>
      <c r="D154" s="0" t="n">
        <v>0</v>
      </c>
      <c r="E154" s="0" t="n">
        <f aca="false">VLOOKUP(B154,'Babblefish-APUMA'!$A$1:$B$86,2)</f>
        <v>6</v>
      </c>
      <c r="F154" s="0" t="n">
        <f aca="false">IF(C154&gt;1,IF(C154&lt;99,VLOOKUP(C154,'Babblefish-APUMA'!$A$1:$B$86,2),C154),C154)</f>
        <v>22</v>
      </c>
    </row>
    <row r="155" customFormat="false" ht="12.75" hidden="false" customHeight="false" outlineLevel="0" collapsed="false">
      <c r="A155" s="0" t="n">
        <f aca="false">B155*1000+C155</f>
        <v>6026</v>
      </c>
      <c r="B155" s="0" t="n">
        <v>6</v>
      </c>
      <c r="C155" s="0" t="n">
        <v>26</v>
      </c>
      <c r="D155" s="0" t="n">
        <v>260</v>
      </c>
      <c r="E155" s="0" t="n">
        <f aca="false">VLOOKUP(B155,'Babblefish-APUMA'!$A$1:$B$86,2)</f>
        <v>6</v>
      </c>
      <c r="F155" s="0" t="n">
        <f aca="false">IF(C155&gt;1,IF(C155&lt;99,VLOOKUP(C155,'Babblefish-APUMA'!$A$1:$B$86,2),C155),C155)</f>
        <v>26</v>
      </c>
    </row>
    <row r="156" customFormat="false" ht="12.75" hidden="false" customHeight="false" outlineLevel="0" collapsed="false">
      <c r="A156" s="0" t="n">
        <f aca="false">B156*1000+C156</f>
        <v>6028</v>
      </c>
      <c r="B156" s="0" t="n">
        <v>6</v>
      </c>
      <c r="C156" s="0" t="n">
        <v>28</v>
      </c>
      <c r="D156" s="0" t="n">
        <v>130</v>
      </c>
      <c r="E156" s="0" t="n">
        <f aca="false">VLOOKUP(B156,'Babblefish-APUMA'!$A$1:$B$86,2)</f>
        <v>6</v>
      </c>
      <c r="F156" s="0" t="n">
        <f aca="false">IF(C156&gt;1,IF(C156&lt;99,VLOOKUP(C156,'Babblefish-APUMA'!$A$1:$B$86,2),C156),C156)</f>
        <v>94</v>
      </c>
    </row>
    <row r="157" customFormat="false" ht="12.75" hidden="false" customHeight="false" outlineLevel="0" collapsed="false">
      <c r="A157" s="0" t="n">
        <f aca="false">B157*1000+C157</f>
        <v>6034</v>
      </c>
      <c r="B157" s="0" t="n">
        <v>6</v>
      </c>
      <c r="C157" s="0" t="n">
        <v>34</v>
      </c>
      <c r="D157" s="0" t="n">
        <v>117</v>
      </c>
      <c r="E157" s="0" t="n">
        <f aca="false">VLOOKUP(B157,'Babblefish-APUMA'!$A$1:$B$86,2)</f>
        <v>6</v>
      </c>
      <c r="F157" s="0" t="n">
        <f aca="false">IF(C157&gt;1,IF(C157&lt;99,VLOOKUP(C157,'Babblefish-APUMA'!$A$1:$B$86,2),C157),C157)</f>
        <v>96</v>
      </c>
    </row>
    <row r="158" customFormat="false" ht="12.75" hidden="false" customHeight="false" outlineLevel="0" collapsed="false">
      <c r="A158" s="0" t="n">
        <f aca="false">B158*1000+C158</f>
        <v>6035</v>
      </c>
      <c r="B158" s="0" t="n">
        <v>6</v>
      </c>
      <c r="C158" s="0" t="n">
        <v>35</v>
      </c>
      <c r="D158" s="0" t="n">
        <v>0</v>
      </c>
      <c r="E158" s="0" t="n">
        <f aca="false">VLOOKUP(B158,'Babblefish-APUMA'!$A$1:$B$86,2)</f>
        <v>6</v>
      </c>
      <c r="F158" s="0" t="n">
        <f aca="false">IF(C158&gt;1,IF(C158&lt;99,VLOOKUP(C158,'Babblefish-APUMA'!$A$1:$B$86,2),C158),C158)</f>
        <v>96</v>
      </c>
    </row>
    <row r="159" customFormat="false" ht="12.75" hidden="false" customHeight="false" outlineLevel="0" collapsed="false">
      <c r="A159" s="0" t="n">
        <f aca="false">B159*1000+C159</f>
        <v>6039</v>
      </c>
      <c r="B159" s="0" t="n">
        <v>6</v>
      </c>
      <c r="C159" s="0" t="n">
        <v>39</v>
      </c>
      <c r="D159" s="0" t="n">
        <v>117</v>
      </c>
      <c r="E159" s="0" t="n">
        <f aca="false">VLOOKUP(B159,'Babblefish-APUMA'!$A$1:$B$86,2)</f>
        <v>6</v>
      </c>
      <c r="F159" s="0" t="n">
        <f aca="false">IF(C159&gt;1,IF(C159&lt;99,VLOOKUP(C159,'Babblefish-APUMA'!$A$1:$B$86,2),C159),C159)</f>
        <v>91</v>
      </c>
    </row>
    <row r="160" customFormat="false" ht="12.75" hidden="false" customHeight="false" outlineLevel="0" collapsed="false">
      <c r="A160" s="0" t="n">
        <f aca="false">B160*1000+C160</f>
        <v>6040</v>
      </c>
      <c r="B160" s="0" t="n">
        <v>6</v>
      </c>
      <c r="C160" s="0" t="n">
        <v>40</v>
      </c>
      <c r="D160" s="0" t="n">
        <v>78</v>
      </c>
      <c r="E160" s="0" t="n">
        <f aca="false">VLOOKUP(B160,'Babblefish-APUMA'!$A$1:$B$86,2)</f>
        <v>6</v>
      </c>
      <c r="F160" s="0" t="n">
        <f aca="false">IF(C160&gt;1,IF(C160&lt;99,VLOOKUP(C160,'Babblefish-APUMA'!$A$1:$B$86,2),C160),C160)</f>
        <v>88</v>
      </c>
    </row>
    <row r="161" customFormat="false" ht="12.75" hidden="false" customHeight="false" outlineLevel="0" collapsed="false">
      <c r="A161" s="0" t="n">
        <f aca="false">B161*1000+C161</f>
        <v>6049</v>
      </c>
      <c r="B161" s="0" t="n">
        <v>6</v>
      </c>
      <c r="C161" s="0" t="n">
        <v>49</v>
      </c>
      <c r="D161" s="0" t="n">
        <v>78</v>
      </c>
      <c r="E161" s="0" t="n">
        <f aca="false">VLOOKUP(B161,'Babblefish-APUMA'!$A$1:$B$86,2)</f>
        <v>6</v>
      </c>
      <c r="F161" s="0" t="n">
        <f aca="false">IF(C161&gt;1,IF(C161&lt;99,VLOOKUP(C161,'Babblefish-APUMA'!$A$1:$B$86,2),C161),C161)</f>
        <v>98</v>
      </c>
    </row>
    <row r="162" customFormat="false" ht="12.75" hidden="false" customHeight="false" outlineLevel="0" collapsed="false">
      <c r="A162" s="0" t="n">
        <f aca="false">B162*1000+C162</f>
        <v>6050</v>
      </c>
      <c r="B162" s="0" t="n">
        <v>6</v>
      </c>
      <c r="C162" s="0" t="n">
        <v>50</v>
      </c>
      <c r="D162" s="0" t="n">
        <v>78</v>
      </c>
      <c r="E162" s="0" t="n">
        <f aca="false">VLOOKUP(B162,'Babblefish-APUMA'!$A$1:$B$86,2)</f>
        <v>6</v>
      </c>
      <c r="F162" s="0" t="n">
        <f aca="false">IF(C162&gt;1,IF(C162&lt;99,VLOOKUP(C162,'Babblefish-APUMA'!$A$1:$B$86,2),C162),C162)</f>
        <v>98</v>
      </c>
    </row>
    <row r="163" customFormat="false" ht="12.75" hidden="false" customHeight="false" outlineLevel="0" collapsed="false">
      <c r="A163" s="0" t="n">
        <f aca="false">B163*1000+C163</f>
        <v>6051</v>
      </c>
      <c r="B163" s="0" t="n">
        <v>6</v>
      </c>
      <c r="C163" s="0" t="n">
        <v>51</v>
      </c>
      <c r="D163" s="0" t="n">
        <v>0</v>
      </c>
      <c r="E163" s="0" t="n">
        <f aca="false">VLOOKUP(B163,'Babblefish-APUMA'!$A$1:$B$86,2)</f>
        <v>6</v>
      </c>
      <c r="F163" s="0" t="n">
        <f aca="false">IF(C163&gt;1,IF(C163&lt;99,VLOOKUP(C163,'Babblefish-APUMA'!$A$1:$B$86,2),C163),C163)</f>
        <v>98</v>
      </c>
    </row>
    <row r="164" customFormat="false" ht="12.75" hidden="false" customHeight="false" outlineLevel="0" collapsed="false">
      <c r="A164" s="0" t="n">
        <f aca="false">B164*1000+C164</f>
        <v>6065</v>
      </c>
      <c r="B164" s="0" t="n">
        <v>6</v>
      </c>
      <c r="C164" s="0" t="n">
        <v>65</v>
      </c>
      <c r="D164" s="0" t="n">
        <v>0</v>
      </c>
      <c r="E164" s="0" t="n">
        <f aca="false">VLOOKUP(B164,'Babblefish-APUMA'!$A$1:$B$86,2)</f>
        <v>6</v>
      </c>
      <c r="F164" s="0" t="n">
        <f aca="false">IF(C164&gt;1,IF(C164&lt;99,VLOOKUP(C164,'Babblefish-APUMA'!$A$1:$B$86,2),C164),C164)</f>
        <v>90</v>
      </c>
    </row>
    <row r="165" customFormat="false" ht="12.75" hidden="false" customHeight="false" outlineLevel="0" collapsed="false">
      <c r="A165" s="0" t="n">
        <f aca="false">B165*1000+C165</f>
        <v>6069</v>
      </c>
      <c r="B165" s="0" t="n">
        <v>6</v>
      </c>
      <c r="C165" s="0" t="n">
        <v>69</v>
      </c>
      <c r="D165" s="0" t="n">
        <v>0</v>
      </c>
      <c r="E165" s="0" t="n">
        <f aca="false">VLOOKUP(B165,'Babblefish-APUMA'!$A$1:$B$86,2)</f>
        <v>6</v>
      </c>
      <c r="F165" s="0" t="n">
        <f aca="false">IF(C165&gt;1,IF(C165&lt;99,VLOOKUP(C165,'Babblefish-APUMA'!$A$1:$B$86,2),C165),C165)</f>
        <v>93</v>
      </c>
    </row>
    <row r="166" customFormat="false" ht="12.75" hidden="false" customHeight="false" outlineLevel="0" collapsed="false">
      <c r="A166" s="0" t="n">
        <f aca="false">B166*1000+C166</f>
        <v>6072</v>
      </c>
      <c r="B166" s="0" t="n">
        <v>6</v>
      </c>
      <c r="C166" s="0" t="n">
        <v>72</v>
      </c>
      <c r="D166" s="0" t="n">
        <v>0</v>
      </c>
      <c r="E166" s="0" t="n">
        <f aca="false">VLOOKUP(B166,'Babblefish-APUMA'!$A$1:$B$86,2)</f>
        <v>6</v>
      </c>
      <c r="F166" s="0" t="n">
        <f aca="false">IF(C166&gt;1,IF(C166&lt;99,VLOOKUP(C166,'Babblefish-APUMA'!$A$1:$B$86,2),C166),C166)</f>
        <v>95</v>
      </c>
    </row>
    <row r="167" customFormat="false" ht="12.75" hidden="false" customHeight="false" outlineLevel="0" collapsed="false">
      <c r="A167" s="0" t="n">
        <f aca="false">B167*1000+C167</f>
        <v>6075</v>
      </c>
      <c r="B167" s="0" t="n">
        <v>6</v>
      </c>
      <c r="C167" s="0" t="n">
        <v>75</v>
      </c>
      <c r="D167" s="0" t="n">
        <v>0</v>
      </c>
      <c r="E167" s="0" t="n">
        <f aca="false">VLOOKUP(B167,'Babblefish-APUMA'!$A$1:$B$86,2)</f>
        <v>6</v>
      </c>
      <c r="F167" s="0" t="n">
        <f aca="false">IF(C167&gt;1,IF(C167&lt;99,VLOOKUP(C167,'Babblefish-APUMA'!$A$1:$B$86,2),C167),C167)</f>
        <v>75</v>
      </c>
    </row>
    <row r="168" customFormat="false" ht="12.75" hidden="false" customHeight="false" outlineLevel="0" collapsed="false">
      <c r="A168" s="0" t="n">
        <f aca="false">B168*1000+C168</f>
        <v>6079</v>
      </c>
      <c r="B168" s="0" t="n">
        <v>6</v>
      </c>
      <c r="C168" s="0" t="n">
        <v>79</v>
      </c>
      <c r="D168" s="0" t="n">
        <v>0</v>
      </c>
      <c r="E168" s="0" t="n">
        <f aca="false">VLOOKUP(B168,'Babblefish-APUMA'!$A$1:$B$86,2)</f>
        <v>6</v>
      </c>
      <c r="F168" s="0" t="n">
        <f aca="false">IF(C168&gt;1,IF(C168&lt;99,VLOOKUP(C168,'Babblefish-APUMA'!$A$1:$B$86,2),C168),C168)</f>
        <v>89</v>
      </c>
    </row>
    <row r="169" customFormat="false" ht="12.75" hidden="false" customHeight="false" outlineLevel="0" collapsed="false">
      <c r="A169" s="0" t="n">
        <f aca="false">B169*1000+C169</f>
        <v>6999</v>
      </c>
      <c r="B169" s="0" t="n">
        <v>6</v>
      </c>
      <c r="C169" s="0" t="n">
        <v>999</v>
      </c>
      <c r="D169" s="0" t="n">
        <v>78</v>
      </c>
      <c r="E169" s="0" t="n">
        <f aca="false">VLOOKUP(B169,'Babblefish-APUMA'!$A$1:$B$86,2)</f>
        <v>6</v>
      </c>
      <c r="F169" s="0" t="n">
        <f aca="false">IF(C169&gt;1,IF(C169&lt;99,VLOOKUP(C169,'Babblefish-APUMA'!$A$1:$B$86,2),C169),C169)</f>
        <v>999</v>
      </c>
    </row>
    <row r="170" customFormat="false" ht="12.75" hidden="false" customHeight="false" outlineLevel="0" collapsed="false">
      <c r="A170" s="0" t="n">
        <f aca="false">B170*1000+C170</f>
        <v>7000</v>
      </c>
      <c r="B170" s="0" t="n">
        <v>7</v>
      </c>
      <c r="C170" s="0" t="n">
        <v>0</v>
      </c>
      <c r="D170" s="0" t="n">
        <v>61087</v>
      </c>
      <c r="E170" s="0" t="n">
        <f aca="false">VLOOKUP(B170,'Babblefish-APUMA'!$A$1:$B$86,2)</f>
        <v>7</v>
      </c>
      <c r="F170" s="0" t="n">
        <f aca="false">IF(C170&gt;1,IF(C170&lt;99,VLOOKUP(C170,'Babblefish-APUMA'!$A$1:$B$86,2),C170),C170)</f>
        <v>0</v>
      </c>
    </row>
    <row r="171" customFormat="false" ht="12.75" hidden="false" customHeight="false" outlineLevel="0" collapsed="false">
      <c r="A171" s="0" t="n">
        <f aca="false">B171*1000+C171</f>
        <v>7001</v>
      </c>
      <c r="B171" s="0" t="n">
        <v>7</v>
      </c>
      <c r="C171" s="0" t="n">
        <v>1</v>
      </c>
      <c r="D171" s="0" t="n">
        <v>104</v>
      </c>
      <c r="E171" s="0" t="n">
        <f aca="false">VLOOKUP(B171,'Babblefish-APUMA'!$A$1:$B$86,2)</f>
        <v>7</v>
      </c>
      <c r="F171" s="0" t="n">
        <f aca="false">IF(C171&gt;1,IF(C171&lt;99,VLOOKUP(C171,'Babblefish-APUMA'!$A$1:$B$86,2),C171),C171)</f>
        <v>1</v>
      </c>
    </row>
    <row r="172" customFormat="false" ht="12.75" hidden="false" customHeight="false" outlineLevel="0" collapsed="false">
      <c r="A172" s="0" t="n">
        <f aca="false">B172*1000+C172</f>
        <v>7002</v>
      </c>
      <c r="B172" s="0" t="n">
        <v>7</v>
      </c>
      <c r="C172" s="0" t="n">
        <v>2</v>
      </c>
      <c r="D172" s="0" t="n">
        <v>0</v>
      </c>
      <c r="E172" s="0" t="n">
        <f aca="false">VLOOKUP(B172,'Babblefish-APUMA'!$A$1:$B$86,2)</f>
        <v>7</v>
      </c>
      <c r="F172" s="0" t="n">
        <f aca="false">IF(C172&gt;1,IF(C172&lt;99,VLOOKUP(C172,'Babblefish-APUMA'!$A$1:$B$86,2),C172),C172)</f>
        <v>2</v>
      </c>
    </row>
    <row r="173" customFormat="false" ht="12.75" hidden="false" customHeight="false" outlineLevel="0" collapsed="false">
      <c r="A173" s="0" t="n">
        <f aca="false">B173*1000+C173</f>
        <v>7003</v>
      </c>
      <c r="B173" s="0" t="n">
        <v>7</v>
      </c>
      <c r="C173" s="0" t="n">
        <v>3</v>
      </c>
      <c r="D173" s="0" t="n">
        <v>624</v>
      </c>
      <c r="E173" s="0" t="n">
        <f aca="false">VLOOKUP(B173,'Babblefish-APUMA'!$A$1:$B$86,2)</f>
        <v>7</v>
      </c>
      <c r="F173" s="0" t="n">
        <f aca="false">IF(C173&gt;1,IF(C173&lt;99,VLOOKUP(C173,'Babblefish-APUMA'!$A$1:$B$86,2),C173),C173)</f>
        <v>3</v>
      </c>
    </row>
    <row r="174" customFormat="false" ht="12.75" hidden="false" customHeight="false" outlineLevel="0" collapsed="false">
      <c r="A174" s="0" t="n">
        <f aca="false">B174*1000+C174</f>
        <v>7004</v>
      </c>
      <c r="B174" s="0" t="n">
        <v>7</v>
      </c>
      <c r="C174" s="0" t="n">
        <v>4</v>
      </c>
      <c r="D174" s="0" t="n">
        <v>377</v>
      </c>
      <c r="E174" s="0" t="n">
        <f aca="false">VLOOKUP(B174,'Babblefish-APUMA'!$A$1:$B$86,2)</f>
        <v>7</v>
      </c>
      <c r="F174" s="0" t="n">
        <f aca="false">IF(C174&gt;1,IF(C174&lt;99,VLOOKUP(C174,'Babblefish-APUMA'!$A$1:$B$86,2),C174),C174)</f>
        <v>4</v>
      </c>
    </row>
    <row r="175" customFormat="false" ht="12.75" hidden="false" customHeight="false" outlineLevel="0" collapsed="false">
      <c r="A175" s="0" t="n">
        <f aca="false">B175*1000+C175</f>
        <v>7005</v>
      </c>
      <c r="B175" s="0" t="n">
        <v>7</v>
      </c>
      <c r="C175" s="0" t="n">
        <v>5</v>
      </c>
      <c r="D175" s="0" t="n">
        <v>78</v>
      </c>
      <c r="E175" s="0" t="n">
        <f aca="false">VLOOKUP(B175,'Babblefish-APUMA'!$A$1:$B$86,2)</f>
        <v>7</v>
      </c>
      <c r="F175" s="0" t="n">
        <f aca="false">IF(C175&gt;1,IF(C175&lt;99,VLOOKUP(C175,'Babblefish-APUMA'!$A$1:$B$86,2),C175),C175)</f>
        <v>5</v>
      </c>
    </row>
    <row r="176" customFormat="false" ht="12.75" hidden="false" customHeight="false" outlineLevel="0" collapsed="false">
      <c r="A176" s="0" t="n">
        <f aca="false">B176*1000+C176</f>
        <v>7006</v>
      </c>
      <c r="B176" s="0" t="n">
        <v>7</v>
      </c>
      <c r="C176" s="0" t="n">
        <v>6</v>
      </c>
      <c r="D176" s="0" t="n">
        <v>208</v>
      </c>
      <c r="E176" s="0" t="n">
        <f aca="false">VLOOKUP(B176,'Babblefish-APUMA'!$A$1:$B$86,2)</f>
        <v>7</v>
      </c>
      <c r="F176" s="0" t="n">
        <f aca="false">IF(C176&gt;1,IF(C176&lt;99,VLOOKUP(C176,'Babblefish-APUMA'!$A$1:$B$86,2),C176),C176)</f>
        <v>6</v>
      </c>
    </row>
    <row r="177" customFormat="false" ht="12.75" hidden="false" customHeight="false" outlineLevel="0" collapsed="false">
      <c r="A177" s="0" t="n">
        <f aca="false">B177*1000+C177</f>
        <v>7007</v>
      </c>
      <c r="B177" s="0" t="n">
        <v>7</v>
      </c>
      <c r="C177" s="0" t="n">
        <v>7</v>
      </c>
      <c r="D177" s="0" t="n">
        <v>32396</v>
      </c>
      <c r="E177" s="0" t="n">
        <f aca="false">VLOOKUP(B177,'Babblefish-APUMA'!$A$1:$B$86,2)</f>
        <v>7</v>
      </c>
      <c r="F177" s="0" t="n">
        <f aca="false">IF(C177&gt;1,IF(C177&lt;99,VLOOKUP(C177,'Babblefish-APUMA'!$A$1:$B$86,2),C177),C177)</f>
        <v>7</v>
      </c>
    </row>
    <row r="178" customFormat="false" ht="12.75" hidden="false" customHeight="false" outlineLevel="0" collapsed="false">
      <c r="A178" s="0" t="n">
        <f aca="false">B178*1000+C178</f>
        <v>7008</v>
      </c>
      <c r="B178" s="0" t="n">
        <v>7</v>
      </c>
      <c r="C178" s="0" t="n">
        <v>8</v>
      </c>
      <c r="D178" s="0" t="n">
        <v>650</v>
      </c>
      <c r="E178" s="0" t="n">
        <f aca="false">VLOOKUP(B178,'Babblefish-APUMA'!$A$1:$B$86,2)</f>
        <v>7</v>
      </c>
      <c r="F178" s="0" t="n">
        <f aca="false">IF(C178&gt;1,IF(C178&lt;99,VLOOKUP(C178,'Babblefish-APUMA'!$A$1:$B$86,2),C178),C178)</f>
        <v>8</v>
      </c>
    </row>
    <row r="179" customFormat="false" ht="12.75" hidden="false" customHeight="false" outlineLevel="0" collapsed="false">
      <c r="A179" s="0" t="n">
        <f aca="false">B179*1000+C179</f>
        <v>7009</v>
      </c>
      <c r="B179" s="0" t="n">
        <v>7</v>
      </c>
      <c r="C179" s="0" t="n">
        <v>9</v>
      </c>
      <c r="D179" s="0" t="n">
        <v>78</v>
      </c>
      <c r="E179" s="0" t="n">
        <f aca="false">VLOOKUP(B179,'Babblefish-APUMA'!$A$1:$B$86,2)</f>
        <v>7</v>
      </c>
      <c r="F179" s="0" t="n">
        <f aca="false">IF(C179&gt;1,IF(C179&lt;99,VLOOKUP(C179,'Babblefish-APUMA'!$A$1:$B$86,2),C179),C179)</f>
        <v>9</v>
      </c>
    </row>
    <row r="180" customFormat="false" ht="12.75" hidden="false" customHeight="false" outlineLevel="0" collapsed="false">
      <c r="A180" s="0" t="n">
        <f aca="false">B180*1000+C180</f>
        <v>7010</v>
      </c>
      <c r="B180" s="0" t="n">
        <v>7</v>
      </c>
      <c r="C180" s="0" t="n">
        <v>10</v>
      </c>
      <c r="D180" s="0" t="n">
        <v>0</v>
      </c>
      <c r="E180" s="0" t="n">
        <f aca="false">VLOOKUP(B180,'Babblefish-APUMA'!$A$1:$B$86,2)</f>
        <v>7</v>
      </c>
      <c r="F180" s="0" t="n">
        <f aca="false">IF(C180&gt;1,IF(C180&lt;99,VLOOKUP(C180,'Babblefish-APUMA'!$A$1:$B$86,2),C180),C180)</f>
        <v>10</v>
      </c>
    </row>
    <row r="181" customFormat="false" ht="12.75" hidden="false" customHeight="false" outlineLevel="0" collapsed="false">
      <c r="A181" s="0" t="n">
        <f aca="false">B181*1000+C181</f>
        <v>7011</v>
      </c>
      <c r="B181" s="0" t="n">
        <v>7</v>
      </c>
      <c r="C181" s="0" t="n">
        <v>11</v>
      </c>
      <c r="D181" s="0" t="n">
        <v>3822</v>
      </c>
      <c r="E181" s="0" t="n">
        <f aca="false">VLOOKUP(B181,'Babblefish-APUMA'!$A$1:$B$86,2)</f>
        <v>7</v>
      </c>
      <c r="F181" s="0" t="n">
        <f aca="false">IF(C181&gt;1,IF(C181&lt;99,VLOOKUP(C181,'Babblefish-APUMA'!$A$1:$B$86,2),C181),C181)</f>
        <v>11</v>
      </c>
    </row>
    <row r="182" customFormat="false" ht="12.75" hidden="false" customHeight="false" outlineLevel="0" collapsed="false">
      <c r="A182" s="0" t="n">
        <f aca="false">B182*1000+C182</f>
        <v>7013</v>
      </c>
      <c r="B182" s="0" t="n">
        <v>7</v>
      </c>
      <c r="C182" s="0" t="n">
        <v>13</v>
      </c>
      <c r="D182" s="0" t="n">
        <v>0</v>
      </c>
      <c r="E182" s="0" t="n">
        <f aca="false">VLOOKUP(B182,'Babblefish-APUMA'!$A$1:$B$86,2)</f>
        <v>7</v>
      </c>
      <c r="F182" s="0" t="n">
        <f aca="false">IF(C182&gt;1,IF(C182&lt;99,VLOOKUP(C182,'Babblefish-APUMA'!$A$1:$B$86,2),C182),C182)</f>
        <v>100</v>
      </c>
    </row>
    <row r="183" customFormat="false" ht="12.75" hidden="false" customHeight="false" outlineLevel="0" collapsed="false">
      <c r="A183" s="0" t="n">
        <f aca="false">B183*1000+C183</f>
        <v>7014</v>
      </c>
      <c r="B183" s="0" t="n">
        <v>7</v>
      </c>
      <c r="C183" s="0" t="n">
        <v>14</v>
      </c>
      <c r="D183" s="0" t="n">
        <v>156</v>
      </c>
      <c r="E183" s="0" t="n">
        <f aca="false">VLOOKUP(B183,'Babblefish-APUMA'!$A$1:$B$86,2)</f>
        <v>7</v>
      </c>
      <c r="F183" s="0" t="n">
        <f aca="false">IF(C183&gt;1,IF(C183&lt;99,VLOOKUP(C183,'Babblefish-APUMA'!$A$1:$B$86,2),C183),C183)</f>
        <v>100</v>
      </c>
    </row>
    <row r="184" customFormat="false" ht="12.75" hidden="false" customHeight="false" outlineLevel="0" collapsed="false">
      <c r="A184" s="0" t="n">
        <f aca="false">B184*1000+C184</f>
        <v>7015</v>
      </c>
      <c r="B184" s="0" t="n">
        <v>7</v>
      </c>
      <c r="C184" s="0" t="n">
        <v>15</v>
      </c>
      <c r="D184" s="0" t="n">
        <v>0</v>
      </c>
      <c r="E184" s="0" t="n">
        <f aca="false">VLOOKUP(B184,'Babblefish-APUMA'!$A$1:$B$86,2)</f>
        <v>7</v>
      </c>
      <c r="F184" s="0" t="n">
        <f aca="false">IF(C184&gt;1,IF(C184&lt;99,VLOOKUP(C184,'Babblefish-APUMA'!$A$1:$B$86,2),C184),C184)</f>
        <v>15</v>
      </c>
    </row>
    <row r="185" customFormat="false" ht="12.75" hidden="false" customHeight="false" outlineLevel="0" collapsed="false">
      <c r="A185" s="0" t="n">
        <f aca="false">B185*1000+C185</f>
        <v>7016</v>
      </c>
      <c r="B185" s="0" t="n">
        <v>7</v>
      </c>
      <c r="C185" s="0" t="n">
        <v>16</v>
      </c>
      <c r="D185" s="0" t="n">
        <v>0</v>
      </c>
      <c r="E185" s="0" t="n">
        <f aca="false">VLOOKUP(B185,'Babblefish-APUMA'!$A$1:$B$86,2)</f>
        <v>7</v>
      </c>
      <c r="F185" s="0" t="n">
        <f aca="false">IF(C185&gt;1,IF(C185&lt;99,VLOOKUP(C185,'Babblefish-APUMA'!$A$1:$B$86,2),C185),C185)</f>
        <v>99</v>
      </c>
    </row>
    <row r="186" customFormat="false" ht="12.75" hidden="false" customHeight="false" outlineLevel="0" collapsed="false">
      <c r="A186" s="0" t="n">
        <f aca="false">B186*1000+C186</f>
        <v>7017</v>
      </c>
      <c r="B186" s="0" t="n">
        <v>7</v>
      </c>
      <c r="C186" s="0" t="n">
        <v>17</v>
      </c>
      <c r="D186" s="0" t="n">
        <v>0</v>
      </c>
      <c r="E186" s="0" t="n">
        <f aca="false">VLOOKUP(B186,'Babblefish-APUMA'!$A$1:$B$86,2)</f>
        <v>7</v>
      </c>
      <c r="F186" s="0" t="n">
        <f aca="false">IF(C186&gt;1,IF(C186&lt;99,VLOOKUP(C186,'Babblefish-APUMA'!$A$1:$B$86,2),C186),C186)</f>
        <v>87</v>
      </c>
    </row>
    <row r="187" customFormat="false" ht="12.75" hidden="false" customHeight="false" outlineLevel="0" collapsed="false">
      <c r="A187" s="0" t="n">
        <f aca="false">B187*1000+C187</f>
        <v>7018</v>
      </c>
      <c r="B187" s="0" t="n">
        <v>7</v>
      </c>
      <c r="C187" s="0" t="n">
        <v>18</v>
      </c>
      <c r="D187" s="0" t="n">
        <v>91</v>
      </c>
      <c r="E187" s="0" t="n">
        <f aca="false">VLOOKUP(B187,'Babblefish-APUMA'!$A$1:$B$86,2)</f>
        <v>7</v>
      </c>
      <c r="F187" s="0" t="n">
        <f aca="false">IF(C187&gt;1,IF(C187&lt;99,VLOOKUP(C187,'Babblefish-APUMA'!$A$1:$B$86,2),C187),C187)</f>
        <v>87</v>
      </c>
    </row>
    <row r="188" customFormat="false" ht="12.75" hidden="false" customHeight="false" outlineLevel="0" collapsed="false">
      <c r="A188" s="0" t="n">
        <f aca="false">B188*1000+C188</f>
        <v>7019</v>
      </c>
      <c r="B188" s="0" t="n">
        <v>7</v>
      </c>
      <c r="C188" s="0" t="n">
        <v>19</v>
      </c>
      <c r="D188" s="0" t="n">
        <v>117</v>
      </c>
      <c r="E188" s="0" t="n">
        <f aca="false">VLOOKUP(B188,'Babblefish-APUMA'!$A$1:$B$86,2)</f>
        <v>7</v>
      </c>
      <c r="F188" s="0" t="n">
        <f aca="false">IF(C188&gt;1,IF(C188&lt;99,VLOOKUP(C188,'Babblefish-APUMA'!$A$1:$B$86,2),C188),C188)</f>
        <v>19</v>
      </c>
    </row>
    <row r="189" customFormat="false" ht="12.75" hidden="false" customHeight="false" outlineLevel="0" collapsed="false">
      <c r="A189" s="0" t="n">
        <f aca="false">B189*1000+C189</f>
        <v>7020</v>
      </c>
      <c r="B189" s="0" t="n">
        <v>7</v>
      </c>
      <c r="C189" s="0" t="n">
        <v>20</v>
      </c>
      <c r="D189" s="0" t="n">
        <v>221</v>
      </c>
      <c r="E189" s="0" t="n">
        <f aca="false">VLOOKUP(B189,'Babblefish-APUMA'!$A$1:$B$86,2)</f>
        <v>7</v>
      </c>
      <c r="F189" s="0" t="n">
        <f aca="false">IF(C189&gt;1,IF(C189&lt;99,VLOOKUP(C189,'Babblefish-APUMA'!$A$1:$B$86,2),C189),C189)</f>
        <v>86</v>
      </c>
    </row>
    <row r="190" customFormat="false" ht="12.75" hidden="false" customHeight="false" outlineLevel="0" collapsed="false">
      <c r="A190" s="0" t="n">
        <f aca="false">B190*1000+C190</f>
        <v>7021</v>
      </c>
      <c r="B190" s="0" t="n">
        <v>7</v>
      </c>
      <c r="C190" s="0" t="n">
        <v>21</v>
      </c>
      <c r="D190" s="0" t="n">
        <v>0</v>
      </c>
      <c r="E190" s="0" t="n">
        <f aca="false">VLOOKUP(B190,'Babblefish-APUMA'!$A$1:$B$86,2)</f>
        <v>7</v>
      </c>
      <c r="F190" s="0" t="n">
        <f aca="false">IF(C190&gt;1,IF(C190&lt;99,VLOOKUP(C190,'Babblefish-APUMA'!$A$1:$B$86,2),C190),C190)</f>
        <v>86</v>
      </c>
    </row>
    <row r="191" customFormat="false" ht="12.75" hidden="false" customHeight="false" outlineLevel="0" collapsed="false">
      <c r="A191" s="0" t="n">
        <f aca="false">B191*1000+C191</f>
        <v>7022</v>
      </c>
      <c r="B191" s="0" t="n">
        <v>7</v>
      </c>
      <c r="C191" s="0" t="n">
        <v>22</v>
      </c>
      <c r="D191" s="0" t="n">
        <v>117</v>
      </c>
      <c r="E191" s="0" t="n">
        <f aca="false">VLOOKUP(B191,'Babblefish-APUMA'!$A$1:$B$86,2)</f>
        <v>7</v>
      </c>
      <c r="F191" s="0" t="n">
        <f aca="false">IF(C191&gt;1,IF(C191&lt;99,VLOOKUP(C191,'Babblefish-APUMA'!$A$1:$B$86,2),C191),C191)</f>
        <v>22</v>
      </c>
    </row>
    <row r="192" customFormat="false" ht="12.75" hidden="false" customHeight="false" outlineLevel="0" collapsed="false">
      <c r="A192" s="0" t="n">
        <f aca="false">B192*1000+C192</f>
        <v>7023</v>
      </c>
      <c r="B192" s="0" t="n">
        <v>7</v>
      </c>
      <c r="C192" s="0" t="n">
        <v>23</v>
      </c>
      <c r="D192" s="0" t="n">
        <v>143</v>
      </c>
      <c r="E192" s="0" t="n">
        <f aca="false">VLOOKUP(B192,'Babblefish-APUMA'!$A$1:$B$86,2)</f>
        <v>7</v>
      </c>
      <c r="F192" s="0" t="n">
        <f aca="false">IF(C192&gt;1,IF(C192&lt;99,VLOOKUP(C192,'Babblefish-APUMA'!$A$1:$B$86,2),C192),C192)</f>
        <v>97</v>
      </c>
    </row>
    <row r="193" customFormat="false" ht="12.75" hidden="false" customHeight="false" outlineLevel="0" collapsed="false">
      <c r="A193" s="0" t="n">
        <f aca="false">B193*1000+C193</f>
        <v>7024</v>
      </c>
      <c r="B193" s="0" t="n">
        <v>7</v>
      </c>
      <c r="C193" s="0" t="n">
        <v>24</v>
      </c>
      <c r="D193" s="0" t="n">
        <v>143</v>
      </c>
      <c r="E193" s="0" t="n">
        <f aca="false">VLOOKUP(B193,'Babblefish-APUMA'!$A$1:$B$86,2)</f>
        <v>7</v>
      </c>
      <c r="F193" s="0" t="n">
        <f aca="false">IF(C193&gt;1,IF(C193&lt;99,VLOOKUP(C193,'Babblefish-APUMA'!$A$1:$B$86,2),C193),C193)</f>
        <v>101</v>
      </c>
    </row>
    <row r="194" customFormat="false" ht="12.75" hidden="false" customHeight="false" outlineLevel="0" collapsed="false">
      <c r="A194" s="0" t="n">
        <f aca="false">B194*1000+C194</f>
        <v>7026</v>
      </c>
      <c r="B194" s="0" t="n">
        <v>7</v>
      </c>
      <c r="C194" s="0" t="n">
        <v>26</v>
      </c>
      <c r="D194" s="0" t="n">
        <v>91</v>
      </c>
      <c r="E194" s="0" t="n">
        <f aca="false">VLOOKUP(B194,'Babblefish-APUMA'!$A$1:$B$86,2)</f>
        <v>7</v>
      </c>
      <c r="F194" s="0" t="n">
        <f aca="false">IF(C194&gt;1,IF(C194&lt;99,VLOOKUP(C194,'Babblefish-APUMA'!$A$1:$B$86,2),C194),C194)</f>
        <v>26</v>
      </c>
    </row>
    <row r="195" customFormat="false" ht="12.75" hidden="false" customHeight="false" outlineLevel="0" collapsed="false">
      <c r="A195" s="0" t="n">
        <f aca="false">B195*1000+C195</f>
        <v>7028</v>
      </c>
      <c r="B195" s="0" t="n">
        <v>7</v>
      </c>
      <c r="C195" s="0" t="n">
        <v>28</v>
      </c>
      <c r="D195" s="0" t="n">
        <v>689</v>
      </c>
      <c r="E195" s="0" t="n">
        <f aca="false">VLOOKUP(B195,'Babblefish-APUMA'!$A$1:$B$86,2)</f>
        <v>7</v>
      </c>
      <c r="F195" s="0" t="n">
        <f aca="false">IF(C195&gt;1,IF(C195&lt;99,VLOOKUP(C195,'Babblefish-APUMA'!$A$1:$B$86,2),C195),C195)</f>
        <v>94</v>
      </c>
    </row>
    <row r="196" customFormat="false" ht="12.75" hidden="false" customHeight="false" outlineLevel="0" collapsed="false">
      <c r="A196" s="0" t="n">
        <f aca="false">B196*1000+C196</f>
        <v>7029</v>
      </c>
      <c r="B196" s="0" t="n">
        <v>7</v>
      </c>
      <c r="C196" s="0" t="n">
        <v>29</v>
      </c>
      <c r="D196" s="0" t="n">
        <v>546</v>
      </c>
      <c r="E196" s="0" t="n">
        <f aca="false">VLOOKUP(B196,'Babblefish-APUMA'!$A$1:$B$86,2)</f>
        <v>7</v>
      </c>
      <c r="F196" s="0" t="n">
        <f aca="false">IF(C196&gt;1,IF(C196&lt;99,VLOOKUP(C196,'Babblefish-APUMA'!$A$1:$B$86,2),C196),C196)</f>
        <v>94</v>
      </c>
    </row>
    <row r="197" customFormat="false" ht="12.75" hidden="false" customHeight="false" outlineLevel="0" collapsed="false">
      <c r="A197" s="0" t="n">
        <f aca="false">B197*1000+C197</f>
        <v>7033</v>
      </c>
      <c r="B197" s="0" t="n">
        <v>7</v>
      </c>
      <c r="C197" s="0" t="n">
        <v>33</v>
      </c>
      <c r="D197" s="0" t="n">
        <v>130</v>
      </c>
      <c r="E197" s="0" t="n">
        <f aca="false">VLOOKUP(B197,'Babblefish-APUMA'!$A$1:$B$86,2)</f>
        <v>7</v>
      </c>
      <c r="F197" s="0" t="n">
        <f aca="false">IF(C197&gt;1,IF(C197&lt;99,VLOOKUP(C197,'Babblefish-APUMA'!$A$1:$B$86,2),C197),C197)</f>
        <v>96</v>
      </c>
    </row>
    <row r="198" customFormat="false" ht="12.75" hidden="false" customHeight="false" outlineLevel="0" collapsed="false">
      <c r="A198" s="0" t="n">
        <f aca="false">B198*1000+C198</f>
        <v>7034</v>
      </c>
      <c r="B198" s="0" t="n">
        <v>7</v>
      </c>
      <c r="C198" s="0" t="n">
        <v>34</v>
      </c>
      <c r="D198" s="0" t="n">
        <v>0</v>
      </c>
      <c r="E198" s="0" t="n">
        <f aca="false">VLOOKUP(B198,'Babblefish-APUMA'!$A$1:$B$86,2)</f>
        <v>7</v>
      </c>
      <c r="F198" s="0" t="n">
        <f aca="false">IF(C198&gt;1,IF(C198&lt;99,VLOOKUP(C198,'Babblefish-APUMA'!$A$1:$B$86,2),C198),C198)</f>
        <v>96</v>
      </c>
    </row>
    <row r="199" customFormat="false" ht="12.75" hidden="false" customHeight="false" outlineLevel="0" collapsed="false">
      <c r="A199" s="0" t="n">
        <f aca="false">B199*1000+C199</f>
        <v>7035</v>
      </c>
      <c r="B199" s="0" t="n">
        <v>7</v>
      </c>
      <c r="C199" s="0" t="n">
        <v>35</v>
      </c>
      <c r="D199" s="0" t="n">
        <v>0</v>
      </c>
      <c r="E199" s="0" t="n">
        <f aca="false">VLOOKUP(B199,'Babblefish-APUMA'!$A$1:$B$86,2)</f>
        <v>7</v>
      </c>
      <c r="F199" s="0" t="n">
        <f aca="false">IF(C199&gt;1,IF(C199&lt;99,VLOOKUP(C199,'Babblefish-APUMA'!$A$1:$B$86,2),C199),C199)</f>
        <v>96</v>
      </c>
    </row>
    <row r="200" customFormat="false" ht="12.75" hidden="false" customHeight="false" outlineLevel="0" collapsed="false">
      <c r="A200" s="0" t="n">
        <f aca="false">B200*1000+C200</f>
        <v>7037</v>
      </c>
      <c r="B200" s="0" t="n">
        <v>7</v>
      </c>
      <c r="C200" s="0" t="n">
        <v>37</v>
      </c>
      <c r="D200" s="0" t="n">
        <v>52</v>
      </c>
      <c r="E200" s="0" t="n">
        <f aca="false">VLOOKUP(B200,'Babblefish-APUMA'!$A$1:$B$86,2)</f>
        <v>7</v>
      </c>
      <c r="F200" s="0" t="n">
        <f aca="false">IF(C200&gt;1,IF(C200&lt;99,VLOOKUP(C200,'Babblefish-APUMA'!$A$1:$B$86,2),C200),C200)</f>
        <v>96</v>
      </c>
    </row>
    <row r="201" customFormat="false" ht="12.75" hidden="false" customHeight="false" outlineLevel="0" collapsed="false">
      <c r="A201" s="0" t="n">
        <f aca="false">B201*1000+C201</f>
        <v>7039</v>
      </c>
      <c r="B201" s="0" t="n">
        <v>7</v>
      </c>
      <c r="C201" s="0" t="n">
        <v>39</v>
      </c>
      <c r="D201" s="0" t="n">
        <v>0</v>
      </c>
      <c r="E201" s="0" t="n">
        <f aca="false">VLOOKUP(B201,'Babblefish-APUMA'!$A$1:$B$86,2)</f>
        <v>7</v>
      </c>
      <c r="F201" s="0" t="n">
        <f aca="false">IF(C201&gt;1,IF(C201&lt;99,VLOOKUP(C201,'Babblefish-APUMA'!$A$1:$B$86,2),C201),C201)</f>
        <v>91</v>
      </c>
    </row>
    <row r="202" customFormat="false" ht="12.75" hidden="false" customHeight="false" outlineLevel="0" collapsed="false">
      <c r="A202" s="0" t="n">
        <f aca="false">B202*1000+C202</f>
        <v>7040</v>
      </c>
      <c r="B202" s="0" t="n">
        <v>7</v>
      </c>
      <c r="C202" s="0" t="n">
        <v>40</v>
      </c>
      <c r="D202" s="0" t="n">
        <v>0</v>
      </c>
      <c r="E202" s="0" t="n">
        <f aca="false">VLOOKUP(B202,'Babblefish-APUMA'!$A$1:$B$86,2)</f>
        <v>7</v>
      </c>
      <c r="F202" s="0" t="n">
        <f aca="false">IF(C202&gt;1,IF(C202&lt;99,VLOOKUP(C202,'Babblefish-APUMA'!$A$1:$B$86,2),C202),C202)</f>
        <v>88</v>
      </c>
    </row>
    <row r="203" customFormat="false" ht="12.75" hidden="false" customHeight="false" outlineLevel="0" collapsed="false">
      <c r="A203" s="0" t="n">
        <f aca="false">B203*1000+C203</f>
        <v>7041</v>
      </c>
      <c r="B203" s="0" t="n">
        <v>7</v>
      </c>
      <c r="C203" s="0" t="n">
        <v>41</v>
      </c>
      <c r="D203" s="0" t="n">
        <v>26</v>
      </c>
      <c r="E203" s="0" t="n">
        <f aca="false">VLOOKUP(B203,'Babblefish-APUMA'!$A$1:$B$86,2)</f>
        <v>7</v>
      </c>
      <c r="F203" s="0" t="n">
        <f aca="false">IF(C203&gt;1,IF(C203&lt;99,VLOOKUP(C203,'Babblefish-APUMA'!$A$1:$B$86,2),C203),C203)</f>
        <v>88</v>
      </c>
    </row>
    <row r="204" customFormat="false" ht="12.75" hidden="false" customHeight="false" outlineLevel="0" collapsed="false">
      <c r="A204" s="0" t="n">
        <f aca="false">B204*1000+C204</f>
        <v>7049</v>
      </c>
      <c r="B204" s="0" t="n">
        <v>7</v>
      </c>
      <c r="C204" s="0" t="n">
        <v>49</v>
      </c>
      <c r="D204" s="0" t="n">
        <v>104</v>
      </c>
      <c r="E204" s="0" t="n">
        <f aca="false">VLOOKUP(B204,'Babblefish-APUMA'!$A$1:$B$86,2)</f>
        <v>7</v>
      </c>
      <c r="F204" s="0" t="n">
        <f aca="false">IF(C204&gt;1,IF(C204&lt;99,VLOOKUP(C204,'Babblefish-APUMA'!$A$1:$B$86,2),C204),C204)</f>
        <v>98</v>
      </c>
    </row>
    <row r="205" customFormat="false" ht="12.75" hidden="false" customHeight="false" outlineLevel="0" collapsed="false">
      <c r="A205" s="0" t="n">
        <f aca="false">B205*1000+C205</f>
        <v>7050</v>
      </c>
      <c r="B205" s="0" t="n">
        <v>7</v>
      </c>
      <c r="C205" s="0" t="n">
        <v>50</v>
      </c>
      <c r="D205" s="0" t="n">
        <v>0</v>
      </c>
      <c r="E205" s="0" t="n">
        <f aca="false">VLOOKUP(B205,'Babblefish-APUMA'!$A$1:$B$86,2)</f>
        <v>7</v>
      </c>
      <c r="F205" s="0" t="n">
        <f aca="false">IF(C205&gt;1,IF(C205&lt;99,VLOOKUP(C205,'Babblefish-APUMA'!$A$1:$B$86,2),C205),C205)</f>
        <v>98</v>
      </c>
    </row>
    <row r="206" customFormat="false" ht="12.75" hidden="false" customHeight="false" outlineLevel="0" collapsed="false">
      <c r="A206" s="0" t="n">
        <f aca="false">B206*1000+C206</f>
        <v>7051</v>
      </c>
      <c r="B206" s="0" t="n">
        <v>7</v>
      </c>
      <c r="C206" s="0" t="n">
        <v>51</v>
      </c>
      <c r="D206" s="0" t="n">
        <v>0</v>
      </c>
      <c r="E206" s="0" t="n">
        <f aca="false">VLOOKUP(B206,'Babblefish-APUMA'!$A$1:$B$86,2)</f>
        <v>7</v>
      </c>
      <c r="F206" s="0" t="n">
        <f aca="false">IF(C206&gt;1,IF(C206&lt;99,VLOOKUP(C206,'Babblefish-APUMA'!$A$1:$B$86,2),C206),C206)</f>
        <v>98</v>
      </c>
    </row>
    <row r="207" customFormat="false" ht="12.75" hidden="false" customHeight="false" outlineLevel="0" collapsed="false">
      <c r="A207" s="0" t="n">
        <f aca="false">B207*1000+C207</f>
        <v>7053</v>
      </c>
      <c r="B207" s="0" t="n">
        <v>7</v>
      </c>
      <c r="C207" s="0" t="n">
        <v>53</v>
      </c>
      <c r="D207" s="0" t="n">
        <v>104</v>
      </c>
      <c r="E207" s="0" t="n">
        <f aca="false">VLOOKUP(B207,'Babblefish-APUMA'!$A$1:$B$86,2)</f>
        <v>7</v>
      </c>
      <c r="F207" s="0" t="n">
        <f aca="false">IF(C207&gt;1,IF(C207&lt;99,VLOOKUP(C207,'Babblefish-APUMA'!$A$1:$B$86,2),C207),C207)</f>
        <v>90</v>
      </c>
    </row>
    <row r="208" customFormat="false" ht="12.75" hidden="false" customHeight="false" outlineLevel="0" collapsed="false">
      <c r="A208" s="0" t="n">
        <f aca="false">B208*1000+C208</f>
        <v>7065</v>
      </c>
      <c r="B208" s="0" t="n">
        <v>7</v>
      </c>
      <c r="C208" s="0" t="n">
        <v>65</v>
      </c>
      <c r="D208" s="0" t="n">
        <v>0</v>
      </c>
      <c r="E208" s="0" t="n">
        <f aca="false">VLOOKUP(B208,'Babblefish-APUMA'!$A$1:$B$86,2)</f>
        <v>7</v>
      </c>
      <c r="F208" s="0" t="n">
        <f aca="false">IF(C208&gt;1,IF(C208&lt;99,VLOOKUP(C208,'Babblefish-APUMA'!$A$1:$B$86,2),C208),C208)</f>
        <v>90</v>
      </c>
    </row>
    <row r="209" customFormat="false" ht="12.75" hidden="false" customHeight="false" outlineLevel="0" collapsed="false">
      <c r="A209" s="0" t="n">
        <f aca="false">B209*1000+C209</f>
        <v>7069</v>
      </c>
      <c r="B209" s="0" t="n">
        <v>7</v>
      </c>
      <c r="C209" s="0" t="n">
        <v>69</v>
      </c>
      <c r="D209" s="0" t="n">
        <v>0</v>
      </c>
      <c r="E209" s="0" t="n">
        <f aca="false">VLOOKUP(B209,'Babblefish-APUMA'!$A$1:$B$86,2)</f>
        <v>7</v>
      </c>
      <c r="F209" s="0" t="n">
        <f aca="false">IF(C209&gt;1,IF(C209&lt;99,VLOOKUP(C209,'Babblefish-APUMA'!$A$1:$B$86,2),C209),C209)</f>
        <v>93</v>
      </c>
    </row>
    <row r="210" customFormat="false" ht="12.75" hidden="false" customHeight="false" outlineLevel="0" collapsed="false">
      <c r="A210" s="0" t="n">
        <f aca="false">B210*1000+C210</f>
        <v>7072</v>
      </c>
      <c r="B210" s="0" t="n">
        <v>7</v>
      </c>
      <c r="C210" s="0" t="n">
        <v>72</v>
      </c>
      <c r="D210" s="0" t="n">
        <v>0</v>
      </c>
      <c r="E210" s="0" t="n">
        <f aca="false">VLOOKUP(B210,'Babblefish-APUMA'!$A$1:$B$86,2)</f>
        <v>7</v>
      </c>
      <c r="F210" s="0" t="n">
        <f aca="false">IF(C210&gt;1,IF(C210&lt;99,VLOOKUP(C210,'Babblefish-APUMA'!$A$1:$B$86,2),C210),C210)</f>
        <v>95</v>
      </c>
    </row>
    <row r="211" customFormat="false" ht="12.75" hidden="false" customHeight="false" outlineLevel="0" collapsed="false">
      <c r="A211" s="0" t="n">
        <f aca="false">B211*1000+C211</f>
        <v>7075</v>
      </c>
      <c r="B211" s="0" t="n">
        <v>7</v>
      </c>
      <c r="C211" s="0" t="n">
        <v>75</v>
      </c>
      <c r="D211" s="0" t="n">
        <v>0</v>
      </c>
      <c r="E211" s="0" t="n">
        <f aca="false">VLOOKUP(B211,'Babblefish-APUMA'!$A$1:$B$86,2)</f>
        <v>7</v>
      </c>
      <c r="F211" s="0" t="n">
        <f aca="false">IF(C211&gt;1,IF(C211&lt;99,VLOOKUP(C211,'Babblefish-APUMA'!$A$1:$B$86,2),C211),C211)</f>
        <v>75</v>
      </c>
    </row>
    <row r="212" customFormat="false" ht="12.75" hidden="false" customHeight="false" outlineLevel="0" collapsed="false">
      <c r="A212" s="0" t="n">
        <f aca="false">B212*1000+C212</f>
        <v>7079</v>
      </c>
      <c r="B212" s="0" t="n">
        <v>7</v>
      </c>
      <c r="C212" s="0" t="n">
        <v>79</v>
      </c>
      <c r="D212" s="0" t="n">
        <v>0</v>
      </c>
      <c r="E212" s="0" t="n">
        <f aca="false">VLOOKUP(B212,'Babblefish-APUMA'!$A$1:$B$86,2)</f>
        <v>7</v>
      </c>
      <c r="F212" s="0" t="n">
        <f aca="false">IF(C212&gt;1,IF(C212&lt;99,VLOOKUP(C212,'Babblefish-APUMA'!$A$1:$B$86,2),C212),C212)</f>
        <v>89</v>
      </c>
    </row>
    <row r="213" customFormat="false" ht="12.75" hidden="false" customHeight="false" outlineLevel="0" collapsed="false">
      <c r="A213" s="0" t="n">
        <f aca="false">B213*1000+C213</f>
        <v>7999</v>
      </c>
      <c r="B213" s="0" t="n">
        <v>7</v>
      </c>
      <c r="C213" s="0" t="n">
        <v>999</v>
      </c>
      <c r="D213" s="0" t="n">
        <v>0</v>
      </c>
      <c r="E213" s="0" t="n">
        <f aca="false">VLOOKUP(B213,'Babblefish-APUMA'!$A$1:$B$86,2)</f>
        <v>7</v>
      </c>
      <c r="F213" s="0" t="n">
        <f aca="false">IF(C213&gt;1,IF(C213&lt;99,VLOOKUP(C213,'Babblefish-APUMA'!$A$1:$B$86,2),C213),C213)</f>
        <v>999</v>
      </c>
    </row>
    <row r="214" customFormat="false" ht="12.75" hidden="false" customHeight="false" outlineLevel="0" collapsed="false">
      <c r="A214" s="0" t="n">
        <f aca="false">B214*1000+C214</f>
        <v>8000</v>
      </c>
      <c r="B214" s="0" t="n">
        <v>8</v>
      </c>
      <c r="C214" s="0" t="n">
        <v>0</v>
      </c>
      <c r="D214" s="0" t="n">
        <v>74074</v>
      </c>
      <c r="E214" s="0" t="n">
        <f aca="false">VLOOKUP(B214,'Babblefish-APUMA'!$A$1:$B$86,2)</f>
        <v>8</v>
      </c>
      <c r="F214" s="0" t="n">
        <f aca="false">IF(C214&gt;1,IF(C214&lt;99,VLOOKUP(C214,'Babblefish-APUMA'!$A$1:$B$86,2),C214),C214)</f>
        <v>0</v>
      </c>
    </row>
    <row r="215" customFormat="false" ht="12.75" hidden="false" customHeight="false" outlineLevel="0" collapsed="false">
      <c r="A215" s="0" t="n">
        <f aca="false">B215*1000+C215</f>
        <v>8001</v>
      </c>
      <c r="B215" s="0" t="n">
        <v>8</v>
      </c>
      <c r="C215" s="0" t="n">
        <v>1</v>
      </c>
      <c r="D215" s="0" t="n">
        <v>0</v>
      </c>
      <c r="E215" s="0" t="n">
        <f aca="false">VLOOKUP(B215,'Babblefish-APUMA'!$A$1:$B$86,2)</f>
        <v>8</v>
      </c>
      <c r="F215" s="0" t="n">
        <f aca="false">IF(C215&gt;1,IF(C215&lt;99,VLOOKUP(C215,'Babblefish-APUMA'!$A$1:$B$86,2),C215),C215)</f>
        <v>1</v>
      </c>
    </row>
    <row r="216" customFormat="false" ht="12.75" hidden="false" customHeight="false" outlineLevel="0" collapsed="false">
      <c r="A216" s="0" t="n">
        <f aca="false">B216*1000+C216</f>
        <v>8002</v>
      </c>
      <c r="B216" s="0" t="n">
        <v>8</v>
      </c>
      <c r="C216" s="0" t="n">
        <v>2</v>
      </c>
      <c r="D216" s="0" t="n">
        <v>0</v>
      </c>
      <c r="E216" s="0" t="n">
        <f aca="false">VLOOKUP(B216,'Babblefish-APUMA'!$A$1:$B$86,2)</f>
        <v>8</v>
      </c>
      <c r="F216" s="0" t="n">
        <f aca="false">IF(C216&gt;1,IF(C216&lt;99,VLOOKUP(C216,'Babblefish-APUMA'!$A$1:$B$86,2),C216),C216)</f>
        <v>2</v>
      </c>
    </row>
    <row r="217" customFormat="false" ht="12.75" hidden="false" customHeight="false" outlineLevel="0" collapsed="false">
      <c r="A217" s="0" t="n">
        <f aca="false">B217*1000+C217</f>
        <v>8003</v>
      </c>
      <c r="B217" s="0" t="n">
        <v>8</v>
      </c>
      <c r="C217" s="0" t="n">
        <v>3</v>
      </c>
      <c r="D217" s="0" t="n">
        <v>0</v>
      </c>
      <c r="E217" s="0" t="n">
        <f aca="false">VLOOKUP(B217,'Babblefish-APUMA'!$A$1:$B$86,2)</f>
        <v>8</v>
      </c>
      <c r="F217" s="0" t="n">
        <f aca="false">IF(C217&gt;1,IF(C217&lt;99,VLOOKUP(C217,'Babblefish-APUMA'!$A$1:$B$86,2),C217),C217)</f>
        <v>3</v>
      </c>
    </row>
    <row r="218" customFormat="false" ht="12.75" hidden="false" customHeight="false" outlineLevel="0" collapsed="false">
      <c r="A218" s="0" t="n">
        <f aca="false">B218*1000+C218</f>
        <v>8004</v>
      </c>
      <c r="B218" s="0" t="n">
        <v>8</v>
      </c>
      <c r="C218" s="0" t="n">
        <v>4</v>
      </c>
      <c r="D218" s="0" t="n">
        <v>0</v>
      </c>
      <c r="E218" s="0" t="n">
        <f aca="false">VLOOKUP(B218,'Babblefish-APUMA'!$A$1:$B$86,2)</f>
        <v>8</v>
      </c>
      <c r="F218" s="0" t="n">
        <f aca="false">IF(C218&gt;1,IF(C218&lt;99,VLOOKUP(C218,'Babblefish-APUMA'!$A$1:$B$86,2),C218),C218)</f>
        <v>4</v>
      </c>
    </row>
    <row r="219" customFormat="false" ht="12.75" hidden="false" customHeight="false" outlineLevel="0" collapsed="false">
      <c r="A219" s="0" t="n">
        <f aca="false">B219*1000+C219</f>
        <v>8005</v>
      </c>
      <c r="B219" s="0" t="n">
        <v>8</v>
      </c>
      <c r="C219" s="0" t="n">
        <v>5</v>
      </c>
      <c r="D219" s="0" t="n">
        <v>403</v>
      </c>
      <c r="E219" s="0" t="n">
        <f aca="false">VLOOKUP(B219,'Babblefish-APUMA'!$A$1:$B$86,2)</f>
        <v>8</v>
      </c>
      <c r="F219" s="0" t="n">
        <f aca="false">IF(C219&gt;1,IF(C219&lt;99,VLOOKUP(C219,'Babblefish-APUMA'!$A$1:$B$86,2),C219),C219)</f>
        <v>5</v>
      </c>
    </row>
    <row r="220" customFormat="false" ht="12.75" hidden="false" customHeight="false" outlineLevel="0" collapsed="false">
      <c r="A220" s="0" t="n">
        <f aca="false">B220*1000+C220</f>
        <v>8006</v>
      </c>
      <c r="B220" s="0" t="n">
        <v>8</v>
      </c>
      <c r="C220" s="0" t="n">
        <v>6</v>
      </c>
      <c r="D220" s="0" t="n">
        <v>663</v>
      </c>
      <c r="E220" s="0" t="n">
        <f aca="false">VLOOKUP(B220,'Babblefish-APUMA'!$A$1:$B$86,2)</f>
        <v>8</v>
      </c>
      <c r="F220" s="0" t="n">
        <f aca="false">IF(C220&gt;1,IF(C220&lt;99,VLOOKUP(C220,'Babblefish-APUMA'!$A$1:$B$86,2),C220),C220)</f>
        <v>6</v>
      </c>
    </row>
    <row r="221" customFormat="false" ht="12.75" hidden="false" customHeight="false" outlineLevel="0" collapsed="false">
      <c r="A221" s="0" t="n">
        <f aca="false">B221*1000+C221</f>
        <v>8007</v>
      </c>
      <c r="B221" s="0" t="n">
        <v>8</v>
      </c>
      <c r="C221" s="0" t="n">
        <v>7</v>
      </c>
      <c r="D221" s="0" t="n">
        <v>312</v>
      </c>
      <c r="E221" s="0" t="n">
        <f aca="false">VLOOKUP(B221,'Babblefish-APUMA'!$A$1:$B$86,2)</f>
        <v>8</v>
      </c>
      <c r="F221" s="0" t="n">
        <f aca="false">IF(C221&gt;1,IF(C221&lt;99,VLOOKUP(C221,'Babblefish-APUMA'!$A$1:$B$86,2),C221),C221)</f>
        <v>7</v>
      </c>
    </row>
    <row r="222" customFormat="false" ht="12.75" hidden="false" customHeight="false" outlineLevel="0" collapsed="false">
      <c r="A222" s="0" t="n">
        <f aca="false">B222*1000+C222</f>
        <v>8008</v>
      </c>
      <c r="B222" s="0" t="n">
        <v>8</v>
      </c>
      <c r="C222" s="0" t="n">
        <v>8</v>
      </c>
      <c r="D222" s="0" t="n">
        <v>38493</v>
      </c>
      <c r="E222" s="0" t="n">
        <f aca="false">VLOOKUP(B222,'Babblefish-APUMA'!$A$1:$B$86,2)</f>
        <v>8</v>
      </c>
      <c r="F222" s="0" t="n">
        <f aca="false">IF(C222&gt;1,IF(C222&lt;99,VLOOKUP(C222,'Babblefish-APUMA'!$A$1:$B$86,2),C222),C222)</f>
        <v>8</v>
      </c>
    </row>
    <row r="223" customFormat="false" ht="12.75" hidden="false" customHeight="false" outlineLevel="0" collapsed="false">
      <c r="A223" s="0" t="n">
        <f aca="false">B223*1000+C223</f>
        <v>8009</v>
      </c>
      <c r="B223" s="0" t="n">
        <v>8</v>
      </c>
      <c r="C223" s="0" t="n">
        <v>9</v>
      </c>
      <c r="D223" s="0" t="n">
        <v>0</v>
      </c>
      <c r="E223" s="0" t="n">
        <f aca="false">VLOOKUP(B223,'Babblefish-APUMA'!$A$1:$B$86,2)</f>
        <v>8</v>
      </c>
      <c r="F223" s="0" t="n">
        <f aca="false">IF(C223&gt;1,IF(C223&lt;99,VLOOKUP(C223,'Babblefish-APUMA'!$A$1:$B$86,2),C223),C223)</f>
        <v>9</v>
      </c>
    </row>
    <row r="224" customFormat="false" ht="12.75" hidden="false" customHeight="false" outlineLevel="0" collapsed="false">
      <c r="A224" s="0" t="n">
        <f aca="false">B224*1000+C224</f>
        <v>8010</v>
      </c>
      <c r="B224" s="0" t="n">
        <v>8</v>
      </c>
      <c r="C224" s="0" t="n">
        <v>10</v>
      </c>
      <c r="D224" s="0" t="n">
        <v>1521</v>
      </c>
      <c r="E224" s="0" t="n">
        <f aca="false">VLOOKUP(B224,'Babblefish-APUMA'!$A$1:$B$86,2)</f>
        <v>8</v>
      </c>
      <c r="F224" s="0" t="n">
        <f aca="false">IF(C224&gt;1,IF(C224&lt;99,VLOOKUP(C224,'Babblefish-APUMA'!$A$1:$B$86,2),C224),C224)</f>
        <v>10</v>
      </c>
    </row>
    <row r="225" customFormat="false" ht="12.75" hidden="false" customHeight="false" outlineLevel="0" collapsed="false">
      <c r="A225" s="0" t="n">
        <f aca="false">B225*1000+C225</f>
        <v>8011</v>
      </c>
      <c r="B225" s="0" t="n">
        <v>8</v>
      </c>
      <c r="C225" s="0" t="n">
        <v>11</v>
      </c>
      <c r="D225" s="0" t="n">
        <v>1196</v>
      </c>
      <c r="E225" s="0" t="n">
        <f aca="false">VLOOKUP(B225,'Babblefish-APUMA'!$A$1:$B$86,2)</f>
        <v>8</v>
      </c>
      <c r="F225" s="0" t="n">
        <f aca="false">IF(C225&gt;1,IF(C225&lt;99,VLOOKUP(C225,'Babblefish-APUMA'!$A$1:$B$86,2),C225),C225)</f>
        <v>11</v>
      </c>
    </row>
    <row r="226" customFormat="false" ht="12.75" hidden="false" customHeight="false" outlineLevel="0" collapsed="false">
      <c r="A226" s="0" t="n">
        <f aca="false">B226*1000+C226</f>
        <v>8013</v>
      </c>
      <c r="B226" s="0" t="n">
        <v>8</v>
      </c>
      <c r="C226" s="0" t="n">
        <v>13</v>
      </c>
      <c r="D226" s="0" t="n">
        <v>0</v>
      </c>
      <c r="E226" s="0" t="n">
        <f aca="false">VLOOKUP(B226,'Babblefish-APUMA'!$A$1:$B$86,2)</f>
        <v>8</v>
      </c>
      <c r="F226" s="0" t="n">
        <f aca="false">IF(C226&gt;1,IF(C226&lt;99,VLOOKUP(C226,'Babblefish-APUMA'!$A$1:$B$86,2),C226),C226)</f>
        <v>100</v>
      </c>
    </row>
    <row r="227" customFormat="false" ht="12.75" hidden="false" customHeight="false" outlineLevel="0" collapsed="false">
      <c r="A227" s="0" t="n">
        <f aca="false">B227*1000+C227</f>
        <v>8014</v>
      </c>
      <c r="B227" s="0" t="n">
        <v>8</v>
      </c>
      <c r="C227" s="0" t="n">
        <v>14</v>
      </c>
      <c r="D227" s="0" t="n">
        <v>0</v>
      </c>
      <c r="E227" s="0" t="n">
        <f aca="false">VLOOKUP(B227,'Babblefish-APUMA'!$A$1:$B$86,2)</f>
        <v>8</v>
      </c>
      <c r="F227" s="0" t="n">
        <f aca="false">IF(C227&gt;1,IF(C227&lt;99,VLOOKUP(C227,'Babblefish-APUMA'!$A$1:$B$86,2),C227),C227)</f>
        <v>100</v>
      </c>
    </row>
    <row r="228" customFormat="false" ht="12.75" hidden="false" customHeight="false" outlineLevel="0" collapsed="false">
      <c r="A228" s="0" t="n">
        <f aca="false">B228*1000+C228</f>
        <v>8015</v>
      </c>
      <c r="B228" s="0" t="n">
        <v>8</v>
      </c>
      <c r="C228" s="0" t="n">
        <v>15</v>
      </c>
      <c r="D228" s="0" t="n">
        <v>0</v>
      </c>
      <c r="E228" s="0" t="n">
        <f aca="false">VLOOKUP(B228,'Babblefish-APUMA'!$A$1:$B$86,2)</f>
        <v>8</v>
      </c>
      <c r="F228" s="0" t="n">
        <f aca="false">IF(C228&gt;1,IF(C228&lt;99,VLOOKUP(C228,'Babblefish-APUMA'!$A$1:$B$86,2),C228),C228)</f>
        <v>15</v>
      </c>
    </row>
    <row r="229" customFormat="false" ht="12.75" hidden="false" customHeight="false" outlineLevel="0" collapsed="false">
      <c r="A229" s="0" t="n">
        <f aca="false">B229*1000+C229</f>
        <v>8016</v>
      </c>
      <c r="B229" s="0" t="n">
        <v>8</v>
      </c>
      <c r="C229" s="0" t="n">
        <v>16</v>
      </c>
      <c r="D229" s="0" t="n">
        <v>364</v>
      </c>
      <c r="E229" s="0" t="n">
        <f aca="false">VLOOKUP(B229,'Babblefish-APUMA'!$A$1:$B$86,2)</f>
        <v>8</v>
      </c>
      <c r="F229" s="0" t="n">
        <f aca="false">IF(C229&gt;1,IF(C229&lt;99,VLOOKUP(C229,'Babblefish-APUMA'!$A$1:$B$86,2),C229),C229)</f>
        <v>99</v>
      </c>
    </row>
    <row r="230" customFormat="false" ht="12.75" hidden="false" customHeight="false" outlineLevel="0" collapsed="false">
      <c r="A230" s="0" t="n">
        <f aca="false">B230*1000+C230</f>
        <v>8017</v>
      </c>
      <c r="B230" s="0" t="n">
        <v>8</v>
      </c>
      <c r="C230" s="0" t="n">
        <v>17</v>
      </c>
      <c r="D230" s="0" t="n">
        <v>0</v>
      </c>
      <c r="E230" s="0" t="n">
        <f aca="false">VLOOKUP(B230,'Babblefish-APUMA'!$A$1:$B$86,2)</f>
        <v>8</v>
      </c>
      <c r="F230" s="0" t="n">
        <f aca="false">IF(C230&gt;1,IF(C230&lt;99,VLOOKUP(C230,'Babblefish-APUMA'!$A$1:$B$86,2),C230),C230)</f>
        <v>87</v>
      </c>
    </row>
    <row r="231" customFormat="false" ht="12.75" hidden="false" customHeight="false" outlineLevel="0" collapsed="false">
      <c r="A231" s="0" t="n">
        <f aca="false">B231*1000+C231</f>
        <v>8018</v>
      </c>
      <c r="B231" s="0" t="n">
        <v>8</v>
      </c>
      <c r="C231" s="0" t="n">
        <v>18</v>
      </c>
      <c r="D231" s="0" t="n">
        <v>0</v>
      </c>
      <c r="E231" s="0" t="n">
        <f aca="false">VLOOKUP(B231,'Babblefish-APUMA'!$A$1:$B$86,2)</f>
        <v>8</v>
      </c>
      <c r="F231" s="0" t="n">
        <f aca="false">IF(C231&gt;1,IF(C231&lt;99,VLOOKUP(C231,'Babblefish-APUMA'!$A$1:$B$86,2),C231),C231)</f>
        <v>87</v>
      </c>
    </row>
    <row r="232" customFormat="false" ht="12.75" hidden="false" customHeight="false" outlineLevel="0" collapsed="false">
      <c r="A232" s="0" t="n">
        <f aca="false">B232*1000+C232</f>
        <v>8019</v>
      </c>
      <c r="B232" s="0" t="n">
        <v>8</v>
      </c>
      <c r="C232" s="0" t="n">
        <v>19</v>
      </c>
      <c r="D232" s="0" t="n">
        <v>0</v>
      </c>
      <c r="E232" s="0" t="n">
        <f aca="false">VLOOKUP(B232,'Babblefish-APUMA'!$A$1:$B$86,2)</f>
        <v>8</v>
      </c>
      <c r="F232" s="0" t="n">
        <f aca="false">IF(C232&gt;1,IF(C232&lt;99,VLOOKUP(C232,'Babblefish-APUMA'!$A$1:$B$86,2),C232),C232)</f>
        <v>19</v>
      </c>
    </row>
    <row r="233" customFormat="false" ht="12.75" hidden="false" customHeight="false" outlineLevel="0" collapsed="false">
      <c r="A233" s="0" t="n">
        <f aca="false">B233*1000+C233</f>
        <v>8020</v>
      </c>
      <c r="B233" s="0" t="n">
        <v>8</v>
      </c>
      <c r="C233" s="0" t="n">
        <v>20</v>
      </c>
      <c r="D233" s="0" t="n">
        <v>0</v>
      </c>
      <c r="E233" s="0" t="n">
        <f aca="false">VLOOKUP(B233,'Babblefish-APUMA'!$A$1:$B$86,2)</f>
        <v>8</v>
      </c>
      <c r="F233" s="0" t="n">
        <f aca="false">IF(C233&gt;1,IF(C233&lt;99,VLOOKUP(C233,'Babblefish-APUMA'!$A$1:$B$86,2),C233),C233)</f>
        <v>86</v>
      </c>
    </row>
    <row r="234" customFormat="false" ht="12.75" hidden="false" customHeight="false" outlineLevel="0" collapsed="false">
      <c r="A234" s="0" t="n">
        <f aca="false">B234*1000+C234</f>
        <v>8021</v>
      </c>
      <c r="B234" s="0" t="n">
        <v>8</v>
      </c>
      <c r="C234" s="0" t="n">
        <v>21</v>
      </c>
      <c r="D234" s="0" t="n">
        <v>91</v>
      </c>
      <c r="E234" s="0" t="n">
        <f aca="false">VLOOKUP(B234,'Babblefish-APUMA'!$A$1:$B$86,2)</f>
        <v>8</v>
      </c>
      <c r="F234" s="0" t="n">
        <f aca="false">IF(C234&gt;1,IF(C234&lt;99,VLOOKUP(C234,'Babblefish-APUMA'!$A$1:$B$86,2),C234),C234)</f>
        <v>86</v>
      </c>
    </row>
    <row r="235" customFormat="false" ht="12.75" hidden="false" customHeight="false" outlineLevel="0" collapsed="false">
      <c r="A235" s="0" t="n">
        <f aca="false">B235*1000+C235</f>
        <v>8022</v>
      </c>
      <c r="B235" s="0" t="n">
        <v>8</v>
      </c>
      <c r="C235" s="0" t="n">
        <v>22</v>
      </c>
      <c r="D235" s="0" t="n">
        <v>0</v>
      </c>
      <c r="E235" s="0" t="n">
        <f aca="false">VLOOKUP(B235,'Babblefish-APUMA'!$A$1:$B$86,2)</f>
        <v>8</v>
      </c>
      <c r="F235" s="0" t="n">
        <f aca="false">IF(C235&gt;1,IF(C235&lt;99,VLOOKUP(C235,'Babblefish-APUMA'!$A$1:$B$86,2),C235),C235)</f>
        <v>22</v>
      </c>
    </row>
    <row r="236" customFormat="false" ht="12.75" hidden="false" customHeight="false" outlineLevel="0" collapsed="false">
      <c r="A236" s="0" t="n">
        <f aca="false">B236*1000+C236</f>
        <v>8023</v>
      </c>
      <c r="B236" s="0" t="n">
        <v>8</v>
      </c>
      <c r="C236" s="0" t="n">
        <v>23</v>
      </c>
      <c r="D236" s="0" t="n">
        <v>0</v>
      </c>
      <c r="E236" s="0" t="n">
        <f aca="false">VLOOKUP(B236,'Babblefish-APUMA'!$A$1:$B$86,2)</f>
        <v>8</v>
      </c>
      <c r="F236" s="0" t="n">
        <f aca="false">IF(C236&gt;1,IF(C236&lt;99,VLOOKUP(C236,'Babblefish-APUMA'!$A$1:$B$86,2),C236),C236)</f>
        <v>97</v>
      </c>
    </row>
    <row r="237" customFormat="false" ht="12.75" hidden="false" customHeight="false" outlineLevel="0" collapsed="false">
      <c r="A237" s="0" t="n">
        <f aca="false">B237*1000+C237</f>
        <v>8024</v>
      </c>
      <c r="B237" s="0" t="n">
        <v>8</v>
      </c>
      <c r="C237" s="0" t="n">
        <v>24</v>
      </c>
      <c r="D237" s="0" t="n">
        <v>0</v>
      </c>
      <c r="E237" s="0" t="n">
        <f aca="false">VLOOKUP(B237,'Babblefish-APUMA'!$A$1:$B$86,2)</f>
        <v>8</v>
      </c>
      <c r="F237" s="0" t="n">
        <f aca="false">IF(C237&gt;1,IF(C237&lt;99,VLOOKUP(C237,'Babblefish-APUMA'!$A$1:$B$86,2),C237),C237)</f>
        <v>101</v>
      </c>
    </row>
    <row r="238" customFormat="false" ht="12.75" hidden="false" customHeight="false" outlineLevel="0" collapsed="false">
      <c r="A238" s="0" t="n">
        <f aca="false">B238*1000+C238</f>
        <v>8025</v>
      </c>
      <c r="B238" s="0" t="n">
        <v>8</v>
      </c>
      <c r="C238" s="0" t="n">
        <v>25</v>
      </c>
      <c r="D238" s="0" t="n">
        <v>78</v>
      </c>
      <c r="E238" s="0" t="n">
        <f aca="false">VLOOKUP(B238,'Babblefish-APUMA'!$A$1:$B$86,2)</f>
        <v>8</v>
      </c>
      <c r="F238" s="0" t="n">
        <f aca="false">IF(C238&gt;1,IF(C238&lt;99,VLOOKUP(C238,'Babblefish-APUMA'!$A$1:$B$86,2),C238),C238)</f>
        <v>101</v>
      </c>
    </row>
    <row r="239" customFormat="false" ht="12.75" hidden="false" customHeight="false" outlineLevel="0" collapsed="false">
      <c r="A239" s="0" t="n">
        <f aca="false">B239*1000+C239</f>
        <v>8026</v>
      </c>
      <c r="B239" s="0" t="n">
        <v>8</v>
      </c>
      <c r="C239" s="0" t="n">
        <v>26</v>
      </c>
      <c r="D239" s="0" t="n">
        <v>0</v>
      </c>
      <c r="E239" s="0" t="n">
        <f aca="false">VLOOKUP(B239,'Babblefish-APUMA'!$A$1:$B$86,2)</f>
        <v>8</v>
      </c>
      <c r="F239" s="0" t="n">
        <f aca="false">IF(C239&gt;1,IF(C239&lt;99,VLOOKUP(C239,'Babblefish-APUMA'!$A$1:$B$86,2),C239),C239)</f>
        <v>26</v>
      </c>
    </row>
    <row r="240" customFormat="false" ht="12.75" hidden="false" customHeight="false" outlineLevel="0" collapsed="false">
      <c r="A240" s="0" t="n">
        <f aca="false">B240*1000+C240</f>
        <v>8028</v>
      </c>
      <c r="B240" s="0" t="n">
        <v>8</v>
      </c>
      <c r="C240" s="0" t="n">
        <v>28</v>
      </c>
      <c r="D240" s="0" t="n">
        <v>1456</v>
      </c>
      <c r="E240" s="0" t="n">
        <f aca="false">VLOOKUP(B240,'Babblefish-APUMA'!$A$1:$B$86,2)</f>
        <v>8</v>
      </c>
      <c r="F240" s="0" t="n">
        <f aca="false">IF(C240&gt;1,IF(C240&lt;99,VLOOKUP(C240,'Babblefish-APUMA'!$A$1:$B$86,2),C240),C240)</f>
        <v>94</v>
      </c>
    </row>
    <row r="241" customFormat="false" ht="12.75" hidden="false" customHeight="false" outlineLevel="0" collapsed="false">
      <c r="A241" s="0" t="n">
        <f aca="false">B241*1000+C241</f>
        <v>8029</v>
      </c>
      <c r="B241" s="0" t="n">
        <v>8</v>
      </c>
      <c r="C241" s="0" t="n">
        <v>29</v>
      </c>
      <c r="D241" s="0" t="n">
        <v>2184</v>
      </c>
      <c r="E241" s="0" t="n">
        <f aca="false">VLOOKUP(B241,'Babblefish-APUMA'!$A$1:$B$86,2)</f>
        <v>8</v>
      </c>
      <c r="F241" s="0" t="n">
        <f aca="false">IF(C241&gt;1,IF(C241&lt;99,VLOOKUP(C241,'Babblefish-APUMA'!$A$1:$B$86,2),C241),C241)</f>
        <v>94</v>
      </c>
    </row>
    <row r="242" customFormat="false" ht="12.75" hidden="false" customHeight="false" outlineLevel="0" collapsed="false">
      <c r="A242" s="0" t="n">
        <f aca="false">B242*1000+C242</f>
        <v>8033</v>
      </c>
      <c r="B242" s="0" t="n">
        <v>8</v>
      </c>
      <c r="C242" s="0" t="n">
        <v>33</v>
      </c>
      <c r="D242" s="0" t="n">
        <v>0</v>
      </c>
      <c r="E242" s="0" t="n">
        <f aca="false">VLOOKUP(B242,'Babblefish-APUMA'!$A$1:$B$86,2)</f>
        <v>8</v>
      </c>
      <c r="F242" s="0" t="n">
        <f aca="false">IF(C242&gt;1,IF(C242&lt;99,VLOOKUP(C242,'Babblefish-APUMA'!$A$1:$B$86,2),C242),C242)</f>
        <v>96</v>
      </c>
    </row>
    <row r="243" customFormat="false" ht="12.75" hidden="false" customHeight="false" outlineLevel="0" collapsed="false">
      <c r="A243" s="0" t="n">
        <f aca="false">B243*1000+C243</f>
        <v>8034</v>
      </c>
      <c r="B243" s="0" t="n">
        <v>8</v>
      </c>
      <c r="C243" s="0" t="n">
        <v>34</v>
      </c>
      <c r="D243" s="0" t="n">
        <v>0</v>
      </c>
      <c r="E243" s="0" t="n">
        <f aca="false">VLOOKUP(B243,'Babblefish-APUMA'!$A$1:$B$86,2)</f>
        <v>8</v>
      </c>
      <c r="F243" s="0" t="n">
        <f aca="false">IF(C243&gt;1,IF(C243&lt;99,VLOOKUP(C243,'Babblefish-APUMA'!$A$1:$B$86,2),C243),C243)</f>
        <v>96</v>
      </c>
    </row>
    <row r="244" customFormat="false" ht="12.75" hidden="false" customHeight="false" outlineLevel="0" collapsed="false">
      <c r="A244" s="0" t="n">
        <f aca="false">B244*1000+C244</f>
        <v>8035</v>
      </c>
      <c r="B244" s="0" t="n">
        <v>8</v>
      </c>
      <c r="C244" s="0" t="n">
        <v>35</v>
      </c>
      <c r="D244" s="0" t="n">
        <v>0</v>
      </c>
      <c r="E244" s="0" t="n">
        <f aca="false">VLOOKUP(B244,'Babblefish-APUMA'!$A$1:$B$86,2)</f>
        <v>8</v>
      </c>
      <c r="F244" s="0" t="n">
        <f aca="false">IF(C244&gt;1,IF(C244&lt;99,VLOOKUP(C244,'Babblefish-APUMA'!$A$1:$B$86,2),C244),C244)</f>
        <v>96</v>
      </c>
    </row>
    <row r="245" customFormat="false" ht="12.75" hidden="false" customHeight="false" outlineLevel="0" collapsed="false">
      <c r="A245" s="0" t="n">
        <f aca="false">B245*1000+C245</f>
        <v>8037</v>
      </c>
      <c r="B245" s="0" t="n">
        <v>8</v>
      </c>
      <c r="C245" s="0" t="n">
        <v>37</v>
      </c>
      <c r="D245" s="0" t="n">
        <v>0</v>
      </c>
      <c r="E245" s="0" t="n">
        <f aca="false">VLOOKUP(B245,'Babblefish-APUMA'!$A$1:$B$86,2)</f>
        <v>8</v>
      </c>
      <c r="F245" s="0" t="n">
        <f aca="false">IF(C245&gt;1,IF(C245&lt;99,VLOOKUP(C245,'Babblefish-APUMA'!$A$1:$B$86,2),C245),C245)</f>
        <v>96</v>
      </c>
    </row>
    <row r="246" customFormat="false" ht="12.75" hidden="false" customHeight="false" outlineLevel="0" collapsed="false">
      <c r="A246" s="0" t="n">
        <f aca="false">B246*1000+C246</f>
        <v>8039</v>
      </c>
      <c r="B246" s="0" t="n">
        <v>8</v>
      </c>
      <c r="C246" s="0" t="n">
        <v>39</v>
      </c>
      <c r="D246" s="0" t="n">
        <v>0</v>
      </c>
      <c r="E246" s="0" t="n">
        <f aca="false">VLOOKUP(B246,'Babblefish-APUMA'!$A$1:$B$86,2)</f>
        <v>8</v>
      </c>
      <c r="F246" s="0" t="n">
        <f aca="false">IF(C246&gt;1,IF(C246&lt;99,VLOOKUP(C246,'Babblefish-APUMA'!$A$1:$B$86,2),C246),C246)</f>
        <v>91</v>
      </c>
    </row>
    <row r="247" customFormat="false" ht="12.75" hidden="false" customHeight="false" outlineLevel="0" collapsed="false">
      <c r="A247" s="0" t="n">
        <f aca="false">B247*1000+C247</f>
        <v>8040</v>
      </c>
      <c r="B247" s="0" t="n">
        <v>8</v>
      </c>
      <c r="C247" s="0" t="n">
        <v>40</v>
      </c>
      <c r="D247" s="0" t="n">
        <v>0</v>
      </c>
      <c r="E247" s="0" t="n">
        <f aca="false">VLOOKUP(B247,'Babblefish-APUMA'!$A$1:$B$86,2)</f>
        <v>8</v>
      </c>
      <c r="F247" s="0" t="n">
        <f aca="false">IF(C247&gt;1,IF(C247&lt;99,VLOOKUP(C247,'Babblefish-APUMA'!$A$1:$B$86,2),C247),C247)</f>
        <v>88</v>
      </c>
    </row>
    <row r="248" customFormat="false" ht="12.75" hidden="false" customHeight="false" outlineLevel="0" collapsed="false">
      <c r="A248" s="0" t="n">
        <f aca="false">B248*1000+C248</f>
        <v>8041</v>
      </c>
      <c r="B248" s="0" t="n">
        <v>8</v>
      </c>
      <c r="C248" s="0" t="n">
        <v>41</v>
      </c>
      <c r="D248" s="0" t="n">
        <v>0</v>
      </c>
      <c r="E248" s="0" t="n">
        <f aca="false">VLOOKUP(B248,'Babblefish-APUMA'!$A$1:$B$86,2)</f>
        <v>8</v>
      </c>
      <c r="F248" s="0" t="n">
        <f aca="false">IF(C248&gt;1,IF(C248&lt;99,VLOOKUP(C248,'Babblefish-APUMA'!$A$1:$B$86,2),C248),C248)</f>
        <v>88</v>
      </c>
    </row>
    <row r="249" customFormat="false" ht="12.75" hidden="false" customHeight="false" outlineLevel="0" collapsed="false">
      <c r="A249" s="0" t="n">
        <f aca="false">B249*1000+C249</f>
        <v>8049</v>
      </c>
      <c r="B249" s="0" t="n">
        <v>8</v>
      </c>
      <c r="C249" s="0" t="n">
        <v>49</v>
      </c>
      <c r="D249" s="0" t="n">
        <v>0</v>
      </c>
      <c r="E249" s="0" t="n">
        <f aca="false">VLOOKUP(B249,'Babblefish-APUMA'!$A$1:$B$86,2)</f>
        <v>8</v>
      </c>
      <c r="F249" s="0" t="n">
        <f aca="false">IF(C249&gt;1,IF(C249&lt;99,VLOOKUP(C249,'Babblefish-APUMA'!$A$1:$B$86,2),C249),C249)</f>
        <v>98</v>
      </c>
    </row>
    <row r="250" customFormat="false" ht="12.75" hidden="false" customHeight="false" outlineLevel="0" collapsed="false">
      <c r="A250" s="0" t="n">
        <f aca="false">B250*1000+C250</f>
        <v>8050</v>
      </c>
      <c r="B250" s="0" t="n">
        <v>8</v>
      </c>
      <c r="C250" s="0" t="n">
        <v>50</v>
      </c>
      <c r="D250" s="0" t="n">
        <v>0</v>
      </c>
      <c r="E250" s="0" t="n">
        <f aca="false">VLOOKUP(B250,'Babblefish-APUMA'!$A$1:$B$86,2)</f>
        <v>8</v>
      </c>
      <c r="F250" s="0" t="n">
        <f aca="false">IF(C250&gt;1,IF(C250&lt;99,VLOOKUP(C250,'Babblefish-APUMA'!$A$1:$B$86,2),C250),C250)</f>
        <v>98</v>
      </c>
    </row>
    <row r="251" customFormat="false" ht="12.75" hidden="false" customHeight="false" outlineLevel="0" collapsed="false">
      <c r="A251" s="0" t="n">
        <f aca="false">B251*1000+C251</f>
        <v>8051</v>
      </c>
      <c r="B251" s="0" t="n">
        <v>8</v>
      </c>
      <c r="C251" s="0" t="n">
        <v>51</v>
      </c>
      <c r="D251" s="0" t="n">
        <v>0</v>
      </c>
      <c r="E251" s="0" t="n">
        <f aca="false">VLOOKUP(B251,'Babblefish-APUMA'!$A$1:$B$86,2)</f>
        <v>8</v>
      </c>
      <c r="F251" s="0" t="n">
        <f aca="false">IF(C251&gt;1,IF(C251&lt;99,VLOOKUP(C251,'Babblefish-APUMA'!$A$1:$B$86,2),C251),C251)</f>
        <v>98</v>
      </c>
    </row>
    <row r="252" customFormat="false" ht="12.75" hidden="false" customHeight="false" outlineLevel="0" collapsed="false">
      <c r="A252" s="0" t="n">
        <f aca="false">B252*1000+C252</f>
        <v>8053</v>
      </c>
      <c r="B252" s="0" t="n">
        <v>8</v>
      </c>
      <c r="C252" s="0" t="n">
        <v>53</v>
      </c>
      <c r="D252" s="0" t="n">
        <v>0</v>
      </c>
      <c r="E252" s="0" t="n">
        <f aca="false">VLOOKUP(B252,'Babblefish-APUMA'!$A$1:$B$86,2)</f>
        <v>8</v>
      </c>
      <c r="F252" s="0" t="n">
        <f aca="false">IF(C252&gt;1,IF(C252&lt;99,VLOOKUP(C252,'Babblefish-APUMA'!$A$1:$B$86,2),C252),C252)</f>
        <v>90</v>
      </c>
    </row>
    <row r="253" customFormat="false" ht="12.75" hidden="false" customHeight="false" outlineLevel="0" collapsed="false">
      <c r="A253" s="0" t="n">
        <f aca="false">B253*1000+C253</f>
        <v>8065</v>
      </c>
      <c r="B253" s="0" t="n">
        <v>8</v>
      </c>
      <c r="C253" s="0" t="n">
        <v>65</v>
      </c>
      <c r="D253" s="0" t="n">
        <v>0</v>
      </c>
      <c r="E253" s="0" t="n">
        <f aca="false">VLOOKUP(B253,'Babblefish-APUMA'!$A$1:$B$86,2)</f>
        <v>8</v>
      </c>
      <c r="F253" s="0" t="n">
        <f aca="false">IF(C253&gt;1,IF(C253&lt;99,VLOOKUP(C253,'Babblefish-APUMA'!$A$1:$B$86,2),C253),C253)</f>
        <v>90</v>
      </c>
    </row>
    <row r="254" customFormat="false" ht="12.75" hidden="false" customHeight="false" outlineLevel="0" collapsed="false">
      <c r="A254" s="0" t="n">
        <f aca="false">B254*1000+C254</f>
        <v>8069</v>
      </c>
      <c r="B254" s="0" t="n">
        <v>8</v>
      </c>
      <c r="C254" s="0" t="n">
        <v>69</v>
      </c>
      <c r="D254" s="0" t="n">
        <v>0</v>
      </c>
      <c r="E254" s="0" t="n">
        <f aca="false">VLOOKUP(B254,'Babblefish-APUMA'!$A$1:$B$86,2)</f>
        <v>8</v>
      </c>
      <c r="F254" s="0" t="n">
        <f aca="false">IF(C254&gt;1,IF(C254&lt;99,VLOOKUP(C254,'Babblefish-APUMA'!$A$1:$B$86,2),C254),C254)</f>
        <v>93</v>
      </c>
    </row>
    <row r="255" customFormat="false" ht="12.75" hidden="false" customHeight="false" outlineLevel="0" collapsed="false">
      <c r="A255" s="0" t="n">
        <f aca="false">B255*1000+C255</f>
        <v>8072</v>
      </c>
      <c r="B255" s="0" t="n">
        <v>8</v>
      </c>
      <c r="C255" s="0" t="n">
        <v>72</v>
      </c>
      <c r="D255" s="0" t="n">
        <v>0</v>
      </c>
      <c r="E255" s="0" t="n">
        <f aca="false">VLOOKUP(B255,'Babblefish-APUMA'!$A$1:$B$86,2)</f>
        <v>8</v>
      </c>
      <c r="F255" s="0" t="n">
        <f aca="false">IF(C255&gt;1,IF(C255&lt;99,VLOOKUP(C255,'Babblefish-APUMA'!$A$1:$B$86,2),C255),C255)</f>
        <v>95</v>
      </c>
    </row>
    <row r="256" customFormat="false" ht="12.75" hidden="false" customHeight="false" outlineLevel="0" collapsed="false">
      <c r="A256" s="0" t="n">
        <f aca="false">B256*1000+C256</f>
        <v>8075</v>
      </c>
      <c r="B256" s="0" t="n">
        <v>8</v>
      </c>
      <c r="C256" s="0" t="n">
        <v>75</v>
      </c>
      <c r="D256" s="0" t="n">
        <v>0</v>
      </c>
      <c r="E256" s="0" t="n">
        <f aca="false">VLOOKUP(B256,'Babblefish-APUMA'!$A$1:$B$86,2)</f>
        <v>8</v>
      </c>
      <c r="F256" s="0" t="n">
        <f aca="false">IF(C256&gt;1,IF(C256&lt;99,VLOOKUP(C256,'Babblefish-APUMA'!$A$1:$B$86,2),C256),C256)</f>
        <v>75</v>
      </c>
    </row>
    <row r="257" customFormat="false" ht="12.75" hidden="false" customHeight="false" outlineLevel="0" collapsed="false">
      <c r="A257" s="0" t="n">
        <f aca="false">B257*1000+C257</f>
        <v>8079</v>
      </c>
      <c r="B257" s="0" t="n">
        <v>8</v>
      </c>
      <c r="C257" s="0" t="n">
        <v>79</v>
      </c>
      <c r="D257" s="0" t="n">
        <v>0</v>
      </c>
      <c r="E257" s="0" t="n">
        <f aca="false">VLOOKUP(B257,'Babblefish-APUMA'!$A$1:$B$86,2)</f>
        <v>8</v>
      </c>
      <c r="F257" s="0" t="n">
        <f aca="false">IF(C257&gt;1,IF(C257&lt;99,VLOOKUP(C257,'Babblefish-APUMA'!$A$1:$B$86,2),C257),C257)</f>
        <v>89</v>
      </c>
    </row>
    <row r="258" customFormat="false" ht="12.75" hidden="false" customHeight="false" outlineLevel="0" collapsed="false">
      <c r="A258" s="0" t="n">
        <f aca="false">B258*1000+C258</f>
        <v>8085</v>
      </c>
      <c r="B258" s="0" t="n">
        <v>8</v>
      </c>
      <c r="C258" s="0" t="n">
        <v>85</v>
      </c>
      <c r="D258" s="0" t="n">
        <v>78</v>
      </c>
      <c r="E258" s="0" t="n">
        <f aca="false">VLOOKUP(B258,'Babblefish-APUMA'!$A$1:$B$86,2)</f>
        <v>8</v>
      </c>
      <c r="F258" s="0" t="n">
        <f aca="false">IF(C258&gt;1,IF(C258&lt;99,VLOOKUP(C258,'Babblefish-APUMA'!$A$1:$B$86,2),C258),C258)</f>
        <v>97</v>
      </c>
    </row>
    <row r="259" customFormat="false" ht="12.75" hidden="false" customHeight="false" outlineLevel="0" collapsed="false">
      <c r="A259" s="0" t="n">
        <f aca="false">B259*1000+C259</f>
        <v>8999</v>
      </c>
      <c r="B259" s="0" t="n">
        <v>8</v>
      </c>
      <c r="C259" s="0" t="n">
        <v>999</v>
      </c>
      <c r="D259" s="0" t="n">
        <v>0</v>
      </c>
      <c r="E259" s="0" t="n">
        <f aca="false">VLOOKUP(B259,'Babblefish-APUMA'!$A$1:$B$86,2)</f>
        <v>8</v>
      </c>
      <c r="F259" s="0" t="n">
        <f aca="false">IF(C259&gt;1,IF(C259&lt;99,VLOOKUP(C259,'Babblefish-APUMA'!$A$1:$B$86,2),C259),C259)</f>
        <v>999</v>
      </c>
    </row>
    <row r="260" customFormat="false" ht="12.75" hidden="false" customHeight="false" outlineLevel="0" collapsed="false">
      <c r="A260" s="0" t="n">
        <f aca="false">B260*1000+C260</f>
        <v>9000</v>
      </c>
      <c r="B260" s="0" t="n">
        <v>9</v>
      </c>
      <c r="C260" s="0" t="n">
        <v>0</v>
      </c>
      <c r="D260" s="0" t="n">
        <v>57291</v>
      </c>
      <c r="E260" s="0" t="n">
        <f aca="false">VLOOKUP(B260,'Babblefish-APUMA'!$A$1:$B$86,2)</f>
        <v>9</v>
      </c>
      <c r="F260" s="0" t="n">
        <f aca="false">IF(C260&gt;1,IF(C260&lt;99,VLOOKUP(C260,'Babblefish-APUMA'!$A$1:$B$86,2),C260),C260)</f>
        <v>0</v>
      </c>
    </row>
    <row r="261" customFormat="false" ht="12.75" hidden="false" customHeight="false" outlineLevel="0" collapsed="false">
      <c r="A261" s="0" t="n">
        <f aca="false">B261*1000+C261</f>
        <v>9001</v>
      </c>
      <c r="B261" s="0" t="n">
        <v>9</v>
      </c>
      <c r="C261" s="0" t="n">
        <v>1</v>
      </c>
      <c r="D261" s="0" t="n">
        <v>143</v>
      </c>
      <c r="E261" s="0" t="n">
        <f aca="false">VLOOKUP(B261,'Babblefish-APUMA'!$A$1:$B$86,2)</f>
        <v>9</v>
      </c>
      <c r="F261" s="0" t="n">
        <f aca="false">IF(C261&gt;1,IF(C261&lt;99,VLOOKUP(C261,'Babblefish-APUMA'!$A$1:$B$86,2),C261),C261)</f>
        <v>1</v>
      </c>
    </row>
    <row r="262" customFormat="false" ht="12.75" hidden="false" customHeight="false" outlineLevel="0" collapsed="false">
      <c r="A262" s="0" t="n">
        <f aca="false">B262*1000+C262</f>
        <v>9002</v>
      </c>
      <c r="B262" s="0" t="n">
        <v>9</v>
      </c>
      <c r="C262" s="0" t="n">
        <v>2</v>
      </c>
      <c r="D262" s="0" t="n">
        <v>0</v>
      </c>
      <c r="E262" s="0" t="n">
        <f aca="false">VLOOKUP(B262,'Babblefish-APUMA'!$A$1:$B$86,2)</f>
        <v>9</v>
      </c>
      <c r="F262" s="0" t="n">
        <f aca="false">IF(C262&gt;1,IF(C262&lt;99,VLOOKUP(C262,'Babblefish-APUMA'!$A$1:$B$86,2),C262),C262)</f>
        <v>2</v>
      </c>
    </row>
    <row r="263" customFormat="false" ht="12.75" hidden="false" customHeight="false" outlineLevel="0" collapsed="false">
      <c r="A263" s="0" t="n">
        <f aca="false">B263*1000+C263</f>
        <v>9003</v>
      </c>
      <c r="B263" s="0" t="n">
        <v>9</v>
      </c>
      <c r="C263" s="0" t="n">
        <v>3</v>
      </c>
      <c r="D263" s="0" t="n">
        <v>0</v>
      </c>
      <c r="E263" s="0" t="n">
        <f aca="false">VLOOKUP(B263,'Babblefish-APUMA'!$A$1:$B$86,2)</f>
        <v>9</v>
      </c>
      <c r="F263" s="0" t="n">
        <f aca="false">IF(C263&gt;1,IF(C263&lt;99,VLOOKUP(C263,'Babblefish-APUMA'!$A$1:$B$86,2),C263),C263)</f>
        <v>3</v>
      </c>
    </row>
    <row r="264" customFormat="false" ht="12.75" hidden="false" customHeight="false" outlineLevel="0" collapsed="false">
      <c r="A264" s="0" t="n">
        <f aca="false">B264*1000+C264</f>
        <v>9004</v>
      </c>
      <c r="B264" s="0" t="n">
        <v>9</v>
      </c>
      <c r="C264" s="0" t="n">
        <v>4</v>
      </c>
      <c r="D264" s="0" t="n">
        <v>208</v>
      </c>
      <c r="E264" s="0" t="n">
        <f aca="false">VLOOKUP(B264,'Babblefish-APUMA'!$A$1:$B$86,2)</f>
        <v>9</v>
      </c>
      <c r="F264" s="0" t="n">
        <f aca="false">IF(C264&gt;1,IF(C264&lt;99,VLOOKUP(C264,'Babblefish-APUMA'!$A$1:$B$86,2),C264),C264)</f>
        <v>4</v>
      </c>
    </row>
    <row r="265" customFormat="false" ht="12.75" hidden="false" customHeight="false" outlineLevel="0" collapsed="false">
      <c r="A265" s="0" t="n">
        <f aca="false">B265*1000+C265</f>
        <v>9005</v>
      </c>
      <c r="B265" s="0" t="n">
        <v>9</v>
      </c>
      <c r="C265" s="0" t="n">
        <v>5</v>
      </c>
      <c r="D265" s="0" t="n">
        <v>0</v>
      </c>
      <c r="E265" s="0" t="n">
        <f aca="false">VLOOKUP(B265,'Babblefish-APUMA'!$A$1:$B$86,2)</f>
        <v>9</v>
      </c>
      <c r="F265" s="0" t="n">
        <f aca="false">IF(C265&gt;1,IF(C265&lt;99,VLOOKUP(C265,'Babblefish-APUMA'!$A$1:$B$86,2),C265),C265)</f>
        <v>5</v>
      </c>
    </row>
    <row r="266" customFormat="false" ht="12.75" hidden="false" customHeight="false" outlineLevel="0" collapsed="false">
      <c r="A266" s="0" t="n">
        <f aca="false">B266*1000+C266</f>
        <v>9006</v>
      </c>
      <c r="B266" s="0" t="n">
        <v>9</v>
      </c>
      <c r="C266" s="0" t="n">
        <v>6</v>
      </c>
      <c r="D266" s="0" t="n">
        <v>0</v>
      </c>
      <c r="E266" s="0" t="n">
        <f aca="false">VLOOKUP(B266,'Babblefish-APUMA'!$A$1:$B$86,2)</f>
        <v>9</v>
      </c>
      <c r="F266" s="0" t="n">
        <f aca="false">IF(C266&gt;1,IF(C266&lt;99,VLOOKUP(C266,'Babblefish-APUMA'!$A$1:$B$86,2),C266),C266)</f>
        <v>6</v>
      </c>
    </row>
    <row r="267" customFormat="false" ht="12.75" hidden="false" customHeight="false" outlineLevel="0" collapsed="false">
      <c r="A267" s="0" t="n">
        <f aca="false">B267*1000+C267</f>
        <v>9007</v>
      </c>
      <c r="B267" s="0" t="n">
        <v>9</v>
      </c>
      <c r="C267" s="0" t="n">
        <v>7</v>
      </c>
      <c r="D267" s="0" t="n">
        <v>0</v>
      </c>
      <c r="E267" s="0" t="n">
        <f aca="false">VLOOKUP(B267,'Babblefish-APUMA'!$A$1:$B$86,2)</f>
        <v>9</v>
      </c>
      <c r="F267" s="0" t="n">
        <f aca="false">IF(C267&gt;1,IF(C267&lt;99,VLOOKUP(C267,'Babblefish-APUMA'!$A$1:$B$86,2),C267),C267)</f>
        <v>7</v>
      </c>
    </row>
    <row r="268" customFormat="false" ht="12.75" hidden="false" customHeight="false" outlineLevel="0" collapsed="false">
      <c r="A268" s="0" t="n">
        <f aca="false">B268*1000+C268</f>
        <v>9008</v>
      </c>
      <c r="B268" s="0" t="n">
        <v>9</v>
      </c>
      <c r="C268" s="0" t="n">
        <v>8</v>
      </c>
      <c r="D268" s="0" t="n">
        <v>0</v>
      </c>
      <c r="E268" s="0" t="n">
        <f aca="false">VLOOKUP(B268,'Babblefish-APUMA'!$A$1:$B$86,2)</f>
        <v>9</v>
      </c>
      <c r="F268" s="0" t="n">
        <f aca="false">IF(C268&gt;1,IF(C268&lt;99,VLOOKUP(C268,'Babblefish-APUMA'!$A$1:$B$86,2),C268),C268)</f>
        <v>8</v>
      </c>
    </row>
    <row r="269" customFormat="false" ht="12.75" hidden="false" customHeight="false" outlineLevel="0" collapsed="false">
      <c r="A269" s="0" t="n">
        <f aca="false">B269*1000+C269</f>
        <v>9009</v>
      </c>
      <c r="B269" s="0" t="n">
        <v>9</v>
      </c>
      <c r="C269" s="0" t="n">
        <v>9</v>
      </c>
      <c r="D269" s="0" t="n">
        <v>37791</v>
      </c>
      <c r="E269" s="0" t="n">
        <f aca="false">VLOOKUP(B269,'Babblefish-APUMA'!$A$1:$B$86,2)</f>
        <v>9</v>
      </c>
      <c r="F269" s="0" t="n">
        <f aca="false">IF(C269&gt;1,IF(C269&lt;99,VLOOKUP(C269,'Babblefish-APUMA'!$A$1:$B$86,2),C269),C269)</f>
        <v>9</v>
      </c>
    </row>
    <row r="270" customFormat="false" ht="12.75" hidden="false" customHeight="false" outlineLevel="0" collapsed="false">
      <c r="A270" s="0" t="n">
        <f aca="false">B270*1000+C270</f>
        <v>9010</v>
      </c>
      <c r="B270" s="0" t="n">
        <v>9</v>
      </c>
      <c r="C270" s="0" t="n">
        <v>10</v>
      </c>
      <c r="D270" s="0" t="n">
        <v>104</v>
      </c>
      <c r="E270" s="0" t="n">
        <f aca="false">VLOOKUP(B270,'Babblefish-APUMA'!$A$1:$B$86,2)</f>
        <v>9</v>
      </c>
      <c r="F270" s="0" t="n">
        <f aca="false">IF(C270&gt;1,IF(C270&lt;99,VLOOKUP(C270,'Babblefish-APUMA'!$A$1:$B$86,2),C270),C270)</f>
        <v>10</v>
      </c>
    </row>
    <row r="271" customFormat="false" ht="12.75" hidden="false" customHeight="false" outlineLevel="0" collapsed="false">
      <c r="A271" s="0" t="n">
        <f aca="false">B271*1000+C271</f>
        <v>9011</v>
      </c>
      <c r="B271" s="0" t="n">
        <v>9</v>
      </c>
      <c r="C271" s="0" t="n">
        <v>11</v>
      </c>
      <c r="D271" s="0" t="n">
        <v>0</v>
      </c>
      <c r="E271" s="0" t="n">
        <f aca="false">VLOOKUP(B271,'Babblefish-APUMA'!$A$1:$B$86,2)</f>
        <v>9</v>
      </c>
      <c r="F271" s="0" t="n">
        <f aca="false">IF(C271&gt;1,IF(C271&lt;99,VLOOKUP(C271,'Babblefish-APUMA'!$A$1:$B$86,2),C271),C271)</f>
        <v>11</v>
      </c>
    </row>
    <row r="272" customFormat="false" ht="12.75" hidden="false" customHeight="false" outlineLevel="0" collapsed="false">
      <c r="A272" s="0" t="n">
        <f aca="false">B272*1000+C272</f>
        <v>9013</v>
      </c>
      <c r="B272" s="0" t="n">
        <v>9</v>
      </c>
      <c r="C272" s="0" t="n">
        <v>13</v>
      </c>
      <c r="D272" s="0" t="n">
        <v>559</v>
      </c>
      <c r="E272" s="0" t="n">
        <f aca="false">VLOOKUP(B272,'Babblefish-APUMA'!$A$1:$B$86,2)</f>
        <v>9</v>
      </c>
      <c r="F272" s="0" t="n">
        <f aca="false">IF(C272&gt;1,IF(C272&lt;99,VLOOKUP(C272,'Babblefish-APUMA'!$A$1:$B$86,2),C272),C272)</f>
        <v>100</v>
      </c>
    </row>
    <row r="273" customFormat="false" ht="12.75" hidden="false" customHeight="false" outlineLevel="0" collapsed="false">
      <c r="A273" s="0" t="n">
        <f aca="false">B273*1000+C273</f>
        <v>9014</v>
      </c>
      <c r="B273" s="0" t="n">
        <v>9</v>
      </c>
      <c r="C273" s="0" t="n">
        <v>14</v>
      </c>
      <c r="D273" s="0" t="n">
        <v>1222</v>
      </c>
      <c r="E273" s="0" t="n">
        <f aca="false">VLOOKUP(B273,'Babblefish-APUMA'!$A$1:$B$86,2)</f>
        <v>9</v>
      </c>
      <c r="F273" s="0" t="n">
        <f aca="false">IF(C273&gt;1,IF(C273&lt;99,VLOOKUP(C273,'Babblefish-APUMA'!$A$1:$B$86,2),C273),C273)</f>
        <v>100</v>
      </c>
    </row>
    <row r="274" customFormat="false" ht="12.75" hidden="false" customHeight="false" outlineLevel="0" collapsed="false">
      <c r="A274" s="0" t="n">
        <f aca="false">B274*1000+C274</f>
        <v>9015</v>
      </c>
      <c r="B274" s="0" t="n">
        <v>9</v>
      </c>
      <c r="C274" s="0" t="n">
        <v>15</v>
      </c>
      <c r="D274" s="0" t="n">
        <v>429</v>
      </c>
      <c r="E274" s="0" t="n">
        <f aca="false">VLOOKUP(B274,'Babblefish-APUMA'!$A$1:$B$86,2)</f>
        <v>9</v>
      </c>
      <c r="F274" s="0" t="n">
        <f aca="false">IF(C274&gt;1,IF(C274&lt;99,VLOOKUP(C274,'Babblefish-APUMA'!$A$1:$B$86,2),C274),C274)</f>
        <v>15</v>
      </c>
    </row>
    <row r="275" customFormat="false" ht="12.75" hidden="false" customHeight="false" outlineLevel="0" collapsed="false">
      <c r="A275" s="0" t="n">
        <f aca="false">B275*1000+C275</f>
        <v>9016</v>
      </c>
      <c r="B275" s="0" t="n">
        <v>9</v>
      </c>
      <c r="C275" s="0" t="n">
        <v>16</v>
      </c>
      <c r="D275" s="0" t="n">
        <v>1781</v>
      </c>
      <c r="E275" s="0" t="n">
        <f aca="false">VLOOKUP(B275,'Babblefish-APUMA'!$A$1:$B$86,2)</f>
        <v>9</v>
      </c>
      <c r="F275" s="0" t="n">
        <f aca="false">IF(C275&gt;1,IF(C275&lt;99,VLOOKUP(C275,'Babblefish-APUMA'!$A$1:$B$86,2),C275),C275)</f>
        <v>99</v>
      </c>
    </row>
    <row r="276" customFormat="false" ht="12.75" hidden="false" customHeight="false" outlineLevel="0" collapsed="false">
      <c r="A276" s="0" t="n">
        <f aca="false">B276*1000+C276</f>
        <v>9017</v>
      </c>
      <c r="B276" s="0" t="n">
        <v>9</v>
      </c>
      <c r="C276" s="0" t="n">
        <v>17</v>
      </c>
      <c r="D276" s="0" t="n">
        <v>208</v>
      </c>
      <c r="E276" s="0" t="n">
        <f aca="false">VLOOKUP(B276,'Babblefish-APUMA'!$A$1:$B$86,2)</f>
        <v>9</v>
      </c>
      <c r="F276" s="0" t="n">
        <f aca="false">IF(C276&gt;1,IF(C276&lt;99,VLOOKUP(C276,'Babblefish-APUMA'!$A$1:$B$86,2),C276),C276)</f>
        <v>87</v>
      </c>
    </row>
    <row r="277" customFormat="false" ht="12.75" hidden="false" customHeight="false" outlineLevel="0" collapsed="false">
      <c r="A277" s="0" t="n">
        <f aca="false">B277*1000+C277</f>
        <v>9018</v>
      </c>
      <c r="B277" s="0" t="n">
        <v>9</v>
      </c>
      <c r="C277" s="0" t="n">
        <v>18</v>
      </c>
      <c r="D277" s="0" t="n">
        <v>1703</v>
      </c>
      <c r="E277" s="0" t="n">
        <f aca="false">VLOOKUP(B277,'Babblefish-APUMA'!$A$1:$B$86,2)</f>
        <v>9</v>
      </c>
      <c r="F277" s="0" t="n">
        <f aca="false">IF(C277&gt;1,IF(C277&lt;99,VLOOKUP(C277,'Babblefish-APUMA'!$A$1:$B$86,2),C277),C277)</f>
        <v>87</v>
      </c>
    </row>
    <row r="278" customFormat="false" ht="12.75" hidden="false" customHeight="false" outlineLevel="0" collapsed="false">
      <c r="A278" s="0" t="n">
        <f aca="false">B278*1000+C278</f>
        <v>9019</v>
      </c>
      <c r="B278" s="0" t="n">
        <v>9</v>
      </c>
      <c r="C278" s="0" t="n">
        <v>19</v>
      </c>
      <c r="D278" s="0" t="n">
        <v>897</v>
      </c>
      <c r="E278" s="0" t="n">
        <f aca="false">VLOOKUP(B278,'Babblefish-APUMA'!$A$1:$B$86,2)</f>
        <v>9</v>
      </c>
      <c r="F278" s="0" t="n">
        <f aca="false">IF(C278&gt;1,IF(C278&lt;99,VLOOKUP(C278,'Babblefish-APUMA'!$A$1:$B$86,2),C278),C278)</f>
        <v>19</v>
      </c>
    </row>
    <row r="279" customFormat="false" ht="12.75" hidden="false" customHeight="false" outlineLevel="0" collapsed="false">
      <c r="A279" s="0" t="n">
        <f aca="false">B279*1000+C279</f>
        <v>9020</v>
      </c>
      <c r="B279" s="0" t="n">
        <v>9</v>
      </c>
      <c r="C279" s="0" t="n">
        <v>20</v>
      </c>
      <c r="D279" s="0" t="n">
        <v>325</v>
      </c>
      <c r="E279" s="0" t="n">
        <f aca="false">VLOOKUP(B279,'Babblefish-APUMA'!$A$1:$B$86,2)</f>
        <v>9</v>
      </c>
      <c r="F279" s="0" t="n">
        <f aca="false">IF(C279&gt;1,IF(C279&lt;99,VLOOKUP(C279,'Babblefish-APUMA'!$A$1:$B$86,2),C279),C279)</f>
        <v>86</v>
      </c>
    </row>
    <row r="280" customFormat="false" ht="12.75" hidden="false" customHeight="false" outlineLevel="0" collapsed="false">
      <c r="A280" s="0" t="n">
        <f aca="false">B280*1000+C280</f>
        <v>9021</v>
      </c>
      <c r="B280" s="0" t="n">
        <v>9</v>
      </c>
      <c r="C280" s="0" t="n">
        <v>21</v>
      </c>
      <c r="D280" s="0" t="n">
        <v>572</v>
      </c>
      <c r="E280" s="0" t="n">
        <f aca="false">VLOOKUP(B280,'Babblefish-APUMA'!$A$1:$B$86,2)</f>
        <v>9</v>
      </c>
      <c r="F280" s="0" t="n">
        <f aca="false">IF(C280&gt;1,IF(C280&lt;99,VLOOKUP(C280,'Babblefish-APUMA'!$A$1:$B$86,2),C280),C280)</f>
        <v>86</v>
      </c>
    </row>
    <row r="281" customFormat="false" ht="12.75" hidden="false" customHeight="false" outlineLevel="0" collapsed="false">
      <c r="A281" s="0" t="n">
        <f aca="false">B281*1000+C281</f>
        <v>9022</v>
      </c>
      <c r="B281" s="0" t="n">
        <v>9</v>
      </c>
      <c r="C281" s="0" t="n">
        <v>22</v>
      </c>
      <c r="D281" s="0" t="n">
        <v>195</v>
      </c>
      <c r="E281" s="0" t="n">
        <f aca="false">VLOOKUP(B281,'Babblefish-APUMA'!$A$1:$B$86,2)</f>
        <v>9</v>
      </c>
      <c r="F281" s="0" t="n">
        <f aca="false">IF(C281&gt;1,IF(C281&lt;99,VLOOKUP(C281,'Babblefish-APUMA'!$A$1:$B$86,2),C281),C281)</f>
        <v>22</v>
      </c>
    </row>
    <row r="282" customFormat="false" ht="12.75" hidden="false" customHeight="false" outlineLevel="0" collapsed="false">
      <c r="A282" s="0" t="n">
        <f aca="false">B282*1000+C282</f>
        <v>9023</v>
      </c>
      <c r="B282" s="0" t="n">
        <v>9</v>
      </c>
      <c r="C282" s="0" t="n">
        <v>23</v>
      </c>
      <c r="D282" s="0" t="n">
        <v>0</v>
      </c>
      <c r="E282" s="0" t="n">
        <f aca="false">VLOOKUP(B282,'Babblefish-APUMA'!$A$1:$B$86,2)</f>
        <v>9</v>
      </c>
      <c r="F282" s="0" t="n">
        <f aca="false">IF(C282&gt;1,IF(C282&lt;99,VLOOKUP(C282,'Babblefish-APUMA'!$A$1:$B$86,2),C282),C282)</f>
        <v>97</v>
      </c>
    </row>
    <row r="283" customFormat="false" ht="12.75" hidden="false" customHeight="false" outlineLevel="0" collapsed="false">
      <c r="A283" s="0" t="n">
        <f aca="false">B283*1000+C283</f>
        <v>9024</v>
      </c>
      <c r="B283" s="0" t="n">
        <v>9</v>
      </c>
      <c r="C283" s="0" t="n">
        <v>24</v>
      </c>
      <c r="D283" s="0" t="n">
        <v>0</v>
      </c>
      <c r="E283" s="0" t="n">
        <f aca="false">VLOOKUP(B283,'Babblefish-APUMA'!$A$1:$B$86,2)</f>
        <v>9</v>
      </c>
      <c r="F283" s="0" t="n">
        <f aca="false">IF(C283&gt;1,IF(C283&lt;99,VLOOKUP(C283,'Babblefish-APUMA'!$A$1:$B$86,2),C283),C283)</f>
        <v>101</v>
      </c>
    </row>
    <row r="284" customFormat="false" ht="12.75" hidden="false" customHeight="false" outlineLevel="0" collapsed="false">
      <c r="A284" s="0" t="n">
        <f aca="false">B284*1000+C284</f>
        <v>9025</v>
      </c>
      <c r="B284" s="0" t="n">
        <v>9</v>
      </c>
      <c r="C284" s="0" t="n">
        <v>25</v>
      </c>
      <c r="D284" s="0" t="n">
        <v>0</v>
      </c>
      <c r="E284" s="0" t="n">
        <f aca="false">VLOOKUP(B284,'Babblefish-APUMA'!$A$1:$B$86,2)</f>
        <v>9</v>
      </c>
      <c r="F284" s="0" t="n">
        <f aca="false">IF(C284&gt;1,IF(C284&lt;99,VLOOKUP(C284,'Babblefish-APUMA'!$A$1:$B$86,2),C284),C284)</f>
        <v>101</v>
      </c>
    </row>
    <row r="285" customFormat="false" ht="12.75" hidden="false" customHeight="false" outlineLevel="0" collapsed="false">
      <c r="A285" s="0" t="n">
        <f aca="false">B285*1000+C285</f>
        <v>9026</v>
      </c>
      <c r="B285" s="0" t="n">
        <v>9</v>
      </c>
      <c r="C285" s="0" t="n">
        <v>26</v>
      </c>
      <c r="D285" s="0" t="n">
        <v>0</v>
      </c>
      <c r="E285" s="0" t="n">
        <f aca="false">VLOOKUP(B285,'Babblefish-APUMA'!$A$1:$B$86,2)</f>
        <v>9</v>
      </c>
      <c r="F285" s="0" t="n">
        <f aca="false">IF(C285&gt;1,IF(C285&lt;99,VLOOKUP(C285,'Babblefish-APUMA'!$A$1:$B$86,2),C285),C285)</f>
        <v>26</v>
      </c>
    </row>
    <row r="286" customFormat="false" ht="12.75" hidden="false" customHeight="false" outlineLevel="0" collapsed="false">
      <c r="A286" s="0" t="n">
        <f aca="false">B286*1000+C286</f>
        <v>9028</v>
      </c>
      <c r="B286" s="0" t="n">
        <v>9</v>
      </c>
      <c r="C286" s="0" t="n">
        <v>28</v>
      </c>
      <c r="D286" s="0" t="n">
        <v>286</v>
      </c>
      <c r="E286" s="0" t="n">
        <f aca="false">VLOOKUP(B286,'Babblefish-APUMA'!$A$1:$B$86,2)</f>
        <v>9</v>
      </c>
      <c r="F286" s="0" t="n">
        <f aca="false">IF(C286&gt;1,IF(C286&lt;99,VLOOKUP(C286,'Babblefish-APUMA'!$A$1:$B$86,2),C286),C286)</f>
        <v>94</v>
      </c>
    </row>
    <row r="287" customFormat="false" ht="12.75" hidden="false" customHeight="false" outlineLevel="0" collapsed="false">
      <c r="A287" s="0" t="n">
        <f aca="false">B287*1000+C287</f>
        <v>9029</v>
      </c>
      <c r="B287" s="0" t="n">
        <v>9</v>
      </c>
      <c r="C287" s="0" t="n">
        <v>29</v>
      </c>
      <c r="D287" s="0" t="n">
        <v>0</v>
      </c>
      <c r="E287" s="0" t="n">
        <f aca="false">VLOOKUP(B287,'Babblefish-APUMA'!$A$1:$B$86,2)</f>
        <v>9</v>
      </c>
      <c r="F287" s="0" t="n">
        <f aca="false">IF(C287&gt;1,IF(C287&lt;99,VLOOKUP(C287,'Babblefish-APUMA'!$A$1:$B$86,2),C287),C287)</f>
        <v>94</v>
      </c>
    </row>
    <row r="288" customFormat="false" ht="12.75" hidden="false" customHeight="false" outlineLevel="0" collapsed="false">
      <c r="A288" s="0" t="n">
        <f aca="false">B288*1000+C288</f>
        <v>9033</v>
      </c>
      <c r="B288" s="0" t="n">
        <v>9</v>
      </c>
      <c r="C288" s="0" t="n">
        <v>33</v>
      </c>
      <c r="D288" s="0" t="n">
        <v>0</v>
      </c>
      <c r="E288" s="0" t="n">
        <f aca="false">VLOOKUP(B288,'Babblefish-APUMA'!$A$1:$B$86,2)</f>
        <v>9</v>
      </c>
      <c r="F288" s="0" t="n">
        <f aca="false">IF(C288&gt;1,IF(C288&lt;99,VLOOKUP(C288,'Babblefish-APUMA'!$A$1:$B$86,2),C288),C288)</f>
        <v>96</v>
      </c>
    </row>
    <row r="289" customFormat="false" ht="12.75" hidden="false" customHeight="false" outlineLevel="0" collapsed="false">
      <c r="A289" s="0" t="n">
        <f aca="false">B289*1000+C289</f>
        <v>9034</v>
      </c>
      <c r="B289" s="0" t="n">
        <v>9</v>
      </c>
      <c r="C289" s="0" t="n">
        <v>34</v>
      </c>
      <c r="D289" s="0" t="n">
        <v>0</v>
      </c>
      <c r="E289" s="0" t="n">
        <f aca="false">VLOOKUP(B289,'Babblefish-APUMA'!$A$1:$B$86,2)</f>
        <v>9</v>
      </c>
      <c r="F289" s="0" t="n">
        <f aca="false">IF(C289&gt;1,IF(C289&lt;99,VLOOKUP(C289,'Babblefish-APUMA'!$A$1:$B$86,2),C289),C289)</f>
        <v>96</v>
      </c>
    </row>
    <row r="290" customFormat="false" ht="12.75" hidden="false" customHeight="false" outlineLevel="0" collapsed="false">
      <c r="A290" s="0" t="n">
        <f aca="false">B290*1000+C290</f>
        <v>9035</v>
      </c>
      <c r="B290" s="0" t="n">
        <v>9</v>
      </c>
      <c r="C290" s="0" t="n">
        <v>35</v>
      </c>
      <c r="D290" s="0" t="n">
        <v>0</v>
      </c>
      <c r="E290" s="0" t="n">
        <f aca="false">VLOOKUP(B290,'Babblefish-APUMA'!$A$1:$B$86,2)</f>
        <v>9</v>
      </c>
      <c r="F290" s="0" t="n">
        <f aca="false">IF(C290&gt;1,IF(C290&lt;99,VLOOKUP(C290,'Babblefish-APUMA'!$A$1:$B$86,2),C290),C290)</f>
        <v>96</v>
      </c>
    </row>
    <row r="291" customFormat="false" ht="12.75" hidden="false" customHeight="false" outlineLevel="0" collapsed="false">
      <c r="A291" s="0" t="n">
        <f aca="false">B291*1000+C291</f>
        <v>9037</v>
      </c>
      <c r="B291" s="0" t="n">
        <v>9</v>
      </c>
      <c r="C291" s="0" t="n">
        <v>37</v>
      </c>
      <c r="D291" s="0" t="n">
        <v>91</v>
      </c>
      <c r="E291" s="0" t="n">
        <f aca="false">VLOOKUP(B291,'Babblefish-APUMA'!$A$1:$B$86,2)</f>
        <v>9</v>
      </c>
      <c r="F291" s="0" t="n">
        <f aca="false">IF(C291&gt;1,IF(C291&lt;99,VLOOKUP(C291,'Babblefish-APUMA'!$A$1:$B$86,2),C291),C291)</f>
        <v>96</v>
      </c>
    </row>
    <row r="292" customFormat="false" ht="12.75" hidden="false" customHeight="false" outlineLevel="0" collapsed="false">
      <c r="A292" s="0" t="n">
        <f aca="false">B292*1000+C292</f>
        <v>9039</v>
      </c>
      <c r="B292" s="0" t="n">
        <v>9</v>
      </c>
      <c r="C292" s="0" t="n">
        <v>39</v>
      </c>
      <c r="D292" s="0" t="n">
        <v>0</v>
      </c>
      <c r="E292" s="0" t="n">
        <f aca="false">VLOOKUP(B292,'Babblefish-APUMA'!$A$1:$B$86,2)</f>
        <v>9</v>
      </c>
      <c r="F292" s="0" t="n">
        <f aca="false">IF(C292&gt;1,IF(C292&lt;99,VLOOKUP(C292,'Babblefish-APUMA'!$A$1:$B$86,2),C292),C292)</f>
        <v>91</v>
      </c>
    </row>
    <row r="293" customFormat="false" ht="12.75" hidden="false" customHeight="false" outlineLevel="0" collapsed="false">
      <c r="A293" s="0" t="n">
        <f aca="false">B293*1000+C293</f>
        <v>9040</v>
      </c>
      <c r="B293" s="0" t="n">
        <v>9</v>
      </c>
      <c r="C293" s="0" t="n">
        <v>40</v>
      </c>
      <c r="D293" s="0" t="n">
        <v>0</v>
      </c>
      <c r="E293" s="0" t="n">
        <f aca="false">VLOOKUP(B293,'Babblefish-APUMA'!$A$1:$B$86,2)</f>
        <v>9</v>
      </c>
      <c r="F293" s="0" t="n">
        <f aca="false">IF(C293&gt;1,IF(C293&lt;99,VLOOKUP(C293,'Babblefish-APUMA'!$A$1:$B$86,2),C293),C293)</f>
        <v>88</v>
      </c>
    </row>
    <row r="294" customFormat="false" ht="12.75" hidden="false" customHeight="false" outlineLevel="0" collapsed="false">
      <c r="A294" s="0" t="n">
        <f aca="false">B294*1000+C294</f>
        <v>9041</v>
      </c>
      <c r="B294" s="0" t="n">
        <v>9</v>
      </c>
      <c r="C294" s="0" t="n">
        <v>41</v>
      </c>
      <c r="D294" s="0" t="n">
        <v>0</v>
      </c>
      <c r="E294" s="0" t="n">
        <f aca="false">VLOOKUP(B294,'Babblefish-APUMA'!$A$1:$B$86,2)</f>
        <v>9</v>
      </c>
      <c r="F294" s="0" t="n">
        <f aca="false">IF(C294&gt;1,IF(C294&lt;99,VLOOKUP(C294,'Babblefish-APUMA'!$A$1:$B$86,2),C294),C294)</f>
        <v>88</v>
      </c>
    </row>
    <row r="295" customFormat="false" ht="12.75" hidden="false" customHeight="false" outlineLevel="0" collapsed="false">
      <c r="A295" s="0" t="n">
        <f aca="false">B295*1000+C295</f>
        <v>9049</v>
      </c>
      <c r="B295" s="0" t="n">
        <v>9</v>
      </c>
      <c r="C295" s="0" t="n">
        <v>49</v>
      </c>
      <c r="D295" s="0" t="n">
        <v>117</v>
      </c>
      <c r="E295" s="0" t="n">
        <f aca="false">VLOOKUP(B295,'Babblefish-APUMA'!$A$1:$B$86,2)</f>
        <v>9</v>
      </c>
      <c r="F295" s="0" t="n">
        <f aca="false">IF(C295&gt;1,IF(C295&lt;99,VLOOKUP(C295,'Babblefish-APUMA'!$A$1:$B$86,2),C295),C295)</f>
        <v>98</v>
      </c>
    </row>
    <row r="296" customFormat="false" ht="12.75" hidden="false" customHeight="false" outlineLevel="0" collapsed="false">
      <c r="A296" s="0" t="n">
        <f aca="false">B296*1000+C296</f>
        <v>9050</v>
      </c>
      <c r="B296" s="0" t="n">
        <v>9</v>
      </c>
      <c r="C296" s="0" t="n">
        <v>50</v>
      </c>
      <c r="D296" s="0" t="n">
        <v>0</v>
      </c>
      <c r="E296" s="0" t="n">
        <f aca="false">VLOOKUP(B296,'Babblefish-APUMA'!$A$1:$B$86,2)</f>
        <v>9</v>
      </c>
      <c r="F296" s="0" t="n">
        <f aca="false">IF(C296&gt;1,IF(C296&lt;99,VLOOKUP(C296,'Babblefish-APUMA'!$A$1:$B$86,2),C296),C296)</f>
        <v>98</v>
      </c>
    </row>
    <row r="297" customFormat="false" ht="12.75" hidden="false" customHeight="false" outlineLevel="0" collapsed="false">
      <c r="A297" s="0" t="n">
        <f aca="false">B297*1000+C297</f>
        <v>9051</v>
      </c>
      <c r="B297" s="0" t="n">
        <v>9</v>
      </c>
      <c r="C297" s="0" t="n">
        <v>51</v>
      </c>
      <c r="D297" s="0" t="n">
        <v>273</v>
      </c>
      <c r="E297" s="0" t="n">
        <f aca="false">VLOOKUP(B297,'Babblefish-APUMA'!$A$1:$B$86,2)</f>
        <v>9</v>
      </c>
      <c r="F297" s="0" t="n">
        <f aca="false">IF(C297&gt;1,IF(C297&lt;99,VLOOKUP(C297,'Babblefish-APUMA'!$A$1:$B$86,2),C297),C297)</f>
        <v>98</v>
      </c>
    </row>
    <row r="298" customFormat="false" ht="12.75" hidden="false" customHeight="false" outlineLevel="0" collapsed="false">
      <c r="A298" s="0" t="n">
        <f aca="false">B298*1000+C298</f>
        <v>9053</v>
      </c>
      <c r="B298" s="0" t="n">
        <v>9</v>
      </c>
      <c r="C298" s="0" t="n">
        <v>53</v>
      </c>
      <c r="D298" s="0" t="n">
        <v>0</v>
      </c>
      <c r="E298" s="0" t="n">
        <f aca="false">VLOOKUP(B298,'Babblefish-APUMA'!$A$1:$B$86,2)</f>
        <v>9</v>
      </c>
      <c r="F298" s="0" t="n">
        <f aca="false">IF(C298&gt;1,IF(C298&lt;99,VLOOKUP(C298,'Babblefish-APUMA'!$A$1:$B$86,2),C298),C298)</f>
        <v>90</v>
      </c>
    </row>
    <row r="299" customFormat="false" ht="12.75" hidden="false" customHeight="false" outlineLevel="0" collapsed="false">
      <c r="A299" s="0" t="n">
        <f aca="false">B299*1000+C299</f>
        <v>9064</v>
      </c>
      <c r="B299" s="0" t="n">
        <v>9</v>
      </c>
      <c r="C299" s="0" t="n">
        <v>64</v>
      </c>
      <c r="D299" s="0" t="n">
        <v>104</v>
      </c>
      <c r="E299" s="0" t="n">
        <f aca="false">VLOOKUP(B299,'Babblefish-APUMA'!$A$1:$B$86,2)</f>
        <v>9</v>
      </c>
      <c r="F299" s="0" t="n">
        <f aca="false">IF(C299&gt;1,IF(C299&lt;99,VLOOKUP(C299,'Babblefish-APUMA'!$A$1:$B$86,2),C299),C299)</f>
        <v>90</v>
      </c>
    </row>
    <row r="300" customFormat="false" ht="12.75" hidden="false" customHeight="false" outlineLevel="0" collapsed="false">
      <c r="A300" s="0" t="n">
        <f aca="false">B300*1000+C300</f>
        <v>9065</v>
      </c>
      <c r="B300" s="0" t="n">
        <v>9</v>
      </c>
      <c r="C300" s="0" t="n">
        <v>65</v>
      </c>
      <c r="D300" s="0" t="n">
        <v>0</v>
      </c>
      <c r="E300" s="0" t="n">
        <f aca="false">VLOOKUP(B300,'Babblefish-APUMA'!$A$1:$B$86,2)</f>
        <v>9</v>
      </c>
      <c r="F300" s="0" t="n">
        <f aca="false">IF(C300&gt;1,IF(C300&lt;99,VLOOKUP(C300,'Babblefish-APUMA'!$A$1:$B$86,2),C300),C300)</f>
        <v>90</v>
      </c>
    </row>
    <row r="301" customFormat="false" ht="12.75" hidden="false" customHeight="false" outlineLevel="0" collapsed="false">
      <c r="A301" s="0" t="n">
        <f aca="false">B301*1000+C301</f>
        <v>9069</v>
      </c>
      <c r="B301" s="0" t="n">
        <v>9</v>
      </c>
      <c r="C301" s="0" t="n">
        <v>69</v>
      </c>
      <c r="D301" s="0" t="n">
        <v>0</v>
      </c>
      <c r="E301" s="0" t="n">
        <f aca="false">VLOOKUP(B301,'Babblefish-APUMA'!$A$1:$B$86,2)</f>
        <v>9</v>
      </c>
      <c r="F301" s="0" t="n">
        <f aca="false">IF(C301&gt;1,IF(C301&lt;99,VLOOKUP(C301,'Babblefish-APUMA'!$A$1:$B$86,2),C301),C301)</f>
        <v>93</v>
      </c>
    </row>
    <row r="302" customFormat="false" ht="12.75" hidden="false" customHeight="false" outlineLevel="0" collapsed="false">
      <c r="A302" s="0" t="n">
        <f aca="false">B302*1000+C302</f>
        <v>9072</v>
      </c>
      <c r="B302" s="0" t="n">
        <v>9</v>
      </c>
      <c r="C302" s="0" t="n">
        <v>72</v>
      </c>
      <c r="D302" s="0" t="n">
        <v>0</v>
      </c>
      <c r="E302" s="0" t="n">
        <f aca="false">VLOOKUP(B302,'Babblefish-APUMA'!$A$1:$B$86,2)</f>
        <v>9</v>
      </c>
      <c r="F302" s="0" t="n">
        <f aca="false">IF(C302&gt;1,IF(C302&lt;99,VLOOKUP(C302,'Babblefish-APUMA'!$A$1:$B$86,2),C302),C302)</f>
        <v>95</v>
      </c>
    </row>
    <row r="303" customFormat="false" ht="12.75" hidden="false" customHeight="false" outlineLevel="0" collapsed="false">
      <c r="A303" s="0" t="n">
        <f aca="false">B303*1000+C303</f>
        <v>9073</v>
      </c>
      <c r="B303" s="0" t="n">
        <v>9</v>
      </c>
      <c r="C303" s="0" t="n">
        <v>73</v>
      </c>
      <c r="D303" s="0" t="n">
        <v>4901</v>
      </c>
      <c r="E303" s="0" t="n">
        <f aca="false">VLOOKUP(B303,'Babblefish-APUMA'!$A$1:$B$86,2)</f>
        <v>9</v>
      </c>
      <c r="F303" s="0" t="n">
        <f aca="false">IF(C303&gt;1,IF(C303&lt;99,VLOOKUP(C303,'Babblefish-APUMA'!$A$1:$B$86,2),C303),C303)</f>
        <v>99</v>
      </c>
    </row>
    <row r="304" customFormat="false" ht="12.75" hidden="false" customHeight="false" outlineLevel="0" collapsed="false">
      <c r="A304" s="0" t="n">
        <f aca="false">B304*1000+C304</f>
        <v>9075</v>
      </c>
      <c r="B304" s="0" t="n">
        <v>9</v>
      </c>
      <c r="C304" s="0" t="n">
        <v>75</v>
      </c>
      <c r="D304" s="0" t="n">
        <v>0</v>
      </c>
      <c r="E304" s="0" t="n">
        <f aca="false">VLOOKUP(B304,'Babblefish-APUMA'!$A$1:$B$86,2)</f>
        <v>9</v>
      </c>
      <c r="F304" s="0" t="n">
        <f aca="false">IF(C304&gt;1,IF(C304&lt;99,VLOOKUP(C304,'Babblefish-APUMA'!$A$1:$B$86,2),C304),C304)</f>
        <v>75</v>
      </c>
    </row>
    <row r="305" customFormat="false" ht="12.75" hidden="false" customHeight="false" outlineLevel="0" collapsed="false">
      <c r="A305" s="0" t="n">
        <f aca="false">B305*1000+C305</f>
        <v>9079</v>
      </c>
      <c r="B305" s="0" t="n">
        <v>9</v>
      </c>
      <c r="C305" s="0" t="n">
        <v>79</v>
      </c>
      <c r="D305" s="0" t="n">
        <v>0</v>
      </c>
      <c r="E305" s="0" t="n">
        <f aca="false">VLOOKUP(B305,'Babblefish-APUMA'!$A$1:$B$86,2)</f>
        <v>9</v>
      </c>
      <c r="F305" s="0" t="n">
        <f aca="false">IF(C305&gt;1,IF(C305&lt;99,VLOOKUP(C305,'Babblefish-APUMA'!$A$1:$B$86,2),C305),C305)</f>
        <v>89</v>
      </c>
    </row>
    <row r="306" customFormat="false" ht="12.75" hidden="false" customHeight="false" outlineLevel="0" collapsed="false">
      <c r="A306" s="0" t="n">
        <f aca="false">B306*1000+C306</f>
        <v>9085</v>
      </c>
      <c r="B306" s="0" t="n">
        <v>9</v>
      </c>
      <c r="C306" s="0" t="n">
        <v>85</v>
      </c>
      <c r="D306" s="0" t="n">
        <v>0</v>
      </c>
      <c r="E306" s="0" t="n">
        <f aca="false">VLOOKUP(B306,'Babblefish-APUMA'!$A$1:$B$86,2)</f>
        <v>9</v>
      </c>
      <c r="F306" s="0" t="n">
        <f aca="false">IF(C306&gt;1,IF(C306&lt;99,VLOOKUP(C306,'Babblefish-APUMA'!$A$1:$B$86,2),C306),C306)</f>
        <v>97</v>
      </c>
    </row>
    <row r="307" customFormat="false" ht="12.75" hidden="false" customHeight="false" outlineLevel="0" collapsed="false">
      <c r="A307" s="0" t="n">
        <f aca="false">B307*1000+C307</f>
        <v>9999</v>
      </c>
      <c r="B307" s="0" t="n">
        <v>9</v>
      </c>
      <c r="C307" s="0" t="n">
        <v>999</v>
      </c>
      <c r="D307" s="0" t="n">
        <v>0</v>
      </c>
      <c r="E307" s="0" t="n">
        <f aca="false">VLOOKUP(B307,'Babblefish-APUMA'!$A$1:$B$86,2)</f>
        <v>9</v>
      </c>
      <c r="F307" s="0" t="n">
        <f aca="false">IF(C307&gt;1,IF(C307&lt;99,VLOOKUP(C307,'Babblefish-APUMA'!$A$1:$B$86,2),C307),C307)</f>
        <v>999</v>
      </c>
    </row>
    <row r="308" customFormat="false" ht="12.75" hidden="false" customHeight="false" outlineLevel="0" collapsed="false">
      <c r="A308" s="0" t="n">
        <f aca="false">B308*1000+C308</f>
        <v>10000</v>
      </c>
      <c r="B308" s="0" t="n">
        <v>10</v>
      </c>
      <c r="C308" s="0" t="n">
        <v>0</v>
      </c>
      <c r="D308" s="0" t="n">
        <v>75231</v>
      </c>
      <c r="E308" s="0" t="n">
        <f aca="false">VLOOKUP(B308,'Babblefish-APUMA'!$A$1:$B$86,2)</f>
        <v>10</v>
      </c>
      <c r="F308" s="0" t="n">
        <f aca="false">IF(C308&gt;1,IF(C308&lt;99,VLOOKUP(C308,'Babblefish-APUMA'!$A$1:$B$86,2),C308),C308)</f>
        <v>0</v>
      </c>
    </row>
    <row r="309" customFormat="false" ht="12.75" hidden="false" customHeight="false" outlineLevel="0" collapsed="false">
      <c r="A309" s="0" t="n">
        <f aca="false">B309*1000+C309</f>
        <v>10001</v>
      </c>
      <c r="B309" s="0" t="n">
        <v>10</v>
      </c>
      <c r="C309" s="0" t="n">
        <v>1</v>
      </c>
      <c r="D309" s="0" t="n">
        <v>65</v>
      </c>
      <c r="E309" s="0" t="n">
        <f aca="false">VLOOKUP(B309,'Babblefish-APUMA'!$A$1:$B$86,2)</f>
        <v>10</v>
      </c>
      <c r="F309" s="0" t="n">
        <f aca="false">IF(C309&gt;1,IF(C309&lt;99,VLOOKUP(C309,'Babblefish-APUMA'!$A$1:$B$86,2),C309),C309)</f>
        <v>1</v>
      </c>
    </row>
    <row r="310" customFormat="false" ht="12.75" hidden="false" customHeight="false" outlineLevel="0" collapsed="false">
      <c r="A310" s="0" t="n">
        <f aca="false">B310*1000+C310</f>
        <v>10002</v>
      </c>
      <c r="B310" s="0" t="n">
        <v>10</v>
      </c>
      <c r="C310" s="0" t="n">
        <v>2</v>
      </c>
      <c r="D310" s="0" t="n">
        <v>0</v>
      </c>
      <c r="E310" s="0" t="n">
        <f aca="false">VLOOKUP(B310,'Babblefish-APUMA'!$A$1:$B$86,2)</f>
        <v>10</v>
      </c>
      <c r="F310" s="0" t="n">
        <f aca="false">IF(C310&gt;1,IF(C310&lt;99,VLOOKUP(C310,'Babblefish-APUMA'!$A$1:$B$86,2),C310),C310)</f>
        <v>2</v>
      </c>
    </row>
    <row r="311" customFormat="false" ht="12.75" hidden="false" customHeight="false" outlineLevel="0" collapsed="false">
      <c r="A311" s="0" t="n">
        <f aca="false">B311*1000+C311</f>
        <v>10003</v>
      </c>
      <c r="B311" s="0" t="n">
        <v>10</v>
      </c>
      <c r="C311" s="0" t="n">
        <v>3</v>
      </c>
      <c r="D311" s="0" t="n">
        <v>221</v>
      </c>
      <c r="E311" s="0" t="n">
        <f aca="false">VLOOKUP(B311,'Babblefish-APUMA'!$A$1:$B$86,2)</f>
        <v>10</v>
      </c>
      <c r="F311" s="0" t="n">
        <f aca="false">IF(C311&gt;1,IF(C311&lt;99,VLOOKUP(C311,'Babblefish-APUMA'!$A$1:$B$86,2),C311),C311)</f>
        <v>3</v>
      </c>
    </row>
    <row r="312" customFormat="false" ht="12.75" hidden="false" customHeight="false" outlineLevel="0" collapsed="false">
      <c r="A312" s="0" t="n">
        <f aca="false">B312*1000+C312</f>
        <v>10004</v>
      </c>
      <c r="B312" s="0" t="n">
        <v>10</v>
      </c>
      <c r="C312" s="0" t="n">
        <v>4</v>
      </c>
      <c r="D312" s="0" t="n">
        <v>0</v>
      </c>
      <c r="E312" s="0" t="n">
        <f aca="false">VLOOKUP(B312,'Babblefish-APUMA'!$A$1:$B$86,2)</f>
        <v>10</v>
      </c>
      <c r="F312" s="0" t="n">
        <f aca="false">IF(C312&gt;1,IF(C312&lt;99,VLOOKUP(C312,'Babblefish-APUMA'!$A$1:$B$86,2),C312),C312)</f>
        <v>4</v>
      </c>
    </row>
    <row r="313" customFormat="false" ht="12.75" hidden="false" customHeight="false" outlineLevel="0" collapsed="false">
      <c r="A313" s="0" t="n">
        <f aca="false">B313*1000+C313</f>
        <v>10005</v>
      </c>
      <c r="B313" s="0" t="n">
        <v>10</v>
      </c>
      <c r="C313" s="0" t="n">
        <v>5</v>
      </c>
      <c r="D313" s="0" t="n">
        <v>182</v>
      </c>
      <c r="E313" s="0" t="n">
        <f aca="false">VLOOKUP(B313,'Babblefish-APUMA'!$A$1:$B$86,2)</f>
        <v>10</v>
      </c>
      <c r="F313" s="0" t="n">
        <f aca="false">IF(C313&gt;1,IF(C313&lt;99,VLOOKUP(C313,'Babblefish-APUMA'!$A$1:$B$86,2),C313),C313)</f>
        <v>5</v>
      </c>
    </row>
    <row r="314" customFormat="false" ht="12.75" hidden="false" customHeight="false" outlineLevel="0" collapsed="false">
      <c r="A314" s="0" t="n">
        <f aca="false">B314*1000+C314</f>
        <v>10006</v>
      </c>
      <c r="B314" s="0" t="n">
        <v>10</v>
      </c>
      <c r="C314" s="0" t="n">
        <v>6</v>
      </c>
      <c r="D314" s="0" t="n">
        <v>221</v>
      </c>
      <c r="E314" s="0" t="n">
        <f aca="false">VLOOKUP(B314,'Babblefish-APUMA'!$A$1:$B$86,2)</f>
        <v>10</v>
      </c>
      <c r="F314" s="0" t="n">
        <f aca="false">IF(C314&gt;1,IF(C314&lt;99,VLOOKUP(C314,'Babblefish-APUMA'!$A$1:$B$86,2),C314),C314)</f>
        <v>6</v>
      </c>
    </row>
    <row r="315" customFormat="false" ht="12.75" hidden="false" customHeight="false" outlineLevel="0" collapsed="false">
      <c r="A315" s="0" t="n">
        <f aca="false">B315*1000+C315</f>
        <v>10007</v>
      </c>
      <c r="B315" s="0" t="n">
        <v>10</v>
      </c>
      <c r="C315" s="0" t="n">
        <v>7</v>
      </c>
      <c r="D315" s="0" t="n">
        <v>0</v>
      </c>
      <c r="E315" s="0" t="n">
        <f aca="false">VLOOKUP(B315,'Babblefish-APUMA'!$A$1:$B$86,2)</f>
        <v>10</v>
      </c>
      <c r="F315" s="0" t="n">
        <f aca="false">IF(C315&gt;1,IF(C315&lt;99,VLOOKUP(C315,'Babblefish-APUMA'!$A$1:$B$86,2),C315),C315)</f>
        <v>7</v>
      </c>
    </row>
    <row r="316" customFormat="false" ht="12.75" hidden="false" customHeight="false" outlineLevel="0" collapsed="false">
      <c r="A316" s="0" t="n">
        <f aca="false">B316*1000+C316</f>
        <v>10008</v>
      </c>
      <c r="B316" s="0" t="n">
        <v>10</v>
      </c>
      <c r="C316" s="0" t="n">
        <v>8</v>
      </c>
      <c r="D316" s="0" t="n">
        <v>507</v>
      </c>
      <c r="E316" s="0" t="n">
        <f aca="false">VLOOKUP(B316,'Babblefish-APUMA'!$A$1:$B$86,2)</f>
        <v>10</v>
      </c>
      <c r="F316" s="0" t="n">
        <f aca="false">IF(C316&gt;1,IF(C316&lt;99,VLOOKUP(C316,'Babblefish-APUMA'!$A$1:$B$86,2),C316),C316)</f>
        <v>8</v>
      </c>
    </row>
    <row r="317" customFormat="false" ht="12.75" hidden="false" customHeight="false" outlineLevel="0" collapsed="false">
      <c r="A317" s="0" t="n">
        <f aca="false">B317*1000+C317</f>
        <v>10009</v>
      </c>
      <c r="B317" s="0" t="n">
        <v>10</v>
      </c>
      <c r="C317" s="0" t="n">
        <v>9</v>
      </c>
      <c r="D317" s="0" t="n">
        <v>169</v>
      </c>
      <c r="E317" s="0" t="n">
        <f aca="false">VLOOKUP(B317,'Babblefish-APUMA'!$A$1:$B$86,2)</f>
        <v>10</v>
      </c>
      <c r="F317" s="0" t="n">
        <f aca="false">IF(C317&gt;1,IF(C317&lt;99,VLOOKUP(C317,'Babblefish-APUMA'!$A$1:$B$86,2),C317),C317)</f>
        <v>9</v>
      </c>
    </row>
    <row r="318" customFormat="false" ht="12.75" hidden="false" customHeight="false" outlineLevel="0" collapsed="false">
      <c r="A318" s="0" t="n">
        <f aca="false">B318*1000+C318</f>
        <v>10010</v>
      </c>
      <c r="B318" s="0" t="n">
        <v>10</v>
      </c>
      <c r="C318" s="0" t="n">
        <v>10</v>
      </c>
      <c r="D318" s="0" t="n">
        <v>44408</v>
      </c>
      <c r="E318" s="0" t="n">
        <f aca="false">VLOOKUP(B318,'Babblefish-APUMA'!$A$1:$B$86,2)</f>
        <v>10</v>
      </c>
      <c r="F318" s="0" t="n">
        <f aca="false">IF(C318&gt;1,IF(C318&lt;99,VLOOKUP(C318,'Babblefish-APUMA'!$A$1:$B$86,2),C318),C318)</f>
        <v>10</v>
      </c>
    </row>
    <row r="319" customFormat="false" ht="12.75" hidden="false" customHeight="false" outlineLevel="0" collapsed="false">
      <c r="A319" s="0" t="n">
        <f aca="false">B319*1000+C319</f>
        <v>10011</v>
      </c>
      <c r="B319" s="0" t="n">
        <v>10</v>
      </c>
      <c r="C319" s="0" t="n">
        <v>11</v>
      </c>
      <c r="D319" s="0" t="n">
        <v>208</v>
      </c>
      <c r="E319" s="0" t="n">
        <f aca="false">VLOOKUP(B319,'Babblefish-APUMA'!$A$1:$B$86,2)</f>
        <v>10</v>
      </c>
      <c r="F319" s="0" t="n">
        <f aca="false">IF(C319&gt;1,IF(C319&lt;99,VLOOKUP(C319,'Babblefish-APUMA'!$A$1:$B$86,2),C319),C319)</f>
        <v>11</v>
      </c>
    </row>
    <row r="320" customFormat="false" ht="12.75" hidden="false" customHeight="false" outlineLevel="0" collapsed="false">
      <c r="A320" s="0" t="n">
        <f aca="false">B320*1000+C320</f>
        <v>10012</v>
      </c>
      <c r="B320" s="0" t="n">
        <v>10</v>
      </c>
      <c r="C320" s="0" t="n">
        <v>12</v>
      </c>
      <c r="D320" s="0" t="n">
        <v>195</v>
      </c>
      <c r="E320" s="0" t="n">
        <f aca="false">VLOOKUP(B320,'Babblefish-APUMA'!$A$1:$B$86,2)</f>
        <v>10</v>
      </c>
      <c r="F320" s="0" t="n">
        <f aca="false">IF(C320&gt;1,IF(C320&lt;99,VLOOKUP(C320,'Babblefish-APUMA'!$A$1:$B$86,2),C320),C320)</f>
        <v>12</v>
      </c>
    </row>
    <row r="321" customFormat="false" ht="12.75" hidden="false" customHeight="false" outlineLevel="0" collapsed="false">
      <c r="A321" s="0" t="n">
        <f aca="false">B321*1000+C321</f>
        <v>10013</v>
      </c>
      <c r="B321" s="0" t="n">
        <v>10</v>
      </c>
      <c r="C321" s="0" t="n">
        <v>13</v>
      </c>
      <c r="D321" s="0" t="n">
        <v>0</v>
      </c>
      <c r="E321" s="0" t="n">
        <f aca="false">VLOOKUP(B321,'Babblefish-APUMA'!$A$1:$B$86,2)</f>
        <v>10</v>
      </c>
      <c r="F321" s="0" t="n">
        <f aca="false">IF(C321&gt;1,IF(C321&lt;99,VLOOKUP(C321,'Babblefish-APUMA'!$A$1:$B$86,2),C321),C321)</f>
        <v>100</v>
      </c>
    </row>
    <row r="322" customFormat="false" ht="12.75" hidden="false" customHeight="false" outlineLevel="0" collapsed="false">
      <c r="A322" s="0" t="n">
        <f aca="false">B322*1000+C322</f>
        <v>10014</v>
      </c>
      <c r="B322" s="0" t="n">
        <v>10</v>
      </c>
      <c r="C322" s="0" t="n">
        <v>14</v>
      </c>
      <c r="D322" s="0" t="n">
        <v>0</v>
      </c>
      <c r="E322" s="0" t="n">
        <f aca="false">VLOOKUP(B322,'Babblefish-APUMA'!$A$1:$B$86,2)</f>
        <v>10</v>
      </c>
      <c r="F322" s="0" t="n">
        <f aca="false">IF(C322&gt;1,IF(C322&lt;99,VLOOKUP(C322,'Babblefish-APUMA'!$A$1:$B$86,2),C322),C322)</f>
        <v>100</v>
      </c>
    </row>
    <row r="323" customFormat="false" ht="12.75" hidden="false" customHeight="false" outlineLevel="0" collapsed="false">
      <c r="A323" s="0" t="n">
        <f aca="false">B323*1000+C323</f>
        <v>10015</v>
      </c>
      <c r="B323" s="0" t="n">
        <v>10</v>
      </c>
      <c r="C323" s="0" t="n">
        <v>15</v>
      </c>
      <c r="D323" s="0" t="n">
        <v>0</v>
      </c>
      <c r="E323" s="0" t="n">
        <f aca="false">VLOOKUP(B323,'Babblefish-APUMA'!$A$1:$B$86,2)</f>
        <v>10</v>
      </c>
      <c r="F323" s="0" t="n">
        <f aca="false">IF(C323&gt;1,IF(C323&lt;99,VLOOKUP(C323,'Babblefish-APUMA'!$A$1:$B$86,2),C323),C323)</f>
        <v>15</v>
      </c>
    </row>
    <row r="324" customFormat="false" ht="12.75" hidden="false" customHeight="false" outlineLevel="0" collapsed="false">
      <c r="A324" s="0" t="n">
        <f aca="false">B324*1000+C324</f>
        <v>10016</v>
      </c>
      <c r="B324" s="0" t="n">
        <v>10</v>
      </c>
      <c r="C324" s="0" t="n">
        <v>16</v>
      </c>
      <c r="D324" s="0" t="n">
        <v>2015</v>
      </c>
      <c r="E324" s="0" t="n">
        <f aca="false">VLOOKUP(B324,'Babblefish-APUMA'!$A$1:$B$86,2)</f>
        <v>10</v>
      </c>
      <c r="F324" s="0" t="n">
        <f aca="false">IF(C324&gt;1,IF(C324&lt;99,VLOOKUP(C324,'Babblefish-APUMA'!$A$1:$B$86,2),C324),C324)</f>
        <v>99</v>
      </c>
    </row>
    <row r="325" customFormat="false" ht="12.75" hidden="false" customHeight="false" outlineLevel="0" collapsed="false">
      <c r="A325" s="0" t="n">
        <f aca="false">B325*1000+C325</f>
        <v>10017</v>
      </c>
      <c r="B325" s="0" t="n">
        <v>10</v>
      </c>
      <c r="C325" s="0" t="n">
        <v>17</v>
      </c>
      <c r="D325" s="0" t="n">
        <v>0</v>
      </c>
      <c r="E325" s="0" t="n">
        <f aca="false">VLOOKUP(B325,'Babblefish-APUMA'!$A$1:$B$86,2)</f>
        <v>10</v>
      </c>
      <c r="F325" s="0" t="n">
        <f aca="false">IF(C325&gt;1,IF(C325&lt;99,VLOOKUP(C325,'Babblefish-APUMA'!$A$1:$B$86,2),C325),C325)</f>
        <v>87</v>
      </c>
    </row>
    <row r="326" customFormat="false" ht="12.75" hidden="false" customHeight="false" outlineLevel="0" collapsed="false">
      <c r="A326" s="0" t="n">
        <f aca="false">B326*1000+C326</f>
        <v>10018</v>
      </c>
      <c r="B326" s="0" t="n">
        <v>10</v>
      </c>
      <c r="C326" s="0" t="n">
        <v>18</v>
      </c>
      <c r="D326" s="0" t="n">
        <v>299</v>
      </c>
      <c r="E326" s="0" t="n">
        <f aca="false">VLOOKUP(B326,'Babblefish-APUMA'!$A$1:$B$86,2)</f>
        <v>10</v>
      </c>
      <c r="F326" s="0" t="n">
        <f aca="false">IF(C326&gt;1,IF(C326&lt;99,VLOOKUP(C326,'Babblefish-APUMA'!$A$1:$B$86,2),C326),C326)</f>
        <v>87</v>
      </c>
    </row>
    <row r="327" customFormat="false" ht="12.75" hidden="false" customHeight="false" outlineLevel="0" collapsed="false">
      <c r="A327" s="0" t="n">
        <f aca="false">B327*1000+C327</f>
        <v>10019</v>
      </c>
      <c r="B327" s="0" t="n">
        <v>10</v>
      </c>
      <c r="C327" s="0" t="n">
        <v>19</v>
      </c>
      <c r="D327" s="0" t="n">
        <v>0</v>
      </c>
      <c r="E327" s="0" t="n">
        <f aca="false">VLOOKUP(B327,'Babblefish-APUMA'!$A$1:$B$86,2)</f>
        <v>10</v>
      </c>
      <c r="F327" s="0" t="n">
        <f aca="false">IF(C327&gt;1,IF(C327&lt;99,VLOOKUP(C327,'Babblefish-APUMA'!$A$1:$B$86,2),C327),C327)</f>
        <v>19</v>
      </c>
    </row>
    <row r="328" customFormat="false" ht="12.75" hidden="false" customHeight="false" outlineLevel="0" collapsed="false">
      <c r="A328" s="0" t="n">
        <f aca="false">B328*1000+C328</f>
        <v>10020</v>
      </c>
      <c r="B328" s="0" t="n">
        <v>10</v>
      </c>
      <c r="C328" s="0" t="n">
        <v>20</v>
      </c>
      <c r="D328" s="0" t="n">
        <v>221</v>
      </c>
      <c r="E328" s="0" t="n">
        <f aca="false">VLOOKUP(B328,'Babblefish-APUMA'!$A$1:$B$86,2)</f>
        <v>10</v>
      </c>
      <c r="F328" s="0" t="n">
        <f aca="false">IF(C328&gt;1,IF(C328&lt;99,VLOOKUP(C328,'Babblefish-APUMA'!$A$1:$B$86,2),C328),C328)</f>
        <v>86</v>
      </c>
    </row>
    <row r="329" customFormat="false" ht="12.75" hidden="false" customHeight="false" outlineLevel="0" collapsed="false">
      <c r="A329" s="0" t="n">
        <f aca="false">B329*1000+C329</f>
        <v>10021</v>
      </c>
      <c r="B329" s="0" t="n">
        <v>10</v>
      </c>
      <c r="C329" s="0" t="n">
        <v>21</v>
      </c>
      <c r="D329" s="0" t="n">
        <v>91</v>
      </c>
      <c r="E329" s="0" t="n">
        <f aca="false">VLOOKUP(B329,'Babblefish-APUMA'!$A$1:$B$86,2)</f>
        <v>10</v>
      </c>
      <c r="F329" s="0" t="n">
        <f aca="false">IF(C329&gt;1,IF(C329&lt;99,VLOOKUP(C329,'Babblefish-APUMA'!$A$1:$B$86,2),C329),C329)</f>
        <v>86</v>
      </c>
    </row>
    <row r="330" customFormat="false" ht="12.75" hidden="false" customHeight="false" outlineLevel="0" collapsed="false">
      <c r="A330" s="0" t="n">
        <f aca="false">B330*1000+C330</f>
        <v>10022</v>
      </c>
      <c r="B330" s="0" t="n">
        <v>10</v>
      </c>
      <c r="C330" s="0" t="n">
        <v>22</v>
      </c>
      <c r="D330" s="0" t="n">
        <v>78</v>
      </c>
      <c r="E330" s="0" t="n">
        <f aca="false">VLOOKUP(B330,'Babblefish-APUMA'!$A$1:$B$86,2)</f>
        <v>10</v>
      </c>
      <c r="F330" s="0" t="n">
        <f aca="false">IF(C330&gt;1,IF(C330&lt;99,VLOOKUP(C330,'Babblefish-APUMA'!$A$1:$B$86,2),C330),C330)</f>
        <v>22</v>
      </c>
    </row>
    <row r="331" customFormat="false" ht="12.75" hidden="false" customHeight="false" outlineLevel="0" collapsed="false">
      <c r="A331" s="0" t="n">
        <f aca="false">B331*1000+C331</f>
        <v>10023</v>
      </c>
      <c r="B331" s="0" t="n">
        <v>10</v>
      </c>
      <c r="C331" s="0" t="n">
        <v>23</v>
      </c>
      <c r="D331" s="0" t="n">
        <v>351</v>
      </c>
      <c r="E331" s="0" t="n">
        <f aca="false">VLOOKUP(B331,'Babblefish-APUMA'!$A$1:$B$86,2)</f>
        <v>10</v>
      </c>
      <c r="F331" s="0" t="n">
        <f aca="false">IF(C331&gt;1,IF(C331&lt;99,VLOOKUP(C331,'Babblefish-APUMA'!$A$1:$B$86,2),C331),C331)</f>
        <v>97</v>
      </c>
    </row>
    <row r="332" customFormat="false" ht="12.75" hidden="false" customHeight="false" outlineLevel="0" collapsed="false">
      <c r="A332" s="0" t="n">
        <f aca="false">B332*1000+C332</f>
        <v>10024</v>
      </c>
      <c r="B332" s="0" t="n">
        <v>10</v>
      </c>
      <c r="C332" s="0" t="n">
        <v>24</v>
      </c>
      <c r="D332" s="0" t="n">
        <v>117</v>
      </c>
      <c r="E332" s="0" t="n">
        <f aca="false">VLOOKUP(B332,'Babblefish-APUMA'!$A$1:$B$86,2)</f>
        <v>10</v>
      </c>
      <c r="F332" s="0" t="n">
        <f aca="false">IF(C332&gt;1,IF(C332&lt;99,VLOOKUP(C332,'Babblefish-APUMA'!$A$1:$B$86,2),C332),C332)</f>
        <v>101</v>
      </c>
    </row>
    <row r="333" customFormat="false" ht="12.75" hidden="false" customHeight="false" outlineLevel="0" collapsed="false">
      <c r="A333" s="0" t="n">
        <f aca="false">B333*1000+C333</f>
        <v>10025</v>
      </c>
      <c r="B333" s="0" t="n">
        <v>10</v>
      </c>
      <c r="C333" s="0" t="n">
        <v>25</v>
      </c>
      <c r="D333" s="0" t="n">
        <v>0</v>
      </c>
      <c r="E333" s="0" t="n">
        <f aca="false">VLOOKUP(B333,'Babblefish-APUMA'!$A$1:$B$86,2)</f>
        <v>10</v>
      </c>
      <c r="F333" s="0" t="n">
        <f aca="false">IF(C333&gt;1,IF(C333&lt;99,VLOOKUP(C333,'Babblefish-APUMA'!$A$1:$B$86,2),C333),C333)</f>
        <v>101</v>
      </c>
    </row>
    <row r="334" customFormat="false" ht="12.75" hidden="false" customHeight="false" outlineLevel="0" collapsed="false">
      <c r="A334" s="0" t="n">
        <f aca="false">B334*1000+C334</f>
        <v>10026</v>
      </c>
      <c r="B334" s="0" t="n">
        <v>10</v>
      </c>
      <c r="C334" s="0" t="n">
        <v>26</v>
      </c>
      <c r="D334" s="0" t="n">
        <v>117</v>
      </c>
      <c r="E334" s="0" t="n">
        <f aca="false">VLOOKUP(B334,'Babblefish-APUMA'!$A$1:$B$86,2)</f>
        <v>10</v>
      </c>
      <c r="F334" s="0" t="n">
        <f aca="false">IF(C334&gt;1,IF(C334&lt;99,VLOOKUP(C334,'Babblefish-APUMA'!$A$1:$B$86,2),C334),C334)</f>
        <v>26</v>
      </c>
    </row>
    <row r="335" customFormat="false" ht="12.75" hidden="false" customHeight="false" outlineLevel="0" collapsed="false">
      <c r="A335" s="0" t="n">
        <f aca="false">B335*1000+C335</f>
        <v>10028</v>
      </c>
      <c r="B335" s="0" t="n">
        <v>10</v>
      </c>
      <c r="C335" s="0" t="n">
        <v>28</v>
      </c>
      <c r="D335" s="0" t="n">
        <v>13039</v>
      </c>
      <c r="E335" s="0" t="n">
        <f aca="false">VLOOKUP(B335,'Babblefish-APUMA'!$A$1:$B$86,2)</f>
        <v>10</v>
      </c>
      <c r="F335" s="0" t="n">
        <f aca="false">IF(C335&gt;1,IF(C335&lt;99,VLOOKUP(C335,'Babblefish-APUMA'!$A$1:$B$86,2),C335),C335)</f>
        <v>94</v>
      </c>
    </row>
    <row r="336" customFormat="false" ht="12.75" hidden="false" customHeight="false" outlineLevel="0" collapsed="false">
      <c r="A336" s="0" t="n">
        <f aca="false">B336*1000+C336</f>
        <v>10029</v>
      </c>
      <c r="B336" s="0" t="n">
        <v>10</v>
      </c>
      <c r="C336" s="0" t="n">
        <v>29</v>
      </c>
      <c r="D336" s="0" t="n">
        <v>4069</v>
      </c>
      <c r="E336" s="0" t="n">
        <f aca="false">VLOOKUP(B336,'Babblefish-APUMA'!$A$1:$B$86,2)</f>
        <v>10</v>
      </c>
      <c r="F336" s="0" t="n">
        <f aca="false">IF(C336&gt;1,IF(C336&lt;99,VLOOKUP(C336,'Babblefish-APUMA'!$A$1:$B$86,2),C336),C336)</f>
        <v>94</v>
      </c>
    </row>
    <row r="337" customFormat="false" ht="12.75" hidden="false" customHeight="false" outlineLevel="0" collapsed="false">
      <c r="A337" s="0" t="n">
        <f aca="false">B337*1000+C337</f>
        <v>10033</v>
      </c>
      <c r="B337" s="0" t="n">
        <v>10</v>
      </c>
      <c r="C337" s="0" t="n">
        <v>33</v>
      </c>
      <c r="D337" s="0" t="n">
        <v>0</v>
      </c>
      <c r="E337" s="0" t="n">
        <f aca="false">VLOOKUP(B337,'Babblefish-APUMA'!$A$1:$B$86,2)</f>
        <v>10</v>
      </c>
      <c r="F337" s="0" t="n">
        <f aca="false">IF(C337&gt;1,IF(C337&lt;99,VLOOKUP(C337,'Babblefish-APUMA'!$A$1:$B$86,2),C337),C337)</f>
        <v>96</v>
      </c>
    </row>
    <row r="338" customFormat="false" ht="12.75" hidden="false" customHeight="false" outlineLevel="0" collapsed="false">
      <c r="A338" s="0" t="n">
        <f aca="false">B338*1000+C338</f>
        <v>10034</v>
      </c>
      <c r="B338" s="0" t="n">
        <v>10</v>
      </c>
      <c r="C338" s="0" t="n">
        <v>34</v>
      </c>
      <c r="D338" s="0" t="n">
        <v>0</v>
      </c>
      <c r="E338" s="0" t="n">
        <f aca="false">VLOOKUP(B338,'Babblefish-APUMA'!$A$1:$B$86,2)</f>
        <v>10</v>
      </c>
      <c r="F338" s="0" t="n">
        <f aca="false">IF(C338&gt;1,IF(C338&lt;99,VLOOKUP(C338,'Babblefish-APUMA'!$A$1:$B$86,2),C338),C338)</f>
        <v>96</v>
      </c>
    </row>
    <row r="339" customFormat="false" ht="12.75" hidden="false" customHeight="false" outlineLevel="0" collapsed="false">
      <c r="A339" s="0" t="n">
        <f aca="false">B339*1000+C339</f>
        <v>10035</v>
      </c>
      <c r="B339" s="0" t="n">
        <v>10</v>
      </c>
      <c r="C339" s="0" t="n">
        <v>35</v>
      </c>
      <c r="D339" s="0" t="n">
        <v>0</v>
      </c>
      <c r="E339" s="0" t="n">
        <f aca="false">VLOOKUP(B339,'Babblefish-APUMA'!$A$1:$B$86,2)</f>
        <v>10</v>
      </c>
      <c r="F339" s="0" t="n">
        <f aca="false">IF(C339&gt;1,IF(C339&lt;99,VLOOKUP(C339,'Babblefish-APUMA'!$A$1:$B$86,2),C339),C339)</f>
        <v>96</v>
      </c>
    </row>
    <row r="340" customFormat="false" ht="12.75" hidden="false" customHeight="false" outlineLevel="0" collapsed="false">
      <c r="A340" s="0" t="n">
        <f aca="false">B340*1000+C340</f>
        <v>10037</v>
      </c>
      <c r="B340" s="0" t="n">
        <v>10</v>
      </c>
      <c r="C340" s="0" t="n">
        <v>37</v>
      </c>
      <c r="D340" s="0" t="n">
        <v>0</v>
      </c>
      <c r="E340" s="0" t="n">
        <f aca="false">VLOOKUP(B340,'Babblefish-APUMA'!$A$1:$B$86,2)</f>
        <v>10</v>
      </c>
      <c r="F340" s="0" t="n">
        <f aca="false">IF(C340&gt;1,IF(C340&lt;99,VLOOKUP(C340,'Babblefish-APUMA'!$A$1:$B$86,2),C340),C340)</f>
        <v>96</v>
      </c>
    </row>
    <row r="341" customFormat="false" ht="12.75" hidden="false" customHeight="false" outlineLevel="0" collapsed="false">
      <c r="A341" s="0" t="n">
        <f aca="false">B341*1000+C341</f>
        <v>10039</v>
      </c>
      <c r="B341" s="0" t="n">
        <v>10</v>
      </c>
      <c r="C341" s="0" t="n">
        <v>39</v>
      </c>
      <c r="D341" s="0" t="n">
        <v>0</v>
      </c>
      <c r="E341" s="0" t="n">
        <f aca="false">VLOOKUP(B341,'Babblefish-APUMA'!$A$1:$B$86,2)</f>
        <v>10</v>
      </c>
      <c r="F341" s="0" t="n">
        <f aca="false">IF(C341&gt;1,IF(C341&lt;99,VLOOKUP(C341,'Babblefish-APUMA'!$A$1:$B$86,2),C341),C341)</f>
        <v>91</v>
      </c>
    </row>
    <row r="342" customFormat="false" ht="12.75" hidden="false" customHeight="false" outlineLevel="0" collapsed="false">
      <c r="A342" s="0" t="n">
        <f aca="false">B342*1000+C342</f>
        <v>10040</v>
      </c>
      <c r="B342" s="0" t="n">
        <v>10</v>
      </c>
      <c r="C342" s="0" t="n">
        <v>40</v>
      </c>
      <c r="D342" s="0" t="n">
        <v>0</v>
      </c>
      <c r="E342" s="0" t="n">
        <f aca="false">VLOOKUP(B342,'Babblefish-APUMA'!$A$1:$B$86,2)</f>
        <v>10</v>
      </c>
      <c r="F342" s="0" t="n">
        <f aca="false">IF(C342&gt;1,IF(C342&lt;99,VLOOKUP(C342,'Babblefish-APUMA'!$A$1:$B$86,2),C342),C342)</f>
        <v>88</v>
      </c>
    </row>
    <row r="343" customFormat="false" ht="12.75" hidden="false" customHeight="false" outlineLevel="0" collapsed="false">
      <c r="A343" s="0" t="n">
        <f aca="false">B343*1000+C343</f>
        <v>10041</v>
      </c>
      <c r="B343" s="0" t="n">
        <v>10</v>
      </c>
      <c r="C343" s="0" t="n">
        <v>41</v>
      </c>
      <c r="D343" s="0" t="n">
        <v>0</v>
      </c>
      <c r="E343" s="0" t="n">
        <f aca="false">VLOOKUP(B343,'Babblefish-APUMA'!$A$1:$B$86,2)</f>
        <v>10</v>
      </c>
      <c r="F343" s="0" t="n">
        <f aca="false">IF(C343&gt;1,IF(C343&lt;99,VLOOKUP(C343,'Babblefish-APUMA'!$A$1:$B$86,2),C343),C343)</f>
        <v>88</v>
      </c>
    </row>
    <row r="344" customFormat="false" ht="12.75" hidden="false" customHeight="false" outlineLevel="0" collapsed="false">
      <c r="A344" s="0" t="n">
        <f aca="false">B344*1000+C344</f>
        <v>10049</v>
      </c>
      <c r="B344" s="0" t="n">
        <v>10</v>
      </c>
      <c r="C344" s="0" t="n">
        <v>49</v>
      </c>
      <c r="D344" s="0" t="n">
        <v>65</v>
      </c>
      <c r="E344" s="0" t="n">
        <f aca="false">VLOOKUP(B344,'Babblefish-APUMA'!$A$1:$B$86,2)</f>
        <v>10</v>
      </c>
      <c r="F344" s="0" t="n">
        <f aca="false">IF(C344&gt;1,IF(C344&lt;99,VLOOKUP(C344,'Babblefish-APUMA'!$A$1:$B$86,2),C344),C344)</f>
        <v>98</v>
      </c>
    </row>
    <row r="345" customFormat="false" ht="12.75" hidden="false" customHeight="false" outlineLevel="0" collapsed="false">
      <c r="A345" s="0" t="n">
        <f aca="false">B345*1000+C345</f>
        <v>10050</v>
      </c>
      <c r="B345" s="0" t="n">
        <v>10</v>
      </c>
      <c r="C345" s="0" t="n">
        <v>50</v>
      </c>
      <c r="D345" s="0" t="n">
        <v>0</v>
      </c>
      <c r="E345" s="0" t="n">
        <f aca="false">VLOOKUP(B345,'Babblefish-APUMA'!$A$1:$B$86,2)</f>
        <v>10</v>
      </c>
      <c r="F345" s="0" t="n">
        <f aca="false">IF(C345&gt;1,IF(C345&lt;99,VLOOKUP(C345,'Babblefish-APUMA'!$A$1:$B$86,2),C345),C345)</f>
        <v>98</v>
      </c>
    </row>
    <row r="346" customFormat="false" ht="12.75" hidden="false" customHeight="false" outlineLevel="0" collapsed="false">
      <c r="A346" s="0" t="n">
        <f aca="false">B346*1000+C346</f>
        <v>10051</v>
      </c>
      <c r="B346" s="0" t="n">
        <v>10</v>
      </c>
      <c r="C346" s="0" t="n">
        <v>51</v>
      </c>
      <c r="D346" s="0" t="n">
        <v>0</v>
      </c>
      <c r="E346" s="0" t="n">
        <f aca="false">VLOOKUP(B346,'Babblefish-APUMA'!$A$1:$B$86,2)</f>
        <v>10</v>
      </c>
      <c r="F346" s="0" t="n">
        <f aca="false">IF(C346&gt;1,IF(C346&lt;99,VLOOKUP(C346,'Babblefish-APUMA'!$A$1:$B$86,2),C346),C346)</f>
        <v>98</v>
      </c>
    </row>
    <row r="347" customFormat="false" ht="12.75" hidden="false" customHeight="false" outlineLevel="0" collapsed="false">
      <c r="A347" s="0" t="n">
        <f aca="false">B347*1000+C347</f>
        <v>10053</v>
      </c>
      <c r="B347" s="0" t="n">
        <v>10</v>
      </c>
      <c r="C347" s="0" t="n">
        <v>53</v>
      </c>
      <c r="D347" s="0" t="n">
        <v>0</v>
      </c>
      <c r="E347" s="0" t="n">
        <f aca="false">VLOOKUP(B347,'Babblefish-APUMA'!$A$1:$B$86,2)</f>
        <v>10</v>
      </c>
      <c r="F347" s="0" t="n">
        <f aca="false">IF(C347&gt;1,IF(C347&lt;99,VLOOKUP(C347,'Babblefish-APUMA'!$A$1:$B$86,2),C347),C347)</f>
        <v>90</v>
      </c>
    </row>
    <row r="348" customFormat="false" ht="12.75" hidden="false" customHeight="false" outlineLevel="0" collapsed="false">
      <c r="A348" s="0" t="n">
        <f aca="false">B348*1000+C348</f>
        <v>10064</v>
      </c>
      <c r="B348" s="0" t="n">
        <v>10</v>
      </c>
      <c r="C348" s="0" t="n">
        <v>64</v>
      </c>
      <c r="D348" s="0" t="n">
        <v>0</v>
      </c>
      <c r="E348" s="0" t="n">
        <f aca="false">VLOOKUP(B348,'Babblefish-APUMA'!$A$1:$B$86,2)</f>
        <v>10</v>
      </c>
      <c r="F348" s="0" t="n">
        <f aca="false">IF(C348&gt;1,IF(C348&lt;99,VLOOKUP(C348,'Babblefish-APUMA'!$A$1:$B$86,2),C348),C348)</f>
        <v>90</v>
      </c>
    </row>
    <row r="349" customFormat="false" ht="12.75" hidden="false" customHeight="false" outlineLevel="0" collapsed="false">
      <c r="A349" s="0" t="n">
        <f aca="false">B349*1000+C349</f>
        <v>10065</v>
      </c>
      <c r="B349" s="0" t="n">
        <v>10</v>
      </c>
      <c r="C349" s="0" t="n">
        <v>65</v>
      </c>
      <c r="D349" s="0" t="n">
        <v>78</v>
      </c>
      <c r="E349" s="0" t="n">
        <f aca="false">VLOOKUP(B349,'Babblefish-APUMA'!$A$1:$B$86,2)</f>
        <v>10</v>
      </c>
      <c r="F349" s="0" t="n">
        <f aca="false">IF(C349&gt;1,IF(C349&lt;99,VLOOKUP(C349,'Babblefish-APUMA'!$A$1:$B$86,2),C349),C349)</f>
        <v>90</v>
      </c>
    </row>
    <row r="350" customFormat="false" ht="12.75" hidden="false" customHeight="false" outlineLevel="0" collapsed="false">
      <c r="A350" s="0" t="n">
        <f aca="false">B350*1000+C350</f>
        <v>10069</v>
      </c>
      <c r="B350" s="0" t="n">
        <v>10</v>
      </c>
      <c r="C350" s="0" t="n">
        <v>69</v>
      </c>
      <c r="D350" s="0" t="n">
        <v>0</v>
      </c>
      <c r="E350" s="0" t="n">
        <f aca="false">VLOOKUP(B350,'Babblefish-APUMA'!$A$1:$B$86,2)</f>
        <v>10</v>
      </c>
      <c r="F350" s="0" t="n">
        <f aca="false">IF(C350&gt;1,IF(C350&lt;99,VLOOKUP(C350,'Babblefish-APUMA'!$A$1:$B$86,2),C350),C350)</f>
        <v>93</v>
      </c>
    </row>
    <row r="351" customFormat="false" ht="12.75" hidden="false" customHeight="false" outlineLevel="0" collapsed="false">
      <c r="A351" s="0" t="n">
        <f aca="false">B351*1000+C351</f>
        <v>10072</v>
      </c>
      <c r="B351" s="0" t="n">
        <v>10</v>
      </c>
      <c r="C351" s="0" t="n">
        <v>72</v>
      </c>
      <c r="D351" s="0" t="n">
        <v>0</v>
      </c>
      <c r="E351" s="0" t="n">
        <f aca="false">VLOOKUP(B351,'Babblefish-APUMA'!$A$1:$B$86,2)</f>
        <v>10</v>
      </c>
      <c r="F351" s="0" t="n">
        <f aca="false">IF(C351&gt;1,IF(C351&lt;99,VLOOKUP(C351,'Babblefish-APUMA'!$A$1:$B$86,2),C351),C351)</f>
        <v>95</v>
      </c>
    </row>
    <row r="352" customFormat="false" ht="12.75" hidden="false" customHeight="false" outlineLevel="0" collapsed="false">
      <c r="A352" s="0" t="n">
        <f aca="false">B352*1000+C352</f>
        <v>10073</v>
      </c>
      <c r="B352" s="0" t="n">
        <v>10</v>
      </c>
      <c r="C352" s="0" t="n">
        <v>73</v>
      </c>
      <c r="D352" s="0" t="n">
        <v>169</v>
      </c>
      <c r="E352" s="0" t="n">
        <f aca="false">VLOOKUP(B352,'Babblefish-APUMA'!$A$1:$B$86,2)</f>
        <v>10</v>
      </c>
      <c r="F352" s="0" t="n">
        <f aca="false">IF(C352&gt;1,IF(C352&lt;99,VLOOKUP(C352,'Babblefish-APUMA'!$A$1:$B$86,2),C352),C352)</f>
        <v>99</v>
      </c>
    </row>
    <row r="353" customFormat="false" ht="12.75" hidden="false" customHeight="false" outlineLevel="0" collapsed="false">
      <c r="A353" s="0" t="n">
        <f aca="false">B353*1000+C353</f>
        <v>10075</v>
      </c>
      <c r="B353" s="0" t="n">
        <v>10</v>
      </c>
      <c r="C353" s="0" t="n">
        <v>75</v>
      </c>
      <c r="D353" s="0" t="n">
        <v>0</v>
      </c>
      <c r="E353" s="0" t="n">
        <f aca="false">VLOOKUP(B353,'Babblefish-APUMA'!$A$1:$B$86,2)</f>
        <v>10</v>
      </c>
      <c r="F353" s="0" t="n">
        <f aca="false">IF(C353&gt;1,IF(C353&lt;99,VLOOKUP(C353,'Babblefish-APUMA'!$A$1:$B$86,2),C353),C353)</f>
        <v>75</v>
      </c>
    </row>
    <row r="354" customFormat="false" ht="12.75" hidden="false" customHeight="false" outlineLevel="0" collapsed="false">
      <c r="A354" s="0" t="n">
        <f aca="false">B354*1000+C354</f>
        <v>10079</v>
      </c>
      <c r="B354" s="0" t="n">
        <v>10</v>
      </c>
      <c r="C354" s="0" t="n">
        <v>79</v>
      </c>
      <c r="D354" s="0" t="n">
        <v>0</v>
      </c>
      <c r="E354" s="0" t="n">
        <f aca="false">VLOOKUP(B354,'Babblefish-APUMA'!$A$1:$B$86,2)</f>
        <v>10</v>
      </c>
      <c r="F354" s="0" t="n">
        <f aca="false">IF(C354&gt;1,IF(C354&lt;99,VLOOKUP(C354,'Babblefish-APUMA'!$A$1:$B$86,2),C354),C354)</f>
        <v>89</v>
      </c>
    </row>
    <row r="355" customFormat="false" ht="12.75" hidden="false" customHeight="false" outlineLevel="0" collapsed="false">
      <c r="A355" s="0" t="n">
        <f aca="false">B355*1000+C355</f>
        <v>10085</v>
      </c>
      <c r="B355" s="0" t="n">
        <v>10</v>
      </c>
      <c r="C355" s="0" t="n">
        <v>85</v>
      </c>
      <c r="D355" s="0" t="n">
        <v>0</v>
      </c>
      <c r="E355" s="0" t="n">
        <f aca="false">VLOOKUP(B355,'Babblefish-APUMA'!$A$1:$B$86,2)</f>
        <v>10</v>
      </c>
      <c r="F355" s="0" t="n">
        <f aca="false">IF(C355&gt;1,IF(C355&lt;99,VLOOKUP(C355,'Babblefish-APUMA'!$A$1:$B$86,2),C355),C355)</f>
        <v>97</v>
      </c>
    </row>
    <row r="356" customFormat="false" ht="12.75" hidden="false" customHeight="false" outlineLevel="0" collapsed="false">
      <c r="A356" s="0" t="n">
        <f aca="false">B356*1000+C356</f>
        <v>10999</v>
      </c>
      <c r="B356" s="0" t="n">
        <v>10</v>
      </c>
      <c r="C356" s="0" t="n">
        <v>999</v>
      </c>
      <c r="D356" s="0" t="n">
        <v>0</v>
      </c>
      <c r="E356" s="0" t="n">
        <f aca="false">VLOOKUP(B356,'Babblefish-APUMA'!$A$1:$B$86,2)</f>
        <v>10</v>
      </c>
      <c r="F356" s="0" t="n">
        <f aca="false">IF(C356&gt;1,IF(C356&lt;99,VLOOKUP(C356,'Babblefish-APUMA'!$A$1:$B$86,2),C356),C356)</f>
        <v>999</v>
      </c>
    </row>
    <row r="357" customFormat="false" ht="12.75" hidden="false" customHeight="false" outlineLevel="0" collapsed="false">
      <c r="A357" s="0" t="n">
        <f aca="false">B357*1000+C357</f>
        <v>11000</v>
      </c>
      <c r="B357" s="0" t="n">
        <v>11</v>
      </c>
      <c r="C357" s="0" t="n">
        <v>0</v>
      </c>
      <c r="D357" s="0" t="n">
        <v>90948</v>
      </c>
      <c r="E357" s="0" t="n">
        <f aca="false">VLOOKUP(B357,'Babblefish-APUMA'!$A$1:$B$86,2)</f>
        <v>11</v>
      </c>
      <c r="F357" s="0" t="n">
        <f aca="false">IF(C357&gt;1,IF(C357&lt;99,VLOOKUP(C357,'Babblefish-APUMA'!$A$1:$B$86,2),C357),C357)</f>
        <v>0</v>
      </c>
    </row>
    <row r="358" customFormat="false" ht="12.75" hidden="false" customHeight="false" outlineLevel="0" collapsed="false">
      <c r="A358" s="0" t="n">
        <f aca="false">B358*1000+C358</f>
        <v>11001</v>
      </c>
      <c r="B358" s="0" t="n">
        <v>11</v>
      </c>
      <c r="C358" s="0" t="n">
        <v>1</v>
      </c>
      <c r="D358" s="0" t="n">
        <v>0</v>
      </c>
      <c r="E358" s="0" t="n">
        <f aca="false">VLOOKUP(B358,'Babblefish-APUMA'!$A$1:$B$86,2)</f>
        <v>11</v>
      </c>
      <c r="F358" s="0" t="n">
        <f aca="false">IF(C358&gt;1,IF(C358&lt;99,VLOOKUP(C358,'Babblefish-APUMA'!$A$1:$B$86,2),C358),C358)</f>
        <v>1</v>
      </c>
    </row>
    <row r="359" customFormat="false" ht="12.75" hidden="false" customHeight="false" outlineLevel="0" collapsed="false">
      <c r="A359" s="0" t="n">
        <f aca="false">B359*1000+C359</f>
        <v>11002</v>
      </c>
      <c r="B359" s="0" t="n">
        <v>11</v>
      </c>
      <c r="C359" s="0" t="n">
        <v>2</v>
      </c>
      <c r="D359" s="0" t="n">
        <v>0</v>
      </c>
      <c r="E359" s="0" t="n">
        <f aca="false">VLOOKUP(B359,'Babblefish-APUMA'!$A$1:$B$86,2)</f>
        <v>11</v>
      </c>
      <c r="F359" s="0" t="n">
        <f aca="false">IF(C359&gt;1,IF(C359&lt;99,VLOOKUP(C359,'Babblefish-APUMA'!$A$1:$B$86,2),C359),C359)</f>
        <v>2</v>
      </c>
    </row>
    <row r="360" customFormat="false" ht="12.75" hidden="false" customHeight="false" outlineLevel="0" collapsed="false">
      <c r="A360" s="0" t="n">
        <f aca="false">B360*1000+C360</f>
        <v>11003</v>
      </c>
      <c r="B360" s="0" t="n">
        <v>11</v>
      </c>
      <c r="C360" s="0" t="n">
        <v>3</v>
      </c>
      <c r="D360" s="0" t="n">
        <v>429</v>
      </c>
      <c r="E360" s="0" t="n">
        <f aca="false">VLOOKUP(B360,'Babblefish-APUMA'!$A$1:$B$86,2)</f>
        <v>11</v>
      </c>
      <c r="F360" s="0" t="n">
        <f aca="false">IF(C360&gt;1,IF(C360&lt;99,VLOOKUP(C360,'Babblefish-APUMA'!$A$1:$B$86,2),C360),C360)</f>
        <v>3</v>
      </c>
    </row>
    <row r="361" customFormat="false" ht="12.75" hidden="false" customHeight="false" outlineLevel="0" collapsed="false">
      <c r="A361" s="0" t="n">
        <f aca="false">B361*1000+C361</f>
        <v>11004</v>
      </c>
      <c r="B361" s="0" t="n">
        <v>11</v>
      </c>
      <c r="C361" s="0" t="n">
        <v>4</v>
      </c>
      <c r="D361" s="0" t="n">
        <v>1456</v>
      </c>
      <c r="E361" s="0" t="n">
        <f aca="false">VLOOKUP(B361,'Babblefish-APUMA'!$A$1:$B$86,2)</f>
        <v>11</v>
      </c>
      <c r="F361" s="0" t="n">
        <f aca="false">IF(C361&gt;1,IF(C361&lt;99,VLOOKUP(C361,'Babblefish-APUMA'!$A$1:$B$86,2),C361),C361)</f>
        <v>4</v>
      </c>
    </row>
    <row r="362" customFormat="false" ht="12.75" hidden="false" customHeight="false" outlineLevel="0" collapsed="false">
      <c r="A362" s="0" t="n">
        <f aca="false">B362*1000+C362</f>
        <v>11005</v>
      </c>
      <c r="B362" s="0" t="n">
        <v>11</v>
      </c>
      <c r="C362" s="0" t="n">
        <v>5</v>
      </c>
      <c r="D362" s="0" t="n">
        <v>416</v>
      </c>
      <c r="E362" s="0" t="n">
        <f aca="false">VLOOKUP(B362,'Babblefish-APUMA'!$A$1:$B$86,2)</f>
        <v>11</v>
      </c>
      <c r="F362" s="0" t="n">
        <f aca="false">IF(C362&gt;1,IF(C362&lt;99,VLOOKUP(C362,'Babblefish-APUMA'!$A$1:$B$86,2),C362),C362)</f>
        <v>5</v>
      </c>
    </row>
    <row r="363" customFormat="false" ht="12.75" hidden="false" customHeight="false" outlineLevel="0" collapsed="false">
      <c r="A363" s="0" t="n">
        <f aca="false">B363*1000+C363</f>
        <v>11006</v>
      </c>
      <c r="B363" s="0" t="n">
        <v>11</v>
      </c>
      <c r="C363" s="0" t="n">
        <v>6</v>
      </c>
      <c r="D363" s="0" t="n">
        <v>0</v>
      </c>
      <c r="E363" s="0" t="n">
        <f aca="false">VLOOKUP(B363,'Babblefish-APUMA'!$A$1:$B$86,2)</f>
        <v>11</v>
      </c>
      <c r="F363" s="0" t="n">
        <f aca="false">IF(C363&gt;1,IF(C363&lt;99,VLOOKUP(C363,'Babblefish-APUMA'!$A$1:$B$86,2),C363),C363)</f>
        <v>6</v>
      </c>
    </row>
    <row r="364" customFormat="false" ht="12.75" hidden="false" customHeight="false" outlineLevel="0" collapsed="false">
      <c r="A364" s="0" t="n">
        <f aca="false">B364*1000+C364</f>
        <v>11007</v>
      </c>
      <c r="B364" s="0" t="n">
        <v>11</v>
      </c>
      <c r="C364" s="0" t="n">
        <v>7</v>
      </c>
      <c r="D364" s="0" t="n">
        <v>1872</v>
      </c>
      <c r="E364" s="0" t="n">
        <f aca="false">VLOOKUP(B364,'Babblefish-APUMA'!$A$1:$B$86,2)</f>
        <v>11</v>
      </c>
      <c r="F364" s="0" t="n">
        <f aca="false">IF(C364&gt;1,IF(C364&lt;99,VLOOKUP(C364,'Babblefish-APUMA'!$A$1:$B$86,2),C364),C364)</f>
        <v>7</v>
      </c>
    </row>
    <row r="365" customFormat="false" ht="12.75" hidden="false" customHeight="false" outlineLevel="0" collapsed="false">
      <c r="A365" s="0" t="n">
        <f aca="false">B365*1000+C365</f>
        <v>11008</v>
      </c>
      <c r="B365" s="0" t="n">
        <v>11</v>
      </c>
      <c r="C365" s="0" t="n">
        <v>8</v>
      </c>
      <c r="D365" s="0" t="n">
        <v>247</v>
      </c>
      <c r="E365" s="0" t="n">
        <f aca="false">VLOOKUP(B365,'Babblefish-APUMA'!$A$1:$B$86,2)</f>
        <v>11</v>
      </c>
      <c r="F365" s="0" t="n">
        <f aca="false">IF(C365&gt;1,IF(C365&lt;99,VLOOKUP(C365,'Babblefish-APUMA'!$A$1:$B$86,2),C365),C365)</f>
        <v>8</v>
      </c>
    </row>
    <row r="366" customFormat="false" ht="12.75" hidden="false" customHeight="false" outlineLevel="0" collapsed="false">
      <c r="A366" s="0" t="n">
        <f aca="false">B366*1000+C366</f>
        <v>11009</v>
      </c>
      <c r="B366" s="0" t="n">
        <v>11</v>
      </c>
      <c r="C366" s="0" t="n">
        <v>9</v>
      </c>
      <c r="D366" s="0" t="n">
        <v>0</v>
      </c>
      <c r="E366" s="0" t="n">
        <f aca="false">VLOOKUP(B366,'Babblefish-APUMA'!$A$1:$B$86,2)</f>
        <v>11</v>
      </c>
      <c r="F366" s="0" t="n">
        <f aca="false">IF(C366&gt;1,IF(C366&lt;99,VLOOKUP(C366,'Babblefish-APUMA'!$A$1:$B$86,2),C366),C366)</f>
        <v>9</v>
      </c>
    </row>
    <row r="367" customFormat="false" ht="12.75" hidden="false" customHeight="false" outlineLevel="0" collapsed="false">
      <c r="A367" s="0" t="n">
        <f aca="false">B367*1000+C367</f>
        <v>11010</v>
      </c>
      <c r="B367" s="0" t="n">
        <v>11</v>
      </c>
      <c r="C367" s="0" t="n">
        <v>10</v>
      </c>
      <c r="D367" s="0" t="n">
        <v>1131</v>
      </c>
      <c r="E367" s="0" t="n">
        <f aca="false">VLOOKUP(B367,'Babblefish-APUMA'!$A$1:$B$86,2)</f>
        <v>11</v>
      </c>
      <c r="F367" s="0" t="n">
        <f aca="false">IF(C367&gt;1,IF(C367&lt;99,VLOOKUP(C367,'Babblefish-APUMA'!$A$1:$B$86,2),C367),C367)</f>
        <v>10</v>
      </c>
    </row>
    <row r="368" customFormat="false" ht="12.75" hidden="false" customHeight="false" outlineLevel="0" collapsed="false">
      <c r="A368" s="0" t="n">
        <f aca="false">B368*1000+C368</f>
        <v>11011</v>
      </c>
      <c r="B368" s="0" t="n">
        <v>11</v>
      </c>
      <c r="C368" s="0" t="n">
        <v>11</v>
      </c>
      <c r="D368" s="0" t="n">
        <v>46007</v>
      </c>
      <c r="E368" s="0" t="n">
        <f aca="false">VLOOKUP(B368,'Babblefish-APUMA'!$A$1:$B$86,2)</f>
        <v>11</v>
      </c>
      <c r="F368" s="0" t="n">
        <f aca="false">IF(C368&gt;1,IF(C368&lt;99,VLOOKUP(C368,'Babblefish-APUMA'!$A$1:$B$86,2),C368),C368)</f>
        <v>11</v>
      </c>
    </row>
    <row r="369" customFormat="false" ht="12.75" hidden="false" customHeight="false" outlineLevel="0" collapsed="false">
      <c r="A369" s="0" t="n">
        <f aca="false">B369*1000+C369</f>
        <v>11012</v>
      </c>
      <c r="B369" s="0" t="n">
        <v>11</v>
      </c>
      <c r="C369" s="0" t="n">
        <v>12</v>
      </c>
      <c r="D369" s="0" t="n">
        <v>104</v>
      </c>
      <c r="E369" s="0" t="n">
        <f aca="false">VLOOKUP(B369,'Babblefish-APUMA'!$A$1:$B$86,2)</f>
        <v>11</v>
      </c>
      <c r="F369" s="0" t="n">
        <f aca="false">IF(C369&gt;1,IF(C369&lt;99,VLOOKUP(C369,'Babblefish-APUMA'!$A$1:$B$86,2),C369),C369)</f>
        <v>12</v>
      </c>
    </row>
    <row r="370" customFormat="false" ht="12.75" hidden="false" customHeight="false" outlineLevel="0" collapsed="false">
      <c r="A370" s="0" t="n">
        <f aca="false">B370*1000+C370</f>
        <v>11013</v>
      </c>
      <c r="B370" s="0" t="n">
        <v>11</v>
      </c>
      <c r="C370" s="0" t="n">
        <v>13</v>
      </c>
      <c r="D370" s="0" t="n">
        <v>0</v>
      </c>
      <c r="E370" s="0" t="n">
        <f aca="false">VLOOKUP(B370,'Babblefish-APUMA'!$A$1:$B$86,2)</f>
        <v>11</v>
      </c>
      <c r="F370" s="0" t="n">
        <f aca="false">IF(C370&gt;1,IF(C370&lt;99,VLOOKUP(C370,'Babblefish-APUMA'!$A$1:$B$86,2),C370),C370)</f>
        <v>100</v>
      </c>
    </row>
    <row r="371" customFormat="false" ht="12.75" hidden="false" customHeight="false" outlineLevel="0" collapsed="false">
      <c r="A371" s="0" t="n">
        <f aca="false">B371*1000+C371</f>
        <v>11014</v>
      </c>
      <c r="B371" s="0" t="n">
        <v>11</v>
      </c>
      <c r="C371" s="0" t="n">
        <v>14</v>
      </c>
      <c r="D371" s="0" t="n">
        <v>26</v>
      </c>
      <c r="E371" s="0" t="n">
        <f aca="false">VLOOKUP(B371,'Babblefish-APUMA'!$A$1:$B$86,2)</f>
        <v>11</v>
      </c>
      <c r="F371" s="0" t="n">
        <f aca="false">IF(C371&gt;1,IF(C371&lt;99,VLOOKUP(C371,'Babblefish-APUMA'!$A$1:$B$86,2),C371),C371)</f>
        <v>100</v>
      </c>
    </row>
    <row r="372" customFormat="false" ht="12.75" hidden="false" customHeight="false" outlineLevel="0" collapsed="false">
      <c r="A372" s="0" t="n">
        <f aca="false">B372*1000+C372</f>
        <v>11015</v>
      </c>
      <c r="B372" s="0" t="n">
        <v>11</v>
      </c>
      <c r="C372" s="0" t="n">
        <v>15</v>
      </c>
      <c r="D372" s="0" t="n">
        <v>0</v>
      </c>
      <c r="E372" s="0" t="n">
        <f aca="false">VLOOKUP(B372,'Babblefish-APUMA'!$A$1:$B$86,2)</f>
        <v>11</v>
      </c>
      <c r="F372" s="0" t="n">
        <f aca="false">IF(C372&gt;1,IF(C372&lt;99,VLOOKUP(C372,'Babblefish-APUMA'!$A$1:$B$86,2),C372),C372)</f>
        <v>15</v>
      </c>
    </row>
    <row r="373" customFormat="false" ht="12.75" hidden="false" customHeight="false" outlineLevel="0" collapsed="false">
      <c r="A373" s="0" t="n">
        <f aca="false">B373*1000+C373</f>
        <v>11016</v>
      </c>
      <c r="B373" s="0" t="n">
        <v>11</v>
      </c>
      <c r="C373" s="0" t="n">
        <v>16</v>
      </c>
      <c r="D373" s="0" t="n">
        <v>377</v>
      </c>
      <c r="E373" s="0" t="n">
        <f aca="false">VLOOKUP(B373,'Babblefish-APUMA'!$A$1:$B$86,2)</f>
        <v>11</v>
      </c>
      <c r="F373" s="0" t="n">
        <f aca="false">IF(C373&gt;1,IF(C373&lt;99,VLOOKUP(C373,'Babblefish-APUMA'!$A$1:$B$86,2),C373),C373)</f>
        <v>99</v>
      </c>
    </row>
    <row r="374" customFormat="false" ht="12.75" hidden="false" customHeight="false" outlineLevel="0" collapsed="false">
      <c r="A374" s="0" t="n">
        <f aca="false">B374*1000+C374</f>
        <v>11017</v>
      </c>
      <c r="B374" s="0" t="n">
        <v>11</v>
      </c>
      <c r="C374" s="0" t="n">
        <v>17</v>
      </c>
      <c r="D374" s="0" t="n">
        <v>0</v>
      </c>
      <c r="E374" s="0" t="n">
        <f aca="false">VLOOKUP(B374,'Babblefish-APUMA'!$A$1:$B$86,2)</f>
        <v>11</v>
      </c>
      <c r="F374" s="0" t="n">
        <f aca="false">IF(C374&gt;1,IF(C374&lt;99,VLOOKUP(C374,'Babblefish-APUMA'!$A$1:$B$86,2),C374),C374)</f>
        <v>87</v>
      </c>
    </row>
    <row r="375" customFormat="false" ht="12.75" hidden="false" customHeight="false" outlineLevel="0" collapsed="false">
      <c r="A375" s="0" t="n">
        <f aca="false">B375*1000+C375</f>
        <v>11018</v>
      </c>
      <c r="B375" s="0" t="n">
        <v>11</v>
      </c>
      <c r="C375" s="0" t="n">
        <v>18</v>
      </c>
      <c r="D375" s="0" t="n">
        <v>624</v>
      </c>
      <c r="E375" s="0" t="n">
        <f aca="false">VLOOKUP(B375,'Babblefish-APUMA'!$A$1:$B$86,2)</f>
        <v>11</v>
      </c>
      <c r="F375" s="0" t="n">
        <f aca="false">IF(C375&gt;1,IF(C375&lt;99,VLOOKUP(C375,'Babblefish-APUMA'!$A$1:$B$86,2),C375),C375)</f>
        <v>87</v>
      </c>
    </row>
    <row r="376" customFormat="false" ht="12.75" hidden="false" customHeight="false" outlineLevel="0" collapsed="false">
      <c r="A376" s="0" t="n">
        <f aca="false">B376*1000+C376</f>
        <v>11019</v>
      </c>
      <c r="B376" s="0" t="n">
        <v>11</v>
      </c>
      <c r="C376" s="0" t="n">
        <v>19</v>
      </c>
      <c r="D376" s="0" t="n">
        <v>91</v>
      </c>
      <c r="E376" s="0" t="n">
        <f aca="false">VLOOKUP(B376,'Babblefish-APUMA'!$A$1:$B$86,2)</f>
        <v>11</v>
      </c>
      <c r="F376" s="0" t="n">
        <f aca="false">IF(C376&gt;1,IF(C376&lt;99,VLOOKUP(C376,'Babblefish-APUMA'!$A$1:$B$86,2),C376),C376)</f>
        <v>19</v>
      </c>
    </row>
    <row r="377" customFormat="false" ht="12.75" hidden="false" customHeight="false" outlineLevel="0" collapsed="false">
      <c r="A377" s="0" t="n">
        <f aca="false">B377*1000+C377</f>
        <v>11020</v>
      </c>
      <c r="B377" s="0" t="n">
        <v>11</v>
      </c>
      <c r="C377" s="0" t="n">
        <v>20</v>
      </c>
      <c r="D377" s="0" t="n">
        <v>104</v>
      </c>
      <c r="E377" s="0" t="n">
        <f aca="false">VLOOKUP(B377,'Babblefish-APUMA'!$A$1:$B$86,2)</f>
        <v>11</v>
      </c>
      <c r="F377" s="0" t="n">
        <f aca="false">IF(C377&gt;1,IF(C377&lt;99,VLOOKUP(C377,'Babblefish-APUMA'!$A$1:$B$86,2),C377),C377)</f>
        <v>86</v>
      </c>
    </row>
    <row r="378" customFormat="false" ht="12.75" hidden="false" customHeight="false" outlineLevel="0" collapsed="false">
      <c r="A378" s="0" t="n">
        <f aca="false">B378*1000+C378</f>
        <v>11021</v>
      </c>
      <c r="B378" s="0" t="n">
        <v>11</v>
      </c>
      <c r="C378" s="0" t="n">
        <v>21</v>
      </c>
      <c r="D378" s="0" t="n">
        <v>0</v>
      </c>
      <c r="E378" s="0" t="n">
        <f aca="false">VLOOKUP(B378,'Babblefish-APUMA'!$A$1:$B$86,2)</f>
        <v>11</v>
      </c>
      <c r="F378" s="0" t="n">
        <f aca="false">IF(C378&gt;1,IF(C378&lt;99,VLOOKUP(C378,'Babblefish-APUMA'!$A$1:$B$86,2),C378),C378)</f>
        <v>86</v>
      </c>
    </row>
    <row r="379" customFormat="false" ht="12.75" hidden="false" customHeight="false" outlineLevel="0" collapsed="false">
      <c r="A379" s="0" t="n">
        <f aca="false">B379*1000+C379</f>
        <v>11022</v>
      </c>
      <c r="B379" s="0" t="n">
        <v>11</v>
      </c>
      <c r="C379" s="0" t="n">
        <v>22</v>
      </c>
      <c r="D379" s="0" t="n">
        <v>26</v>
      </c>
      <c r="E379" s="0" t="n">
        <f aca="false">VLOOKUP(B379,'Babblefish-APUMA'!$A$1:$B$86,2)</f>
        <v>11</v>
      </c>
      <c r="F379" s="0" t="n">
        <f aca="false">IF(C379&gt;1,IF(C379&lt;99,VLOOKUP(C379,'Babblefish-APUMA'!$A$1:$B$86,2),C379),C379)</f>
        <v>22</v>
      </c>
    </row>
    <row r="380" customFormat="false" ht="12.75" hidden="false" customHeight="false" outlineLevel="0" collapsed="false">
      <c r="A380" s="0" t="n">
        <f aca="false">B380*1000+C380</f>
        <v>11023</v>
      </c>
      <c r="B380" s="0" t="n">
        <v>11</v>
      </c>
      <c r="C380" s="0" t="n">
        <v>23</v>
      </c>
      <c r="D380" s="0" t="n">
        <v>0</v>
      </c>
      <c r="E380" s="0" t="n">
        <f aca="false">VLOOKUP(B380,'Babblefish-APUMA'!$A$1:$B$86,2)</f>
        <v>11</v>
      </c>
      <c r="F380" s="0" t="n">
        <f aca="false">IF(C380&gt;1,IF(C380&lt;99,VLOOKUP(C380,'Babblefish-APUMA'!$A$1:$B$86,2),C380),C380)</f>
        <v>97</v>
      </c>
    </row>
    <row r="381" customFormat="false" ht="12.75" hidden="false" customHeight="false" outlineLevel="0" collapsed="false">
      <c r="A381" s="0" t="n">
        <f aca="false">B381*1000+C381</f>
        <v>11024</v>
      </c>
      <c r="B381" s="0" t="n">
        <v>11</v>
      </c>
      <c r="C381" s="0" t="n">
        <v>24</v>
      </c>
      <c r="D381" s="0" t="n">
        <v>0</v>
      </c>
      <c r="E381" s="0" t="n">
        <f aca="false">VLOOKUP(B381,'Babblefish-APUMA'!$A$1:$B$86,2)</f>
        <v>11</v>
      </c>
      <c r="F381" s="0" t="n">
        <f aca="false">IF(C381&gt;1,IF(C381&lt;99,VLOOKUP(C381,'Babblefish-APUMA'!$A$1:$B$86,2),C381),C381)</f>
        <v>101</v>
      </c>
    </row>
    <row r="382" customFormat="false" ht="12.75" hidden="false" customHeight="false" outlineLevel="0" collapsed="false">
      <c r="A382" s="0" t="n">
        <f aca="false">B382*1000+C382</f>
        <v>11025</v>
      </c>
      <c r="B382" s="0" t="n">
        <v>11</v>
      </c>
      <c r="C382" s="0" t="n">
        <v>25</v>
      </c>
      <c r="D382" s="0" t="n">
        <v>195</v>
      </c>
      <c r="E382" s="0" t="n">
        <f aca="false">VLOOKUP(B382,'Babblefish-APUMA'!$A$1:$B$86,2)</f>
        <v>11</v>
      </c>
      <c r="F382" s="0" t="n">
        <f aca="false">IF(C382&gt;1,IF(C382&lt;99,VLOOKUP(C382,'Babblefish-APUMA'!$A$1:$B$86,2),C382),C382)</f>
        <v>101</v>
      </c>
    </row>
    <row r="383" customFormat="false" ht="12.75" hidden="false" customHeight="false" outlineLevel="0" collapsed="false">
      <c r="A383" s="0" t="n">
        <f aca="false">B383*1000+C383</f>
        <v>11026</v>
      </c>
      <c r="B383" s="0" t="n">
        <v>11</v>
      </c>
      <c r="C383" s="0" t="n">
        <v>26</v>
      </c>
      <c r="D383" s="0" t="n">
        <v>312</v>
      </c>
      <c r="E383" s="0" t="n">
        <f aca="false">VLOOKUP(B383,'Babblefish-APUMA'!$A$1:$B$86,2)</f>
        <v>11</v>
      </c>
      <c r="F383" s="0" t="n">
        <f aca="false">IF(C383&gt;1,IF(C383&lt;99,VLOOKUP(C383,'Babblefish-APUMA'!$A$1:$B$86,2),C383),C383)</f>
        <v>26</v>
      </c>
    </row>
    <row r="384" customFormat="false" ht="12.75" hidden="false" customHeight="false" outlineLevel="0" collapsed="false">
      <c r="A384" s="0" t="n">
        <f aca="false">B384*1000+C384</f>
        <v>11028</v>
      </c>
      <c r="B384" s="0" t="n">
        <v>11</v>
      </c>
      <c r="C384" s="0" t="n">
        <v>28</v>
      </c>
      <c r="D384" s="0" t="n">
        <v>11089</v>
      </c>
      <c r="E384" s="0" t="n">
        <f aca="false">VLOOKUP(B384,'Babblefish-APUMA'!$A$1:$B$86,2)</f>
        <v>11</v>
      </c>
      <c r="F384" s="0" t="n">
        <f aca="false">IF(C384&gt;1,IF(C384&lt;99,VLOOKUP(C384,'Babblefish-APUMA'!$A$1:$B$86,2),C384),C384)</f>
        <v>94</v>
      </c>
    </row>
    <row r="385" customFormat="false" ht="12.75" hidden="false" customHeight="false" outlineLevel="0" collapsed="false">
      <c r="A385" s="0" t="n">
        <f aca="false">B385*1000+C385</f>
        <v>11029</v>
      </c>
      <c r="B385" s="0" t="n">
        <v>11</v>
      </c>
      <c r="C385" s="0" t="n">
        <v>29</v>
      </c>
      <c r="D385" s="0" t="n">
        <v>14482</v>
      </c>
      <c r="E385" s="0" t="n">
        <f aca="false">VLOOKUP(B385,'Babblefish-APUMA'!$A$1:$B$86,2)</f>
        <v>11</v>
      </c>
      <c r="F385" s="0" t="n">
        <f aca="false">IF(C385&gt;1,IF(C385&lt;99,VLOOKUP(C385,'Babblefish-APUMA'!$A$1:$B$86,2),C385),C385)</f>
        <v>94</v>
      </c>
    </row>
    <row r="386" customFormat="false" ht="12.75" hidden="false" customHeight="false" outlineLevel="0" collapsed="false">
      <c r="A386" s="0" t="n">
        <f aca="false">B386*1000+C386</f>
        <v>11033</v>
      </c>
      <c r="B386" s="0" t="n">
        <v>11</v>
      </c>
      <c r="C386" s="0" t="n">
        <v>33</v>
      </c>
      <c r="D386" s="0" t="n">
        <v>0</v>
      </c>
      <c r="E386" s="0" t="n">
        <f aca="false">VLOOKUP(B386,'Babblefish-APUMA'!$A$1:$B$86,2)</f>
        <v>11</v>
      </c>
      <c r="F386" s="0" t="n">
        <f aca="false">IF(C386&gt;1,IF(C386&lt;99,VLOOKUP(C386,'Babblefish-APUMA'!$A$1:$B$86,2),C386),C386)</f>
        <v>96</v>
      </c>
    </row>
    <row r="387" customFormat="false" ht="12.75" hidden="false" customHeight="false" outlineLevel="0" collapsed="false">
      <c r="A387" s="0" t="n">
        <f aca="false">B387*1000+C387</f>
        <v>11034</v>
      </c>
      <c r="B387" s="0" t="n">
        <v>11</v>
      </c>
      <c r="C387" s="0" t="n">
        <v>34</v>
      </c>
      <c r="D387" s="0" t="n">
        <v>0</v>
      </c>
      <c r="E387" s="0" t="n">
        <f aca="false">VLOOKUP(B387,'Babblefish-APUMA'!$A$1:$B$86,2)</f>
        <v>11</v>
      </c>
      <c r="F387" s="0" t="n">
        <f aca="false">IF(C387&gt;1,IF(C387&lt;99,VLOOKUP(C387,'Babblefish-APUMA'!$A$1:$B$86,2),C387),C387)</f>
        <v>96</v>
      </c>
    </row>
    <row r="388" customFormat="false" ht="12.75" hidden="false" customHeight="false" outlineLevel="0" collapsed="false">
      <c r="A388" s="0" t="n">
        <f aca="false">B388*1000+C388</f>
        <v>11035</v>
      </c>
      <c r="B388" s="0" t="n">
        <v>11</v>
      </c>
      <c r="C388" s="0" t="n">
        <v>35</v>
      </c>
      <c r="D388" s="0" t="n">
        <v>0</v>
      </c>
      <c r="E388" s="0" t="n">
        <f aca="false">VLOOKUP(B388,'Babblefish-APUMA'!$A$1:$B$86,2)</f>
        <v>11</v>
      </c>
      <c r="F388" s="0" t="n">
        <f aca="false">IF(C388&gt;1,IF(C388&lt;99,VLOOKUP(C388,'Babblefish-APUMA'!$A$1:$B$86,2),C388),C388)</f>
        <v>96</v>
      </c>
    </row>
    <row r="389" customFormat="false" ht="12.75" hidden="false" customHeight="false" outlineLevel="0" collapsed="false">
      <c r="A389" s="0" t="n">
        <f aca="false">B389*1000+C389</f>
        <v>11037</v>
      </c>
      <c r="B389" s="0" t="n">
        <v>11</v>
      </c>
      <c r="C389" s="0" t="n">
        <v>37</v>
      </c>
      <c r="D389" s="0" t="n">
        <v>143</v>
      </c>
      <c r="E389" s="0" t="n">
        <f aca="false">VLOOKUP(B389,'Babblefish-APUMA'!$A$1:$B$86,2)</f>
        <v>11</v>
      </c>
      <c r="F389" s="0" t="n">
        <f aca="false">IF(C389&gt;1,IF(C389&lt;99,VLOOKUP(C389,'Babblefish-APUMA'!$A$1:$B$86,2),C389),C389)</f>
        <v>96</v>
      </c>
    </row>
    <row r="390" customFormat="false" ht="12.75" hidden="false" customHeight="false" outlineLevel="0" collapsed="false">
      <c r="A390" s="0" t="n">
        <f aca="false">B390*1000+C390</f>
        <v>11039</v>
      </c>
      <c r="B390" s="0" t="n">
        <v>11</v>
      </c>
      <c r="C390" s="0" t="n">
        <v>39</v>
      </c>
      <c r="D390" s="0" t="n">
        <v>0</v>
      </c>
      <c r="E390" s="0" t="n">
        <f aca="false">VLOOKUP(B390,'Babblefish-APUMA'!$A$1:$B$86,2)</f>
        <v>11</v>
      </c>
      <c r="F390" s="0" t="n">
        <f aca="false">IF(C390&gt;1,IF(C390&lt;99,VLOOKUP(C390,'Babblefish-APUMA'!$A$1:$B$86,2),C390),C390)</f>
        <v>91</v>
      </c>
    </row>
    <row r="391" customFormat="false" ht="12.75" hidden="false" customHeight="false" outlineLevel="0" collapsed="false">
      <c r="A391" s="0" t="n">
        <f aca="false">B391*1000+C391</f>
        <v>11040</v>
      </c>
      <c r="B391" s="0" t="n">
        <v>11</v>
      </c>
      <c r="C391" s="0" t="n">
        <v>40</v>
      </c>
      <c r="D391" s="0" t="n">
        <v>0</v>
      </c>
      <c r="E391" s="0" t="n">
        <f aca="false">VLOOKUP(B391,'Babblefish-APUMA'!$A$1:$B$86,2)</f>
        <v>11</v>
      </c>
      <c r="F391" s="0" t="n">
        <f aca="false">IF(C391&gt;1,IF(C391&lt;99,VLOOKUP(C391,'Babblefish-APUMA'!$A$1:$B$86,2),C391),C391)</f>
        <v>88</v>
      </c>
    </row>
    <row r="392" customFormat="false" ht="12.75" hidden="false" customHeight="false" outlineLevel="0" collapsed="false">
      <c r="A392" s="0" t="n">
        <f aca="false">B392*1000+C392</f>
        <v>11041</v>
      </c>
      <c r="B392" s="0" t="n">
        <v>11</v>
      </c>
      <c r="C392" s="0" t="n">
        <v>41</v>
      </c>
      <c r="D392" s="0" t="n">
        <v>117</v>
      </c>
      <c r="E392" s="0" t="n">
        <f aca="false">VLOOKUP(B392,'Babblefish-APUMA'!$A$1:$B$86,2)</f>
        <v>11</v>
      </c>
      <c r="F392" s="0" t="n">
        <f aca="false">IF(C392&gt;1,IF(C392&lt;99,VLOOKUP(C392,'Babblefish-APUMA'!$A$1:$B$86,2),C392),C392)</f>
        <v>88</v>
      </c>
    </row>
    <row r="393" customFormat="false" ht="12.75" hidden="false" customHeight="false" outlineLevel="0" collapsed="false">
      <c r="A393" s="0" t="n">
        <f aca="false">B393*1000+C393</f>
        <v>11048</v>
      </c>
      <c r="B393" s="0" t="n">
        <v>11</v>
      </c>
      <c r="C393" s="0" t="n">
        <v>48</v>
      </c>
      <c r="D393" s="0" t="n">
        <v>182</v>
      </c>
      <c r="E393" s="0" t="n">
        <f aca="false">VLOOKUP(B393,'Babblefish-APUMA'!$A$1:$B$86,2)</f>
        <v>11</v>
      </c>
      <c r="F393" s="0" t="n">
        <f aca="false">IF(C393&gt;1,IF(C393&lt;99,VLOOKUP(C393,'Babblefish-APUMA'!$A$1:$B$86,2),C393),C393)</f>
        <v>92</v>
      </c>
    </row>
    <row r="394" customFormat="false" ht="12.75" hidden="false" customHeight="false" outlineLevel="0" collapsed="false">
      <c r="A394" s="0" t="n">
        <f aca="false">B394*1000+C394</f>
        <v>11049</v>
      </c>
      <c r="B394" s="0" t="n">
        <v>11</v>
      </c>
      <c r="C394" s="0" t="n">
        <v>49</v>
      </c>
      <c r="D394" s="0" t="n">
        <v>442</v>
      </c>
      <c r="E394" s="0" t="n">
        <f aca="false">VLOOKUP(B394,'Babblefish-APUMA'!$A$1:$B$86,2)</f>
        <v>11</v>
      </c>
      <c r="F394" s="0" t="n">
        <f aca="false">IF(C394&gt;1,IF(C394&lt;99,VLOOKUP(C394,'Babblefish-APUMA'!$A$1:$B$86,2),C394),C394)</f>
        <v>98</v>
      </c>
    </row>
    <row r="395" customFormat="false" ht="12.75" hidden="false" customHeight="false" outlineLevel="0" collapsed="false">
      <c r="A395" s="0" t="n">
        <f aca="false">B395*1000+C395</f>
        <v>11050</v>
      </c>
      <c r="B395" s="0" t="n">
        <v>11</v>
      </c>
      <c r="C395" s="0" t="n">
        <v>50</v>
      </c>
      <c r="D395" s="0" t="n">
        <v>0</v>
      </c>
      <c r="E395" s="0" t="n">
        <f aca="false">VLOOKUP(B395,'Babblefish-APUMA'!$A$1:$B$86,2)</f>
        <v>11</v>
      </c>
      <c r="F395" s="0" t="n">
        <f aca="false">IF(C395&gt;1,IF(C395&lt;99,VLOOKUP(C395,'Babblefish-APUMA'!$A$1:$B$86,2),C395),C395)</f>
        <v>98</v>
      </c>
    </row>
    <row r="396" customFormat="false" ht="12.75" hidden="false" customHeight="false" outlineLevel="0" collapsed="false">
      <c r="A396" s="0" t="n">
        <f aca="false">B396*1000+C396</f>
        <v>11051</v>
      </c>
      <c r="B396" s="0" t="n">
        <v>11</v>
      </c>
      <c r="C396" s="0" t="n">
        <v>51</v>
      </c>
      <c r="D396" s="0" t="n">
        <v>0</v>
      </c>
      <c r="E396" s="0" t="n">
        <f aca="false">VLOOKUP(B396,'Babblefish-APUMA'!$A$1:$B$86,2)</f>
        <v>11</v>
      </c>
      <c r="F396" s="0" t="n">
        <f aca="false">IF(C396&gt;1,IF(C396&lt;99,VLOOKUP(C396,'Babblefish-APUMA'!$A$1:$B$86,2),C396),C396)</f>
        <v>98</v>
      </c>
    </row>
    <row r="397" customFormat="false" ht="12.75" hidden="false" customHeight="false" outlineLevel="0" collapsed="false">
      <c r="A397" s="0" t="n">
        <f aca="false">B397*1000+C397</f>
        <v>11053</v>
      </c>
      <c r="B397" s="0" t="n">
        <v>11</v>
      </c>
      <c r="C397" s="0" t="n">
        <v>53</v>
      </c>
      <c r="D397" s="0" t="n">
        <v>0</v>
      </c>
      <c r="E397" s="0" t="n">
        <f aca="false">VLOOKUP(B397,'Babblefish-APUMA'!$A$1:$B$86,2)</f>
        <v>11</v>
      </c>
      <c r="F397" s="0" t="n">
        <f aca="false">IF(C397&gt;1,IF(C397&lt;99,VLOOKUP(C397,'Babblefish-APUMA'!$A$1:$B$86,2),C397),C397)</f>
        <v>90</v>
      </c>
    </row>
    <row r="398" customFormat="false" ht="12.75" hidden="false" customHeight="false" outlineLevel="0" collapsed="false">
      <c r="A398" s="0" t="n">
        <f aca="false">B398*1000+C398</f>
        <v>11060</v>
      </c>
      <c r="B398" s="0" t="n">
        <v>11</v>
      </c>
      <c r="C398" s="0" t="n">
        <v>60</v>
      </c>
      <c r="D398" s="0" t="n">
        <v>78</v>
      </c>
      <c r="E398" s="0" t="n">
        <f aca="false">VLOOKUP(B398,'Babblefish-APUMA'!$A$1:$B$86,2)</f>
        <v>11</v>
      </c>
      <c r="F398" s="0" t="n">
        <f aca="false">IF(C398&gt;1,IF(C398&lt;99,VLOOKUP(C398,'Babblefish-APUMA'!$A$1:$B$86,2),C398),C398)</f>
        <v>90</v>
      </c>
    </row>
    <row r="399" customFormat="false" ht="12.75" hidden="false" customHeight="false" outlineLevel="0" collapsed="false">
      <c r="A399" s="0" t="n">
        <f aca="false">B399*1000+C399</f>
        <v>11064</v>
      </c>
      <c r="B399" s="0" t="n">
        <v>11</v>
      </c>
      <c r="C399" s="0" t="n">
        <v>64</v>
      </c>
      <c r="D399" s="0" t="n">
        <v>0</v>
      </c>
      <c r="E399" s="0" t="n">
        <f aca="false">VLOOKUP(B399,'Babblefish-APUMA'!$A$1:$B$86,2)</f>
        <v>11</v>
      </c>
      <c r="F399" s="0" t="n">
        <f aca="false">IF(C399&gt;1,IF(C399&lt;99,VLOOKUP(C399,'Babblefish-APUMA'!$A$1:$B$86,2),C399),C399)</f>
        <v>90</v>
      </c>
    </row>
    <row r="400" customFormat="false" ht="12.75" hidden="false" customHeight="false" outlineLevel="0" collapsed="false">
      <c r="A400" s="0" t="n">
        <f aca="false">B400*1000+C400</f>
        <v>11065</v>
      </c>
      <c r="B400" s="0" t="n">
        <v>11</v>
      </c>
      <c r="C400" s="0" t="n">
        <v>65</v>
      </c>
      <c r="D400" s="0" t="n">
        <v>143</v>
      </c>
      <c r="E400" s="0" t="n">
        <f aca="false">VLOOKUP(B400,'Babblefish-APUMA'!$A$1:$B$86,2)</f>
        <v>11</v>
      </c>
      <c r="F400" s="0" t="n">
        <f aca="false">IF(C400&gt;1,IF(C400&lt;99,VLOOKUP(C400,'Babblefish-APUMA'!$A$1:$B$86,2),C400),C400)</f>
        <v>90</v>
      </c>
    </row>
    <row r="401" customFormat="false" ht="12.75" hidden="false" customHeight="false" outlineLevel="0" collapsed="false">
      <c r="A401" s="0" t="n">
        <f aca="false">B401*1000+C401</f>
        <v>11067</v>
      </c>
      <c r="B401" s="0" t="n">
        <v>11</v>
      </c>
      <c r="C401" s="0" t="n">
        <v>67</v>
      </c>
      <c r="D401" s="0" t="n">
        <v>156</v>
      </c>
      <c r="E401" s="0" t="n">
        <f aca="false">VLOOKUP(B401,'Babblefish-APUMA'!$A$1:$B$86,2)</f>
        <v>11</v>
      </c>
      <c r="F401" s="0" t="n">
        <f aca="false">IF(C401&gt;1,IF(C401&lt;99,VLOOKUP(C401,'Babblefish-APUMA'!$A$1:$B$86,2),C401),C401)</f>
        <v>103</v>
      </c>
    </row>
    <row r="402" customFormat="false" ht="12.75" hidden="false" customHeight="false" outlineLevel="0" collapsed="false">
      <c r="A402" s="0" t="n">
        <f aca="false">B402*1000+C402</f>
        <v>11069</v>
      </c>
      <c r="B402" s="0" t="n">
        <v>11</v>
      </c>
      <c r="C402" s="0" t="n">
        <v>69</v>
      </c>
      <c r="D402" s="0" t="n">
        <v>169</v>
      </c>
      <c r="E402" s="0" t="n">
        <f aca="false">VLOOKUP(B402,'Babblefish-APUMA'!$A$1:$B$86,2)</f>
        <v>11</v>
      </c>
      <c r="F402" s="0" t="n">
        <f aca="false">IF(C402&gt;1,IF(C402&lt;99,VLOOKUP(C402,'Babblefish-APUMA'!$A$1:$B$86,2),C402),C402)</f>
        <v>93</v>
      </c>
    </row>
    <row r="403" customFormat="false" ht="12.75" hidden="false" customHeight="false" outlineLevel="0" collapsed="false">
      <c r="A403" s="0" t="n">
        <f aca="false">B403*1000+C403</f>
        <v>11072</v>
      </c>
      <c r="B403" s="0" t="n">
        <v>11</v>
      </c>
      <c r="C403" s="0" t="n">
        <v>72</v>
      </c>
      <c r="D403" s="0" t="n">
        <v>0</v>
      </c>
      <c r="E403" s="0" t="n">
        <f aca="false">VLOOKUP(B403,'Babblefish-APUMA'!$A$1:$B$86,2)</f>
        <v>11</v>
      </c>
      <c r="F403" s="0" t="n">
        <f aca="false">IF(C403&gt;1,IF(C403&lt;99,VLOOKUP(C403,'Babblefish-APUMA'!$A$1:$B$86,2),C403),C403)</f>
        <v>95</v>
      </c>
    </row>
    <row r="404" customFormat="false" ht="12.75" hidden="false" customHeight="false" outlineLevel="0" collapsed="false">
      <c r="A404" s="0" t="n">
        <f aca="false">B404*1000+C404</f>
        <v>11073</v>
      </c>
      <c r="B404" s="0" t="n">
        <v>11</v>
      </c>
      <c r="C404" s="0" t="n">
        <v>73</v>
      </c>
      <c r="D404" s="0" t="n">
        <v>0</v>
      </c>
      <c r="E404" s="0" t="n">
        <f aca="false">VLOOKUP(B404,'Babblefish-APUMA'!$A$1:$B$86,2)</f>
        <v>11</v>
      </c>
      <c r="F404" s="0" t="n">
        <f aca="false">IF(C404&gt;1,IF(C404&lt;99,VLOOKUP(C404,'Babblefish-APUMA'!$A$1:$B$86,2),C404),C404)</f>
        <v>99</v>
      </c>
    </row>
    <row r="405" customFormat="false" ht="12.75" hidden="false" customHeight="false" outlineLevel="0" collapsed="false">
      <c r="A405" s="0" t="n">
        <f aca="false">B405*1000+C405</f>
        <v>11075</v>
      </c>
      <c r="B405" s="0" t="n">
        <v>11</v>
      </c>
      <c r="C405" s="0" t="n">
        <v>75</v>
      </c>
      <c r="D405" s="0" t="n">
        <v>0</v>
      </c>
      <c r="E405" s="0" t="n">
        <f aca="false">VLOOKUP(B405,'Babblefish-APUMA'!$A$1:$B$86,2)</f>
        <v>11</v>
      </c>
      <c r="F405" s="0" t="n">
        <f aca="false">IF(C405&gt;1,IF(C405&lt;99,VLOOKUP(C405,'Babblefish-APUMA'!$A$1:$B$86,2),C405),C405)</f>
        <v>75</v>
      </c>
    </row>
    <row r="406" customFormat="false" ht="12.75" hidden="false" customHeight="false" outlineLevel="0" collapsed="false">
      <c r="A406" s="0" t="n">
        <f aca="false">B406*1000+C406</f>
        <v>11079</v>
      </c>
      <c r="B406" s="0" t="n">
        <v>11</v>
      </c>
      <c r="C406" s="0" t="n">
        <v>79</v>
      </c>
      <c r="D406" s="0" t="n">
        <v>0</v>
      </c>
      <c r="E406" s="0" t="n">
        <f aca="false">VLOOKUP(B406,'Babblefish-APUMA'!$A$1:$B$86,2)</f>
        <v>11</v>
      </c>
      <c r="F406" s="0" t="n">
        <f aca="false">IF(C406&gt;1,IF(C406&lt;99,VLOOKUP(C406,'Babblefish-APUMA'!$A$1:$B$86,2),C406),C406)</f>
        <v>89</v>
      </c>
    </row>
    <row r="407" customFormat="false" ht="12.75" hidden="false" customHeight="false" outlineLevel="0" collapsed="false">
      <c r="A407" s="0" t="n">
        <f aca="false">B407*1000+C407</f>
        <v>11085</v>
      </c>
      <c r="B407" s="0" t="n">
        <v>11</v>
      </c>
      <c r="C407" s="0" t="n">
        <v>85</v>
      </c>
      <c r="D407" s="0" t="n">
        <v>208</v>
      </c>
      <c r="E407" s="0" t="n">
        <f aca="false">VLOOKUP(B407,'Babblefish-APUMA'!$A$1:$B$86,2)</f>
        <v>11</v>
      </c>
      <c r="F407" s="0" t="n">
        <f aca="false">IF(C407&gt;1,IF(C407&lt;99,VLOOKUP(C407,'Babblefish-APUMA'!$A$1:$B$86,2),C407),C407)</f>
        <v>97</v>
      </c>
    </row>
    <row r="408" customFormat="false" ht="12.75" hidden="false" customHeight="false" outlineLevel="0" collapsed="false">
      <c r="A408" s="0" t="n">
        <f aca="false">B408*1000+C408</f>
        <v>11999</v>
      </c>
      <c r="B408" s="0" t="n">
        <v>11</v>
      </c>
      <c r="C408" s="0" t="n">
        <v>999</v>
      </c>
      <c r="D408" s="0" t="n">
        <v>117</v>
      </c>
      <c r="E408" s="0" t="n">
        <f aca="false">VLOOKUP(B408,'Babblefish-APUMA'!$A$1:$B$86,2)</f>
        <v>11</v>
      </c>
      <c r="F408" s="0" t="n">
        <f aca="false">IF(C408&gt;1,IF(C408&lt;99,VLOOKUP(C408,'Babblefish-APUMA'!$A$1:$B$86,2),C408),C408)</f>
        <v>999</v>
      </c>
    </row>
    <row r="409" customFormat="false" ht="12.75" hidden="false" customHeight="false" outlineLevel="0" collapsed="false">
      <c r="A409" s="0" t="n">
        <f aca="false">B409*1000+C409</f>
        <v>12000</v>
      </c>
      <c r="B409" s="0" t="n">
        <v>12</v>
      </c>
      <c r="C409" s="0" t="n">
        <v>0</v>
      </c>
      <c r="D409" s="0" t="n">
        <v>66781</v>
      </c>
      <c r="E409" s="0" t="n">
        <f aca="false">VLOOKUP(B409,'Babblefish-APUMA'!$A$1:$B$86,2)</f>
        <v>12</v>
      </c>
      <c r="F409" s="0" t="n">
        <f aca="false">IF(C409&gt;1,IF(C409&lt;99,VLOOKUP(C409,'Babblefish-APUMA'!$A$1:$B$86,2),C409),C409)</f>
        <v>0</v>
      </c>
    </row>
    <row r="410" customFormat="false" ht="12.75" hidden="false" customHeight="false" outlineLevel="0" collapsed="false">
      <c r="A410" s="0" t="n">
        <f aca="false">B410*1000+C410</f>
        <v>12001</v>
      </c>
      <c r="B410" s="0" t="n">
        <v>12</v>
      </c>
      <c r="C410" s="0" t="n">
        <v>1</v>
      </c>
      <c r="D410" s="0" t="n">
        <v>0</v>
      </c>
      <c r="E410" s="0" t="n">
        <f aca="false">VLOOKUP(B410,'Babblefish-APUMA'!$A$1:$B$86,2)</f>
        <v>12</v>
      </c>
      <c r="F410" s="0" t="n">
        <f aca="false">IF(C410&gt;1,IF(C410&lt;99,VLOOKUP(C410,'Babblefish-APUMA'!$A$1:$B$86,2),C410),C410)</f>
        <v>1</v>
      </c>
    </row>
    <row r="411" customFormat="false" ht="12.75" hidden="false" customHeight="false" outlineLevel="0" collapsed="false">
      <c r="A411" s="0" t="n">
        <f aca="false">B411*1000+C411</f>
        <v>12002</v>
      </c>
      <c r="B411" s="0" t="n">
        <v>12</v>
      </c>
      <c r="C411" s="0" t="n">
        <v>2</v>
      </c>
      <c r="D411" s="0" t="n">
        <v>143</v>
      </c>
      <c r="E411" s="0" t="n">
        <f aca="false">VLOOKUP(B411,'Babblefish-APUMA'!$A$1:$B$86,2)</f>
        <v>12</v>
      </c>
      <c r="F411" s="0" t="n">
        <f aca="false">IF(C411&gt;1,IF(C411&lt;99,VLOOKUP(C411,'Babblefish-APUMA'!$A$1:$B$86,2),C411),C411)</f>
        <v>2</v>
      </c>
    </row>
    <row r="412" customFormat="false" ht="12.75" hidden="false" customHeight="false" outlineLevel="0" collapsed="false">
      <c r="A412" s="0" t="n">
        <f aca="false">B412*1000+C412</f>
        <v>12003</v>
      </c>
      <c r="B412" s="0" t="n">
        <v>12</v>
      </c>
      <c r="C412" s="0" t="n">
        <v>3</v>
      </c>
      <c r="D412" s="0" t="n">
        <v>299</v>
      </c>
      <c r="E412" s="0" t="n">
        <f aca="false">VLOOKUP(B412,'Babblefish-APUMA'!$A$1:$B$86,2)</f>
        <v>12</v>
      </c>
      <c r="F412" s="0" t="n">
        <f aca="false">IF(C412&gt;1,IF(C412&lt;99,VLOOKUP(C412,'Babblefish-APUMA'!$A$1:$B$86,2),C412),C412)</f>
        <v>3</v>
      </c>
    </row>
    <row r="413" customFormat="false" ht="12.75" hidden="false" customHeight="false" outlineLevel="0" collapsed="false">
      <c r="A413" s="0" t="n">
        <f aca="false">B413*1000+C413</f>
        <v>12004</v>
      </c>
      <c r="B413" s="0" t="n">
        <v>12</v>
      </c>
      <c r="C413" s="0" t="n">
        <v>4</v>
      </c>
      <c r="D413" s="0" t="n">
        <v>0</v>
      </c>
      <c r="E413" s="0" t="n">
        <f aca="false">VLOOKUP(B413,'Babblefish-APUMA'!$A$1:$B$86,2)</f>
        <v>12</v>
      </c>
      <c r="F413" s="0" t="n">
        <f aca="false">IF(C413&gt;1,IF(C413&lt;99,VLOOKUP(C413,'Babblefish-APUMA'!$A$1:$B$86,2),C413),C413)</f>
        <v>4</v>
      </c>
    </row>
    <row r="414" customFormat="false" ht="12.75" hidden="false" customHeight="false" outlineLevel="0" collapsed="false">
      <c r="A414" s="0" t="n">
        <f aca="false">B414*1000+C414</f>
        <v>12005</v>
      </c>
      <c r="B414" s="0" t="n">
        <v>12</v>
      </c>
      <c r="C414" s="0" t="n">
        <v>5</v>
      </c>
      <c r="D414" s="0" t="n">
        <v>5811</v>
      </c>
      <c r="E414" s="0" t="n">
        <f aca="false">VLOOKUP(B414,'Babblefish-APUMA'!$A$1:$B$86,2)</f>
        <v>12</v>
      </c>
      <c r="F414" s="0" t="n">
        <f aca="false">IF(C414&gt;1,IF(C414&lt;99,VLOOKUP(C414,'Babblefish-APUMA'!$A$1:$B$86,2),C414),C414)</f>
        <v>5</v>
      </c>
    </row>
    <row r="415" customFormat="false" ht="12.75" hidden="false" customHeight="false" outlineLevel="0" collapsed="false">
      <c r="A415" s="0" t="n">
        <f aca="false">B415*1000+C415</f>
        <v>12006</v>
      </c>
      <c r="B415" s="0" t="n">
        <v>12</v>
      </c>
      <c r="C415" s="0" t="n">
        <v>6</v>
      </c>
      <c r="D415" s="0" t="n">
        <v>143</v>
      </c>
      <c r="E415" s="0" t="n">
        <f aca="false">VLOOKUP(B415,'Babblefish-APUMA'!$A$1:$B$86,2)</f>
        <v>12</v>
      </c>
      <c r="F415" s="0" t="n">
        <f aca="false">IF(C415&gt;1,IF(C415&lt;99,VLOOKUP(C415,'Babblefish-APUMA'!$A$1:$B$86,2),C415),C415)</f>
        <v>6</v>
      </c>
    </row>
    <row r="416" customFormat="false" ht="12.75" hidden="false" customHeight="false" outlineLevel="0" collapsed="false">
      <c r="A416" s="0" t="n">
        <f aca="false">B416*1000+C416</f>
        <v>12007</v>
      </c>
      <c r="B416" s="0" t="n">
        <v>12</v>
      </c>
      <c r="C416" s="0" t="n">
        <v>7</v>
      </c>
      <c r="D416" s="0" t="n">
        <v>130</v>
      </c>
      <c r="E416" s="0" t="n">
        <f aca="false">VLOOKUP(B416,'Babblefish-APUMA'!$A$1:$B$86,2)</f>
        <v>12</v>
      </c>
      <c r="F416" s="0" t="n">
        <f aca="false">IF(C416&gt;1,IF(C416&lt;99,VLOOKUP(C416,'Babblefish-APUMA'!$A$1:$B$86,2),C416),C416)</f>
        <v>7</v>
      </c>
    </row>
    <row r="417" customFormat="false" ht="12.75" hidden="false" customHeight="false" outlineLevel="0" collapsed="false">
      <c r="A417" s="0" t="n">
        <f aca="false">B417*1000+C417</f>
        <v>12008</v>
      </c>
      <c r="B417" s="0" t="n">
        <v>12</v>
      </c>
      <c r="C417" s="0" t="n">
        <v>8</v>
      </c>
      <c r="D417" s="0" t="n">
        <v>0</v>
      </c>
      <c r="E417" s="0" t="n">
        <f aca="false">VLOOKUP(B417,'Babblefish-APUMA'!$A$1:$B$86,2)</f>
        <v>12</v>
      </c>
      <c r="F417" s="0" t="n">
        <f aca="false">IF(C417&gt;1,IF(C417&lt;99,VLOOKUP(C417,'Babblefish-APUMA'!$A$1:$B$86,2),C417),C417)</f>
        <v>8</v>
      </c>
    </row>
    <row r="418" customFormat="false" ht="12.75" hidden="false" customHeight="false" outlineLevel="0" collapsed="false">
      <c r="A418" s="0" t="n">
        <f aca="false">B418*1000+C418</f>
        <v>12009</v>
      </c>
      <c r="B418" s="0" t="n">
        <v>12</v>
      </c>
      <c r="C418" s="0" t="n">
        <v>9</v>
      </c>
      <c r="D418" s="0" t="n">
        <v>0</v>
      </c>
      <c r="E418" s="0" t="n">
        <f aca="false">VLOOKUP(B418,'Babblefish-APUMA'!$A$1:$B$86,2)</f>
        <v>12</v>
      </c>
      <c r="F418" s="0" t="n">
        <f aca="false">IF(C418&gt;1,IF(C418&lt;99,VLOOKUP(C418,'Babblefish-APUMA'!$A$1:$B$86,2),C418),C418)</f>
        <v>9</v>
      </c>
    </row>
    <row r="419" customFormat="false" ht="12.75" hidden="false" customHeight="false" outlineLevel="0" collapsed="false">
      <c r="A419" s="0" t="n">
        <f aca="false">B419*1000+C419</f>
        <v>12010</v>
      </c>
      <c r="B419" s="0" t="n">
        <v>12</v>
      </c>
      <c r="C419" s="0" t="n">
        <v>10</v>
      </c>
      <c r="D419" s="0" t="n">
        <v>494</v>
      </c>
      <c r="E419" s="0" t="n">
        <f aca="false">VLOOKUP(B419,'Babblefish-APUMA'!$A$1:$B$86,2)</f>
        <v>12</v>
      </c>
      <c r="F419" s="0" t="n">
        <f aca="false">IF(C419&gt;1,IF(C419&lt;99,VLOOKUP(C419,'Babblefish-APUMA'!$A$1:$B$86,2),C419),C419)</f>
        <v>10</v>
      </c>
    </row>
    <row r="420" customFormat="false" ht="12.75" hidden="false" customHeight="false" outlineLevel="0" collapsed="false">
      <c r="A420" s="0" t="n">
        <f aca="false">B420*1000+C420</f>
        <v>12011</v>
      </c>
      <c r="B420" s="0" t="n">
        <v>12</v>
      </c>
      <c r="C420" s="0" t="n">
        <v>11</v>
      </c>
      <c r="D420" s="0" t="n">
        <v>1651</v>
      </c>
      <c r="E420" s="0" t="n">
        <f aca="false">VLOOKUP(B420,'Babblefish-APUMA'!$A$1:$B$86,2)</f>
        <v>12</v>
      </c>
      <c r="F420" s="0" t="n">
        <f aca="false">IF(C420&gt;1,IF(C420&lt;99,VLOOKUP(C420,'Babblefish-APUMA'!$A$1:$B$86,2),C420),C420)</f>
        <v>11</v>
      </c>
    </row>
    <row r="421" customFormat="false" ht="12.75" hidden="false" customHeight="false" outlineLevel="0" collapsed="false">
      <c r="A421" s="0" t="n">
        <f aca="false">B421*1000+C421</f>
        <v>12012</v>
      </c>
      <c r="B421" s="0" t="n">
        <v>12</v>
      </c>
      <c r="C421" s="0" t="n">
        <v>12</v>
      </c>
      <c r="D421" s="0" t="n">
        <v>30693</v>
      </c>
      <c r="E421" s="0" t="n">
        <f aca="false">VLOOKUP(B421,'Babblefish-APUMA'!$A$1:$B$86,2)</f>
        <v>12</v>
      </c>
      <c r="F421" s="0" t="n">
        <f aca="false">IF(C421&gt;1,IF(C421&lt;99,VLOOKUP(C421,'Babblefish-APUMA'!$A$1:$B$86,2),C421),C421)</f>
        <v>12</v>
      </c>
    </row>
    <row r="422" customFormat="false" ht="12.75" hidden="false" customHeight="false" outlineLevel="0" collapsed="false">
      <c r="A422" s="0" t="n">
        <f aca="false">B422*1000+C422</f>
        <v>12013</v>
      </c>
      <c r="B422" s="0" t="n">
        <v>12</v>
      </c>
      <c r="C422" s="0" t="n">
        <v>13</v>
      </c>
      <c r="D422" s="0" t="n">
        <v>0</v>
      </c>
      <c r="E422" s="0" t="n">
        <f aca="false">VLOOKUP(B422,'Babblefish-APUMA'!$A$1:$B$86,2)</f>
        <v>12</v>
      </c>
      <c r="F422" s="0" t="n">
        <f aca="false">IF(C422&gt;1,IF(C422&lt;99,VLOOKUP(C422,'Babblefish-APUMA'!$A$1:$B$86,2),C422),C422)</f>
        <v>100</v>
      </c>
    </row>
    <row r="423" customFormat="false" ht="12.75" hidden="false" customHeight="false" outlineLevel="0" collapsed="false">
      <c r="A423" s="0" t="n">
        <f aca="false">B423*1000+C423</f>
        <v>12014</v>
      </c>
      <c r="B423" s="0" t="n">
        <v>12</v>
      </c>
      <c r="C423" s="0" t="n">
        <v>14</v>
      </c>
      <c r="D423" s="0" t="n">
        <v>91</v>
      </c>
      <c r="E423" s="0" t="n">
        <f aca="false">VLOOKUP(B423,'Babblefish-APUMA'!$A$1:$B$86,2)</f>
        <v>12</v>
      </c>
      <c r="F423" s="0" t="n">
        <f aca="false">IF(C423&gt;1,IF(C423&lt;99,VLOOKUP(C423,'Babblefish-APUMA'!$A$1:$B$86,2),C423),C423)</f>
        <v>100</v>
      </c>
    </row>
    <row r="424" customFormat="false" ht="12.75" hidden="false" customHeight="false" outlineLevel="0" collapsed="false">
      <c r="A424" s="0" t="n">
        <f aca="false">B424*1000+C424</f>
        <v>12015</v>
      </c>
      <c r="B424" s="0" t="n">
        <v>12</v>
      </c>
      <c r="C424" s="0" t="n">
        <v>15</v>
      </c>
      <c r="D424" s="0" t="n">
        <v>0</v>
      </c>
      <c r="E424" s="0" t="n">
        <f aca="false">VLOOKUP(B424,'Babblefish-APUMA'!$A$1:$B$86,2)</f>
        <v>12</v>
      </c>
      <c r="F424" s="0" t="n">
        <f aca="false">IF(C424&gt;1,IF(C424&lt;99,VLOOKUP(C424,'Babblefish-APUMA'!$A$1:$B$86,2),C424),C424)</f>
        <v>15</v>
      </c>
    </row>
    <row r="425" customFormat="false" ht="12.75" hidden="false" customHeight="false" outlineLevel="0" collapsed="false">
      <c r="A425" s="0" t="n">
        <f aca="false">B425*1000+C425</f>
        <v>12016</v>
      </c>
      <c r="B425" s="0" t="n">
        <v>12</v>
      </c>
      <c r="C425" s="0" t="n">
        <v>16</v>
      </c>
      <c r="D425" s="0" t="n">
        <v>117</v>
      </c>
      <c r="E425" s="0" t="n">
        <f aca="false">VLOOKUP(B425,'Babblefish-APUMA'!$A$1:$B$86,2)</f>
        <v>12</v>
      </c>
      <c r="F425" s="0" t="n">
        <f aca="false">IF(C425&gt;1,IF(C425&lt;99,VLOOKUP(C425,'Babblefish-APUMA'!$A$1:$B$86,2),C425),C425)</f>
        <v>99</v>
      </c>
    </row>
    <row r="426" customFormat="false" ht="12.75" hidden="false" customHeight="false" outlineLevel="0" collapsed="false">
      <c r="A426" s="0" t="n">
        <f aca="false">B426*1000+C426</f>
        <v>12017</v>
      </c>
      <c r="B426" s="0" t="n">
        <v>12</v>
      </c>
      <c r="C426" s="0" t="n">
        <v>17</v>
      </c>
      <c r="D426" s="0" t="n">
        <v>0</v>
      </c>
      <c r="E426" s="0" t="n">
        <f aca="false">VLOOKUP(B426,'Babblefish-APUMA'!$A$1:$B$86,2)</f>
        <v>12</v>
      </c>
      <c r="F426" s="0" t="n">
        <f aca="false">IF(C426&gt;1,IF(C426&lt;99,VLOOKUP(C426,'Babblefish-APUMA'!$A$1:$B$86,2),C426),C426)</f>
        <v>87</v>
      </c>
    </row>
    <row r="427" customFormat="false" ht="12.75" hidden="false" customHeight="false" outlineLevel="0" collapsed="false">
      <c r="A427" s="0" t="n">
        <f aca="false">B427*1000+C427</f>
        <v>12018</v>
      </c>
      <c r="B427" s="0" t="n">
        <v>12</v>
      </c>
      <c r="C427" s="0" t="n">
        <v>18</v>
      </c>
      <c r="D427" s="0" t="n">
        <v>91</v>
      </c>
      <c r="E427" s="0" t="n">
        <f aca="false">VLOOKUP(B427,'Babblefish-APUMA'!$A$1:$B$86,2)</f>
        <v>12</v>
      </c>
      <c r="F427" s="0" t="n">
        <f aca="false">IF(C427&gt;1,IF(C427&lt;99,VLOOKUP(C427,'Babblefish-APUMA'!$A$1:$B$86,2),C427),C427)</f>
        <v>87</v>
      </c>
    </row>
    <row r="428" customFormat="false" ht="12.75" hidden="false" customHeight="false" outlineLevel="0" collapsed="false">
      <c r="A428" s="0" t="n">
        <f aca="false">B428*1000+C428</f>
        <v>12019</v>
      </c>
      <c r="B428" s="0" t="n">
        <v>12</v>
      </c>
      <c r="C428" s="0" t="n">
        <v>19</v>
      </c>
      <c r="D428" s="0" t="n">
        <v>156</v>
      </c>
      <c r="E428" s="0" t="n">
        <f aca="false">VLOOKUP(B428,'Babblefish-APUMA'!$A$1:$B$86,2)</f>
        <v>12</v>
      </c>
      <c r="F428" s="0" t="n">
        <f aca="false">IF(C428&gt;1,IF(C428&lt;99,VLOOKUP(C428,'Babblefish-APUMA'!$A$1:$B$86,2),C428),C428)</f>
        <v>19</v>
      </c>
    </row>
    <row r="429" customFormat="false" ht="12.75" hidden="false" customHeight="false" outlineLevel="0" collapsed="false">
      <c r="A429" s="0" t="n">
        <f aca="false">B429*1000+C429</f>
        <v>12020</v>
      </c>
      <c r="B429" s="0" t="n">
        <v>12</v>
      </c>
      <c r="C429" s="0" t="n">
        <v>20</v>
      </c>
      <c r="D429" s="0" t="n">
        <v>0</v>
      </c>
      <c r="E429" s="0" t="n">
        <f aca="false">VLOOKUP(B429,'Babblefish-APUMA'!$A$1:$B$86,2)</f>
        <v>12</v>
      </c>
      <c r="F429" s="0" t="n">
        <f aca="false">IF(C429&gt;1,IF(C429&lt;99,VLOOKUP(C429,'Babblefish-APUMA'!$A$1:$B$86,2),C429),C429)</f>
        <v>86</v>
      </c>
    </row>
    <row r="430" customFormat="false" ht="12.75" hidden="false" customHeight="false" outlineLevel="0" collapsed="false">
      <c r="A430" s="0" t="n">
        <f aca="false">B430*1000+C430</f>
        <v>12021</v>
      </c>
      <c r="B430" s="0" t="n">
        <v>12</v>
      </c>
      <c r="C430" s="0" t="n">
        <v>21</v>
      </c>
      <c r="D430" s="0" t="n">
        <v>26</v>
      </c>
      <c r="E430" s="0" t="n">
        <f aca="false">VLOOKUP(B430,'Babblefish-APUMA'!$A$1:$B$86,2)</f>
        <v>12</v>
      </c>
      <c r="F430" s="0" t="n">
        <f aca="false">IF(C430&gt;1,IF(C430&lt;99,VLOOKUP(C430,'Babblefish-APUMA'!$A$1:$B$86,2),C430),C430)</f>
        <v>86</v>
      </c>
    </row>
    <row r="431" customFormat="false" ht="12.75" hidden="false" customHeight="false" outlineLevel="0" collapsed="false">
      <c r="A431" s="0" t="n">
        <f aca="false">B431*1000+C431</f>
        <v>12022</v>
      </c>
      <c r="B431" s="0" t="n">
        <v>12</v>
      </c>
      <c r="C431" s="0" t="n">
        <v>22</v>
      </c>
      <c r="D431" s="0" t="n">
        <v>182</v>
      </c>
      <c r="E431" s="0" t="n">
        <f aca="false">VLOOKUP(B431,'Babblefish-APUMA'!$A$1:$B$86,2)</f>
        <v>12</v>
      </c>
      <c r="F431" s="0" t="n">
        <f aca="false">IF(C431&gt;1,IF(C431&lt;99,VLOOKUP(C431,'Babblefish-APUMA'!$A$1:$B$86,2),C431),C431)</f>
        <v>22</v>
      </c>
    </row>
    <row r="432" customFormat="false" ht="12.75" hidden="false" customHeight="false" outlineLevel="0" collapsed="false">
      <c r="A432" s="0" t="n">
        <f aca="false">B432*1000+C432</f>
        <v>12023</v>
      </c>
      <c r="B432" s="0" t="n">
        <v>12</v>
      </c>
      <c r="C432" s="0" t="n">
        <v>23</v>
      </c>
      <c r="D432" s="0" t="n">
        <v>182</v>
      </c>
      <c r="E432" s="0" t="n">
        <f aca="false">VLOOKUP(B432,'Babblefish-APUMA'!$A$1:$B$86,2)</f>
        <v>12</v>
      </c>
      <c r="F432" s="0" t="n">
        <f aca="false">IF(C432&gt;1,IF(C432&lt;99,VLOOKUP(C432,'Babblefish-APUMA'!$A$1:$B$86,2),C432),C432)</f>
        <v>97</v>
      </c>
    </row>
    <row r="433" customFormat="false" ht="12.75" hidden="false" customHeight="false" outlineLevel="0" collapsed="false">
      <c r="A433" s="0" t="n">
        <f aca="false">B433*1000+C433</f>
        <v>12024</v>
      </c>
      <c r="B433" s="0" t="n">
        <v>12</v>
      </c>
      <c r="C433" s="0" t="n">
        <v>24</v>
      </c>
      <c r="D433" s="0" t="n">
        <v>0</v>
      </c>
      <c r="E433" s="0" t="n">
        <f aca="false">VLOOKUP(B433,'Babblefish-APUMA'!$A$1:$B$86,2)</f>
        <v>12</v>
      </c>
      <c r="F433" s="0" t="n">
        <f aca="false">IF(C433&gt;1,IF(C433&lt;99,VLOOKUP(C433,'Babblefish-APUMA'!$A$1:$B$86,2),C433),C433)</f>
        <v>101</v>
      </c>
    </row>
    <row r="434" customFormat="false" ht="12.75" hidden="false" customHeight="false" outlineLevel="0" collapsed="false">
      <c r="A434" s="0" t="n">
        <f aca="false">B434*1000+C434</f>
        <v>12025</v>
      </c>
      <c r="B434" s="0" t="n">
        <v>12</v>
      </c>
      <c r="C434" s="0" t="n">
        <v>25</v>
      </c>
      <c r="D434" s="0" t="n">
        <v>0</v>
      </c>
      <c r="E434" s="0" t="n">
        <f aca="false">VLOOKUP(B434,'Babblefish-APUMA'!$A$1:$B$86,2)</f>
        <v>12</v>
      </c>
      <c r="F434" s="0" t="n">
        <f aca="false">IF(C434&gt;1,IF(C434&lt;99,VLOOKUP(C434,'Babblefish-APUMA'!$A$1:$B$86,2),C434),C434)</f>
        <v>101</v>
      </c>
    </row>
    <row r="435" customFormat="false" ht="12.75" hidden="false" customHeight="false" outlineLevel="0" collapsed="false">
      <c r="A435" s="0" t="n">
        <f aca="false">B435*1000+C435</f>
        <v>12026</v>
      </c>
      <c r="B435" s="0" t="n">
        <v>12</v>
      </c>
      <c r="C435" s="0" t="n">
        <v>26</v>
      </c>
      <c r="D435" s="0" t="n">
        <v>312</v>
      </c>
      <c r="E435" s="0" t="n">
        <f aca="false">VLOOKUP(B435,'Babblefish-APUMA'!$A$1:$B$86,2)</f>
        <v>12</v>
      </c>
      <c r="F435" s="0" t="n">
        <f aca="false">IF(C435&gt;1,IF(C435&lt;99,VLOOKUP(C435,'Babblefish-APUMA'!$A$1:$B$86,2),C435),C435)</f>
        <v>26</v>
      </c>
    </row>
    <row r="436" customFormat="false" ht="12.75" hidden="false" customHeight="false" outlineLevel="0" collapsed="false">
      <c r="A436" s="0" t="n">
        <f aca="false">B436*1000+C436</f>
        <v>12028</v>
      </c>
      <c r="B436" s="0" t="n">
        <v>12</v>
      </c>
      <c r="C436" s="0" t="n">
        <v>28</v>
      </c>
      <c r="D436" s="0" t="n">
        <v>6903</v>
      </c>
      <c r="E436" s="0" t="n">
        <f aca="false">VLOOKUP(B436,'Babblefish-APUMA'!$A$1:$B$86,2)</f>
        <v>12</v>
      </c>
      <c r="F436" s="0" t="n">
        <f aca="false">IF(C436&gt;1,IF(C436&lt;99,VLOOKUP(C436,'Babblefish-APUMA'!$A$1:$B$86,2),C436),C436)</f>
        <v>94</v>
      </c>
    </row>
    <row r="437" customFormat="false" ht="12.75" hidden="false" customHeight="false" outlineLevel="0" collapsed="false">
      <c r="A437" s="0" t="n">
        <f aca="false">B437*1000+C437</f>
        <v>12029</v>
      </c>
      <c r="B437" s="0" t="n">
        <v>12</v>
      </c>
      <c r="C437" s="0" t="n">
        <v>29</v>
      </c>
      <c r="D437" s="0" t="n">
        <v>8125</v>
      </c>
      <c r="E437" s="0" t="n">
        <f aca="false">VLOOKUP(B437,'Babblefish-APUMA'!$A$1:$B$86,2)</f>
        <v>12</v>
      </c>
      <c r="F437" s="0" t="n">
        <f aca="false">IF(C437&gt;1,IF(C437&lt;99,VLOOKUP(C437,'Babblefish-APUMA'!$A$1:$B$86,2),C437),C437)</f>
        <v>94</v>
      </c>
    </row>
    <row r="438" customFormat="false" ht="12.75" hidden="false" customHeight="false" outlineLevel="0" collapsed="false">
      <c r="A438" s="0" t="n">
        <f aca="false">B438*1000+C438</f>
        <v>12033</v>
      </c>
      <c r="B438" s="0" t="n">
        <v>12</v>
      </c>
      <c r="C438" s="0" t="n">
        <v>33</v>
      </c>
      <c r="D438" s="0" t="n">
        <v>117</v>
      </c>
      <c r="E438" s="0" t="n">
        <f aca="false">VLOOKUP(B438,'Babblefish-APUMA'!$A$1:$B$86,2)</f>
        <v>12</v>
      </c>
      <c r="F438" s="0" t="n">
        <f aca="false">IF(C438&gt;1,IF(C438&lt;99,VLOOKUP(C438,'Babblefish-APUMA'!$A$1:$B$86,2),C438),C438)</f>
        <v>96</v>
      </c>
    </row>
    <row r="439" customFormat="false" ht="12.75" hidden="false" customHeight="false" outlineLevel="0" collapsed="false">
      <c r="A439" s="0" t="n">
        <f aca="false">B439*1000+C439</f>
        <v>12034</v>
      </c>
      <c r="B439" s="0" t="n">
        <v>12</v>
      </c>
      <c r="C439" s="0" t="n">
        <v>34</v>
      </c>
      <c r="D439" s="0" t="n">
        <v>0</v>
      </c>
      <c r="E439" s="0" t="n">
        <f aca="false">VLOOKUP(B439,'Babblefish-APUMA'!$A$1:$B$86,2)</f>
        <v>12</v>
      </c>
      <c r="F439" s="0" t="n">
        <f aca="false">IF(C439&gt;1,IF(C439&lt;99,VLOOKUP(C439,'Babblefish-APUMA'!$A$1:$B$86,2),C439),C439)</f>
        <v>96</v>
      </c>
    </row>
    <row r="440" customFormat="false" ht="12.75" hidden="false" customHeight="false" outlineLevel="0" collapsed="false">
      <c r="A440" s="0" t="n">
        <f aca="false">B440*1000+C440</f>
        <v>12035</v>
      </c>
      <c r="B440" s="0" t="n">
        <v>12</v>
      </c>
      <c r="C440" s="0" t="n">
        <v>35</v>
      </c>
      <c r="D440" s="0" t="n">
        <v>0</v>
      </c>
      <c r="E440" s="0" t="n">
        <f aca="false">VLOOKUP(B440,'Babblefish-APUMA'!$A$1:$B$86,2)</f>
        <v>12</v>
      </c>
      <c r="F440" s="0" t="n">
        <f aca="false">IF(C440&gt;1,IF(C440&lt;99,VLOOKUP(C440,'Babblefish-APUMA'!$A$1:$B$86,2),C440),C440)</f>
        <v>96</v>
      </c>
    </row>
    <row r="441" customFormat="false" ht="12.75" hidden="false" customHeight="false" outlineLevel="0" collapsed="false">
      <c r="A441" s="0" t="n">
        <f aca="false">B441*1000+C441</f>
        <v>12037</v>
      </c>
      <c r="B441" s="0" t="n">
        <v>12</v>
      </c>
      <c r="C441" s="0" t="n">
        <v>37</v>
      </c>
      <c r="D441" s="0" t="n">
        <v>0</v>
      </c>
      <c r="E441" s="0" t="n">
        <f aca="false">VLOOKUP(B441,'Babblefish-APUMA'!$A$1:$B$86,2)</f>
        <v>12</v>
      </c>
      <c r="F441" s="0" t="n">
        <f aca="false">IF(C441&gt;1,IF(C441&lt;99,VLOOKUP(C441,'Babblefish-APUMA'!$A$1:$B$86,2),C441),C441)</f>
        <v>96</v>
      </c>
    </row>
    <row r="442" customFormat="false" ht="12.75" hidden="false" customHeight="false" outlineLevel="0" collapsed="false">
      <c r="A442" s="0" t="n">
        <f aca="false">B442*1000+C442</f>
        <v>12039</v>
      </c>
      <c r="B442" s="0" t="n">
        <v>12</v>
      </c>
      <c r="C442" s="0" t="n">
        <v>39</v>
      </c>
      <c r="D442" s="0" t="n">
        <v>0</v>
      </c>
      <c r="E442" s="0" t="n">
        <f aca="false">VLOOKUP(B442,'Babblefish-APUMA'!$A$1:$B$86,2)</f>
        <v>12</v>
      </c>
      <c r="F442" s="0" t="n">
        <f aca="false">IF(C442&gt;1,IF(C442&lt;99,VLOOKUP(C442,'Babblefish-APUMA'!$A$1:$B$86,2),C442),C442)</f>
        <v>91</v>
      </c>
    </row>
    <row r="443" customFormat="false" ht="12.75" hidden="false" customHeight="false" outlineLevel="0" collapsed="false">
      <c r="A443" s="0" t="n">
        <f aca="false">B443*1000+C443</f>
        <v>12040</v>
      </c>
      <c r="B443" s="0" t="n">
        <v>12</v>
      </c>
      <c r="C443" s="0" t="n">
        <v>40</v>
      </c>
      <c r="D443" s="0" t="n">
        <v>0</v>
      </c>
      <c r="E443" s="0" t="n">
        <f aca="false">VLOOKUP(B443,'Babblefish-APUMA'!$A$1:$B$86,2)</f>
        <v>12</v>
      </c>
      <c r="F443" s="0" t="n">
        <f aca="false">IF(C443&gt;1,IF(C443&lt;99,VLOOKUP(C443,'Babblefish-APUMA'!$A$1:$B$86,2),C443),C443)</f>
        <v>88</v>
      </c>
    </row>
    <row r="444" customFormat="false" ht="12.75" hidden="false" customHeight="false" outlineLevel="0" collapsed="false">
      <c r="A444" s="0" t="n">
        <f aca="false">B444*1000+C444</f>
        <v>12041</v>
      </c>
      <c r="B444" s="0" t="n">
        <v>12</v>
      </c>
      <c r="C444" s="0" t="n">
        <v>41</v>
      </c>
      <c r="D444" s="0" t="n">
        <v>0</v>
      </c>
      <c r="E444" s="0" t="n">
        <f aca="false">VLOOKUP(B444,'Babblefish-APUMA'!$A$1:$B$86,2)</f>
        <v>12</v>
      </c>
      <c r="F444" s="0" t="n">
        <f aca="false">IF(C444&gt;1,IF(C444&lt;99,VLOOKUP(C444,'Babblefish-APUMA'!$A$1:$B$86,2),C444),C444)</f>
        <v>88</v>
      </c>
    </row>
    <row r="445" customFormat="false" ht="12.75" hidden="false" customHeight="false" outlineLevel="0" collapsed="false">
      <c r="A445" s="0" t="n">
        <f aca="false">B445*1000+C445</f>
        <v>12042</v>
      </c>
      <c r="B445" s="0" t="n">
        <v>12</v>
      </c>
      <c r="C445" s="0" t="n">
        <v>42</v>
      </c>
      <c r="D445" s="0" t="n">
        <v>130</v>
      </c>
      <c r="E445" s="0" t="n">
        <f aca="false">VLOOKUP(B445,'Babblefish-APUMA'!$A$1:$B$86,2)</f>
        <v>12</v>
      </c>
      <c r="F445" s="0" t="n">
        <f aca="false">IF(C445&gt;1,IF(C445&lt;99,VLOOKUP(C445,'Babblefish-APUMA'!$A$1:$B$86,2),C445),C445)</f>
        <v>92</v>
      </c>
    </row>
    <row r="446" customFormat="false" ht="12.75" hidden="false" customHeight="false" outlineLevel="0" collapsed="false">
      <c r="A446" s="0" t="n">
        <f aca="false">B446*1000+C446</f>
        <v>12048</v>
      </c>
      <c r="B446" s="0" t="n">
        <v>12</v>
      </c>
      <c r="C446" s="0" t="n">
        <v>48</v>
      </c>
      <c r="D446" s="0" t="n">
        <v>39</v>
      </c>
      <c r="E446" s="0" t="n">
        <f aca="false">VLOOKUP(B446,'Babblefish-APUMA'!$A$1:$B$86,2)</f>
        <v>12</v>
      </c>
      <c r="F446" s="0" t="n">
        <f aca="false">IF(C446&gt;1,IF(C446&lt;99,VLOOKUP(C446,'Babblefish-APUMA'!$A$1:$B$86,2),C446),C446)</f>
        <v>92</v>
      </c>
    </row>
    <row r="447" customFormat="false" ht="12.75" hidden="false" customHeight="false" outlineLevel="0" collapsed="false">
      <c r="A447" s="0" t="n">
        <f aca="false">B447*1000+C447</f>
        <v>12049</v>
      </c>
      <c r="B447" s="0" t="n">
        <v>12</v>
      </c>
      <c r="C447" s="0" t="n">
        <v>49</v>
      </c>
      <c r="D447" s="0" t="n">
        <v>0</v>
      </c>
      <c r="E447" s="0" t="n">
        <f aca="false">VLOOKUP(B447,'Babblefish-APUMA'!$A$1:$B$86,2)</f>
        <v>12</v>
      </c>
      <c r="F447" s="0" t="n">
        <f aca="false">IF(C447&gt;1,IF(C447&lt;99,VLOOKUP(C447,'Babblefish-APUMA'!$A$1:$B$86,2),C447),C447)</f>
        <v>98</v>
      </c>
    </row>
    <row r="448" customFormat="false" ht="12.75" hidden="false" customHeight="false" outlineLevel="0" collapsed="false">
      <c r="A448" s="0" t="n">
        <f aca="false">B448*1000+C448</f>
        <v>12050</v>
      </c>
      <c r="B448" s="0" t="n">
        <v>12</v>
      </c>
      <c r="C448" s="0" t="n">
        <v>50</v>
      </c>
      <c r="D448" s="0" t="n">
        <v>91</v>
      </c>
      <c r="E448" s="0" t="n">
        <f aca="false">VLOOKUP(B448,'Babblefish-APUMA'!$A$1:$B$86,2)</f>
        <v>12</v>
      </c>
      <c r="F448" s="0" t="n">
        <f aca="false">IF(C448&gt;1,IF(C448&lt;99,VLOOKUP(C448,'Babblefish-APUMA'!$A$1:$B$86,2),C448),C448)</f>
        <v>98</v>
      </c>
    </row>
    <row r="449" customFormat="false" ht="12.75" hidden="false" customHeight="false" outlineLevel="0" collapsed="false">
      <c r="A449" s="0" t="n">
        <f aca="false">B449*1000+C449</f>
        <v>12051</v>
      </c>
      <c r="B449" s="0" t="n">
        <v>12</v>
      </c>
      <c r="C449" s="0" t="n">
        <v>51</v>
      </c>
      <c r="D449" s="0" t="n">
        <v>0</v>
      </c>
      <c r="E449" s="0" t="n">
        <f aca="false">VLOOKUP(B449,'Babblefish-APUMA'!$A$1:$B$86,2)</f>
        <v>12</v>
      </c>
      <c r="F449" s="0" t="n">
        <f aca="false">IF(C449&gt;1,IF(C449&lt;99,VLOOKUP(C449,'Babblefish-APUMA'!$A$1:$B$86,2),C449),C449)</f>
        <v>98</v>
      </c>
    </row>
    <row r="450" customFormat="false" ht="12.75" hidden="false" customHeight="false" outlineLevel="0" collapsed="false">
      <c r="A450" s="0" t="n">
        <f aca="false">B450*1000+C450</f>
        <v>12053</v>
      </c>
      <c r="B450" s="0" t="n">
        <v>12</v>
      </c>
      <c r="C450" s="0" t="n">
        <v>53</v>
      </c>
      <c r="D450" s="0" t="n">
        <v>0</v>
      </c>
      <c r="E450" s="0" t="n">
        <f aca="false">VLOOKUP(B450,'Babblefish-APUMA'!$A$1:$B$86,2)</f>
        <v>12</v>
      </c>
      <c r="F450" s="0" t="n">
        <f aca="false">IF(C450&gt;1,IF(C450&lt;99,VLOOKUP(C450,'Babblefish-APUMA'!$A$1:$B$86,2),C450),C450)</f>
        <v>90</v>
      </c>
    </row>
    <row r="451" customFormat="false" ht="12.75" hidden="false" customHeight="false" outlineLevel="0" collapsed="false">
      <c r="A451" s="0" t="n">
        <f aca="false">B451*1000+C451</f>
        <v>12060</v>
      </c>
      <c r="B451" s="0" t="n">
        <v>12</v>
      </c>
      <c r="C451" s="0" t="n">
        <v>60</v>
      </c>
      <c r="D451" s="0" t="n">
        <v>0</v>
      </c>
      <c r="E451" s="0" t="n">
        <f aca="false">VLOOKUP(B451,'Babblefish-APUMA'!$A$1:$B$86,2)</f>
        <v>12</v>
      </c>
      <c r="F451" s="0" t="n">
        <f aca="false">IF(C451&gt;1,IF(C451&lt;99,VLOOKUP(C451,'Babblefish-APUMA'!$A$1:$B$86,2),C451),C451)</f>
        <v>90</v>
      </c>
    </row>
    <row r="452" customFormat="false" ht="12.75" hidden="false" customHeight="false" outlineLevel="0" collapsed="false">
      <c r="A452" s="0" t="n">
        <f aca="false">B452*1000+C452</f>
        <v>12064</v>
      </c>
      <c r="B452" s="0" t="n">
        <v>12</v>
      </c>
      <c r="C452" s="0" t="n">
        <v>64</v>
      </c>
      <c r="D452" s="0" t="n">
        <v>0</v>
      </c>
      <c r="E452" s="0" t="n">
        <f aca="false">VLOOKUP(B452,'Babblefish-APUMA'!$A$1:$B$86,2)</f>
        <v>12</v>
      </c>
      <c r="F452" s="0" t="n">
        <f aca="false">IF(C452&gt;1,IF(C452&lt;99,VLOOKUP(C452,'Babblefish-APUMA'!$A$1:$B$86,2),C452),C452)</f>
        <v>90</v>
      </c>
    </row>
    <row r="453" customFormat="false" ht="12.75" hidden="false" customHeight="false" outlineLevel="0" collapsed="false">
      <c r="A453" s="0" t="n">
        <f aca="false">B453*1000+C453</f>
        <v>12065</v>
      </c>
      <c r="B453" s="0" t="n">
        <v>12</v>
      </c>
      <c r="C453" s="0" t="n">
        <v>65</v>
      </c>
      <c r="D453" s="0" t="n">
        <v>78</v>
      </c>
      <c r="E453" s="0" t="n">
        <f aca="false">VLOOKUP(B453,'Babblefish-APUMA'!$A$1:$B$86,2)</f>
        <v>12</v>
      </c>
      <c r="F453" s="0" t="n">
        <f aca="false">IF(C453&gt;1,IF(C453&lt;99,VLOOKUP(C453,'Babblefish-APUMA'!$A$1:$B$86,2),C453),C453)</f>
        <v>90</v>
      </c>
    </row>
    <row r="454" customFormat="false" ht="12.75" hidden="false" customHeight="false" outlineLevel="0" collapsed="false">
      <c r="A454" s="0" t="n">
        <f aca="false">B454*1000+C454</f>
        <v>12067</v>
      </c>
      <c r="B454" s="0" t="n">
        <v>12</v>
      </c>
      <c r="C454" s="0" t="n">
        <v>67</v>
      </c>
      <c r="D454" s="0" t="n">
        <v>78</v>
      </c>
      <c r="E454" s="0" t="n">
        <f aca="false">VLOOKUP(B454,'Babblefish-APUMA'!$A$1:$B$86,2)</f>
        <v>12</v>
      </c>
      <c r="F454" s="0" t="n">
        <f aca="false">IF(C454&gt;1,IF(C454&lt;99,VLOOKUP(C454,'Babblefish-APUMA'!$A$1:$B$86,2),C454),C454)</f>
        <v>103</v>
      </c>
    </row>
    <row r="455" customFormat="false" ht="12.75" hidden="false" customHeight="false" outlineLevel="0" collapsed="false">
      <c r="A455" s="0" t="n">
        <f aca="false">B455*1000+C455</f>
        <v>12069</v>
      </c>
      <c r="B455" s="0" t="n">
        <v>12</v>
      </c>
      <c r="C455" s="0" t="n">
        <v>69</v>
      </c>
      <c r="D455" s="0" t="n">
        <v>0</v>
      </c>
      <c r="E455" s="0" t="n">
        <f aca="false">VLOOKUP(B455,'Babblefish-APUMA'!$A$1:$B$86,2)</f>
        <v>12</v>
      </c>
      <c r="F455" s="0" t="n">
        <f aca="false">IF(C455&gt;1,IF(C455&lt;99,VLOOKUP(C455,'Babblefish-APUMA'!$A$1:$B$86,2),C455),C455)</f>
        <v>93</v>
      </c>
    </row>
    <row r="456" customFormat="false" ht="12.75" hidden="false" customHeight="false" outlineLevel="0" collapsed="false">
      <c r="A456" s="0" t="n">
        <f aca="false">B456*1000+C456</f>
        <v>12072</v>
      </c>
      <c r="B456" s="0" t="n">
        <v>12</v>
      </c>
      <c r="C456" s="0" t="n">
        <v>72</v>
      </c>
      <c r="D456" s="0" t="n">
        <v>0</v>
      </c>
      <c r="E456" s="0" t="n">
        <f aca="false">VLOOKUP(B456,'Babblefish-APUMA'!$A$1:$B$86,2)</f>
        <v>12</v>
      </c>
      <c r="F456" s="0" t="n">
        <f aca="false">IF(C456&gt;1,IF(C456&lt;99,VLOOKUP(C456,'Babblefish-APUMA'!$A$1:$B$86,2),C456),C456)</f>
        <v>95</v>
      </c>
    </row>
    <row r="457" customFormat="false" ht="12.75" hidden="false" customHeight="false" outlineLevel="0" collapsed="false">
      <c r="A457" s="0" t="n">
        <f aca="false">B457*1000+C457</f>
        <v>12073</v>
      </c>
      <c r="B457" s="0" t="n">
        <v>12</v>
      </c>
      <c r="C457" s="0" t="n">
        <v>73</v>
      </c>
      <c r="D457" s="0" t="n">
        <v>0</v>
      </c>
      <c r="E457" s="0" t="n">
        <f aca="false">VLOOKUP(B457,'Babblefish-APUMA'!$A$1:$B$86,2)</f>
        <v>12</v>
      </c>
      <c r="F457" s="0" t="n">
        <f aca="false">IF(C457&gt;1,IF(C457&lt;99,VLOOKUP(C457,'Babblefish-APUMA'!$A$1:$B$86,2),C457),C457)</f>
        <v>99</v>
      </c>
    </row>
    <row r="458" customFormat="false" ht="12.75" hidden="false" customHeight="false" outlineLevel="0" collapsed="false">
      <c r="A458" s="0" t="n">
        <f aca="false">B458*1000+C458</f>
        <v>12075</v>
      </c>
      <c r="B458" s="0" t="n">
        <v>12</v>
      </c>
      <c r="C458" s="0" t="n">
        <v>75</v>
      </c>
      <c r="D458" s="0" t="n">
        <v>0</v>
      </c>
      <c r="E458" s="0" t="n">
        <f aca="false">VLOOKUP(B458,'Babblefish-APUMA'!$A$1:$B$86,2)</f>
        <v>12</v>
      </c>
      <c r="F458" s="0" t="n">
        <f aca="false">IF(C458&gt;1,IF(C458&lt;99,VLOOKUP(C458,'Babblefish-APUMA'!$A$1:$B$86,2),C458),C458)</f>
        <v>75</v>
      </c>
    </row>
    <row r="459" customFormat="false" ht="12.75" hidden="false" customHeight="false" outlineLevel="0" collapsed="false">
      <c r="A459" s="0" t="n">
        <f aca="false">B459*1000+C459</f>
        <v>12079</v>
      </c>
      <c r="B459" s="0" t="n">
        <v>12</v>
      </c>
      <c r="C459" s="0" t="n">
        <v>79</v>
      </c>
      <c r="D459" s="0" t="n">
        <v>0</v>
      </c>
      <c r="E459" s="0" t="n">
        <f aca="false">VLOOKUP(B459,'Babblefish-APUMA'!$A$1:$B$86,2)</f>
        <v>12</v>
      </c>
      <c r="F459" s="0" t="n">
        <f aca="false">IF(C459&gt;1,IF(C459&lt;99,VLOOKUP(C459,'Babblefish-APUMA'!$A$1:$B$86,2),C459),C459)</f>
        <v>89</v>
      </c>
    </row>
    <row r="460" customFormat="false" ht="12.75" hidden="false" customHeight="false" outlineLevel="0" collapsed="false">
      <c r="A460" s="0" t="n">
        <f aca="false">B460*1000+C460</f>
        <v>12085</v>
      </c>
      <c r="B460" s="0" t="n">
        <v>12</v>
      </c>
      <c r="C460" s="0" t="n">
        <v>85</v>
      </c>
      <c r="D460" s="0" t="n">
        <v>0</v>
      </c>
      <c r="E460" s="0" t="n">
        <f aca="false">VLOOKUP(B460,'Babblefish-APUMA'!$A$1:$B$86,2)</f>
        <v>12</v>
      </c>
      <c r="F460" s="0" t="n">
        <f aca="false">IF(C460&gt;1,IF(C460&lt;99,VLOOKUP(C460,'Babblefish-APUMA'!$A$1:$B$86,2),C460),C460)</f>
        <v>97</v>
      </c>
    </row>
    <row r="461" customFormat="false" ht="12.75" hidden="false" customHeight="false" outlineLevel="0" collapsed="false">
      <c r="A461" s="0" t="n">
        <f aca="false">B461*1000+C461</f>
        <v>12999</v>
      </c>
      <c r="B461" s="0" t="n">
        <v>12</v>
      </c>
      <c r="C461" s="0" t="n">
        <v>999</v>
      </c>
      <c r="D461" s="0" t="n">
        <v>0</v>
      </c>
      <c r="E461" s="0" t="n">
        <f aca="false">VLOOKUP(B461,'Babblefish-APUMA'!$A$1:$B$86,2)</f>
        <v>12</v>
      </c>
      <c r="F461" s="0" t="n">
        <f aca="false">IF(C461&gt;1,IF(C461&lt;99,VLOOKUP(C461,'Babblefish-APUMA'!$A$1:$B$86,2),C461),C461)</f>
        <v>999</v>
      </c>
    </row>
    <row r="462" customFormat="false" ht="12.75" hidden="false" customHeight="false" outlineLevel="0" collapsed="false">
      <c r="A462" s="0" t="n">
        <f aca="false">B462*1000+C462</f>
        <v>13000</v>
      </c>
      <c r="B462" s="0" t="n">
        <v>13</v>
      </c>
      <c r="C462" s="0" t="n">
        <v>0</v>
      </c>
      <c r="D462" s="0" t="n">
        <v>56823</v>
      </c>
      <c r="E462" s="0" t="n">
        <f aca="false">VLOOKUP(B462,'Babblefish-APUMA'!$A$1:$B$86,2)</f>
        <v>100</v>
      </c>
      <c r="F462" s="0" t="n">
        <f aca="false">IF(C462&gt;1,IF(C462&lt;99,VLOOKUP(C462,'Babblefish-APUMA'!$A$1:$B$86,2),C462),C462)</f>
        <v>0</v>
      </c>
    </row>
    <row r="463" customFormat="false" ht="12.75" hidden="false" customHeight="false" outlineLevel="0" collapsed="false">
      <c r="A463" s="0" t="n">
        <f aca="false">B463*1000+C463</f>
        <v>13001</v>
      </c>
      <c r="B463" s="0" t="n">
        <v>13</v>
      </c>
      <c r="C463" s="0" t="n">
        <v>1</v>
      </c>
      <c r="D463" s="0" t="n">
        <v>0</v>
      </c>
      <c r="E463" s="0" t="n">
        <f aca="false">VLOOKUP(B463,'Babblefish-APUMA'!$A$1:$B$86,2)</f>
        <v>100</v>
      </c>
      <c r="F463" s="0" t="n">
        <f aca="false">IF(C463&gt;1,IF(C463&lt;99,VLOOKUP(C463,'Babblefish-APUMA'!$A$1:$B$86,2),C463),C463)</f>
        <v>1</v>
      </c>
    </row>
    <row r="464" customFormat="false" ht="12.75" hidden="false" customHeight="false" outlineLevel="0" collapsed="false">
      <c r="A464" s="0" t="n">
        <f aca="false">B464*1000+C464</f>
        <v>13002</v>
      </c>
      <c r="B464" s="0" t="n">
        <v>13</v>
      </c>
      <c r="C464" s="0" t="n">
        <v>2</v>
      </c>
      <c r="D464" s="0" t="n">
        <v>91</v>
      </c>
      <c r="E464" s="0" t="n">
        <f aca="false">VLOOKUP(B464,'Babblefish-APUMA'!$A$1:$B$86,2)</f>
        <v>100</v>
      </c>
      <c r="F464" s="0" t="n">
        <f aca="false">IF(C464&gt;1,IF(C464&lt;99,VLOOKUP(C464,'Babblefish-APUMA'!$A$1:$B$86,2),C464),C464)</f>
        <v>2</v>
      </c>
    </row>
    <row r="465" customFormat="false" ht="12.75" hidden="false" customHeight="false" outlineLevel="0" collapsed="false">
      <c r="A465" s="0" t="n">
        <f aca="false">B465*1000+C465</f>
        <v>13003</v>
      </c>
      <c r="B465" s="0" t="n">
        <v>13</v>
      </c>
      <c r="C465" s="0" t="n">
        <v>3</v>
      </c>
      <c r="D465" s="0" t="n">
        <v>0</v>
      </c>
      <c r="E465" s="0" t="n">
        <f aca="false">VLOOKUP(B465,'Babblefish-APUMA'!$A$1:$B$86,2)</f>
        <v>100</v>
      </c>
      <c r="F465" s="0" t="n">
        <f aca="false">IF(C465&gt;1,IF(C465&lt;99,VLOOKUP(C465,'Babblefish-APUMA'!$A$1:$B$86,2),C465),C465)</f>
        <v>3</v>
      </c>
    </row>
    <row r="466" customFormat="false" ht="12.75" hidden="false" customHeight="false" outlineLevel="0" collapsed="false">
      <c r="A466" s="0" t="n">
        <f aca="false">B466*1000+C466</f>
        <v>13004</v>
      </c>
      <c r="B466" s="0" t="n">
        <v>13</v>
      </c>
      <c r="C466" s="0" t="n">
        <v>4</v>
      </c>
      <c r="D466" s="0" t="n">
        <v>0</v>
      </c>
      <c r="E466" s="0" t="n">
        <f aca="false">VLOOKUP(B466,'Babblefish-APUMA'!$A$1:$B$86,2)</f>
        <v>100</v>
      </c>
      <c r="F466" s="0" t="n">
        <f aca="false">IF(C466&gt;1,IF(C466&lt;99,VLOOKUP(C466,'Babblefish-APUMA'!$A$1:$B$86,2),C466),C466)</f>
        <v>4</v>
      </c>
    </row>
    <row r="467" customFormat="false" ht="12.75" hidden="false" customHeight="false" outlineLevel="0" collapsed="false">
      <c r="A467" s="0" t="n">
        <f aca="false">B467*1000+C467</f>
        <v>13005</v>
      </c>
      <c r="B467" s="0" t="n">
        <v>13</v>
      </c>
      <c r="C467" s="0" t="n">
        <v>5</v>
      </c>
      <c r="D467" s="0" t="n">
        <v>0</v>
      </c>
      <c r="E467" s="0" t="n">
        <f aca="false">VLOOKUP(B467,'Babblefish-APUMA'!$A$1:$B$86,2)</f>
        <v>100</v>
      </c>
      <c r="F467" s="0" t="n">
        <f aca="false">IF(C467&gt;1,IF(C467&lt;99,VLOOKUP(C467,'Babblefish-APUMA'!$A$1:$B$86,2),C467),C467)</f>
        <v>5</v>
      </c>
    </row>
    <row r="468" customFormat="false" ht="12.75" hidden="false" customHeight="false" outlineLevel="0" collapsed="false">
      <c r="A468" s="0" t="n">
        <f aca="false">B468*1000+C468</f>
        <v>13006</v>
      </c>
      <c r="B468" s="0" t="n">
        <v>13</v>
      </c>
      <c r="C468" s="0" t="n">
        <v>6</v>
      </c>
      <c r="D468" s="0" t="n">
        <v>0</v>
      </c>
      <c r="E468" s="0" t="n">
        <f aca="false">VLOOKUP(B468,'Babblefish-APUMA'!$A$1:$B$86,2)</f>
        <v>100</v>
      </c>
      <c r="F468" s="0" t="n">
        <f aca="false">IF(C468&gt;1,IF(C468&lt;99,VLOOKUP(C468,'Babblefish-APUMA'!$A$1:$B$86,2),C468),C468)</f>
        <v>6</v>
      </c>
    </row>
    <row r="469" customFormat="false" ht="12.75" hidden="false" customHeight="false" outlineLevel="0" collapsed="false">
      <c r="A469" s="0" t="n">
        <f aca="false">B469*1000+C469</f>
        <v>13007</v>
      </c>
      <c r="B469" s="0" t="n">
        <v>13</v>
      </c>
      <c r="C469" s="0" t="n">
        <v>7</v>
      </c>
      <c r="D469" s="0" t="n">
        <v>0</v>
      </c>
      <c r="E469" s="0" t="n">
        <f aca="false">VLOOKUP(B469,'Babblefish-APUMA'!$A$1:$B$86,2)</f>
        <v>100</v>
      </c>
      <c r="F469" s="0" t="n">
        <f aca="false">IF(C469&gt;1,IF(C469&lt;99,VLOOKUP(C469,'Babblefish-APUMA'!$A$1:$B$86,2),C469),C469)</f>
        <v>7</v>
      </c>
    </row>
    <row r="470" customFormat="false" ht="12.75" hidden="false" customHeight="false" outlineLevel="0" collapsed="false">
      <c r="A470" s="0" t="n">
        <f aca="false">B470*1000+C470</f>
        <v>13008</v>
      </c>
      <c r="B470" s="0" t="n">
        <v>13</v>
      </c>
      <c r="C470" s="0" t="n">
        <v>8</v>
      </c>
      <c r="D470" s="0" t="n">
        <v>0</v>
      </c>
      <c r="E470" s="0" t="n">
        <f aca="false">VLOOKUP(B470,'Babblefish-APUMA'!$A$1:$B$86,2)</f>
        <v>100</v>
      </c>
      <c r="F470" s="0" t="n">
        <f aca="false">IF(C470&gt;1,IF(C470&lt;99,VLOOKUP(C470,'Babblefish-APUMA'!$A$1:$B$86,2),C470),C470)</f>
        <v>8</v>
      </c>
    </row>
    <row r="471" customFormat="false" ht="12.75" hidden="false" customHeight="false" outlineLevel="0" collapsed="false">
      <c r="A471" s="0" t="n">
        <f aca="false">B471*1000+C471</f>
        <v>13009</v>
      </c>
      <c r="B471" s="0" t="n">
        <v>13</v>
      </c>
      <c r="C471" s="0" t="n">
        <v>9</v>
      </c>
      <c r="D471" s="0" t="n">
        <v>221</v>
      </c>
      <c r="E471" s="0" t="n">
        <f aca="false">VLOOKUP(B471,'Babblefish-APUMA'!$A$1:$B$86,2)</f>
        <v>100</v>
      </c>
      <c r="F471" s="0" t="n">
        <f aca="false">IF(C471&gt;1,IF(C471&lt;99,VLOOKUP(C471,'Babblefish-APUMA'!$A$1:$B$86,2),C471),C471)</f>
        <v>9</v>
      </c>
    </row>
    <row r="472" customFormat="false" ht="12.75" hidden="false" customHeight="false" outlineLevel="0" collapsed="false">
      <c r="A472" s="0" t="n">
        <f aca="false">B472*1000+C472</f>
        <v>13010</v>
      </c>
      <c r="B472" s="0" t="n">
        <v>13</v>
      </c>
      <c r="C472" s="0" t="n">
        <v>10</v>
      </c>
      <c r="D472" s="0" t="n">
        <v>0</v>
      </c>
      <c r="E472" s="0" t="n">
        <f aca="false">VLOOKUP(B472,'Babblefish-APUMA'!$A$1:$B$86,2)</f>
        <v>100</v>
      </c>
      <c r="F472" s="0" t="n">
        <f aca="false">IF(C472&gt;1,IF(C472&lt;99,VLOOKUP(C472,'Babblefish-APUMA'!$A$1:$B$86,2),C472),C472)</f>
        <v>10</v>
      </c>
    </row>
    <row r="473" customFormat="false" ht="12.75" hidden="false" customHeight="false" outlineLevel="0" collapsed="false">
      <c r="A473" s="0" t="n">
        <f aca="false">B473*1000+C473</f>
        <v>13011</v>
      </c>
      <c r="B473" s="0" t="n">
        <v>13</v>
      </c>
      <c r="C473" s="0" t="n">
        <v>11</v>
      </c>
      <c r="D473" s="0" t="n">
        <v>0</v>
      </c>
      <c r="E473" s="0" t="n">
        <f aca="false">VLOOKUP(B473,'Babblefish-APUMA'!$A$1:$B$86,2)</f>
        <v>100</v>
      </c>
      <c r="F473" s="0" t="n">
        <f aca="false">IF(C473&gt;1,IF(C473&lt;99,VLOOKUP(C473,'Babblefish-APUMA'!$A$1:$B$86,2),C473),C473)</f>
        <v>11</v>
      </c>
    </row>
    <row r="474" customFormat="false" ht="12.75" hidden="false" customHeight="false" outlineLevel="0" collapsed="false">
      <c r="A474" s="0" t="n">
        <f aca="false">B474*1000+C474</f>
        <v>13012</v>
      </c>
      <c r="B474" s="0" t="n">
        <v>13</v>
      </c>
      <c r="C474" s="0" t="n">
        <v>12</v>
      </c>
      <c r="D474" s="0" t="n">
        <v>0</v>
      </c>
      <c r="E474" s="0" t="n">
        <f aca="false">VLOOKUP(B474,'Babblefish-APUMA'!$A$1:$B$86,2)</f>
        <v>100</v>
      </c>
      <c r="F474" s="0" t="n">
        <f aca="false">IF(C474&gt;1,IF(C474&lt;99,VLOOKUP(C474,'Babblefish-APUMA'!$A$1:$B$86,2),C474),C474)</f>
        <v>12</v>
      </c>
    </row>
    <row r="475" customFormat="false" ht="12.75" hidden="false" customHeight="false" outlineLevel="0" collapsed="false">
      <c r="A475" s="0" t="n">
        <f aca="false">B475*1000+C475</f>
        <v>13013</v>
      </c>
      <c r="B475" s="0" t="n">
        <v>13</v>
      </c>
      <c r="C475" s="0" t="n">
        <v>13</v>
      </c>
      <c r="D475" s="0" t="n">
        <v>34944</v>
      </c>
      <c r="E475" s="0" t="n">
        <f aca="false">VLOOKUP(B475,'Babblefish-APUMA'!$A$1:$B$86,2)</f>
        <v>100</v>
      </c>
      <c r="F475" s="0" t="n">
        <f aca="false">IF(C475&gt;1,IF(C475&lt;99,VLOOKUP(C475,'Babblefish-APUMA'!$A$1:$B$86,2),C475),C475)</f>
        <v>100</v>
      </c>
    </row>
    <row r="476" customFormat="false" ht="12.75" hidden="false" customHeight="false" outlineLevel="0" collapsed="false">
      <c r="A476" s="0" t="n">
        <f aca="false">B476*1000+C476</f>
        <v>13014</v>
      </c>
      <c r="B476" s="0" t="n">
        <v>13</v>
      </c>
      <c r="C476" s="0" t="n">
        <v>14</v>
      </c>
      <c r="D476" s="0" t="n">
        <v>13546</v>
      </c>
      <c r="E476" s="0" t="n">
        <f aca="false">VLOOKUP(B476,'Babblefish-APUMA'!$A$1:$B$86,2)</f>
        <v>100</v>
      </c>
      <c r="F476" s="0" t="n">
        <f aca="false">IF(C476&gt;1,IF(C476&lt;99,VLOOKUP(C476,'Babblefish-APUMA'!$A$1:$B$86,2),C476),C476)</f>
        <v>100</v>
      </c>
    </row>
    <row r="477" customFormat="false" ht="12.75" hidden="false" customHeight="false" outlineLevel="0" collapsed="false">
      <c r="A477" s="0" t="n">
        <f aca="false">B477*1000+C477</f>
        <v>13015</v>
      </c>
      <c r="B477" s="0" t="n">
        <v>13</v>
      </c>
      <c r="C477" s="0" t="n">
        <v>15</v>
      </c>
      <c r="D477" s="0" t="n">
        <v>2145</v>
      </c>
      <c r="E477" s="0" t="n">
        <f aca="false">VLOOKUP(B477,'Babblefish-APUMA'!$A$1:$B$86,2)</f>
        <v>100</v>
      </c>
      <c r="F477" s="0" t="n">
        <f aca="false">IF(C477&gt;1,IF(C477&lt;99,VLOOKUP(C477,'Babblefish-APUMA'!$A$1:$B$86,2),C477),C477)</f>
        <v>15</v>
      </c>
    </row>
    <row r="478" customFormat="false" ht="12.75" hidden="false" customHeight="false" outlineLevel="0" collapsed="false">
      <c r="A478" s="0" t="n">
        <f aca="false">B478*1000+C478</f>
        <v>13016</v>
      </c>
      <c r="B478" s="0" t="n">
        <v>13</v>
      </c>
      <c r="C478" s="0" t="n">
        <v>16</v>
      </c>
      <c r="D478" s="0" t="n">
        <v>195</v>
      </c>
      <c r="E478" s="0" t="n">
        <f aca="false">VLOOKUP(B478,'Babblefish-APUMA'!$A$1:$B$86,2)</f>
        <v>100</v>
      </c>
      <c r="F478" s="0" t="n">
        <f aca="false">IF(C478&gt;1,IF(C478&lt;99,VLOOKUP(C478,'Babblefish-APUMA'!$A$1:$B$86,2),C478),C478)</f>
        <v>99</v>
      </c>
    </row>
    <row r="479" customFormat="false" ht="12.75" hidden="false" customHeight="false" outlineLevel="0" collapsed="false">
      <c r="A479" s="0" t="n">
        <f aca="false">B479*1000+C479</f>
        <v>13017</v>
      </c>
      <c r="B479" s="0" t="n">
        <v>13</v>
      </c>
      <c r="C479" s="0" t="n">
        <v>17</v>
      </c>
      <c r="D479" s="0" t="n">
        <v>104</v>
      </c>
      <c r="E479" s="0" t="n">
        <f aca="false">VLOOKUP(B479,'Babblefish-APUMA'!$A$1:$B$86,2)</f>
        <v>100</v>
      </c>
      <c r="F479" s="0" t="n">
        <f aca="false">IF(C479&gt;1,IF(C479&lt;99,VLOOKUP(C479,'Babblefish-APUMA'!$A$1:$B$86,2),C479),C479)</f>
        <v>87</v>
      </c>
    </row>
    <row r="480" customFormat="false" ht="12.75" hidden="false" customHeight="false" outlineLevel="0" collapsed="false">
      <c r="A480" s="0" t="n">
        <f aca="false">B480*1000+C480</f>
        <v>13018</v>
      </c>
      <c r="B480" s="0" t="n">
        <v>13</v>
      </c>
      <c r="C480" s="0" t="n">
        <v>18</v>
      </c>
      <c r="D480" s="0" t="n">
        <v>312</v>
      </c>
      <c r="E480" s="0" t="n">
        <f aca="false">VLOOKUP(B480,'Babblefish-APUMA'!$A$1:$B$86,2)</f>
        <v>100</v>
      </c>
      <c r="F480" s="0" t="n">
        <f aca="false">IF(C480&gt;1,IF(C480&lt;99,VLOOKUP(C480,'Babblefish-APUMA'!$A$1:$B$86,2),C480),C480)</f>
        <v>87</v>
      </c>
    </row>
    <row r="481" customFormat="false" ht="12.75" hidden="false" customHeight="false" outlineLevel="0" collapsed="false">
      <c r="A481" s="0" t="n">
        <f aca="false">B481*1000+C481</f>
        <v>13019</v>
      </c>
      <c r="B481" s="0" t="n">
        <v>13</v>
      </c>
      <c r="C481" s="0" t="n">
        <v>19</v>
      </c>
      <c r="D481" s="0" t="n">
        <v>988</v>
      </c>
      <c r="E481" s="0" t="n">
        <f aca="false">VLOOKUP(B481,'Babblefish-APUMA'!$A$1:$B$86,2)</f>
        <v>100</v>
      </c>
      <c r="F481" s="0" t="n">
        <f aca="false">IF(C481&gt;1,IF(C481&lt;99,VLOOKUP(C481,'Babblefish-APUMA'!$A$1:$B$86,2),C481),C481)</f>
        <v>19</v>
      </c>
    </row>
    <row r="482" customFormat="false" ht="12.75" hidden="false" customHeight="false" outlineLevel="0" collapsed="false">
      <c r="A482" s="0" t="n">
        <f aca="false">B482*1000+C482</f>
        <v>13020</v>
      </c>
      <c r="B482" s="0" t="n">
        <v>13</v>
      </c>
      <c r="C482" s="0" t="n">
        <v>20</v>
      </c>
      <c r="D482" s="0" t="n">
        <v>0</v>
      </c>
      <c r="E482" s="0" t="n">
        <f aca="false">VLOOKUP(B482,'Babblefish-APUMA'!$A$1:$B$86,2)</f>
        <v>100</v>
      </c>
      <c r="F482" s="0" t="n">
        <f aca="false">IF(C482&gt;1,IF(C482&lt;99,VLOOKUP(C482,'Babblefish-APUMA'!$A$1:$B$86,2),C482),C482)</f>
        <v>86</v>
      </c>
    </row>
    <row r="483" customFormat="false" ht="12.75" hidden="false" customHeight="false" outlineLevel="0" collapsed="false">
      <c r="A483" s="0" t="n">
        <f aca="false">B483*1000+C483</f>
        <v>13021</v>
      </c>
      <c r="B483" s="0" t="n">
        <v>13</v>
      </c>
      <c r="C483" s="0" t="n">
        <v>21</v>
      </c>
      <c r="D483" s="0" t="n">
        <v>286</v>
      </c>
      <c r="E483" s="0" t="n">
        <f aca="false">VLOOKUP(B483,'Babblefish-APUMA'!$A$1:$B$86,2)</f>
        <v>100</v>
      </c>
      <c r="F483" s="0" t="n">
        <f aca="false">IF(C483&gt;1,IF(C483&lt;99,VLOOKUP(C483,'Babblefish-APUMA'!$A$1:$B$86,2),C483),C483)</f>
        <v>86</v>
      </c>
    </row>
    <row r="484" customFormat="false" ht="12.75" hidden="false" customHeight="false" outlineLevel="0" collapsed="false">
      <c r="A484" s="0" t="n">
        <f aca="false">B484*1000+C484</f>
        <v>13022</v>
      </c>
      <c r="B484" s="0" t="n">
        <v>13</v>
      </c>
      <c r="C484" s="0" t="n">
        <v>22</v>
      </c>
      <c r="D484" s="0" t="n">
        <v>234</v>
      </c>
      <c r="E484" s="0" t="n">
        <f aca="false">VLOOKUP(B484,'Babblefish-APUMA'!$A$1:$B$86,2)</f>
        <v>100</v>
      </c>
      <c r="F484" s="0" t="n">
        <f aca="false">IF(C484&gt;1,IF(C484&lt;99,VLOOKUP(C484,'Babblefish-APUMA'!$A$1:$B$86,2),C484),C484)</f>
        <v>22</v>
      </c>
    </row>
    <row r="485" customFormat="false" ht="12.75" hidden="false" customHeight="false" outlineLevel="0" collapsed="false">
      <c r="A485" s="0" t="n">
        <f aca="false">B485*1000+C485</f>
        <v>13023</v>
      </c>
      <c r="B485" s="0" t="n">
        <v>13</v>
      </c>
      <c r="C485" s="0" t="n">
        <v>23</v>
      </c>
      <c r="D485" s="0" t="n">
        <v>0</v>
      </c>
      <c r="E485" s="0" t="n">
        <f aca="false">VLOOKUP(B485,'Babblefish-APUMA'!$A$1:$B$86,2)</f>
        <v>100</v>
      </c>
      <c r="F485" s="0" t="n">
        <f aca="false">IF(C485&gt;1,IF(C485&lt;99,VLOOKUP(C485,'Babblefish-APUMA'!$A$1:$B$86,2),C485),C485)</f>
        <v>97</v>
      </c>
    </row>
    <row r="486" customFormat="false" ht="12.75" hidden="false" customHeight="false" outlineLevel="0" collapsed="false">
      <c r="A486" s="0" t="n">
        <f aca="false">B486*1000+C486</f>
        <v>13024</v>
      </c>
      <c r="B486" s="0" t="n">
        <v>13</v>
      </c>
      <c r="C486" s="0" t="n">
        <v>24</v>
      </c>
      <c r="D486" s="0" t="n">
        <v>0</v>
      </c>
      <c r="E486" s="0" t="n">
        <f aca="false">VLOOKUP(B486,'Babblefish-APUMA'!$A$1:$B$86,2)</f>
        <v>100</v>
      </c>
      <c r="F486" s="0" t="n">
        <f aca="false">IF(C486&gt;1,IF(C486&lt;99,VLOOKUP(C486,'Babblefish-APUMA'!$A$1:$B$86,2),C486),C486)</f>
        <v>101</v>
      </c>
    </row>
    <row r="487" customFormat="false" ht="12.75" hidden="false" customHeight="false" outlineLevel="0" collapsed="false">
      <c r="A487" s="0" t="n">
        <f aca="false">B487*1000+C487</f>
        <v>13025</v>
      </c>
      <c r="B487" s="0" t="n">
        <v>13</v>
      </c>
      <c r="C487" s="0" t="n">
        <v>25</v>
      </c>
      <c r="D487" s="0" t="n">
        <v>0</v>
      </c>
      <c r="E487" s="0" t="n">
        <f aca="false">VLOOKUP(B487,'Babblefish-APUMA'!$A$1:$B$86,2)</f>
        <v>100</v>
      </c>
      <c r="F487" s="0" t="n">
        <f aca="false">IF(C487&gt;1,IF(C487&lt;99,VLOOKUP(C487,'Babblefish-APUMA'!$A$1:$B$86,2),C487),C487)</f>
        <v>101</v>
      </c>
    </row>
    <row r="488" customFormat="false" ht="12.75" hidden="false" customHeight="false" outlineLevel="0" collapsed="false">
      <c r="A488" s="0" t="n">
        <f aca="false">B488*1000+C488</f>
        <v>13026</v>
      </c>
      <c r="B488" s="0" t="n">
        <v>13</v>
      </c>
      <c r="C488" s="0" t="n">
        <v>26</v>
      </c>
      <c r="D488" s="0" t="n">
        <v>0</v>
      </c>
      <c r="E488" s="0" t="n">
        <f aca="false">VLOOKUP(B488,'Babblefish-APUMA'!$A$1:$B$86,2)</f>
        <v>100</v>
      </c>
      <c r="F488" s="0" t="n">
        <f aca="false">IF(C488&gt;1,IF(C488&lt;99,VLOOKUP(C488,'Babblefish-APUMA'!$A$1:$B$86,2),C488),C488)</f>
        <v>26</v>
      </c>
    </row>
    <row r="489" customFormat="false" ht="12.75" hidden="false" customHeight="false" outlineLevel="0" collapsed="false">
      <c r="A489" s="0" t="n">
        <f aca="false">B489*1000+C489</f>
        <v>13028</v>
      </c>
      <c r="B489" s="0" t="n">
        <v>13</v>
      </c>
      <c r="C489" s="0" t="n">
        <v>28</v>
      </c>
      <c r="D489" s="0" t="n">
        <v>0</v>
      </c>
      <c r="E489" s="0" t="n">
        <f aca="false">VLOOKUP(B489,'Babblefish-APUMA'!$A$1:$B$86,2)</f>
        <v>100</v>
      </c>
      <c r="F489" s="0" t="n">
        <f aca="false">IF(C489&gt;1,IF(C489&lt;99,VLOOKUP(C489,'Babblefish-APUMA'!$A$1:$B$86,2),C489),C489)</f>
        <v>94</v>
      </c>
    </row>
    <row r="490" customFormat="false" ht="12.75" hidden="false" customHeight="false" outlineLevel="0" collapsed="false">
      <c r="A490" s="0" t="n">
        <f aca="false">B490*1000+C490</f>
        <v>13029</v>
      </c>
      <c r="B490" s="0" t="n">
        <v>13</v>
      </c>
      <c r="C490" s="0" t="n">
        <v>29</v>
      </c>
      <c r="D490" s="0" t="n">
        <v>0</v>
      </c>
      <c r="E490" s="0" t="n">
        <f aca="false">VLOOKUP(B490,'Babblefish-APUMA'!$A$1:$B$86,2)</f>
        <v>100</v>
      </c>
      <c r="F490" s="0" t="n">
        <f aca="false">IF(C490&gt;1,IF(C490&lt;99,VLOOKUP(C490,'Babblefish-APUMA'!$A$1:$B$86,2),C490),C490)</f>
        <v>94</v>
      </c>
    </row>
    <row r="491" customFormat="false" ht="12.75" hidden="false" customHeight="false" outlineLevel="0" collapsed="false">
      <c r="A491" s="0" t="n">
        <f aca="false">B491*1000+C491</f>
        <v>13033</v>
      </c>
      <c r="B491" s="0" t="n">
        <v>13</v>
      </c>
      <c r="C491" s="0" t="n">
        <v>33</v>
      </c>
      <c r="D491" s="0" t="n">
        <v>117</v>
      </c>
      <c r="E491" s="0" t="n">
        <f aca="false">VLOOKUP(B491,'Babblefish-APUMA'!$A$1:$B$86,2)</f>
        <v>100</v>
      </c>
      <c r="F491" s="0" t="n">
        <f aca="false">IF(C491&gt;1,IF(C491&lt;99,VLOOKUP(C491,'Babblefish-APUMA'!$A$1:$B$86,2),C491),C491)</f>
        <v>96</v>
      </c>
    </row>
    <row r="492" customFormat="false" ht="12.75" hidden="false" customHeight="false" outlineLevel="0" collapsed="false">
      <c r="A492" s="0" t="n">
        <f aca="false">B492*1000+C492</f>
        <v>13034</v>
      </c>
      <c r="B492" s="0" t="n">
        <v>13</v>
      </c>
      <c r="C492" s="0" t="n">
        <v>34</v>
      </c>
      <c r="D492" s="0" t="n">
        <v>0</v>
      </c>
      <c r="E492" s="0" t="n">
        <f aca="false">VLOOKUP(B492,'Babblefish-APUMA'!$A$1:$B$86,2)</f>
        <v>100</v>
      </c>
      <c r="F492" s="0" t="n">
        <f aca="false">IF(C492&gt;1,IF(C492&lt;99,VLOOKUP(C492,'Babblefish-APUMA'!$A$1:$B$86,2),C492),C492)</f>
        <v>96</v>
      </c>
    </row>
    <row r="493" customFormat="false" ht="12.75" hidden="false" customHeight="false" outlineLevel="0" collapsed="false">
      <c r="A493" s="0" t="n">
        <f aca="false">B493*1000+C493</f>
        <v>13035</v>
      </c>
      <c r="B493" s="0" t="n">
        <v>13</v>
      </c>
      <c r="C493" s="0" t="n">
        <v>35</v>
      </c>
      <c r="D493" s="0" t="n">
        <v>0</v>
      </c>
      <c r="E493" s="0" t="n">
        <f aca="false">VLOOKUP(B493,'Babblefish-APUMA'!$A$1:$B$86,2)</f>
        <v>100</v>
      </c>
      <c r="F493" s="0" t="n">
        <f aca="false">IF(C493&gt;1,IF(C493&lt;99,VLOOKUP(C493,'Babblefish-APUMA'!$A$1:$B$86,2),C493),C493)</f>
        <v>96</v>
      </c>
    </row>
    <row r="494" customFormat="false" ht="12.75" hidden="false" customHeight="false" outlineLevel="0" collapsed="false">
      <c r="A494" s="0" t="n">
        <f aca="false">B494*1000+C494</f>
        <v>13037</v>
      </c>
      <c r="B494" s="0" t="n">
        <v>13</v>
      </c>
      <c r="C494" s="0" t="n">
        <v>37</v>
      </c>
      <c r="D494" s="0" t="n">
        <v>0</v>
      </c>
      <c r="E494" s="0" t="n">
        <f aca="false">VLOOKUP(B494,'Babblefish-APUMA'!$A$1:$B$86,2)</f>
        <v>100</v>
      </c>
      <c r="F494" s="0" t="n">
        <f aca="false">IF(C494&gt;1,IF(C494&lt;99,VLOOKUP(C494,'Babblefish-APUMA'!$A$1:$B$86,2),C494),C494)</f>
        <v>96</v>
      </c>
    </row>
    <row r="495" customFormat="false" ht="12.75" hidden="false" customHeight="false" outlineLevel="0" collapsed="false">
      <c r="A495" s="0" t="n">
        <f aca="false">B495*1000+C495</f>
        <v>13039</v>
      </c>
      <c r="B495" s="0" t="n">
        <v>13</v>
      </c>
      <c r="C495" s="0" t="n">
        <v>39</v>
      </c>
      <c r="D495" s="0" t="n">
        <v>0</v>
      </c>
      <c r="E495" s="0" t="n">
        <f aca="false">VLOOKUP(B495,'Babblefish-APUMA'!$A$1:$B$86,2)</f>
        <v>100</v>
      </c>
      <c r="F495" s="0" t="n">
        <f aca="false">IF(C495&gt;1,IF(C495&lt;99,VLOOKUP(C495,'Babblefish-APUMA'!$A$1:$B$86,2),C495),C495)</f>
        <v>91</v>
      </c>
    </row>
    <row r="496" customFormat="false" ht="12.75" hidden="false" customHeight="false" outlineLevel="0" collapsed="false">
      <c r="A496" s="0" t="n">
        <f aca="false">B496*1000+C496</f>
        <v>13040</v>
      </c>
      <c r="B496" s="0" t="n">
        <v>13</v>
      </c>
      <c r="C496" s="0" t="n">
        <v>40</v>
      </c>
      <c r="D496" s="0" t="n">
        <v>0</v>
      </c>
      <c r="E496" s="0" t="n">
        <f aca="false">VLOOKUP(B496,'Babblefish-APUMA'!$A$1:$B$86,2)</f>
        <v>100</v>
      </c>
      <c r="F496" s="0" t="n">
        <f aca="false">IF(C496&gt;1,IF(C496&lt;99,VLOOKUP(C496,'Babblefish-APUMA'!$A$1:$B$86,2),C496),C496)</f>
        <v>88</v>
      </c>
    </row>
    <row r="497" customFormat="false" ht="12.75" hidden="false" customHeight="false" outlineLevel="0" collapsed="false">
      <c r="A497" s="0" t="n">
        <f aca="false">B497*1000+C497</f>
        <v>13041</v>
      </c>
      <c r="B497" s="0" t="n">
        <v>13</v>
      </c>
      <c r="C497" s="0" t="n">
        <v>41</v>
      </c>
      <c r="D497" s="0" t="n">
        <v>0</v>
      </c>
      <c r="E497" s="0" t="n">
        <f aca="false">VLOOKUP(B497,'Babblefish-APUMA'!$A$1:$B$86,2)</f>
        <v>100</v>
      </c>
      <c r="F497" s="0" t="n">
        <f aca="false">IF(C497&gt;1,IF(C497&lt;99,VLOOKUP(C497,'Babblefish-APUMA'!$A$1:$B$86,2),C497),C497)</f>
        <v>88</v>
      </c>
    </row>
    <row r="498" customFormat="false" ht="12.75" hidden="false" customHeight="false" outlineLevel="0" collapsed="false">
      <c r="A498" s="0" t="n">
        <f aca="false">B498*1000+C498</f>
        <v>13042</v>
      </c>
      <c r="B498" s="0" t="n">
        <v>13</v>
      </c>
      <c r="C498" s="0" t="n">
        <v>42</v>
      </c>
      <c r="D498" s="0" t="n">
        <v>0</v>
      </c>
      <c r="E498" s="0" t="n">
        <f aca="false">VLOOKUP(B498,'Babblefish-APUMA'!$A$1:$B$86,2)</f>
        <v>100</v>
      </c>
      <c r="F498" s="0" t="n">
        <f aca="false">IF(C498&gt;1,IF(C498&lt;99,VLOOKUP(C498,'Babblefish-APUMA'!$A$1:$B$86,2),C498),C498)</f>
        <v>92</v>
      </c>
    </row>
    <row r="499" customFormat="false" ht="12.75" hidden="false" customHeight="false" outlineLevel="0" collapsed="false">
      <c r="A499" s="0" t="n">
        <f aca="false">B499*1000+C499</f>
        <v>13048</v>
      </c>
      <c r="B499" s="0" t="n">
        <v>13</v>
      </c>
      <c r="C499" s="0" t="n">
        <v>48</v>
      </c>
      <c r="D499" s="0" t="n">
        <v>0</v>
      </c>
      <c r="E499" s="0" t="n">
        <f aca="false">VLOOKUP(B499,'Babblefish-APUMA'!$A$1:$B$86,2)</f>
        <v>100</v>
      </c>
      <c r="F499" s="0" t="n">
        <f aca="false">IF(C499&gt;1,IF(C499&lt;99,VLOOKUP(C499,'Babblefish-APUMA'!$A$1:$B$86,2),C499),C499)</f>
        <v>92</v>
      </c>
    </row>
    <row r="500" customFormat="false" ht="12.75" hidden="false" customHeight="false" outlineLevel="0" collapsed="false">
      <c r="A500" s="0" t="n">
        <f aca="false">B500*1000+C500</f>
        <v>13049</v>
      </c>
      <c r="B500" s="0" t="n">
        <v>13</v>
      </c>
      <c r="C500" s="0" t="n">
        <v>49</v>
      </c>
      <c r="D500" s="0" t="n">
        <v>0</v>
      </c>
      <c r="E500" s="0" t="n">
        <f aca="false">VLOOKUP(B500,'Babblefish-APUMA'!$A$1:$B$86,2)</f>
        <v>100</v>
      </c>
      <c r="F500" s="0" t="n">
        <f aca="false">IF(C500&gt;1,IF(C500&lt;99,VLOOKUP(C500,'Babblefish-APUMA'!$A$1:$B$86,2),C500),C500)</f>
        <v>98</v>
      </c>
    </row>
    <row r="501" customFormat="false" ht="12.75" hidden="false" customHeight="false" outlineLevel="0" collapsed="false">
      <c r="A501" s="0" t="n">
        <f aca="false">B501*1000+C501</f>
        <v>13050</v>
      </c>
      <c r="B501" s="0" t="n">
        <v>13</v>
      </c>
      <c r="C501" s="0" t="n">
        <v>50</v>
      </c>
      <c r="D501" s="0" t="n">
        <v>0</v>
      </c>
      <c r="E501" s="0" t="n">
        <f aca="false">VLOOKUP(B501,'Babblefish-APUMA'!$A$1:$B$86,2)</f>
        <v>100</v>
      </c>
      <c r="F501" s="0" t="n">
        <f aca="false">IF(C501&gt;1,IF(C501&lt;99,VLOOKUP(C501,'Babblefish-APUMA'!$A$1:$B$86,2),C501),C501)</f>
        <v>98</v>
      </c>
    </row>
    <row r="502" customFormat="false" ht="12.75" hidden="false" customHeight="false" outlineLevel="0" collapsed="false">
      <c r="A502" s="0" t="n">
        <f aca="false">B502*1000+C502</f>
        <v>13051</v>
      </c>
      <c r="B502" s="0" t="n">
        <v>13</v>
      </c>
      <c r="C502" s="0" t="n">
        <v>51</v>
      </c>
      <c r="D502" s="0" t="n">
        <v>0</v>
      </c>
      <c r="E502" s="0" t="n">
        <f aca="false">VLOOKUP(B502,'Babblefish-APUMA'!$A$1:$B$86,2)</f>
        <v>100</v>
      </c>
      <c r="F502" s="0" t="n">
        <f aca="false">IF(C502&gt;1,IF(C502&lt;99,VLOOKUP(C502,'Babblefish-APUMA'!$A$1:$B$86,2),C502),C502)</f>
        <v>98</v>
      </c>
    </row>
    <row r="503" customFormat="false" ht="12.75" hidden="false" customHeight="false" outlineLevel="0" collapsed="false">
      <c r="A503" s="0" t="n">
        <f aca="false">B503*1000+C503</f>
        <v>13052</v>
      </c>
      <c r="B503" s="0" t="n">
        <v>13</v>
      </c>
      <c r="C503" s="0" t="n">
        <v>52</v>
      </c>
      <c r="D503" s="0" t="n">
        <v>91</v>
      </c>
      <c r="E503" s="0" t="n">
        <f aca="false">VLOOKUP(B503,'Babblefish-APUMA'!$A$1:$B$86,2)</f>
        <v>100</v>
      </c>
      <c r="F503" s="0" t="n">
        <f aca="false">IF(C503&gt;1,IF(C503&lt;99,VLOOKUP(C503,'Babblefish-APUMA'!$A$1:$B$86,2),C503),C503)</f>
        <v>90</v>
      </c>
    </row>
    <row r="504" customFormat="false" ht="12.75" hidden="false" customHeight="false" outlineLevel="0" collapsed="false">
      <c r="A504" s="0" t="n">
        <f aca="false">B504*1000+C504</f>
        <v>13053</v>
      </c>
      <c r="B504" s="0" t="n">
        <v>13</v>
      </c>
      <c r="C504" s="0" t="n">
        <v>53</v>
      </c>
      <c r="D504" s="0" t="n">
        <v>0</v>
      </c>
      <c r="E504" s="0" t="n">
        <f aca="false">VLOOKUP(B504,'Babblefish-APUMA'!$A$1:$B$86,2)</f>
        <v>100</v>
      </c>
      <c r="F504" s="0" t="n">
        <f aca="false">IF(C504&gt;1,IF(C504&lt;99,VLOOKUP(C504,'Babblefish-APUMA'!$A$1:$B$86,2),C504),C504)</f>
        <v>90</v>
      </c>
    </row>
    <row r="505" customFormat="false" ht="12.75" hidden="false" customHeight="false" outlineLevel="0" collapsed="false">
      <c r="A505" s="0" t="n">
        <f aca="false">B505*1000+C505</f>
        <v>13060</v>
      </c>
      <c r="B505" s="0" t="n">
        <v>13</v>
      </c>
      <c r="C505" s="0" t="n">
        <v>60</v>
      </c>
      <c r="D505" s="0" t="n">
        <v>0</v>
      </c>
      <c r="E505" s="0" t="n">
        <f aca="false">VLOOKUP(B505,'Babblefish-APUMA'!$A$1:$B$86,2)</f>
        <v>100</v>
      </c>
      <c r="F505" s="0" t="n">
        <f aca="false">IF(C505&gt;1,IF(C505&lt;99,VLOOKUP(C505,'Babblefish-APUMA'!$A$1:$B$86,2),C505),C505)</f>
        <v>90</v>
      </c>
    </row>
    <row r="506" customFormat="false" ht="12.75" hidden="false" customHeight="false" outlineLevel="0" collapsed="false">
      <c r="A506" s="0" t="n">
        <f aca="false">B506*1000+C506</f>
        <v>13064</v>
      </c>
      <c r="B506" s="0" t="n">
        <v>13</v>
      </c>
      <c r="C506" s="0" t="n">
        <v>64</v>
      </c>
      <c r="D506" s="0" t="n">
        <v>0</v>
      </c>
      <c r="E506" s="0" t="n">
        <f aca="false">VLOOKUP(B506,'Babblefish-APUMA'!$A$1:$B$86,2)</f>
        <v>100</v>
      </c>
      <c r="F506" s="0" t="n">
        <f aca="false">IF(C506&gt;1,IF(C506&lt;99,VLOOKUP(C506,'Babblefish-APUMA'!$A$1:$B$86,2),C506),C506)</f>
        <v>90</v>
      </c>
    </row>
    <row r="507" customFormat="false" ht="12.75" hidden="false" customHeight="false" outlineLevel="0" collapsed="false">
      <c r="A507" s="0" t="n">
        <f aca="false">B507*1000+C507</f>
        <v>13065</v>
      </c>
      <c r="B507" s="0" t="n">
        <v>13</v>
      </c>
      <c r="C507" s="0" t="n">
        <v>65</v>
      </c>
      <c r="D507" s="0" t="n">
        <v>0</v>
      </c>
      <c r="E507" s="0" t="n">
        <f aca="false">VLOOKUP(B507,'Babblefish-APUMA'!$A$1:$B$86,2)</f>
        <v>100</v>
      </c>
      <c r="F507" s="0" t="n">
        <f aca="false">IF(C507&gt;1,IF(C507&lt;99,VLOOKUP(C507,'Babblefish-APUMA'!$A$1:$B$86,2),C507),C507)</f>
        <v>90</v>
      </c>
    </row>
    <row r="508" customFormat="false" ht="12.75" hidden="false" customHeight="false" outlineLevel="0" collapsed="false">
      <c r="A508" s="0" t="n">
        <f aca="false">B508*1000+C508</f>
        <v>13067</v>
      </c>
      <c r="B508" s="0" t="n">
        <v>13</v>
      </c>
      <c r="C508" s="0" t="n">
        <v>67</v>
      </c>
      <c r="D508" s="0" t="n">
        <v>0</v>
      </c>
      <c r="E508" s="0" t="n">
        <f aca="false">VLOOKUP(B508,'Babblefish-APUMA'!$A$1:$B$86,2)</f>
        <v>100</v>
      </c>
      <c r="F508" s="0" t="n">
        <f aca="false">IF(C508&gt;1,IF(C508&lt;99,VLOOKUP(C508,'Babblefish-APUMA'!$A$1:$B$86,2),C508),C508)</f>
        <v>103</v>
      </c>
    </row>
    <row r="509" customFormat="false" ht="12.75" hidden="false" customHeight="false" outlineLevel="0" collapsed="false">
      <c r="A509" s="0" t="n">
        <f aca="false">B509*1000+C509</f>
        <v>13069</v>
      </c>
      <c r="B509" s="0" t="n">
        <v>13</v>
      </c>
      <c r="C509" s="0" t="n">
        <v>69</v>
      </c>
      <c r="D509" s="0" t="n">
        <v>0</v>
      </c>
      <c r="E509" s="0" t="n">
        <f aca="false">VLOOKUP(B509,'Babblefish-APUMA'!$A$1:$B$86,2)</f>
        <v>100</v>
      </c>
      <c r="F509" s="0" t="n">
        <f aca="false">IF(C509&gt;1,IF(C509&lt;99,VLOOKUP(C509,'Babblefish-APUMA'!$A$1:$B$86,2),C509),C509)</f>
        <v>93</v>
      </c>
    </row>
    <row r="510" customFormat="false" ht="12.75" hidden="false" customHeight="false" outlineLevel="0" collapsed="false">
      <c r="A510" s="0" t="n">
        <f aca="false">B510*1000+C510</f>
        <v>13072</v>
      </c>
      <c r="B510" s="0" t="n">
        <v>13</v>
      </c>
      <c r="C510" s="0" t="n">
        <v>72</v>
      </c>
      <c r="D510" s="0" t="n">
        <v>0</v>
      </c>
      <c r="E510" s="0" t="n">
        <f aca="false">VLOOKUP(B510,'Babblefish-APUMA'!$A$1:$B$86,2)</f>
        <v>100</v>
      </c>
      <c r="F510" s="0" t="n">
        <f aca="false">IF(C510&gt;1,IF(C510&lt;99,VLOOKUP(C510,'Babblefish-APUMA'!$A$1:$B$86,2),C510),C510)</f>
        <v>95</v>
      </c>
    </row>
    <row r="511" customFormat="false" ht="12.75" hidden="false" customHeight="false" outlineLevel="0" collapsed="false">
      <c r="A511" s="0" t="n">
        <f aca="false">B511*1000+C511</f>
        <v>13073</v>
      </c>
      <c r="B511" s="0" t="n">
        <v>13</v>
      </c>
      <c r="C511" s="0" t="n">
        <v>73</v>
      </c>
      <c r="D511" s="0" t="n">
        <v>299</v>
      </c>
      <c r="E511" s="0" t="n">
        <f aca="false">VLOOKUP(B511,'Babblefish-APUMA'!$A$1:$B$86,2)</f>
        <v>100</v>
      </c>
      <c r="F511" s="0" t="n">
        <f aca="false">IF(C511&gt;1,IF(C511&lt;99,VLOOKUP(C511,'Babblefish-APUMA'!$A$1:$B$86,2),C511),C511)</f>
        <v>99</v>
      </c>
    </row>
    <row r="512" customFormat="false" ht="12.75" hidden="false" customHeight="false" outlineLevel="0" collapsed="false">
      <c r="A512" s="0" t="n">
        <f aca="false">B512*1000+C512</f>
        <v>13075</v>
      </c>
      <c r="B512" s="0" t="n">
        <v>13</v>
      </c>
      <c r="C512" s="0" t="n">
        <v>75</v>
      </c>
      <c r="D512" s="0" t="n">
        <v>0</v>
      </c>
      <c r="E512" s="0" t="n">
        <f aca="false">VLOOKUP(B512,'Babblefish-APUMA'!$A$1:$B$86,2)</f>
        <v>100</v>
      </c>
      <c r="F512" s="0" t="n">
        <f aca="false">IF(C512&gt;1,IF(C512&lt;99,VLOOKUP(C512,'Babblefish-APUMA'!$A$1:$B$86,2),C512),C512)</f>
        <v>75</v>
      </c>
    </row>
    <row r="513" customFormat="false" ht="12.75" hidden="false" customHeight="false" outlineLevel="0" collapsed="false">
      <c r="A513" s="0" t="n">
        <f aca="false">B513*1000+C513</f>
        <v>13079</v>
      </c>
      <c r="B513" s="0" t="n">
        <v>13</v>
      </c>
      <c r="C513" s="0" t="n">
        <v>79</v>
      </c>
      <c r="D513" s="0" t="n">
        <v>0</v>
      </c>
      <c r="E513" s="0" t="n">
        <f aca="false">VLOOKUP(B513,'Babblefish-APUMA'!$A$1:$B$86,2)</f>
        <v>100</v>
      </c>
      <c r="F513" s="0" t="n">
        <f aca="false">IF(C513&gt;1,IF(C513&lt;99,VLOOKUP(C513,'Babblefish-APUMA'!$A$1:$B$86,2),C513),C513)</f>
        <v>89</v>
      </c>
    </row>
    <row r="514" customFormat="false" ht="12.75" hidden="false" customHeight="false" outlineLevel="0" collapsed="false">
      <c r="A514" s="0" t="n">
        <f aca="false">B514*1000+C514</f>
        <v>13080</v>
      </c>
      <c r="B514" s="0" t="n">
        <v>13</v>
      </c>
      <c r="C514" s="0" t="n">
        <v>80</v>
      </c>
      <c r="D514" s="0" t="n">
        <v>91</v>
      </c>
      <c r="E514" s="0" t="n">
        <f aca="false">VLOOKUP(B514,'Babblefish-APUMA'!$A$1:$B$86,2)</f>
        <v>100</v>
      </c>
      <c r="F514" s="0" t="n">
        <f aca="false">IF(C514&gt;1,IF(C514&lt;99,VLOOKUP(C514,'Babblefish-APUMA'!$A$1:$B$86,2),C514),C514)</f>
        <v>80</v>
      </c>
    </row>
    <row r="515" customFormat="false" ht="12.75" hidden="false" customHeight="false" outlineLevel="0" collapsed="false">
      <c r="A515" s="0" t="n">
        <f aca="false">B515*1000+C515</f>
        <v>13085</v>
      </c>
      <c r="B515" s="0" t="n">
        <v>13</v>
      </c>
      <c r="C515" s="0" t="n">
        <v>85</v>
      </c>
      <c r="D515" s="0" t="n">
        <v>0</v>
      </c>
      <c r="E515" s="0" t="n">
        <f aca="false">VLOOKUP(B515,'Babblefish-APUMA'!$A$1:$B$86,2)</f>
        <v>100</v>
      </c>
      <c r="F515" s="0" t="n">
        <f aca="false">IF(C515&gt;1,IF(C515&lt;99,VLOOKUP(C515,'Babblefish-APUMA'!$A$1:$B$86,2),C515),C515)</f>
        <v>97</v>
      </c>
    </row>
    <row r="516" customFormat="false" ht="12.75" hidden="false" customHeight="false" outlineLevel="0" collapsed="false">
      <c r="A516" s="0" t="n">
        <f aca="false">B516*1000+C516</f>
        <v>13999</v>
      </c>
      <c r="B516" s="0" t="n">
        <v>13</v>
      </c>
      <c r="C516" s="0" t="n">
        <v>999</v>
      </c>
      <c r="D516" s="0" t="n">
        <v>0</v>
      </c>
      <c r="E516" s="0" t="n">
        <f aca="false">VLOOKUP(B516,'Babblefish-APUMA'!$A$1:$B$86,2)</f>
        <v>100</v>
      </c>
      <c r="F516" s="0" t="n">
        <f aca="false">IF(C516&gt;1,IF(C516&lt;99,VLOOKUP(C516,'Babblefish-APUMA'!$A$1:$B$86,2),C516),C516)</f>
        <v>999</v>
      </c>
    </row>
    <row r="517" customFormat="false" ht="12.75" hidden="false" customHeight="false" outlineLevel="0" collapsed="false">
      <c r="A517" s="0" t="n">
        <f aca="false">B517*1000+C517</f>
        <v>14000</v>
      </c>
      <c r="B517" s="0" t="n">
        <v>14</v>
      </c>
      <c r="C517" s="0" t="n">
        <v>0</v>
      </c>
      <c r="D517" s="0" t="n">
        <v>139113</v>
      </c>
      <c r="E517" s="0" t="n">
        <f aca="false">VLOOKUP(B517,'Babblefish-APUMA'!$A$1:$B$86,2)</f>
        <v>100</v>
      </c>
      <c r="F517" s="0" t="n">
        <f aca="false">IF(C517&gt;1,IF(C517&lt;99,VLOOKUP(C517,'Babblefish-APUMA'!$A$1:$B$86,2),C517),C517)</f>
        <v>0</v>
      </c>
    </row>
    <row r="518" customFormat="false" ht="12.75" hidden="false" customHeight="false" outlineLevel="0" collapsed="false">
      <c r="A518" s="0" t="n">
        <f aca="false">B518*1000+C518</f>
        <v>14001</v>
      </c>
      <c r="B518" s="0" t="n">
        <v>14</v>
      </c>
      <c r="C518" s="0" t="n">
        <v>1</v>
      </c>
      <c r="D518" s="0" t="n">
        <v>156</v>
      </c>
      <c r="E518" s="0" t="n">
        <f aca="false">VLOOKUP(B518,'Babblefish-APUMA'!$A$1:$B$86,2)</f>
        <v>100</v>
      </c>
      <c r="F518" s="0" t="n">
        <f aca="false">IF(C518&gt;1,IF(C518&lt;99,VLOOKUP(C518,'Babblefish-APUMA'!$A$1:$B$86,2),C518),C518)</f>
        <v>1</v>
      </c>
    </row>
    <row r="519" customFormat="false" ht="12.75" hidden="false" customHeight="false" outlineLevel="0" collapsed="false">
      <c r="A519" s="0" t="n">
        <f aca="false">B519*1000+C519</f>
        <v>14002</v>
      </c>
      <c r="B519" s="0" t="n">
        <v>14</v>
      </c>
      <c r="C519" s="0" t="n">
        <v>2</v>
      </c>
      <c r="D519" s="0" t="n">
        <v>0</v>
      </c>
      <c r="E519" s="0" t="n">
        <f aca="false">VLOOKUP(B519,'Babblefish-APUMA'!$A$1:$B$86,2)</f>
        <v>100</v>
      </c>
      <c r="F519" s="0" t="n">
        <f aca="false">IF(C519&gt;1,IF(C519&lt;99,VLOOKUP(C519,'Babblefish-APUMA'!$A$1:$B$86,2),C519),C519)</f>
        <v>2</v>
      </c>
    </row>
    <row r="520" customFormat="false" ht="12.75" hidden="false" customHeight="false" outlineLevel="0" collapsed="false">
      <c r="A520" s="0" t="n">
        <f aca="false">B520*1000+C520</f>
        <v>14003</v>
      </c>
      <c r="B520" s="0" t="n">
        <v>14</v>
      </c>
      <c r="C520" s="0" t="n">
        <v>3</v>
      </c>
      <c r="D520" s="0" t="n">
        <v>130</v>
      </c>
      <c r="E520" s="0" t="n">
        <f aca="false">VLOOKUP(B520,'Babblefish-APUMA'!$A$1:$B$86,2)</f>
        <v>100</v>
      </c>
      <c r="F520" s="0" t="n">
        <f aca="false">IF(C520&gt;1,IF(C520&lt;99,VLOOKUP(C520,'Babblefish-APUMA'!$A$1:$B$86,2),C520),C520)</f>
        <v>3</v>
      </c>
    </row>
    <row r="521" customFormat="false" ht="12.75" hidden="false" customHeight="false" outlineLevel="0" collapsed="false">
      <c r="A521" s="0" t="n">
        <f aca="false">B521*1000+C521</f>
        <v>14004</v>
      </c>
      <c r="B521" s="0" t="n">
        <v>14</v>
      </c>
      <c r="C521" s="0" t="n">
        <v>4</v>
      </c>
      <c r="D521" s="0" t="n">
        <v>598</v>
      </c>
      <c r="E521" s="0" t="n">
        <f aca="false">VLOOKUP(B521,'Babblefish-APUMA'!$A$1:$B$86,2)</f>
        <v>100</v>
      </c>
      <c r="F521" s="0" t="n">
        <f aca="false">IF(C521&gt;1,IF(C521&lt;99,VLOOKUP(C521,'Babblefish-APUMA'!$A$1:$B$86,2),C521),C521)</f>
        <v>4</v>
      </c>
    </row>
    <row r="522" customFormat="false" ht="12.75" hidden="false" customHeight="false" outlineLevel="0" collapsed="false">
      <c r="A522" s="0" t="n">
        <f aca="false">B522*1000+C522</f>
        <v>14005</v>
      </c>
      <c r="B522" s="0" t="n">
        <v>14</v>
      </c>
      <c r="C522" s="0" t="n">
        <v>5</v>
      </c>
      <c r="D522" s="0" t="n">
        <v>0</v>
      </c>
      <c r="E522" s="0" t="n">
        <f aca="false">VLOOKUP(B522,'Babblefish-APUMA'!$A$1:$B$86,2)</f>
        <v>100</v>
      </c>
      <c r="F522" s="0" t="n">
        <f aca="false">IF(C522&gt;1,IF(C522&lt;99,VLOOKUP(C522,'Babblefish-APUMA'!$A$1:$B$86,2),C522),C522)</f>
        <v>5</v>
      </c>
    </row>
    <row r="523" customFormat="false" ht="12.75" hidden="false" customHeight="false" outlineLevel="0" collapsed="false">
      <c r="A523" s="0" t="n">
        <f aca="false">B523*1000+C523</f>
        <v>14006</v>
      </c>
      <c r="B523" s="0" t="n">
        <v>14</v>
      </c>
      <c r="C523" s="0" t="n">
        <v>6</v>
      </c>
      <c r="D523" s="0" t="n">
        <v>0</v>
      </c>
      <c r="E523" s="0" t="n">
        <f aca="false">VLOOKUP(B523,'Babblefish-APUMA'!$A$1:$B$86,2)</f>
        <v>100</v>
      </c>
      <c r="F523" s="0" t="n">
        <f aca="false">IF(C523&gt;1,IF(C523&lt;99,VLOOKUP(C523,'Babblefish-APUMA'!$A$1:$B$86,2),C523),C523)</f>
        <v>6</v>
      </c>
    </row>
    <row r="524" customFormat="false" ht="12.75" hidden="false" customHeight="false" outlineLevel="0" collapsed="false">
      <c r="A524" s="0" t="n">
        <f aca="false">B524*1000+C524</f>
        <v>14007</v>
      </c>
      <c r="B524" s="0" t="n">
        <v>14</v>
      </c>
      <c r="C524" s="0" t="n">
        <v>7</v>
      </c>
      <c r="D524" s="0" t="n">
        <v>0</v>
      </c>
      <c r="E524" s="0" t="n">
        <f aca="false">VLOOKUP(B524,'Babblefish-APUMA'!$A$1:$B$86,2)</f>
        <v>100</v>
      </c>
      <c r="F524" s="0" t="n">
        <f aca="false">IF(C524&gt;1,IF(C524&lt;99,VLOOKUP(C524,'Babblefish-APUMA'!$A$1:$B$86,2),C524),C524)</f>
        <v>7</v>
      </c>
    </row>
    <row r="525" customFormat="false" ht="12.75" hidden="false" customHeight="false" outlineLevel="0" collapsed="false">
      <c r="A525" s="0" t="n">
        <f aca="false">B525*1000+C525</f>
        <v>14008</v>
      </c>
      <c r="B525" s="0" t="n">
        <v>14</v>
      </c>
      <c r="C525" s="0" t="n">
        <v>8</v>
      </c>
      <c r="D525" s="0" t="n">
        <v>0</v>
      </c>
      <c r="E525" s="0" t="n">
        <f aca="false">VLOOKUP(B525,'Babblefish-APUMA'!$A$1:$B$86,2)</f>
        <v>100</v>
      </c>
      <c r="F525" s="0" t="n">
        <f aca="false">IF(C525&gt;1,IF(C525&lt;99,VLOOKUP(C525,'Babblefish-APUMA'!$A$1:$B$86,2),C525),C525)</f>
        <v>8</v>
      </c>
    </row>
    <row r="526" customFormat="false" ht="12.75" hidden="false" customHeight="false" outlineLevel="0" collapsed="false">
      <c r="A526" s="0" t="n">
        <f aca="false">B526*1000+C526</f>
        <v>14009</v>
      </c>
      <c r="B526" s="0" t="n">
        <v>14</v>
      </c>
      <c r="C526" s="0" t="n">
        <v>9</v>
      </c>
      <c r="D526" s="0" t="n">
        <v>1404</v>
      </c>
      <c r="E526" s="0" t="n">
        <f aca="false">VLOOKUP(B526,'Babblefish-APUMA'!$A$1:$B$86,2)</f>
        <v>100</v>
      </c>
      <c r="F526" s="0" t="n">
        <f aca="false">IF(C526&gt;1,IF(C526&lt;99,VLOOKUP(C526,'Babblefish-APUMA'!$A$1:$B$86,2),C526),C526)</f>
        <v>9</v>
      </c>
    </row>
    <row r="527" customFormat="false" ht="12.75" hidden="false" customHeight="false" outlineLevel="0" collapsed="false">
      <c r="A527" s="0" t="n">
        <f aca="false">B527*1000+C527</f>
        <v>14010</v>
      </c>
      <c r="B527" s="0" t="n">
        <v>14</v>
      </c>
      <c r="C527" s="0" t="n">
        <v>10</v>
      </c>
      <c r="D527" s="0" t="n">
        <v>130</v>
      </c>
      <c r="E527" s="0" t="n">
        <f aca="false">VLOOKUP(B527,'Babblefish-APUMA'!$A$1:$B$86,2)</f>
        <v>100</v>
      </c>
      <c r="F527" s="0" t="n">
        <f aca="false">IF(C527&gt;1,IF(C527&lt;99,VLOOKUP(C527,'Babblefish-APUMA'!$A$1:$B$86,2),C527),C527)</f>
        <v>10</v>
      </c>
    </row>
    <row r="528" customFormat="false" ht="12.75" hidden="false" customHeight="false" outlineLevel="0" collapsed="false">
      <c r="A528" s="0" t="n">
        <f aca="false">B528*1000+C528</f>
        <v>14011</v>
      </c>
      <c r="B528" s="0" t="n">
        <v>14</v>
      </c>
      <c r="C528" s="0" t="n">
        <v>11</v>
      </c>
      <c r="D528" s="0" t="n">
        <v>0</v>
      </c>
      <c r="E528" s="0" t="n">
        <f aca="false">VLOOKUP(B528,'Babblefish-APUMA'!$A$1:$B$86,2)</f>
        <v>100</v>
      </c>
      <c r="F528" s="0" t="n">
        <f aca="false">IF(C528&gt;1,IF(C528&lt;99,VLOOKUP(C528,'Babblefish-APUMA'!$A$1:$B$86,2),C528),C528)</f>
        <v>11</v>
      </c>
    </row>
    <row r="529" customFormat="false" ht="12.75" hidden="false" customHeight="false" outlineLevel="0" collapsed="false">
      <c r="A529" s="0" t="n">
        <f aca="false">B529*1000+C529</f>
        <v>14012</v>
      </c>
      <c r="B529" s="0" t="n">
        <v>14</v>
      </c>
      <c r="C529" s="0" t="n">
        <v>12</v>
      </c>
      <c r="D529" s="0" t="n">
        <v>78</v>
      </c>
      <c r="E529" s="0" t="n">
        <f aca="false">VLOOKUP(B529,'Babblefish-APUMA'!$A$1:$B$86,2)</f>
        <v>100</v>
      </c>
      <c r="F529" s="0" t="n">
        <f aca="false">IF(C529&gt;1,IF(C529&lt;99,VLOOKUP(C529,'Babblefish-APUMA'!$A$1:$B$86,2),C529),C529)</f>
        <v>12</v>
      </c>
    </row>
    <row r="530" customFormat="false" ht="12.75" hidden="false" customHeight="false" outlineLevel="0" collapsed="false">
      <c r="A530" s="0" t="n">
        <f aca="false">B530*1000+C530</f>
        <v>14013</v>
      </c>
      <c r="B530" s="0" t="n">
        <v>14</v>
      </c>
      <c r="C530" s="0" t="n">
        <v>13</v>
      </c>
      <c r="D530" s="0" t="n">
        <v>26650</v>
      </c>
      <c r="E530" s="0" t="n">
        <f aca="false">VLOOKUP(B530,'Babblefish-APUMA'!$A$1:$B$86,2)</f>
        <v>100</v>
      </c>
      <c r="F530" s="0" t="n">
        <f aca="false">IF(C530&gt;1,IF(C530&lt;99,VLOOKUP(C530,'Babblefish-APUMA'!$A$1:$B$86,2),C530),C530)</f>
        <v>100</v>
      </c>
    </row>
    <row r="531" customFormat="false" ht="12.75" hidden="false" customHeight="false" outlineLevel="0" collapsed="false">
      <c r="A531" s="0" t="n">
        <f aca="false">B531*1000+C531</f>
        <v>14014</v>
      </c>
      <c r="B531" s="0" t="n">
        <v>14</v>
      </c>
      <c r="C531" s="0" t="n">
        <v>14</v>
      </c>
      <c r="D531" s="0" t="n">
        <v>70980</v>
      </c>
      <c r="E531" s="0" t="n">
        <f aca="false">VLOOKUP(B531,'Babblefish-APUMA'!$A$1:$B$86,2)</f>
        <v>100</v>
      </c>
      <c r="F531" s="0" t="n">
        <f aca="false">IF(C531&gt;1,IF(C531&lt;99,VLOOKUP(C531,'Babblefish-APUMA'!$A$1:$B$86,2),C531),C531)</f>
        <v>100</v>
      </c>
    </row>
    <row r="532" customFormat="false" ht="12.75" hidden="false" customHeight="false" outlineLevel="0" collapsed="false">
      <c r="A532" s="0" t="n">
        <f aca="false">B532*1000+C532</f>
        <v>14015</v>
      </c>
      <c r="B532" s="0" t="n">
        <v>14</v>
      </c>
      <c r="C532" s="0" t="n">
        <v>15</v>
      </c>
      <c r="D532" s="0" t="n">
        <v>15145</v>
      </c>
      <c r="E532" s="0" t="n">
        <f aca="false">VLOOKUP(B532,'Babblefish-APUMA'!$A$1:$B$86,2)</f>
        <v>100</v>
      </c>
      <c r="F532" s="0" t="n">
        <f aca="false">IF(C532&gt;1,IF(C532&lt;99,VLOOKUP(C532,'Babblefish-APUMA'!$A$1:$B$86,2),C532),C532)</f>
        <v>15</v>
      </c>
    </row>
    <row r="533" customFormat="false" ht="12.75" hidden="false" customHeight="false" outlineLevel="0" collapsed="false">
      <c r="A533" s="0" t="n">
        <f aca="false">B533*1000+C533</f>
        <v>14016</v>
      </c>
      <c r="B533" s="0" t="n">
        <v>14</v>
      </c>
      <c r="C533" s="0" t="n">
        <v>16</v>
      </c>
      <c r="D533" s="0" t="n">
        <v>286</v>
      </c>
      <c r="E533" s="0" t="n">
        <f aca="false">VLOOKUP(B533,'Babblefish-APUMA'!$A$1:$B$86,2)</f>
        <v>100</v>
      </c>
      <c r="F533" s="0" t="n">
        <f aca="false">IF(C533&gt;1,IF(C533&lt;99,VLOOKUP(C533,'Babblefish-APUMA'!$A$1:$B$86,2),C533),C533)</f>
        <v>99</v>
      </c>
    </row>
    <row r="534" customFormat="false" ht="12.75" hidden="false" customHeight="false" outlineLevel="0" collapsed="false">
      <c r="A534" s="0" t="n">
        <f aca="false">B534*1000+C534</f>
        <v>14017</v>
      </c>
      <c r="B534" s="0" t="n">
        <v>14</v>
      </c>
      <c r="C534" s="0" t="n">
        <v>17</v>
      </c>
      <c r="D534" s="0" t="n">
        <v>338</v>
      </c>
      <c r="E534" s="0" t="n">
        <f aca="false">VLOOKUP(B534,'Babblefish-APUMA'!$A$1:$B$86,2)</f>
        <v>100</v>
      </c>
      <c r="F534" s="0" t="n">
        <f aca="false">IF(C534&gt;1,IF(C534&lt;99,VLOOKUP(C534,'Babblefish-APUMA'!$A$1:$B$86,2),C534),C534)</f>
        <v>87</v>
      </c>
    </row>
    <row r="535" customFormat="false" ht="12.75" hidden="false" customHeight="false" outlineLevel="0" collapsed="false">
      <c r="A535" s="0" t="n">
        <f aca="false">B535*1000+C535</f>
        <v>14018</v>
      </c>
      <c r="B535" s="0" t="n">
        <v>14</v>
      </c>
      <c r="C535" s="0" t="n">
        <v>18</v>
      </c>
      <c r="D535" s="0" t="n">
        <v>611</v>
      </c>
      <c r="E535" s="0" t="n">
        <f aca="false">VLOOKUP(B535,'Babblefish-APUMA'!$A$1:$B$86,2)</f>
        <v>100</v>
      </c>
      <c r="F535" s="0" t="n">
        <f aca="false">IF(C535&gt;1,IF(C535&lt;99,VLOOKUP(C535,'Babblefish-APUMA'!$A$1:$B$86,2),C535),C535)</f>
        <v>87</v>
      </c>
    </row>
    <row r="536" customFormat="false" ht="12.75" hidden="false" customHeight="false" outlineLevel="0" collapsed="false">
      <c r="A536" s="0" t="n">
        <f aca="false">B536*1000+C536</f>
        <v>14019</v>
      </c>
      <c r="B536" s="0" t="n">
        <v>14</v>
      </c>
      <c r="C536" s="0" t="n">
        <v>19</v>
      </c>
      <c r="D536" s="0" t="n">
        <v>7631</v>
      </c>
      <c r="E536" s="0" t="n">
        <f aca="false">VLOOKUP(B536,'Babblefish-APUMA'!$A$1:$B$86,2)</f>
        <v>100</v>
      </c>
      <c r="F536" s="0" t="n">
        <f aca="false">IF(C536&gt;1,IF(C536&lt;99,VLOOKUP(C536,'Babblefish-APUMA'!$A$1:$B$86,2),C536),C536)</f>
        <v>19</v>
      </c>
    </row>
    <row r="537" customFormat="false" ht="12.75" hidden="false" customHeight="false" outlineLevel="0" collapsed="false">
      <c r="A537" s="0" t="n">
        <f aca="false">B537*1000+C537</f>
        <v>14020</v>
      </c>
      <c r="B537" s="0" t="n">
        <v>14</v>
      </c>
      <c r="C537" s="0" t="n">
        <v>20</v>
      </c>
      <c r="D537" s="0" t="n">
        <v>416</v>
      </c>
      <c r="E537" s="0" t="n">
        <f aca="false">VLOOKUP(B537,'Babblefish-APUMA'!$A$1:$B$86,2)</f>
        <v>100</v>
      </c>
      <c r="F537" s="0" t="n">
        <f aca="false">IF(C537&gt;1,IF(C537&lt;99,VLOOKUP(C537,'Babblefish-APUMA'!$A$1:$B$86,2),C537),C537)</f>
        <v>86</v>
      </c>
    </row>
    <row r="538" customFormat="false" ht="12.75" hidden="false" customHeight="false" outlineLevel="0" collapsed="false">
      <c r="A538" s="0" t="n">
        <f aca="false">B538*1000+C538</f>
        <v>14021</v>
      </c>
      <c r="B538" s="0" t="n">
        <v>14</v>
      </c>
      <c r="C538" s="0" t="n">
        <v>21</v>
      </c>
      <c r="D538" s="0" t="n">
        <v>1469</v>
      </c>
      <c r="E538" s="0" t="n">
        <f aca="false">VLOOKUP(B538,'Babblefish-APUMA'!$A$1:$B$86,2)</f>
        <v>100</v>
      </c>
      <c r="F538" s="0" t="n">
        <f aca="false">IF(C538&gt;1,IF(C538&lt;99,VLOOKUP(C538,'Babblefish-APUMA'!$A$1:$B$86,2),C538),C538)</f>
        <v>86</v>
      </c>
    </row>
    <row r="539" customFormat="false" ht="12.75" hidden="false" customHeight="false" outlineLevel="0" collapsed="false">
      <c r="A539" s="0" t="n">
        <f aca="false">B539*1000+C539</f>
        <v>14022</v>
      </c>
      <c r="B539" s="0" t="n">
        <v>14</v>
      </c>
      <c r="C539" s="0" t="n">
        <v>22</v>
      </c>
      <c r="D539" s="0" t="n">
        <v>1079</v>
      </c>
      <c r="E539" s="0" t="n">
        <f aca="false">VLOOKUP(B539,'Babblefish-APUMA'!$A$1:$B$86,2)</f>
        <v>100</v>
      </c>
      <c r="F539" s="0" t="n">
        <f aca="false">IF(C539&gt;1,IF(C539&lt;99,VLOOKUP(C539,'Babblefish-APUMA'!$A$1:$B$86,2),C539),C539)</f>
        <v>22</v>
      </c>
    </row>
    <row r="540" customFormat="false" ht="12.75" hidden="false" customHeight="false" outlineLevel="0" collapsed="false">
      <c r="A540" s="0" t="n">
        <f aca="false">B540*1000+C540</f>
        <v>14023</v>
      </c>
      <c r="B540" s="0" t="n">
        <v>14</v>
      </c>
      <c r="C540" s="0" t="n">
        <v>23</v>
      </c>
      <c r="D540" s="0" t="n">
        <v>0</v>
      </c>
      <c r="E540" s="0" t="n">
        <f aca="false">VLOOKUP(B540,'Babblefish-APUMA'!$A$1:$B$86,2)</f>
        <v>100</v>
      </c>
      <c r="F540" s="0" t="n">
        <f aca="false">IF(C540&gt;1,IF(C540&lt;99,VLOOKUP(C540,'Babblefish-APUMA'!$A$1:$B$86,2),C540),C540)</f>
        <v>97</v>
      </c>
    </row>
    <row r="541" customFormat="false" ht="12.75" hidden="false" customHeight="false" outlineLevel="0" collapsed="false">
      <c r="A541" s="0" t="n">
        <f aca="false">B541*1000+C541</f>
        <v>14024</v>
      </c>
      <c r="B541" s="0" t="n">
        <v>14</v>
      </c>
      <c r="C541" s="0" t="n">
        <v>24</v>
      </c>
      <c r="D541" s="0" t="n">
        <v>0</v>
      </c>
      <c r="E541" s="0" t="n">
        <f aca="false">VLOOKUP(B541,'Babblefish-APUMA'!$A$1:$B$86,2)</f>
        <v>100</v>
      </c>
      <c r="F541" s="0" t="n">
        <f aca="false">IF(C541&gt;1,IF(C541&lt;99,VLOOKUP(C541,'Babblefish-APUMA'!$A$1:$B$86,2),C541),C541)</f>
        <v>101</v>
      </c>
    </row>
    <row r="542" customFormat="false" ht="12.75" hidden="false" customHeight="false" outlineLevel="0" collapsed="false">
      <c r="A542" s="0" t="n">
        <f aca="false">B542*1000+C542</f>
        <v>14025</v>
      </c>
      <c r="B542" s="0" t="n">
        <v>14</v>
      </c>
      <c r="C542" s="0" t="n">
        <v>25</v>
      </c>
      <c r="D542" s="0" t="n">
        <v>0</v>
      </c>
      <c r="E542" s="0" t="n">
        <f aca="false">VLOOKUP(B542,'Babblefish-APUMA'!$A$1:$B$86,2)</f>
        <v>100</v>
      </c>
      <c r="F542" s="0" t="n">
        <f aca="false">IF(C542&gt;1,IF(C542&lt;99,VLOOKUP(C542,'Babblefish-APUMA'!$A$1:$B$86,2),C542),C542)</f>
        <v>101</v>
      </c>
    </row>
    <row r="543" customFormat="false" ht="12.75" hidden="false" customHeight="false" outlineLevel="0" collapsed="false">
      <c r="A543" s="0" t="n">
        <f aca="false">B543*1000+C543</f>
        <v>14026</v>
      </c>
      <c r="B543" s="0" t="n">
        <v>14</v>
      </c>
      <c r="C543" s="0" t="n">
        <v>26</v>
      </c>
      <c r="D543" s="0" t="n">
        <v>0</v>
      </c>
      <c r="E543" s="0" t="n">
        <f aca="false">VLOOKUP(B543,'Babblefish-APUMA'!$A$1:$B$86,2)</f>
        <v>100</v>
      </c>
      <c r="F543" s="0" t="n">
        <f aca="false">IF(C543&gt;1,IF(C543&lt;99,VLOOKUP(C543,'Babblefish-APUMA'!$A$1:$B$86,2),C543),C543)</f>
        <v>26</v>
      </c>
    </row>
    <row r="544" customFormat="false" ht="12.75" hidden="false" customHeight="false" outlineLevel="0" collapsed="false">
      <c r="A544" s="0" t="n">
        <f aca="false">B544*1000+C544</f>
        <v>14028</v>
      </c>
      <c r="B544" s="0" t="n">
        <v>14</v>
      </c>
      <c r="C544" s="0" t="n">
        <v>28</v>
      </c>
      <c r="D544" s="0" t="n">
        <v>117</v>
      </c>
      <c r="E544" s="0" t="n">
        <f aca="false">VLOOKUP(B544,'Babblefish-APUMA'!$A$1:$B$86,2)</f>
        <v>100</v>
      </c>
      <c r="F544" s="0" t="n">
        <f aca="false">IF(C544&gt;1,IF(C544&lt;99,VLOOKUP(C544,'Babblefish-APUMA'!$A$1:$B$86,2),C544),C544)</f>
        <v>94</v>
      </c>
    </row>
    <row r="545" customFormat="false" ht="12.75" hidden="false" customHeight="false" outlineLevel="0" collapsed="false">
      <c r="A545" s="0" t="n">
        <f aca="false">B545*1000+C545</f>
        <v>14029</v>
      </c>
      <c r="B545" s="0" t="n">
        <v>14</v>
      </c>
      <c r="C545" s="0" t="n">
        <v>29</v>
      </c>
      <c r="D545" s="0" t="n">
        <v>0</v>
      </c>
      <c r="E545" s="0" t="n">
        <f aca="false">VLOOKUP(B545,'Babblefish-APUMA'!$A$1:$B$86,2)</f>
        <v>100</v>
      </c>
      <c r="F545" s="0" t="n">
        <f aca="false">IF(C545&gt;1,IF(C545&lt;99,VLOOKUP(C545,'Babblefish-APUMA'!$A$1:$B$86,2),C545),C545)</f>
        <v>94</v>
      </c>
    </row>
    <row r="546" customFormat="false" ht="12.75" hidden="false" customHeight="false" outlineLevel="0" collapsed="false">
      <c r="A546" s="0" t="n">
        <f aca="false">B546*1000+C546</f>
        <v>14033</v>
      </c>
      <c r="B546" s="0" t="n">
        <v>14</v>
      </c>
      <c r="C546" s="0" t="n">
        <v>33</v>
      </c>
      <c r="D546" s="0" t="n">
        <v>0</v>
      </c>
      <c r="E546" s="0" t="n">
        <f aca="false">VLOOKUP(B546,'Babblefish-APUMA'!$A$1:$B$86,2)</f>
        <v>100</v>
      </c>
      <c r="F546" s="0" t="n">
        <f aca="false">IF(C546&gt;1,IF(C546&lt;99,VLOOKUP(C546,'Babblefish-APUMA'!$A$1:$B$86,2),C546),C546)</f>
        <v>96</v>
      </c>
    </row>
    <row r="547" customFormat="false" ht="12.75" hidden="false" customHeight="false" outlineLevel="0" collapsed="false">
      <c r="A547" s="0" t="n">
        <f aca="false">B547*1000+C547</f>
        <v>14034</v>
      </c>
      <c r="B547" s="0" t="n">
        <v>14</v>
      </c>
      <c r="C547" s="0" t="n">
        <v>34</v>
      </c>
      <c r="D547" s="0" t="n">
        <v>0</v>
      </c>
      <c r="E547" s="0" t="n">
        <f aca="false">VLOOKUP(B547,'Babblefish-APUMA'!$A$1:$B$86,2)</f>
        <v>100</v>
      </c>
      <c r="F547" s="0" t="n">
        <f aca="false">IF(C547&gt;1,IF(C547&lt;99,VLOOKUP(C547,'Babblefish-APUMA'!$A$1:$B$86,2),C547),C547)</f>
        <v>96</v>
      </c>
    </row>
    <row r="548" customFormat="false" ht="12.75" hidden="false" customHeight="false" outlineLevel="0" collapsed="false">
      <c r="A548" s="0" t="n">
        <f aca="false">B548*1000+C548</f>
        <v>14035</v>
      </c>
      <c r="B548" s="0" t="n">
        <v>14</v>
      </c>
      <c r="C548" s="0" t="n">
        <v>35</v>
      </c>
      <c r="D548" s="0" t="n">
        <v>156</v>
      </c>
      <c r="E548" s="0" t="n">
        <f aca="false">VLOOKUP(B548,'Babblefish-APUMA'!$A$1:$B$86,2)</f>
        <v>100</v>
      </c>
      <c r="F548" s="0" t="n">
        <f aca="false">IF(C548&gt;1,IF(C548&lt;99,VLOOKUP(C548,'Babblefish-APUMA'!$A$1:$B$86,2),C548),C548)</f>
        <v>96</v>
      </c>
    </row>
    <row r="549" customFormat="false" ht="12.75" hidden="false" customHeight="false" outlineLevel="0" collapsed="false">
      <c r="A549" s="0" t="n">
        <f aca="false">B549*1000+C549</f>
        <v>14037</v>
      </c>
      <c r="B549" s="0" t="n">
        <v>14</v>
      </c>
      <c r="C549" s="0" t="n">
        <v>37</v>
      </c>
      <c r="D549" s="0" t="n">
        <v>0</v>
      </c>
      <c r="E549" s="0" t="n">
        <f aca="false">VLOOKUP(B549,'Babblefish-APUMA'!$A$1:$B$86,2)</f>
        <v>100</v>
      </c>
      <c r="F549" s="0" t="n">
        <f aca="false">IF(C549&gt;1,IF(C549&lt;99,VLOOKUP(C549,'Babblefish-APUMA'!$A$1:$B$86,2),C549),C549)</f>
        <v>96</v>
      </c>
    </row>
    <row r="550" customFormat="false" ht="12.75" hidden="false" customHeight="false" outlineLevel="0" collapsed="false">
      <c r="A550" s="0" t="n">
        <f aca="false">B550*1000+C550</f>
        <v>14039</v>
      </c>
      <c r="B550" s="0" t="n">
        <v>14</v>
      </c>
      <c r="C550" s="0" t="n">
        <v>39</v>
      </c>
      <c r="D550" s="0" t="n">
        <v>0</v>
      </c>
      <c r="E550" s="0" t="n">
        <f aca="false">VLOOKUP(B550,'Babblefish-APUMA'!$A$1:$B$86,2)</f>
        <v>100</v>
      </c>
      <c r="F550" s="0" t="n">
        <f aca="false">IF(C550&gt;1,IF(C550&lt;99,VLOOKUP(C550,'Babblefish-APUMA'!$A$1:$B$86,2),C550),C550)</f>
        <v>91</v>
      </c>
    </row>
    <row r="551" customFormat="false" ht="12.75" hidden="false" customHeight="false" outlineLevel="0" collapsed="false">
      <c r="A551" s="0" t="n">
        <f aca="false">B551*1000+C551</f>
        <v>14040</v>
      </c>
      <c r="B551" s="0" t="n">
        <v>14</v>
      </c>
      <c r="C551" s="0" t="n">
        <v>40</v>
      </c>
      <c r="D551" s="0" t="n">
        <v>0</v>
      </c>
      <c r="E551" s="0" t="n">
        <f aca="false">VLOOKUP(B551,'Babblefish-APUMA'!$A$1:$B$86,2)</f>
        <v>100</v>
      </c>
      <c r="F551" s="0" t="n">
        <f aca="false">IF(C551&gt;1,IF(C551&lt;99,VLOOKUP(C551,'Babblefish-APUMA'!$A$1:$B$86,2),C551),C551)</f>
        <v>88</v>
      </c>
    </row>
    <row r="552" customFormat="false" ht="12.75" hidden="false" customHeight="false" outlineLevel="0" collapsed="false">
      <c r="A552" s="0" t="n">
        <f aca="false">B552*1000+C552</f>
        <v>14041</v>
      </c>
      <c r="B552" s="0" t="n">
        <v>14</v>
      </c>
      <c r="C552" s="0" t="n">
        <v>41</v>
      </c>
      <c r="D552" s="0" t="n">
        <v>0</v>
      </c>
      <c r="E552" s="0" t="n">
        <f aca="false">VLOOKUP(B552,'Babblefish-APUMA'!$A$1:$B$86,2)</f>
        <v>100</v>
      </c>
      <c r="F552" s="0" t="n">
        <f aca="false">IF(C552&gt;1,IF(C552&lt;99,VLOOKUP(C552,'Babblefish-APUMA'!$A$1:$B$86,2),C552),C552)</f>
        <v>88</v>
      </c>
    </row>
    <row r="553" customFormat="false" ht="12.75" hidden="false" customHeight="false" outlineLevel="0" collapsed="false">
      <c r="A553" s="0" t="n">
        <f aca="false">B553*1000+C553</f>
        <v>14042</v>
      </c>
      <c r="B553" s="0" t="n">
        <v>14</v>
      </c>
      <c r="C553" s="0" t="n">
        <v>42</v>
      </c>
      <c r="D553" s="0" t="n">
        <v>0</v>
      </c>
      <c r="E553" s="0" t="n">
        <f aca="false">VLOOKUP(B553,'Babblefish-APUMA'!$A$1:$B$86,2)</f>
        <v>100</v>
      </c>
      <c r="F553" s="0" t="n">
        <f aca="false">IF(C553&gt;1,IF(C553&lt;99,VLOOKUP(C553,'Babblefish-APUMA'!$A$1:$B$86,2),C553),C553)</f>
        <v>92</v>
      </c>
    </row>
    <row r="554" customFormat="false" ht="12.75" hidden="false" customHeight="false" outlineLevel="0" collapsed="false">
      <c r="A554" s="0" t="n">
        <f aca="false">B554*1000+C554</f>
        <v>14048</v>
      </c>
      <c r="B554" s="0" t="n">
        <v>14</v>
      </c>
      <c r="C554" s="0" t="n">
        <v>48</v>
      </c>
      <c r="D554" s="0" t="n">
        <v>0</v>
      </c>
      <c r="E554" s="0" t="n">
        <f aca="false">VLOOKUP(B554,'Babblefish-APUMA'!$A$1:$B$86,2)</f>
        <v>100</v>
      </c>
      <c r="F554" s="0" t="n">
        <f aca="false">IF(C554&gt;1,IF(C554&lt;99,VLOOKUP(C554,'Babblefish-APUMA'!$A$1:$B$86,2),C554),C554)</f>
        <v>92</v>
      </c>
    </row>
    <row r="555" customFormat="false" ht="12.75" hidden="false" customHeight="false" outlineLevel="0" collapsed="false">
      <c r="A555" s="0" t="n">
        <f aca="false">B555*1000+C555</f>
        <v>14049</v>
      </c>
      <c r="B555" s="0" t="n">
        <v>14</v>
      </c>
      <c r="C555" s="0" t="n">
        <v>49</v>
      </c>
      <c r="D555" s="0" t="n">
        <v>91</v>
      </c>
      <c r="E555" s="0" t="n">
        <f aca="false">VLOOKUP(B555,'Babblefish-APUMA'!$A$1:$B$86,2)</f>
        <v>100</v>
      </c>
      <c r="F555" s="0" t="n">
        <f aca="false">IF(C555&gt;1,IF(C555&lt;99,VLOOKUP(C555,'Babblefish-APUMA'!$A$1:$B$86,2),C555),C555)</f>
        <v>98</v>
      </c>
    </row>
    <row r="556" customFormat="false" ht="12.75" hidden="false" customHeight="false" outlineLevel="0" collapsed="false">
      <c r="A556" s="0" t="n">
        <f aca="false">B556*1000+C556</f>
        <v>14050</v>
      </c>
      <c r="B556" s="0" t="n">
        <v>14</v>
      </c>
      <c r="C556" s="0" t="n">
        <v>50</v>
      </c>
      <c r="D556" s="0" t="n">
        <v>0</v>
      </c>
      <c r="E556" s="0" t="n">
        <f aca="false">VLOOKUP(B556,'Babblefish-APUMA'!$A$1:$B$86,2)</f>
        <v>100</v>
      </c>
      <c r="F556" s="0" t="n">
        <f aca="false">IF(C556&gt;1,IF(C556&lt;99,VLOOKUP(C556,'Babblefish-APUMA'!$A$1:$B$86,2),C556),C556)</f>
        <v>98</v>
      </c>
    </row>
    <row r="557" customFormat="false" ht="12.75" hidden="false" customHeight="false" outlineLevel="0" collapsed="false">
      <c r="A557" s="0" t="n">
        <f aca="false">B557*1000+C557</f>
        <v>14051</v>
      </c>
      <c r="B557" s="0" t="n">
        <v>14</v>
      </c>
      <c r="C557" s="0" t="n">
        <v>51</v>
      </c>
      <c r="D557" s="0" t="n">
        <v>260</v>
      </c>
      <c r="E557" s="0" t="n">
        <f aca="false">VLOOKUP(B557,'Babblefish-APUMA'!$A$1:$B$86,2)</f>
        <v>100</v>
      </c>
      <c r="F557" s="0" t="n">
        <f aca="false">IF(C557&gt;1,IF(C557&lt;99,VLOOKUP(C557,'Babblefish-APUMA'!$A$1:$B$86,2),C557),C557)</f>
        <v>98</v>
      </c>
    </row>
    <row r="558" customFormat="false" ht="12.75" hidden="false" customHeight="false" outlineLevel="0" collapsed="false">
      <c r="A558" s="0" t="n">
        <f aca="false">B558*1000+C558</f>
        <v>14052</v>
      </c>
      <c r="B558" s="0" t="n">
        <v>14</v>
      </c>
      <c r="C558" s="0" t="n">
        <v>52</v>
      </c>
      <c r="D558" s="0" t="n">
        <v>65</v>
      </c>
      <c r="E558" s="0" t="n">
        <f aca="false">VLOOKUP(B558,'Babblefish-APUMA'!$A$1:$B$86,2)</f>
        <v>100</v>
      </c>
      <c r="F558" s="0" t="n">
        <f aca="false">IF(C558&gt;1,IF(C558&lt;99,VLOOKUP(C558,'Babblefish-APUMA'!$A$1:$B$86,2),C558),C558)</f>
        <v>90</v>
      </c>
    </row>
    <row r="559" customFormat="false" ht="12.75" hidden="false" customHeight="false" outlineLevel="0" collapsed="false">
      <c r="A559" s="0" t="n">
        <f aca="false">B559*1000+C559</f>
        <v>14053</v>
      </c>
      <c r="B559" s="0" t="n">
        <v>14</v>
      </c>
      <c r="C559" s="0" t="n">
        <v>53</v>
      </c>
      <c r="D559" s="0" t="n">
        <v>0</v>
      </c>
      <c r="E559" s="0" t="n">
        <f aca="false">VLOOKUP(B559,'Babblefish-APUMA'!$A$1:$B$86,2)</f>
        <v>100</v>
      </c>
      <c r="F559" s="0" t="n">
        <f aca="false">IF(C559&gt;1,IF(C559&lt;99,VLOOKUP(C559,'Babblefish-APUMA'!$A$1:$B$86,2),C559),C559)</f>
        <v>90</v>
      </c>
    </row>
    <row r="560" customFormat="false" ht="12.75" hidden="false" customHeight="false" outlineLevel="0" collapsed="false">
      <c r="A560" s="0" t="n">
        <f aca="false">B560*1000+C560</f>
        <v>14060</v>
      </c>
      <c r="B560" s="0" t="n">
        <v>14</v>
      </c>
      <c r="C560" s="0" t="n">
        <v>60</v>
      </c>
      <c r="D560" s="0" t="n">
        <v>0</v>
      </c>
      <c r="E560" s="0" t="n">
        <f aca="false">VLOOKUP(B560,'Babblefish-APUMA'!$A$1:$B$86,2)</f>
        <v>100</v>
      </c>
      <c r="F560" s="0" t="n">
        <f aca="false">IF(C560&gt;1,IF(C560&lt;99,VLOOKUP(C560,'Babblefish-APUMA'!$A$1:$B$86,2),C560),C560)</f>
        <v>90</v>
      </c>
    </row>
    <row r="561" customFormat="false" ht="12.75" hidden="false" customHeight="false" outlineLevel="0" collapsed="false">
      <c r="A561" s="0" t="n">
        <f aca="false">B561*1000+C561</f>
        <v>14064</v>
      </c>
      <c r="B561" s="0" t="n">
        <v>14</v>
      </c>
      <c r="C561" s="0" t="n">
        <v>64</v>
      </c>
      <c r="D561" s="0" t="n">
        <v>0</v>
      </c>
      <c r="E561" s="0" t="n">
        <f aca="false">VLOOKUP(B561,'Babblefish-APUMA'!$A$1:$B$86,2)</f>
        <v>100</v>
      </c>
      <c r="F561" s="0" t="n">
        <f aca="false">IF(C561&gt;1,IF(C561&lt;99,VLOOKUP(C561,'Babblefish-APUMA'!$A$1:$B$86,2),C561),C561)</f>
        <v>90</v>
      </c>
    </row>
    <row r="562" customFormat="false" ht="12.75" hidden="false" customHeight="false" outlineLevel="0" collapsed="false">
      <c r="A562" s="0" t="n">
        <f aca="false">B562*1000+C562</f>
        <v>14065</v>
      </c>
      <c r="B562" s="0" t="n">
        <v>14</v>
      </c>
      <c r="C562" s="0" t="n">
        <v>65</v>
      </c>
      <c r="D562" s="0" t="n">
        <v>0</v>
      </c>
      <c r="E562" s="0" t="n">
        <f aca="false">VLOOKUP(B562,'Babblefish-APUMA'!$A$1:$B$86,2)</f>
        <v>100</v>
      </c>
      <c r="F562" s="0" t="n">
        <f aca="false">IF(C562&gt;1,IF(C562&lt;99,VLOOKUP(C562,'Babblefish-APUMA'!$A$1:$B$86,2),C562),C562)</f>
        <v>90</v>
      </c>
    </row>
    <row r="563" customFormat="false" ht="12.75" hidden="false" customHeight="false" outlineLevel="0" collapsed="false">
      <c r="A563" s="0" t="n">
        <f aca="false">B563*1000+C563</f>
        <v>14067</v>
      </c>
      <c r="B563" s="0" t="n">
        <v>14</v>
      </c>
      <c r="C563" s="0" t="n">
        <v>67</v>
      </c>
      <c r="D563" s="0" t="n">
        <v>0</v>
      </c>
      <c r="E563" s="0" t="n">
        <f aca="false">VLOOKUP(B563,'Babblefish-APUMA'!$A$1:$B$86,2)</f>
        <v>100</v>
      </c>
      <c r="F563" s="0" t="n">
        <f aca="false">IF(C563&gt;1,IF(C563&lt;99,VLOOKUP(C563,'Babblefish-APUMA'!$A$1:$B$86,2),C563),C563)</f>
        <v>103</v>
      </c>
    </row>
    <row r="564" customFormat="false" ht="12.75" hidden="false" customHeight="false" outlineLevel="0" collapsed="false">
      <c r="A564" s="0" t="n">
        <f aca="false">B564*1000+C564</f>
        <v>14069</v>
      </c>
      <c r="B564" s="0" t="n">
        <v>14</v>
      </c>
      <c r="C564" s="0" t="n">
        <v>69</v>
      </c>
      <c r="D564" s="0" t="n">
        <v>130</v>
      </c>
      <c r="E564" s="0" t="n">
        <f aca="false">VLOOKUP(B564,'Babblefish-APUMA'!$A$1:$B$86,2)</f>
        <v>100</v>
      </c>
      <c r="F564" s="0" t="n">
        <f aca="false">IF(C564&gt;1,IF(C564&lt;99,VLOOKUP(C564,'Babblefish-APUMA'!$A$1:$B$86,2),C564),C564)</f>
        <v>93</v>
      </c>
    </row>
    <row r="565" customFormat="false" ht="12.75" hidden="false" customHeight="false" outlineLevel="0" collapsed="false">
      <c r="A565" s="0" t="n">
        <f aca="false">B565*1000+C565</f>
        <v>14072</v>
      </c>
      <c r="B565" s="0" t="n">
        <v>14</v>
      </c>
      <c r="C565" s="0" t="n">
        <v>72</v>
      </c>
      <c r="D565" s="0" t="n">
        <v>0</v>
      </c>
      <c r="E565" s="0" t="n">
        <f aca="false">VLOOKUP(B565,'Babblefish-APUMA'!$A$1:$B$86,2)</f>
        <v>100</v>
      </c>
      <c r="F565" s="0" t="n">
        <f aca="false">IF(C565&gt;1,IF(C565&lt;99,VLOOKUP(C565,'Babblefish-APUMA'!$A$1:$B$86,2),C565),C565)</f>
        <v>95</v>
      </c>
    </row>
    <row r="566" customFormat="false" ht="12.75" hidden="false" customHeight="false" outlineLevel="0" collapsed="false">
      <c r="A566" s="0" t="n">
        <f aca="false">B566*1000+C566</f>
        <v>14073</v>
      </c>
      <c r="B566" s="0" t="n">
        <v>14</v>
      </c>
      <c r="C566" s="0" t="n">
        <v>73</v>
      </c>
      <c r="D566" s="0" t="n">
        <v>988</v>
      </c>
      <c r="E566" s="0" t="n">
        <f aca="false">VLOOKUP(B566,'Babblefish-APUMA'!$A$1:$B$86,2)</f>
        <v>100</v>
      </c>
      <c r="F566" s="0" t="n">
        <f aca="false">IF(C566&gt;1,IF(C566&lt;99,VLOOKUP(C566,'Babblefish-APUMA'!$A$1:$B$86,2),C566),C566)</f>
        <v>99</v>
      </c>
    </row>
    <row r="567" customFormat="false" ht="12.75" hidden="false" customHeight="false" outlineLevel="0" collapsed="false">
      <c r="A567" s="0" t="n">
        <f aca="false">B567*1000+C567</f>
        <v>14075</v>
      </c>
      <c r="B567" s="0" t="n">
        <v>14</v>
      </c>
      <c r="C567" s="0" t="n">
        <v>75</v>
      </c>
      <c r="D567" s="0" t="n">
        <v>0</v>
      </c>
      <c r="E567" s="0" t="n">
        <f aca="false">VLOOKUP(B567,'Babblefish-APUMA'!$A$1:$B$86,2)</f>
        <v>100</v>
      </c>
      <c r="F567" s="0" t="n">
        <f aca="false">IF(C567&gt;1,IF(C567&lt;99,VLOOKUP(C567,'Babblefish-APUMA'!$A$1:$B$86,2),C567),C567)</f>
        <v>75</v>
      </c>
    </row>
    <row r="568" customFormat="false" ht="12.75" hidden="false" customHeight="false" outlineLevel="0" collapsed="false">
      <c r="A568" s="0" t="n">
        <f aca="false">B568*1000+C568</f>
        <v>14079</v>
      </c>
      <c r="B568" s="0" t="n">
        <v>14</v>
      </c>
      <c r="C568" s="0" t="n">
        <v>79</v>
      </c>
      <c r="D568" s="0" t="n">
        <v>0</v>
      </c>
      <c r="E568" s="0" t="n">
        <f aca="false">VLOOKUP(B568,'Babblefish-APUMA'!$A$1:$B$86,2)</f>
        <v>100</v>
      </c>
      <c r="F568" s="0" t="n">
        <f aca="false">IF(C568&gt;1,IF(C568&lt;99,VLOOKUP(C568,'Babblefish-APUMA'!$A$1:$B$86,2),C568),C568)</f>
        <v>89</v>
      </c>
    </row>
    <row r="569" customFormat="false" ht="12.75" hidden="false" customHeight="false" outlineLevel="0" collapsed="false">
      <c r="A569" s="0" t="n">
        <f aca="false">B569*1000+C569</f>
        <v>14080</v>
      </c>
      <c r="B569" s="0" t="n">
        <v>14</v>
      </c>
      <c r="C569" s="0" t="n">
        <v>80</v>
      </c>
      <c r="D569" s="0" t="n">
        <v>0</v>
      </c>
      <c r="E569" s="0" t="n">
        <f aca="false">VLOOKUP(B569,'Babblefish-APUMA'!$A$1:$B$86,2)</f>
        <v>100</v>
      </c>
      <c r="F569" s="0" t="n">
        <f aca="false">IF(C569&gt;1,IF(C569&lt;99,VLOOKUP(C569,'Babblefish-APUMA'!$A$1:$B$86,2),C569),C569)</f>
        <v>80</v>
      </c>
    </row>
    <row r="570" customFormat="false" ht="12.75" hidden="false" customHeight="false" outlineLevel="0" collapsed="false">
      <c r="A570" s="0" t="n">
        <f aca="false">B570*1000+C570</f>
        <v>14085</v>
      </c>
      <c r="B570" s="0" t="n">
        <v>14</v>
      </c>
      <c r="C570" s="0" t="n">
        <v>85</v>
      </c>
      <c r="D570" s="0" t="n">
        <v>130</v>
      </c>
      <c r="E570" s="0" t="n">
        <f aca="false">VLOOKUP(B570,'Babblefish-APUMA'!$A$1:$B$86,2)</f>
        <v>100</v>
      </c>
      <c r="F570" s="0" t="n">
        <f aca="false">IF(C570&gt;1,IF(C570&lt;99,VLOOKUP(C570,'Babblefish-APUMA'!$A$1:$B$86,2),C570),C570)</f>
        <v>97</v>
      </c>
    </row>
    <row r="571" customFormat="false" ht="12.75" hidden="false" customHeight="false" outlineLevel="0" collapsed="false">
      <c r="A571" s="0" t="n">
        <f aca="false">B571*1000+C571</f>
        <v>14999</v>
      </c>
      <c r="B571" s="0" t="n">
        <v>14</v>
      </c>
      <c r="C571" s="0" t="n">
        <v>999</v>
      </c>
      <c r="D571" s="0" t="n">
        <v>0</v>
      </c>
      <c r="E571" s="0" t="n">
        <f aca="false">VLOOKUP(B571,'Babblefish-APUMA'!$A$1:$B$86,2)</f>
        <v>100</v>
      </c>
      <c r="F571" s="0" t="n">
        <f aca="false">IF(C571&gt;1,IF(C571&lt;99,VLOOKUP(C571,'Babblefish-APUMA'!$A$1:$B$86,2),C571),C571)</f>
        <v>999</v>
      </c>
    </row>
    <row r="572" customFormat="false" ht="12.75" hidden="false" customHeight="false" outlineLevel="0" collapsed="false">
      <c r="A572" s="0" t="n">
        <f aca="false">B572*1000+C572</f>
        <v>15000</v>
      </c>
      <c r="B572" s="0" t="n">
        <v>15</v>
      </c>
      <c r="C572" s="0" t="n">
        <v>0</v>
      </c>
      <c r="D572" s="0" t="n">
        <v>103519</v>
      </c>
      <c r="E572" s="0" t="n">
        <f aca="false">VLOOKUP(B572,'Babblefish-APUMA'!$A$1:$B$86,2)</f>
        <v>15</v>
      </c>
      <c r="F572" s="0" t="n">
        <f aca="false">IF(C572&gt;1,IF(C572&lt;99,VLOOKUP(C572,'Babblefish-APUMA'!$A$1:$B$86,2),C572),C572)</f>
        <v>0</v>
      </c>
    </row>
    <row r="573" customFormat="false" ht="12.75" hidden="false" customHeight="false" outlineLevel="0" collapsed="false">
      <c r="A573" s="0" t="n">
        <f aca="false">B573*1000+C573</f>
        <v>15001</v>
      </c>
      <c r="B573" s="0" t="n">
        <v>15</v>
      </c>
      <c r="C573" s="0" t="n">
        <v>1</v>
      </c>
      <c r="D573" s="0" t="n">
        <v>0</v>
      </c>
      <c r="E573" s="0" t="n">
        <f aca="false">VLOOKUP(B573,'Babblefish-APUMA'!$A$1:$B$86,2)</f>
        <v>15</v>
      </c>
      <c r="F573" s="0" t="n">
        <f aca="false">IF(C573&gt;1,IF(C573&lt;99,VLOOKUP(C573,'Babblefish-APUMA'!$A$1:$B$86,2),C573),C573)</f>
        <v>1</v>
      </c>
    </row>
    <row r="574" customFormat="false" ht="12.75" hidden="false" customHeight="false" outlineLevel="0" collapsed="false">
      <c r="A574" s="0" t="n">
        <f aca="false">B574*1000+C574</f>
        <v>15002</v>
      </c>
      <c r="B574" s="0" t="n">
        <v>15</v>
      </c>
      <c r="C574" s="0" t="n">
        <v>2</v>
      </c>
      <c r="D574" s="0" t="n">
        <v>0</v>
      </c>
      <c r="E574" s="0" t="n">
        <f aca="false">VLOOKUP(B574,'Babblefish-APUMA'!$A$1:$B$86,2)</f>
        <v>15</v>
      </c>
      <c r="F574" s="0" t="n">
        <f aca="false">IF(C574&gt;1,IF(C574&lt;99,VLOOKUP(C574,'Babblefish-APUMA'!$A$1:$B$86,2),C574),C574)</f>
        <v>2</v>
      </c>
    </row>
    <row r="575" customFormat="false" ht="12.75" hidden="false" customHeight="false" outlineLevel="0" collapsed="false">
      <c r="A575" s="0" t="n">
        <f aca="false">B575*1000+C575</f>
        <v>15003</v>
      </c>
      <c r="B575" s="0" t="n">
        <v>15</v>
      </c>
      <c r="C575" s="0" t="n">
        <v>3</v>
      </c>
      <c r="D575" s="0" t="n">
        <v>104</v>
      </c>
      <c r="E575" s="0" t="n">
        <f aca="false">VLOOKUP(B575,'Babblefish-APUMA'!$A$1:$B$86,2)</f>
        <v>15</v>
      </c>
      <c r="F575" s="0" t="n">
        <f aca="false">IF(C575&gt;1,IF(C575&lt;99,VLOOKUP(C575,'Babblefish-APUMA'!$A$1:$B$86,2),C575),C575)</f>
        <v>3</v>
      </c>
    </row>
    <row r="576" customFormat="false" ht="12.75" hidden="false" customHeight="false" outlineLevel="0" collapsed="false">
      <c r="A576" s="0" t="n">
        <f aca="false">B576*1000+C576</f>
        <v>15004</v>
      </c>
      <c r="B576" s="0" t="n">
        <v>15</v>
      </c>
      <c r="C576" s="0" t="n">
        <v>4</v>
      </c>
      <c r="D576" s="0" t="n">
        <v>130</v>
      </c>
      <c r="E576" s="0" t="n">
        <f aca="false">VLOOKUP(B576,'Babblefish-APUMA'!$A$1:$B$86,2)</f>
        <v>15</v>
      </c>
      <c r="F576" s="0" t="n">
        <f aca="false">IF(C576&gt;1,IF(C576&lt;99,VLOOKUP(C576,'Babblefish-APUMA'!$A$1:$B$86,2),C576),C576)</f>
        <v>4</v>
      </c>
    </row>
    <row r="577" customFormat="false" ht="12.75" hidden="false" customHeight="false" outlineLevel="0" collapsed="false">
      <c r="A577" s="0" t="n">
        <f aca="false">B577*1000+C577</f>
        <v>15005</v>
      </c>
      <c r="B577" s="0" t="n">
        <v>15</v>
      </c>
      <c r="C577" s="0" t="n">
        <v>5</v>
      </c>
      <c r="D577" s="0" t="n">
        <v>0</v>
      </c>
      <c r="E577" s="0" t="n">
        <f aca="false">VLOOKUP(B577,'Babblefish-APUMA'!$A$1:$B$86,2)</f>
        <v>15</v>
      </c>
      <c r="F577" s="0" t="n">
        <f aca="false">IF(C577&gt;1,IF(C577&lt;99,VLOOKUP(C577,'Babblefish-APUMA'!$A$1:$B$86,2),C577),C577)</f>
        <v>5</v>
      </c>
    </row>
    <row r="578" customFormat="false" ht="12.75" hidden="false" customHeight="false" outlineLevel="0" collapsed="false">
      <c r="A578" s="0" t="n">
        <f aca="false">B578*1000+C578</f>
        <v>15006</v>
      </c>
      <c r="B578" s="0" t="n">
        <v>15</v>
      </c>
      <c r="C578" s="0" t="n">
        <v>6</v>
      </c>
      <c r="D578" s="0" t="n">
        <v>0</v>
      </c>
      <c r="E578" s="0" t="n">
        <f aca="false">VLOOKUP(B578,'Babblefish-APUMA'!$A$1:$B$86,2)</f>
        <v>15</v>
      </c>
      <c r="F578" s="0" t="n">
        <f aca="false">IF(C578&gt;1,IF(C578&lt;99,VLOOKUP(C578,'Babblefish-APUMA'!$A$1:$B$86,2),C578),C578)</f>
        <v>6</v>
      </c>
    </row>
    <row r="579" customFormat="false" ht="12.75" hidden="false" customHeight="false" outlineLevel="0" collapsed="false">
      <c r="A579" s="0" t="n">
        <f aca="false">B579*1000+C579</f>
        <v>15007</v>
      </c>
      <c r="B579" s="0" t="n">
        <v>15</v>
      </c>
      <c r="C579" s="0" t="n">
        <v>7</v>
      </c>
      <c r="D579" s="0" t="n">
        <v>0</v>
      </c>
      <c r="E579" s="0" t="n">
        <f aca="false">VLOOKUP(B579,'Babblefish-APUMA'!$A$1:$B$86,2)</f>
        <v>15</v>
      </c>
      <c r="F579" s="0" t="n">
        <f aca="false">IF(C579&gt;1,IF(C579&lt;99,VLOOKUP(C579,'Babblefish-APUMA'!$A$1:$B$86,2),C579),C579)</f>
        <v>7</v>
      </c>
    </row>
    <row r="580" customFormat="false" ht="12.75" hidden="false" customHeight="false" outlineLevel="0" collapsed="false">
      <c r="A580" s="0" t="n">
        <f aca="false">B580*1000+C580</f>
        <v>15008</v>
      </c>
      <c r="B580" s="0" t="n">
        <v>15</v>
      </c>
      <c r="C580" s="0" t="n">
        <v>8</v>
      </c>
      <c r="D580" s="0" t="n">
        <v>195</v>
      </c>
      <c r="E580" s="0" t="n">
        <f aca="false">VLOOKUP(B580,'Babblefish-APUMA'!$A$1:$B$86,2)</f>
        <v>15</v>
      </c>
      <c r="F580" s="0" t="n">
        <f aca="false">IF(C580&gt;1,IF(C580&lt;99,VLOOKUP(C580,'Babblefish-APUMA'!$A$1:$B$86,2),C580),C580)</f>
        <v>8</v>
      </c>
    </row>
    <row r="581" customFormat="false" ht="12.75" hidden="false" customHeight="false" outlineLevel="0" collapsed="false">
      <c r="A581" s="0" t="n">
        <f aca="false">B581*1000+C581</f>
        <v>15009</v>
      </c>
      <c r="B581" s="0" t="n">
        <v>15</v>
      </c>
      <c r="C581" s="0" t="n">
        <v>9</v>
      </c>
      <c r="D581" s="0" t="n">
        <v>104</v>
      </c>
      <c r="E581" s="0" t="n">
        <f aca="false">VLOOKUP(B581,'Babblefish-APUMA'!$A$1:$B$86,2)</f>
        <v>15</v>
      </c>
      <c r="F581" s="0" t="n">
        <f aca="false">IF(C581&gt;1,IF(C581&lt;99,VLOOKUP(C581,'Babblefish-APUMA'!$A$1:$B$86,2),C581),C581)</f>
        <v>9</v>
      </c>
    </row>
    <row r="582" customFormat="false" ht="12.75" hidden="false" customHeight="false" outlineLevel="0" collapsed="false">
      <c r="A582" s="0" t="n">
        <f aca="false">B582*1000+C582</f>
        <v>15010</v>
      </c>
      <c r="B582" s="0" t="n">
        <v>15</v>
      </c>
      <c r="C582" s="0" t="n">
        <v>10</v>
      </c>
      <c r="D582" s="0" t="n">
        <v>65</v>
      </c>
      <c r="E582" s="0" t="n">
        <f aca="false">VLOOKUP(B582,'Babblefish-APUMA'!$A$1:$B$86,2)</f>
        <v>15</v>
      </c>
      <c r="F582" s="0" t="n">
        <f aca="false">IF(C582&gt;1,IF(C582&lt;99,VLOOKUP(C582,'Babblefish-APUMA'!$A$1:$B$86,2),C582),C582)</f>
        <v>10</v>
      </c>
    </row>
    <row r="583" customFormat="false" ht="12.75" hidden="false" customHeight="false" outlineLevel="0" collapsed="false">
      <c r="A583" s="0" t="n">
        <f aca="false">B583*1000+C583</f>
        <v>15011</v>
      </c>
      <c r="B583" s="0" t="n">
        <v>15</v>
      </c>
      <c r="C583" s="0" t="n">
        <v>11</v>
      </c>
      <c r="D583" s="0" t="n">
        <v>0</v>
      </c>
      <c r="E583" s="0" t="n">
        <f aca="false">VLOOKUP(B583,'Babblefish-APUMA'!$A$1:$B$86,2)</f>
        <v>15</v>
      </c>
      <c r="F583" s="0" t="n">
        <f aca="false">IF(C583&gt;1,IF(C583&lt;99,VLOOKUP(C583,'Babblefish-APUMA'!$A$1:$B$86,2),C583),C583)</f>
        <v>11</v>
      </c>
    </row>
    <row r="584" customFormat="false" ht="12.75" hidden="false" customHeight="false" outlineLevel="0" collapsed="false">
      <c r="A584" s="0" t="n">
        <f aca="false">B584*1000+C584</f>
        <v>15012</v>
      </c>
      <c r="B584" s="0" t="n">
        <v>15</v>
      </c>
      <c r="C584" s="0" t="n">
        <v>12</v>
      </c>
      <c r="D584" s="0" t="n">
        <v>0</v>
      </c>
      <c r="E584" s="0" t="n">
        <f aca="false">VLOOKUP(B584,'Babblefish-APUMA'!$A$1:$B$86,2)</f>
        <v>15</v>
      </c>
      <c r="F584" s="0" t="n">
        <f aca="false">IF(C584&gt;1,IF(C584&lt;99,VLOOKUP(C584,'Babblefish-APUMA'!$A$1:$B$86,2),C584),C584)</f>
        <v>12</v>
      </c>
    </row>
    <row r="585" customFormat="false" ht="12.75" hidden="false" customHeight="false" outlineLevel="0" collapsed="false">
      <c r="A585" s="0" t="n">
        <f aca="false">B585*1000+C585</f>
        <v>15013</v>
      </c>
      <c r="B585" s="0" t="n">
        <v>15</v>
      </c>
      <c r="C585" s="0" t="n">
        <v>13</v>
      </c>
      <c r="D585" s="0" t="n">
        <v>494</v>
      </c>
      <c r="E585" s="0" t="n">
        <f aca="false">VLOOKUP(B585,'Babblefish-APUMA'!$A$1:$B$86,2)</f>
        <v>15</v>
      </c>
      <c r="F585" s="0" t="n">
        <f aca="false">IF(C585&gt;1,IF(C585&lt;99,VLOOKUP(C585,'Babblefish-APUMA'!$A$1:$B$86,2),C585),C585)</f>
        <v>100</v>
      </c>
    </row>
    <row r="586" customFormat="false" ht="12.75" hidden="false" customHeight="false" outlineLevel="0" collapsed="false">
      <c r="A586" s="0" t="n">
        <f aca="false">B586*1000+C586</f>
        <v>15014</v>
      </c>
      <c r="B586" s="0" t="n">
        <v>15</v>
      </c>
      <c r="C586" s="0" t="n">
        <v>14</v>
      </c>
      <c r="D586" s="0" t="n">
        <v>2535</v>
      </c>
      <c r="E586" s="0" t="n">
        <f aca="false">VLOOKUP(B586,'Babblefish-APUMA'!$A$1:$B$86,2)</f>
        <v>15</v>
      </c>
      <c r="F586" s="0" t="n">
        <f aca="false">IF(C586&gt;1,IF(C586&lt;99,VLOOKUP(C586,'Babblefish-APUMA'!$A$1:$B$86,2),C586),C586)</f>
        <v>100</v>
      </c>
    </row>
    <row r="587" customFormat="false" ht="12.75" hidden="false" customHeight="false" outlineLevel="0" collapsed="false">
      <c r="A587" s="0" t="n">
        <f aca="false">B587*1000+C587</f>
        <v>15015</v>
      </c>
      <c r="B587" s="0" t="n">
        <v>15</v>
      </c>
      <c r="C587" s="0" t="n">
        <v>15</v>
      </c>
      <c r="D587" s="0" t="n">
        <v>72592</v>
      </c>
      <c r="E587" s="0" t="n">
        <f aca="false">VLOOKUP(B587,'Babblefish-APUMA'!$A$1:$B$86,2)</f>
        <v>15</v>
      </c>
      <c r="F587" s="0" t="n">
        <f aca="false">IF(C587&gt;1,IF(C587&lt;99,VLOOKUP(C587,'Babblefish-APUMA'!$A$1:$B$86,2),C587),C587)</f>
        <v>15</v>
      </c>
    </row>
    <row r="588" customFormat="false" ht="12.75" hidden="false" customHeight="false" outlineLevel="0" collapsed="false">
      <c r="A588" s="0" t="n">
        <f aca="false">B588*1000+C588</f>
        <v>15016</v>
      </c>
      <c r="B588" s="0" t="n">
        <v>15</v>
      </c>
      <c r="C588" s="0" t="n">
        <v>16</v>
      </c>
      <c r="D588" s="0" t="n">
        <v>364</v>
      </c>
      <c r="E588" s="0" t="n">
        <f aca="false">VLOOKUP(B588,'Babblefish-APUMA'!$A$1:$B$86,2)</f>
        <v>15</v>
      </c>
      <c r="F588" s="0" t="n">
        <f aca="false">IF(C588&gt;1,IF(C588&lt;99,VLOOKUP(C588,'Babblefish-APUMA'!$A$1:$B$86,2),C588),C588)</f>
        <v>99</v>
      </c>
    </row>
    <row r="589" customFormat="false" ht="12.75" hidden="false" customHeight="false" outlineLevel="0" collapsed="false">
      <c r="A589" s="0" t="n">
        <f aca="false">B589*1000+C589</f>
        <v>15017</v>
      </c>
      <c r="B589" s="0" t="n">
        <v>15</v>
      </c>
      <c r="C589" s="0" t="n">
        <v>17</v>
      </c>
      <c r="D589" s="0" t="n">
        <v>1469</v>
      </c>
      <c r="E589" s="0" t="n">
        <f aca="false">VLOOKUP(B589,'Babblefish-APUMA'!$A$1:$B$86,2)</f>
        <v>15</v>
      </c>
      <c r="F589" s="0" t="n">
        <f aca="false">IF(C589&gt;1,IF(C589&lt;99,VLOOKUP(C589,'Babblefish-APUMA'!$A$1:$B$86,2),C589),C589)</f>
        <v>87</v>
      </c>
    </row>
    <row r="590" customFormat="false" ht="12.75" hidden="false" customHeight="false" outlineLevel="0" collapsed="false">
      <c r="A590" s="0" t="n">
        <f aca="false">B590*1000+C590</f>
        <v>15018</v>
      </c>
      <c r="B590" s="0" t="n">
        <v>15</v>
      </c>
      <c r="C590" s="0" t="n">
        <v>18</v>
      </c>
      <c r="D590" s="0" t="n">
        <v>2925</v>
      </c>
      <c r="E590" s="0" t="n">
        <f aca="false">VLOOKUP(B590,'Babblefish-APUMA'!$A$1:$B$86,2)</f>
        <v>15</v>
      </c>
      <c r="F590" s="0" t="n">
        <f aca="false">IF(C590&gt;1,IF(C590&lt;99,VLOOKUP(C590,'Babblefish-APUMA'!$A$1:$B$86,2),C590),C590)</f>
        <v>87</v>
      </c>
    </row>
    <row r="591" customFormat="false" ht="12.75" hidden="false" customHeight="false" outlineLevel="0" collapsed="false">
      <c r="A591" s="0" t="n">
        <f aca="false">B591*1000+C591</f>
        <v>15019</v>
      </c>
      <c r="B591" s="0" t="n">
        <v>15</v>
      </c>
      <c r="C591" s="0" t="n">
        <v>19</v>
      </c>
      <c r="D591" s="0" t="n">
        <v>33098</v>
      </c>
      <c r="E591" s="0" t="n">
        <f aca="false">VLOOKUP(B591,'Babblefish-APUMA'!$A$1:$B$86,2)</f>
        <v>15</v>
      </c>
      <c r="F591" s="0" t="n">
        <f aca="false">IF(C591&gt;1,IF(C591&lt;99,VLOOKUP(C591,'Babblefish-APUMA'!$A$1:$B$86,2),C591),C591)</f>
        <v>19</v>
      </c>
    </row>
    <row r="592" customFormat="false" ht="12.75" hidden="false" customHeight="false" outlineLevel="0" collapsed="false">
      <c r="A592" s="0" t="n">
        <f aca="false">B592*1000+C592</f>
        <v>15020</v>
      </c>
      <c r="B592" s="0" t="n">
        <v>15</v>
      </c>
      <c r="C592" s="0" t="n">
        <v>20</v>
      </c>
      <c r="D592" s="0" t="n">
        <v>1456</v>
      </c>
      <c r="E592" s="0" t="n">
        <f aca="false">VLOOKUP(B592,'Babblefish-APUMA'!$A$1:$B$86,2)</f>
        <v>15</v>
      </c>
      <c r="F592" s="0" t="n">
        <f aca="false">IF(C592&gt;1,IF(C592&lt;99,VLOOKUP(C592,'Babblefish-APUMA'!$A$1:$B$86,2),C592),C592)</f>
        <v>86</v>
      </c>
    </row>
    <row r="593" customFormat="false" ht="12.75" hidden="false" customHeight="false" outlineLevel="0" collapsed="false">
      <c r="A593" s="0" t="n">
        <f aca="false">B593*1000+C593</f>
        <v>15021</v>
      </c>
      <c r="B593" s="0" t="n">
        <v>15</v>
      </c>
      <c r="C593" s="0" t="n">
        <v>21</v>
      </c>
      <c r="D593" s="0" t="n">
        <v>3666</v>
      </c>
      <c r="E593" s="0" t="n">
        <f aca="false">VLOOKUP(B593,'Babblefish-APUMA'!$A$1:$B$86,2)</f>
        <v>15</v>
      </c>
      <c r="F593" s="0" t="n">
        <f aca="false">IF(C593&gt;1,IF(C593&lt;99,VLOOKUP(C593,'Babblefish-APUMA'!$A$1:$B$86,2),C593),C593)</f>
        <v>86</v>
      </c>
    </row>
    <row r="594" customFormat="false" ht="12.75" hidden="false" customHeight="false" outlineLevel="0" collapsed="false">
      <c r="A594" s="0" t="n">
        <f aca="false">B594*1000+C594</f>
        <v>15022</v>
      </c>
      <c r="B594" s="0" t="n">
        <v>15</v>
      </c>
      <c r="C594" s="0" t="n">
        <v>22</v>
      </c>
      <c r="D594" s="0" t="n">
        <v>3744</v>
      </c>
      <c r="E594" s="0" t="n">
        <f aca="false">VLOOKUP(B594,'Babblefish-APUMA'!$A$1:$B$86,2)</f>
        <v>15</v>
      </c>
      <c r="F594" s="0" t="n">
        <f aca="false">IF(C594&gt;1,IF(C594&lt;99,VLOOKUP(C594,'Babblefish-APUMA'!$A$1:$B$86,2),C594),C594)</f>
        <v>22</v>
      </c>
    </row>
    <row r="595" customFormat="false" ht="12.75" hidden="false" customHeight="false" outlineLevel="0" collapsed="false">
      <c r="A595" s="0" t="n">
        <f aca="false">B595*1000+C595</f>
        <v>15023</v>
      </c>
      <c r="B595" s="0" t="n">
        <v>15</v>
      </c>
      <c r="C595" s="0" t="n">
        <v>23</v>
      </c>
      <c r="D595" s="0" t="n">
        <v>0</v>
      </c>
      <c r="E595" s="0" t="n">
        <f aca="false">VLOOKUP(B595,'Babblefish-APUMA'!$A$1:$B$86,2)</f>
        <v>15</v>
      </c>
      <c r="F595" s="0" t="n">
        <f aca="false">IF(C595&gt;1,IF(C595&lt;99,VLOOKUP(C595,'Babblefish-APUMA'!$A$1:$B$86,2),C595),C595)</f>
        <v>97</v>
      </c>
    </row>
    <row r="596" customFormat="false" ht="12.75" hidden="false" customHeight="false" outlineLevel="0" collapsed="false">
      <c r="A596" s="0" t="n">
        <f aca="false">B596*1000+C596</f>
        <v>15024</v>
      </c>
      <c r="B596" s="0" t="n">
        <v>15</v>
      </c>
      <c r="C596" s="0" t="n">
        <v>24</v>
      </c>
      <c r="D596" s="0" t="n">
        <v>104</v>
      </c>
      <c r="E596" s="0" t="n">
        <f aca="false">VLOOKUP(B596,'Babblefish-APUMA'!$A$1:$B$86,2)</f>
        <v>15</v>
      </c>
      <c r="F596" s="0" t="n">
        <f aca="false">IF(C596&gt;1,IF(C596&lt;99,VLOOKUP(C596,'Babblefish-APUMA'!$A$1:$B$86,2),C596),C596)</f>
        <v>101</v>
      </c>
    </row>
    <row r="597" customFormat="false" ht="12.75" hidden="false" customHeight="false" outlineLevel="0" collapsed="false">
      <c r="A597" s="0" t="n">
        <f aca="false">B597*1000+C597</f>
        <v>15025</v>
      </c>
      <c r="B597" s="0" t="n">
        <v>15</v>
      </c>
      <c r="C597" s="0" t="n">
        <v>25</v>
      </c>
      <c r="D597" s="0" t="n">
        <v>0</v>
      </c>
      <c r="E597" s="0" t="n">
        <f aca="false">VLOOKUP(B597,'Babblefish-APUMA'!$A$1:$B$86,2)</f>
        <v>15</v>
      </c>
      <c r="F597" s="0" t="n">
        <f aca="false">IF(C597&gt;1,IF(C597&lt;99,VLOOKUP(C597,'Babblefish-APUMA'!$A$1:$B$86,2),C597),C597)</f>
        <v>101</v>
      </c>
    </row>
    <row r="598" customFormat="false" ht="12.75" hidden="false" customHeight="false" outlineLevel="0" collapsed="false">
      <c r="A598" s="0" t="n">
        <f aca="false">B598*1000+C598</f>
        <v>15026</v>
      </c>
      <c r="B598" s="0" t="n">
        <v>15</v>
      </c>
      <c r="C598" s="0" t="n">
        <v>26</v>
      </c>
      <c r="D598" s="0" t="n">
        <v>0</v>
      </c>
      <c r="E598" s="0" t="n">
        <f aca="false">VLOOKUP(B598,'Babblefish-APUMA'!$A$1:$B$86,2)</f>
        <v>15</v>
      </c>
      <c r="F598" s="0" t="n">
        <f aca="false">IF(C598&gt;1,IF(C598&lt;99,VLOOKUP(C598,'Babblefish-APUMA'!$A$1:$B$86,2),C598),C598)</f>
        <v>26</v>
      </c>
    </row>
    <row r="599" customFormat="false" ht="12.75" hidden="false" customHeight="false" outlineLevel="0" collapsed="false">
      <c r="A599" s="0" t="n">
        <f aca="false">B599*1000+C599</f>
        <v>15028</v>
      </c>
      <c r="B599" s="0" t="n">
        <v>15</v>
      </c>
      <c r="C599" s="0" t="n">
        <v>28</v>
      </c>
      <c r="D599" s="0" t="n">
        <v>325</v>
      </c>
      <c r="E599" s="0" t="n">
        <f aca="false">VLOOKUP(B599,'Babblefish-APUMA'!$A$1:$B$86,2)</f>
        <v>15</v>
      </c>
      <c r="F599" s="0" t="n">
        <f aca="false">IF(C599&gt;1,IF(C599&lt;99,VLOOKUP(C599,'Babblefish-APUMA'!$A$1:$B$86,2),C599),C599)</f>
        <v>94</v>
      </c>
    </row>
    <row r="600" customFormat="false" ht="12.75" hidden="false" customHeight="false" outlineLevel="0" collapsed="false">
      <c r="A600" s="0" t="n">
        <f aca="false">B600*1000+C600</f>
        <v>15029</v>
      </c>
      <c r="B600" s="0" t="n">
        <v>15</v>
      </c>
      <c r="C600" s="0" t="n">
        <v>29</v>
      </c>
      <c r="D600" s="0" t="n">
        <v>0</v>
      </c>
      <c r="E600" s="0" t="n">
        <f aca="false">VLOOKUP(B600,'Babblefish-APUMA'!$A$1:$B$86,2)</f>
        <v>15</v>
      </c>
      <c r="F600" s="0" t="n">
        <f aca="false">IF(C600&gt;1,IF(C600&lt;99,VLOOKUP(C600,'Babblefish-APUMA'!$A$1:$B$86,2),C600),C600)</f>
        <v>94</v>
      </c>
    </row>
    <row r="601" customFormat="false" ht="12.75" hidden="false" customHeight="false" outlineLevel="0" collapsed="false">
      <c r="A601" s="0" t="n">
        <f aca="false">B601*1000+C601</f>
        <v>15033</v>
      </c>
      <c r="B601" s="0" t="n">
        <v>15</v>
      </c>
      <c r="C601" s="0" t="n">
        <v>33</v>
      </c>
      <c r="D601" s="0" t="n">
        <v>0</v>
      </c>
      <c r="E601" s="0" t="n">
        <f aca="false">VLOOKUP(B601,'Babblefish-APUMA'!$A$1:$B$86,2)</f>
        <v>15</v>
      </c>
      <c r="F601" s="0" t="n">
        <f aca="false">IF(C601&gt;1,IF(C601&lt;99,VLOOKUP(C601,'Babblefish-APUMA'!$A$1:$B$86,2),C601),C601)</f>
        <v>96</v>
      </c>
    </row>
    <row r="602" customFormat="false" ht="12.75" hidden="false" customHeight="false" outlineLevel="0" collapsed="false">
      <c r="A602" s="0" t="n">
        <f aca="false">B602*1000+C602</f>
        <v>15034</v>
      </c>
      <c r="B602" s="0" t="n">
        <v>15</v>
      </c>
      <c r="C602" s="0" t="n">
        <v>34</v>
      </c>
      <c r="D602" s="0" t="n">
        <v>0</v>
      </c>
      <c r="E602" s="0" t="n">
        <f aca="false">VLOOKUP(B602,'Babblefish-APUMA'!$A$1:$B$86,2)</f>
        <v>15</v>
      </c>
      <c r="F602" s="0" t="n">
        <f aca="false">IF(C602&gt;1,IF(C602&lt;99,VLOOKUP(C602,'Babblefish-APUMA'!$A$1:$B$86,2),C602),C602)</f>
        <v>96</v>
      </c>
    </row>
    <row r="603" customFormat="false" ht="12.75" hidden="false" customHeight="false" outlineLevel="0" collapsed="false">
      <c r="A603" s="0" t="n">
        <f aca="false">B603*1000+C603</f>
        <v>15035</v>
      </c>
      <c r="B603" s="0" t="n">
        <v>15</v>
      </c>
      <c r="C603" s="0" t="n">
        <v>35</v>
      </c>
      <c r="D603" s="0" t="n">
        <v>0</v>
      </c>
      <c r="E603" s="0" t="n">
        <f aca="false">VLOOKUP(B603,'Babblefish-APUMA'!$A$1:$B$86,2)</f>
        <v>15</v>
      </c>
      <c r="F603" s="0" t="n">
        <f aca="false">IF(C603&gt;1,IF(C603&lt;99,VLOOKUP(C603,'Babblefish-APUMA'!$A$1:$B$86,2),C603),C603)</f>
        <v>96</v>
      </c>
    </row>
    <row r="604" customFormat="false" ht="12.75" hidden="false" customHeight="false" outlineLevel="0" collapsed="false">
      <c r="A604" s="0" t="n">
        <f aca="false">B604*1000+C604</f>
        <v>15037</v>
      </c>
      <c r="B604" s="0" t="n">
        <v>15</v>
      </c>
      <c r="C604" s="0" t="n">
        <v>37</v>
      </c>
      <c r="D604" s="0" t="n">
        <v>156</v>
      </c>
      <c r="E604" s="0" t="n">
        <f aca="false">VLOOKUP(B604,'Babblefish-APUMA'!$A$1:$B$86,2)</f>
        <v>15</v>
      </c>
      <c r="F604" s="0" t="n">
        <f aca="false">IF(C604&gt;1,IF(C604&lt;99,VLOOKUP(C604,'Babblefish-APUMA'!$A$1:$B$86,2),C604),C604)</f>
        <v>96</v>
      </c>
    </row>
    <row r="605" customFormat="false" ht="12.75" hidden="false" customHeight="false" outlineLevel="0" collapsed="false">
      <c r="A605" s="0" t="n">
        <f aca="false">B605*1000+C605</f>
        <v>15039</v>
      </c>
      <c r="B605" s="0" t="n">
        <v>15</v>
      </c>
      <c r="C605" s="0" t="n">
        <v>39</v>
      </c>
      <c r="D605" s="0" t="n">
        <v>0</v>
      </c>
      <c r="E605" s="0" t="n">
        <f aca="false">VLOOKUP(B605,'Babblefish-APUMA'!$A$1:$B$86,2)</f>
        <v>15</v>
      </c>
      <c r="F605" s="0" t="n">
        <f aca="false">IF(C605&gt;1,IF(C605&lt;99,VLOOKUP(C605,'Babblefish-APUMA'!$A$1:$B$86,2),C605),C605)</f>
        <v>91</v>
      </c>
    </row>
    <row r="606" customFormat="false" ht="12.75" hidden="false" customHeight="false" outlineLevel="0" collapsed="false">
      <c r="A606" s="0" t="n">
        <f aca="false">B606*1000+C606</f>
        <v>15040</v>
      </c>
      <c r="B606" s="0" t="n">
        <v>15</v>
      </c>
      <c r="C606" s="0" t="n">
        <v>40</v>
      </c>
      <c r="D606" s="0" t="n">
        <v>0</v>
      </c>
      <c r="E606" s="0" t="n">
        <f aca="false">VLOOKUP(B606,'Babblefish-APUMA'!$A$1:$B$86,2)</f>
        <v>15</v>
      </c>
      <c r="F606" s="0" t="n">
        <f aca="false">IF(C606&gt;1,IF(C606&lt;99,VLOOKUP(C606,'Babblefish-APUMA'!$A$1:$B$86,2),C606),C606)</f>
        <v>88</v>
      </c>
    </row>
    <row r="607" customFormat="false" ht="12.75" hidden="false" customHeight="false" outlineLevel="0" collapsed="false">
      <c r="A607" s="0" t="n">
        <f aca="false">B607*1000+C607</f>
        <v>15041</v>
      </c>
      <c r="B607" s="0" t="n">
        <v>15</v>
      </c>
      <c r="C607" s="0" t="n">
        <v>41</v>
      </c>
      <c r="D607" s="0" t="n">
        <v>91</v>
      </c>
      <c r="E607" s="0" t="n">
        <f aca="false">VLOOKUP(B607,'Babblefish-APUMA'!$A$1:$B$86,2)</f>
        <v>15</v>
      </c>
      <c r="F607" s="0" t="n">
        <f aca="false">IF(C607&gt;1,IF(C607&lt;99,VLOOKUP(C607,'Babblefish-APUMA'!$A$1:$B$86,2),C607),C607)</f>
        <v>88</v>
      </c>
    </row>
    <row r="608" customFormat="false" ht="12.75" hidden="false" customHeight="false" outlineLevel="0" collapsed="false">
      <c r="A608" s="0" t="n">
        <f aca="false">B608*1000+C608</f>
        <v>15042</v>
      </c>
      <c r="B608" s="0" t="n">
        <v>15</v>
      </c>
      <c r="C608" s="0" t="n">
        <v>42</v>
      </c>
      <c r="D608" s="0" t="n">
        <v>0</v>
      </c>
      <c r="E608" s="0" t="n">
        <f aca="false">VLOOKUP(B608,'Babblefish-APUMA'!$A$1:$B$86,2)</f>
        <v>15</v>
      </c>
      <c r="F608" s="0" t="n">
        <f aca="false">IF(C608&gt;1,IF(C608&lt;99,VLOOKUP(C608,'Babblefish-APUMA'!$A$1:$B$86,2),C608),C608)</f>
        <v>92</v>
      </c>
    </row>
    <row r="609" customFormat="false" ht="12.75" hidden="false" customHeight="false" outlineLevel="0" collapsed="false">
      <c r="A609" s="0" t="n">
        <f aca="false">B609*1000+C609</f>
        <v>15048</v>
      </c>
      <c r="B609" s="0" t="n">
        <v>15</v>
      </c>
      <c r="C609" s="0" t="n">
        <v>48</v>
      </c>
      <c r="D609" s="0" t="n">
        <v>0</v>
      </c>
      <c r="E609" s="0" t="n">
        <f aca="false">VLOOKUP(B609,'Babblefish-APUMA'!$A$1:$B$86,2)</f>
        <v>15</v>
      </c>
      <c r="F609" s="0" t="n">
        <f aca="false">IF(C609&gt;1,IF(C609&lt;99,VLOOKUP(C609,'Babblefish-APUMA'!$A$1:$B$86,2),C609),C609)</f>
        <v>92</v>
      </c>
    </row>
    <row r="610" customFormat="false" ht="12.75" hidden="false" customHeight="false" outlineLevel="0" collapsed="false">
      <c r="A610" s="0" t="n">
        <f aca="false">B610*1000+C610</f>
        <v>15049</v>
      </c>
      <c r="B610" s="0" t="n">
        <v>15</v>
      </c>
      <c r="C610" s="0" t="n">
        <v>49</v>
      </c>
      <c r="D610" s="0" t="n">
        <v>143</v>
      </c>
      <c r="E610" s="0" t="n">
        <f aca="false">VLOOKUP(B610,'Babblefish-APUMA'!$A$1:$B$86,2)</f>
        <v>15</v>
      </c>
      <c r="F610" s="0" t="n">
        <f aca="false">IF(C610&gt;1,IF(C610&lt;99,VLOOKUP(C610,'Babblefish-APUMA'!$A$1:$B$86,2),C610),C610)</f>
        <v>98</v>
      </c>
    </row>
    <row r="611" customFormat="false" ht="12.75" hidden="false" customHeight="false" outlineLevel="0" collapsed="false">
      <c r="A611" s="0" t="n">
        <f aca="false">B611*1000+C611</f>
        <v>15050</v>
      </c>
      <c r="B611" s="0" t="n">
        <v>15</v>
      </c>
      <c r="C611" s="0" t="n">
        <v>50</v>
      </c>
      <c r="D611" s="0" t="n">
        <v>208</v>
      </c>
      <c r="E611" s="0" t="n">
        <f aca="false">VLOOKUP(B611,'Babblefish-APUMA'!$A$1:$B$86,2)</f>
        <v>15</v>
      </c>
      <c r="F611" s="0" t="n">
        <f aca="false">IF(C611&gt;1,IF(C611&lt;99,VLOOKUP(C611,'Babblefish-APUMA'!$A$1:$B$86,2),C611),C611)</f>
        <v>98</v>
      </c>
    </row>
    <row r="612" customFormat="false" ht="12.75" hidden="false" customHeight="false" outlineLevel="0" collapsed="false">
      <c r="A612" s="0" t="n">
        <f aca="false">B612*1000+C612</f>
        <v>15051</v>
      </c>
      <c r="B612" s="0" t="n">
        <v>15</v>
      </c>
      <c r="C612" s="0" t="n">
        <v>51</v>
      </c>
      <c r="D612" s="0" t="n">
        <v>0</v>
      </c>
      <c r="E612" s="0" t="n">
        <f aca="false">VLOOKUP(B612,'Babblefish-APUMA'!$A$1:$B$86,2)</f>
        <v>15</v>
      </c>
      <c r="F612" s="0" t="n">
        <f aca="false">IF(C612&gt;1,IF(C612&lt;99,VLOOKUP(C612,'Babblefish-APUMA'!$A$1:$B$86,2),C612),C612)</f>
        <v>98</v>
      </c>
    </row>
    <row r="613" customFormat="false" ht="12.75" hidden="false" customHeight="false" outlineLevel="0" collapsed="false">
      <c r="A613" s="0" t="n">
        <f aca="false">B613*1000+C613</f>
        <v>15052</v>
      </c>
      <c r="B613" s="0" t="n">
        <v>15</v>
      </c>
      <c r="C613" s="0" t="n">
        <v>52</v>
      </c>
      <c r="D613" s="0" t="n">
        <v>0</v>
      </c>
      <c r="E613" s="0" t="n">
        <f aca="false">VLOOKUP(B613,'Babblefish-APUMA'!$A$1:$B$86,2)</f>
        <v>15</v>
      </c>
      <c r="F613" s="0" t="n">
        <f aca="false">IF(C613&gt;1,IF(C613&lt;99,VLOOKUP(C613,'Babblefish-APUMA'!$A$1:$B$86,2),C613),C613)</f>
        <v>90</v>
      </c>
    </row>
    <row r="614" customFormat="false" ht="12.75" hidden="false" customHeight="false" outlineLevel="0" collapsed="false">
      <c r="A614" s="0" t="n">
        <f aca="false">B614*1000+C614</f>
        <v>15053</v>
      </c>
      <c r="B614" s="0" t="n">
        <v>15</v>
      </c>
      <c r="C614" s="0" t="n">
        <v>53</v>
      </c>
      <c r="D614" s="0" t="n">
        <v>0</v>
      </c>
      <c r="E614" s="0" t="n">
        <f aca="false">VLOOKUP(B614,'Babblefish-APUMA'!$A$1:$B$86,2)</f>
        <v>15</v>
      </c>
      <c r="F614" s="0" t="n">
        <f aca="false">IF(C614&gt;1,IF(C614&lt;99,VLOOKUP(C614,'Babblefish-APUMA'!$A$1:$B$86,2),C614),C614)</f>
        <v>90</v>
      </c>
    </row>
    <row r="615" customFormat="false" ht="12.75" hidden="false" customHeight="false" outlineLevel="0" collapsed="false">
      <c r="A615" s="0" t="n">
        <f aca="false">B615*1000+C615</f>
        <v>15060</v>
      </c>
      <c r="B615" s="0" t="n">
        <v>15</v>
      </c>
      <c r="C615" s="0" t="n">
        <v>60</v>
      </c>
      <c r="D615" s="0" t="n">
        <v>0</v>
      </c>
      <c r="E615" s="0" t="n">
        <f aca="false">VLOOKUP(B615,'Babblefish-APUMA'!$A$1:$B$86,2)</f>
        <v>15</v>
      </c>
      <c r="F615" s="0" t="n">
        <f aca="false">IF(C615&gt;1,IF(C615&lt;99,VLOOKUP(C615,'Babblefish-APUMA'!$A$1:$B$86,2),C615),C615)</f>
        <v>90</v>
      </c>
    </row>
    <row r="616" customFormat="false" ht="12.75" hidden="false" customHeight="false" outlineLevel="0" collapsed="false">
      <c r="A616" s="0" t="n">
        <f aca="false">B616*1000+C616</f>
        <v>15064</v>
      </c>
      <c r="B616" s="0" t="n">
        <v>15</v>
      </c>
      <c r="C616" s="0" t="n">
        <v>64</v>
      </c>
      <c r="D616" s="0" t="n">
        <v>104</v>
      </c>
      <c r="E616" s="0" t="n">
        <f aca="false">VLOOKUP(B616,'Babblefish-APUMA'!$A$1:$B$86,2)</f>
        <v>15</v>
      </c>
      <c r="F616" s="0" t="n">
        <f aca="false">IF(C616&gt;1,IF(C616&lt;99,VLOOKUP(C616,'Babblefish-APUMA'!$A$1:$B$86,2),C616),C616)</f>
        <v>90</v>
      </c>
    </row>
    <row r="617" customFormat="false" ht="12.75" hidden="false" customHeight="false" outlineLevel="0" collapsed="false">
      <c r="A617" s="0" t="n">
        <f aca="false">B617*1000+C617</f>
        <v>15065</v>
      </c>
      <c r="B617" s="0" t="n">
        <v>15</v>
      </c>
      <c r="C617" s="0" t="n">
        <v>65</v>
      </c>
      <c r="D617" s="0" t="n">
        <v>143</v>
      </c>
      <c r="E617" s="0" t="n">
        <f aca="false">VLOOKUP(B617,'Babblefish-APUMA'!$A$1:$B$86,2)</f>
        <v>15</v>
      </c>
      <c r="F617" s="0" t="n">
        <f aca="false">IF(C617&gt;1,IF(C617&lt;99,VLOOKUP(C617,'Babblefish-APUMA'!$A$1:$B$86,2),C617),C617)</f>
        <v>90</v>
      </c>
    </row>
    <row r="618" customFormat="false" ht="12.75" hidden="false" customHeight="false" outlineLevel="0" collapsed="false">
      <c r="A618" s="0" t="n">
        <f aca="false">B618*1000+C618</f>
        <v>15067</v>
      </c>
      <c r="B618" s="0" t="n">
        <v>15</v>
      </c>
      <c r="C618" s="0" t="n">
        <v>67</v>
      </c>
      <c r="D618" s="0" t="n">
        <v>0</v>
      </c>
      <c r="E618" s="0" t="n">
        <f aca="false">VLOOKUP(B618,'Babblefish-APUMA'!$A$1:$B$86,2)</f>
        <v>15</v>
      </c>
      <c r="F618" s="0" t="n">
        <f aca="false">IF(C618&gt;1,IF(C618&lt;99,VLOOKUP(C618,'Babblefish-APUMA'!$A$1:$B$86,2),C618),C618)</f>
        <v>103</v>
      </c>
    </row>
    <row r="619" customFormat="false" ht="12.75" hidden="false" customHeight="false" outlineLevel="0" collapsed="false">
      <c r="A619" s="0" t="n">
        <f aca="false">B619*1000+C619</f>
        <v>15069</v>
      </c>
      <c r="B619" s="0" t="n">
        <v>15</v>
      </c>
      <c r="C619" s="0" t="n">
        <v>69</v>
      </c>
      <c r="D619" s="0" t="n">
        <v>0</v>
      </c>
      <c r="E619" s="0" t="n">
        <f aca="false">VLOOKUP(B619,'Babblefish-APUMA'!$A$1:$B$86,2)</f>
        <v>15</v>
      </c>
      <c r="F619" s="0" t="n">
        <f aca="false">IF(C619&gt;1,IF(C619&lt;99,VLOOKUP(C619,'Babblefish-APUMA'!$A$1:$B$86,2),C619),C619)</f>
        <v>93</v>
      </c>
    </row>
    <row r="620" customFormat="false" ht="12.75" hidden="false" customHeight="false" outlineLevel="0" collapsed="false">
      <c r="A620" s="0" t="n">
        <f aca="false">B620*1000+C620</f>
        <v>15072</v>
      </c>
      <c r="B620" s="0" t="n">
        <v>15</v>
      </c>
      <c r="C620" s="0" t="n">
        <v>72</v>
      </c>
      <c r="D620" s="0" t="n">
        <v>0</v>
      </c>
      <c r="E620" s="0" t="n">
        <f aca="false">VLOOKUP(B620,'Babblefish-APUMA'!$A$1:$B$86,2)</f>
        <v>15</v>
      </c>
      <c r="F620" s="0" t="n">
        <f aca="false">IF(C620&gt;1,IF(C620&lt;99,VLOOKUP(C620,'Babblefish-APUMA'!$A$1:$B$86,2),C620),C620)</f>
        <v>95</v>
      </c>
    </row>
    <row r="621" customFormat="false" ht="12.75" hidden="false" customHeight="false" outlineLevel="0" collapsed="false">
      <c r="A621" s="0" t="n">
        <f aca="false">B621*1000+C621</f>
        <v>15073</v>
      </c>
      <c r="B621" s="0" t="n">
        <v>15</v>
      </c>
      <c r="C621" s="0" t="n">
        <v>73</v>
      </c>
      <c r="D621" s="0" t="n">
        <v>663</v>
      </c>
      <c r="E621" s="0" t="n">
        <f aca="false">VLOOKUP(B621,'Babblefish-APUMA'!$A$1:$B$86,2)</f>
        <v>15</v>
      </c>
      <c r="F621" s="0" t="n">
        <f aca="false">IF(C621&gt;1,IF(C621&lt;99,VLOOKUP(C621,'Babblefish-APUMA'!$A$1:$B$86,2),C621),C621)</f>
        <v>99</v>
      </c>
    </row>
    <row r="622" customFormat="false" ht="12.75" hidden="false" customHeight="false" outlineLevel="0" collapsed="false">
      <c r="A622" s="0" t="n">
        <f aca="false">B622*1000+C622</f>
        <v>15075</v>
      </c>
      <c r="B622" s="0" t="n">
        <v>15</v>
      </c>
      <c r="C622" s="0" t="n">
        <v>75</v>
      </c>
      <c r="D622" s="0" t="n">
        <v>0</v>
      </c>
      <c r="E622" s="0" t="n">
        <f aca="false">VLOOKUP(B622,'Babblefish-APUMA'!$A$1:$B$86,2)</f>
        <v>15</v>
      </c>
      <c r="F622" s="0" t="n">
        <f aca="false">IF(C622&gt;1,IF(C622&lt;99,VLOOKUP(C622,'Babblefish-APUMA'!$A$1:$B$86,2),C622),C622)</f>
        <v>75</v>
      </c>
    </row>
    <row r="623" customFormat="false" ht="12.75" hidden="false" customHeight="false" outlineLevel="0" collapsed="false">
      <c r="A623" s="0" t="n">
        <f aca="false">B623*1000+C623</f>
        <v>15079</v>
      </c>
      <c r="B623" s="0" t="n">
        <v>15</v>
      </c>
      <c r="C623" s="0" t="n">
        <v>79</v>
      </c>
      <c r="D623" s="0" t="n">
        <v>0</v>
      </c>
      <c r="E623" s="0" t="n">
        <f aca="false">VLOOKUP(B623,'Babblefish-APUMA'!$A$1:$B$86,2)</f>
        <v>15</v>
      </c>
      <c r="F623" s="0" t="n">
        <f aca="false">IF(C623&gt;1,IF(C623&lt;99,VLOOKUP(C623,'Babblefish-APUMA'!$A$1:$B$86,2),C623),C623)</f>
        <v>89</v>
      </c>
    </row>
    <row r="624" customFormat="false" ht="12.75" hidden="false" customHeight="false" outlineLevel="0" collapsed="false">
      <c r="A624" s="0" t="n">
        <f aca="false">B624*1000+C624</f>
        <v>15080</v>
      </c>
      <c r="B624" s="0" t="n">
        <v>15</v>
      </c>
      <c r="C624" s="0" t="n">
        <v>80</v>
      </c>
      <c r="D624" s="0" t="n">
        <v>0</v>
      </c>
      <c r="E624" s="0" t="n">
        <f aca="false">VLOOKUP(B624,'Babblefish-APUMA'!$A$1:$B$86,2)</f>
        <v>15</v>
      </c>
      <c r="F624" s="0" t="n">
        <f aca="false">IF(C624&gt;1,IF(C624&lt;99,VLOOKUP(C624,'Babblefish-APUMA'!$A$1:$B$86,2),C624),C624)</f>
        <v>80</v>
      </c>
    </row>
    <row r="625" customFormat="false" ht="12.75" hidden="false" customHeight="false" outlineLevel="0" collapsed="false">
      <c r="A625" s="0" t="n">
        <f aca="false">B625*1000+C625</f>
        <v>15085</v>
      </c>
      <c r="B625" s="0" t="n">
        <v>15</v>
      </c>
      <c r="C625" s="0" t="n">
        <v>85</v>
      </c>
      <c r="D625" s="0" t="n">
        <v>0</v>
      </c>
      <c r="E625" s="0" t="n">
        <f aca="false">VLOOKUP(B625,'Babblefish-APUMA'!$A$1:$B$86,2)</f>
        <v>15</v>
      </c>
      <c r="F625" s="0" t="n">
        <f aca="false">IF(C625&gt;1,IF(C625&lt;99,VLOOKUP(C625,'Babblefish-APUMA'!$A$1:$B$86,2),C625),C625)</f>
        <v>97</v>
      </c>
    </row>
    <row r="626" customFormat="false" ht="12.75" hidden="false" customHeight="false" outlineLevel="0" collapsed="false">
      <c r="A626" s="0" t="n">
        <f aca="false">B626*1000+C626</f>
        <v>15999</v>
      </c>
      <c r="B626" s="0" t="n">
        <v>15</v>
      </c>
      <c r="C626" s="0" t="n">
        <v>999</v>
      </c>
      <c r="D626" s="0" t="n">
        <v>533</v>
      </c>
      <c r="E626" s="0" t="n">
        <f aca="false">VLOOKUP(B626,'Babblefish-APUMA'!$A$1:$B$86,2)</f>
        <v>15</v>
      </c>
      <c r="F626" s="0" t="n">
        <f aca="false">IF(C626&gt;1,IF(C626&lt;99,VLOOKUP(C626,'Babblefish-APUMA'!$A$1:$B$86,2),C626),C626)</f>
        <v>999</v>
      </c>
    </row>
    <row r="627" customFormat="false" ht="12.75" hidden="false" customHeight="false" outlineLevel="0" collapsed="false">
      <c r="A627" s="0" t="n">
        <f aca="false">B627*1000+C627</f>
        <v>16000</v>
      </c>
      <c r="B627" s="0" t="n">
        <v>16</v>
      </c>
      <c r="C627" s="0" t="n">
        <v>0</v>
      </c>
      <c r="D627" s="0" t="n">
        <v>125190</v>
      </c>
      <c r="E627" s="0" t="n">
        <f aca="false">VLOOKUP(B627,'Babblefish-APUMA'!$A$1:$B$86,2)</f>
        <v>99</v>
      </c>
      <c r="F627" s="0" t="n">
        <f aca="false">IF(C627&gt;1,IF(C627&lt;99,VLOOKUP(C627,'Babblefish-APUMA'!$A$1:$B$86,2),C627),C627)</f>
        <v>0</v>
      </c>
    </row>
    <row r="628" customFormat="false" ht="12.75" hidden="false" customHeight="false" outlineLevel="0" collapsed="false">
      <c r="A628" s="0" t="n">
        <f aca="false">B628*1000+C628</f>
        <v>16001</v>
      </c>
      <c r="B628" s="0" t="n">
        <v>16</v>
      </c>
      <c r="C628" s="0" t="n">
        <v>1</v>
      </c>
      <c r="D628" s="0" t="n">
        <v>91</v>
      </c>
      <c r="E628" s="0" t="n">
        <f aca="false">VLOOKUP(B628,'Babblefish-APUMA'!$A$1:$B$86,2)</f>
        <v>99</v>
      </c>
      <c r="F628" s="0" t="n">
        <f aca="false">IF(C628&gt;1,IF(C628&lt;99,VLOOKUP(C628,'Babblefish-APUMA'!$A$1:$B$86,2),C628),C628)</f>
        <v>1</v>
      </c>
    </row>
    <row r="629" customFormat="false" ht="12.75" hidden="false" customHeight="false" outlineLevel="0" collapsed="false">
      <c r="A629" s="0" t="n">
        <f aca="false">B629*1000+C629</f>
        <v>16002</v>
      </c>
      <c r="B629" s="0" t="n">
        <v>16</v>
      </c>
      <c r="C629" s="0" t="n">
        <v>2</v>
      </c>
      <c r="D629" s="0" t="n">
        <v>0</v>
      </c>
      <c r="E629" s="0" t="n">
        <f aca="false">VLOOKUP(B629,'Babblefish-APUMA'!$A$1:$B$86,2)</f>
        <v>99</v>
      </c>
      <c r="F629" s="0" t="n">
        <f aca="false">IF(C629&gt;1,IF(C629&lt;99,VLOOKUP(C629,'Babblefish-APUMA'!$A$1:$B$86,2),C629),C629)</f>
        <v>2</v>
      </c>
    </row>
    <row r="630" customFormat="false" ht="12.75" hidden="false" customHeight="false" outlineLevel="0" collapsed="false">
      <c r="A630" s="0" t="n">
        <f aca="false">B630*1000+C630</f>
        <v>16003</v>
      </c>
      <c r="B630" s="0" t="n">
        <v>16</v>
      </c>
      <c r="C630" s="0" t="n">
        <v>3</v>
      </c>
      <c r="D630" s="0" t="n">
        <v>0</v>
      </c>
      <c r="E630" s="0" t="n">
        <f aca="false">VLOOKUP(B630,'Babblefish-APUMA'!$A$1:$B$86,2)</f>
        <v>99</v>
      </c>
      <c r="F630" s="0" t="n">
        <f aca="false">IF(C630&gt;1,IF(C630&lt;99,VLOOKUP(C630,'Babblefish-APUMA'!$A$1:$B$86,2),C630),C630)</f>
        <v>3</v>
      </c>
    </row>
    <row r="631" customFormat="false" ht="12.75" hidden="false" customHeight="false" outlineLevel="0" collapsed="false">
      <c r="A631" s="0" t="n">
        <f aca="false">B631*1000+C631</f>
        <v>16004</v>
      </c>
      <c r="B631" s="0" t="n">
        <v>16</v>
      </c>
      <c r="C631" s="0" t="n">
        <v>4</v>
      </c>
      <c r="D631" s="0" t="n">
        <v>0</v>
      </c>
      <c r="E631" s="0" t="n">
        <f aca="false">VLOOKUP(B631,'Babblefish-APUMA'!$A$1:$B$86,2)</f>
        <v>99</v>
      </c>
      <c r="F631" s="0" t="n">
        <f aca="false">IF(C631&gt;1,IF(C631&lt;99,VLOOKUP(C631,'Babblefish-APUMA'!$A$1:$B$86,2),C631),C631)</f>
        <v>4</v>
      </c>
    </row>
    <row r="632" customFormat="false" ht="12.75" hidden="false" customHeight="false" outlineLevel="0" collapsed="false">
      <c r="A632" s="0" t="n">
        <f aca="false">B632*1000+C632</f>
        <v>16005</v>
      </c>
      <c r="B632" s="0" t="n">
        <v>16</v>
      </c>
      <c r="C632" s="0" t="n">
        <v>5</v>
      </c>
      <c r="D632" s="0" t="n">
        <v>0</v>
      </c>
      <c r="E632" s="0" t="n">
        <f aca="false">VLOOKUP(B632,'Babblefish-APUMA'!$A$1:$B$86,2)</f>
        <v>99</v>
      </c>
      <c r="F632" s="0" t="n">
        <f aca="false">IF(C632&gt;1,IF(C632&lt;99,VLOOKUP(C632,'Babblefish-APUMA'!$A$1:$B$86,2),C632),C632)</f>
        <v>5</v>
      </c>
    </row>
    <row r="633" customFormat="false" ht="12.75" hidden="false" customHeight="false" outlineLevel="0" collapsed="false">
      <c r="A633" s="0" t="n">
        <f aca="false">B633*1000+C633</f>
        <v>16006</v>
      </c>
      <c r="B633" s="0" t="n">
        <v>16</v>
      </c>
      <c r="C633" s="0" t="n">
        <v>6</v>
      </c>
      <c r="D633" s="0" t="n">
        <v>0</v>
      </c>
      <c r="E633" s="0" t="n">
        <f aca="false">VLOOKUP(B633,'Babblefish-APUMA'!$A$1:$B$86,2)</f>
        <v>99</v>
      </c>
      <c r="F633" s="0" t="n">
        <f aca="false">IF(C633&gt;1,IF(C633&lt;99,VLOOKUP(C633,'Babblefish-APUMA'!$A$1:$B$86,2),C633),C633)</f>
        <v>6</v>
      </c>
    </row>
    <row r="634" customFormat="false" ht="12.75" hidden="false" customHeight="false" outlineLevel="0" collapsed="false">
      <c r="A634" s="0" t="n">
        <f aca="false">B634*1000+C634</f>
        <v>16007</v>
      </c>
      <c r="B634" s="0" t="n">
        <v>16</v>
      </c>
      <c r="C634" s="0" t="n">
        <v>7</v>
      </c>
      <c r="D634" s="0" t="n">
        <v>0</v>
      </c>
      <c r="E634" s="0" t="n">
        <f aca="false">VLOOKUP(B634,'Babblefish-APUMA'!$A$1:$B$86,2)</f>
        <v>99</v>
      </c>
      <c r="F634" s="0" t="n">
        <f aca="false">IF(C634&gt;1,IF(C634&lt;99,VLOOKUP(C634,'Babblefish-APUMA'!$A$1:$B$86,2),C634),C634)</f>
        <v>7</v>
      </c>
    </row>
    <row r="635" customFormat="false" ht="12.75" hidden="false" customHeight="false" outlineLevel="0" collapsed="false">
      <c r="A635" s="0" t="n">
        <f aca="false">B635*1000+C635</f>
        <v>16008</v>
      </c>
      <c r="B635" s="0" t="n">
        <v>16</v>
      </c>
      <c r="C635" s="0" t="n">
        <v>8</v>
      </c>
      <c r="D635" s="0" t="n">
        <v>104</v>
      </c>
      <c r="E635" s="0" t="n">
        <f aca="false">VLOOKUP(B635,'Babblefish-APUMA'!$A$1:$B$86,2)</f>
        <v>99</v>
      </c>
      <c r="F635" s="0" t="n">
        <f aca="false">IF(C635&gt;1,IF(C635&lt;99,VLOOKUP(C635,'Babblefish-APUMA'!$A$1:$B$86,2),C635),C635)</f>
        <v>8</v>
      </c>
    </row>
    <row r="636" customFormat="false" ht="12.75" hidden="false" customHeight="false" outlineLevel="0" collapsed="false">
      <c r="A636" s="0" t="n">
        <f aca="false">B636*1000+C636</f>
        <v>16009</v>
      </c>
      <c r="B636" s="0" t="n">
        <v>16</v>
      </c>
      <c r="C636" s="0" t="n">
        <v>9</v>
      </c>
      <c r="D636" s="0" t="n">
        <v>2691</v>
      </c>
      <c r="E636" s="0" t="n">
        <f aca="false">VLOOKUP(B636,'Babblefish-APUMA'!$A$1:$B$86,2)</f>
        <v>99</v>
      </c>
      <c r="F636" s="0" t="n">
        <f aca="false">IF(C636&gt;1,IF(C636&lt;99,VLOOKUP(C636,'Babblefish-APUMA'!$A$1:$B$86,2),C636),C636)</f>
        <v>9</v>
      </c>
    </row>
    <row r="637" customFormat="false" ht="12.75" hidden="false" customHeight="false" outlineLevel="0" collapsed="false">
      <c r="A637" s="0" t="n">
        <f aca="false">B637*1000+C637</f>
        <v>16010</v>
      </c>
      <c r="B637" s="0" t="n">
        <v>16</v>
      </c>
      <c r="C637" s="0" t="n">
        <v>10</v>
      </c>
      <c r="D637" s="0" t="n">
        <v>2691</v>
      </c>
      <c r="E637" s="0" t="n">
        <f aca="false">VLOOKUP(B637,'Babblefish-APUMA'!$A$1:$B$86,2)</f>
        <v>99</v>
      </c>
      <c r="F637" s="0" t="n">
        <f aca="false">IF(C637&gt;1,IF(C637&lt;99,VLOOKUP(C637,'Babblefish-APUMA'!$A$1:$B$86,2),C637),C637)</f>
        <v>10</v>
      </c>
    </row>
    <row r="638" customFormat="false" ht="12.75" hidden="false" customHeight="false" outlineLevel="0" collapsed="false">
      <c r="A638" s="0" t="n">
        <f aca="false">B638*1000+C638</f>
        <v>16011</v>
      </c>
      <c r="B638" s="0" t="n">
        <v>16</v>
      </c>
      <c r="C638" s="0" t="n">
        <v>11</v>
      </c>
      <c r="D638" s="0" t="n">
        <v>260</v>
      </c>
      <c r="E638" s="0" t="n">
        <f aca="false">VLOOKUP(B638,'Babblefish-APUMA'!$A$1:$B$86,2)</f>
        <v>99</v>
      </c>
      <c r="F638" s="0" t="n">
        <f aca="false">IF(C638&gt;1,IF(C638&lt;99,VLOOKUP(C638,'Babblefish-APUMA'!$A$1:$B$86,2),C638),C638)</f>
        <v>11</v>
      </c>
    </row>
    <row r="639" customFormat="false" ht="12.75" hidden="false" customHeight="false" outlineLevel="0" collapsed="false">
      <c r="A639" s="0" t="n">
        <f aca="false">B639*1000+C639</f>
        <v>16012</v>
      </c>
      <c r="B639" s="0" t="n">
        <v>16</v>
      </c>
      <c r="C639" s="0" t="n">
        <v>12</v>
      </c>
      <c r="D639" s="0" t="n">
        <v>0</v>
      </c>
      <c r="E639" s="0" t="n">
        <f aca="false">VLOOKUP(B639,'Babblefish-APUMA'!$A$1:$B$86,2)</f>
        <v>99</v>
      </c>
      <c r="F639" s="0" t="n">
        <f aca="false">IF(C639&gt;1,IF(C639&lt;99,VLOOKUP(C639,'Babblefish-APUMA'!$A$1:$B$86,2),C639),C639)</f>
        <v>12</v>
      </c>
    </row>
    <row r="640" customFormat="false" ht="12.75" hidden="false" customHeight="false" outlineLevel="0" collapsed="false">
      <c r="A640" s="0" t="n">
        <f aca="false">B640*1000+C640</f>
        <v>16013</v>
      </c>
      <c r="B640" s="0" t="n">
        <v>16</v>
      </c>
      <c r="C640" s="0" t="n">
        <v>13</v>
      </c>
      <c r="D640" s="0" t="n">
        <v>0</v>
      </c>
      <c r="E640" s="0" t="n">
        <f aca="false">VLOOKUP(B640,'Babblefish-APUMA'!$A$1:$B$86,2)</f>
        <v>99</v>
      </c>
      <c r="F640" s="0" t="n">
        <f aca="false">IF(C640&gt;1,IF(C640&lt;99,VLOOKUP(C640,'Babblefish-APUMA'!$A$1:$B$86,2),C640),C640)</f>
        <v>100</v>
      </c>
    </row>
    <row r="641" customFormat="false" ht="12.75" hidden="false" customHeight="false" outlineLevel="0" collapsed="false">
      <c r="A641" s="0" t="n">
        <f aca="false">B641*1000+C641</f>
        <v>16014</v>
      </c>
      <c r="B641" s="0" t="n">
        <v>16</v>
      </c>
      <c r="C641" s="0" t="n">
        <v>14</v>
      </c>
      <c r="D641" s="0" t="n">
        <v>520</v>
      </c>
      <c r="E641" s="0" t="n">
        <f aca="false">VLOOKUP(B641,'Babblefish-APUMA'!$A$1:$B$86,2)</f>
        <v>99</v>
      </c>
      <c r="F641" s="0" t="n">
        <f aca="false">IF(C641&gt;1,IF(C641&lt;99,VLOOKUP(C641,'Babblefish-APUMA'!$A$1:$B$86,2),C641),C641)</f>
        <v>100</v>
      </c>
    </row>
    <row r="642" customFormat="false" ht="12.75" hidden="false" customHeight="false" outlineLevel="0" collapsed="false">
      <c r="A642" s="0" t="n">
        <f aca="false">B642*1000+C642</f>
        <v>16015</v>
      </c>
      <c r="B642" s="0" t="n">
        <v>16</v>
      </c>
      <c r="C642" s="0" t="n">
        <v>15</v>
      </c>
      <c r="D642" s="0" t="n">
        <v>923</v>
      </c>
      <c r="E642" s="0" t="n">
        <f aca="false">VLOOKUP(B642,'Babblefish-APUMA'!$A$1:$B$86,2)</f>
        <v>99</v>
      </c>
      <c r="F642" s="0" t="n">
        <f aca="false">IF(C642&gt;1,IF(C642&lt;99,VLOOKUP(C642,'Babblefish-APUMA'!$A$1:$B$86,2),C642),C642)</f>
        <v>15</v>
      </c>
    </row>
    <row r="643" customFormat="false" ht="12.75" hidden="false" customHeight="false" outlineLevel="0" collapsed="false">
      <c r="A643" s="0" t="n">
        <f aca="false">B643*1000+C643</f>
        <v>16016</v>
      </c>
      <c r="B643" s="0" t="n">
        <v>16</v>
      </c>
      <c r="C643" s="0" t="n">
        <v>16</v>
      </c>
      <c r="D643" s="0" t="n">
        <v>64883</v>
      </c>
      <c r="E643" s="0" t="n">
        <f aca="false">VLOOKUP(B643,'Babblefish-APUMA'!$A$1:$B$86,2)</f>
        <v>99</v>
      </c>
      <c r="F643" s="0" t="n">
        <f aca="false">IF(C643&gt;1,IF(C643&lt;99,VLOOKUP(C643,'Babblefish-APUMA'!$A$1:$B$86,2),C643),C643)</f>
        <v>99</v>
      </c>
    </row>
    <row r="644" customFormat="false" ht="12.75" hidden="false" customHeight="false" outlineLevel="0" collapsed="false">
      <c r="A644" s="0" t="n">
        <f aca="false">B644*1000+C644</f>
        <v>16017</v>
      </c>
      <c r="B644" s="0" t="n">
        <v>16</v>
      </c>
      <c r="C644" s="0" t="n">
        <v>17</v>
      </c>
      <c r="D644" s="0" t="n">
        <v>2600</v>
      </c>
      <c r="E644" s="0" t="n">
        <f aca="false">VLOOKUP(B644,'Babblefish-APUMA'!$A$1:$B$86,2)</f>
        <v>99</v>
      </c>
      <c r="F644" s="0" t="n">
        <f aca="false">IF(C644&gt;1,IF(C644&lt;99,VLOOKUP(C644,'Babblefish-APUMA'!$A$1:$B$86,2),C644),C644)</f>
        <v>87</v>
      </c>
    </row>
    <row r="645" customFormat="false" ht="12.75" hidden="false" customHeight="false" outlineLevel="0" collapsed="false">
      <c r="A645" s="0" t="n">
        <f aca="false">B645*1000+C645</f>
        <v>16018</v>
      </c>
      <c r="B645" s="0" t="n">
        <v>16</v>
      </c>
      <c r="C645" s="0" t="n">
        <v>18</v>
      </c>
      <c r="D645" s="0" t="n">
        <v>12350</v>
      </c>
      <c r="E645" s="0" t="n">
        <f aca="false">VLOOKUP(B645,'Babblefish-APUMA'!$A$1:$B$86,2)</f>
        <v>99</v>
      </c>
      <c r="F645" s="0" t="n">
        <f aca="false">IF(C645&gt;1,IF(C645&lt;99,VLOOKUP(C645,'Babblefish-APUMA'!$A$1:$B$86,2),C645),C645)</f>
        <v>87</v>
      </c>
    </row>
    <row r="646" customFormat="false" ht="12.75" hidden="false" customHeight="false" outlineLevel="0" collapsed="false">
      <c r="A646" s="0" t="n">
        <f aca="false">B646*1000+C646</f>
        <v>16019</v>
      </c>
      <c r="B646" s="0" t="n">
        <v>16</v>
      </c>
      <c r="C646" s="0" t="n">
        <v>19</v>
      </c>
      <c r="D646" s="0" t="n">
        <v>3835</v>
      </c>
      <c r="E646" s="0" t="n">
        <f aca="false">VLOOKUP(B646,'Babblefish-APUMA'!$A$1:$B$86,2)</f>
        <v>99</v>
      </c>
      <c r="F646" s="0" t="n">
        <f aca="false">IF(C646&gt;1,IF(C646&lt;99,VLOOKUP(C646,'Babblefish-APUMA'!$A$1:$B$86,2),C646),C646)</f>
        <v>19</v>
      </c>
    </row>
    <row r="647" customFormat="false" ht="12.75" hidden="false" customHeight="false" outlineLevel="0" collapsed="false">
      <c r="A647" s="0" t="n">
        <f aca="false">B647*1000+C647</f>
        <v>16020</v>
      </c>
      <c r="B647" s="0" t="n">
        <v>16</v>
      </c>
      <c r="C647" s="0" t="n">
        <v>20</v>
      </c>
      <c r="D647" s="0" t="n">
        <v>1196</v>
      </c>
      <c r="E647" s="0" t="n">
        <f aca="false">VLOOKUP(B647,'Babblefish-APUMA'!$A$1:$B$86,2)</f>
        <v>99</v>
      </c>
      <c r="F647" s="0" t="n">
        <f aca="false">IF(C647&gt;1,IF(C647&lt;99,VLOOKUP(C647,'Babblefish-APUMA'!$A$1:$B$86,2),C647),C647)</f>
        <v>86</v>
      </c>
    </row>
    <row r="648" customFormat="false" ht="12.75" hidden="false" customHeight="false" outlineLevel="0" collapsed="false">
      <c r="A648" s="0" t="n">
        <f aca="false">B648*1000+C648</f>
        <v>16021</v>
      </c>
      <c r="B648" s="0" t="n">
        <v>16</v>
      </c>
      <c r="C648" s="0" t="n">
        <v>21</v>
      </c>
      <c r="D648" s="0" t="n">
        <v>3107</v>
      </c>
      <c r="E648" s="0" t="n">
        <f aca="false">VLOOKUP(B648,'Babblefish-APUMA'!$A$1:$B$86,2)</f>
        <v>99</v>
      </c>
      <c r="F648" s="0" t="n">
        <f aca="false">IF(C648&gt;1,IF(C648&lt;99,VLOOKUP(C648,'Babblefish-APUMA'!$A$1:$B$86,2),C648),C648)</f>
        <v>86</v>
      </c>
    </row>
    <row r="649" customFormat="false" ht="12.75" hidden="false" customHeight="false" outlineLevel="0" collapsed="false">
      <c r="A649" s="0" t="n">
        <f aca="false">B649*1000+C649</f>
        <v>16022</v>
      </c>
      <c r="B649" s="0" t="n">
        <v>16</v>
      </c>
      <c r="C649" s="0" t="n">
        <v>22</v>
      </c>
      <c r="D649" s="0" t="n">
        <v>1495</v>
      </c>
      <c r="E649" s="0" t="n">
        <f aca="false">VLOOKUP(B649,'Babblefish-APUMA'!$A$1:$B$86,2)</f>
        <v>99</v>
      </c>
      <c r="F649" s="0" t="n">
        <f aca="false">IF(C649&gt;1,IF(C649&lt;99,VLOOKUP(C649,'Babblefish-APUMA'!$A$1:$B$86,2),C649),C649)</f>
        <v>22</v>
      </c>
    </row>
    <row r="650" customFormat="false" ht="12.75" hidden="false" customHeight="false" outlineLevel="0" collapsed="false">
      <c r="A650" s="0" t="n">
        <f aca="false">B650*1000+C650</f>
        <v>16023</v>
      </c>
      <c r="B650" s="0" t="n">
        <v>16</v>
      </c>
      <c r="C650" s="0" t="n">
        <v>23</v>
      </c>
      <c r="D650" s="0" t="n">
        <v>91</v>
      </c>
      <c r="E650" s="0" t="n">
        <f aca="false">VLOOKUP(B650,'Babblefish-APUMA'!$A$1:$B$86,2)</f>
        <v>99</v>
      </c>
      <c r="F650" s="0" t="n">
        <f aca="false">IF(C650&gt;1,IF(C650&lt;99,VLOOKUP(C650,'Babblefish-APUMA'!$A$1:$B$86,2),C650),C650)</f>
        <v>97</v>
      </c>
    </row>
    <row r="651" customFormat="false" ht="12.75" hidden="false" customHeight="false" outlineLevel="0" collapsed="false">
      <c r="A651" s="0" t="n">
        <f aca="false">B651*1000+C651</f>
        <v>16024</v>
      </c>
      <c r="B651" s="0" t="n">
        <v>16</v>
      </c>
      <c r="C651" s="0" t="n">
        <v>24</v>
      </c>
      <c r="D651" s="0" t="n">
        <v>91</v>
      </c>
      <c r="E651" s="0" t="n">
        <f aca="false">VLOOKUP(B651,'Babblefish-APUMA'!$A$1:$B$86,2)</f>
        <v>99</v>
      </c>
      <c r="F651" s="0" t="n">
        <f aca="false">IF(C651&gt;1,IF(C651&lt;99,VLOOKUP(C651,'Babblefish-APUMA'!$A$1:$B$86,2),C651),C651)</f>
        <v>101</v>
      </c>
    </row>
    <row r="652" customFormat="false" ht="12.75" hidden="false" customHeight="false" outlineLevel="0" collapsed="false">
      <c r="A652" s="0" t="n">
        <f aca="false">B652*1000+C652</f>
        <v>16025</v>
      </c>
      <c r="B652" s="0" t="n">
        <v>16</v>
      </c>
      <c r="C652" s="0" t="n">
        <v>25</v>
      </c>
      <c r="D652" s="0" t="n">
        <v>0</v>
      </c>
      <c r="E652" s="0" t="n">
        <f aca="false">VLOOKUP(B652,'Babblefish-APUMA'!$A$1:$B$86,2)</f>
        <v>99</v>
      </c>
      <c r="F652" s="0" t="n">
        <f aca="false">IF(C652&gt;1,IF(C652&lt;99,VLOOKUP(C652,'Babblefish-APUMA'!$A$1:$B$86,2),C652),C652)</f>
        <v>101</v>
      </c>
    </row>
    <row r="653" customFormat="false" ht="12.75" hidden="false" customHeight="false" outlineLevel="0" collapsed="false">
      <c r="A653" s="0" t="n">
        <f aca="false">B653*1000+C653</f>
        <v>16026</v>
      </c>
      <c r="B653" s="0" t="n">
        <v>16</v>
      </c>
      <c r="C653" s="0" t="n">
        <v>26</v>
      </c>
      <c r="D653" s="0" t="n">
        <v>0</v>
      </c>
      <c r="E653" s="0" t="n">
        <f aca="false">VLOOKUP(B653,'Babblefish-APUMA'!$A$1:$B$86,2)</f>
        <v>99</v>
      </c>
      <c r="F653" s="0" t="n">
        <f aca="false">IF(C653&gt;1,IF(C653&lt;99,VLOOKUP(C653,'Babblefish-APUMA'!$A$1:$B$86,2),C653),C653)</f>
        <v>26</v>
      </c>
    </row>
    <row r="654" customFormat="false" ht="12.75" hidden="false" customHeight="false" outlineLevel="0" collapsed="false">
      <c r="A654" s="0" t="n">
        <f aca="false">B654*1000+C654</f>
        <v>16027</v>
      </c>
      <c r="B654" s="0" t="n">
        <v>16</v>
      </c>
      <c r="C654" s="0" t="n">
        <v>27</v>
      </c>
      <c r="D654" s="0" t="n">
        <v>65</v>
      </c>
      <c r="E654" s="0" t="n">
        <f aca="false">VLOOKUP(B654,'Babblefish-APUMA'!$A$1:$B$86,2)</f>
        <v>99</v>
      </c>
      <c r="F654" s="0" t="n">
        <f aca="false">IF(C654&gt;1,IF(C654&lt;99,VLOOKUP(C654,'Babblefish-APUMA'!$A$1:$B$86,2),C654),C654)</f>
        <v>27</v>
      </c>
    </row>
    <row r="655" customFormat="false" ht="12.75" hidden="false" customHeight="false" outlineLevel="0" collapsed="false">
      <c r="A655" s="0" t="n">
        <f aca="false">B655*1000+C655</f>
        <v>16028</v>
      </c>
      <c r="B655" s="0" t="n">
        <v>16</v>
      </c>
      <c r="C655" s="0" t="n">
        <v>28</v>
      </c>
      <c r="D655" s="0" t="n">
        <v>3081</v>
      </c>
      <c r="E655" s="0" t="n">
        <f aca="false">VLOOKUP(B655,'Babblefish-APUMA'!$A$1:$B$86,2)</f>
        <v>99</v>
      </c>
      <c r="F655" s="0" t="n">
        <f aca="false">IF(C655&gt;1,IF(C655&lt;99,VLOOKUP(C655,'Babblefish-APUMA'!$A$1:$B$86,2),C655),C655)</f>
        <v>94</v>
      </c>
    </row>
    <row r="656" customFormat="false" ht="12.75" hidden="false" customHeight="false" outlineLevel="0" collapsed="false">
      <c r="A656" s="0" t="n">
        <f aca="false">B656*1000+C656</f>
        <v>16029</v>
      </c>
      <c r="B656" s="0" t="n">
        <v>16</v>
      </c>
      <c r="C656" s="0" t="n">
        <v>29</v>
      </c>
      <c r="D656" s="0" t="n">
        <v>546</v>
      </c>
      <c r="E656" s="0" t="n">
        <f aca="false">VLOOKUP(B656,'Babblefish-APUMA'!$A$1:$B$86,2)</f>
        <v>99</v>
      </c>
      <c r="F656" s="0" t="n">
        <f aca="false">IF(C656&gt;1,IF(C656&lt;99,VLOOKUP(C656,'Babblefish-APUMA'!$A$1:$B$86,2),C656),C656)</f>
        <v>94</v>
      </c>
    </row>
    <row r="657" customFormat="false" ht="12.75" hidden="false" customHeight="false" outlineLevel="0" collapsed="false">
      <c r="A657" s="0" t="n">
        <f aca="false">B657*1000+C657</f>
        <v>16030</v>
      </c>
      <c r="B657" s="0" t="n">
        <v>16</v>
      </c>
      <c r="C657" s="0" t="n">
        <v>30</v>
      </c>
      <c r="D657" s="0" t="n">
        <v>52</v>
      </c>
      <c r="E657" s="0" t="n">
        <f aca="false">VLOOKUP(B657,'Babblefish-APUMA'!$A$1:$B$86,2)</f>
        <v>99</v>
      </c>
      <c r="F657" s="0" t="n">
        <f aca="false">IF(C657&gt;1,IF(C657&lt;99,VLOOKUP(C657,'Babblefish-APUMA'!$A$1:$B$86,2),C657),C657)</f>
        <v>30</v>
      </c>
    </row>
    <row r="658" customFormat="false" ht="12.75" hidden="false" customHeight="false" outlineLevel="0" collapsed="false">
      <c r="A658" s="0" t="n">
        <f aca="false">B658*1000+C658</f>
        <v>16033</v>
      </c>
      <c r="B658" s="0" t="n">
        <v>16</v>
      </c>
      <c r="C658" s="0" t="n">
        <v>33</v>
      </c>
      <c r="D658" s="0" t="n">
        <v>0</v>
      </c>
      <c r="E658" s="0" t="n">
        <f aca="false">VLOOKUP(B658,'Babblefish-APUMA'!$A$1:$B$86,2)</f>
        <v>99</v>
      </c>
      <c r="F658" s="0" t="n">
        <f aca="false">IF(C658&gt;1,IF(C658&lt;99,VLOOKUP(C658,'Babblefish-APUMA'!$A$1:$B$86,2),C658),C658)</f>
        <v>96</v>
      </c>
    </row>
    <row r="659" customFormat="false" ht="12.75" hidden="false" customHeight="false" outlineLevel="0" collapsed="false">
      <c r="A659" s="0" t="n">
        <f aca="false">B659*1000+C659</f>
        <v>16034</v>
      </c>
      <c r="B659" s="0" t="n">
        <v>16</v>
      </c>
      <c r="C659" s="0" t="n">
        <v>34</v>
      </c>
      <c r="D659" s="0" t="n">
        <v>0</v>
      </c>
      <c r="E659" s="0" t="n">
        <f aca="false">VLOOKUP(B659,'Babblefish-APUMA'!$A$1:$B$86,2)</f>
        <v>99</v>
      </c>
      <c r="F659" s="0" t="n">
        <f aca="false">IF(C659&gt;1,IF(C659&lt;99,VLOOKUP(C659,'Babblefish-APUMA'!$A$1:$B$86,2),C659),C659)</f>
        <v>96</v>
      </c>
    </row>
    <row r="660" customFormat="false" ht="12.75" hidden="false" customHeight="false" outlineLevel="0" collapsed="false">
      <c r="A660" s="0" t="n">
        <f aca="false">B660*1000+C660</f>
        <v>16035</v>
      </c>
      <c r="B660" s="0" t="n">
        <v>16</v>
      </c>
      <c r="C660" s="0" t="n">
        <v>35</v>
      </c>
      <c r="D660" s="0" t="n">
        <v>0</v>
      </c>
      <c r="E660" s="0" t="n">
        <f aca="false">VLOOKUP(B660,'Babblefish-APUMA'!$A$1:$B$86,2)</f>
        <v>99</v>
      </c>
      <c r="F660" s="0" t="n">
        <f aca="false">IF(C660&gt;1,IF(C660&lt;99,VLOOKUP(C660,'Babblefish-APUMA'!$A$1:$B$86,2),C660),C660)</f>
        <v>96</v>
      </c>
    </row>
    <row r="661" customFormat="false" ht="12.75" hidden="false" customHeight="false" outlineLevel="0" collapsed="false">
      <c r="A661" s="0" t="n">
        <f aca="false">B661*1000+C661</f>
        <v>16037</v>
      </c>
      <c r="B661" s="0" t="n">
        <v>16</v>
      </c>
      <c r="C661" s="0" t="n">
        <v>37</v>
      </c>
      <c r="D661" s="0" t="n">
        <v>0</v>
      </c>
      <c r="E661" s="0" t="n">
        <f aca="false">VLOOKUP(B661,'Babblefish-APUMA'!$A$1:$B$86,2)</f>
        <v>99</v>
      </c>
      <c r="F661" s="0" t="n">
        <f aca="false">IF(C661&gt;1,IF(C661&lt;99,VLOOKUP(C661,'Babblefish-APUMA'!$A$1:$B$86,2),C661),C661)</f>
        <v>96</v>
      </c>
    </row>
    <row r="662" customFormat="false" ht="12.75" hidden="false" customHeight="false" outlineLevel="0" collapsed="false">
      <c r="A662" s="0" t="n">
        <f aca="false">B662*1000+C662</f>
        <v>16039</v>
      </c>
      <c r="B662" s="0" t="n">
        <v>16</v>
      </c>
      <c r="C662" s="0" t="n">
        <v>39</v>
      </c>
      <c r="D662" s="0" t="n">
        <v>78</v>
      </c>
      <c r="E662" s="0" t="n">
        <f aca="false">VLOOKUP(B662,'Babblefish-APUMA'!$A$1:$B$86,2)</f>
        <v>99</v>
      </c>
      <c r="F662" s="0" t="n">
        <f aca="false">IF(C662&gt;1,IF(C662&lt;99,VLOOKUP(C662,'Babblefish-APUMA'!$A$1:$B$86,2),C662),C662)</f>
        <v>91</v>
      </c>
    </row>
    <row r="663" customFormat="false" ht="12.75" hidden="false" customHeight="false" outlineLevel="0" collapsed="false">
      <c r="A663" s="0" t="n">
        <f aca="false">B663*1000+C663</f>
        <v>16040</v>
      </c>
      <c r="B663" s="0" t="n">
        <v>16</v>
      </c>
      <c r="C663" s="0" t="n">
        <v>40</v>
      </c>
      <c r="D663" s="0" t="n">
        <v>0</v>
      </c>
      <c r="E663" s="0" t="n">
        <f aca="false">VLOOKUP(B663,'Babblefish-APUMA'!$A$1:$B$86,2)</f>
        <v>99</v>
      </c>
      <c r="F663" s="0" t="n">
        <f aca="false">IF(C663&gt;1,IF(C663&lt;99,VLOOKUP(C663,'Babblefish-APUMA'!$A$1:$B$86,2),C663),C663)</f>
        <v>88</v>
      </c>
    </row>
    <row r="664" customFormat="false" ht="12.75" hidden="false" customHeight="false" outlineLevel="0" collapsed="false">
      <c r="A664" s="0" t="n">
        <f aca="false">B664*1000+C664</f>
        <v>16041</v>
      </c>
      <c r="B664" s="0" t="n">
        <v>16</v>
      </c>
      <c r="C664" s="0" t="n">
        <v>41</v>
      </c>
      <c r="D664" s="0" t="n">
        <v>0</v>
      </c>
      <c r="E664" s="0" t="n">
        <f aca="false">VLOOKUP(B664,'Babblefish-APUMA'!$A$1:$B$86,2)</f>
        <v>99</v>
      </c>
      <c r="F664" s="0" t="n">
        <f aca="false">IF(C664&gt;1,IF(C664&lt;99,VLOOKUP(C664,'Babblefish-APUMA'!$A$1:$B$86,2),C664),C664)</f>
        <v>88</v>
      </c>
    </row>
    <row r="665" customFormat="false" ht="12.75" hidden="false" customHeight="false" outlineLevel="0" collapsed="false">
      <c r="A665" s="0" t="n">
        <f aca="false">B665*1000+C665</f>
        <v>16042</v>
      </c>
      <c r="B665" s="0" t="n">
        <v>16</v>
      </c>
      <c r="C665" s="0" t="n">
        <v>42</v>
      </c>
      <c r="D665" s="0" t="n">
        <v>0</v>
      </c>
      <c r="E665" s="0" t="n">
        <f aca="false">VLOOKUP(B665,'Babblefish-APUMA'!$A$1:$B$86,2)</f>
        <v>99</v>
      </c>
      <c r="F665" s="0" t="n">
        <f aca="false">IF(C665&gt;1,IF(C665&lt;99,VLOOKUP(C665,'Babblefish-APUMA'!$A$1:$B$86,2),C665),C665)</f>
        <v>92</v>
      </c>
    </row>
    <row r="666" customFormat="false" ht="12.75" hidden="false" customHeight="false" outlineLevel="0" collapsed="false">
      <c r="A666" s="0" t="n">
        <f aca="false">B666*1000+C666</f>
        <v>16048</v>
      </c>
      <c r="B666" s="0" t="n">
        <v>16</v>
      </c>
      <c r="C666" s="0" t="n">
        <v>48</v>
      </c>
      <c r="D666" s="0" t="n">
        <v>0</v>
      </c>
      <c r="E666" s="0" t="n">
        <f aca="false">VLOOKUP(B666,'Babblefish-APUMA'!$A$1:$B$86,2)</f>
        <v>99</v>
      </c>
      <c r="F666" s="0" t="n">
        <f aca="false">IF(C666&gt;1,IF(C666&lt;99,VLOOKUP(C666,'Babblefish-APUMA'!$A$1:$B$86,2),C666),C666)</f>
        <v>92</v>
      </c>
    </row>
    <row r="667" customFormat="false" ht="12.75" hidden="false" customHeight="false" outlineLevel="0" collapsed="false">
      <c r="A667" s="0" t="n">
        <f aca="false">B667*1000+C667</f>
        <v>16049</v>
      </c>
      <c r="B667" s="0" t="n">
        <v>16</v>
      </c>
      <c r="C667" s="0" t="n">
        <v>49</v>
      </c>
      <c r="D667" s="0" t="n">
        <v>273</v>
      </c>
      <c r="E667" s="0" t="n">
        <f aca="false">VLOOKUP(B667,'Babblefish-APUMA'!$A$1:$B$86,2)</f>
        <v>99</v>
      </c>
      <c r="F667" s="0" t="n">
        <f aca="false">IF(C667&gt;1,IF(C667&lt;99,VLOOKUP(C667,'Babblefish-APUMA'!$A$1:$B$86,2),C667),C667)</f>
        <v>98</v>
      </c>
    </row>
    <row r="668" customFormat="false" ht="12.75" hidden="false" customHeight="false" outlineLevel="0" collapsed="false">
      <c r="A668" s="0" t="n">
        <f aca="false">B668*1000+C668</f>
        <v>16050</v>
      </c>
      <c r="B668" s="0" t="n">
        <v>16</v>
      </c>
      <c r="C668" s="0" t="n">
        <v>50</v>
      </c>
      <c r="D668" s="0" t="n">
        <v>0</v>
      </c>
      <c r="E668" s="0" t="n">
        <f aca="false">VLOOKUP(B668,'Babblefish-APUMA'!$A$1:$B$86,2)</f>
        <v>99</v>
      </c>
      <c r="F668" s="0" t="n">
        <f aca="false">IF(C668&gt;1,IF(C668&lt;99,VLOOKUP(C668,'Babblefish-APUMA'!$A$1:$B$86,2),C668),C668)</f>
        <v>98</v>
      </c>
    </row>
    <row r="669" customFormat="false" ht="12.75" hidden="false" customHeight="false" outlineLevel="0" collapsed="false">
      <c r="A669" s="0" t="n">
        <f aca="false">B669*1000+C669</f>
        <v>16051</v>
      </c>
      <c r="B669" s="0" t="n">
        <v>16</v>
      </c>
      <c r="C669" s="0" t="n">
        <v>51</v>
      </c>
      <c r="D669" s="0" t="n">
        <v>169</v>
      </c>
      <c r="E669" s="0" t="n">
        <f aca="false">VLOOKUP(B669,'Babblefish-APUMA'!$A$1:$B$86,2)</f>
        <v>99</v>
      </c>
      <c r="F669" s="0" t="n">
        <f aca="false">IF(C669&gt;1,IF(C669&lt;99,VLOOKUP(C669,'Babblefish-APUMA'!$A$1:$B$86,2),C669),C669)</f>
        <v>98</v>
      </c>
    </row>
    <row r="670" customFormat="false" ht="12.75" hidden="false" customHeight="false" outlineLevel="0" collapsed="false">
      <c r="A670" s="0" t="n">
        <f aca="false">B670*1000+C670</f>
        <v>16052</v>
      </c>
      <c r="B670" s="0" t="n">
        <v>16</v>
      </c>
      <c r="C670" s="0" t="n">
        <v>52</v>
      </c>
      <c r="D670" s="0" t="n">
        <v>0</v>
      </c>
      <c r="E670" s="0" t="n">
        <f aca="false">VLOOKUP(B670,'Babblefish-APUMA'!$A$1:$B$86,2)</f>
        <v>99</v>
      </c>
      <c r="F670" s="0" t="n">
        <f aca="false">IF(C670&gt;1,IF(C670&lt;99,VLOOKUP(C670,'Babblefish-APUMA'!$A$1:$B$86,2),C670),C670)</f>
        <v>90</v>
      </c>
    </row>
    <row r="671" customFormat="false" ht="12.75" hidden="false" customHeight="false" outlineLevel="0" collapsed="false">
      <c r="A671" s="0" t="n">
        <f aca="false">B671*1000+C671</f>
        <v>16053</v>
      </c>
      <c r="B671" s="0" t="n">
        <v>16</v>
      </c>
      <c r="C671" s="0" t="n">
        <v>53</v>
      </c>
      <c r="D671" s="0" t="n">
        <v>0</v>
      </c>
      <c r="E671" s="0" t="n">
        <f aca="false">VLOOKUP(B671,'Babblefish-APUMA'!$A$1:$B$86,2)</f>
        <v>99</v>
      </c>
      <c r="F671" s="0" t="n">
        <f aca="false">IF(C671&gt;1,IF(C671&lt;99,VLOOKUP(C671,'Babblefish-APUMA'!$A$1:$B$86,2),C671),C671)</f>
        <v>90</v>
      </c>
    </row>
    <row r="672" customFormat="false" ht="12.75" hidden="false" customHeight="false" outlineLevel="0" collapsed="false">
      <c r="A672" s="0" t="n">
        <f aca="false">B672*1000+C672</f>
        <v>16060</v>
      </c>
      <c r="B672" s="0" t="n">
        <v>16</v>
      </c>
      <c r="C672" s="0" t="n">
        <v>60</v>
      </c>
      <c r="D672" s="0" t="n">
        <v>0</v>
      </c>
      <c r="E672" s="0" t="n">
        <f aca="false">VLOOKUP(B672,'Babblefish-APUMA'!$A$1:$B$86,2)</f>
        <v>99</v>
      </c>
      <c r="F672" s="0" t="n">
        <f aca="false">IF(C672&gt;1,IF(C672&lt;99,VLOOKUP(C672,'Babblefish-APUMA'!$A$1:$B$86,2),C672),C672)</f>
        <v>90</v>
      </c>
    </row>
    <row r="673" customFormat="false" ht="12.75" hidden="false" customHeight="false" outlineLevel="0" collapsed="false">
      <c r="A673" s="0" t="n">
        <f aca="false">B673*1000+C673</f>
        <v>16064</v>
      </c>
      <c r="B673" s="0" t="n">
        <v>16</v>
      </c>
      <c r="C673" s="0" t="n">
        <v>64</v>
      </c>
      <c r="D673" s="0" t="n">
        <v>0</v>
      </c>
      <c r="E673" s="0" t="n">
        <f aca="false">VLOOKUP(B673,'Babblefish-APUMA'!$A$1:$B$86,2)</f>
        <v>99</v>
      </c>
      <c r="F673" s="0" t="n">
        <f aca="false">IF(C673&gt;1,IF(C673&lt;99,VLOOKUP(C673,'Babblefish-APUMA'!$A$1:$B$86,2),C673),C673)</f>
        <v>90</v>
      </c>
    </row>
    <row r="674" customFormat="false" ht="12.75" hidden="false" customHeight="false" outlineLevel="0" collapsed="false">
      <c r="A674" s="0" t="n">
        <f aca="false">B674*1000+C674</f>
        <v>16065</v>
      </c>
      <c r="B674" s="0" t="n">
        <v>16</v>
      </c>
      <c r="C674" s="0" t="n">
        <v>65</v>
      </c>
      <c r="D674" s="0" t="n">
        <v>0</v>
      </c>
      <c r="E674" s="0" t="n">
        <f aca="false">VLOOKUP(B674,'Babblefish-APUMA'!$A$1:$B$86,2)</f>
        <v>99</v>
      </c>
      <c r="F674" s="0" t="n">
        <f aca="false">IF(C674&gt;1,IF(C674&lt;99,VLOOKUP(C674,'Babblefish-APUMA'!$A$1:$B$86,2),C674),C674)</f>
        <v>90</v>
      </c>
    </row>
    <row r="675" customFormat="false" ht="12.75" hidden="false" customHeight="false" outlineLevel="0" collapsed="false">
      <c r="A675" s="0" t="n">
        <f aca="false">B675*1000+C675</f>
        <v>16067</v>
      </c>
      <c r="B675" s="0" t="n">
        <v>16</v>
      </c>
      <c r="C675" s="0" t="n">
        <v>67</v>
      </c>
      <c r="D675" s="0" t="n">
        <v>0</v>
      </c>
      <c r="E675" s="0" t="n">
        <f aca="false">VLOOKUP(B675,'Babblefish-APUMA'!$A$1:$B$86,2)</f>
        <v>99</v>
      </c>
      <c r="F675" s="0" t="n">
        <f aca="false">IF(C675&gt;1,IF(C675&lt;99,VLOOKUP(C675,'Babblefish-APUMA'!$A$1:$B$86,2),C675),C675)</f>
        <v>103</v>
      </c>
    </row>
    <row r="676" customFormat="false" ht="12.75" hidden="false" customHeight="false" outlineLevel="0" collapsed="false">
      <c r="A676" s="0" t="n">
        <f aca="false">B676*1000+C676</f>
        <v>16069</v>
      </c>
      <c r="B676" s="0" t="n">
        <v>16</v>
      </c>
      <c r="C676" s="0" t="n">
        <v>69</v>
      </c>
      <c r="D676" s="0" t="n">
        <v>0</v>
      </c>
      <c r="E676" s="0" t="n">
        <f aca="false">VLOOKUP(B676,'Babblefish-APUMA'!$A$1:$B$86,2)</f>
        <v>99</v>
      </c>
      <c r="F676" s="0" t="n">
        <f aca="false">IF(C676&gt;1,IF(C676&lt;99,VLOOKUP(C676,'Babblefish-APUMA'!$A$1:$B$86,2),C676),C676)</f>
        <v>93</v>
      </c>
    </row>
    <row r="677" customFormat="false" ht="12.75" hidden="false" customHeight="false" outlineLevel="0" collapsed="false">
      <c r="A677" s="0" t="n">
        <f aca="false">B677*1000+C677</f>
        <v>16072</v>
      </c>
      <c r="B677" s="0" t="n">
        <v>16</v>
      </c>
      <c r="C677" s="0" t="n">
        <v>72</v>
      </c>
      <c r="D677" s="0" t="n">
        <v>0</v>
      </c>
      <c r="E677" s="0" t="n">
        <f aca="false">VLOOKUP(B677,'Babblefish-APUMA'!$A$1:$B$86,2)</f>
        <v>99</v>
      </c>
      <c r="F677" s="0" t="n">
        <f aca="false">IF(C677&gt;1,IF(C677&lt;99,VLOOKUP(C677,'Babblefish-APUMA'!$A$1:$B$86,2),C677),C677)</f>
        <v>95</v>
      </c>
    </row>
    <row r="678" customFormat="false" ht="12.75" hidden="false" customHeight="false" outlineLevel="0" collapsed="false">
      <c r="A678" s="0" t="n">
        <f aca="false">B678*1000+C678</f>
        <v>16073</v>
      </c>
      <c r="B678" s="0" t="n">
        <v>16</v>
      </c>
      <c r="C678" s="0" t="n">
        <v>73</v>
      </c>
      <c r="D678" s="0" t="n">
        <v>7982</v>
      </c>
      <c r="E678" s="0" t="n">
        <f aca="false">VLOOKUP(B678,'Babblefish-APUMA'!$A$1:$B$86,2)</f>
        <v>99</v>
      </c>
      <c r="F678" s="0" t="n">
        <f aca="false">IF(C678&gt;1,IF(C678&lt;99,VLOOKUP(C678,'Babblefish-APUMA'!$A$1:$B$86,2),C678),C678)</f>
        <v>99</v>
      </c>
    </row>
    <row r="679" customFormat="false" ht="12.75" hidden="false" customHeight="false" outlineLevel="0" collapsed="false">
      <c r="A679" s="0" t="n">
        <f aca="false">B679*1000+C679</f>
        <v>16075</v>
      </c>
      <c r="B679" s="0" t="n">
        <v>16</v>
      </c>
      <c r="C679" s="0" t="n">
        <v>75</v>
      </c>
      <c r="D679" s="0" t="n">
        <v>0</v>
      </c>
      <c r="E679" s="0" t="n">
        <f aca="false">VLOOKUP(B679,'Babblefish-APUMA'!$A$1:$B$86,2)</f>
        <v>99</v>
      </c>
      <c r="F679" s="0" t="n">
        <f aca="false">IF(C679&gt;1,IF(C679&lt;99,VLOOKUP(C679,'Babblefish-APUMA'!$A$1:$B$86,2),C679),C679)</f>
        <v>75</v>
      </c>
    </row>
    <row r="680" customFormat="false" ht="12.75" hidden="false" customHeight="false" outlineLevel="0" collapsed="false">
      <c r="A680" s="0" t="n">
        <f aca="false">B680*1000+C680</f>
        <v>16079</v>
      </c>
      <c r="B680" s="0" t="n">
        <v>16</v>
      </c>
      <c r="C680" s="0" t="n">
        <v>79</v>
      </c>
      <c r="D680" s="0" t="n">
        <v>0</v>
      </c>
      <c r="E680" s="0" t="n">
        <f aca="false">VLOOKUP(B680,'Babblefish-APUMA'!$A$1:$B$86,2)</f>
        <v>99</v>
      </c>
      <c r="F680" s="0" t="n">
        <f aca="false">IF(C680&gt;1,IF(C680&lt;99,VLOOKUP(C680,'Babblefish-APUMA'!$A$1:$B$86,2),C680),C680)</f>
        <v>89</v>
      </c>
    </row>
    <row r="681" customFormat="false" ht="12.75" hidden="false" customHeight="false" outlineLevel="0" collapsed="false">
      <c r="A681" s="0" t="n">
        <f aca="false">B681*1000+C681</f>
        <v>16080</v>
      </c>
      <c r="B681" s="0" t="n">
        <v>16</v>
      </c>
      <c r="C681" s="0" t="n">
        <v>80</v>
      </c>
      <c r="D681" s="0" t="n">
        <v>104</v>
      </c>
      <c r="E681" s="0" t="n">
        <f aca="false">VLOOKUP(B681,'Babblefish-APUMA'!$A$1:$B$86,2)</f>
        <v>99</v>
      </c>
      <c r="F681" s="0" t="n">
        <f aca="false">IF(C681&gt;1,IF(C681&lt;99,VLOOKUP(C681,'Babblefish-APUMA'!$A$1:$B$86,2),C681),C681)</f>
        <v>80</v>
      </c>
    </row>
    <row r="682" customFormat="false" ht="12.75" hidden="false" customHeight="false" outlineLevel="0" collapsed="false">
      <c r="A682" s="0" t="n">
        <f aca="false">B682*1000+C682</f>
        <v>16085</v>
      </c>
      <c r="B682" s="0" t="n">
        <v>16</v>
      </c>
      <c r="C682" s="0" t="n">
        <v>85</v>
      </c>
      <c r="D682" s="0" t="n">
        <v>65</v>
      </c>
      <c r="E682" s="0" t="n">
        <f aca="false">VLOOKUP(B682,'Babblefish-APUMA'!$A$1:$B$86,2)</f>
        <v>99</v>
      </c>
      <c r="F682" s="0" t="n">
        <f aca="false">IF(C682&gt;1,IF(C682&lt;99,VLOOKUP(C682,'Babblefish-APUMA'!$A$1:$B$86,2),C682),C682)</f>
        <v>97</v>
      </c>
    </row>
    <row r="683" customFormat="false" ht="12.75" hidden="false" customHeight="false" outlineLevel="0" collapsed="false">
      <c r="A683" s="0" t="n">
        <f aca="false">B683*1000+C683</f>
        <v>16999</v>
      </c>
      <c r="B683" s="0" t="n">
        <v>16</v>
      </c>
      <c r="C683" s="0" t="n">
        <v>999</v>
      </c>
      <c r="D683" s="0" t="n">
        <v>195</v>
      </c>
      <c r="E683" s="0" t="n">
        <f aca="false">VLOOKUP(B683,'Babblefish-APUMA'!$A$1:$B$86,2)</f>
        <v>99</v>
      </c>
      <c r="F683" s="0" t="n">
        <f aca="false">IF(C683&gt;1,IF(C683&lt;99,VLOOKUP(C683,'Babblefish-APUMA'!$A$1:$B$86,2),C683),C683)</f>
        <v>999</v>
      </c>
    </row>
    <row r="684" customFormat="false" ht="12.75" hidden="false" customHeight="false" outlineLevel="0" collapsed="false">
      <c r="A684" s="0" t="n">
        <f aca="false">B684*1000+C684</f>
        <v>17000</v>
      </c>
      <c r="B684" s="0" t="n">
        <v>17</v>
      </c>
      <c r="C684" s="0" t="n">
        <v>0</v>
      </c>
      <c r="D684" s="0" t="n">
        <v>61399</v>
      </c>
      <c r="E684" s="0" t="n">
        <f aca="false">VLOOKUP(B684,'Babblefish-APUMA'!$A$1:$B$86,2)</f>
        <v>87</v>
      </c>
      <c r="F684" s="0" t="n">
        <f aca="false">IF(C684&gt;1,IF(C684&lt;99,VLOOKUP(C684,'Babblefish-APUMA'!$A$1:$B$86,2),C684),C684)</f>
        <v>0</v>
      </c>
    </row>
    <row r="685" customFormat="false" ht="12.75" hidden="false" customHeight="false" outlineLevel="0" collapsed="false">
      <c r="A685" s="0" t="n">
        <f aca="false">B685*1000+C685</f>
        <v>17001</v>
      </c>
      <c r="B685" s="0" t="n">
        <v>17</v>
      </c>
      <c r="C685" s="0" t="n">
        <v>1</v>
      </c>
      <c r="D685" s="0" t="n">
        <v>0</v>
      </c>
      <c r="E685" s="0" t="n">
        <f aca="false">VLOOKUP(B685,'Babblefish-APUMA'!$A$1:$B$86,2)</f>
        <v>87</v>
      </c>
      <c r="F685" s="0" t="n">
        <f aca="false">IF(C685&gt;1,IF(C685&lt;99,VLOOKUP(C685,'Babblefish-APUMA'!$A$1:$B$86,2),C685),C685)</f>
        <v>1</v>
      </c>
    </row>
    <row r="686" customFormat="false" ht="12.75" hidden="false" customHeight="false" outlineLevel="0" collapsed="false">
      <c r="A686" s="0" t="n">
        <f aca="false">B686*1000+C686</f>
        <v>17002</v>
      </c>
      <c r="B686" s="0" t="n">
        <v>17</v>
      </c>
      <c r="C686" s="0" t="n">
        <v>2</v>
      </c>
      <c r="D686" s="0" t="n">
        <v>0</v>
      </c>
      <c r="E686" s="0" t="n">
        <f aca="false">VLOOKUP(B686,'Babblefish-APUMA'!$A$1:$B$86,2)</f>
        <v>87</v>
      </c>
      <c r="F686" s="0" t="n">
        <f aca="false">IF(C686&gt;1,IF(C686&lt;99,VLOOKUP(C686,'Babblefish-APUMA'!$A$1:$B$86,2),C686),C686)</f>
        <v>2</v>
      </c>
    </row>
    <row r="687" customFormat="false" ht="12.75" hidden="false" customHeight="false" outlineLevel="0" collapsed="false">
      <c r="A687" s="0" t="n">
        <f aca="false">B687*1000+C687</f>
        <v>17003</v>
      </c>
      <c r="B687" s="0" t="n">
        <v>17</v>
      </c>
      <c r="C687" s="0" t="n">
        <v>3</v>
      </c>
      <c r="D687" s="0" t="n">
        <v>0</v>
      </c>
      <c r="E687" s="0" t="n">
        <f aca="false">VLOOKUP(B687,'Babblefish-APUMA'!$A$1:$B$86,2)</f>
        <v>87</v>
      </c>
      <c r="F687" s="0" t="n">
        <f aca="false">IF(C687&gt;1,IF(C687&lt;99,VLOOKUP(C687,'Babblefish-APUMA'!$A$1:$B$86,2),C687),C687)</f>
        <v>3</v>
      </c>
    </row>
    <row r="688" customFormat="false" ht="12.75" hidden="false" customHeight="false" outlineLevel="0" collapsed="false">
      <c r="A688" s="0" t="n">
        <f aca="false">B688*1000+C688</f>
        <v>17004</v>
      </c>
      <c r="B688" s="0" t="n">
        <v>17</v>
      </c>
      <c r="C688" s="0" t="n">
        <v>4</v>
      </c>
      <c r="D688" s="0" t="n">
        <v>0</v>
      </c>
      <c r="E688" s="0" t="n">
        <f aca="false">VLOOKUP(B688,'Babblefish-APUMA'!$A$1:$B$86,2)</f>
        <v>87</v>
      </c>
      <c r="F688" s="0" t="n">
        <f aca="false">IF(C688&gt;1,IF(C688&lt;99,VLOOKUP(C688,'Babblefish-APUMA'!$A$1:$B$86,2),C688),C688)</f>
        <v>4</v>
      </c>
    </row>
    <row r="689" customFormat="false" ht="12.75" hidden="false" customHeight="false" outlineLevel="0" collapsed="false">
      <c r="A689" s="0" t="n">
        <f aca="false">B689*1000+C689</f>
        <v>17005</v>
      </c>
      <c r="B689" s="0" t="n">
        <v>17</v>
      </c>
      <c r="C689" s="0" t="n">
        <v>5</v>
      </c>
      <c r="D689" s="0" t="n">
        <v>0</v>
      </c>
      <c r="E689" s="0" t="n">
        <f aca="false">VLOOKUP(B689,'Babblefish-APUMA'!$A$1:$B$86,2)</f>
        <v>87</v>
      </c>
      <c r="F689" s="0" t="n">
        <f aca="false">IF(C689&gt;1,IF(C689&lt;99,VLOOKUP(C689,'Babblefish-APUMA'!$A$1:$B$86,2),C689),C689)</f>
        <v>5</v>
      </c>
    </row>
    <row r="690" customFormat="false" ht="12.75" hidden="false" customHeight="false" outlineLevel="0" collapsed="false">
      <c r="A690" s="0" t="n">
        <f aca="false">B690*1000+C690</f>
        <v>17006</v>
      </c>
      <c r="B690" s="0" t="n">
        <v>17</v>
      </c>
      <c r="C690" s="0" t="n">
        <v>6</v>
      </c>
      <c r="D690" s="0" t="n">
        <v>0</v>
      </c>
      <c r="E690" s="0" t="n">
        <f aca="false">VLOOKUP(B690,'Babblefish-APUMA'!$A$1:$B$86,2)</f>
        <v>87</v>
      </c>
      <c r="F690" s="0" t="n">
        <f aca="false">IF(C690&gt;1,IF(C690&lt;99,VLOOKUP(C690,'Babblefish-APUMA'!$A$1:$B$86,2),C690),C690)</f>
        <v>6</v>
      </c>
    </row>
    <row r="691" customFormat="false" ht="12.75" hidden="false" customHeight="false" outlineLevel="0" collapsed="false">
      <c r="A691" s="0" t="n">
        <f aca="false">B691*1000+C691</f>
        <v>17007</v>
      </c>
      <c r="B691" s="0" t="n">
        <v>17</v>
      </c>
      <c r="C691" s="0" t="n">
        <v>7</v>
      </c>
      <c r="D691" s="0" t="n">
        <v>0</v>
      </c>
      <c r="E691" s="0" t="n">
        <f aca="false">VLOOKUP(B691,'Babblefish-APUMA'!$A$1:$B$86,2)</f>
        <v>87</v>
      </c>
      <c r="F691" s="0" t="n">
        <f aca="false">IF(C691&gt;1,IF(C691&lt;99,VLOOKUP(C691,'Babblefish-APUMA'!$A$1:$B$86,2),C691),C691)</f>
        <v>7</v>
      </c>
    </row>
    <row r="692" customFormat="false" ht="12.75" hidden="false" customHeight="false" outlineLevel="0" collapsed="false">
      <c r="A692" s="0" t="n">
        <f aca="false">B692*1000+C692</f>
        <v>17008</v>
      </c>
      <c r="B692" s="0" t="n">
        <v>17</v>
      </c>
      <c r="C692" s="0" t="n">
        <v>8</v>
      </c>
      <c r="D692" s="0" t="n">
        <v>0</v>
      </c>
      <c r="E692" s="0" t="n">
        <f aca="false">VLOOKUP(B692,'Babblefish-APUMA'!$A$1:$B$86,2)</f>
        <v>87</v>
      </c>
      <c r="F692" s="0" t="n">
        <f aca="false">IF(C692&gt;1,IF(C692&lt;99,VLOOKUP(C692,'Babblefish-APUMA'!$A$1:$B$86,2),C692),C692)</f>
        <v>8</v>
      </c>
    </row>
    <row r="693" customFormat="false" ht="12.75" hidden="false" customHeight="false" outlineLevel="0" collapsed="false">
      <c r="A693" s="0" t="n">
        <f aca="false">B693*1000+C693</f>
        <v>17009</v>
      </c>
      <c r="B693" s="0" t="n">
        <v>17</v>
      </c>
      <c r="C693" s="0" t="n">
        <v>9</v>
      </c>
      <c r="D693" s="0" t="n">
        <v>0</v>
      </c>
      <c r="E693" s="0" t="n">
        <f aca="false">VLOOKUP(B693,'Babblefish-APUMA'!$A$1:$B$86,2)</f>
        <v>87</v>
      </c>
      <c r="F693" s="0" t="n">
        <f aca="false">IF(C693&gt;1,IF(C693&lt;99,VLOOKUP(C693,'Babblefish-APUMA'!$A$1:$B$86,2),C693),C693)</f>
        <v>9</v>
      </c>
    </row>
    <row r="694" customFormat="false" ht="12.75" hidden="false" customHeight="false" outlineLevel="0" collapsed="false">
      <c r="A694" s="0" t="n">
        <f aca="false">B694*1000+C694</f>
        <v>17010</v>
      </c>
      <c r="B694" s="0" t="n">
        <v>17</v>
      </c>
      <c r="C694" s="0" t="n">
        <v>10</v>
      </c>
      <c r="D694" s="0" t="n">
        <v>91</v>
      </c>
      <c r="E694" s="0" t="n">
        <f aca="false">VLOOKUP(B694,'Babblefish-APUMA'!$A$1:$B$86,2)</f>
        <v>87</v>
      </c>
      <c r="F694" s="0" t="n">
        <f aca="false">IF(C694&gt;1,IF(C694&lt;99,VLOOKUP(C694,'Babblefish-APUMA'!$A$1:$B$86,2),C694),C694)</f>
        <v>10</v>
      </c>
    </row>
    <row r="695" customFormat="false" ht="12.75" hidden="false" customHeight="false" outlineLevel="0" collapsed="false">
      <c r="A695" s="0" t="n">
        <f aca="false">B695*1000+C695</f>
        <v>17011</v>
      </c>
      <c r="B695" s="0" t="n">
        <v>17</v>
      </c>
      <c r="C695" s="0" t="n">
        <v>11</v>
      </c>
      <c r="D695" s="0" t="n">
        <v>0</v>
      </c>
      <c r="E695" s="0" t="n">
        <f aca="false">VLOOKUP(B695,'Babblefish-APUMA'!$A$1:$B$86,2)</f>
        <v>87</v>
      </c>
      <c r="F695" s="0" t="n">
        <f aca="false">IF(C695&gt;1,IF(C695&lt;99,VLOOKUP(C695,'Babblefish-APUMA'!$A$1:$B$86,2),C695),C695)</f>
        <v>11</v>
      </c>
    </row>
    <row r="696" customFormat="false" ht="12.75" hidden="false" customHeight="false" outlineLevel="0" collapsed="false">
      <c r="A696" s="0" t="n">
        <f aca="false">B696*1000+C696</f>
        <v>17012</v>
      </c>
      <c r="B696" s="0" t="n">
        <v>17</v>
      </c>
      <c r="C696" s="0" t="n">
        <v>12</v>
      </c>
      <c r="D696" s="0" t="n">
        <v>0</v>
      </c>
      <c r="E696" s="0" t="n">
        <f aca="false">VLOOKUP(B696,'Babblefish-APUMA'!$A$1:$B$86,2)</f>
        <v>87</v>
      </c>
      <c r="F696" s="0" t="n">
        <f aca="false">IF(C696&gt;1,IF(C696&lt;99,VLOOKUP(C696,'Babblefish-APUMA'!$A$1:$B$86,2),C696),C696)</f>
        <v>12</v>
      </c>
    </row>
    <row r="697" customFormat="false" ht="12.75" hidden="false" customHeight="false" outlineLevel="0" collapsed="false">
      <c r="A697" s="0" t="n">
        <f aca="false">B697*1000+C697</f>
        <v>17013</v>
      </c>
      <c r="B697" s="0" t="n">
        <v>17</v>
      </c>
      <c r="C697" s="0" t="n">
        <v>13</v>
      </c>
      <c r="D697" s="0" t="n">
        <v>0</v>
      </c>
      <c r="E697" s="0" t="n">
        <f aca="false">VLOOKUP(B697,'Babblefish-APUMA'!$A$1:$B$86,2)</f>
        <v>87</v>
      </c>
      <c r="F697" s="0" t="n">
        <f aca="false">IF(C697&gt;1,IF(C697&lt;99,VLOOKUP(C697,'Babblefish-APUMA'!$A$1:$B$86,2),C697),C697)</f>
        <v>100</v>
      </c>
    </row>
    <row r="698" customFormat="false" ht="12.75" hidden="false" customHeight="false" outlineLevel="0" collapsed="false">
      <c r="A698" s="0" t="n">
        <f aca="false">B698*1000+C698</f>
        <v>17014</v>
      </c>
      <c r="B698" s="0" t="n">
        <v>17</v>
      </c>
      <c r="C698" s="0" t="n">
        <v>14</v>
      </c>
      <c r="D698" s="0" t="n">
        <v>0</v>
      </c>
      <c r="E698" s="0" t="n">
        <f aca="false">VLOOKUP(B698,'Babblefish-APUMA'!$A$1:$B$86,2)</f>
        <v>87</v>
      </c>
      <c r="F698" s="0" t="n">
        <f aca="false">IF(C698&gt;1,IF(C698&lt;99,VLOOKUP(C698,'Babblefish-APUMA'!$A$1:$B$86,2),C698),C698)</f>
        <v>100</v>
      </c>
    </row>
    <row r="699" customFormat="false" ht="12.75" hidden="false" customHeight="false" outlineLevel="0" collapsed="false">
      <c r="A699" s="0" t="n">
        <f aca="false">B699*1000+C699</f>
        <v>17015</v>
      </c>
      <c r="B699" s="0" t="n">
        <v>17</v>
      </c>
      <c r="C699" s="0" t="n">
        <v>15</v>
      </c>
      <c r="D699" s="0" t="n">
        <v>1794</v>
      </c>
      <c r="E699" s="0" t="n">
        <f aca="false">VLOOKUP(B699,'Babblefish-APUMA'!$A$1:$B$86,2)</f>
        <v>87</v>
      </c>
      <c r="F699" s="0" t="n">
        <f aca="false">IF(C699&gt;1,IF(C699&lt;99,VLOOKUP(C699,'Babblefish-APUMA'!$A$1:$B$86,2),C699),C699)</f>
        <v>15</v>
      </c>
    </row>
    <row r="700" customFormat="false" ht="12.75" hidden="false" customHeight="false" outlineLevel="0" collapsed="false">
      <c r="A700" s="0" t="n">
        <f aca="false">B700*1000+C700</f>
        <v>17016</v>
      </c>
      <c r="B700" s="0" t="n">
        <v>17</v>
      </c>
      <c r="C700" s="0" t="n">
        <v>16</v>
      </c>
      <c r="D700" s="0" t="n">
        <v>585</v>
      </c>
      <c r="E700" s="0" t="n">
        <f aca="false">VLOOKUP(B700,'Babblefish-APUMA'!$A$1:$B$86,2)</f>
        <v>87</v>
      </c>
      <c r="F700" s="0" t="n">
        <f aca="false">IF(C700&gt;1,IF(C700&lt;99,VLOOKUP(C700,'Babblefish-APUMA'!$A$1:$B$86,2),C700),C700)</f>
        <v>99</v>
      </c>
    </row>
    <row r="701" customFormat="false" ht="12.75" hidden="false" customHeight="false" outlineLevel="0" collapsed="false">
      <c r="A701" s="0" t="n">
        <f aca="false">B701*1000+C701</f>
        <v>17017</v>
      </c>
      <c r="B701" s="0" t="n">
        <v>17</v>
      </c>
      <c r="C701" s="0" t="n">
        <v>17</v>
      </c>
      <c r="D701" s="0" t="n">
        <v>13533</v>
      </c>
      <c r="E701" s="0" t="n">
        <f aca="false">VLOOKUP(B701,'Babblefish-APUMA'!$A$1:$B$86,2)</f>
        <v>87</v>
      </c>
      <c r="F701" s="0" t="n">
        <f aca="false">IF(C701&gt;1,IF(C701&lt;99,VLOOKUP(C701,'Babblefish-APUMA'!$A$1:$B$86,2),C701),C701)</f>
        <v>87</v>
      </c>
    </row>
    <row r="702" customFormat="false" ht="12.75" hidden="false" customHeight="false" outlineLevel="0" collapsed="false">
      <c r="A702" s="0" t="n">
        <f aca="false">B702*1000+C702</f>
        <v>17018</v>
      </c>
      <c r="B702" s="0" t="n">
        <v>17</v>
      </c>
      <c r="C702" s="0" t="n">
        <v>18</v>
      </c>
      <c r="D702" s="0" t="n">
        <v>7527</v>
      </c>
      <c r="E702" s="0" t="n">
        <f aca="false">VLOOKUP(B702,'Babblefish-APUMA'!$A$1:$B$86,2)</f>
        <v>87</v>
      </c>
      <c r="F702" s="0" t="n">
        <f aca="false">IF(C702&gt;1,IF(C702&lt;99,VLOOKUP(C702,'Babblefish-APUMA'!$A$1:$B$86,2),C702),C702)</f>
        <v>87</v>
      </c>
    </row>
    <row r="703" customFormat="false" ht="12.75" hidden="false" customHeight="false" outlineLevel="0" collapsed="false">
      <c r="A703" s="0" t="n">
        <f aca="false">B703*1000+C703</f>
        <v>17019</v>
      </c>
      <c r="B703" s="0" t="n">
        <v>17</v>
      </c>
      <c r="C703" s="0" t="n">
        <v>19</v>
      </c>
      <c r="D703" s="0" t="n">
        <v>7852</v>
      </c>
      <c r="E703" s="0" t="n">
        <f aca="false">VLOOKUP(B703,'Babblefish-APUMA'!$A$1:$B$86,2)</f>
        <v>87</v>
      </c>
      <c r="F703" s="0" t="n">
        <f aca="false">IF(C703&gt;1,IF(C703&lt;99,VLOOKUP(C703,'Babblefish-APUMA'!$A$1:$B$86,2),C703),C703)</f>
        <v>19</v>
      </c>
    </row>
    <row r="704" customFormat="false" ht="12.75" hidden="false" customHeight="false" outlineLevel="0" collapsed="false">
      <c r="A704" s="0" t="n">
        <f aca="false">B704*1000+C704</f>
        <v>17020</v>
      </c>
      <c r="B704" s="0" t="n">
        <v>17</v>
      </c>
      <c r="C704" s="0" t="n">
        <v>20</v>
      </c>
      <c r="D704" s="0" t="n">
        <v>5707</v>
      </c>
      <c r="E704" s="0" t="n">
        <f aca="false">VLOOKUP(B704,'Babblefish-APUMA'!$A$1:$B$86,2)</f>
        <v>87</v>
      </c>
      <c r="F704" s="0" t="n">
        <f aca="false">IF(C704&gt;1,IF(C704&lt;99,VLOOKUP(C704,'Babblefish-APUMA'!$A$1:$B$86,2),C704),C704)</f>
        <v>86</v>
      </c>
    </row>
    <row r="705" customFormat="false" ht="12.75" hidden="false" customHeight="false" outlineLevel="0" collapsed="false">
      <c r="A705" s="0" t="n">
        <f aca="false">B705*1000+C705</f>
        <v>17021</v>
      </c>
      <c r="B705" s="0" t="n">
        <v>17</v>
      </c>
      <c r="C705" s="0" t="n">
        <v>21</v>
      </c>
      <c r="D705" s="0" t="n">
        <v>8619</v>
      </c>
      <c r="E705" s="0" t="n">
        <f aca="false">VLOOKUP(B705,'Babblefish-APUMA'!$A$1:$B$86,2)</f>
        <v>87</v>
      </c>
      <c r="F705" s="0" t="n">
        <f aca="false">IF(C705&gt;1,IF(C705&lt;99,VLOOKUP(C705,'Babblefish-APUMA'!$A$1:$B$86,2),C705),C705)</f>
        <v>86</v>
      </c>
    </row>
    <row r="706" customFormat="false" ht="12.75" hidden="false" customHeight="false" outlineLevel="0" collapsed="false">
      <c r="A706" s="0" t="n">
        <f aca="false">B706*1000+C706</f>
        <v>17022</v>
      </c>
      <c r="B706" s="0" t="n">
        <v>17</v>
      </c>
      <c r="C706" s="0" t="n">
        <v>22</v>
      </c>
      <c r="D706" s="0" t="n">
        <v>507</v>
      </c>
      <c r="E706" s="0" t="n">
        <f aca="false">VLOOKUP(B706,'Babblefish-APUMA'!$A$1:$B$86,2)</f>
        <v>87</v>
      </c>
      <c r="F706" s="0" t="n">
        <f aca="false">IF(C706&gt;1,IF(C706&lt;99,VLOOKUP(C706,'Babblefish-APUMA'!$A$1:$B$86,2),C706),C706)</f>
        <v>22</v>
      </c>
    </row>
    <row r="707" customFormat="false" ht="12.75" hidden="false" customHeight="false" outlineLevel="0" collapsed="false">
      <c r="A707" s="0" t="n">
        <f aca="false">B707*1000+C707</f>
        <v>17023</v>
      </c>
      <c r="B707" s="0" t="n">
        <v>17</v>
      </c>
      <c r="C707" s="0" t="n">
        <v>23</v>
      </c>
      <c r="D707" s="0" t="n">
        <v>0</v>
      </c>
      <c r="E707" s="0" t="n">
        <f aca="false">VLOOKUP(B707,'Babblefish-APUMA'!$A$1:$B$86,2)</f>
        <v>87</v>
      </c>
      <c r="F707" s="0" t="n">
        <f aca="false">IF(C707&gt;1,IF(C707&lt;99,VLOOKUP(C707,'Babblefish-APUMA'!$A$1:$B$86,2),C707),C707)</f>
        <v>97</v>
      </c>
    </row>
    <row r="708" customFormat="false" ht="12.75" hidden="false" customHeight="false" outlineLevel="0" collapsed="false">
      <c r="A708" s="0" t="n">
        <f aca="false">B708*1000+C708</f>
        <v>17024</v>
      </c>
      <c r="B708" s="0" t="n">
        <v>17</v>
      </c>
      <c r="C708" s="0" t="n">
        <v>24</v>
      </c>
      <c r="D708" s="0" t="n">
        <v>0</v>
      </c>
      <c r="E708" s="0" t="n">
        <f aca="false">VLOOKUP(B708,'Babblefish-APUMA'!$A$1:$B$86,2)</f>
        <v>87</v>
      </c>
      <c r="F708" s="0" t="n">
        <f aca="false">IF(C708&gt;1,IF(C708&lt;99,VLOOKUP(C708,'Babblefish-APUMA'!$A$1:$B$86,2),C708),C708)</f>
        <v>101</v>
      </c>
    </row>
    <row r="709" customFormat="false" ht="12.75" hidden="false" customHeight="false" outlineLevel="0" collapsed="false">
      <c r="A709" s="0" t="n">
        <f aca="false">B709*1000+C709</f>
        <v>17025</v>
      </c>
      <c r="B709" s="0" t="n">
        <v>17</v>
      </c>
      <c r="C709" s="0" t="n">
        <v>25</v>
      </c>
      <c r="D709" s="0" t="n">
        <v>0</v>
      </c>
      <c r="E709" s="0" t="n">
        <f aca="false">VLOOKUP(B709,'Babblefish-APUMA'!$A$1:$B$86,2)</f>
        <v>87</v>
      </c>
      <c r="F709" s="0" t="n">
        <f aca="false">IF(C709&gt;1,IF(C709&lt;99,VLOOKUP(C709,'Babblefish-APUMA'!$A$1:$B$86,2),C709),C709)</f>
        <v>101</v>
      </c>
    </row>
    <row r="710" customFormat="false" ht="12.75" hidden="false" customHeight="false" outlineLevel="0" collapsed="false">
      <c r="A710" s="0" t="n">
        <f aca="false">B710*1000+C710</f>
        <v>17026</v>
      </c>
      <c r="B710" s="0" t="n">
        <v>17</v>
      </c>
      <c r="C710" s="0" t="n">
        <v>26</v>
      </c>
      <c r="D710" s="0" t="n">
        <v>0</v>
      </c>
      <c r="E710" s="0" t="n">
        <f aca="false">VLOOKUP(B710,'Babblefish-APUMA'!$A$1:$B$86,2)</f>
        <v>87</v>
      </c>
      <c r="F710" s="0" t="n">
        <f aca="false">IF(C710&gt;1,IF(C710&lt;99,VLOOKUP(C710,'Babblefish-APUMA'!$A$1:$B$86,2),C710),C710)</f>
        <v>26</v>
      </c>
    </row>
    <row r="711" customFormat="false" ht="12.75" hidden="false" customHeight="false" outlineLevel="0" collapsed="false">
      <c r="A711" s="0" t="n">
        <f aca="false">B711*1000+C711</f>
        <v>17027</v>
      </c>
      <c r="B711" s="0" t="n">
        <v>17</v>
      </c>
      <c r="C711" s="0" t="n">
        <v>27</v>
      </c>
      <c r="D711" s="0" t="n">
        <v>0</v>
      </c>
      <c r="E711" s="0" t="n">
        <f aca="false">VLOOKUP(B711,'Babblefish-APUMA'!$A$1:$B$86,2)</f>
        <v>87</v>
      </c>
      <c r="F711" s="0" t="n">
        <f aca="false">IF(C711&gt;1,IF(C711&lt;99,VLOOKUP(C711,'Babblefish-APUMA'!$A$1:$B$86,2),C711),C711)</f>
        <v>27</v>
      </c>
    </row>
    <row r="712" customFormat="false" ht="12.75" hidden="false" customHeight="false" outlineLevel="0" collapsed="false">
      <c r="A712" s="0" t="n">
        <f aca="false">B712*1000+C712</f>
        <v>17028</v>
      </c>
      <c r="B712" s="0" t="n">
        <v>17</v>
      </c>
      <c r="C712" s="0" t="n">
        <v>28</v>
      </c>
      <c r="D712" s="0" t="n">
        <v>0</v>
      </c>
      <c r="E712" s="0" t="n">
        <f aca="false">VLOOKUP(B712,'Babblefish-APUMA'!$A$1:$B$86,2)</f>
        <v>87</v>
      </c>
      <c r="F712" s="0" t="n">
        <f aca="false">IF(C712&gt;1,IF(C712&lt;99,VLOOKUP(C712,'Babblefish-APUMA'!$A$1:$B$86,2),C712),C712)</f>
        <v>94</v>
      </c>
    </row>
    <row r="713" customFormat="false" ht="12.75" hidden="false" customHeight="false" outlineLevel="0" collapsed="false">
      <c r="A713" s="0" t="n">
        <f aca="false">B713*1000+C713</f>
        <v>17029</v>
      </c>
      <c r="B713" s="0" t="n">
        <v>17</v>
      </c>
      <c r="C713" s="0" t="n">
        <v>29</v>
      </c>
      <c r="D713" s="0" t="n">
        <v>0</v>
      </c>
      <c r="E713" s="0" t="n">
        <f aca="false">VLOOKUP(B713,'Babblefish-APUMA'!$A$1:$B$86,2)</f>
        <v>87</v>
      </c>
      <c r="F713" s="0" t="n">
        <f aca="false">IF(C713&gt;1,IF(C713&lt;99,VLOOKUP(C713,'Babblefish-APUMA'!$A$1:$B$86,2),C713),C713)</f>
        <v>94</v>
      </c>
    </row>
    <row r="714" customFormat="false" ht="12.75" hidden="false" customHeight="false" outlineLevel="0" collapsed="false">
      <c r="A714" s="0" t="n">
        <f aca="false">B714*1000+C714</f>
        <v>17030</v>
      </c>
      <c r="B714" s="0" t="n">
        <v>17</v>
      </c>
      <c r="C714" s="0" t="n">
        <v>30</v>
      </c>
      <c r="D714" s="0" t="n">
        <v>0</v>
      </c>
      <c r="E714" s="0" t="n">
        <f aca="false">VLOOKUP(B714,'Babblefish-APUMA'!$A$1:$B$86,2)</f>
        <v>87</v>
      </c>
      <c r="F714" s="0" t="n">
        <f aca="false">IF(C714&gt;1,IF(C714&lt;99,VLOOKUP(C714,'Babblefish-APUMA'!$A$1:$B$86,2),C714),C714)</f>
        <v>30</v>
      </c>
    </row>
    <row r="715" customFormat="false" ht="12.75" hidden="false" customHeight="false" outlineLevel="0" collapsed="false">
      <c r="A715" s="0" t="n">
        <f aca="false">B715*1000+C715</f>
        <v>17033</v>
      </c>
      <c r="B715" s="0" t="n">
        <v>17</v>
      </c>
      <c r="C715" s="0" t="n">
        <v>33</v>
      </c>
      <c r="D715" s="0" t="n">
        <v>0</v>
      </c>
      <c r="E715" s="0" t="n">
        <f aca="false">VLOOKUP(B715,'Babblefish-APUMA'!$A$1:$B$86,2)</f>
        <v>87</v>
      </c>
      <c r="F715" s="0" t="n">
        <f aca="false">IF(C715&gt;1,IF(C715&lt;99,VLOOKUP(C715,'Babblefish-APUMA'!$A$1:$B$86,2),C715),C715)</f>
        <v>96</v>
      </c>
    </row>
    <row r="716" customFormat="false" ht="12.75" hidden="false" customHeight="false" outlineLevel="0" collapsed="false">
      <c r="A716" s="0" t="n">
        <f aca="false">B716*1000+C716</f>
        <v>17034</v>
      </c>
      <c r="B716" s="0" t="n">
        <v>17</v>
      </c>
      <c r="C716" s="0" t="n">
        <v>34</v>
      </c>
      <c r="D716" s="0" t="n">
        <v>0</v>
      </c>
      <c r="E716" s="0" t="n">
        <f aca="false">VLOOKUP(B716,'Babblefish-APUMA'!$A$1:$B$86,2)</f>
        <v>87</v>
      </c>
      <c r="F716" s="0" t="n">
        <f aca="false">IF(C716&gt;1,IF(C716&lt;99,VLOOKUP(C716,'Babblefish-APUMA'!$A$1:$B$86,2),C716),C716)</f>
        <v>96</v>
      </c>
    </row>
    <row r="717" customFormat="false" ht="12.75" hidden="false" customHeight="false" outlineLevel="0" collapsed="false">
      <c r="A717" s="0" t="n">
        <f aca="false">B717*1000+C717</f>
        <v>17035</v>
      </c>
      <c r="B717" s="0" t="n">
        <v>17</v>
      </c>
      <c r="C717" s="0" t="n">
        <v>35</v>
      </c>
      <c r="D717" s="0" t="n">
        <v>0</v>
      </c>
      <c r="E717" s="0" t="n">
        <f aca="false">VLOOKUP(B717,'Babblefish-APUMA'!$A$1:$B$86,2)</f>
        <v>87</v>
      </c>
      <c r="F717" s="0" t="n">
        <f aca="false">IF(C717&gt;1,IF(C717&lt;99,VLOOKUP(C717,'Babblefish-APUMA'!$A$1:$B$86,2),C717),C717)</f>
        <v>96</v>
      </c>
    </row>
    <row r="718" customFormat="false" ht="12.75" hidden="false" customHeight="false" outlineLevel="0" collapsed="false">
      <c r="A718" s="0" t="n">
        <f aca="false">B718*1000+C718</f>
        <v>17037</v>
      </c>
      <c r="B718" s="0" t="n">
        <v>17</v>
      </c>
      <c r="C718" s="0" t="n">
        <v>37</v>
      </c>
      <c r="D718" s="0" t="n">
        <v>0</v>
      </c>
      <c r="E718" s="0" t="n">
        <f aca="false">VLOOKUP(B718,'Babblefish-APUMA'!$A$1:$B$86,2)</f>
        <v>87</v>
      </c>
      <c r="F718" s="0" t="n">
        <f aca="false">IF(C718&gt;1,IF(C718&lt;99,VLOOKUP(C718,'Babblefish-APUMA'!$A$1:$B$86,2),C718),C718)</f>
        <v>96</v>
      </c>
    </row>
    <row r="719" customFormat="false" ht="12.75" hidden="false" customHeight="false" outlineLevel="0" collapsed="false">
      <c r="A719" s="0" t="n">
        <f aca="false">B719*1000+C719</f>
        <v>17039</v>
      </c>
      <c r="B719" s="0" t="n">
        <v>17</v>
      </c>
      <c r="C719" s="0" t="n">
        <v>39</v>
      </c>
      <c r="D719" s="0" t="n">
        <v>0</v>
      </c>
      <c r="E719" s="0" t="n">
        <f aca="false">VLOOKUP(B719,'Babblefish-APUMA'!$A$1:$B$86,2)</f>
        <v>87</v>
      </c>
      <c r="F719" s="0" t="n">
        <f aca="false">IF(C719&gt;1,IF(C719&lt;99,VLOOKUP(C719,'Babblefish-APUMA'!$A$1:$B$86,2),C719),C719)</f>
        <v>91</v>
      </c>
    </row>
    <row r="720" customFormat="false" ht="12.75" hidden="false" customHeight="false" outlineLevel="0" collapsed="false">
      <c r="A720" s="0" t="n">
        <f aca="false">B720*1000+C720</f>
        <v>17040</v>
      </c>
      <c r="B720" s="0" t="n">
        <v>17</v>
      </c>
      <c r="C720" s="0" t="n">
        <v>40</v>
      </c>
      <c r="D720" s="0" t="n">
        <v>0</v>
      </c>
      <c r="E720" s="0" t="n">
        <f aca="false">VLOOKUP(B720,'Babblefish-APUMA'!$A$1:$B$86,2)</f>
        <v>87</v>
      </c>
      <c r="F720" s="0" t="n">
        <f aca="false">IF(C720&gt;1,IF(C720&lt;99,VLOOKUP(C720,'Babblefish-APUMA'!$A$1:$B$86,2),C720),C720)</f>
        <v>88</v>
      </c>
    </row>
    <row r="721" customFormat="false" ht="12.75" hidden="false" customHeight="false" outlineLevel="0" collapsed="false">
      <c r="A721" s="0" t="n">
        <f aca="false">B721*1000+C721</f>
        <v>17041</v>
      </c>
      <c r="B721" s="0" t="n">
        <v>17</v>
      </c>
      <c r="C721" s="0" t="n">
        <v>41</v>
      </c>
      <c r="D721" s="0" t="n">
        <v>0</v>
      </c>
      <c r="E721" s="0" t="n">
        <f aca="false">VLOOKUP(B721,'Babblefish-APUMA'!$A$1:$B$86,2)</f>
        <v>87</v>
      </c>
      <c r="F721" s="0" t="n">
        <f aca="false">IF(C721&gt;1,IF(C721&lt;99,VLOOKUP(C721,'Babblefish-APUMA'!$A$1:$B$86,2),C721),C721)</f>
        <v>88</v>
      </c>
    </row>
    <row r="722" customFormat="false" ht="12.75" hidden="false" customHeight="false" outlineLevel="0" collapsed="false">
      <c r="A722" s="0" t="n">
        <f aca="false">B722*1000+C722</f>
        <v>17042</v>
      </c>
      <c r="B722" s="0" t="n">
        <v>17</v>
      </c>
      <c r="C722" s="0" t="n">
        <v>42</v>
      </c>
      <c r="D722" s="0" t="n">
        <v>0</v>
      </c>
      <c r="E722" s="0" t="n">
        <f aca="false">VLOOKUP(B722,'Babblefish-APUMA'!$A$1:$B$86,2)</f>
        <v>87</v>
      </c>
      <c r="F722" s="0" t="n">
        <f aca="false">IF(C722&gt;1,IF(C722&lt;99,VLOOKUP(C722,'Babblefish-APUMA'!$A$1:$B$86,2),C722),C722)</f>
        <v>92</v>
      </c>
    </row>
    <row r="723" customFormat="false" ht="12.75" hidden="false" customHeight="false" outlineLevel="0" collapsed="false">
      <c r="A723" s="0" t="n">
        <f aca="false">B723*1000+C723</f>
        <v>17048</v>
      </c>
      <c r="B723" s="0" t="n">
        <v>17</v>
      </c>
      <c r="C723" s="0" t="n">
        <v>48</v>
      </c>
      <c r="D723" s="0" t="n">
        <v>0</v>
      </c>
      <c r="E723" s="0" t="n">
        <f aca="false">VLOOKUP(B723,'Babblefish-APUMA'!$A$1:$B$86,2)</f>
        <v>87</v>
      </c>
      <c r="F723" s="0" t="n">
        <f aca="false">IF(C723&gt;1,IF(C723&lt;99,VLOOKUP(C723,'Babblefish-APUMA'!$A$1:$B$86,2),C723),C723)</f>
        <v>92</v>
      </c>
    </row>
    <row r="724" customFormat="false" ht="12.75" hidden="false" customHeight="false" outlineLevel="0" collapsed="false">
      <c r="A724" s="0" t="n">
        <f aca="false">B724*1000+C724</f>
        <v>17049</v>
      </c>
      <c r="B724" s="0" t="n">
        <v>17</v>
      </c>
      <c r="C724" s="0" t="n">
        <v>49</v>
      </c>
      <c r="D724" s="0" t="n">
        <v>0</v>
      </c>
      <c r="E724" s="0" t="n">
        <f aca="false">VLOOKUP(B724,'Babblefish-APUMA'!$A$1:$B$86,2)</f>
        <v>87</v>
      </c>
      <c r="F724" s="0" t="n">
        <f aca="false">IF(C724&gt;1,IF(C724&lt;99,VLOOKUP(C724,'Babblefish-APUMA'!$A$1:$B$86,2),C724),C724)</f>
        <v>98</v>
      </c>
    </row>
    <row r="725" customFormat="false" ht="12.75" hidden="false" customHeight="false" outlineLevel="0" collapsed="false">
      <c r="A725" s="0" t="n">
        <f aca="false">B725*1000+C725</f>
        <v>17050</v>
      </c>
      <c r="B725" s="0" t="n">
        <v>17</v>
      </c>
      <c r="C725" s="0" t="n">
        <v>50</v>
      </c>
      <c r="D725" s="0" t="n">
        <v>0</v>
      </c>
      <c r="E725" s="0" t="n">
        <f aca="false">VLOOKUP(B725,'Babblefish-APUMA'!$A$1:$B$86,2)</f>
        <v>87</v>
      </c>
      <c r="F725" s="0" t="n">
        <f aca="false">IF(C725&gt;1,IF(C725&lt;99,VLOOKUP(C725,'Babblefish-APUMA'!$A$1:$B$86,2),C725),C725)</f>
        <v>98</v>
      </c>
    </row>
    <row r="726" customFormat="false" ht="12.75" hidden="false" customHeight="false" outlineLevel="0" collapsed="false">
      <c r="A726" s="0" t="n">
        <f aca="false">B726*1000+C726</f>
        <v>17051</v>
      </c>
      <c r="B726" s="0" t="n">
        <v>17</v>
      </c>
      <c r="C726" s="0" t="n">
        <v>51</v>
      </c>
      <c r="D726" s="0" t="n">
        <v>0</v>
      </c>
      <c r="E726" s="0" t="n">
        <f aca="false">VLOOKUP(B726,'Babblefish-APUMA'!$A$1:$B$86,2)</f>
        <v>87</v>
      </c>
      <c r="F726" s="0" t="n">
        <f aca="false">IF(C726&gt;1,IF(C726&lt;99,VLOOKUP(C726,'Babblefish-APUMA'!$A$1:$B$86,2),C726),C726)</f>
        <v>98</v>
      </c>
    </row>
    <row r="727" customFormat="false" ht="12.75" hidden="false" customHeight="false" outlineLevel="0" collapsed="false">
      <c r="A727" s="0" t="n">
        <f aca="false">B727*1000+C727</f>
        <v>17052</v>
      </c>
      <c r="B727" s="0" t="n">
        <v>17</v>
      </c>
      <c r="C727" s="0" t="n">
        <v>52</v>
      </c>
      <c r="D727" s="0" t="n">
        <v>0</v>
      </c>
      <c r="E727" s="0" t="n">
        <f aca="false">VLOOKUP(B727,'Babblefish-APUMA'!$A$1:$B$86,2)</f>
        <v>87</v>
      </c>
      <c r="F727" s="0" t="n">
        <f aca="false">IF(C727&gt;1,IF(C727&lt;99,VLOOKUP(C727,'Babblefish-APUMA'!$A$1:$B$86,2),C727),C727)</f>
        <v>90</v>
      </c>
    </row>
    <row r="728" customFormat="false" ht="12.75" hidden="false" customHeight="false" outlineLevel="0" collapsed="false">
      <c r="A728" s="0" t="n">
        <f aca="false">B728*1000+C728</f>
        <v>17053</v>
      </c>
      <c r="B728" s="0" t="n">
        <v>17</v>
      </c>
      <c r="C728" s="0" t="n">
        <v>53</v>
      </c>
      <c r="D728" s="0" t="n">
        <v>0</v>
      </c>
      <c r="E728" s="0" t="n">
        <f aca="false">VLOOKUP(B728,'Babblefish-APUMA'!$A$1:$B$86,2)</f>
        <v>87</v>
      </c>
      <c r="F728" s="0" t="n">
        <f aca="false">IF(C728&gt;1,IF(C728&lt;99,VLOOKUP(C728,'Babblefish-APUMA'!$A$1:$B$86,2),C728),C728)</f>
        <v>90</v>
      </c>
    </row>
    <row r="729" customFormat="false" ht="12.75" hidden="false" customHeight="false" outlineLevel="0" collapsed="false">
      <c r="A729" s="0" t="n">
        <f aca="false">B729*1000+C729</f>
        <v>17060</v>
      </c>
      <c r="B729" s="0" t="n">
        <v>17</v>
      </c>
      <c r="C729" s="0" t="n">
        <v>60</v>
      </c>
      <c r="D729" s="0" t="n">
        <v>0</v>
      </c>
      <c r="E729" s="0" t="n">
        <f aca="false">VLOOKUP(B729,'Babblefish-APUMA'!$A$1:$B$86,2)</f>
        <v>87</v>
      </c>
      <c r="F729" s="0" t="n">
        <f aca="false">IF(C729&gt;1,IF(C729&lt;99,VLOOKUP(C729,'Babblefish-APUMA'!$A$1:$B$86,2),C729),C729)</f>
        <v>90</v>
      </c>
    </row>
    <row r="730" customFormat="false" ht="12.75" hidden="false" customHeight="false" outlineLevel="0" collapsed="false">
      <c r="A730" s="0" t="n">
        <f aca="false">B730*1000+C730</f>
        <v>17064</v>
      </c>
      <c r="B730" s="0" t="n">
        <v>17</v>
      </c>
      <c r="C730" s="0" t="n">
        <v>64</v>
      </c>
      <c r="D730" s="0" t="n">
        <v>0</v>
      </c>
      <c r="E730" s="0" t="n">
        <f aca="false">VLOOKUP(B730,'Babblefish-APUMA'!$A$1:$B$86,2)</f>
        <v>87</v>
      </c>
      <c r="F730" s="0" t="n">
        <f aca="false">IF(C730&gt;1,IF(C730&lt;99,VLOOKUP(C730,'Babblefish-APUMA'!$A$1:$B$86,2),C730),C730)</f>
        <v>90</v>
      </c>
    </row>
    <row r="731" customFormat="false" ht="12.75" hidden="false" customHeight="false" outlineLevel="0" collapsed="false">
      <c r="A731" s="0" t="n">
        <f aca="false">B731*1000+C731</f>
        <v>17065</v>
      </c>
      <c r="B731" s="0" t="n">
        <v>17</v>
      </c>
      <c r="C731" s="0" t="n">
        <v>65</v>
      </c>
      <c r="D731" s="0" t="n">
        <v>0</v>
      </c>
      <c r="E731" s="0" t="n">
        <f aca="false">VLOOKUP(B731,'Babblefish-APUMA'!$A$1:$B$86,2)</f>
        <v>87</v>
      </c>
      <c r="F731" s="0" t="n">
        <f aca="false">IF(C731&gt;1,IF(C731&lt;99,VLOOKUP(C731,'Babblefish-APUMA'!$A$1:$B$86,2),C731),C731)</f>
        <v>90</v>
      </c>
    </row>
    <row r="732" customFormat="false" ht="12.75" hidden="false" customHeight="false" outlineLevel="0" collapsed="false">
      <c r="A732" s="0" t="n">
        <f aca="false">B732*1000+C732</f>
        <v>17067</v>
      </c>
      <c r="B732" s="0" t="n">
        <v>17</v>
      </c>
      <c r="C732" s="0" t="n">
        <v>67</v>
      </c>
      <c r="D732" s="0" t="n">
        <v>0</v>
      </c>
      <c r="E732" s="0" t="n">
        <f aca="false">VLOOKUP(B732,'Babblefish-APUMA'!$A$1:$B$86,2)</f>
        <v>87</v>
      </c>
      <c r="F732" s="0" t="n">
        <f aca="false">IF(C732&gt;1,IF(C732&lt;99,VLOOKUP(C732,'Babblefish-APUMA'!$A$1:$B$86,2),C732),C732)</f>
        <v>103</v>
      </c>
    </row>
    <row r="733" customFormat="false" ht="12.75" hidden="false" customHeight="false" outlineLevel="0" collapsed="false">
      <c r="A733" s="0" t="n">
        <f aca="false">B733*1000+C733</f>
        <v>17069</v>
      </c>
      <c r="B733" s="0" t="n">
        <v>17</v>
      </c>
      <c r="C733" s="0" t="n">
        <v>69</v>
      </c>
      <c r="D733" s="0" t="n">
        <v>0</v>
      </c>
      <c r="E733" s="0" t="n">
        <f aca="false">VLOOKUP(B733,'Babblefish-APUMA'!$A$1:$B$86,2)</f>
        <v>87</v>
      </c>
      <c r="F733" s="0" t="n">
        <f aca="false">IF(C733&gt;1,IF(C733&lt;99,VLOOKUP(C733,'Babblefish-APUMA'!$A$1:$B$86,2),C733),C733)</f>
        <v>93</v>
      </c>
    </row>
    <row r="734" customFormat="false" ht="12.75" hidden="false" customHeight="false" outlineLevel="0" collapsed="false">
      <c r="A734" s="0" t="n">
        <f aca="false">B734*1000+C734</f>
        <v>17072</v>
      </c>
      <c r="B734" s="0" t="n">
        <v>17</v>
      </c>
      <c r="C734" s="0" t="n">
        <v>72</v>
      </c>
      <c r="D734" s="0" t="n">
        <v>0</v>
      </c>
      <c r="E734" s="0" t="n">
        <f aca="false">VLOOKUP(B734,'Babblefish-APUMA'!$A$1:$B$86,2)</f>
        <v>87</v>
      </c>
      <c r="F734" s="0" t="n">
        <f aca="false">IF(C734&gt;1,IF(C734&lt;99,VLOOKUP(C734,'Babblefish-APUMA'!$A$1:$B$86,2),C734),C734)</f>
        <v>95</v>
      </c>
    </row>
    <row r="735" customFormat="false" ht="12.75" hidden="false" customHeight="false" outlineLevel="0" collapsed="false">
      <c r="A735" s="0" t="n">
        <f aca="false">B735*1000+C735</f>
        <v>17073</v>
      </c>
      <c r="B735" s="0" t="n">
        <v>17</v>
      </c>
      <c r="C735" s="0" t="n">
        <v>73</v>
      </c>
      <c r="D735" s="0" t="n">
        <v>481</v>
      </c>
      <c r="E735" s="0" t="n">
        <f aca="false">VLOOKUP(B735,'Babblefish-APUMA'!$A$1:$B$86,2)</f>
        <v>87</v>
      </c>
      <c r="F735" s="0" t="n">
        <f aca="false">IF(C735&gt;1,IF(C735&lt;99,VLOOKUP(C735,'Babblefish-APUMA'!$A$1:$B$86,2),C735),C735)</f>
        <v>99</v>
      </c>
    </row>
    <row r="736" customFormat="false" ht="12.75" hidden="false" customHeight="false" outlineLevel="0" collapsed="false">
      <c r="A736" s="0" t="n">
        <f aca="false">B736*1000+C736</f>
        <v>17075</v>
      </c>
      <c r="B736" s="0" t="n">
        <v>17</v>
      </c>
      <c r="C736" s="0" t="n">
        <v>75</v>
      </c>
      <c r="D736" s="0" t="n">
        <v>0</v>
      </c>
      <c r="E736" s="0" t="n">
        <f aca="false">VLOOKUP(B736,'Babblefish-APUMA'!$A$1:$B$86,2)</f>
        <v>87</v>
      </c>
      <c r="F736" s="0" t="n">
        <f aca="false">IF(C736&gt;1,IF(C736&lt;99,VLOOKUP(C736,'Babblefish-APUMA'!$A$1:$B$86,2),C736),C736)</f>
        <v>75</v>
      </c>
    </row>
    <row r="737" customFormat="false" ht="12.75" hidden="false" customHeight="false" outlineLevel="0" collapsed="false">
      <c r="A737" s="0" t="n">
        <f aca="false">B737*1000+C737</f>
        <v>17079</v>
      </c>
      <c r="B737" s="0" t="n">
        <v>17</v>
      </c>
      <c r="C737" s="0" t="n">
        <v>79</v>
      </c>
      <c r="D737" s="0" t="n">
        <v>0</v>
      </c>
      <c r="E737" s="0" t="n">
        <f aca="false">VLOOKUP(B737,'Babblefish-APUMA'!$A$1:$B$86,2)</f>
        <v>87</v>
      </c>
      <c r="F737" s="0" t="n">
        <f aca="false">IF(C737&gt;1,IF(C737&lt;99,VLOOKUP(C737,'Babblefish-APUMA'!$A$1:$B$86,2),C737),C737)</f>
        <v>89</v>
      </c>
    </row>
    <row r="738" customFormat="false" ht="12.75" hidden="false" customHeight="false" outlineLevel="0" collapsed="false">
      <c r="A738" s="0" t="n">
        <f aca="false">B738*1000+C738</f>
        <v>17080</v>
      </c>
      <c r="B738" s="0" t="n">
        <v>17</v>
      </c>
      <c r="C738" s="0" t="n">
        <v>80</v>
      </c>
      <c r="D738" s="0" t="n">
        <v>0</v>
      </c>
      <c r="E738" s="0" t="n">
        <f aca="false">VLOOKUP(B738,'Babblefish-APUMA'!$A$1:$B$86,2)</f>
        <v>87</v>
      </c>
      <c r="F738" s="0" t="n">
        <f aca="false">IF(C738&gt;1,IF(C738&lt;99,VLOOKUP(C738,'Babblefish-APUMA'!$A$1:$B$86,2),C738),C738)</f>
        <v>80</v>
      </c>
    </row>
    <row r="739" customFormat="false" ht="12.75" hidden="false" customHeight="false" outlineLevel="0" collapsed="false">
      <c r="A739" s="0" t="n">
        <f aca="false">B739*1000+C739</f>
        <v>17085</v>
      </c>
      <c r="B739" s="0" t="n">
        <v>17</v>
      </c>
      <c r="C739" s="0" t="n">
        <v>85</v>
      </c>
      <c r="D739" s="0" t="n">
        <v>0</v>
      </c>
      <c r="E739" s="0" t="n">
        <f aca="false">VLOOKUP(B739,'Babblefish-APUMA'!$A$1:$B$86,2)</f>
        <v>87</v>
      </c>
      <c r="F739" s="0" t="n">
        <f aca="false">IF(C739&gt;1,IF(C739&lt;99,VLOOKUP(C739,'Babblefish-APUMA'!$A$1:$B$86,2),C739),C739)</f>
        <v>97</v>
      </c>
    </row>
    <row r="740" customFormat="false" ht="12.75" hidden="false" customHeight="false" outlineLevel="0" collapsed="false">
      <c r="A740" s="0" t="n">
        <f aca="false">B740*1000+C740</f>
        <v>17999</v>
      </c>
      <c r="B740" s="0" t="n">
        <v>17</v>
      </c>
      <c r="C740" s="0" t="n">
        <v>999</v>
      </c>
      <c r="D740" s="0" t="n">
        <v>0</v>
      </c>
      <c r="E740" s="0" t="n">
        <f aca="false">VLOOKUP(B740,'Babblefish-APUMA'!$A$1:$B$86,2)</f>
        <v>87</v>
      </c>
      <c r="F740" s="0" t="n">
        <f aca="false">IF(C740&gt;1,IF(C740&lt;99,VLOOKUP(C740,'Babblefish-APUMA'!$A$1:$B$86,2),C740),C740)</f>
        <v>999</v>
      </c>
    </row>
    <row r="741" customFormat="false" ht="12.75" hidden="false" customHeight="false" outlineLevel="0" collapsed="false">
      <c r="A741" s="0" t="n">
        <f aca="false">B741*1000+C741</f>
        <v>18000</v>
      </c>
      <c r="B741" s="0" t="n">
        <v>18</v>
      </c>
      <c r="C741" s="0" t="n">
        <v>0</v>
      </c>
      <c r="D741" s="0" t="n">
        <v>340483</v>
      </c>
      <c r="E741" s="0" t="n">
        <f aca="false">VLOOKUP(B741,'Babblefish-APUMA'!$A$1:$B$86,2)</f>
        <v>87</v>
      </c>
      <c r="F741" s="0" t="n">
        <f aca="false">IF(C741&gt;1,IF(C741&lt;99,VLOOKUP(C741,'Babblefish-APUMA'!$A$1:$B$86,2),C741),C741)</f>
        <v>0</v>
      </c>
    </row>
    <row r="742" customFormat="false" ht="12.75" hidden="false" customHeight="false" outlineLevel="0" collapsed="false">
      <c r="A742" s="0" t="n">
        <f aca="false">B742*1000+C742</f>
        <v>18001</v>
      </c>
      <c r="B742" s="0" t="n">
        <v>18</v>
      </c>
      <c r="C742" s="0" t="n">
        <v>1</v>
      </c>
      <c r="D742" s="0" t="n">
        <v>273</v>
      </c>
      <c r="E742" s="0" t="n">
        <f aca="false">VLOOKUP(B742,'Babblefish-APUMA'!$A$1:$B$86,2)</f>
        <v>87</v>
      </c>
      <c r="F742" s="0" t="n">
        <f aca="false">IF(C742&gt;1,IF(C742&lt;99,VLOOKUP(C742,'Babblefish-APUMA'!$A$1:$B$86,2),C742),C742)</f>
        <v>1</v>
      </c>
    </row>
    <row r="743" customFormat="false" ht="12.75" hidden="false" customHeight="false" outlineLevel="0" collapsed="false">
      <c r="A743" s="0" t="n">
        <f aca="false">B743*1000+C743</f>
        <v>18002</v>
      </c>
      <c r="B743" s="0" t="n">
        <v>18</v>
      </c>
      <c r="C743" s="0" t="n">
        <v>2</v>
      </c>
      <c r="D743" s="0" t="n">
        <v>117</v>
      </c>
      <c r="E743" s="0" t="n">
        <f aca="false">VLOOKUP(B743,'Babblefish-APUMA'!$A$1:$B$86,2)</f>
        <v>87</v>
      </c>
      <c r="F743" s="0" t="n">
        <f aca="false">IF(C743&gt;1,IF(C743&lt;99,VLOOKUP(C743,'Babblefish-APUMA'!$A$1:$B$86,2),C743),C743)</f>
        <v>2</v>
      </c>
    </row>
    <row r="744" customFormat="false" ht="12.75" hidden="false" customHeight="false" outlineLevel="0" collapsed="false">
      <c r="A744" s="0" t="n">
        <f aca="false">B744*1000+C744</f>
        <v>18003</v>
      </c>
      <c r="B744" s="0" t="n">
        <v>18</v>
      </c>
      <c r="C744" s="0" t="n">
        <v>3</v>
      </c>
      <c r="D744" s="0" t="n">
        <v>0</v>
      </c>
      <c r="E744" s="0" t="n">
        <f aca="false">VLOOKUP(B744,'Babblefish-APUMA'!$A$1:$B$86,2)</f>
        <v>87</v>
      </c>
      <c r="F744" s="0" t="n">
        <f aca="false">IF(C744&gt;1,IF(C744&lt;99,VLOOKUP(C744,'Babblefish-APUMA'!$A$1:$B$86,2),C744),C744)</f>
        <v>3</v>
      </c>
    </row>
    <row r="745" customFormat="false" ht="12.75" hidden="false" customHeight="false" outlineLevel="0" collapsed="false">
      <c r="A745" s="0" t="n">
        <f aca="false">B745*1000+C745</f>
        <v>18004</v>
      </c>
      <c r="B745" s="0" t="n">
        <v>18</v>
      </c>
      <c r="C745" s="0" t="n">
        <v>4</v>
      </c>
      <c r="D745" s="0" t="n">
        <v>182</v>
      </c>
      <c r="E745" s="0" t="n">
        <f aca="false">VLOOKUP(B745,'Babblefish-APUMA'!$A$1:$B$86,2)</f>
        <v>87</v>
      </c>
      <c r="F745" s="0" t="n">
        <f aca="false">IF(C745&gt;1,IF(C745&lt;99,VLOOKUP(C745,'Babblefish-APUMA'!$A$1:$B$86,2),C745),C745)</f>
        <v>4</v>
      </c>
    </row>
    <row r="746" customFormat="false" ht="12.75" hidden="false" customHeight="false" outlineLevel="0" collapsed="false">
      <c r="A746" s="0" t="n">
        <f aca="false">B746*1000+C746</f>
        <v>18005</v>
      </c>
      <c r="B746" s="0" t="n">
        <v>18</v>
      </c>
      <c r="C746" s="0" t="n">
        <v>5</v>
      </c>
      <c r="D746" s="0" t="n">
        <v>0</v>
      </c>
      <c r="E746" s="0" t="n">
        <f aca="false">VLOOKUP(B746,'Babblefish-APUMA'!$A$1:$B$86,2)</f>
        <v>87</v>
      </c>
      <c r="F746" s="0" t="n">
        <f aca="false">IF(C746&gt;1,IF(C746&lt;99,VLOOKUP(C746,'Babblefish-APUMA'!$A$1:$B$86,2),C746),C746)</f>
        <v>5</v>
      </c>
    </row>
    <row r="747" customFormat="false" ht="12.75" hidden="false" customHeight="false" outlineLevel="0" collapsed="false">
      <c r="A747" s="0" t="n">
        <f aca="false">B747*1000+C747</f>
        <v>18006</v>
      </c>
      <c r="B747" s="0" t="n">
        <v>18</v>
      </c>
      <c r="C747" s="0" t="n">
        <v>6</v>
      </c>
      <c r="D747" s="0" t="n">
        <v>143</v>
      </c>
      <c r="E747" s="0" t="n">
        <f aca="false">VLOOKUP(B747,'Babblefish-APUMA'!$A$1:$B$86,2)</f>
        <v>87</v>
      </c>
      <c r="F747" s="0" t="n">
        <f aca="false">IF(C747&gt;1,IF(C747&lt;99,VLOOKUP(C747,'Babblefish-APUMA'!$A$1:$B$86,2),C747),C747)</f>
        <v>6</v>
      </c>
    </row>
    <row r="748" customFormat="false" ht="12.75" hidden="false" customHeight="false" outlineLevel="0" collapsed="false">
      <c r="A748" s="0" t="n">
        <f aca="false">B748*1000+C748</f>
        <v>18007</v>
      </c>
      <c r="B748" s="0" t="n">
        <v>18</v>
      </c>
      <c r="C748" s="0" t="n">
        <v>7</v>
      </c>
      <c r="D748" s="0" t="n">
        <v>0</v>
      </c>
      <c r="E748" s="0" t="n">
        <f aca="false">VLOOKUP(B748,'Babblefish-APUMA'!$A$1:$B$86,2)</f>
        <v>87</v>
      </c>
      <c r="F748" s="0" t="n">
        <f aca="false">IF(C748&gt;1,IF(C748&lt;99,VLOOKUP(C748,'Babblefish-APUMA'!$A$1:$B$86,2),C748),C748)</f>
        <v>7</v>
      </c>
    </row>
    <row r="749" customFormat="false" ht="12.75" hidden="false" customHeight="false" outlineLevel="0" collapsed="false">
      <c r="A749" s="0" t="n">
        <f aca="false">B749*1000+C749</f>
        <v>18008</v>
      </c>
      <c r="B749" s="0" t="n">
        <v>18</v>
      </c>
      <c r="C749" s="0" t="n">
        <v>8</v>
      </c>
      <c r="D749" s="0" t="n">
        <v>0</v>
      </c>
      <c r="E749" s="0" t="n">
        <f aca="false">VLOOKUP(B749,'Babblefish-APUMA'!$A$1:$B$86,2)</f>
        <v>87</v>
      </c>
      <c r="F749" s="0" t="n">
        <f aca="false">IF(C749&gt;1,IF(C749&lt;99,VLOOKUP(C749,'Babblefish-APUMA'!$A$1:$B$86,2),C749),C749)</f>
        <v>8</v>
      </c>
    </row>
    <row r="750" customFormat="false" ht="12.75" hidden="false" customHeight="false" outlineLevel="0" collapsed="false">
      <c r="A750" s="0" t="n">
        <f aca="false">B750*1000+C750</f>
        <v>18009</v>
      </c>
      <c r="B750" s="0" t="n">
        <v>18</v>
      </c>
      <c r="C750" s="0" t="n">
        <v>9</v>
      </c>
      <c r="D750" s="0" t="n">
        <v>533</v>
      </c>
      <c r="E750" s="0" t="n">
        <f aca="false">VLOOKUP(B750,'Babblefish-APUMA'!$A$1:$B$86,2)</f>
        <v>87</v>
      </c>
      <c r="F750" s="0" t="n">
        <f aca="false">IF(C750&gt;1,IF(C750&lt;99,VLOOKUP(C750,'Babblefish-APUMA'!$A$1:$B$86,2),C750),C750)</f>
        <v>9</v>
      </c>
    </row>
    <row r="751" customFormat="false" ht="12.75" hidden="false" customHeight="false" outlineLevel="0" collapsed="false">
      <c r="A751" s="0" t="n">
        <f aca="false">B751*1000+C751</f>
        <v>18010</v>
      </c>
      <c r="B751" s="0" t="n">
        <v>18</v>
      </c>
      <c r="C751" s="0" t="n">
        <v>10</v>
      </c>
      <c r="D751" s="0" t="n">
        <v>65</v>
      </c>
      <c r="E751" s="0" t="n">
        <f aca="false">VLOOKUP(B751,'Babblefish-APUMA'!$A$1:$B$86,2)</f>
        <v>87</v>
      </c>
      <c r="F751" s="0" t="n">
        <f aca="false">IF(C751&gt;1,IF(C751&lt;99,VLOOKUP(C751,'Babblefish-APUMA'!$A$1:$B$86,2),C751),C751)</f>
        <v>10</v>
      </c>
    </row>
    <row r="752" customFormat="false" ht="12.75" hidden="false" customHeight="false" outlineLevel="0" collapsed="false">
      <c r="A752" s="0" t="n">
        <f aca="false">B752*1000+C752</f>
        <v>18011</v>
      </c>
      <c r="B752" s="0" t="n">
        <v>18</v>
      </c>
      <c r="C752" s="0" t="n">
        <v>11</v>
      </c>
      <c r="D752" s="0" t="n">
        <v>338</v>
      </c>
      <c r="E752" s="0" t="n">
        <f aca="false">VLOOKUP(B752,'Babblefish-APUMA'!$A$1:$B$86,2)</f>
        <v>87</v>
      </c>
      <c r="F752" s="0" t="n">
        <f aca="false">IF(C752&gt;1,IF(C752&lt;99,VLOOKUP(C752,'Babblefish-APUMA'!$A$1:$B$86,2),C752),C752)</f>
        <v>11</v>
      </c>
    </row>
    <row r="753" customFormat="false" ht="12.75" hidden="false" customHeight="false" outlineLevel="0" collapsed="false">
      <c r="A753" s="0" t="n">
        <f aca="false">B753*1000+C753</f>
        <v>18012</v>
      </c>
      <c r="B753" s="0" t="n">
        <v>18</v>
      </c>
      <c r="C753" s="0" t="n">
        <v>12</v>
      </c>
      <c r="D753" s="0" t="n">
        <v>234</v>
      </c>
      <c r="E753" s="0" t="n">
        <f aca="false">VLOOKUP(B753,'Babblefish-APUMA'!$A$1:$B$86,2)</f>
        <v>87</v>
      </c>
      <c r="F753" s="0" t="n">
        <f aca="false">IF(C753&gt;1,IF(C753&lt;99,VLOOKUP(C753,'Babblefish-APUMA'!$A$1:$B$86,2),C753),C753)</f>
        <v>12</v>
      </c>
    </row>
    <row r="754" customFormat="false" ht="12.75" hidden="false" customHeight="false" outlineLevel="0" collapsed="false">
      <c r="A754" s="0" t="n">
        <f aca="false">B754*1000+C754</f>
        <v>18013</v>
      </c>
      <c r="B754" s="0" t="n">
        <v>18</v>
      </c>
      <c r="C754" s="0" t="n">
        <v>13</v>
      </c>
      <c r="D754" s="0" t="n">
        <v>104</v>
      </c>
      <c r="E754" s="0" t="n">
        <f aca="false">VLOOKUP(B754,'Babblefish-APUMA'!$A$1:$B$86,2)</f>
        <v>87</v>
      </c>
      <c r="F754" s="0" t="n">
        <f aca="false">IF(C754&gt;1,IF(C754&lt;99,VLOOKUP(C754,'Babblefish-APUMA'!$A$1:$B$86,2),C754),C754)</f>
        <v>100</v>
      </c>
    </row>
    <row r="755" customFormat="false" ht="12.75" hidden="false" customHeight="false" outlineLevel="0" collapsed="false">
      <c r="A755" s="0" t="n">
        <f aca="false">B755*1000+C755</f>
        <v>18014</v>
      </c>
      <c r="B755" s="0" t="n">
        <v>18</v>
      </c>
      <c r="C755" s="0" t="n">
        <v>14</v>
      </c>
      <c r="D755" s="0" t="n">
        <v>338</v>
      </c>
      <c r="E755" s="0" t="n">
        <f aca="false">VLOOKUP(B755,'Babblefish-APUMA'!$A$1:$B$86,2)</f>
        <v>87</v>
      </c>
      <c r="F755" s="0" t="n">
        <f aca="false">IF(C755&gt;1,IF(C755&lt;99,VLOOKUP(C755,'Babblefish-APUMA'!$A$1:$B$86,2),C755),C755)</f>
        <v>100</v>
      </c>
    </row>
    <row r="756" customFormat="false" ht="12.75" hidden="false" customHeight="false" outlineLevel="0" collapsed="false">
      <c r="A756" s="0" t="n">
        <f aca="false">B756*1000+C756</f>
        <v>18015</v>
      </c>
      <c r="B756" s="0" t="n">
        <v>18</v>
      </c>
      <c r="C756" s="0" t="n">
        <v>15</v>
      </c>
      <c r="D756" s="0" t="n">
        <v>1859</v>
      </c>
      <c r="E756" s="0" t="n">
        <f aca="false">VLOOKUP(B756,'Babblefish-APUMA'!$A$1:$B$86,2)</f>
        <v>87</v>
      </c>
      <c r="F756" s="0" t="n">
        <f aca="false">IF(C756&gt;1,IF(C756&lt;99,VLOOKUP(C756,'Babblefish-APUMA'!$A$1:$B$86,2),C756),C756)</f>
        <v>15</v>
      </c>
    </row>
    <row r="757" customFormat="false" ht="12.75" hidden="false" customHeight="false" outlineLevel="0" collapsed="false">
      <c r="A757" s="0" t="n">
        <f aca="false">B757*1000+C757</f>
        <v>18016</v>
      </c>
      <c r="B757" s="0" t="n">
        <v>18</v>
      </c>
      <c r="C757" s="0" t="n">
        <v>16</v>
      </c>
      <c r="D757" s="0" t="n">
        <v>3549</v>
      </c>
      <c r="E757" s="0" t="n">
        <f aca="false">VLOOKUP(B757,'Babblefish-APUMA'!$A$1:$B$86,2)</f>
        <v>87</v>
      </c>
      <c r="F757" s="0" t="n">
        <f aca="false">IF(C757&gt;1,IF(C757&lt;99,VLOOKUP(C757,'Babblefish-APUMA'!$A$1:$B$86,2),C757),C757)</f>
        <v>99</v>
      </c>
    </row>
    <row r="758" customFormat="false" ht="12.75" hidden="false" customHeight="false" outlineLevel="0" collapsed="false">
      <c r="A758" s="0" t="n">
        <f aca="false">B758*1000+C758</f>
        <v>18017</v>
      </c>
      <c r="B758" s="0" t="n">
        <v>18</v>
      </c>
      <c r="C758" s="0" t="n">
        <v>17</v>
      </c>
      <c r="D758" s="0" t="n">
        <v>13598</v>
      </c>
      <c r="E758" s="0" t="n">
        <f aca="false">VLOOKUP(B758,'Babblefish-APUMA'!$A$1:$B$86,2)</f>
        <v>87</v>
      </c>
      <c r="F758" s="0" t="n">
        <f aca="false">IF(C758&gt;1,IF(C758&lt;99,VLOOKUP(C758,'Babblefish-APUMA'!$A$1:$B$86,2),C758),C758)</f>
        <v>87</v>
      </c>
    </row>
    <row r="759" customFormat="false" ht="12.75" hidden="false" customHeight="false" outlineLevel="0" collapsed="false">
      <c r="A759" s="0" t="n">
        <f aca="false">B759*1000+C759</f>
        <v>18018</v>
      </c>
      <c r="B759" s="0" t="n">
        <v>18</v>
      </c>
      <c r="C759" s="0" t="n">
        <v>18</v>
      </c>
      <c r="D759" s="0" t="n">
        <v>209313</v>
      </c>
      <c r="E759" s="0" t="n">
        <f aca="false">VLOOKUP(B759,'Babblefish-APUMA'!$A$1:$B$86,2)</f>
        <v>87</v>
      </c>
      <c r="F759" s="0" t="n">
        <f aca="false">IF(C759&gt;1,IF(C759&lt;99,VLOOKUP(C759,'Babblefish-APUMA'!$A$1:$B$86,2),C759),C759)</f>
        <v>87</v>
      </c>
    </row>
    <row r="760" customFormat="false" ht="12.75" hidden="false" customHeight="false" outlineLevel="0" collapsed="false">
      <c r="A760" s="0" t="n">
        <f aca="false">B760*1000+C760</f>
        <v>18019</v>
      </c>
      <c r="B760" s="0" t="n">
        <v>18</v>
      </c>
      <c r="C760" s="0" t="n">
        <v>19</v>
      </c>
      <c r="D760" s="0" t="n">
        <v>37583</v>
      </c>
      <c r="E760" s="0" t="n">
        <f aca="false">VLOOKUP(B760,'Babblefish-APUMA'!$A$1:$B$86,2)</f>
        <v>87</v>
      </c>
      <c r="F760" s="0" t="n">
        <f aca="false">IF(C760&gt;1,IF(C760&lt;99,VLOOKUP(C760,'Babblefish-APUMA'!$A$1:$B$86,2),C760),C760)</f>
        <v>19</v>
      </c>
    </row>
    <row r="761" customFormat="false" ht="12.75" hidden="false" customHeight="false" outlineLevel="0" collapsed="false">
      <c r="A761" s="0" t="n">
        <f aca="false">B761*1000+C761</f>
        <v>18020</v>
      </c>
      <c r="B761" s="0" t="n">
        <v>18</v>
      </c>
      <c r="C761" s="0" t="n">
        <v>20</v>
      </c>
      <c r="D761" s="0" t="n">
        <v>15041</v>
      </c>
      <c r="E761" s="0" t="n">
        <f aca="false">VLOOKUP(B761,'Babblefish-APUMA'!$A$1:$B$86,2)</f>
        <v>87</v>
      </c>
      <c r="F761" s="0" t="n">
        <f aca="false">IF(C761&gt;1,IF(C761&lt;99,VLOOKUP(C761,'Babblefish-APUMA'!$A$1:$B$86,2),C761),C761)</f>
        <v>86</v>
      </c>
    </row>
    <row r="762" customFormat="false" ht="12.75" hidden="false" customHeight="false" outlineLevel="0" collapsed="false">
      <c r="A762" s="0" t="n">
        <f aca="false">B762*1000+C762</f>
        <v>18021</v>
      </c>
      <c r="B762" s="0" t="n">
        <v>18</v>
      </c>
      <c r="C762" s="0" t="n">
        <v>21</v>
      </c>
      <c r="D762" s="0" t="n">
        <v>53898</v>
      </c>
      <c r="E762" s="0" t="n">
        <f aca="false">VLOOKUP(B762,'Babblefish-APUMA'!$A$1:$B$86,2)</f>
        <v>87</v>
      </c>
      <c r="F762" s="0" t="n">
        <f aca="false">IF(C762&gt;1,IF(C762&lt;99,VLOOKUP(C762,'Babblefish-APUMA'!$A$1:$B$86,2),C762),C762)</f>
        <v>86</v>
      </c>
    </row>
    <row r="763" customFormat="false" ht="12.75" hidden="false" customHeight="false" outlineLevel="0" collapsed="false">
      <c r="A763" s="0" t="n">
        <f aca="false">B763*1000+C763</f>
        <v>18022</v>
      </c>
      <c r="B763" s="0" t="n">
        <v>18</v>
      </c>
      <c r="C763" s="0" t="n">
        <v>22</v>
      </c>
      <c r="D763" s="0" t="n">
        <v>6708</v>
      </c>
      <c r="E763" s="0" t="n">
        <f aca="false">VLOOKUP(B763,'Babblefish-APUMA'!$A$1:$B$86,2)</f>
        <v>87</v>
      </c>
      <c r="F763" s="0" t="n">
        <f aca="false">IF(C763&gt;1,IF(C763&lt;99,VLOOKUP(C763,'Babblefish-APUMA'!$A$1:$B$86,2),C763),C763)</f>
        <v>22</v>
      </c>
    </row>
    <row r="764" customFormat="false" ht="12.75" hidden="false" customHeight="false" outlineLevel="0" collapsed="false">
      <c r="A764" s="0" t="n">
        <f aca="false">B764*1000+C764</f>
        <v>18023</v>
      </c>
      <c r="B764" s="0" t="n">
        <v>18</v>
      </c>
      <c r="C764" s="0" t="n">
        <v>23</v>
      </c>
      <c r="D764" s="0" t="n">
        <v>351</v>
      </c>
      <c r="E764" s="0" t="n">
        <f aca="false">VLOOKUP(B764,'Babblefish-APUMA'!$A$1:$B$86,2)</f>
        <v>87</v>
      </c>
      <c r="F764" s="0" t="n">
        <f aca="false">IF(C764&gt;1,IF(C764&lt;99,VLOOKUP(C764,'Babblefish-APUMA'!$A$1:$B$86,2),C764),C764)</f>
        <v>97</v>
      </c>
    </row>
    <row r="765" customFormat="false" ht="12.75" hidden="false" customHeight="false" outlineLevel="0" collapsed="false">
      <c r="A765" s="0" t="n">
        <f aca="false">B765*1000+C765</f>
        <v>18024</v>
      </c>
      <c r="B765" s="0" t="n">
        <v>18</v>
      </c>
      <c r="C765" s="0" t="n">
        <v>24</v>
      </c>
      <c r="D765" s="0" t="n">
        <v>0</v>
      </c>
      <c r="E765" s="0" t="n">
        <f aca="false">VLOOKUP(B765,'Babblefish-APUMA'!$A$1:$B$86,2)</f>
        <v>87</v>
      </c>
      <c r="F765" s="0" t="n">
        <f aca="false">IF(C765&gt;1,IF(C765&lt;99,VLOOKUP(C765,'Babblefish-APUMA'!$A$1:$B$86,2),C765),C765)</f>
        <v>101</v>
      </c>
    </row>
    <row r="766" customFormat="false" ht="12.75" hidden="false" customHeight="false" outlineLevel="0" collapsed="false">
      <c r="A766" s="0" t="n">
        <f aca="false">B766*1000+C766</f>
        <v>18025</v>
      </c>
      <c r="B766" s="0" t="n">
        <v>18</v>
      </c>
      <c r="C766" s="0" t="n">
        <v>25</v>
      </c>
      <c r="D766" s="0" t="n">
        <v>0</v>
      </c>
      <c r="E766" s="0" t="n">
        <f aca="false">VLOOKUP(B766,'Babblefish-APUMA'!$A$1:$B$86,2)</f>
        <v>87</v>
      </c>
      <c r="F766" s="0" t="n">
        <f aca="false">IF(C766&gt;1,IF(C766&lt;99,VLOOKUP(C766,'Babblefish-APUMA'!$A$1:$B$86,2),C766),C766)</f>
        <v>101</v>
      </c>
    </row>
    <row r="767" customFormat="false" ht="12.75" hidden="false" customHeight="false" outlineLevel="0" collapsed="false">
      <c r="A767" s="0" t="n">
        <f aca="false">B767*1000+C767</f>
        <v>18026</v>
      </c>
      <c r="B767" s="0" t="n">
        <v>18</v>
      </c>
      <c r="C767" s="0" t="n">
        <v>26</v>
      </c>
      <c r="D767" s="0" t="n">
        <v>130</v>
      </c>
      <c r="E767" s="0" t="n">
        <f aca="false">VLOOKUP(B767,'Babblefish-APUMA'!$A$1:$B$86,2)</f>
        <v>87</v>
      </c>
      <c r="F767" s="0" t="n">
        <f aca="false">IF(C767&gt;1,IF(C767&lt;99,VLOOKUP(C767,'Babblefish-APUMA'!$A$1:$B$86,2),C767),C767)</f>
        <v>26</v>
      </c>
    </row>
    <row r="768" customFormat="false" ht="12.75" hidden="false" customHeight="false" outlineLevel="0" collapsed="false">
      <c r="A768" s="0" t="n">
        <f aca="false">B768*1000+C768</f>
        <v>18027</v>
      </c>
      <c r="B768" s="0" t="n">
        <v>18</v>
      </c>
      <c r="C768" s="0" t="n">
        <v>27</v>
      </c>
      <c r="D768" s="0" t="n">
        <v>0</v>
      </c>
      <c r="E768" s="0" t="n">
        <f aca="false">VLOOKUP(B768,'Babblefish-APUMA'!$A$1:$B$86,2)</f>
        <v>87</v>
      </c>
      <c r="F768" s="0" t="n">
        <f aca="false">IF(C768&gt;1,IF(C768&lt;99,VLOOKUP(C768,'Babblefish-APUMA'!$A$1:$B$86,2),C768),C768)</f>
        <v>27</v>
      </c>
    </row>
    <row r="769" customFormat="false" ht="12.75" hidden="false" customHeight="false" outlineLevel="0" collapsed="false">
      <c r="A769" s="0" t="n">
        <f aca="false">B769*1000+C769</f>
        <v>18028</v>
      </c>
      <c r="B769" s="0" t="n">
        <v>18</v>
      </c>
      <c r="C769" s="0" t="n">
        <v>28</v>
      </c>
      <c r="D769" s="0" t="n">
        <v>468</v>
      </c>
      <c r="E769" s="0" t="n">
        <f aca="false">VLOOKUP(B769,'Babblefish-APUMA'!$A$1:$B$86,2)</f>
        <v>87</v>
      </c>
      <c r="F769" s="0" t="n">
        <f aca="false">IF(C769&gt;1,IF(C769&lt;99,VLOOKUP(C769,'Babblefish-APUMA'!$A$1:$B$86,2),C769),C769)</f>
        <v>94</v>
      </c>
    </row>
    <row r="770" customFormat="false" ht="12.75" hidden="false" customHeight="false" outlineLevel="0" collapsed="false">
      <c r="A770" s="0" t="n">
        <f aca="false">B770*1000+C770</f>
        <v>18029</v>
      </c>
      <c r="B770" s="0" t="n">
        <v>18</v>
      </c>
      <c r="C770" s="0" t="n">
        <v>29</v>
      </c>
      <c r="D770" s="0" t="n">
        <v>91</v>
      </c>
      <c r="E770" s="0" t="n">
        <f aca="false">VLOOKUP(B770,'Babblefish-APUMA'!$A$1:$B$86,2)</f>
        <v>87</v>
      </c>
      <c r="F770" s="0" t="n">
        <f aca="false">IF(C770&gt;1,IF(C770&lt;99,VLOOKUP(C770,'Babblefish-APUMA'!$A$1:$B$86,2),C770),C770)</f>
        <v>94</v>
      </c>
    </row>
    <row r="771" customFormat="false" ht="12.75" hidden="false" customHeight="false" outlineLevel="0" collapsed="false">
      <c r="A771" s="0" t="n">
        <f aca="false">B771*1000+C771</f>
        <v>18030</v>
      </c>
      <c r="B771" s="0" t="n">
        <v>18</v>
      </c>
      <c r="C771" s="0" t="n">
        <v>30</v>
      </c>
      <c r="D771" s="0" t="n">
        <v>0</v>
      </c>
      <c r="E771" s="0" t="n">
        <f aca="false">VLOOKUP(B771,'Babblefish-APUMA'!$A$1:$B$86,2)</f>
        <v>87</v>
      </c>
      <c r="F771" s="0" t="n">
        <f aca="false">IF(C771&gt;1,IF(C771&lt;99,VLOOKUP(C771,'Babblefish-APUMA'!$A$1:$B$86,2),C771),C771)</f>
        <v>30</v>
      </c>
    </row>
    <row r="772" customFormat="false" ht="12.75" hidden="false" customHeight="false" outlineLevel="0" collapsed="false">
      <c r="A772" s="0" t="n">
        <f aca="false">B772*1000+C772</f>
        <v>18031</v>
      </c>
      <c r="B772" s="0" t="n">
        <v>18</v>
      </c>
      <c r="C772" s="0" t="n">
        <v>31</v>
      </c>
      <c r="D772" s="0" t="n">
        <v>117</v>
      </c>
      <c r="E772" s="0" t="n">
        <f aca="false">VLOOKUP(B772,'Babblefish-APUMA'!$A$1:$B$86,2)</f>
        <v>87</v>
      </c>
      <c r="F772" s="0" t="n">
        <f aca="false">IF(C772&gt;1,IF(C772&lt;99,VLOOKUP(C772,'Babblefish-APUMA'!$A$1:$B$86,2),C772),C772)</f>
        <v>31</v>
      </c>
    </row>
    <row r="773" customFormat="false" ht="12.75" hidden="false" customHeight="false" outlineLevel="0" collapsed="false">
      <c r="A773" s="0" t="n">
        <f aca="false">B773*1000+C773</f>
        <v>18032</v>
      </c>
      <c r="B773" s="0" t="n">
        <v>18</v>
      </c>
      <c r="C773" s="0" t="n">
        <v>32</v>
      </c>
      <c r="D773" s="0" t="n">
        <v>104</v>
      </c>
      <c r="E773" s="0" t="n">
        <f aca="false">VLOOKUP(B773,'Babblefish-APUMA'!$A$1:$B$86,2)</f>
        <v>87</v>
      </c>
      <c r="F773" s="0" t="n">
        <f aca="false">IF(C773&gt;1,IF(C773&lt;99,VLOOKUP(C773,'Babblefish-APUMA'!$A$1:$B$86,2),C773),C773)</f>
        <v>32</v>
      </c>
    </row>
    <row r="774" customFormat="false" ht="12.75" hidden="false" customHeight="false" outlineLevel="0" collapsed="false">
      <c r="A774" s="0" t="n">
        <f aca="false">B774*1000+C774</f>
        <v>18033</v>
      </c>
      <c r="B774" s="0" t="n">
        <v>18</v>
      </c>
      <c r="C774" s="0" t="n">
        <v>33</v>
      </c>
      <c r="D774" s="0" t="n">
        <v>325</v>
      </c>
      <c r="E774" s="0" t="n">
        <f aca="false">VLOOKUP(B774,'Babblefish-APUMA'!$A$1:$B$86,2)</f>
        <v>87</v>
      </c>
      <c r="F774" s="0" t="n">
        <f aca="false">IF(C774&gt;1,IF(C774&lt;99,VLOOKUP(C774,'Babblefish-APUMA'!$A$1:$B$86,2),C774),C774)</f>
        <v>96</v>
      </c>
    </row>
    <row r="775" customFormat="false" ht="12.75" hidden="false" customHeight="false" outlineLevel="0" collapsed="false">
      <c r="A775" s="0" t="n">
        <f aca="false">B775*1000+C775</f>
        <v>18034</v>
      </c>
      <c r="B775" s="0" t="n">
        <v>18</v>
      </c>
      <c r="C775" s="0" t="n">
        <v>34</v>
      </c>
      <c r="D775" s="0" t="n">
        <v>0</v>
      </c>
      <c r="E775" s="0" t="n">
        <f aca="false">VLOOKUP(B775,'Babblefish-APUMA'!$A$1:$B$86,2)</f>
        <v>87</v>
      </c>
      <c r="F775" s="0" t="n">
        <f aca="false">IF(C775&gt;1,IF(C775&lt;99,VLOOKUP(C775,'Babblefish-APUMA'!$A$1:$B$86,2),C775),C775)</f>
        <v>96</v>
      </c>
    </row>
    <row r="776" customFormat="false" ht="12.75" hidden="false" customHeight="false" outlineLevel="0" collapsed="false">
      <c r="A776" s="0" t="n">
        <f aca="false">B776*1000+C776</f>
        <v>18035</v>
      </c>
      <c r="B776" s="0" t="n">
        <v>18</v>
      </c>
      <c r="C776" s="0" t="n">
        <v>35</v>
      </c>
      <c r="D776" s="0" t="n">
        <v>0</v>
      </c>
      <c r="E776" s="0" t="n">
        <f aca="false">VLOOKUP(B776,'Babblefish-APUMA'!$A$1:$B$86,2)</f>
        <v>87</v>
      </c>
      <c r="F776" s="0" t="n">
        <f aca="false">IF(C776&gt;1,IF(C776&lt;99,VLOOKUP(C776,'Babblefish-APUMA'!$A$1:$B$86,2),C776),C776)</f>
        <v>96</v>
      </c>
    </row>
    <row r="777" customFormat="false" ht="12.75" hidden="false" customHeight="false" outlineLevel="0" collapsed="false">
      <c r="A777" s="0" t="n">
        <f aca="false">B777*1000+C777</f>
        <v>18037</v>
      </c>
      <c r="B777" s="0" t="n">
        <v>18</v>
      </c>
      <c r="C777" s="0" t="n">
        <v>37</v>
      </c>
      <c r="D777" s="0" t="n">
        <v>169</v>
      </c>
      <c r="E777" s="0" t="n">
        <f aca="false">VLOOKUP(B777,'Babblefish-APUMA'!$A$1:$B$86,2)</f>
        <v>87</v>
      </c>
      <c r="F777" s="0" t="n">
        <f aca="false">IF(C777&gt;1,IF(C777&lt;99,VLOOKUP(C777,'Babblefish-APUMA'!$A$1:$B$86,2),C777),C777)</f>
        <v>96</v>
      </c>
    </row>
    <row r="778" customFormat="false" ht="12.75" hidden="false" customHeight="false" outlineLevel="0" collapsed="false">
      <c r="A778" s="0" t="n">
        <f aca="false">B778*1000+C778</f>
        <v>18039</v>
      </c>
      <c r="B778" s="0" t="n">
        <v>18</v>
      </c>
      <c r="C778" s="0" t="n">
        <v>39</v>
      </c>
      <c r="D778" s="0" t="n">
        <v>0</v>
      </c>
      <c r="E778" s="0" t="n">
        <f aca="false">VLOOKUP(B778,'Babblefish-APUMA'!$A$1:$B$86,2)</f>
        <v>87</v>
      </c>
      <c r="F778" s="0" t="n">
        <f aca="false">IF(C778&gt;1,IF(C778&lt;99,VLOOKUP(C778,'Babblefish-APUMA'!$A$1:$B$86,2),C778),C778)</f>
        <v>91</v>
      </c>
    </row>
    <row r="779" customFormat="false" ht="12.75" hidden="false" customHeight="false" outlineLevel="0" collapsed="false">
      <c r="A779" s="0" t="n">
        <f aca="false">B779*1000+C779</f>
        <v>18040</v>
      </c>
      <c r="B779" s="0" t="n">
        <v>18</v>
      </c>
      <c r="C779" s="0" t="n">
        <v>40</v>
      </c>
      <c r="D779" s="0" t="n">
        <v>104</v>
      </c>
      <c r="E779" s="0" t="n">
        <f aca="false">VLOOKUP(B779,'Babblefish-APUMA'!$A$1:$B$86,2)</f>
        <v>87</v>
      </c>
      <c r="F779" s="0" t="n">
        <f aca="false">IF(C779&gt;1,IF(C779&lt;99,VLOOKUP(C779,'Babblefish-APUMA'!$A$1:$B$86,2),C779),C779)</f>
        <v>88</v>
      </c>
    </row>
    <row r="780" customFormat="false" ht="12.75" hidden="false" customHeight="false" outlineLevel="0" collapsed="false">
      <c r="A780" s="0" t="n">
        <f aca="false">B780*1000+C780</f>
        <v>18041</v>
      </c>
      <c r="B780" s="0" t="n">
        <v>18</v>
      </c>
      <c r="C780" s="0" t="n">
        <v>41</v>
      </c>
      <c r="D780" s="0" t="n">
        <v>0</v>
      </c>
      <c r="E780" s="0" t="n">
        <f aca="false">VLOOKUP(B780,'Babblefish-APUMA'!$A$1:$B$86,2)</f>
        <v>87</v>
      </c>
      <c r="F780" s="0" t="n">
        <f aca="false">IF(C780&gt;1,IF(C780&lt;99,VLOOKUP(C780,'Babblefish-APUMA'!$A$1:$B$86,2),C780),C780)</f>
        <v>88</v>
      </c>
    </row>
    <row r="781" customFormat="false" ht="12.75" hidden="false" customHeight="false" outlineLevel="0" collapsed="false">
      <c r="A781" s="0" t="n">
        <f aca="false">B781*1000+C781</f>
        <v>18042</v>
      </c>
      <c r="B781" s="0" t="n">
        <v>18</v>
      </c>
      <c r="C781" s="0" t="n">
        <v>42</v>
      </c>
      <c r="D781" s="0" t="n">
        <v>65</v>
      </c>
      <c r="E781" s="0" t="n">
        <f aca="false">VLOOKUP(B781,'Babblefish-APUMA'!$A$1:$B$86,2)</f>
        <v>87</v>
      </c>
      <c r="F781" s="0" t="n">
        <f aca="false">IF(C781&gt;1,IF(C781&lt;99,VLOOKUP(C781,'Babblefish-APUMA'!$A$1:$B$86,2),C781),C781)</f>
        <v>92</v>
      </c>
    </row>
    <row r="782" customFormat="false" ht="12.75" hidden="false" customHeight="false" outlineLevel="0" collapsed="false">
      <c r="A782" s="0" t="n">
        <f aca="false">B782*1000+C782</f>
        <v>18048</v>
      </c>
      <c r="B782" s="0" t="n">
        <v>18</v>
      </c>
      <c r="C782" s="0" t="n">
        <v>48</v>
      </c>
      <c r="D782" s="0" t="n">
        <v>143</v>
      </c>
      <c r="E782" s="0" t="n">
        <f aca="false">VLOOKUP(B782,'Babblefish-APUMA'!$A$1:$B$86,2)</f>
        <v>87</v>
      </c>
      <c r="F782" s="0" t="n">
        <f aca="false">IF(C782&gt;1,IF(C782&lt;99,VLOOKUP(C782,'Babblefish-APUMA'!$A$1:$B$86,2),C782),C782)</f>
        <v>92</v>
      </c>
    </row>
    <row r="783" customFormat="false" ht="12.75" hidden="false" customHeight="false" outlineLevel="0" collapsed="false">
      <c r="A783" s="0" t="n">
        <f aca="false">B783*1000+C783</f>
        <v>18049</v>
      </c>
      <c r="B783" s="0" t="n">
        <v>18</v>
      </c>
      <c r="C783" s="0" t="n">
        <v>49</v>
      </c>
      <c r="D783" s="0" t="n">
        <v>2938</v>
      </c>
      <c r="E783" s="0" t="n">
        <f aca="false">VLOOKUP(B783,'Babblefish-APUMA'!$A$1:$B$86,2)</f>
        <v>87</v>
      </c>
      <c r="F783" s="0" t="n">
        <f aca="false">IF(C783&gt;1,IF(C783&lt;99,VLOOKUP(C783,'Babblefish-APUMA'!$A$1:$B$86,2),C783),C783)</f>
        <v>98</v>
      </c>
    </row>
    <row r="784" customFormat="false" ht="12.75" hidden="false" customHeight="false" outlineLevel="0" collapsed="false">
      <c r="A784" s="0" t="n">
        <f aca="false">B784*1000+C784</f>
        <v>18050</v>
      </c>
      <c r="B784" s="0" t="n">
        <v>18</v>
      </c>
      <c r="C784" s="0" t="n">
        <v>50</v>
      </c>
      <c r="D784" s="0" t="n">
        <v>806</v>
      </c>
      <c r="E784" s="0" t="n">
        <f aca="false">VLOOKUP(B784,'Babblefish-APUMA'!$A$1:$B$86,2)</f>
        <v>87</v>
      </c>
      <c r="F784" s="0" t="n">
        <f aca="false">IF(C784&gt;1,IF(C784&lt;99,VLOOKUP(C784,'Babblefish-APUMA'!$A$1:$B$86,2),C784),C784)</f>
        <v>98</v>
      </c>
    </row>
    <row r="785" customFormat="false" ht="12.75" hidden="false" customHeight="false" outlineLevel="0" collapsed="false">
      <c r="A785" s="0" t="n">
        <f aca="false">B785*1000+C785</f>
        <v>18051</v>
      </c>
      <c r="B785" s="0" t="n">
        <v>18</v>
      </c>
      <c r="C785" s="0" t="n">
        <v>51</v>
      </c>
      <c r="D785" s="0" t="n">
        <v>1924</v>
      </c>
      <c r="E785" s="0" t="n">
        <f aca="false">VLOOKUP(B785,'Babblefish-APUMA'!$A$1:$B$86,2)</f>
        <v>87</v>
      </c>
      <c r="F785" s="0" t="n">
        <f aca="false">IF(C785&gt;1,IF(C785&lt;99,VLOOKUP(C785,'Babblefish-APUMA'!$A$1:$B$86,2),C785),C785)</f>
        <v>98</v>
      </c>
    </row>
    <row r="786" customFormat="false" ht="12.75" hidden="false" customHeight="false" outlineLevel="0" collapsed="false">
      <c r="A786" s="0" t="n">
        <f aca="false">B786*1000+C786</f>
        <v>18052</v>
      </c>
      <c r="B786" s="0" t="n">
        <v>18</v>
      </c>
      <c r="C786" s="0" t="n">
        <v>52</v>
      </c>
      <c r="D786" s="0" t="n">
        <v>0</v>
      </c>
      <c r="E786" s="0" t="n">
        <f aca="false">VLOOKUP(B786,'Babblefish-APUMA'!$A$1:$B$86,2)</f>
        <v>87</v>
      </c>
      <c r="F786" s="0" t="n">
        <f aca="false">IF(C786&gt;1,IF(C786&lt;99,VLOOKUP(C786,'Babblefish-APUMA'!$A$1:$B$86,2),C786),C786)</f>
        <v>90</v>
      </c>
    </row>
    <row r="787" customFormat="false" ht="12.75" hidden="false" customHeight="false" outlineLevel="0" collapsed="false">
      <c r="A787" s="0" t="n">
        <f aca="false">B787*1000+C787</f>
        <v>18053</v>
      </c>
      <c r="B787" s="0" t="n">
        <v>18</v>
      </c>
      <c r="C787" s="0" t="n">
        <v>53</v>
      </c>
      <c r="D787" s="0" t="n">
        <v>143</v>
      </c>
      <c r="E787" s="0" t="n">
        <f aca="false">VLOOKUP(B787,'Babblefish-APUMA'!$A$1:$B$86,2)</f>
        <v>87</v>
      </c>
      <c r="F787" s="0" t="n">
        <f aca="false">IF(C787&gt;1,IF(C787&lt;99,VLOOKUP(C787,'Babblefish-APUMA'!$A$1:$B$86,2),C787),C787)</f>
        <v>90</v>
      </c>
    </row>
    <row r="788" customFormat="false" ht="12.75" hidden="false" customHeight="false" outlineLevel="0" collapsed="false">
      <c r="A788" s="0" t="n">
        <f aca="false">B788*1000+C788</f>
        <v>18055</v>
      </c>
      <c r="B788" s="0" t="n">
        <v>18</v>
      </c>
      <c r="C788" s="0" t="n">
        <v>55</v>
      </c>
      <c r="D788" s="0" t="n">
        <v>130</v>
      </c>
      <c r="E788" s="0" t="n">
        <f aca="false">VLOOKUP(B788,'Babblefish-APUMA'!$A$1:$B$86,2)</f>
        <v>87</v>
      </c>
      <c r="F788" s="0" t="n">
        <f aca="false">IF(C788&gt;1,IF(C788&lt;99,VLOOKUP(C788,'Babblefish-APUMA'!$A$1:$B$86,2),C788),C788)</f>
        <v>90</v>
      </c>
    </row>
    <row r="789" customFormat="false" ht="12.75" hidden="false" customHeight="false" outlineLevel="0" collapsed="false">
      <c r="A789" s="0" t="n">
        <f aca="false">B789*1000+C789</f>
        <v>18057</v>
      </c>
      <c r="B789" s="0" t="n">
        <v>18</v>
      </c>
      <c r="C789" s="0" t="n">
        <v>57</v>
      </c>
      <c r="D789" s="0" t="n">
        <v>52</v>
      </c>
      <c r="E789" s="0" t="n">
        <f aca="false">VLOOKUP(B789,'Babblefish-APUMA'!$A$1:$B$86,2)</f>
        <v>87</v>
      </c>
      <c r="F789" s="0" t="n">
        <f aca="false">IF(C789&gt;1,IF(C789&lt;99,VLOOKUP(C789,'Babblefish-APUMA'!$A$1:$B$86,2),C789),C789)</f>
        <v>90</v>
      </c>
    </row>
    <row r="790" customFormat="false" ht="12.75" hidden="false" customHeight="false" outlineLevel="0" collapsed="false">
      <c r="A790" s="0" t="n">
        <f aca="false">B790*1000+C790</f>
        <v>18060</v>
      </c>
      <c r="B790" s="0" t="n">
        <v>18</v>
      </c>
      <c r="C790" s="0" t="n">
        <v>60</v>
      </c>
      <c r="D790" s="0" t="n">
        <v>0</v>
      </c>
      <c r="E790" s="0" t="n">
        <f aca="false">VLOOKUP(B790,'Babblefish-APUMA'!$A$1:$B$86,2)</f>
        <v>87</v>
      </c>
      <c r="F790" s="0" t="n">
        <f aca="false">IF(C790&gt;1,IF(C790&lt;99,VLOOKUP(C790,'Babblefish-APUMA'!$A$1:$B$86,2),C790),C790)</f>
        <v>90</v>
      </c>
    </row>
    <row r="791" customFormat="false" ht="12.75" hidden="false" customHeight="false" outlineLevel="0" collapsed="false">
      <c r="A791" s="0" t="n">
        <f aca="false">B791*1000+C791</f>
        <v>18062</v>
      </c>
      <c r="B791" s="0" t="n">
        <v>18</v>
      </c>
      <c r="C791" s="0" t="n">
        <v>62</v>
      </c>
      <c r="D791" s="0" t="n">
        <v>104</v>
      </c>
      <c r="E791" s="0" t="n">
        <f aca="false">VLOOKUP(B791,'Babblefish-APUMA'!$A$1:$B$86,2)</f>
        <v>87</v>
      </c>
      <c r="F791" s="0" t="n">
        <f aca="false">IF(C791&gt;1,IF(C791&lt;99,VLOOKUP(C791,'Babblefish-APUMA'!$A$1:$B$86,2),C791),C791)</f>
        <v>90</v>
      </c>
    </row>
    <row r="792" customFormat="false" ht="12.75" hidden="false" customHeight="false" outlineLevel="0" collapsed="false">
      <c r="A792" s="0" t="n">
        <f aca="false">B792*1000+C792</f>
        <v>18064</v>
      </c>
      <c r="B792" s="0" t="n">
        <v>18</v>
      </c>
      <c r="C792" s="0" t="n">
        <v>64</v>
      </c>
      <c r="D792" s="0" t="n">
        <v>247</v>
      </c>
      <c r="E792" s="0" t="n">
        <f aca="false">VLOOKUP(B792,'Babblefish-APUMA'!$A$1:$B$86,2)</f>
        <v>87</v>
      </c>
      <c r="F792" s="0" t="n">
        <f aca="false">IF(C792&gt;1,IF(C792&lt;99,VLOOKUP(C792,'Babblefish-APUMA'!$A$1:$B$86,2),C792),C792)</f>
        <v>90</v>
      </c>
    </row>
    <row r="793" customFormat="false" ht="12.75" hidden="false" customHeight="false" outlineLevel="0" collapsed="false">
      <c r="A793" s="0" t="n">
        <f aca="false">B793*1000+C793</f>
        <v>18065</v>
      </c>
      <c r="B793" s="0" t="n">
        <v>18</v>
      </c>
      <c r="C793" s="0" t="n">
        <v>65</v>
      </c>
      <c r="D793" s="0" t="n">
        <v>130</v>
      </c>
      <c r="E793" s="0" t="n">
        <f aca="false">VLOOKUP(B793,'Babblefish-APUMA'!$A$1:$B$86,2)</f>
        <v>87</v>
      </c>
      <c r="F793" s="0" t="n">
        <f aca="false">IF(C793&gt;1,IF(C793&lt;99,VLOOKUP(C793,'Babblefish-APUMA'!$A$1:$B$86,2),C793),C793)</f>
        <v>90</v>
      </c>
    </row>
    <row r="794" customFormat="false" ht="12.75" hidden="false" customHeight="false" outlineLevel="0" collapsed="false">
      <c r="A794" s="0" t="n">
        <f aca="false">B794*1000+C794</f>
        <v>18067</v>
      </c>
      <c r="B794" s="0" t="n">
        <v>18</v>
      </c>
      <c r="C794" s="0" t="n">
        <v>67</v>
      </c>
      <c r="D794" s="0" t="n">
        <v>0</v>
      </c>
      <c r="E794" s="0" t="n">
        <f aca="false">VLOOKUP(B794,'Babblefish-APUMA'!$A$1:$B$86,2)</f>
        <v>87</v>
      </c>
      <c r="F794" s="0" t="n">
        <f aca="false">IF(C794&gt;1,IF(C794&lt;99,VLOOKUP(C794,'Babblefish-APUMA'!$A$1:$B$86,2),C794),C794)</f>
        <v>103</v>
      </c>
    </row>
    <row r="795" customFormat="false" ht="12.75" hidden="false" customHeight="false" outlineLevel="0" collapsed="false">
      <c r="A795" s="0" t="n">
        <f aca="false">B795*1000+C795</f>
        <v>18069</v>
      </c>
      <c r="B795" s="0" t="n">
        <v>18</v>
      </c>
      <c r="C795" s="0" t="n">
        <v>69</v>
      </c>
      <c r="D795" s="0" t="n">
        <v>0</v>
      </c>
      <c r="E795" s="0" t="n">
        <f aca="false">VLOOKUP(B795,'Babblefish-APUMA'!$A$1:$B$86,2)</f>
        <v>87</v>
      </c>
      <c r="F795" s="0" t="n">
        <f aca="false">IF(C795&gt;1,IF(C795&lt;99,VLOOKUP(C795,'Babblefish-APUMA'!$A$1:$B$86,2),C795),C795)</f>
        <v>93</v>
      </c>
    </row>
    <row r="796" customFormat="false" ht="12.75" hidden="false" customHeight="false" outlineLevel="0" collapsed="false">
      <c r="A796" s="0" t="n">
        <f aca="false">B796*1000+C796</f>
        <v>18071</v>
      </c>
      <c r="B796" s="0" t="n">
        <v>18</v>
      </c>
      <c r="C796" s="0" t="n">
        <v>71</v>
      </c>
      <c r="D796" s="0" t="n">
        <v>91</v>
      </c>
      <c r="E796" s="0" t="n">
        <f aca="false">VLOOKUP(B796,'Babblefish-APUMA'!$A$1:$B$86,2)</f>
        <v>87</v>
      </c>
      <c r="F796" s="0" t="n">
        <f aca="false">IF(C796&gt;1,IF(C796&lt;99,VLOOKUP(C796,'Babblefish-APUMA'!$A$1:$B$86,2),C796),C796)</f>
        <v>95</v>
      </c>
    </row>
    <row r="797" customFormat="false" ht="12.75" hidden="false" customHeight="false" outlineLevel="0" collapsed="false">
      <c r="A797" s="0" t="n">
        <f aca="false">B797*1000+C797</f>
        <v>18072</v>
      </c>
      <c r="B797" s="0" t="n">
        <v>18</v>
      </c>
      <c r="C797" s="0" t="n">
        <v>72</v>
      </c>
      <c r="D797" s="0" t="n">
        <v>78</v>
      </c>
      <c r="E797" s="0" t="n">
        <f aca="false">VLOOKUP(B797,'Babblefish-APUMA'!$A$1:$B$86,2)</f>
        <v>87</v>
      </c>
      <c r="F797" s="0" t="n">
        <f aca="false">IF(C797&gt;1,IF(C797&lt;99,VLOOKUP(C797,'Babblefish-APUMA'!$A$1:$B$86,2),C797),C797)</f>
        <v>95</v>
      </c>
    </row>
    <row r="798" customFormat="false" ht="12.75" hidden="false" customHeight="false" outlineLevel="0" collapsed="false">
      <c r="A798" s="0" t="n">
        <f aca="false">B798*1000+C798</f>
        <v>18073</v>
      </c>
      <c r="B798" s="0" t="n">
        <v>18</v>
      </c>
      <c r="C798" s="0" t="n">
        <v>73</v>
      </c>
      <c r="D798" s="0" t="n">
        <v>1443</v>
      </c>
      <c r="E798" s="0" t="n">
        <f aca="false">VLOOKUP(B798,'Babblefish-APUMA'!$A$1:$B$86,2)</f>
        <v>87</v>
      </c>
      <c r="F798" s="0" t="n">
        <f aca="false">IF(C798&gt;1,IF(C798&lt;99,VLOOKUP(C798,'Babblefish-APUMA'!$A$1:$B$86,2),C798),C798)</f>
        <v>99</v>
      </c>
    </row>
    <row r="799" customFormat="false" ht="12.75" hidden="false" customHeight="false" outlineLevel="0" collapsed="false">
      <c r="A799" s="0" t="n">
        <f aca="false">B799*1000+C799</f>
        <v>18075</v>
      </c>
      <c r="B799" s="0" t="n">
        <v>18</v>
      </c>
      <c r="C799" s="0" t="n">
        <v>75</v>
      </c>
      <c r="D799" s="0" t="n">
        <v>117</v>
      </c>
      <c r="E799" s="0" t="n">
        <f aca="false">VLOOKUP(B799,'Babblefish-APUMA'!$A$1:$B$86,2)</f>
        <v>87</v>
      </c>
      <c r="F799" s="0" t="n">
        <f aca="false">IF(C799&gt;1,IF(C799&lt;99,VLOOKUP(C799,'Babblefish-APUMA'!$A$1:$B$86,2),C799),C799)</f>
        <v>75</v>
      </c>
    </row>
    <row r="800" customFormat="false" ht="12.75" hidden="false" customHeight="false" outlineLevel="0" collapsed="false">
      <c r="A800" s="0" t="n">
        <f aca="false">B800*1000+C800</f>
        <v>18076</v>
      </c>
      <c r="B800" s="0" t="n">
        <v>18</v>
      </c>
      <c r="C800" s="0" t="n">
        <v>76</v>
      </c>
      <c r="D800" s="0" t="n">
        <v>52</v>
      </c>
      <c r="E800" s="0" t="n">
        <f aca="false">VLOOKUP(B800,'Babblefish-APUMA'!$A$1:$B$86,2)</f>
        <v>87</v>
      </c>
      <c r="F800" s="0" t="n">
        <f aca="false">IF(C800&gt;1,IF(C800&lt;99,VLOOKUP(C800,'Babblefish-APUMA'!$A$1:$B$86,2),C800),C800)</f>
        <v>76</v>
      </c>
    </row>
    <row r="801" customFormat="false" ht="12.75" hidden="false" customHeight="false" outlineLevel="0" collapsed="false">
      <c r="A801" s="0" t="n">
        <f aca="false">B801*1000+C801</f>
        <v>18079</v>
      </c>
      <c r="B801" s="0" t="n">
        <v>18</v>
      </c>
      <c r="C801" s="0" t="n">
        <v>79</v>
      </c>
      <c r="D801" s="0" t="n">
        <v>0</v>
      </c>
      <c r="E801" s="0" t="n">
        <f aca="false">VLOOKUP(B801,'Babblefish-APUMA'!$A$1:$B$86,2)</f>
        <v>87</v>
      </c>
      <c r="F801" s="0" t="n">
        <f aca="false">IF(C801&gt;1,IF(C801&lt;99,VLOOKUP(C801,'Babblefish-APUMA'!$A$1:$B$86,2),C801),C801)</f>
        <v>89</v>
      </c>
    </row>
    <row r="802" customFormat="false" ht="12.75" hidden="false" customHeight="false" outlineLevel="0" collapsed="false">
      <c r="A802" s="0" t="n">
        <f aca="false">B802*1000+C802</f>
        <v>18080</v>
      </c>
      <c r="B802" s="0" t="n">
        <v>18</v>
      </c>
      <c r="C802" s="0" t="n">
        <v>80</v>
      </c>
      <c r="D802" s="0" t="n">
        <v>52</v>
      </c>
      <c r="E802" s="0" t="n">
        <f aca="false">VLOOKUP(B802,'Babblefish-APUMA'!$A$1:$B$86,2)</f>
        <v>87</v>
      </c>
      <c r="F802" s="0" t="n">
        <f aca="false">IF(C802&gt;1,IF(C802&lt;99,VLOOKUP(C802,'Babblefish-APUMA'!$A$1:$B$86,2),C802),C802)</f>
        <v>80</v>
      </c>
    </row>
    <row r="803" customFormat="false" ht="12.75" hidden="false" customHeight="false" outlineLevel="0" collapsed="false">
      <c r="A803" s="0" t="n">
        <f aca="false">B803*1000+C803</f>
        <v>18085</v>
      </c>
      <c r="B803" s="0" t="n">
        <v>18</v>
      </c>
      <c r="C803" s="0" t="n">
        <v>85</v>
      </c>
      <c r="D803" s="0" t="n">
        <v>273</v>
      </c>
      <c r="E803" s="0" t="n">
        <f aca="false">VLOOKUP(B803,'Babblefish-APUMA'!$A$1:$B$86,2)</f>
        <v>87</v>
      </c>
      <c r="F803" s="0" t="n">
        <f aca="false">IF(C803&gt;1,IF(C803&lt;99,VLOOKUP(C803,'Babblefish-APUMA'!$A$1:$B$86,2),C803),C803)</f>
        <v>97</v>
      </c>
    </row>
    <row r="804" customFormat="false" ht="12.75" hidden="false" customHeight="false" outlineLevel="0" collapsed="false">
      <c r="A804" s="0" t="n">
        <f aca="false">B804*1000+C804</f>
        <v>18858</v>
      </c>
      <c r="B804" s="0" t="n">
        <v>18</v>
      </c>
      <c r="C804" s="0" t="n">
        <v>858</v>
      </c>
      <c r="D804" s="0" t="n">
        <v>78</v>
      </c>
      <c r="E804" s="0" t="n">
        <f aca="false">VLOOKUP(B804,'Babblefish-APUMA'!$A$1:$B$86,2)</f>
        <v>87</v>
      </c>
      <c r="F804" s="0" t="n">
        <f aca="false">IF(C804&gt;1,IF(C804&lt;99,VLOOKUP(C804,'Babblefish-APUMA'!$A$1:$B$86,2),C804),C804)</f>
        <v>858</v>
      </c>
    </row>
    <row r="805" customFormat="false" ht="12.75" hidden="false" customHeight="false" outlineLevel="0" collapsed="false">
      <c r="A805" s="0" t="n">
        <f aca="false">B805*1000+C805</f>
        <v>18999</v>
      </c>
      <c r="B805" s="0" t="n">
        <v>18</v>
      </c>
      <c r="C805" s="0" t="n">
        <v>999</v>
      </c>
      <c r="D805" s="0" t="n">
        <v>351</v>
      </c>
      <c r="E805" s="0" t="n">
        <f aca="false">VLOOKUP(B805,'Babblefish-APUMA'!$A$1:$B$86,2)</f>
        <v>87</v>
      </c>
      <c r="F805" s="0" t="n">
        <f aca="false">IF(C805&gt;1,IF(C805&lt;99,VLOOKUP(C805,'Babblefish-APUMA'!$A$1:$B$86,2),C805),C805)</f>
        <v>999</v>
      </c>
    </row>
    <row r="806" customFormat="false" ht="12.75" hidden="false" customHeight="false" outlineLevel="0" collapsed="false">
      <c r="A806" s="0" t="n">
        <f aca="false">B806*1000+C806</f>
        <v>19000</v>
      </c>
      <c r="B806" s="0" t="n">
        <v>19</v>
      </c>
      <c r="C806" s="0" t="n">
        <v>0</v>
      </c>
      <c r="D806" s="0" t="n">
        <v>347230</v>
      </c>
      <c r="E806" s="0" t="n">
        <f aca="false">VLOOKUP(B806,'Babblefish-APUMA'!$A$1:$B$86,2)</f>
        <v>19</v>
      </c>
      <c r="F806" s="0" t="n">
        <f aca="false">IF(C806&gt;1,IF(C806&lt;99,VLOOKUP(C806,'Babblefish-APUMA'!$A$1:$B$86,2),C806),C806)</f>
        <v>0</v>
      </c>
    </row>
    <row r="807" customFormat="false" ht="12.75" hidden="false" customHeight="false" outlineLevel="0" collapsed="false">
      <c r="A807" s="0" t="n">
        <f aca="false">B807*1000+C807</f>
        <v>19001</v>
      </c>
      <c r="B807" s="0" t="n">
        <v>19</v>
      </c>
      <c r="C807" s="0" t="n">
        <v>1</v>
      </c>
      <c r="D807" s="0" t="n">
        <v>143</v>
      </c>
      <c r="E807" s="0" t="n">
        <f aca="false">VLOOKUP(B807,'Babblefish-APUMA'!$A$1:$B$86,2)</f>
        <v>19</v>
      </c>
      <c r="F807" s="0" t="n">
        <f aca="false">IF(C807&gt;1,IF(C807&lt;99,VLOOKUP(C807,'Babblefish-APUMA'!$A$1:$B$86,2),C807),C807)</f>
        <v>1</v>
      </c>
    </row>
    <row r="808" customFormat="false" ht="12.75" hidden="false" customHeight="false" outlineLevel="0" collapsed="false">
      <c r="A808" s="0" t="n">
        <f aca="false">B808*1000+C808</f>
        <v>19002</v>
      </c>
      <c r="B808" s="0" t="n">
        <v>19</v>
      </c>
      <c r="C808" s="0" t="n">
        <v>2</v>
      </c>
      <c r="D808" s="0" t="n">
        <v>78</v>
      </c>
      <c r="E808" s="0" t="n">
        <f aca="false">VLOOKUP(B808,'Babblefish-APUMA'!$A$1:$B$86,2)</f>
        <v>19</v>
      </c>
      <c r="F808" s="0" t="n">
        <f aca="false">IF(C808&gt;1,IF(C808&lt;99,VLOOKUP(C808,'Babblefish-APUMA'!$A$1:$B$86,2),C808),C808)</f>
        <v>2</v>
      </c>
    </row>
    <row r="809" customFormat="false" ht="12.75" hidden="false" customHeight="false" outlineLevel="0" collapsed="false">
      <c r="A809" s="0" t="n">
        <f aca="false">B809*1000+C809</f>
        <v>19003</v>
      </c>
      <c r="B809" s="0" t="n">
        <v>19</v>
      </c>
      <c r="C809" s="0" t="n">
        <v>3</v>
      </c>
      <c r="D809" s="0" t="n">
        <v>156</v>
      </c>
      <c r="E809" s="0" t="n">
        <f aca="false">VLOOKUP(B809,'Babblefish-APUMA'!$A$1:$B$86,2)</f>
        <v>19</v>
      </c>
      <c r="F809" s="0" t="n">
        <f aca="false">IF(C809&gt;1,IF(C809&lt;99,VLOOKUP(C809,'Babblefish-APUMA'!$A$1:$B$86,2),C809),C809)</f>
        <v>3</v>
      </c>
    </row>
    <row r="810" customFormat="false" ht="12.75" hidden="false" customHeight="false" outlineLevel="0" collapsed="false">
      <c r="A810" s="0" t="n">
        <f aca="false">B810*1000+C810</f>
        <v>19004</v>
      </c>
      <c r="B810" s="0" t="n">
        <v>19</v>
      </c>
      <c r="C810" s="0" t="n">
        <v>4</v>
      </c>
      <c r="D810" s="0" t="n">
        <v>182</v>
      </c>
      <c r="E810" s="0" t="n">
        <f aca="false">VLOOKUP(B810,'Babblefish-APUMA'!$A$1:$B$86,2)</f>
        <v>19</v>
      </c>
      <c r="F810" s="0" t="n">
        <f aca="false">IF(C810&gt;1,IF(C810&lt;99,VLOOKUP(C810,'Babblefish-APUMA'!$A$1:$B$86,2),C810),C810)</f>
        <v>4</v>
      </c>
    </row>
    <row r="811" customFormat="false" ht="12.75" hidden="false" customHeight="false" outlineLevel="0" collapsed="false">
      <c r="A811" s="0" t="n">
        <f aca="false">B811*1000+C811</f>
        <v>19005</v>
      </c>
      <c r="B811" s="0" t="n">
        <v>19</v>
      </c>
      <c r="C811" s="0" t="n">
        <v>5</v>
      </c>
      <c r="D811" s="0" t="n">
        <v>0</v>
      </c>
      <c r="E811" s="0" t="n">
        <f aca="false">VLOOKUP(B811,'Babblefish-APUMA'!$A$1:$B$86,2)</f>
        <v>19</v>
      </c>
      <c r="F811" s="0" t="n">
        <f aca="false">IF(C811&gt;1,IF(C811&lt;99,VLOOKUP(C811,'Babblefish-APUMA'!$A$1:$B$86,2),C811),C811)</f>
        <v>5</v>
      </c>
    </row>
    <row r="812" customFormat="false" ht="12.75" hidden="false" customHeight="false" outlineLevel="0" collapsed="false">
      <c r="A812" s="0" t="n">
        <f aca="false">B812*1000+C812</f>
        <v>19006</v>
      </c>
      <c r="B812" s="0" t="n">
        <v>19</v>
      </c>
      <c r="C812" s="0" t="n">
        <v>6</v>
      </c>
      <c r="D812" s="0" t="n">
        <v>0</v>
      </c>
      <c r="E812" s="0" t="n">
        <f aca="false">VLOOKUP(B812,'Babblefish-APUMA'!$A$1:$B$86,2)</f>
        <v>19</v>
      </c>
      <c r="F812" s="0" t="n">
        <f aca="false">IF(C812&gt;1,IF(C812&lt;99,VLOOKUP(C812,'Babblefish-APUMA'!$A$1:$B$86,2),C812),C812)</f>
        <v>6</v>
      </c>
    </row>
    <row r="813" customFormat="false" ht="12.75" hidden="false" customHeight="false" outlineLevel="0" collapsed="false">
      <c r="A813" s="0" t="n">
        <f aca="false">B813*1000+C813</f>
        <v>19007</v>
      </c>
      <c r="B813" s="0" t="n">
        <v>19</v>
      </c>
      <c r="C813" s="0" t="n">
        <v>7</v>
      </c>
      <c r="D813" s="0" t="n">
        <v>78</v>
      </c>
      <c r="E813" s="0" t="n">
        <f aca="false">VLOOKUP(B813,'Babblefish-APUMA'!$A$1:$B$86,2)</f>
        <v>19</v>
      </c>
      <c r="F813" s="0" t="n">
        <f aca="false">IF(C813&gt;1,IF(C813&lt;99,VLOOKUP(C813,'Babblefish-APUMA'!$A$1:$B$86,2),C813),C813)</f>
        <v>7</v>
      </c>
    </row>
    <row r="814" customFormat="false" ht="12.75" hidden="false" customHeight="false" outlineLevel="0" collapsed="false">
      <c r="A814" s="0" t="n">
        <f aca="false">B814*1000+C814</f>
        <v>19008</v>
      </c>
      <c r="B814" s="0" t="n">
        <v>19</v>
      </c>
      <c r="C814" s="0" t="n">
        <v>8</v>
      </c>
      <c r="D814" s="0" t="n">
        <v>0</v>
      </c>
      <c r="E814" s="0" t="n">
        <f aca="false">VLOOKUP(B814,'Babblefish-APUMA'!$A$1:$B$86,2)</f>
        <v>19</v>
      </c>
      <c r="F814" s="0" t="n">
        <f aca="false">IF(C814&gt;1,IF(C814&lt;99,VLOOKUP(C814,'Babblefish-APUMA'!$A$1:$B$86,2),C814),C814)</f>
        <v>8</v>
      </c>
    </row>
    <row r="815" customFormat="false" ht="12.75" hidden="false" customHeight="false" outlineLevel="0" collapsed="false">
      <c r="A815" s="0" t="n">
        <f aca="false">B815*1000+C815</f>
        <v>19009</v>
      </c>
      <c r="B815" s="0" t="n">
        <v>19</v>
      </c>
      <c r="C815" s="0" t="n">
        <v>9</v>
      </c>
      <c r="D815" s="0" t="n">
        <v>130</v>
      </c>
      <c r="E815" s="0" t="n">
        <f aca="false">VLOOKUP(B815,'Babblefish-APUMA'!$A$1:$B$86,2)</f>
        <v>19</v>
      </c>
      <c r="F815" s="0" t="n">
        <f aca="false">IF(C815&gt;1,IF(C815&lt;99,VLOOKUP(C815,'Babblefish-APUMA'!$A$1:$B$86,2),C815),C815)</f>
        <v>9</v>
      </c>
    </row>
    <row r="816" customFormat="false" ht="12.75" hidden="false" customHeight="false" outlineLevel="0" collapsed="false">
      <c r="A816" s="0" t="n">
        <f aca="false">B816*1000+C816</f>
        <v>19010</v>
      </c>
      <c r="B816" s="0" t="n">
        <v>19</v>
      </c>
      <c r="C816" s="0" t="n">
        <v>10</v>
      </c>
      <c r="D816" s="0" t="n">
        <v>0</v>
      </c>
      <c r="E816" s="0" t="n">
        <f aca="false">VLOOKUP(B816,'Babblefish-APUMA'!$A$1:$B$86,2)</f>
        <v>19</v>
      </c>
      <c r="F816" s="0" t="n">
        <f aca="false">IF(C816&gt;1,IF(C816&lt;99,VLOOKUP(C816,'Babblefish-APUMA'!$A$1:$B$86,2),C816),C816)</f>
        <v>10</v>
      </c>
    </row>
    <row r="817" customFormat="false" ht="12.75" hidden="false" customHeight="false" outlineLevel="0" collapsed="false">
      <c r="A817" s="0" t="n">
        <f aca="false">B817*1000+C817</f>
        <v>19011</v>
      </c>
      <c r="B817" s="0" t="n">
        <v>19</v>
      </c>
      <c r="C817" s="0" t="n">
        <v>11</v>
      </c>
      <c r="D817" s="0" t="n">
        <v>117</v>
      </c>
      <c r="E817" s="0" t="n">
        <f aca="false">VLOOKUP(B817,'Babblefish-APUMA'!$A$1:$B$86,2)</f>
        <v>19</v>
      </c>
      <c r="F817" s="0" t="n">
        <f aca="false">IF(C817&gt;1,IF(C817&lt;99,VLOOKUP(C817,'Babblefish-APUMA'!$A$1:$B$86,2),C817),C817)</f>
        <v>11</v>
      </c>
    </row>
    <row r="818" customFormat="false" ht="12.75" hidden="false" customHeight="false" outlineLevel="0" collapsed="false">
      <c r="A818" s="0" t="n">
        <f aca="false">B818*1000+C818</f>
        <v>19012</v>
      </c>
      <c r="B818" s="0" t="n">
        <v>19</v>
      </c>
      <c r="C818" s="0" t="n">
        <v>12</v>
      </c>
      <c r="D818" s="0" t="n">
        <v>0</v>
      </c>
      <c r="E818" s="0" t="n">
        <f aca="false">VLOOKUP(B818,'Babblefish-APUMA'!$A$1:$B$86,2)</f>
        <v>19</v>
      </c>
      <c r="F818" s="0" t="n">
        <f aca="false">IF(C818&gt;1,IF(C818&lt;99,VLOOKUP(C818,'Babblefish-APUMA'!$A$1:$B$86,2),C818),C818)</f>
        <v>12</v>
      </c>
    </row>
    <row r="819" customFormat="false" ht="12.75" hidden="false" customHeight="false" outlineLevel="0" collapsed="false">
      <c r="A819" s="0" t="n">
        <f aca="false">B819*1000+C819</f>
        <v>19013</v>
      </c>
      <c r="B819" s="0" t="n">
        <v>19</v>
      </c>
      <c r="C819" s="0" t="n">
        <v>13</v>
      </c>
      <c r="D819" s="0" t="n">
        <v>143</v>
      </c>
      <c r="E819" s="0" t="n">
        <f aca="false">VLOOKUP(B819,'Babblefish-APUMA'!$A$1:$B$86,2)</f>
        <v>19</v>
      </c>
      <c r="F819" s="0" t="n">
        <f aca="false">IF(C819&gt;1,IF(C819&lt;99,VLOOKUP(C819,'Babblefish-APUMA'!$A$1:$B$86,2),C819),C819)</f>
        <v>100</v>
      </c>
    </row>
    <row r="820" customFormat="false" ht="12.75" hidden="false" customHeight="false" outlineLevel="0" collapsed="false">
      <c r="A820" s="0" t="n">
        <f aca="false">B820*1000+C820</f>
        <v>19014</v>
      </c>
      <c r="B820" s="0" t="n">
        <v>19</v>
      </c>
      <c r="C820" s="0" t="n">
        <v>14</v>
      </c>
      <c r="D820" s="0" t="n">
        <v>494</v>
      </c>
      <c r="E820" s="0" t="n">
        <f aca="false">VLOOKUP(B820,'Babblefish-APUMA'!$A$1:$B$86,2)</f>
        <v>19</v>
      </c>
      <c r="F820" s="0" t="n">
        <f aca="false">IF(C820&gt;1,IF(C820&lt;99,VLOOKUP(C820,'Babblefish-APUMA'!$A$1:$B$86,2),C820),C820)</f>
        <v>100</v>
      </c>
    </row>
    <row r="821" customFormat="false" ht="12.75" hidden="false" customHeight="false" outlineLevel="0" collapsed="false">
      <c r="A821" s="0" t="n">
        <f aca="false">B821*1000+C821</f>
        <v>19015</v>
      </c>
      <c r="B821" s="0" t="n">
        <v>19</v>
      </c>
      <c r="C821" s="0" t="n">
        <v>15</v>
      </c>
      <c r="D821" s="0" t="n">
        <v>4095</v>
      </c>
      <c r="E821" s="0" t="n">
        <f aca="false">VLOOKUP(B821,'Babblefish-APUMA'!$A$1:$B$86,2)</f>
        <v>19</v>
      </c>
      <c r="F821" s="0" t="n">
        <f aca="false">IF(C821&gt;1,IF(C821&lt;99,VLOOKUP(C821,'Babblefish-APUMA'!$A$1:$B$86,2),C821),C821)</f>
        <v>15</v>
      </c>
    </row>
    <row r="822" customFormat="false" ht="12.75" hidden="false" customHeight="false" outlineLevel="0" collapsed="false">
      <c r="A822" s="0" t="n">
        <f aca="false">B822*1000+C822</f>
        <v>19016</v>
      </c>
      <c r="B822" s="0" t="n">
        <v>19</v>
      </c>
      <c r="C822" s="0" t="n">
        <v>16</v>
      </c>
      <c r="D822" s="0" t="n">
        <v>143</v>
      </c>
      <c r="E822" s="0" t="n">
        <f aca="false">VLOOKUP(B822,'Babblefish-APUMA'!$A$1:$B$86,2)</f>
        <v>19</v>
      </c>
      <c r="F822" s="0" t="n">
        <f aca="false">IF(C822&gt;1,IF(C822&lt;99,VLOOKUP(C822,'Babblefish-APUMA'!$A$1:$B$86,2),C822),C822)</f>
        <v>99</v>
      </c>
    </row>
    <row r="823" customFormat="false" ht="12.75" hidden="false" customHeight="false" outlineLevel="0" collapsed="false">
      <c r="A823" s="0" t="n">
        <f aca="false">B823*1000+C823</f>
        <v>19017</v>
      </c>
      <c r="B823" s="0" t="n">
        <v>19</v>
      </c>
      <c r="C823" s="0" t="n">
        <v>17</v>
      </c>
      <c r="D823" s="0" t="n">
        <v>975</v>
      </c>
      <c r="E823" s="0" t="n">
        <f aca="false">VLOOKUP(B823,'Babblefish-APUMA'!$A$1:$B$86,2)</f>
        <v>19</v>
      </c>
      <c r="F823" s="0" t="n">
        <f aca="false">IF(C823&gt;1,IF(C823&lt;99,VLOOKUP(C823,'Babblefish-APUMA'!$A$1:$B$86,2),C823),C823)</f>
        <v>87</v>
      </c>
    </row>
    <row r="824" customFormat="false" ht="12.75" hidden="false" customHeight="false" outlineLevel="0" collapsed="false">
      <c r="A824" s="0" t="n">
        <f aca="false">B824*1000+C824</f>
        <v>19018</v>
      </c>
      <c r="B824" s="0" t="n">
        <v>19</v>
      </c>
      <c r="C824" s="0" t="n">
        <v>18</v>
      </c>
      <c r="D824" s="0" t="n">
        <v>5174</v>
      </c>
      <c r="E824" s="0" t="n">
        <f aca="false">VLOOKUP(B824,'Babblefish-APUMA'!$A$1:$B$86,2)</f>
        <v>19</v>
      </c>
      <c r="F824" s="0" t="n">
        <f aca="false">IF(C824&gt;1,IF(C824&lt;99,VLOOKUP(C824,'Babblefish-APUMA'!$A$1:$B$86,2),C824),C824)</f>
        <v>87</v>
      </c>
    </row>
    <row r="825" customFormat="false" ht="12.75" hidden="false" customHeight="false" outlineLevel="0" collapsed="false">
      <c r="A825" s="0" t="n">
        <f aca="false">B825*1000+C825</f>
        <v>19019</v>
      </c>
      <c r="B825" s="0" t="n">
        <v>19</v>
      </c>
      <c r="C825" s="0" t="n">
        <v>19</v>
      </c>
      <c r="D825" s="0" t="n">
        <v>313768</v>
      </c>
      <c r="E825" s="0" t="n">
        <f aca="false">VLOOKUP(B825,'Babblefish-APUMA'!$A$1:$B$86,2)</f>
        <v>19</v>
      </c>
      <c r="F825" s="0" t="n">
        <f aca="false">IF(C825&gt;1,IF(C825&lt;99,VLOOKUP(C825,'Babblefish-APUMA'!$A$1:$B$86,2),C825),C825)</f>
        <v>19</v>
      </c>
    </row>
    <row r="826" customFormat="false" ht="12.75" hidden="false" customHeight="false" outlineLevel="0" collapsed="false">
      <c r="A826" s="0" t="n">
        <f aca="false">B826*1000+C826</f>
        <v>19020</v>
      </c>
      <c r="B826" s="0" t="n">
        <v>19</v>
      </c>
      <c r="C826" s="0" t="n">
        <v>20</v>
      </c>
      <c r="D826" s="0" t="n">
        <v>5512</v>
      </c>
      <c r="E826" s="0" t="n">
        <f aca="false">VLOOKUP(B826,'Babblefish-APUMA'!$A$1:$B$86,2)</f>
        <v>19</v>
      </c>
      <c r="F826" s="0" t="n">
        <f aca="false">IF(C826&gt;1,IF(C826&lt;99,VLOOKUP(C826,'Babblefish-APUMA'!$A$1:$B$86,2),C826),C826)</f>
        <v>86</v>
      </c>
    </row>
    <row r="827" customFormat="false" ht="12.75" hidden="false" customHeight="false" outlineLevel="0" collapsed="false">
      <c r="A827" s="0" t="n">
        <f aca="false">B827*1000+C827</f>
        <v>19021</v>
      </c>
      <c r="B827" s="0" t="n">
        <v>19</v>
      </c>
      <c r="C827" s="0" t="n">
        <v>21</v>
      </c>
      <c r="D827" s="0" t="n">
        <v>14248</v>
      </c>
      <c r="E827" s="0" t="n">
        <f aca="false">VLOOKUP(B827,'Babblefish-APUMA'!$A$1:$B$86,2)</f>
        <v>19</v>
      </c>
      <c r="F827" s="0" t="n">
        <f aca="false">IF(C827&gt;1,IF(C827&lt;99,VLOOKUP(C827,'Babblefish-APUMA'!$A$1:$B$86,2),C827),C827)</f>
        <v>86</v>
      </c>
    </row>
    <row r="828" customFormat="false" ht="12.75" hidden="false" customHeight="false" outlineLevel="0" collapsed="false">
      <c r="A828" s="0" t="n">
        <f aca="false">B828*1000+C828</f>
        <v>19022</v>
      </c>
      <c r="B828" s="0" t="n">
        <v>19</v>
      </c>
      <c r="C828" s="0" t="n">
        <v>22</v>
      </c>
      <c r="D828" s="0" t="n">
        <v>29393</v>
      </c>
      <c r="E828" s="0" t="n">
        <f aca="false">VLOOKUP(B828,'Babblefish-APUMA'!$A$1:$B$86,2)</f>
        <v>19</v>
      </c>
      <c r="F828" s="0" t="n">
        <f aca="false">IF(C828&gt;1,IF(C828&lt;99,VLOOKUP(C828,'Babblefish-APUMA'!$A$1:$B$86,2),C828),C828)</f>
        <v>22</v>
      </c>
    </row>
    <row r="829" customFormat="false" ht="12.75" hidden="false" customHeight="false" outlineLevel="0" collapsed="false">
      <c r="A829" s="0" t="n">
        <f aca="false">B829*1000+C829</f>
        <v>19023</v>
      </c>
      <c r="B829" s="0" t="n">
        <v>19</v>
      </c>
      <c r="C829" s="0" t="n">
        <v>23</v>
      </c>
      <c r="D829" s="0" t="n">
        <v>117</v>
      </c>
      <c r="E829" s="0" t="n">
        <f aca="false">VLOOKUP(B829,'Babblefish-APUMA'!$A$1:$B$86,2)</f>
        <v>19</v>
      </c>
      <c r="F829" s="0" t="n">
        <f aca="false">IF(C829&gt;1,IF(C829&lt;99,VLOOKUP(C829,'Babblefish-APUMA'!$A$1:$B$86,2),C829),C829)</f>
        <v>97</v>
      </c>
    </row>
    <row r="830" customFormat="false" ht="12.75" hidden="false" customHeight="false" outlineLevel="0" collapsed="false">
      <c r="A830" s="0" t="n">
        <f aca="false">B830*1000+C830</f>
        <v>19024</v>
      </c>
      <c r="B830" s="0" t="n">
        <v>19</v>
      </c>
      <c r="C830" s="0" t="n">
        <v>24</v>
      </c>
      <c r="D830" s="0" t="n">
        <v>91</v>
      </c>
      <c r="E830" s="0" t="n">
        <f aca="false">VLOOKUP(B830,'Babblefish-APUMA'!$A$1:$B$86,2)</f>
        <v>19</v>
      </c>
      <c r="F830" s="0" t="n">
        <f aca="false">IF(C830&gt;1,IF(C830&lt;99,VLOOKUP(C830,'Babblefish-APUMA'!$A$1:$B$86,2),C830),C830)</f>
        <v>101</v>
      </c>
    </row>
    <row r="831" customFormat="false" ht="12.75" hidden="false" customHeight="false" outlineLevel="0" collapsed="false">
      <c r="A831" s="0" t="n">
        <f aca="false">B831*1000+C831</f>
        <v>19025</v>
      </c>
      <c r="B831" s="0" t="n">
        <v>19</v>
      </c>
      <c r="C831" s="0" t="n">
        <v>25</v>
      </c>
      <c r="D831" s="0" t="n">
        <v>143</v>
      </c>
      <c r="E831" s="0" t="n">
        <f aca="false">VLOOKUP(B831,'Babblefish-APUMA'!$A$1:$B$86,2)</f>
        <v>19</v>
      </c>
      <c r="F831" s="0" t="n">
        <f aca="false">IF(C831&gt;1,IF(C831&lt;99,VLOOKUP(C831,'Babblefish-APUMA'!$A$1:$B$86,2),C831),C831)</f>
        <v>101</v>
      </c>
    </row>
    <row r="832" customFormat="false" ht="12.75" hidden="false" customHeight="false" outlineLevel="0" collapsed="false">
      <c r="A832" s="0" t="n">
        <f aca="false">B832*1000+C832</f>
        <v>19026</v>
      </c>
      <c r="B832" s="0" t="n">
        <v>19</v>
      </c>
      <c r="C832" s="0" t="n">
        <v>26</v>
      </c>
      <c r="D832" s="0" t="n">
        <v>0</v>
      </c>
      <c r="E832" s="0" t="n">
        <f aca="false">VLOOKUP(B832,'Babblefish-APUMA'!$A$1:$B$86,2)</f>
        <v>19</v>
      </c>
      <c r="F832" s="0" t="n">
        <f aca="false">IF(C832&gt;1,IF(C832&lt;99,VLOOKUP(C832,'Babblefish-APUMA'!$A$1:$B$86,2),C832),C832)</f>
        <v>26</v>
      </c>
    </row>
    <row r="833" customFormat="false" ht="12.75" hidden="false" customHeight="false" outlineLevel="0" collapsed="false">
      <c r="A833" s="0" t="n">
        <f aca="false">B833*1000+C833</f>
        <v>19027</v>
      </c>
      <c r="B833" s="0" t="n">
        <v>19</v>
      </c>
      <c r="C833" s="0" t="n">
        <v>27</v>
      </c>
      <c r="D833" s="0" t="n">
        <v>0</v>
      </c>
      <c r="E833" s="0" t="n">
        <f aca="false">VLOOKUP(B833,'Babblefish-APUMA'!$A$1:$B$86,2)</f>
        <v>19</v>
      </c>
      <c r="F833" s="0" t="n">
        <f aca="false">IF(C833&gt;1,IF(C833&lt;99,VLOOKUP(C833,'Babblefish-APUMA'!$A$1:$B$86,2),C833),C833)</f>
        <v>27</v>
      </c>
    </row>
    <row r="834" customFormat="false" ht="12.75" hidden="false" customHeight="false" outlineLevel="0" collapsed="false">
      <c r="A834" s="0" t="n">
        <f aca="false">B834*1000+C834</f>
        <v>19028</v>
      </c>
      <c r="B834" s="0" t="n">
        <v>19</v>
      </c>
      <c r="C834" s="0" t="n">
        <v>28</v>
      </c>
      <c r="D834" s="0" t="n">
        <v>104</v>
      </c>
      <c r="E834" s="0" t="n">
        <f aca="false">VLOOKUP(B834,'Babblefish-APUMA'!$A$1:$B$86,2)</f>
        <v>19</v>
      </c>
      <c r="F834" s="0" t="n">
        <f aca="false">IF(C834&gt;1,IF(C834&lt;99,VLOOKUP(C834,'Babblefish-APUMA'!$A$1:$B$86,2),C834),C834)</f>
        <v>94</v>
      </c>
    </row>
    <row r="835" customFormat="false" ht="12.75" hidden="false" customHeight="false" outlineLevel="0" collapsed="false">
      <c r="A835" s="0" t="n">
        <f aca="false">B835*1000+C835</f>
        <v>19029</v>
      </c>
      <c r="B835" s="0" t="n">
        <v>19</v>
      </c>
      <c r="C835" s="0" t="n">
        <v>29</v>
      </c>
      <c r="D835" s="0" t="n">
        <v>0</v>
      </c>
      <c r="E835" s="0" t="n">
        <f aca="false">VLOOKUP(B835,'Babblefish-APUMA'!$A$1:$B$86,2)</f>
        <v>19</v>
      </c>
      <c r="F835" s="0" t="n">
        <f aca="false">IF(C835&gt;1,IF(C835&lt;99,VLOOKUP(C835,'Babblefish-APUMA'!$A$1:$B$86,2),C835),C835)</f>
        <v>94</v>
      </c>
    </row>
    <row r="836" customFormat="false" ht="12.75" hidden="false" customHeight="false" outlineLevel="0" collapsed="false">
      <c r="A836" s="0" t="n">
        <f aca="false">B836*1000+C836</f>
        <v>19030</v>
      </c>
      <c r="B836" s="0" t="n">
        <v>19</v>
      </c>
      <c r="C836" s="0" t="n">
        <v>30</v>
      </c>
      <c r="D836" s="0" t="n">
        <v>0</v>
      </c>
      <c r="E836" s="0" t="n">
        <f aca="false">VLOOKUP(B836,'Babblefish-APUMA'!$A$1:$B$86,2)</f>
        <v>19</v>
      </c>
      <c r="F836" s="0" t="n">
        <f aca="false">IF(C836&gt;1,IF(C836&lt;99,VLOOKUP(C836,'Babblefish-APUMA'!$A$1:$B$86,2),C836),C836)</f>
        <v>30</v>
      </c>
    </row>
    <row r="837" customFormat="false" ht="12.75" hidden="false" customHeight="false" outlineLevel="0" collapsed="false">
      <c r="A837" s="0" t="n">
        <f aca="false">B837*1000+C837</f>
        <v>19031</v>
      </c>
      <c r="B837" s="0" t="n">
        <v>19</v>
      </c>
      <c r="C837" s="0" t="n">
        <v>31</v>
      </c>
      <c r="D837" s="0" t="n">
        <v>0</v>
      </c>
      <c r="E837" s="0" t="n">
        <f aca="false">VLOOKUP(B837,'Babblefish-APUMA'!$A$1:$B$86,2)</f>
        <v>19</v>
      </c>
      <c r="F837" s="0" t="n">
        <f aca="false">IF(C837&gt;1,IF(C837&lt;99,VLOOKUP(C837,'Babblefish-APUMA'!$A$1:$B$86,2),C837),C837)</f>
        <v>31</v>
      </c>
    </row>
    <row r="838" customFormat="false" ht="12.75" hidden="false" customHeight="false" outlineLevel="0" collapsed="false">
      <c r="A838" s="0" t="n">
        <f aca="false">B838*1000+C838</f>
        <v>19032</v>
      </c>
      <c r="B838" s="0" t="n">
        <v>19</v>
      </c>
      <c r="C838" s="0" t="n">
        <v>32</v>
      </c>
      <c r="D838" s="0" t="n">
        <v>104</v>
      </c>
      <c r="E838" s="0" t="n">
        <f aca="false">VLOOKUP(B838,'Babblefish-APUMA'!$A$1:$B$86,2)</f>
        <v>19</v>
      </c>
      <c r="F838" s="0" t="n">
        <f aca="false">IF(C838&gt;1,IF(C838&lt;99,VLOOKUP(C838,'Babblefish-APUMA'!$A$1:$B$86,2),C838),C838)</f>
        <v>32</v>
      </c>
    </row>
    <row r="839" customFormat="false" ht="12.75" hidden="false" customHeight="false" outlineLevel="0" collapsed="false">
      <c r="A839" s="0" t="n">
        <f aca="false">B839*1000+C839</f>
        <v>19033</v>
      </c>
      <c r="B839" s="0" t="n">
        <v>19</v>
      </c>
      <c r="C839" s="0" t="n">
        <v>33</v>
      </c>
      <c r="D839" s="0" t="n">
        <v>0</v>
      </c>
      <c r="E839" s="0" t="n">
        <f aca="false">VLOOKUP(B839,'Babblefish-APUMA'!$A$1:$B$86,2)</f>
        <v>19</v>
      </c>
      <c r="F839" s="0" t="n">
        <f aca="false">IF(C839&gt;1,IF(C839&lt;99,VLOOKUP(C839,'Babblefish-APUMA'!$A$1:$B$86,2),C839),C839)</f>
        <v>96</v>
      </c>
    </row>
    <row r="840" customFormat="false" ht="12.75" hidden="false" customHeight="false" outlineLevel="0" collapsed="false">
      <c r="A840" s="0" t="n">
        <f aca="false">B840*1000+C840</f>
        <v>19034</v>
      </c>
      <c r="B840" s="0" t="n">
        <v>19</v>
      </c>
      <c r="C840" s="0" t="n">
        <v>34</v>
      </c>
      <c r="D840" s="0" t="n">
        <v>0</v>
      </c>
      <c r="E840" s="0" t="n">
        <f aca="false">VLOOKUP(B840,'Babblefish-APUMA'!$A$1:$B$86,2)</f>
        <v>19</v>
      </c>
      <c r="F840" s="0" t="n">
        <f aca="false">IF(C840&gt;1,IF(C840&lt;99,VLOOKUP(C840,'Babblefish-APUMA'!$A$1:$B$86,2),C840),C840)</f>
        <v>96</v>
      </c>
    </row>
    <row r="841" customFormat="false" ht="12.75" hidden="false" customHeight="false" outlineLevel="0" collapsed="false">
      <c r="A841" s="0" t="n">
        <f aca="false">B841*1000+C841</f>
        <v>19035</v>
      </c>
      <c r="B841" s="0" t="n">
        <v>19</v>
      </c>
      <c r="C841" s="0" t="n">
        <v>35</v>
      </c>
      <c r="D841" s="0" t="n">
        <v>0</v>
      </c>
      <c r="E841" s="0" t="n">
        <f aca="false">VLOOKUP(B841,'Babblefish-APUMA'!$A$1:$B$86,2)</f>
        <v>19</v>
      </c>
      <c r="F841" s="0" t="n">
        <f aca="false">IF(C841&gt;1,IF(C841&lt;99,VLOOKUP(C841,'Babblefish-APUMA'!$A$1:$B$86,2),C841),C841)</f>
        <v>96</v>
      </c>
    </row>
    <row r="842" customFormat="false" ht="12.75" hidden="false" customHeight="false" outlineLevel="0" collapsed="false">
      <c r="A842" s="0" t="n">
        <f aca="false">B842*1000+C842</f>
        <v>19037</v>
      </c>
      <c r="B842" s="0" t="n">
        <v>19</v>
      </c>
      <c r="C842" s="0" t="n">
        <v>37</v>
      </c>
      <c r="D842" s="0" t="n">
        <v>104</v>
      </c>
      <c r="E842" s="0" t="n">
        <f aca="false">VLOOKUP(B842,'Babblefish-APUMA'!$A$1:$B$86,2)</f>
        <v>19</v>
      </c>
      <c r="F842" s="0" t="n">
        <f aca="false">IF(C842&gt;1,IF(C842&lt;99,VLOOKUP(C842,'Babblefish-APUMA'!$A$1:$B$86,2),C842),C842)</f>
        <v>96</v>
      </c>
    </row>
    <row r="843" customFormat="false" ht="12.75" hidden="false" customHeight="false" outlineLevel="0" collapsed="false">
      <c r="A843" s="0" t="n">
        <f aca="false">B843*1000+C843</f>
        <v>19038</v>
      </c>
      <c r="B843" s="0" t="n">
        <v>19</v>
      </c>
      <c r="C843" s="0" t="n">
        <v>38</v>
      </c>
      <c r="D843" s="0" t="n">
        <v>143</v>
      </c>
      <c r="E843" s="0" t="n">
        <f aca="false">VLOOKUP(B843,'Babblefish-APUMA'!$A$1:$B$86,2)</f>
        <v>19</v>
      </c>
      <c r="F843" s="0" t="n">
        <f aca="false">IF(C843&gt;1,IF(C843&lt;99,VLOOKUP(C843,'Babblefish-APUMA'!$A$1:$B$86,2),C843),C843)</f>
        <v>91</v>
      </c>
    </row>
    <row r="844" customFormat="false" ht="12.75" hidden="false" customHeight="false" outlineLevel="0" collapsed="false">
      <c r="A844" s="0" t="n">
        <f aca="false">B844*1000+C844</f>
        <v>19039</v>
      </c>
      <c r="B844" s="0" t="n">
        <v>19</v>
      </c>
      <c r="C844" s="0" t="n">
        <v>39</v>
      </c>
      <c r="D844" s="0" t="n">
        <v>104</v>
      </c>
      <c r="E844" s="0" t="n">
        <f aca="false">VLOOKUP(B844,'Babblefish-APUMA'!$A$1:$B$86,2)</f>
        <v>19</v>
      </c>
      <c r="F844" s="0" t="n">
        <f aca="false">IF(C844&gt;1,IF(C844&lt;99,VLOOKUP(C844,'Babblefish-APUMA'!$A$1:$B$86,2),C844),C844)</f>
        <v>91</v>
      </c>
    </row>
    <row r="845" customFormat="false" ht="12.75" hidden="false" customHeight="false" outlineLevel="0" collapsed="false">
      <c r="A845" s="0" t="n">
        <f aca="false">B845*1000+C845</f>
        <v>19040</v>
      </c>
      <c r="B845" s="0" t="n">
        <v>19</v>
      </c>
      <c r="C845" s="0" t="n">
        <v>40</v>
      </c>
      <c r="D845" s="0" t="n">
        <v>0</v>
      </c>
      <c r="E845" s="0" t="n">
        <f aca="false">VLOOKUP(B845,'Babblefish-APUMA'!$A$1:$B$86,2)</f>
        <v>19</v>
      </c>
      <c r="F845" s="0" t="n">
        <f aca="false">IF(C845&gt;1,IF(C845&lt;99,VLOOKUP(C845,'Babblefish-APUMA'!$A$1:$B$86,2),C845),C845)</f>
        <v>88</v>
      </c>
    </row>
    <row r="846" customFormat="false" ht="12.75" hidden="false" customHeight="false" outlineLevel="0" collapsed="false">
      <c r="A846" s="0" t="n">
        <f aca="false">B846*1000+C846</f>
        <v>19041</v>
      </c>
      <c r="B846" s="0" t="n">
        <v>19</v>
      </c>
      <c r="C846" s="0" t="n">
        <v>41</v>
      </c>
      <c r="D846" s="0" t="n">
        <v>0</v>
      </c>
      <c r="E846" s="0" t="n">
        <f aca="false">VLOOKUP(B846,'Babblefish-APUMA'!$A$1:$B$86,2)</f>
        <v>19</v>
      </c>
      <c r="F846" s="0" t="n">
        <f aca="false">IF(C846&gt;1,IF(C846&lt;99,VLOOKUP(C846,'Babblefish-APUMA'!$A$1:$B$86,2),C846),C846)</f>
        <v>88</v>
      </c>
    </row>
    <row r="847" customFormat="false" ht="12.75" hidden="false" customHeight="false" outlineLevel="0" collapsed="false">
      <c r="A847" s="0" t="n">
        <f aca="false">B847*1000+C847</f>
        <v>19042</v>
      </c>
      <c r="B847" s="0" t="n">
        <v>19</v>
      </c>
      <c r="C847" s="0" t="n">
        <v>42</v>
      </c>
      <c r="D847" s="0" t="n">
        <v>0</v>
      </c>
      <c r="E847" s="0" t="n">
        <f aca="false">VLOOKUP(B847,'Babblefish-APUMA'!$A$1:$B$86,2)</f>
        <v>19</v>
      </c>
      <c r="F847" s="0" t="n">
        <f aca="false">IF(C847&gt;1,IF(C847&lt;99,VLOOKUP(C847,'Babblefish-APUMA'!$A$1:$B$86,2),C847),C847)</f>
        <v>92</v>
      </c>
    </row>
    <row r="848" customFormat="false" ht="12.75" hidden="false" customHeight="false" outlineLevel="0" collapsed="false">
      <c r="A848" s="0" t="n">
        <f aca="false">B848*1000+C848</f>
        <v>19048</v>
      </c>
      <c r="B848" s="0" t="n">
        <v>19</v>
      </c>
      <c r="C848" s="0" t="n">
        <v>48</v>
      </c>
      <c r="D848" s="0" t="n">
        <v>0</v>
      </c>
      <c r="E848" s="0" t="n">
        <f aca="false">VLOOKUP(B848,'Babblefish-APUMA'!$A$1:$B$86,2)</f>
        <v>19</v>
      </c>
      <c r="F848" s="0" t="n">
        <f aca="false">IF(C848&gt;1,IF(C848&lt;99,VLOOKUP(C848,'Babblefish-APUMA'!$A$1:$B$86,2),C848),C848)</f>
        <v>92</v>
      </c>
    </row>
    <row r="849" customFormat="false" ht="12.75" hidden="false" customHeight="false" outlineLevel="0" collapsed="false">
      <c r="A849" s="0" t="n">
        <f aca="false">B849*1000+C849</f>
        <v>19049</v>
      </c>
      <c r="B849" s="0" t="n">
        <v>19</v>
      </c>
      <c r="C849" s="0" t="n">
        <v>49</v>
      </c>
      <c r="D849" s="0" t="n">
        <v>6214</v>
      </c>
      <c r="E849" s="0" t="n">
        <f aca="false">VLOOKUP(B849,'Babblefish-APUMA'!$A$1:$B$86,2)</f>
        <v>19</v>
      </c>
      <c r="F849" s="0" t="n">
        <f aca="false">IF(C849&gt;1,IF(C849&lt;99,VLOOKUP(C849,'Babblefish-APUMA'!$A$1:$B$86,2),C849),C849)</f>
        <v>98</v>
      </c>
    </row>
    <row r="850" customFormat="false" ht="12.75" hidden="false" customHeight="false" outlineLevel="0" collapsed="false">
      <c r="A850" s="0" t="n">
        <f aca="false">B850*1000+C850</f>
        <v>19050</v>
      </c>
      <c r="B850" s="0" t="n">
        <v>19</v>
      </c>
      <c r="C850" s="0" t="n">
        <v>50</v>
      </c>
      <c r="D850" s="0" t="n">
        <v>975</v>
      </c>
      <c r="E850" s="0" t="n">
        <f aca="false">VLOOKUP(B850,'Babblefish-APUMA'!$A$1:$B$86,2)</f>
        <v>19</v>
      </c>
      <c r="F850" s="0" t="n">
        <f aca="false">IF(C850&gt;1,IF(C850&lt;99,VLOOKUP(C850,'Babblefish-APUMA'!$A$1:$B$86,2),C850),C850)</f>
        <v>98</v>
      </c>
    </row>
    <row r="851" customFormat="false" ht="12.75" hidden="false" customHeight="false" outlineLevel="0" collapsed="false">
      <c r="A851" s="0" t="n">
        <f aca="false">B851*1000+C851</f>
        <v>19051</v>
      </c>
      <c r="B851" s="0" t="n">
        <v>19</v>
      </c>
      <c r="C851" s="0" t="n">
        <v>51</v>
      </c>
      <c r="D851" s="0" t="n">
        <v>1170</v>
      </c>
      <c r="E851" s="0" t="n">
        <f aca="false">VLOOKUP(B851,'Babblefish-APUMA'!$A$1:$B$86,2)</f>
        <v>19</v>
      </c>
      <c r="F851" s="0" t="n">
        <f aca="false">IF(C851&gt;1,IF(C851&lt;99,VLOOKUP(C851,'Babblefish-APUMA'!$A$1:$B$86,2),C851),C851)</f>
        <v>98</v>
      </c>
    </row>
    <row r="852" customFormat="false" ht="12.75" hidden="false" customHeight="false" outlineLevel="0" collapsed="false">
      <c r="A852" s="0" t="n">
        <f aca="false">B852*1000+C852</f>
        <v>19052</v>
      </c>
      <c r="B852" s="0" t="n">
        <v>19</v>
      </c>
      <c r="C852" s="0" t="n">
        <v>52</v>
      </c>
      <c r="D852" s="0" t="n">
        <v>0</v>
      </c>
      <c r="E852" s="0" t="n">
        <f aca="false">VLOOKUP(B852,'Babblefish-APUMA'!$A$1:$B$86,2)</f>
        <v>19</v>
      </c>
      <c r="F852" s="0" t="n">
        <f aca="false">IF(C852&gt;1,IF(C852&lt;99,VLOOKUP(C852,'Babblefish-APUMA'!$A$1:$B$86,2),C852),C852)</f>
        <v>90</v>
      </c>
    </row>
    <row r="853" customFormat="false" ht="12.75" hidden="false" customHeight="false" outlineLevel="0" collapsed="false">
      <c r="A853" s="0" t="n">
        <f aca="false">B853*1000+C853</f>
        <v>19053</v>
      </c>
      <c r="B853" s="0" t="n">
        <v>19</v>
      </c>
      <c r="C853" s="0" t="n">
        <v>53</v>
      </c>
      <c r="D853" s="0" t="n">
        <v>0</v>
      </c>
      <c r="E853" s="0" t="n">
        <f aca="false">VLOOKUP(B853,'Babblefish-APUMA'!$A$1:$B$86,2)</f>
        <v>19</v>
      </c>
      <c r="F853" s="0" t="n">
        <f aca="false">IF(C853&gt;1,IF(C853&lt;99,VLOOKUP(C853,'Babblefish-APUMA'!$A$1:$B$86,2),C853),C853)</f>
        <v>90</v>
      </c>
    </row>
    <row r="854" customFormat="false" ht="12.75" hidden="false" customHeight="false" outlineLevel="0" collapsed="false">
      <c r="A854" s="0" t="n">
        <f aca="false">B854*1000+C854</f>
        <v>19055</v>
      </c>
      <c r="B854" s="0" t="n">
        <v>19</v>
      </c>
      <c r="C854" s="0" t="n">
        <v>55</v>
      </c>
      <c r="D854" s="0" t="n">
        <v>91</v>
      </c>
      <c r="E854" s="0" t="n">
        <f aca="false">VLOOKUP(B854,'Babblefish-APUMA'!$A$1:$B$86,2)</f>
        <v>19</v>
      </c>
      <c r="F854" s="0" t="n">
        <f aca="false">IF(C854&gt;1,IF(C854&lt;99,VLOOKUP(C854,'Babblefish-APUMA'!$A$1:$B$86,2),C854),C854)</f>
        <v>90</v>
      </c>
    </row>
    <row r="855" customFormat="false" ht="12.75" hidden="false" customHeight="false" outlineLevel="0" collapsed="false">
      <c r="A855" s="0" t="n">
        <f aca="false">B855*1000+C855</f>
        <v>19057</v>
      </c>
      <c r="B855" s="0" t="n">
        <v>19</v>
      </c>
      <c r="C855" s="0" t="n">
        <v>57</v>
      </c>
      <c r="D855" s="0" t="n">
        <v>0</v>
      </c>
      <c r="E855" s="0" t="n">
        <f aca="false">VLOOKUP(B855,'Babblefish-APUMA'!$A$1:$B$86,2)</f>
        <v>19</v>
      </c>
      <c r="F855" s="0" t="n">
        <f aca="false">IF(C855&gt;1,IF(C855&lt;99,VLOOKUP(C855,'Babblefish-APUMA'!$A$1:$B$86,2),C855),C855)</f>
        <v>90</v>
      </c>
    </row>
    <row r="856" customFormat="false" ht="12.75" hidden="false" customHeight="false" outlineLevel="0" collapsed="false">
      <c r="A856" s="0" t="n">
        <f aca="false">B856*1000+C856</f>
        <v>19060</v>
      </c>
      <c r="B856" s="0" t="n">
        <v>19</v>
      </c>
      <c r="C856" s="0" t="n">
        <v>60</v>
      </c>
      <c r="D856" s="0" t="n">
        <v>0</v>
      </c>
      <c r="E856" s="0" t="n">
        <f aca="false">VLOOKUP(B856,'Babblefish-APUMA'!$A$1:$B$86,2)</f>
        <v>19</v>
      </c>
      <c r="F856" s="0" t="n">
        <f aca="false">IF(C856&gt;1,IF(C856&lt;99,VLOOKUP(C856,'Babblefish-APUMA'!$A$1:$B$86,2),C856),C856)</f>
        <v>90</v>
      </c>
    </row>
    <row r="857" customFormat="false" ht="12.75" hidden="false" customHeight="false" outlineLevel="0" collapsed="false">
      <c r="A857" s="0" t="n">
        <f aca="false">B857*1000+C857</f>
        <v>19062</v>
      </c>
      <c r="B857" s="0" t="n">
        <v>19</v>
      </c>
      <c r="C857" s="0" t="n">
        <v>62</v>
      </c>
      <c r="D857" s="0" t="n">
        <v>182</v>
      </c>
      <c r="E857" s="0" t="n">
        <f aca="false">VLOOKUP(B857,'Babblefish-APUMA'!$A$1:$B$86,2)</f>
        <v>19</v>
      </c>
      <c r="F857" s="0" t="n">
        <f aca="false">IF(C857&gt;1,IF(C857&lt;99,VLOOKUP(C857,'Babblefish-APUMA'!$A$1:$B$86,2),C857),C857)</f>
        <v>90</v>
      </c>
    </row>
    <row r="858" customFormat="false" ht="12.75" hidden="false" customHeight="false" outlineLevel="0" collapsed="false">
      <c r="A858" s="0" t="n">
        <f aca="false">B858*1000+C858</f>
        <v>19064</v>
      </c>
      <c r="B858" s="0" t="n">
        <v>19</v>
      </c>
      <c r="C858" s="0" t="n">
        <v>64</v>
      </c>
      <c r="D858" s="0" t="n">
        <v>91</v>
      </c>
      <c r="E858" s="0" t="n">
        <f aca="false">VLOOKUP(B858,'Babblefish-APUMA'!$A$1:$B$86,2)</f>
        <v>19</v>
      </c>
      <c r="F858" s="0" t="n">
        <f aca="false">IF(C858&gt;1,IF(C858&lt;99,VLOOKUP(C858,'Babblefish-APUMA'!$A$1:$B$86,2),C858),C858)</f>
        <v>90</v>
      </c>
    </row>
    <row r="859" customFormat="false" ht="12.75" hidden="false" customHeight="false" outlineLevel="0" collapsed="false">
      <c r="A859" s="0" t="n">
        <f aca="false">B859*1000+C859</f>
        <v>19065</v>
      </c>
      <c r="B859" s="0" t="n">
        <v>19</v>
      </c>
      <c r="C859" s="0" t="n">
        <v>65</v>
      </c>
      <c r="D859" s="0" t="n">
        <v>273</v>
      </c>
      <c r="E859" s="0" t="n">
        <f aca="false">VLOOKUP(B859,'Babblefish-APUMA'!$A$1:$B$86,2)</f>
        <v>19</v>
      </c>
      <c r="F859" s="0" t="n">
        <f aca="false">IF(C859&gt;1,IF(C859&lt;99,VLOOKUP(C859,'Babblefish-APUMA'!$A$1:$B$86,2),C859),C859)</f>
        <v>90</v>
      </c>
    </row>
    <row r="860" customFormat="false" ht="12.75" hidden="false" customHeight="false" outlineLevel="0" collapsed="false">
      <c r="A860" s="0" t="n">
        <f aca="false">B860*1000+C860</f>
        <v>19066</v>
      </c>
      <c r="B860" s="0" t="n">
        <v>19</v>
      </c>
      <c r="C860" s="0" t="n">
        <v>66</v>
      </c>
      <c r="D860" s="0" t="n">
        <v>130</v>
      </c>
      <c r="E860" s="0" t="n">
        <f aca="false">VLOOKUP(B860,'Babblefish-APUMA'!$A$1:$B$86,2)</f>
        <v>19</v>
      </c>
      <c r="F860" s="0" t="n">
        <f aca="false">IF(C860&gt;1,IF(C860&lt;99,VLOOKUP(C860,'Babblefish-APUMA'!$A$1:$B$86,2),C860),C860)</f>
        <v>90</v>
      </c>
    </row>
    <row r="861" customFormat="false" ht="12.75" hidden="false" customHeight="false" outlineLevel="0" collapsed="false">
      <c r="A861" s="0" t="n">
        <f aca="false">B861*1000+C861</f>
        <v>19067</v>
      </c>
      <c r="B861" s="0" t="n">
        <v>19</v>
      </c>
      <c r="C861" s="0" t="n">
        <v>67</v>
      </c>
      <c r="D861" s="0" t="n">
        <v>0</v>
      </c>
      <c r="E861" s="0" t="n">
        <f aca="false">VLOOKUP(B861,'Babblefish-APUMA'!$A$1:$B$86,2)</f>
        <v>19</v>
      </c>
      <c r="F861" s="0" t="n">
        <f aca="false">IF(C861&gt;1,IF(C861&lt;99,VLOOKUP(C861,'Babblefish-APUMA'!$A$1:$B$86,2),C861),C861)</f>
        <v>103</v>
      </c>
    </row>
    <row r="862" customFormat="false" ht="12.75" hidden="false" customHeight="false" outlineLevel="0" collapsed="false">
      <c r="A862" s="0" t="n">
        <f aca="false">B862*1000+C862</f>
        <v>19069</v>
      </c>
      <c r="B862" s="0" t="n">
        <v>19</v>
      </c>
      <c r="C862" s="0" t="n">
        <v>69</v>
      </c>
      <c r="D862" s="0" t="n">
        <v>0</v>
      </c>
      <c r="E862" s="0" t="n">
        <f aca="false">VLOOKUP(B862,'Babblefish-APUMA'!$A$1:$B$86,2)</f>
        <v>19</v>
      </c>
      <c r="F862" s="0" t="n">
        <f aca="false">IF(C862&gt;1,IF(C862&lt;99,VLOOKUP(C862,'Babblefish-APUMA'!$A$1:$B$86,2),C862),C862)</f>
        <v>93</v>
      </c>
    </row>
    <row r="863" customFormat="false" ht="12.75" hidden="false" customHeight="false" outlineLevel="0" collapsed="false">
      <c r="A863" s="0" t="n">
        <f aca="false">B863*1000+C863</f>
        <v>19071</v>
      </c>
      <c r="B863" s="0" t="n">
        <v>19</v>
      </c>
      <c r="C863" s="0" t="n">
        <v>71</v>
      </c>
      <c r="D863" s="0" t="n">
        <v>0</v>
      </c>
      <c r="E863" s="0" t="n">
        <f aca="false">VLOOKUP(B863,'Babblefish-APUMA'!$A$1:$B$86,2)</f>
        <v>19</v>
      </c>
      <c r="F863" s="0" t="n">
        <f aca="false">IF(C863&gt;1,IF(C863&lt;99,VLOOKUP(C863,'Babblefish-APUMA'!$A$1:$B$86,2),C863),C863)</f>
        <v>95</v>
      </c>
    </row>
    <row r="864" customFormat="false" ht="12.75" hidden="false" customHeight="false" outlineLevel="0" collapsed="false">
      <c r="A864" s="0" t="n">
        <f aca="false">B864*1000+C864</f>
        <v>19072</v>
      </c>
      <c r="B864" s="0" t="n">
        <v>19</v>
      </c>
      <c r="C864" s="0" t="n">
        <v>72</v>
      </c>
      <c r="D864" s="0" t="n">
        <v>0</v>
      </c>
      <c r="E864" s="0" t="n">
        <f aca="false">VLOOKUP(B864,'Babblefish-APUMA'!$A$1:$B$86,2)</f>
        <v>19</v>
      </c>
      <c r="F864" s="0" t="n">
        <f aca="false">IF(C864&gt;1,IF(C864&lt;99,VLOOKUP(C864,'Babblefish-APUMA'!$A$1:$B$86,2),C864),C864)</f>
        <v>95</v>
      </c>
    </row>
    <row r="865" customFormat="false" ht="12.75" hidden="false" customHeight="false" outlineLevel="0" collapsed="false">
      <c r="A865" s="0" t="n">
        <f aca="false">B865*1000+C865</f>
        <v>19073</v>
      </c>
      <c r="B865" s="0" t="n">
        <v>19</v>
      </c>
      <c r="C865" s="0" t="n">
        <v>73</v>
      </c>
      <c r="D865" s="0" t="n">
        <v>299</v>
      </c>
      <c r="E865" s="0" t="n">
        <f aca="false">VLOOKUP(B865,'Babblefish-APUMA'!$A$1:$B$86,2)</f>
        <v>19</v>
      </c>
      <c r="F865" s="0" t="n">
        <f aca="false">IF(C865&gt;1,IF(C865&lt;99,VLOOKUP(C865,'Babblefish-APUMA'!$A$1:$B$86,2),C865),C865)</f>
        <v>99</v>
      </c>
    </row>
    <row r="866" customFormat="false" ht="12.75" hidden="false" customHeight="false" outlineLevel="0" collapsed="false">
      <c r="A866" s="0" t="n">
        <f aca="false">B866*1000+C866</f>
        <v>19075</v>
      </c>
      <c r="B866" s="0" t="n">
        <v>19</v>
      </c>
      <c r="C866" s="0" t="n">
        <v>75</v>
      </c>
      <c r="D866" s="0" t="n">
        <v>0</v>
      </c>
      <c r="E866" s="0" t="n">
        <f aca="false">VLOOKUP(B866,'Babblefish-APUMA'!$A$1:$B$86,2)</f>
        <v>19</v>
      </c>
      <c r="F866" s="0" t="n">
        <f aca="false">IF(C866&gt;1,IF(C866&lt;99,VLOOKUP(C866,'Babblefish-APUMA'!$A$1:$B$86,2),C866),C866)</f>
        <v>75</v>
      </c>
    </row>
    <row r="867" customFormat="false" ht="12.75" hidden="false" customHeight="false" outlineLevel="0" collapsed="false">
      <c r="A867" s="0" t="n">
        <f aca="false">B867*1000+C867</f>
        <v>19076</v>
      </c>
      <c r="B867" s="0" t="n">
        <v>19</v>
      </c>
      <c r="C867" s="0" t="n">
        <v>76</v>
      </c>
      <c r="D867" s="0" t="n">
        <v>299</v>
      </c>
      <c r="E867" s="0" t="n">
        <f aca="false">VLOOKUP(B867,'Babblefish-APUMA'!$A$1:$B$86,2)</f>
        <v>19</v>
      </c>
      <c r="F867" s="0" t="n">
        <f aca="false">IF(C867&gt;1,IF(C867&lt;99,VLOOKUP(C867,'Babblefish-APUMA'!$A$1:$B$86,2),C867),C867)</f>
        <v>76</v>
      </c>
    </row>
    <row r="868" customFormat="false" ht="12.75" hidden="false" customHeight="false" outlineLevel="0" collapsed="false">
      <c r="A868" s="0" t="n">
        <f aca="false">B868*1000+C868</f>
        <v>19079</v>
      </c>
      <c r="B868" s="0" t="n">
        <v>19</v>
      </c>
      <c r="C868" s="0" t="n">
        <v>79</v>
      </c>
      <c r="D868" s="0" t="n">
        <v>0</v>
      </c>
      <c r="E868" s="0" t="n">
        <f aca="false">VLOOKUP(B868,'Babblefish-APUMA'!$A$1:$B$86,2)</f>
        <v>19</v>
      </c>
      <c r="F868" s="0" t="n">
        <f aca="false">IF(C868&gt;1,IF(C868&lt;99,VLOOKUP(C868,'Babblefish-APUMA'!$A$1:$B$86,2),C868),C868)</f>
        <v>89</v>
      </c>
    </row>
    <row r="869" customFormat="false" ht="12.75" hidden="false" customHeight="false" outlineLevel="0" collapsed="false">
      <c r="A869" s="0" t="n">
        <f aca="false">B869*1000+C869</f>
        <v>19080</v>
      </c>
      <c r="B869" s="0" t="n">
        <v>19</v>
      </c>
      <c r="C869" s="0" t="n">
        <v>80</v>
      </c>
      <c r="D869" s="0" t="n">
        <v>0</v>
      </c>
      <c r="E869" s="0" t="n">
        <f aca="false">VLOOKUP(B869,'Babblefish-APUMA'!$A$1:$B$86,2)</f>
        <v>19</v>
      </c>
      <c r="F869" s="0" t="n">
        <f aca="false">IF(C869&gt;1,IF(C869&lt;99,VLOOKUP(C869,'Babblefish-APUMA'!$A$1:$B$86,2),C869),C869)</f>
        <v>80</v>
      </c>
    </row>
    <row r="870" customFormat="false" ht="12.75" hidden="false" customHeight="false" outlineLevel="0" collapsed="false">
      <c r="A870" s="0" t="n">
        <f aca="false">B870*1000+C870</f>
        <v>19082</v>
      </c>
      <c r="B870" s="0" t="n">
        <v>19</v>
      </c>
      <c r="C870" s="0" t="n">
        <v>82</v>
      </c>
      <c r="D870" s="0" t="n">
        <v>117</v>
      </c>
      <c r="E870" s="0" t="n">
        <f aca="false">VLOOKUP(B870,'Babblefish-APUMA'!$A$1:$B$86,2)</f>
        <v>19</v>
      </c>
      <c r="F870" s="0" t="n">
        <f aca="false">IF(C870&gt;1,IF(C870&lt;99,VLOOKUP(C870,'Babblefish-APUMA'!$A$1:$B$86,2),C870),C870)</f>
        <v>95</v>
      </c>
    </row>
    <row r="871" customFormat="false" ht="12.75" hidden="false" customHeight="false" outlineLevel="0" collapsed="false">
      <c r="A871" s="0" t="n">
        <f aca="false">B871*1000+C871</f>
        <v>19085</v>
      </c>
      <c r="B871" s="0" t="n">
        <v>19</v>
      </c>
      <c r="C871" s="0" t="n">
        <v>85</v>
      </c>
      <c r="D871" s="0" t="n">
        <v>0</v>
      </c>
      <c r="E871" s="0" t="n">
        <f aca="false">VLOOKUP(B871,'Babblefish-APUMA'!$A$1:$B$86,2)</f>
        <v>19</v>
      </c>
      <c r="F871" s="0" t="n">
        <f aca="false">IF(C871&gt;1,IF(C871&lt;99,VLOOKUP(C871,'Babblefish-APUMA'!$A$1:$B$86,2),C871),C871)</f>
        <v>97</v>
      </c>
    </row>
    <row r="872" customFormat="false" ht="12.75" hidden="false" customHeight="false" outlineLevel="0" collapsed="false">
      <c r="A872" s="0" t="n">
        <f aca="false">B872*1000+C872</f>
        <v>19858</v>
      </c>
      <c r="B872" s="0" t="n">
        <v>19</v>
      </c>
      <c r="C872" s="0" t="n">
        <v>858</v>
      </c>
      <c r="D872" s="0" t="n">
        <v>0</v>
      </c>
      <c r="E872" s="0" t="n">
        <f aca="false">VLOOKUP(B872,'Babblefish-APUMA'!$A$1:$B$86,2)</f>
        <v>19</v>
      </c>
      <c r="F872" s="0" t="n">
        <f aca="false">IF(C872&gt;1,IF(C872&lt;99,VLOOKUP(C872,'Babblefish-APUMA'!$A$1:$B$86,2),C872),C872)</f>
        <v>858</v>
      </c>
    </row>
    <row r="873" customFormat="false" ht="12.75" hidden="false" customHeight="false" outlineLevel="0" collapsed="false">
      <c r="A873" s="0" t="n">
        <f aca="false">B873*1000+C873</f>
        <v>19999</v>
      </c>
      <c r="B873" s="0" t="n">
        <v>19</v>
      </c>
      <c r="C873" s="0" t="n">
        <v>999</v>
      </c>
      <c r="D873" s="0" t="n">
        <v>351</v>
      </c>
      <c r="E873" s="0" t="n">
        <f aca="false">VLOOKUP(B873,'Babblefish-APUMA'!$A$1:$B$86,2)</f>
        <v>19</v>
      </c>
      <c r="F873" s="0" t="n">
        <f aca="false">IF(C873&gt;1,IF(C873&lt;99,VLOOKUP(C873,'Babblefish-APUMA'!$A$1:$B$86,2),C873),C873)</f>
        <v>999</v>
      </c>
    </row>
    <row r="874" customFormat="false" ht="12.75" hidden="false" customHeight="false" outlineLevel="0" collapsed="false">
      <c r="A874" s="0" t="n">
        <f aca="false">B874*1000+C874</f>
        <v>20000</v>
      </c>
      <c r="B874" s="0" t="n">
        <v>20</v>
      </c>
      <c r="C874" s="0" t="n">
        <v>0</v>
      </c>
      <c r="D874" s="0" t="n">
        <v>56017</v>
      </c>
      <c r="E874" s="0" t="n">
        <f aca="false">VLOOKUP(B874,'Babblefish-APUMA'!$A$1:$B$86,2)</f>
        <v>86</v>
      </c>
      <c r="F874" s="0" t="n">
        <f aca="false">IF(C874&gt;1,IF(C874&lt;99,VLOOKUP(C874,'Babblefish-APUMA'!$A$1:$B$86,2),C874),C874)</f>
        <v>0</v>
      </c>
    </row>
    <row r="875" customFormat="false" ht="12.75" hidden="false" customHeight="false" outlineLevel="0" collapsed="false">
      <c r="A875" s="0" t="n">
        <f aca="false">B875*1000+C875</f>
        <v>20001</v>
      </c>
      <c r="B875" s="0" t="n">
        <v>20</v>
      </c>
      <c r="C875" s="0" t="n">
        <v>1</v>
      </c>
      <c r="D875" s="0" t="n">
        <v>0</v>
      </c>
      <c r="E875" s="0" t="n">
        <f aca="false">VLOOKUP(B875,'Babblefish-APUMA'!$A$1:$B$86,2)</f>
        <v>86</v>
      </c>
      <c r="F875" s="0" t="n">
        <f aca="false">IF(C875&gt;1,IF(C875&lt;99,VLOOKUP(C875,'Babblefish-APUMA'!$A$1:$B$86,2),C875),C875)</f>
        <v>1</v>
      </c>
    </row>
    <row r="876" customFormat="false" ht="12.75" hidden="false" customHeight="false" outlineLevel="0" collapsed="false">
      <c r="A876" s="0" t="n">
        <f aca="false">B876*1000+C876</f>
        <v>20002</v>
      </c>
      <c r="B876" s="0" t="n">
        <v>20</v>
      </c>
      <c r="C876" s="0" t="n">
        <v>2</v>
      </c>
      <c r="D876" s="0" t="n">
        <v>0</v>
      </c>
      <c r="E876" s="0" t="n">
        <f aca="false">VLOOKUP(B876,'Babblefish-APUMA'!$A$1:$B$86,2)</f>
        <v>86</v>
      </c>
      <c r="F876" s="0" t="n">
        <f aca="false">IF(C876&gt;1,IF(C876&lt;99,VLOOKUP(C876,'Babblefish-APUMA'!$A$1:$B$86,2),C876),C876)</f>
        <v>2</v>
      </c>
    </row>
    <row r="877" customFormat="false" ht="12.75" hidden="false" customHeight="false" outlineLevel="0" collapsed="false">
      <c r="A877" s="0" t="n">
        <f aca="false">B877*1000+C877</f>
        <v>20003</v>
      </c>
      <c r="B877" s="0" t="n">
        <v>20</v>
      </c>
      <c r="C877" s="0" t="n">
        <v>3</v>
      </c>
      <c r="D877" s="0" t="n">
        <v>0</v>
      </c>
      <c r="E877" s="0" t="n">
        <f aca="false">VLOOKUP(B877,'Babblefish-APUMA'!$A$1:$B$86,2)</f>
        <v>86</v>
      </c>
      <c r="F877" s="0" t="n">
        <f aca="false">IF(C877&gt;1,IF(C877&lt;99,VLOOKUP(C877,'Babblefish-APUMA'!$A$1:$B$86,2),C877),C877)</f>
        <v>3</v>
      </c>
    </row>
    <row r="878" customFormat="false" ht="12.75" hidden="false" customHeight="false" outlineLevel="0" collapsed="false">
      <c r="A878" s="0" t="n">
        <f aca="false">B878*1000+C878</f>
        <v>20004</v>
      </c>
      <c r="B878" s="0" t="n">
        <v>20</v>
      </c>
      <c r="C878" s="0" t="n">
        <v>4</v>
      </c>
      <c r="D878" s="0" t="n">
        <v>0</v>
      </c>
      <c r="E878" s="0" t="n">
        <f aca="false">VLOOKUP(B878,'Babblefish-APUMA'!$A$1:$B$86,2)</f>
        <v>86</v>
      </c>
      <c r="F878" s="0" t="n">
        <f aca="false">IF(C878&gt;1,IF(C878&lt;99,VLOOKUP(C878,'Babblefish-APUMA'!$A$1:$B$86,2),C878),C878)</f>
        <v>4</v>
      </c>
    </row>
    <row r="879" customFormat="false" ht="12.75" hidden="false" customHeight="false" outlineLevel="0" collapsed="false">
      <c r="A879" s="0" t="n">
        <f aca="false">B879*1000+C879</f>
        <v>20005</v>
      </c>
      <c r="B879" s="0" t="n">
        <v>20</v>
      </c>
      <c r="C879" s="0" t="n">
        <v>5</v>
      </c>
      <c r="D879" s="0" t="n">
        <v>0</v>
      </c>
      <c r="E879" s="0" t="n">
        <f aca="false">VLOOKUP(B879,'Babblefish-APUMA'!$A$1:$B$86,2)</f>
        <v>86</v>
      </c>
      <c r="F879" s="0" t="n">
        <f aca="false">IF(C879&gt;1,IF(C879&lt;99,VLOOKUP(C879,'Babblefish-APUMA'!$A$1:$B$86,2),C879),C879)</f>
        <v>5</v>
      </c>
    </row>
    <row r="880" customFormat="false" ht="12.75" hidden="false" customHeight="false" outlineLevel="0" collapsed="false">
      <c r="A880" s="0" t="n">
        <f aca="false">B880*1000+C880</f>
        <v>20006</v>
      </c>
      <c r="B880" s="0" t="n">
        <v>20</v>
      </c>
      <c r="C880" s="0" t="n">
        <v>6</v>
      </c>
      <c r="D880" s="0" t="n">
        <v>78</v>
      </c>
      <c r="E880" s="0" t="n">
        <f aca="false">VLOOKUP(B880,'Babblefish-APUMA'!$A$1:$B$86,2)</f>
        <v>86</v>
      </c>
      <c r="F880" s="0" t="n">
        <f aca="false">IF(C880&gt;1,IF(C880&lt;99,VLOOKUP(C880,'Babblefish-APUMA'!$A$1:$B$86,2),C880),C880)</f>
        <v>6</v>
      </c>
    </row>
    <row r="881" customFormat="false" ht="12.75" hidden="false" customHeight="false" outlineLevel="0" collapsed="false">
      <c r="A881" s="0" t="n">
        <f aca="false">B881*1000+C881</f>
        <v>20007</v>
      </c>
      <c r="B881" s="0" t="n">
        <v>20</v>
      </c>
      <c r="C881" s="0" t="n">
        <v>7</v>
      </c>
      <c r="D881" s="0" t="n">
        <v>0</v>
      </c>
      <c r="E881" s="0" t="n">
        <f aca="false">VLOOKUP(B881,'Babblefish-APUMA'!$A$1:$B$86,2)</f>
        <v>86</v>
      </c>
      <c r="F881" s="0" t="n">
        <f aca="false">IF(C881&gt;1,IF(C881&lt;99,VLOOKUP(C881,'Babblefish-APUMA'!$A$1:$B$86,2),C881),C881)</f>
        <v>7</v>
      </c>
    </row>
    <row r="882" customFormat="false" ht="12.75" hidden="false" customHeight="false" outlineLevel="0" collapsed="false">
      <c r="A882" s="0" t="n">
        <f aca="false">B882*1000+C882</f>
        <v>20008</v>
      </c>
      <c r="B882" s="0" t="n">
        <v>20</v>
      </c>
      <c r="C882" s="0" t="n">
        <v>8</v>
      </c>
      <c r="D882" s="0" t="n">
        <v>0</v>
      </c>
      <c r="E882" s="0" t="n">
        <f aca="false">VLOOKUP(B882,'Babblefish-APUMA'!$A$1:$B$86,2)</f>
        <v>86</v>
      </c>
      <c r="F882" s="0" t="n">
        <f aca="false">IF(C882&gt;1,IF(C882&lt;99,VLOOKUP(C882,'Babblefish-APUMA'!$A$1:$B$86,2),C882),C882)</f>
        <v>8</v>
      </c>
    </row>
    <row r="883" customFormat="false" ht="12.75" hidden="false" customHeight="false" outlineLevel="0" collapsed="false">
      <c r="A883" s="0" t="n">
        <f aca="false">B883*1000+C883</f>
        <v>20009</v>
      </c>
      <c r="B883" s="0" t="n">
        <v>20</v>
      </c>
      <c r="C883" s="0" t="n">
        <v>9</v>
      </c>
      <c r="D883" s="0" t="n">
        <v>78</v>
      </c>
      <c r="E883" s="0" t="n">
        <f aca="false">VLOOKUP(B883,'Babblefish-APUMA'!$A$1:$B$86,2)</f>
        <v>86</v>
      </c>
      <c r="F883" s="0" t="n">
        <f aca="false">IF(C883&gt;1,IF(C883&lt;99,VLOOKUP(C883,'Babblefish-APUMA'!$A$1:$B$86,2),C883),C883)</f>
        <v>9</v>
      </c>
    </row>
    <row r="884" customFormat="false" ht="12.75" hidden="false" customHeight="false" outlineLevel="0" collapsed="false">
      <c r="A884" s="0" t="n">
        <f aca="false">B884*1000+C884</f>
        <v>20010</v>
      </c>
      <c r="B884" s="0" t="n">
        <v>20</v>
      </c>
      <c r="C884" s="0" t="n">
        <v>10</v>
      </c>
      <c r="D884" s="0" t="n">
        <v>91</v>
      </c>
      <c r="E884" s="0" t="n">
        <f aca="false">VLOOKUP(B884,'Babblefish-APUMA'!$A$1:$B$86,2)</f>
        <v>86</v>
      </c>
      <c r="F884" s="0" t="n">
        <f aca="false">IF(C884&gt;1,IF(C884&lt;99,VLOOKUP(C884,'Babblefish-APUMA'!$A$1:$B$86,2),C884),C884)</f>
        <v>10</v>
      </c>
    </row>
    <row r="885" customFormat="false" ht="12.75" hidden="false" customHeight="false" outlineLevel="0" collapsed="false">
      <c r="A885" s="0" t="n">
        <f aca="false">B885*1000+C885</f>
        <v>20011</v>
      </c>
      <c r="B885" s="0" t="n">
        <v>20</v>
      </c>
      <c r="C885" s="0" t="n">
        <v>11</v>
      </c>
      <c r="D885" s="0" t="n">
        <v>0</v>
      </c>
      <c r="E885" s="0" t="n">
        <f aca="false">VLOOKUP(B885,'Babblefish-APUMA'!$A$1:$B$86,2)</f>
        <v>86</v>
      </c>
      <c r="F885" s="0" t="n">
        <f aca="false">IF(C885&gt;1,IF(C885&lt;99,VLOOKUP(C885,'Babblefish-APUMA'!$A$1:$B$86,2),C885),C885)</f>
        <v>11</v>
      </c>
    </row>
    <row r="886" customFormat="false" ht="12.75" hidden="false" customHeight="false" outlineLevel="0" collapsed="false">
      <c r="A886" s="0" t="n">
        <f aca="false">B886*1000+C886</f>
        <v>20012</v>
      </c>
      <c r="B886" s="0" t="n">
        <v>20</v>
      </c>
      <c r="C886" s="0" t="n">
        <v>12</v>
      </c>
      <c r="D886" s="0" t="n">
        <v>0</v>
      </c>
      <c r="E886" s="0" t="n">
        <f aca="false">VLOOKUP(B886,'Babblefish-APUMA'!$A$1:$B$86,2)</f>
        <v>86</v>
      </c>
      <c r="F886" s="0" t="n">
        <f aca="false">IF(C886&gt;1,IF(C886&lt;99,VLOOKUP(C886,'Babblefish-APUMA'!$A$1:$B$86,2),C886),C886)</f>
        <v>12</v>
      </c>
    </row>
    <row r="887" customFormat="false" ht="12.75" hidden="false" customHeight="false" outlineLevel="0" collapsed="false">
      <c r="A887" s="0" t="n">
        <f aca="false">B887*1000+C887</f>
        <v>20013</v>
      </c>
      <c r="B887" s="0" t="n">
        <v>20</v>
      </c>
      <c r="C887" s="0" t="n">
        <v>13</v>
      </c>
      <c r="D887" s="0" t="n">
        <v>130</v>
      </c>
      <c r="E887" s="0" t="n">
        <f aca="false">VLOOKUP(B887,'Babblefish-APUMA'!$A$1:$B$86,2)</f>
        <v>86</v>
      </c>
      <c r="F887" s="0" t="n">
        <f aca="false">IF(C887&gt;1,IF(C887&lt;99,VLOOKUP(C887,'Babblefish-APUMA'!$A$1:$B$86,2),C887),C887)</f>
        <v>100</v>
      </c>
    </row>
    <row r="888" customFormat="false" ht="12.75" hidden="false" customHeight="false" outlineLevel="0" collapsed="false">
      <c r="A888" s="0" t="n">
        <f aca="false">B888*1000+C888</f>
        <v>20014</v>
      </c>
      <c r="B888" s="0" t="n">
        <v>20</v>
      </c>
      <c r="C888" s="0" t="n">
        <v>14</v>
      </c>
      <c r="D888" s="0" t="n">
        <v>247</v>
      </c>
      <c r="E888" s="0" t="n">
        <f aca="false">VLOOKUP(B888,'Babblefish-APUMA'!$A$1:$B$86,2)</f>
        <v>86</v>
      </c>
      <c r="F888" s="0" t="n">
        <f aca="false">IF(C888&gt;1,IF(C888&lt;99,VLOOKUP(C888,'Babblefish-APUMA'!$A$1:$B$86,2),C888),C888)</f>
        <v>100</v>
      </c>
    </row>
    <row r="889" customFormat="false" ht="12.75" hidden="false" customHeight="false" outlineLevel="0" collapsed="false">
      <c r="A889" s="0" t="n">
        <f aca="false">B889*1000+C889</f>
        <v>20015</v>
      </c>
      <c r="B889" s="0" t="n">
        <v>20</v>
      </c>
      <c r="C889" s="0" t="n">
        <v>15</v>
      </c>
      <c r="D889" s="0" t="n">
        <v>559</v>
      </c>
      <c r="E889" s="0" t="n">
        <f aca="false">VLOOKUP(B889,'Babblefish-APUMA'!$A$1:$B$86,2)</f>
        <v>86</v>
      </c>
      <c r="F889" s="0" t="n">
        <f aca="false">IF(C889&gt;1,IF(C889&lt;99,VLOOKUP(C889,'Babblefish-APUMA'!$A$1:$B$86,2),C889),C889)</f>
        <v>15</v>
      </c>
    </row>
    <row r="890" customFormat="false" ht="12.75" hidden="false" customHeight="false" outlineLevel="0" collapsed="false">
      <c r="A890" s="0" t="n">
        <f aca="false">B890*1000+C890</f>
        <v>20016</v>
      </c>
      <c r="B890" s="0" t="n">
        <v>20</v>
      </c>
      <c r="C890" s="0" t="n">
        <v>16</v>
      </c>
      <c r="D890" s="0" t="n">
        <v>0</v>
      </c>
      <c r="E890" s="0" t="n">
        <f aca="false">VLOOKUP(B890,'Babblefish-APUMA'!$A$1:$B$86,2)</f>
        <v>86</v>
      </c>
      <c r="F890" s="0" t="n">
        <f aca="false">IF(C890&gt;1,IF(C890&lt;99,VLOOKUP(C890,'Babblefish-APUMA'!$A$1:$B$86,2),C890),C890)</f>
        <v>99</v>
      </c>
    </row>
    <row r="891" customFormat="false" ht="12.75" hidden="false" customHeight="false" outlineLevel="0" collapsed="false">
      <c r="A891" s="0" t="n">
        <f aca="false">B891*1000+C891</f>
        <v>20017</v>
      </c>
      <c r="B891" s="0" t="n">
        <v>20</v>
      </c>
      <c r="C891" s="0" t="n">
        <v>17</v>
      </c>
      <c r="D891" s="0" t="n">
        <v>2574</v>
      </c>
      <c r="E891" s="0" t="n">
        <f aca="false">VLOOKUP(B891,'Babblefish-APUMA'!$A$1:$B$86,2)</f>
        <v>86</v>
      </c>
      <c r="F891" s="0" t="n">
        <f aca="false">IF(C891&gt;1,IF(C891&lt;99,VLOOKUP(C891,'Babblefish-APUMA'!$A$1:$B$86,2),C891),C891)</f>
        <v>87</v>
      </c>
    </row>
    <row r="892" customFormat="false" ht="12.75" hidden="false" customHeight="false" outlineLevel="0" collapsed="false">
      <c r="A892" s="0" t="n">
        <f aca="false">B892*1000+C892</f>
        <v>20018</v>
      </c>
      <c r="B892" s="0" t="n">
        <v>20</v>
      </c>
      <c r="C892" s="0" t="n">
        <v>18</v>
      </c>
      <c r="D892" s="0" t="n">
        <v>3705</v>
      </c>
      <c r="E892" s="0" t="n">
        <f aca="false">VLOOKUP(B892,'Babblefish-APUMA'!$A$1:$B$86,2)</f>
        <v>86</v>
      </c>
      <c r="F892" s="0" t="n">
        <f aca="false">IF(C892&gt;1,IF(C892&lt;99,VLOOKUP(C892,'Babblefish-APUMA'!$A$1:$B$86,2),C892),C892)</f>
        <v>87</v>
      </c>
    </row>
    <row r="893" customFormat="false" ht="12.75" hidden="false" customHeight="false" outlineLevel="0" collapsed="false">
      <c r="A893" s="0" t="n">
        <f aca="false">B893*1000+C893</f>
        <v>20019</v>
      </c>
      <c r="B893" s="0" t="n">
        <v>20</v>
      </c>
      <c r="C893" s="0" t="n">
        <v>19</v>
      </c>
      <c r="D893" s="0" t="n">
        <v>7085</v>
      </c>
      <c r="E893" s="0" t="n">
        <f aca="false">VLOOKUP(B893,'Babblefish-APUMA'!$A$1:$B$86,2)</f>
        <v>86</v>
      </c>
      <c r="F893" s="0" t="n">
        <f aca="false">IF(C893&gt;1,IF(C893&lt;99,VLOOKUP(C893,'Babblefish-APUMA'!$A$1:$B$86,2),C893),C893)</f>
        <v>19</v>
      </c>
    </row>
    <row r="894" customFormat="false" ht="12.75" hidden="false" customHeight="false" outlineLevel="0" collapsed="false">
      <c r="A894" s="0" t="n">
        <f aca="false">B894*1000+C894</f>
        <v>20020</v>
      </c>
      <c r="B894" s="0" t="n">
        <v>20</v>
      </c>
      <c r="C894" s="0" t="n">
        <v>20</v>
      </c>
      <c r="D894" s="0" t="n">
        <v>36374</v>
      </c>
      <c r="E894" s="0" t="n">
        <f aca="false">VLOOKUP(B894,'Babblefish-APUMA'!$A$1:$B$86,2)</f>
        <v>86</v>
      </c>
      <c r="F894" s="0" t="n">
        <f aca="false">IF(C894&gt;1,IF(C894&lt;99,VLOOKUP(C894,'Babblefish-APUMA'!$A$1:$B$86,2),C894),C894)</f>
        <v>86</v>
      </c>
    </row>
    <row r="895" customFormat="false" ht="12.75" hidden="false" customHeight="false" outlineLevel="0" collapsed="false">
      <c r="A895" s="0" t="n">
        <f aca="false">B895*1000+C895</f>
        <v>20021</v>
      </c>
      <c r="B895" s="0" t="n">
        <v>20</v>
      </c>
      <c r="C895" s="0" t="n">
        <v>21</v>
      </c>
      <c r="D895" s="0" t="n">
        <v>13780</v>
      </c>
      <c r="E895" s="0" t="n">
        <f aca="false">VLOOKUP(B895,'Babblefish-APUMA'!$A$1:$B$86,2)</f>
        <v>86</v>
      </c>
      <c r="F895" s="0" t="n">
        <f aca="false">IF(C895&gt;1,IF(C895&lt;99,VLOOKUP(C895,'Babblefish-APUMA'!$A$1:$B$86,2),C895),C895)</f>
        <v>86</v>
      </c>
    </row>
    <row r="896" customFormat="false" ht="12.75" hidden="false" customHeight="false" outlineLevel="0" collapsed="false">
      <c r="A896" s="0" t="n">
        <f aca="false">B896*1000+C896</f>
        <v>20022</v>
      </c>
      <c r="B896" s="0" t="n">
        <v>20</v>
      </c>
      <c r="C896" s="0" t="n">
        <v>22</v>
      </c>
      <c r="D896" s="0" t="n">
        <v>1014</v>
      </c>
      <c r="E896" s="0" t="n">
        <f aca="false">VLOOKUP(B896,'Babblefish-APUMA'!$A$1:$B$86,2)</f>
        <v>86</v>
      </c>
      <c r="F896" s="0" t="n">
        <f aca="false">IF(C896&gt;1,IF(C896&lt;99,VLOOKUP(C896,'Babblefish-APUMA'!$A$1:$B$86,2),C896),C896)</f>
        <v>22</v>
      </c>
    </row>
    <row r="897" customFormat="false" ht="12.75" hidden="false" customHeight="false" outlineLevel="0" collapsed="false">
      <c r="A897" s="0" t="n">
        <f aca="false">B897*1000+C897</f>
        <v>20023</v>
      </c>
      <c r="B897" s="0" t="n">
        <v>20</v>
      </c>
      <c r="C897" s="0" t="n">
        <v>23</v>
      </c>
      <c r="D897" s="0" t="n">
        <v>0</v>
      </c>
      <c r="E897" s="0" t="n">
        <f aca="false">VLOOKUP(B897,'Babblefish-APUMA'!$A$1:$B$86,2)</f>
        <v>86</v>
      </c>
      <c r="F897" s="0" t="n">
        <f aca="false">IF(C897&gt;1,IF(C897&lt;99,VLOOKUP(C897,'Babblefish-APUMA'!$A$1:$B$86,2),C897),C897)</f>
        <v>97</v>
      </c>
    </row>
    <row r="898" customFormat="false" ht="12.75" hidden="false" customHeight="false" outlineLevel="0" collapsed="false">
      <c r="A898" s="0" t="n">
        <f aca="false">B898*1000+C898</f>
        <v>20024</v>
      </c>
      <c r="B898" s="0" t="n">
        <v>20</v>
      </c>
      <c r="C898" s="0" t="n">
        <v>24</v>
      </c>
      <c r="D898" s="0" t="n">
        <v>0</v>
      </c>
      <c r="E898" s="0" t="n">
        <f aca="false">VLOOKUP(B898,'Babblefish-APUMA'!$A$1:$B$86,2)</f>
        <v>86</v>
      </c>
      <c r="F898" s="0" t="n">
        <f aca="false">IF(C898&gt;1,IF(C898&lt;99,VLOOKUP(C898,'Babblefish-APUMA'!$A$1:$B$86,2),C898),C898)</f>
        <v>101</v>
      </c>
    </row>
    <row r="899" customFormat="false" ht="12.75" hidden="false" customHeight="false" outlineLevel="0" collapsed="false">
      <c r="A899" s="0" t="n">
        <f aca="false">B899*1000+C899</f>
        <v>20025</v>
      </c>
      <c r="B899" s="0" t="n">
        <v>20</v>
      </c>
      <c r="C899" s="0" t="n">
        <v>25</v>
      </c>
      <c r="D899" s="0" t="n">
        <v>0</v>
      </c>
      <c r="E899" s="0" t="n">
        <f aca="false">VLOOKUP(B899,'Babblefish-APUMA'!$A$1:$B$86,2)</f>
        <v>86</v>
      </c>
      <c r="F899" s="0" t="n">
        <f aca="false">IF(C899&gt;1,IF(C899&lt;99,VLOOKUP(C899,'Babblefish-APUMA'!$A$1:$B$86,2),C899),C899)</f>
        <v>101</v>
      </c>
    </row>
    <row r="900" customFormat="false" ht="12.75" hidden="false" customHeight="false" outlineLevel="0" collapsed="false">
      <c r="A900" s="0" t="n">
        <f aca="false">B900*1000+C900</f>
        <v>20026</v>
      </c>
      <c r="B900" s="0" t="n">
        <v>20</v>
      </c>
      <c r="C900" s="0" t="n">
        <v>26</v>
      </c>
      <c r="D900" s="0" t="n">
        <v>0</v>
      </c>
      <c r="E900" s="0" t="n">
        <f aca="false">VLOOKUP(B900,'Babblefish-APUMA'!$A$1:$B$86,2)</f>
        <v>86</v>
      </c>
      <c r="F900" s="0" t="n">
        <f aca="false">IF(C900&gt;1,IF(C900&lt;99,VLOOKUP(C900,'Babblefish-APUMA'!$A$1:$B$86,2),C900),C900)</f>
        <v>26</v>
      </c>
    </row>
    <row r="901" customFormat="false" ht="12.75" hidden="false" customHeight="false" outlineLevel="0" collapsed="false">
      <c r="A901" s="0" t="n">
        <f aca="false">B901*1000+C901</f>
        <v>20027</v>
      </c>
      <c r="B901" s="0" t="n">
        <v>20</v>
      </c>
      <c r="C901" s="0" t="n">
        <v>27</v>
      </c>
      <c r="D901" s="0" t="n">
        <v>0</v>
      </c>
      <c r="E901" s="0" t="n">
        <f aca="false">VLOOKUP(B901,'Babblefish-APUMA'!$A$1:$B$86,2)</f>
        <v>86</v>
      </c>
      <c r="F901" s="0" t="n">
        <f aca="false">IF(C901&gt;1,IF(C901&lt;99,VLOOKUP(C901,'Babblefish-APUMA'!$A$1:$B$86,2),C901),C901)</f>
        <v>27</v>
      </c>
    </row>
    <row r="902" customFormat="false" ht="12.75" hidden="false" customHeight="false" outlineLevel="0" collapsed="false">
      <c r="A902" s="0" t="n">
        <f aca="false">B902*1000+C902</f>
        <v>20028</v>
      </c>
      <c r="B902" s="0" t="n">
        <v>20</v>
      </c>
      <c r="C902" s="0" t="n">
        <v>28</v>
      </c>
      <c r="D902" s="0" t="n">
        <v>0</v>
      </c>
      <c r="E902" s="0" t="n">
        <f aca="false">VLOOKUP(B902,'Babblefish-APUMA'!$A$1:$B$86,2)</f>
        <v>86</v>
      </c>
      <c r="F902" s="0" t="n">
        <f aca="false">IF(C902&gt;1,IF(C902&lt;99,VLOOKUP(C902,'Babblefish-APUMA'!$A$1:$B$86,2),C902),C902)</f>
        <v>94</v>
      </c>
    </row>
    <row r="903" customFormat="false" ht="12.75" hidden="false" customHeight="false" outlineLevel="0" collapsed="false">
      <c r="A903" s="0" t="n">
        <f aca="false">B903*1000+C903</f>
        <v>20029</v>
      </c>
      <c r="B903" s="0" t="n">
        <v>20</v>
      </c>
      <c r="C903" s="0" t="n">
        <v>29</v>
      </c>
      <c r="D903" s="0" t="n">
        <v>0</v>
      </c>
      <c r="E903" s="0" t="n">
        <f aca="false">VLOOKUP(B903,'Babblefish-APUMA'!$A$1:$B$86,2)</f>
        <v>86</v>
      </c>
      <c r="F903" s="0" t="n">
        <f aca="false">IF(C903&gt;1,IF(C903&lt;99,VLOOKUP(C903,'Babblefish-APUMA'!$A$1:$B$86,2),C903),C903)</f>
        <v>94</v>
      </c>
    </row>
    <row r="904" customFormat="false" ht="12.75" hidden="false" customHeight="false" outlineLevel="0" collapsed="false">
      <c r="A904" s="0" t="n">
        <f aca="false">B904*1000+C904</f>
        <v>20030</v>
      </c>
      <c r="B904" s="0" t="n">
        <v>20</v>
      </c>
      <c r="C904" s="0" t="n">
        <v>30</v>
      </c>
      <c r="D904" s="0" t="n">
        <v>0</v>
      </c>
      <c r="E904" s="0" t="n">
        <f aca="false">VLOOKUP(B904,'Babblefish-APUMA'!$A$1:$B$86,2)</f>
        <v>86</v>
      </c>
      <c r="F904" s="0" t="n">
        <f aca="false">IF(C904&gt;1,IF(C904&lt;99,VLOOKUP(C904,'Babblefish-APUMA'!$A$1:$B$86,2),C904),C904)</f>
        <v>30</v>
      </c>
    </row>
    <row r="905" customFormat="false" ht="12.75" hidden="false" customHeight="false" outlineLevel="0" collapsed="false">
      <c r="A905" s="0" t="n">
        <f aca="false">B905*1000+C905</f>
        <v>20031</v>
      </c>
      <c r="B905" s="0" t="n">
        <v>20</v>
      </c>
      <c r="C905" s="0" t="n">
        <v>31</v>
      </c>
      <c r="D905" s="0" t="n">
        <v>0</v>
      </c>
      <c r="E905" s="0" t="n">
        <f aca="false">VLOOKUP(B905,'Babblefish-APUMA'!$A$1:$B$86,2)</f>
        <v>86</v>
      </c>
      <c r="F905" s="0" t="n">
        <f aca="false">IF(C905&gt;1,IF(C905&lt;99,VLOOKUP(C905,'Babblefish-APUMA'!$A$1:$B$86,2),C905),C905)</f>
        <v>31</v>
      </c>
    </row>
    <row r="906" customFormat="false" ht="12.75" hidden="false" customHeight="false" outlineLevel="0" collapsed="false">
      <c r="A906" s="0" t="n">
        <f aca="false">B906*1000+C906</f>
        <v>20032</v>
      </c>
      <c r="B906" s="0" t="n">
        <v>20</v>
      </c>
      <c r="C906" s="0" t="n">
        <v>32</v>
      </c>
      <c r="D906" s="0" t="n">
        <v>0</v>
      </c>
      <c r="E906" s="0" t="n">
        <f aca="false">VLOOKUP(B906,'Babblefish-APUMA'!$A$1:$B$86,2)</f>
        <v>86</v>
      </c>
      <c r="F906" s="0" t="n">
        <f aca="false">IF(C906&gt;1,IF(C906&lt;99,VLOOKUP(C906,'Babblefish-APUMA'!$A$1:$B$86,2),C906),C906)</f>
        <v>32</v>
      </c>
    </row>
    <row r="907" customFormat="false" ht="12.75" hidden="false" customHeight="false" outlineLevel="0" collapsed="false">
      <c r="A907" s="0" t="n">
        <f aca="false">B907*1000+C907</f>
        <v>20033</v>
      </c>
      <c r="B907" s="0" t="n">
        <v>20</v>
      </c>
      <c r="C907" s="0" t="n">
        <v>33</v>
      </c>
      <c r="D907" s="0" t="n">
        <v>0</v>
      </c>
      <c r="E907" s="0" t="n">
        <f aca="false">VLOOKUP(B907,'Babblefish-APUMA'!$A$1:$B$86,2)</f>
        <v>86</v>
      </c>
      <c r="F907" s="0" t="n">
        <f aca="false">IF(C907&gt;1,IF(C907&lt;99,VLOOKUP(C907,'Babblefish-APUMA'!$A$1:$B$86,2),C907),C907)</f>
        <v>96</v>
      </c>
    </row>
    <row r="908" customFormat="false" ht="12.75" hidden="false" customHeight="false" outlineLevel="0" collapsed="false">
      <c r="A908" s="0" t="n">
        <f aca="false">B908*1000+C908</f>
        <v>20034</v>
      </c>
      <c r="B908" s="0" t="n">
        <v>20</v>
      </c>
      <c r="C908" s="0" t="n">
        <v>34</v>
      </c>
      <c r="D908" s="0" t="n">
        <v>0</v>
      </c>
      <c r="E908" s="0" t="n">
        <f aca="false">VLOOKUP(B908,'Babblefish-APUMA'!$A$1:$B$86,2)</f>
        <v>86</v>
      </c>
      <c r="F908" s="0" t="n">
        <f aca="false">IF(C908&gt;1,IF(C908&lt;99,VLOOKUP(C908,'Babblefish-APUMA'!$A$1:$B$86,2),C908),C908)</f>
        <v>96</v>
      </c>
    </row>
    <row r="909" customFormat="false" ht="12.75" hidden="false" customHeight="false" outlineLevel="0" collapsed="false">
      <c r="A909" s="0" t="n">
        <f aca="false">B909*1000+C909</f>
        <v>20035</v>
      </c>
      <c r="B909" s="0" t="n">
        <v>20</v>
      </c>
      <c r="C909" s="0" t="n">
        <v>35</v>
      </c>
      <c r="D909" s="0" t="n">
        <v>0</v>
      </c>
      <c r="E909" s="0" t="n">
        <f aca="false">VLOOKUP(B909,'Babblefish-APUMA'!$A$1:$B$86,2)</f>
        <v>86</v>
      </c>
      <c r="F909" s="0" t="n">
        <f aca="false">IF(C909&gt;1,IF(C909&lt;99,VLOOKUP(C909,'Babblefish-APUMA'!$A$1:$B$86,2),C909),C909)</f>
        <v>96</v>
      </c>
    </row>
    <row r="910" customFormat="false" ht="12.75" hidden="false" customHeight="false" outlineLevel="0" collapsed="false">
      <c r="A910" s="0" t="n">
        <f aca="false">B910*1000+C910</f>
        <v>20037</v>
      </c>
      <c r="B910" s="0" t="n">
        <v>20</v>
      </c>
      <c r="C910" s="0" t="n">
        <v>37</v>
      </c>
      <c r="D910" s="0" t="n">
        <v>0</v>
      </c>
      <c r="E910" s="0" t="n">
        <f aca="false">VLOOKUP(B910,'Babblefish-APUMA'!$A$1:$B$86,2)</f>
        <v>86</v>
      </c>
      <c r="F910" s="0" t="n">
        <f aca="false">IF(C910&gt;1,IF(C910&lt;99,VLOOKUP(C910,'Babblefish-APUMA'!$A$1:$B$86,2),C910),C910)</f>
        <v>96</v>
      </c>
    </row>
    <row r="911" customFormat="false" ht="12.75" hidden="false" customHeight="false" outlineLevel="0" collapsed="false">
      <c r="A911" s="0" t="n">
        <f aca="false">B911*1000+C911</f>
        <v>20038</v>
      </c>
      <c r="B911" s="0" t="n">
        <v>20</v>
      </c>
      <c r="C911" s="0" t="n">
        <v>38</v>
      </c>
      <c r="D911" s="0" t="n">
        <v>0</v>
      </c>
      <c r="E911" s="0" t="n">
        <f aca="false">VLOOKUP(B911,'Babblefish-APUMA'!$A$1:$B$86,2)</f>
        <v>86</v>
      </c>
      <c r="F911" s="0" t="n">
        <f aca="false">IF(C911&gt;1,IF(C911&lt;99,VLOOKUP(C911,'Babblefish-APUMA'!$A$1:$B$86,2),C911),C911)</f>
        <v>91</v>
      </c>
    </row>
    <row r="912" customFormat="false" ht="12.75" hidden="false" customHeight="false" outlineLevel="0" collapsed="false">
      <c r="A912" s="0" t="n">
        <f aca="false">B912*1000+C912</f>
        <v>20039</v>
      </c>
      <c r="B912" s="0" t="n">
        <v>20</v>
      </c>
      <c r="C912" s="0" t="n">
        <v>39</v>
      </c>
      <c r="D912" s="0" t="n">
        <v>0</v>
      </c>
      <c r="E912" s="0" t="n">
        <f aca="false">VLOOKUP(B912,'Babblefish-APUMA'!$A$1:$B$86,2)</f>
        <v>86</v>
      </c>
      <c r="F912" s="0" t="n">
        <f aca="false">IF(C912&gt;1,IF(C912&lt;99,VLOOKUP(C912,'Babblefish-APUMA'!$A$1:$B$86,2),C912),C912)</f>
        <v>91</v>
      </c>
    </row>
    <row r="913" customFormat="false" ht="12.75" hidden="false" customHeight="false" outlineLevel="0" collapsed="false">
      <c r="A913" s="0" t="n">
        <f aca="false">B913*1000+C913</f>
        <v>20040</v>
      </c>
      <c r="B913" s="0" t="n">
        <v>20</v>
      </c>
      <c r="C913" s="0" t="n">
        <v>40</v>
      </c>
      <c r="D913" s="0" t="n">
        <v>0</v>
      </c>
      <c r="E913" s="0" t="n">
        <f aca="false">VLOOKUP(B913,'Babblefish-APUMA'!$A$1:$B$86,2)</f>
        <v>86</v>
      </c>
      <c r="F913" s="0" t="n">
        <f aca="false">IF(C913&gt;1,IF(C913&lt;99,VLOOKUP(C913,'Babblefish-APUMA'!$A$1:$B$86,2),C913),C913)</f>
        <v>88</v>
      </c>
    </row>
    <row r="914" customFormat="false" ht="12.75" hidden="false" customHeight="false" outlineLevel="0" collapsed="false">
      <c r="A914" s="0" t="n">
        <f aca="false">B914*1000+C914</f>
        <v>20041</v>
      </c>
      <c r="B914" s="0" t="n">
        <v>20</v>
      </c>
      <c r="C914" s="0" t="n">
        <v>41</v>
      </c>
      <c r="D914" s="0" t="n">
        <v>0</v>
      </c>
      <c r="E914" s="0" t="n">
        <f aca="false">VLOOKUP(B914,'Babblefish-APUMA'!$A$1:$B$86,2)</f>
        <v>86</v>
      </c>
      <c r="F914" s="0" t="n">
        <f aca="false">IF(C914&gt;1,IF(C914&lt;99,VLOOKUP(C914,'Babblefish-APUMA'!$A$1:$B$86,2),C914),C914)</f>
        <v>88</v>
      </c>
    </row>
    <row r="915" customFormat="false" ht="12.75" hidden="false" customHeight="false" outlineLevel="0" collapsed="false">
      <c r="A915" s="0" t="n">
        <f aca="false">B915*1000+C915</f>
        <v>20042</v>
      </c>
      <c r="B915" s="0" t="n">
        <v>20</v>
      </c>
      <c r="C915" s="0" t="n">
        <v>42</v>
      </c>
      <c r="D915" s="0" t="n">
        <v>0</v>
      </c>
      <c r="E915" s="0" t="n">
        <f aca="false">VLOOKUP(B915,'Babblefish-APUMA'!$A$1:$B$86,2)</f>
        <v>86</v>
      </c>
      <c r="F915" s="0" t="n">
        <f aca="false">IF(C915&gt;1,IF(C915&lt;99,VLOOKUP(C915,'Babblefish-APUMA'!$A$1:$B$86,2),C915),C915)</f>
        <v>92</v>
      </c>
    </row>
    <row r="916" customFormat="false" ht="12.75" hidden="false" customHeight="false" outlineLevel="0" collapsed="false">
      <c r="A916" s="0" t="n">
        <f aca="false">B916*1000+C916</f>
        <v>20048</v>
      </c>
      <c r="B916" s="0" t="n">
        <v>20</v>
      </c>
      <c r="C916" s="0" t="n">
        <v>48</v>
      </c>
      <c r="D916" s="0" t="n">
        <v>0</v>
      </c>
      <c r="E916" s="0" t="n">
        <f aca="false">VLOOKUP(B916,'Babblefish-APUMA'!$A$1:$B$86,2)</f>
        <v>86</v>
      </c>
      <c r="F916" s="0" t="n">
        <f aca="false">IF(C916&gt;1,IF(C916&lt;99,VLOOKUP(C916,'Babblefish-APUMA'!$A$1:$B$86,2),C916),C916)</f>
        <v>92</v>
      </c>
    </row>
    <row r="917" customFormat="false" ht="12.75" hidden="false" customHeight="false" outlineLevel="0" collapsed="false">
      <c r="A917" s="0" t="n">
        <f aca="false">B917*1000+C917</f>
        <v>20049</v>
      </c>
      <c r="B917" s="0" t="n">
        <v>20</v>
      </c>
      <c r="C917" s="0" t="n">
        <v>49</v>
      </c>
      <c r="D917" s="0" t="n">
        <v>390</v>
      </c>
      <c r="E917" s="0" t="n">
        <f aca="false">VLOOKUP(B917,'Babblefish-APUMA'!$A$1:$B$86,2)</f>
        <v>86</v>
      </c>
      <c r="F917" s="0" t="n">
        <f aca="false">IF(C917&gt;1,IF(C917&lt;99,VLOOKUP(C917,'Babblefish-APUMA'!$A$1:$B$86,2),C917),C917)</f>
        <v>98</v>
      </c>
    </row>
    <row r="918" customFormat="false" ht="12.75" hidden="false" customHeight="false" outlineLevel="0" collapsed="false">
      <c r="A918" s="0" t="n">
        <f aca="false">B918*1000+C918</f>
        <v>20050</v>
      </c>
      <c r="B918" s="0" t="n">
        <v>20</v>
      </c>
      <c r="C918" s="0" t="n">
        <v>50</v>
      </c>
      <c r="D918" s="0" t="n">
        <v>0</v>
      </c>
      <c r="E918" s="0" t="n">
        <f aca="false">VLOOKUP(B918,'Babblefish-APUMA'!$A$1:$B$86,2)</f>
        <v>86</v>
      </c>
      <c r="F918" s="0" t="n">
        <f aca="false">IF(C918&gt;1,IF(C918&lt;99,VLOOKUP(C918,'Babblefish-APUMA'!$A$1:$B$86,2),C918),C918)</f>
        <v>98</v>
      </c>
    </row>
    <row r="919" customFormat="false" ht="12.75" hidden="false" customHeight="false" outlineLevel="0" collapsed="false">
      <c r="A919" s="0" t="n">
        <f aca="false">B919*1000+C919</f>
        <v>20051</v>
      </c>
      <c r="B919" s="0" t="n">
        <v>20</v>
      </c>
      <c r="C919" s="0" t="n">
        <v>51</v>
      </c>
      <c r="D919" s="0" t="n">
        <v>377</v>
      </c>
      <c r="E919" s="0" t="n">
        <f aca="false">VLOOKUP(B919,'Babblefish-APUMA'!$A$1:$B$86,2)</f>
        <v>86</v>
      </c>
      <c r="F919" s="0" t="n">
        <f aca="false">IF(C919&gt;1,IF(C919&lt;99,VLOOKUP(C919,'Babblefish-APUMA'!$A$1:$B$86,2),C919),C919)</f>
        <v>98</v>
      </c>
    </row>
    <row r="920" customFormat="false" ht="12.75" hidden="false" customHeight="false" outlineLevel="0" collapsed="false">
      <c r="A920" s="0" t="n">
        <f aca="false">B920*1000+C920</f>
        <v>20052</v>
      </c>
      <c r="B920" s="0" t="n">
        <v>20</v>
      </c>
      <c r="C920" s="0" t="n">
        <v>52</v>
      </c>
      <c r="D920" s="0" t="n">
        <v>65</v>
      </c>
      <c r="E920" s="0" t="n">
        <f aca="false">VLOOKUP(B920,'Babblefish-APUMA'!$A$1:$B$86,2)</f>
        <v>86</v>
      </c>
      <c r="F920" s="0" t="n">
        <f aca="false">IF(C920&gt;1,IF(C920&lt;99,VLOOKUP(C920,'Babblefish-APUMA'!$A$1:$B$86,2),C920),C920)</f>
        <v>90</v>
      </c>
    </row>
    <row r="921" customFormat="false" ht="12.75" hidden="false" customHeight="false" outlineLevel="0" collapsed="false">
      <c r="A921" s="0" t="n">
        <f aca="false">B921*1000+C921</f>
        <v>20053</v>
      </c>
      <c r="B921" s="0" t="n">
        <v>20</v>
      </c>
      <c r="C921" s="0" t="n">
        <v>53</v>
      </c>
      <c r="D921" s="0" t="n">
        <v>0</v>
      </c>
      <c r="E921" s="0" t="n">
        <f aca="false">VLOOKUP(B921,'Babblefish-APUMA'!$A$1:$B$86,2)</f>
        <v>86</v>
      </c>
      <c r="F921" s="0" t="n">
        <f aca="false">IF(C921&gt;1,IF(C921&lt;99,VLOOKUP(C921,'Babblefish-APUMA'!$A$1:$B$86,2),C921),C921)</f>
        <v>90</v>
      </c>
    </row>
    <row r="922" customFormat="false" ht="12.75" hidden="false" customHeight="false" outlineLevel="0" collapsed="false">
      <c r="A922" s="0" t="n">
        <f aca="false">B922*1000+C922</f>
        <v>20055</v>
      </c>
      <c r="B922" s="0" t="n">
        <v>20</v>
      </c>
      <c r="C922" s="0" t="n">
        <v>55</v>
      </c>
      <c r="D922" s="0" t="n">
        <v>0</v>
      </c>
      <c r="E922" s="0" t="n">
        <f aca="false">VLOOKUP(B922,'Babblefish-APUMA'!$A$1:$B$86,2)</f>
        <v>86</v>
      </c>
      <c r="F922" s="0" t="n">
        <f aca="false">IF(C922&gt;1,IF(C922&lt;99,VLOOKUP(C922,'Babblefish-APUMA'!$A$1:$B$86,2),C922),C922)</f>
        <v>90</v>
      </c>
    </row>
    <row r="923" customFormat="false" ht="12.75" hidden="false" customHeight="false" outlineLevel="0" collapsed="false">
      <c r="A923" s="0" t="n">
        <f aca="false">B923*1000+C923</f>
        <v>20057</v>
      </c>
      <c r="B923" s="0" t="n">
        <v>20</v>
      </c>
      <c r="C923" s="0" t="n">
        <v>57</v>
      </c>
      <c r="D923" s="0" t="n">
        <v>0</v>
      </c>
      <c r="E923" s="0" t="n">
        <f aca="false">VLOOKUP(B923,'Babblefish-APUMA'!$A$1:$B$86,2)</f>
        <v>86</v>
      </c>
      <c r="F923" s="0" t="n">
        <f aca="false">IF(C923&gt;1,IF(C923&lt;99,VLOOKUP(C923,'Babblefish-APUMA'!$A$1:$B$86,2),C923),C923)</f>
        <v>90</v>
      </c>
    </row>
    <row r="924" customFormat="false" ht="12.75" hidden="false" customHeight="false" outlineLevel="0" collapsed="false">
      <c r="A924" s="0" t="n">
        <f aca="false">B924*1000+C924</f>
        <v>20060</v>
      </c>
      <c r="B924" s="0" t="n">
        <v>20</v>
      </c>
      <c r="C924" s="0" t="n">
        <v>60</v>
      </c>
      <c r="D924" s="0" t="n">
        <v>0</v>
      </c>
      <c r="E924" s="0" t="n">
        <f aca="false">VLOOKUP(B924,'Babblefish-APUMA'!$A$1:$B$86,2)</f>
        <v>86</v>
      </c>
      <c r="F924" s="0" t="n">
        <f aca="false">IF(C924&gt;1,IF(C924&lt;99,VLOOKUP(C924,'Babblefish-APUMA'!$A$1:$B$86,2),C924),C924)</f>
        <v>90</v>
      </c>
    </row>
    <row r="925" customFormat="false" ht="12.75" hidden="false" customHeight="false" outlineLevel="0" collapsed="false">
      <c r="A925" s="0" t="n">
        <f aca="false">B925*1000+C925</f>
        <v>20062</v>
      </c>
      <c r="B925" s="0" t="n">
        <v>20</v>
      </c>
      <c r="C925" s="0" t="n">
        <v>62</v>
      </c>
      <c r="D925" s="0" t="n">
        <v>0</v>
      </c>
      <c r="E925" s="0" t="n">
        <f aca="false">VLOOKUP(B925,'Babblefish-APUMA'!$A$1:$B$86,2)</f>
        <v>86</v>
      </c>
      <c r="F925" s="0" t="n">
        <f aca="false">IF(C925&gt;1,IF(C925&lt;99,VLOOKUP(C925,'Babblefish-APUMA'!$A$1:$B$86,2),C925),C925)</f>
        <v>90</v>
      </c>
    </row>
    <row r="926" customFormat="false" ht="12.75" hidden="false" customHeight="false" outlineLevel="0" collapsed="false">
      <c r="A926" s="0" t="n">
        <f aca="false">B926*1000+C926</f>
        <v>20064</v>
      </c>
      <c r="B926" s="0" t="n">
        <v>20</v>
      </c>
      <c r="C926" s="0" t="n">
        <v>64</v>
      </c>
      <c r="D926" s="0" t="n">
        <v>78</v>
      </c>
      <c r="E926" s="0" t="n">
        <f aca="false">VLOOKUP(B926,'Babblefish-APUMA'!$A$1:$B$86,2)</f>
        <v>86</v>
      </c>
      <c r="F926" s="0" t="n">
        <f aca="false">IF(C926&gt;1,IF(C926&lt;99,VLOOKUP(C926,'Babblefish-APUMA'!$A$1:$B$86,2),C926),C926)</f>
        <v>90</v>
      </c>
    </row>
    <row r="927" customFormat="false" ht="12.75" hidden="false" customHeight="false" outlineLevel="0" collapsed="false">
      <c r="A927" s="0" t="n">
        <f aca="false">B927*1000+C927</f>
        <v>20065</v>
      </c>
      <c r="B927" s="0" t="n">
        <v>20</v>
      </c>
      <c r="C927" s="0" t="n">
        <v>65</v>
      </c>
      <c r="D927" s="0" t="n">
        <v>143</v>
      </c>
      <c r="E927" s="0" t="n">
        <f aca="false">VLOOKUP(B927,'Babblefish-APUMA'!$A$1:$B$86,2)</f>
        <v>86</v>
      </c>
      <c r="F927" s="0" t="n">
        <f aca="false">IF(C927&gt;1,IF(C927&lt;99,VLOOKUP(C927,'Babblefish-APUMA'!$A$1:$B$86,2),C927),C927)</f>
        <v>90</v>
      </c>
    </row>
    <row r="928" customFormat="false" ht="12.75" hidden="false" customHeight="false" outlineLevel="0" collapsed="false">
      <c r="A928" s="0" t="n">
        <f aca="false">B928*1000+C928</f>
        <v>20066</v>
      </c>
      <c r="B928" s="0" t="n">
        <v>20</v>
      </c>
      <c r="C928" s="0" t="n">
        <v>66</v>
      </c>
      <c r="D928" s="0" t="n">
        <v>0</v>
      </c>
      <c r="E928" s="0" t="n">
        <f aca="false">VLOOKUP(B928,'Babblefish-APUMA'!$A$1:$B$86,2)</f>
        <v>86</v>
      </c>
      <c r="F928" s="0" t="n">
        <f aca="false">IF(C928&gt;1,IF(C928&lt;99,VLOOKUP(C928,'Babblefish-APUMA'!$A$1:$B$86,2),C928),C928)</f>
        <v>90</v>
      </c>
    </row>
    <row r="929" customFormat="false" ht="12.75" hidden="false" customHeight="false" outlineLevel="0" collapsed="false">
      <c r="A929" s="0" t="n">
        <f aca="false">B929*1000+C929</f>
        <v>20067</v>
      </c>
      <c r="B929" s="0" t="n">
        <v>20</v>
      </c>
      <c r="C929" s="0" t="n">
        <v>67</v>
      </c>
      <c r="D929" s="0" t="n">
        <v>0</v>
      </c>
      <c r="E929" s="0" t="n">
        <f aca="false">VLOOKUP(B929,'Babblefish-APUMA'!$A$1:$B$86,2)</f>
        <v>86</v>
      </c>
      <c r="F929" s="0" t="n">
        <f aca="false">IF(C929&gt;1,IF(C929&lt;99,VLOOKUP(C929,'Babblefish-APUMA'!$A$1:$B$86,2),C929),C929)</f>
        <v>103</v>
      </c>
    </row>
    <row r="930" customFormat="false" ht="12.75" hidden="false" customHeight="false" outlineLevel="0" collapsed="false">
      <c r="A930" s="0" t="n">
        <f aca="false">B930*1000+C930</f>
        <v>20069</v>
      </c>
      <c r="B930" s="0" t="n">
        <v>20</v>
      </c>
      <c r="C930" s="0" t="n">
        <v>69</v>
      </c>
      <c r="D930" s="0" t="n">
        <v>0</v>
      </c>
      <c r="E930" s="0" t="n">
        <f aca="false">VLOOKUP(B930,'Babblefish-APUMA'!$A$1:$B$86,2)</f>
        <v>86</v>
      </c>
      <c r="F930" s="0" t="n">
        <f aca="false">IF(C930&gt;1,IF(C930&lt;99,VLOOKUP(C930,'Babblefish-APUMA'!$A$1:$B$86,2),C930),C930)</f>
        <v>93</v>
      </c>
    </row>
    <row r="931" customFormat="false" ht="12.75" hidden="false" customHeight="false" outlineLevel="0" collapsed="false">
      <c r="A931" s="0" t="n">
        <f aca="false">B931*1000+C931</f>
        <v>20071</v>
      </c>
      <c r="B931" s="0" t="n">
        <v>20</v>
      </c>
      <c r="C931" s="0" t="n">
        <v>71</v>
      </c>
      <c r="D931" s="0" t="n">
        <v>0</v>
      </c>
      <c r="E931" s="0" t="n">
        <f aca="false">VLOOKUP(B931,'Babblefish-APUMA'!$A$1:$B$86,2)</f>
        <v>86</v>
      </c>
      <c r="F931" s="0" t="n">
        <f aca="false">IF(C931&gt;1,IF(C931&lt;99,VLOOKUP(C931,'Babblefish-APUMA'!$A$1:$B$86,2),C931),C931)</f>
        <v>95</v>
      </c>
    </row>
    <row r="932" customFormat="false" ht="12.75" hidden="false" customHeight="false" outlineLevel="0" collapsed="false">
      <c r="A932" s="0" t="n">
        <f aca="false">B932*1000+C932</f>
        <v>20072</v>
      </c>
      <c r="B932" s="0" t="n">
        <v>20</v>
      </c>
      <c r="C932" s="0" t="n">
        <v>72</v>
      </c>
      <c r="D932" s="0" t="n">
        <v>0</v>
      </c>
      <c r="E932" s="0" t="n">
        <f aca="false">VLOOKUP(B932,'Babblefish-APUMA'!$A$1:$B$86,2)</f>
        <v>86</v>
      </c>
      <c r="F932" s="0" t="n">
        <f aca="false">IF(C932&gt;1,IF(C932&lt;99,VLOOKUP(C932,'Babblefish-APUMA'!$A$1:$B$86,2),C932),C932)</f>
        <v>95</v>
      </c>
    </row>
    <row r="933" customFormat="false" ht="12.75" hidden="false" customHeight="false" outlineLevel="0" collapsed="false">
      <c r="A933" s="0" t="n">
        <f aca="false">B933*1000+C933</f>
        <v>20073</v>
      </c>
      <c r="B933" s="0" t="n">
        <v>20</v>
      </c>
      <c r="C933" s="0" t="n">
        <v>73</v>
      </c>
      <c r="D933" s="0" t="n">
        <v>117</v>
      </c>
      <c r="E933" s="0" t="n">
        <f aca="false">VLOOKUP(B933,'Babblefish-APUMA'!$A$1:$B$86,2)</f>
        <v>86</v>
      </c>
      <c r="F933" s="0" t="n">
        <f aca="false">IF(C933&gt;1,IF(C933&lt;99,VLOOKUP(C933,'Babblefish-APUMA'!$A$1:$B$86,2),C933),C933)</f>
        <v>99</v>
      </c>
    </row>
    <row r="934" customFormat="false" ht="12.75" hidden="false" customHeight="false" outlineLevel="0" collapsed="false">
      <c r="A934" s="0" t="n">
        <f aca="false">B934*1000+C934</f>
        <v>20075</v>
      </c>
      <c r="B934" s="0" t="n">
        <v>20</v>
      </c>
      <c r="C934" s="0" t="n">
        <v>75</v>
      </c>
      <c r="D934" s="0" t="n">
        <v>0</v>
      </c>
      <c r="E934" s="0" t="n">
        <f aca="false">VLOOKUP(B934,'Babblefish-APUMA'!$A$1:$B$86,2)</f>
        <v>86</v>
      </c>
      <c r="F934" s="0" t="n">
        <f aca="false">IF(C934&gt;1,IF(C934&lt;99,VLOOKUP(C934,'Babblefish-APUMA'!$A$1:$B$86,2),C934),C934)</f>
        <v>75</v>
      </c>
    </row>
    <row r="935" customFormat="false" ht="12.75" hidden="false" customHeight="false" outlineLevel="0" collapsed="false">
      <c r="A935" s="0" t="n">
        <f aca="false">B935*1000+C935</f>
        <v>20076</v>
      </c>
      <c r="B935" s="0" t="n">
        <v>20</v>
      </c>
      <c r="C935" s="0" t="n">
        <v>76</v>
      </c>
      <c r="D935" s="0" t="n">
        <v>0</v>
      </c>
      <c r="E935" s="0" t="n">
        <f aca="false">VLOOKUP(B935,'Babblefish-APUMA'!$A$1:$B$86,2)</f>
        <v>86</v>
      </c>
      <c r="F935" s="0" t="n">
        <f aca="false">IF(C935&gt;1,IF(C935&lt;99,VLOOKUP(C935,'Babblefish-APUMA'!$A$1:$B$86,2),C935),C935)</f>
        <v>76</v>
      </c>
    </row>
    <row r="936" customFormat="false" ht="12.75" hidden="false" customHeight="false" outlineLevel="0" collapsed="false">
      <c r="A936" s="0" t="n">
        <f aca="false">B936*1000+C936</f>
        <v>20079</v>
      </c>
      <c r="B936" s="0" t="n">
        <v>20</v>
      </c>
      <c r="C936" s="0" t="n">
        <v>79</v>
      </c>
      <c r="D936" s="0" t="n">
        <v>0</v>
      </c>
      <c r="E936" s="0" t="n">
        <f aca="false">VLOOKUP(B936,'Babblefish-APUMA'!$A$1:$B$86,2)</f>
        <v>86</v>
      </c>
      <c r="F936" s="0" t="n">
        <f aca="false">IF(C936&gt;1,IF(C936&lt;99,VLOOKUP(C936,'Babblefish-APUMA'!$A$1:$B$86,2),C936),C936)</f>
        <v>89</v>
      </c>
    </row>
    <row r="937" customFormat="false" ht="12.75" hidden="false" customHeight="false" outlineLevel="0" collapsed="false">
      <c r="A937" s="0" t="n">
        <f aca="false">B937*1000+C937</f>
        <v>20080</v>
      </c>
      <c r="B937" s="0" t="n">
        <v>20</v>
      </c>
      <c r="C937" s="0" t="n">
        <v>80</v>
      </c>
      <c r="D937" s="0" t="n">
        <v>0</v>
      </c>
      <c r="E937" s="0" t="n">
        <f aca="false">VLOOKUP(B937,'Babblefish-APUMA'!$A$1:$B$86,2)</f>
        <v>86</v>
      </c>
      <c r="F937" s="0" t="n">
        <f aca="false">IF(C937&gt;1,IF(C937&lt;99,VLOOKUP(C937,'Babblefish-APUMA'!$A$1:$B$86,2),C937),C937)</f>
        <v>80</v>
      </c>
    </row>
    <row r="938" customFormat="false" ht="12.75" hidden="false" customHeight="false" outlineLevel="0" collapsed="false">
      <c r="A938" s="0" t="n">
        <f aca="false">B938*1000+C938</f>
        <v>20082</v>
      </c>
      <c r="B938" s="0" t="n">
        <v>20</v>
      </c>
      <c r="C938" s="0" t="n">
        <v>82</v>
      </c>
      <c r="D938" s="0" t="n">
        <v>0</v>
      </c>
      <c r="E938" s="0" t="n">
        <f aca="false">VLOOKUP(B938,'Babblefish-APUMA'!$A$1:$B$86,2)</f>
        <v>86</v>
      </c>
      <c r="F938" s="0" t="n">
        <f aca="false">IF(C938&gt;1,IF(C938&lt;99,VLOOKUP(C938,'Babblefish-APUMA'!$A$1:$B$86,2),C938),C938)</f>
        <v>95</v>
      </c>
    </row>
    <row r="939" customFormat="false" ht="12.75" hidden="false" customHeight="false" outlineLevel="0" collapsed="false">
      <c r="A939" s="0" t="n">
        <f aca="false">B939*1000+C939</f>
        <v>20085</v>
      </c>
      <c r="B939" s="0" t="n">
        <v>20</v>
      </c>
      <c r="C939" s="0" t="n">
        <v>85</v>
      </c>
      <c r="D939" s="0" t="n">
        <v>0</v>
      </c>
      <c r="E939" s="0" t="n">
        <f aca="false">VLOOKUP(B939,'Babblefish-APUMA'!$A$1:$B$86,2)</f>
        <v>86</v>
      </c>
      <c r="F939" s="0" t="n">
        <f aca="false">IF(C939&gt;1,IF(C939&lt;99,VLOOKUP(C939,'Babblefish-APUMA'!$A$1:$B$86,2),C939),C939)</f>
        <v>97</v>
      </c>
    </row>
    <row r="940" customFormat="false" ht="12.75" hidden="false" customHeight="false" outlineLevel="0" collapsed="false">
      <c r="A940" s="0" t="n">
        <f aca="false">B940*1000+C940</f>
        <v>20858</v>
      </c>
      <c r="B940" s="0" t="n">
        <v>20</v>
      </c>
      <c r="C940" s="0" t="n">
        <v>858</v>
      </c>
      <c r="D940" s="0" t="n">
        <v>0</v>
      </c>
      <c r="E940" s="0" t="n">
        <f aca="false">VLOOKUP(B940,'Babblefish-APUMA'!$A$1:$B$86,2)</f>
        <v>86</v>
      </c>
      <c r="F940" s="0" t="n">
        <f aca="false">IF(C940&gt;1,IF(C940&lt;99,VLOOKUP(C940,'Babblefish-APUMA'!$A$1:$B$86,2),C940),C940)</f>
        <v>858</v>
      </c>
    </row>
    <row r="941" customFormat="false" ht="12.75" hidden="false" customHeight="false" outlineLevel="0" collapsed="false">
      <c r="A941" s="0" t="n">
        <f aca="false">B941*1000+C941</f>
        <v>20999</v>
      </c>
      <c r="B941" s="0" t="n">
        <v>20</v>
      </c>
      <c r="C941" s="0" t="n">
        <v>999</v>
      </c>
      <c r="D941" s="0" t="n">
        <v>0</v>
      </c>
      <c r="E941" s="0" t="n">
        <f aca="false">VLOOKUP(B941,'Babblefish-APUMA'!$A$1:$B$86,2)</f>
        <v>86</v>
      </c>
      <c r="F941" s="0" t="n">
        <f aca="false">IF(C941&gt;1,IF(C941&lt;99,VLOOKUP(C941,'Babblefish-APUMA'!$A$1:$B$86,2),C941),C941)</f>
        <v>999</v>
      </c>
    </row>
    <row r="942" customFormat="false" ht="12.75" hidden="false" customHeight="false" outlineLevel="0" collapsed="false">
      <c r="A942" s="0" t="n">
        <f aca="false">B942*1000+C942</f>
        <v>21000</v>
      </c>
      <c r="B942" s="0" t="n">
        <v>21</v>
      </c>
      <c r="C942" s="0" t="n">
        <v>0</v>
      </c>
      <c r="D942" s="0" t="n">
        <v>377273</v>
      </c>
      <c r="E942" s="0" t="n">
        <f aca="false">VLOOKUP(B942,'Babblefish-APUMA'!$A$1:$B$86,2)</f>
        <v>86</v>
      </c>
      <c r="F942" s="0" t="n">
        <f aca="false">IF(C942&gt;1,IF(C942&lt;99,VLOOKUP(C942,'Babblefish-APUMA'!$A$1:$B$86,2),C942),C942)</f>
        <v>0</v>
      </c>
    </row>
    <row r="943" customFormat="false" ht="12.75" hidden="false" customHeight="false" outlineLevel="0" collapsed="false">
      <c r="A943" s="0" t="n">
        <f aca="false">B943*1000+C943</f>
        <v>21001</v>
      </c>
      <c r="B943" s="0" t="n">
        <v>21</v>
      </c>
      <c r="C943" s="0" t="n">
        <v>1</v>
      </c>
      <c r="D943" s="0" t="n">
        <v>91</v>
      </c>
      <c r="E943" s="0" t="n">
        <f aca="false">VLOOKUP(B943,'Babblefish-APUMA'!$A$1:$B$86,2)</f>
        <v>86</v>
      </c>
      <c r="F943" s="0" t="n">
        <f aca="false">IF(C943&gt;1,IF(C943&lt;99,VLOOKUP(C943,'Babblefish-APUMA'!$A$1:$B$86,2),C943),C943)</f>
        <v>1</v>
      </c>
    </row>
    <row r="944" customFormat="false" ht="12.75" hidden="false" customHeight="false" outlineLevel="0" collapsed="false">
      <c r="A944" s="0" t="n">
        <f aca="false">B944*1000+C944</f>
        <v>21002</v>
      </c>
      <c r="B944" s="0" t="n">
        <v>21</v>
      </c>
      <c r="C944" s="0" t="n">
        <v>2</v>
      </c>
      <c r="D944" s="0" t="n">
        <v>0</v>
      </c>
      <c r="E944" s="0" t="n">
        <f aca="false">VLOOKUP(B944,'Babblefish-APUMA'!$A$1:$B$86,2)</f>
        <v>86</v>
      </c>
      <c r="F944" s="0" t="n">
        <f aca="false">IF(C944&gt;1,IF(C944&lt;99,VLOOKUP(C944,'Babblefish-APUMA'!$A$1:$B$86,2),C944),C944)</f>
        <v>2</v>
      </c>
    </row>
    <row r="945" customFormat="false" ht="12.75" hidden="false" customHeight="false" outlineLevel="0" collapsed="false">
      <c r="A945" s="0" t="n">
        <f aca="false">B945*1000+C945</f>
        <v>21003</v>
      </c>
      <c r="B945" s="0" t="n">
        <v>21</v>
      </c>
      <c r="C945" s="0" t="n">
        <v>3</v>
      </c>
      <c r="D945" s="0" t="n">
        <v>130</v>
      </c>
      <c r="E945" s="0" t="n">
        <f aca="false">VLOOKUP(B945,'Babblefish-APUMA'!$A$1:$B$86,2)</f>
        <v>86</v>
      </c>
      <c r="F945" s="0" t="n">
        <f aca="false">IF(C945&gt;1,IF(C945&lt;99,VLOOKUP(C945,'Babblefish-APUMA'!$A$1:$B$86,2),C945),C945)</f>
        <v>3</v>
      </c>
    </row>
    <row r="946" customFormat="false" ht="12.75" hidden="false" customHeight="false" outlineLevel="0" collapsed="false">
      <c r="A946" s="0" t="n">
        <f aca="false">B946*1000+C946</f>
        <v>21004</v>
      </c>
      <c r="B946" s="0" t="n">
        <v>21</v>
      </c>
      <c r="C946" s="0" t="n">
        <v>4</v>
      </c>
      <c r="D946" s="0" t="n">
        <v>0</v>
      </c>
      <c r="E946" s="0" t="n">
        <f aca="false">VLOOKUP(B946,'Babblefish-APUMA'!$A$1:$B$86,2)</f>
        <v>86</v>
      </c>
      <c r="F946" s="0" t="n">
        <f aca="false">IF(C946&gt;1,IF(C946&lt;99,VLOOKUP(C946,'Babblefish-APUMA'!$A$1:$B$86,2),C946),C946)</f>
        <v>4</v>
      </c>
    </row>
    <row r="947" customFormat="false" ht="12.75" hidden="false" customHeight="false" outlineLevel="0" collapsed="false">
      <c r="A947" s="0" t="n">
        <f aca="false">B947*1000+C947</f>
        <v>21005</v>
      </c>
      <c r="B947" s="0" t="n">
        <v>21</v>
      </c>
      <c r="C947" s="0" t="n">
        <v>5</v>
      </c>
      <c r="D947" s="0" t="n">
        <v>0</v>
      </c>
      <c r="E947" s="0" t="n">
        <f aca="false">VLOOKUP(B947,'Babblefish-APUMA'!$A$1:$B$86,2)</f>
        <v>86</v>
      </c>
      <c r="F947" s="0" t="n">
        <f aca="false">IF(C947&gt;1,IF(C947&lt;99,VLOOKUP(C947,'Babblefish-APUMA'!$A$1:$B$86,2),C947),C947)</f>
        <v>5</v>
      </c>
    </row>
    <row r="948" customFormat="false" ht="12.75" hidden="false" customHeight="false" outlineLevel="0" collapsed="false">
      <c r="A948" s="0" t="n">
        <f aca="false">B948*1000+C948</f>
        <v>21006</v>
      </c>
      <c r="B948" s="0" t="n">
        <v>21</v>
      </c>
      <c r="C948" s="0" t="n">
        <v>6</v>
      </c>
      <c r="D948" s="0" t="n">
        <v>0</v>
      </c>
      <c r="E948" s="0" t="n">
        <f aca="false">VLOOKUP(B948,'Babblefish-APUMA'!$A$1:$B$86,2)</f>
        <v>86</v>
      </c>
      <c r="F948" s="0" t="n">
        <f aca="false">IF(C948&gt;1,IF(C948&lt;99,VLOOKUP(C948,'Babblefish-APUMA'!$A$1:$B$86,2),C948),C948)</f>
        <v>6</v>
      </c>
    </row>
    <row r="949" customFormat="false" ht="12.75" hidden="false" customHeight="false" outlineLevel="0" collapsed="false">
      <c r="A949" s="0" t="n">
        <f aca="false">B949*1000+C949</f>
        <v>21007</v>
      </c>
      <c r="B949" s="0" t="n">
        <v>21</v>
      </c>
      <c r="C949" s="0" t="n">
        <v>7</v>
      </c>
      <c r="D949" s="0" t="n">
        <v>0</v>
      </c>
      <c r="E949" s="0" t="n">
        <f aca="false">VLOOKUP(B949,'Babblefish-APUMA'!$A$1:$B$86,2)</f>
        <v>86</v>
      </c>
      <c r="F949" s="0" t="n">
        <f aca="false">IF(C949&gt;1,IF(C949&lt;99,VLOOKUP(C949,'Babblefish-APUMA'!$A$1:$B$86,2),C949),C949)</f>
        <v>7</v>
      </c>
    </row>
    <row r="950" customFormat="false" ht="12.75" hidden="false" customHeight="false" outlineLevel="0" collapsed="false">
      <c r="A950" s="0" t="n">
        <f aca="false">B950*1000+C950</f>
        <v>21008</v>
      </c>
      <c r="B950" s="0" t="n">
        <v>21</v>
      </c>
      <c r="C950" s="0" t="n">
        <v>8</v>
      </c>
      <c r="D950" s="0" t="n">
        <v>0</v>
      </c>
      <c r="E950" s="0" t="n">
        <f aca="false">VLOOKUP(B950,'Babblefish-APUMA'!$A$1:$B$86,2)</f>
        <v>86</v>
      </c>
      <c r="F950" s="0" t="n">
        <f aca="false">IF(C950&gt;1,IF(C950&lt;99,VLOOKUP(C950,'Babblefish-APUMA'!$A$1:$B$86,2),C950),C950)</f>
        <v>8</v>
      </c>
    </row>
    <row r="951" customFormat="false" ht="12.75" hidden="false" customHeight="false" outlineLevel="0" collapsed="false">
      <c r="A951" s="0" t="n">
        <f aca="false">B951*1000+C951</f>
        <v>21009</v>
      </c>
      <c r="B951" s="0" t="n">
        <v>21</v>
      </c>
      <c r="C951" s="0" t="n">
        <v>9</v>
      </c>
      <c r="D951" s="0" t="n">
        <v>91</v>
      </c>
      <c r="E951" s="0" t="n">
        <f aca="false">VLOOKUP(B951,'Babblefish-APUMA'!$A$1:$B$86,2)</f>
        <v>86</v>
      </c>
      <c r="F951" s="0" t="n">
        <f aca="false">IF(C951&gt;1,IF(C951&lt;99,VLOOKUP(C951,'Babblefish-APUMA'!$A$1:$B$86,2),C951),C951)</f>
        <v>9</v>
      </c>
    </row>
    <row r="952" customFormat="false" ht="12.75" hidden="false" customHeight="false" outlineLevel="0" collapsed="false">
      <c r="A952" s="0" t="n">
        <f aca="false">B952*1000+C952</f>
        <v>21010</v>
      </c>
      <c r="B952" s="0" t="n">
        <v>21</v>
      </c>
      <c r="C952" s="0" t="n">
        <v>10</v>
      </c>
      <c r="D952" s="0" t="n">
        <v>0</v>
      </c>
      <c r="E952" s="0" t="n">
        <f aca="false">VLOOKUP(B952,'Babblefish-APUMA'!$A$1:$B$86,2)</f>
        <v>86</v>
      </c>
      <c r="F952" s="0" t="n">
        <f aca="false">IF(C952&gt;1,IF(C952&lt;99,VLOOKUP(C952,'Babblefish-APUMA'!$A$1:$B$86,2),C952),C952)</f>
        <v>10</v>
      </c>
    </row>
    <row r="953" customFormat="false" ht="12.75" hidden="false" customHeight="false" outlineLevel="0" collapsed="false">
      <c r="A953" s="0" t="n">
        <f aca="false">B953*1000+C953</f>
        <v>21011</v>
      </c>
      <c r="B953" s="0" t="n">
        <v>21</v>
      </c>
      <c r="C953" s="0" t="n">
        <v>11</v>
      </c>
      <c r="D953" s="0" t="n">
        <v>169</v>
      </c>
      <c r="E953" s="0" t="n">
        <f aca="false">VLOOKUP(B953,'Babblefish-APUMA'!$A$1:$B$86,2)</f>
        <v>86</v>
      </c>
      <c r="F953" s="0" t="n">
        <f aca="false">IF(C953&gt;1,IF(C953&lt;99,VLOOKUP(C953,'Babblefish-APUMA'!$A$1:$B$86,2),C953),C953)</f>
        <v>11</v>
      </c>
    </row>
    <row r="954" customFormat="false" ht="12.75" hidden="false" customHeight="false" outlineLevel="0" collapsed="false">
      <c r="A954" s="0" t="n">
        <f aca="false">B954*1000+C954</f>
        <v>21012</v>
      </c>
      <c r="B954" s="0" t="n">
        <v>21</v>
      </c>
      <c r="C954" s="0" t="n">
        <v>12</v>
      </c>
      <c r="D954" s="0" t="n">
        <v>117</v>
      </c>
      <c r="E954" s="0" t="n">
        <f aca="false">VLOOKUP(B954,'Babblefish-APUMA'!$A$1:$B$86,2)</f>
        <v>86</v>
      </c>
      <c r="F954" s="0" t="n">
        <f aca="false">IF(C954&gt;1,IF(C954&lt;99,VLOOKUP(C954,'Babblefish-APUMA'!$A$1:$B$86,2),C954),C954)</f>
        <v>12</v>
      </c>
    </row>
    <row r="955" customFormat="false" ht="12.75" hidden="false" customHeight="false" outlineLevel="0" collapsed="false">
      <c r="A955" s="0" t="n">
        <f aca="false">B955*1000+C955</f>
        <v>21013</v>
      </c>
      <c r="B955" s="0" t="n">
        <v>21</v>
      </c>
      <c r="C955" s="0" t="n">
        <v>13</v>
      </c>
      <c r="D955" s="0" t="n">
        <v>195</v>
      </c>
      <c r="E955" s="0" t="n">
        <f aca="false">VLOOKUP(B955,'Babblefish-APUMA'!$A$1:$B$86,2)</f>
        <v>86</v>
      </c>
      <c r="F955" s="0" t="n">
        <f aca="false">IF(C955&gt;1,IF(C955&lt;99,VLOOKUP(C955,'Babblefish-APUMA'!$A$1:$B$86,2),C955),C955)</f>
        <v>100</v>
      </c>
    </row>
    <row r="956" customFormat="false" ht="12.75" hidden="false" customHeight="false" outlineLevel="0" collapsed="false">
      <c r="A956" s="0" t="n">
        <f aca="false">B956*1000+C956</f>
        <v>21014</v>
      </c>
      <c r="B956" s="0" t="n">
        <v>21</v>
      </c>
      <c r="C956" s="0" t="n">
        <v>14</v>
      </c>
      <c r="D956" s="0" t="n">
        <v>169</v>
      </c>
      <c r="E956" s="0" t="n">
        <f aca="false">VLOOKUP(B956,'Babblefish-APUMA'!$A$1:$B$86,2)</f>
        <v>86</v>
      </c>
      <c r="F956" s="0" t="n">
        <f aca="false">IF(C956&gt;1,IF(C956&lt;99,VLOOKUP(C956,'Babblefish-APUMA'!$A$1:$B$86,2),C956),C956)</f>
        <v>100</v>
      </c>
    </row>
    <row r="957" customFormat="false" ht="12.75" hidden="false" customHeight="false" outlineLevel="0" collapsed="false">
      <c r="A957" s="0" t="n">
        <f aca="false">B957*1000+C957</f>
        <v>21015</v>
      </c>
      <c r="B957" s="0" t="n">
        <v>21</v>
      </c>
      <c r="C957" s="0" t="n">
        <v>15</v>
      </c>
      <c r="D957" s="0" t="n">
        <v>507</v>
      </c>
      <c r="E957" s="0" t="n">
        <f aca="false">VLOOKUP(B957,'Babblefish-APUMA'!$A$1:$B$86,2)</f>
        <v>86</v>
      </c>
      <c r="F957" s="0" t="n">
        <f aca="false">IF(C957&gt;1,IF(C957&lt;99,VLOOKUP(C957,'Babblefish-APUMA'!$A$1:$B$86,2),C957),C957)</f>
        <v>15</v>
      </c>
    </row>
    <row r="958" customFormat="false" ht="12.75" hidden="false" customHeight="false" outlineLevel="0" collapsed="false">
      <c r="A958" s="0" t="n">
        <f aca="false">B958*1000+C958</f>
        <v>21016</v>
      </c>
      <c r="B958" s="0" t="n">
        <v>21</v>
      </c>
      <c r="C958" s="0" t="n">
        <v>16</v>
      </c>
      <c r="D958" s="0" t="n">
        <v>507</v>
      </c>
      <c r="E958" s="0" t="n">
        <f aca="false">VLOOKUP(B958,'Babblefish-APUMA'!$A$1:$B$86,2)</f>
        <v>86</v>
      </c>
      <c r="F958" s="0" t="n">
        <f aca="false">IF(C958&gt;1,IF(C958&lt;99,VLOOKUP(C958,'Babblefish-APUMA'!$A$1:$B$86,2),C958),C958)</f>
        <v>99</v>
      </c>
    </row>
    <row r="959" customFormat="false" ht="12.75" hidden="false" customHeight="false" outlineLevel="0" collapsed="false">
      <c r="A959" s="0" t="n">
        <f aca="false">B959*1000+C959</f>
        <v>21017</v>
      </c>
      <c r="B959" s="0" t="n">
        <v>21</v>
      </c>
      <c r="C959" s="0" t="n">
        <v>17</v>
      </c>
      <c r="D959" s="0" t="n">
        <v>1937</v>
      </c>
      <c r="E959" s="0" t="n">
        <f aca="false">VLOOKUP(B959,'Babblefish-APUMA'!$A$1:$B$86,2)</f>
        <v>86</v>
      </c>
      <c r="F959" s="0" t="n">
        <f aca="false">IF(C959&gt;1,IF(C959&lt;99,VLOOKUP(C959,'Babblefish-APUMA'!$A$1:$B$86,2),C959),C959)</f>
        <v>87</v>
      </c>
    </row>
    <row r="960" customFormat="false" ht="12.75" hidden="false" customHeight="false" outlineLevel="0" collapsed="false">
      <c r="A960" s="0" t="n">
        <f aca="false">B960*1000+C960</f>
        <v>21018</v>
      </c>
      <c r="B960" s="0" t="n">
        <v>21</v>
      </c>
      <c r="C960" s="0" t="n">
        <v>18</v>
      </c>
      <c r="D960" s="0" t="n">
        <v>17823</v>
      </c>
      <c r="E960" s="0" t="n">
        <f aca="false">VLOOKUP(B960,'Babblefish-APUMA'!$A$1:$B$86,2)</f>
        <v>86</v>
      </c>
      <c r="F960" s="0" t="n">
        <f aca="false">IF(C960&gt;1,IF(C960&lt;99,VLOOKUP(C960,'Babblefish-APUMA'!$A$1:$B$86,2),C960),C960)</f>
        <v>87</v>
      </c>
    </row>
    <row r="961" customFormat="false" ht="12.75" hidden="false" customHeight="false" outlineLevel="0" collapsed="false">
      <c r="A961" s="0" t="n">
        <f aca="false">B961*1000+C961</f>
        <v>21019</v>
      </c>
      <c r="B961" s="0" t="n">
        <v>21</v>
      </c>
      <c r="C961" s="0" t="n">
        <v>19</v>
      </c>
      <c r="D961" s="0" t="n">
        <v>27664</v>
      </c>
      <c r="E961" s="0" t="n">
        <f aca="false">VLOOKUP(B961,'Babblefish-APUMA'!$A$1:$B$86,2)</f>
        <v>86</v>
      </c>
      <c r="F961" s="0" t="n">
        <f aca="false">IF(C961&gt;1,IF(C961&lt;99,VLOOKUP(C961,'Babblefish-APUMA'!$A$1:$B$86,2),C961),C961)</f>
        <v>19</v>
      </c>
    </row>
    <row r="962" customFormat="false" ht="12.75" hidden="false" customHeight="false" outlineLevel="0" collapsed="false">
      <c r="A962" s="0" t="n">
        <f aca="false">B962*1000+C962</f>
        <v>21020</v>
      </c>
      <c r="B962" s="0" t="n">
        <v>21</v>
      </c>
      <c r="C962" s="0" t="n">
        <v>20</v>
      </c>
      <c r="D962" s="0" t="n">
        <v>8229</v>
      </c>
      <c r="E962" s="0" t="n">
        <f aca="false">VLOOKUP(B962,'Babblefish-APUMA'!$A$1:$B$86,2)</f>
        <v>86</v>
      </c>
      <c r="F962" s="0" t="n">
        <f aca="false">IF(C962&gt;1,IF(C962&lt;99,VLOOKUP(C962,'Babblefish-APUMA'!$A$1:$B$86,2),C962),C962)</f>
        <v>86</v>
      </c>
    </row>
    <row r="963" customFormat="false" ht="12.75" hidden="false" customHeight="false" outlineLevel="0" collapsed="false">
      <c r="A963" s="0" t="n">
        <f aca="false">B963*1000+C963</f>
        <v>21021</v>
      </c>
      <c r="B963" s="0" t="n">
        <v>21</v>
      </c>
      <c r="C963" s="0" t="n">
        <v>21</v>
      </c>
      <c r="D963" s="0" t="n">
        <v>274924</v>
      </c>
      <c r="E963" s="0" t="n">
        <f aca="false">VLOOKUP(B963,'Babblefish-APUMA'!$A$1:$B$86,2)</f>
        <v>86</v>
      </c>
      <c r="F963" s="0" t="n">
        <f aca="false">IF(C963&gt;1,IF(C963&lt;99,VLOOKUP(C963,'Babblefish-APUMA'!$A$1:$B$86,2),C963),C963)</f>
        <v>86</v>
      </c>
    </row>
    <row r="964" customFormat="false" ht="12.75" hidden="false" customHeight="false" outlineLevel="0" collapsed="false">
      <c r="A964" s="0" t="n">
        <f aca="false">B964*1000+C964</f>
        <v>21022</v>
      </c>
      <c r="B964" s="0" t="n">
        <v>21</v>
      </c>
      <c r="C964" s="0" t="n">
        <v>22</v>
      </c>
      <c r="D964" s="0" t="n">
        <v>19318</v>
      </c>
      <c r="E964" s="0" t="n">
        <f aca="false">VLOOKUP(B964,'Babblefish-APUMA'!$A$1:$B$86,2)</f>
        <v>86</v>
      </c>
      <c r="F964" s="0" t="n">
        <f aca="false">IF(C964&gt;1,IF(C964&lt;99,VLOOKUP(C964,'Babblefish-APUMA'!$A$1:$B$86,2),C964),C964)</f>
        <v>22</v>
      </c>
    </row>
    <row r="965" customFormat="false" ht="12.75" hidden="false" customHeight="false" outlineLevel="0" collapsed="false">
      <c r="A965" s="0" t="n">
        <f aca="false">B965*1000+C965</f>
        <v>21023</v>
      </c>
      <c r="B965" s="0" t="n">
        <v>21</v>
      </c>
      <c r="C965" s="0" t="n">
        <v>23</v>
      </c>
      <c r="D965" s="0" t="n">
        <v>429</v>
      </c>
      <c r="E965" s="0" t="n">
        <f aca="false">VLOOKUP(B965,'Babblefish-APUMA'!$A$1:$B$86,2)</f>
        <v>86</v>
      </c>
      <c r="F965" s="0" t="n">
        <f aca="false">IF(C965&gt;1,IF(C965&lt;99,VLOOKUP(C965,'Babblefish-APUMA'!$A$1:$B$86,2),C965),C965)</f>
        <v>97</v>
      </c>
    </row>
    <row r="966" customFormat="false" ht="12.75" hidden="false" customHeight="false" outlineLevel="0" collapsed="false">
      <c r="A966" s="0" t="n">
        <f aca="false">B966*1000+C966</f>
        <v>21024</v>
      </c>
      <c r="B966" s="0" t="n">
        <v>21</v>
      </c>
      <c r="C966" s="0" t="n">
        <v>24</v>
      </c>
      <c r="D966" s="0" t="n">
        <v>104</v>
      </c>
      <c r="E966" s="0" t="n">
        <f aca="false">VLOOKUP(B966,'Babblefish-APUMA'!$A$1:$B$86,2)</f>
        <v>86</v>
      </c>
      <c r="F966" s="0" t="n">
        <f aca="false">IF(C966&gt;1,IF(C966&lt;99,VLOOKUP(C966,'Babblefish-APUMA'!$A$1:$B$86,2),C966),C966)</f>
        <v>101</v>
      </c>
    </row>
    <row r="967" customFormat="false" ht="12.75" hidden="false" customHeight="false" outlineLevel="0" collapsed="false">
      <c r="A967" s="0" t="n">
        <f aca="false">B967*1000+C967</f>
        <v>21025</v>
      </c>
      <c r="B967" s="0" t="n">
        <v>21</v>
      </c>
      <c r="C967" s="0" t="n">
        <v>25</v>
      </c>
      <c r="D967" s="0" t="n">
        <v>117</v>
      </c>
      <c r="E967" s="0" t="n">
        <f aca="false">VLOOKUP(B967,'Babblefish-APUMA'!$A$1:$B$86,2)</f>
        <v>86</v>
      </c>
      <c r="F967" s="0" t="n">
        <f aca="false">IF(C967&gt;1,IF(C967&lt;99,VLOOKUP(C967,'Babblefish-APUMA'!$A$1:$B$86,2),C967),C967)</f>
        <v>101</v>
      </c>
    </row>
    <row r="968" customFormat="false" ht="12.75" hidden="false" customHeight="false" outlineLevel="0" collapsed="false">
      <c r="A968" s="0" t="n">
        <f aca="false">B968*1000+C968</f>
        <v>21026</v>
      </c>
      <c r="B968" s="0" t="n">
        <v>21</v>
      </c>
      <c r="C968" s="0" t="n">
        <v>26</v>
      </c>
      <c r="D968" s="0" t="n">
        <v>0</v>
      </c>
      <c r="E968" s="0" t="n">
        <f aca="false">VLOOKUP(B968,'Babblefish-APUMA'!$A$1:$B$86,2)</f>
        <v>86</v>
      </c>
      <c r="F968" s="0" t="n">
        <f aca="false">IF(C968&gt;1,IF(C968&lt;99,VLOOKUP(C968,'Babblefish-APUMA'!$A$1:$B$86,2),C968),C968)</f>
        <v>26</v>
      </c>
    </row>
    <row r="969" customFormat="false" ht="12.75" hidden="false" customHeight="false" outlineLevel="0" collapsed="false">
      <c r="A969" s="0" t="n">
        <f aca="false">B969*1000+C969</f>
        <v>21027</v>
      </c>
      <c r="B969" s="0" t="n">
        <v>21</v>
      </c>
      <c r="C969" s="0" t="n">
        <v>27</v>
      </c>
      <c r="D969" s="0" t="n">
        <v>0</v>
      </c>
      <c r="E969" s="0" t="n">
        <f aca="false">VLOOKUP(B969,'Babblefish-APUMA'!$A$1:$B$86,2)</f>
        <v>86</v>
      </c>
      <c r="F969" s="0" t="n">
        <f aca="false">IF(C969&gt;1,IF(C969&lt;99,VLOOKUP(C969,'Babblefish-APUMA'!$A$1:$B$86,2),C969),C969)</f>
        <v>27</v>
      </c>
    </row>
    <row r="970" customFormat="false" ht="12.75" hidden="false" customHeight="false" outlineLevel="0" collapsed="false">
      <c r="A970" s="0" t="n">
        <f aca="false">B970*1000+C970</f>
        <v>21028</v>
      </c>
      <c r="B970" s="0" t="n">
        <v>21</v>
      </c>
      <c r="C970" s="0" t="n">
        <v>28</v>
      </c>
      <c r="D970" s="0" t="n">
        <v>182</v>
      </c>
      <c r="E970" s="0" t="n">
        <f aca="false">VLOOKUP(B970,'Babblefish-APUMA'!$A$1:$B$86,2)</f>
        <v>86</v>
      </c>
      <c r="F970" s="0" t="n">
        <f aca="false">IF(C970&gt;1,IF(C970&lt;99,VLOOKUP(C970,'Babblefish-APUMA'!$A$1:$B$86,2),C970),C970)</f>
        <v>94</v>
      </c>
    </row>
    <row r="971" customFormat="false" ht="12.75" hidden="false" customHeight="false" outlineLevel="0" collapsed="false">
      <c r="A971" s="0" t="n">
        <f aca="false">B971*1000+C971</f>
        <v>21029</v>
      </c>
      <c r="B971" s="0" t="n">
        <v>21</v>
      </c>
      <c r="C971" s="0" t="n">
        <v>29</v>
      </c>
      <c r="D971" s="0" t="n">
        <v>0</v>
      </c>
      <c r="E971" s="0" t="n">
        <f aca="false">VLOOKUP(B971,'Babblefish-APUMA'!$A$1:$B$86,2)</f>
        <v>86</v>
      </c>
      <c r="F971" s="0" t="n">
        <f aca="false">IF(C971&gt;1,IF(C971&lt;99,VLOOKUP(C971,'Babblefish-APUMA'!$A$1:$B$86,2),C971),C971)</f>
        <v>94</v>
      </c>
    </row>
    <row r="972" customFormat="false" ht="12.75" hidden="false" customHeight="false" outlineLevel="0" collapsed="false">
      <c r="A972" s="0" t="n">
        <f aca="false">B972*1000+C972</f>
        <v>21030</v>
      </c>
      <c r="B972" s="0" t="n">
        <v>21</v>
      </c>
      <c r="C972" s="0" t="n">
        <v>30</v>
      </c>
      <c r="D972" s="0" t="n">
        <v>0</v>
      </c>
      <c r="E972" s="0" t="n">
        <f aca="false">VLOOKUP(B972,'Babblefish-APUMA'!$A$1:$B$86,2)</f>
        <v>86</v>
      </c>
      <c r="F972" s="0" t="n">
        <f aca="false">IF(C972&gt;1,IF(C972&lt;99,VLOOKUP(C972,'Babblefish-APUMA'!$A$1:$B$86,2),C972),C972)</f>
        <v>30</v>
      </c>
    </row>
    <row r="973" customFormat="false" ht="12.75" hidden="false" customHeight="false" outlineLevel="0" collapsed="false">
      <c r="A973" s="0" t="n">
        <f aca="false">B973*1000+C973</f>
        <v>21031</v>
      </c>
      <c r="B973" s="0" t="n">
        <v>21</v>
      </c>
      <c r="C973" s="0" t="n">
        <v>31</v>
      </c>
      <c r="D973" s="0" t="n">
        <v>0</v>
      </c>
      <c r="E973" s="0" t="n">
        <f aca="false">VLOOKUP(B973,'Babblefish-APUMA'!$A$1:$B$86,2)</f>
        <v>86</v>
      </c>
      <c r="F973" s="0" t="n">
        <f aca="false">IF(C973&gt;1,IF(C973&lt;99,VLOOKUP(C973,'Babblefish-APUMA'!$A$1:$B$86,2),C973),C973)</f>
        <v>31</v>
      </c>
    </row>
    <row r="974" customFormat="false" ht="12.75" hidden="false" customHeight="false" outlineLevel="0" collapsed="false">
      <c r="A974" s="0" t="n">
        <f aca="false">B974*1000+C974</f>
        <v>21032</v>
      </c>
      <c r="B974" s="0" t="n">
        <v>21</v>
      </c>
      <c r="C974" s="0" t="n">
        <v>32</v>
      </c>
      <c r="D974" s="0" t="n">
        <v>0</v>
      </c>
      <c r="E974" s="0" t="n">
        <f aca="false">VLOOKUP(B974,'Babblefish-APUMA'!$A$1:$B$86,2)</f>
        <v>86</v>
      </c>
      <c r="F974" s="0" t="n">
        <f aca="false">IF(C974&gt;1,IF(C974&lt;99,VLOOKUP(C974,'Babblefish-APUMA'!$A$1:$B$86,2),C974),C974)</f>
        <v>32</v>
      </c>
    </row>
    <row r="975" customFormat="false" ht="12.75" hidden="false" customHeight="false" outlineLevel="0" collapsed="false">
      <c r="A975" s="0" t="n">
        <f aca="false">B975*1000+C975</f>
        <v>21033</v>
      </c>
      <c r="B975" s="0" t="n">
        <v>21</v>
      </c>
      <c r="C975" s="0" t="n">
        <v>33</v>
      </c>
      <c r="D975" s="0" t="n">
        <v>0</v>
      </c>
      <c r="E975" s="0" t="n">
        <f aca="false">VLOOKUP(B975,'Babblefish-APUMA'!$A$1:$B$86,2)</f>
        <v>86</v>
      </c>
      <c r="F975" s="0" t="n">
        <f aca="false">IF(C975&gt;1,IF(C975&lt;99,VLOOKUP(C975,'Babblefish-APUMA'!$A$1:$B$86,2),C975),C975)</f>
        <v>96</v>
      </c>
    </row>
    <row r="976" customFormat="false" ht="12.75" hidden="false" customHeight="false" outlineLevel="0" collapsed="false">
      <c r="A976" s="0" t="n">
        <f aca="false">B976*1000+C976</f>
        <v>21034</v>
      </c>
      <c r="B976" s="0" t="n">
        <v>21</v>
      </c>
      <c r="C976" s="0" t="n">
        <v>34</v>
      </c>
      <c r="D976" s="0" t="n">
        <v>0</v>
      </c>
      <c r="E976" s="0" t="n">
        <f aca="false">VLOOKUP(B976,'Babblefish-APUMA'!$A$1:$B$86,2)</f>
        <v>86</v>
      </c>
      <c r="F976" s="0" t="n">
        <f aca="false">IF(C976&gt;1,IF(C976&lt;99,VLOOKUP(C976,'Babblefish-APUMA'!$A$1:$B$86,2),C976),C976)</f>
        <v>96</v>
      </c>
    </row>
    <row r="977" customFormat="false" ht="12.75" hidden="false" customHeight="false" outlineLevel="0" collapsed="false">
      <c r="A977" s="0" t="n">
        <f aca="false">B977*1000+C977</f>
        <v>21035</v>
      </c>
      <c r="B977" s="0" t="n">
        <v>21</v>
      </c>
      <c r="C977" s="0" t="n">
        <v>35</v>
      </c>
      <c r="D977" s="0" t="n">
        <v>0</v>
      </c>
      <c r="E977" s="0" t="n">
        <f aca="false">VLOOKUP(B977,'Babblefish-APUMA'!$A$1:$B$86,2)</f>
        <v>86</v>
      </c>
      <c r="F977" s="0" t="n">
        <f aca="false">IF(C977&gt;1,IF(C977&lt;99,VLOOKUP(C977,'Babblefish-APUMA'!$A$1:$B$86,2),C977),C977)</f>
        <v>96</v>
      </c>
    </row>
    <row r="978" customFormat="false" ht="12.75" hidden="false" customHeight="false" outlineLevel="0" collapsed="false">
      <c r="A978" s="0" t="n">
        <f aca="false">B978*1000+C978</f>
        <v>21037</v>
      </c>
      <c r="B978" s="0" t="n">
        <v>21</v>
      </c>
      <c r="C978" s="0" t="n">
        <v>37</v>
      </c>
      <c r="D978" s="0" t="n">
        <v>0</v>
      </c>
      <c r="E978" s="0" t="n">
        <f aca="false">VLOOKUP(B978,'Babblefish-APUMA'!$A$1:$B$86,2)</f>
        <v>86</v>
      </c>
      <c r="F978" s="0" t="n">
        <f aca="false">IF(C978&gt;1,IF(C978&lt;99,VLOOKUP(C978,'Babblefish-APUMA'!$A$1:$B$86,2),C978),C978)</f>
        <v>96</v>
      </c>
    </row>
    <row r="979" customFormat="false" ht="12.75" hidden="false" customHeight="false" outlineLevel="0" collapsed="false">
      <c r="A979" s="0" t="n">
        <f aca="false">B979*1000+C979</f>
        <v>21038</v>
      </c>
      <c r="B979" s="0" t="n">
        <v>21</v>
      </c>
      <c r="C979" s="0" t="n">
        <v>38</v>
      </c>
      <c r="D979" s="0" t="n">
        <v>0</v>
      </c>
      <c r="E979" s="0" t="n">
        <f aca="false">VLOOKUP(B979,'Babblefish-APUMA'!$A$1:$B$86,2)</f>
        <v>86</v>
      </c>
      <c r="F979" s="0" t="n">
        <f aca="false">IF(C979&gt;1,IF(C979&lt;99,VLOOKUP(C979,'Babblefish-APUMA'!$A$1:$B$86,2),C979),C979)</f>
        <v>91</v>
      </c>
    </row>
    <row r="980" customFormat="false" ht="12.75" hidden="false" customHeight="false" outlineLevel="0" collapsed="false">
      <c r="A980" s="0" t="n">
        <f aca="false">B980*1000+C980</f>
        <v>21039</v>
      </c>
      <c r="B980" s="0" t="n">
        <v>21</v>
      </c>
      <c r="C980" s="0" t="n">
        <v>39</v>
      </c>
      <c r="D980" s="0" t="n">
        <v>0</v>
      </c>
      <c r="E980" s="0" t="n">
        <f aca="false">VLOOKUP(B980,'Babblefish-APUMA'!$A$1:$B$86,2)</f>
        <v>86</v>
      </c>
      <c r="F980" s="0" t="n">
        <f aca="false">IF(C980&gt;1,IF(C980&lt;99,VLOOKUP(C980,'Babblefish-APUMA'!$A$1:$B$86,2),C980),C980)</f>
        <v>91</v>
      </c>
    </row>
    <row r="981" customFormat="false" ht="12.75" hidden="false" customHeight="false" outlineLevel="0" collapsed="false">
      <c r="A981" s="0" t="n">
        <f aca="false">B981*1000+C981</f>
        <v>21040</v>
      </c>
      <c r="B981" s="0" t="n">
        <v>21</v>
      </c>
      <c r="C981" s="0" t="n">
        <v>40</v>
      </c>
      <c r="D981" s="0" t="n">
        <v>65</v>
      </c>
      <c r="E981" s="0" t="n">
        <f aca="false">VLOOKUP(B981,'Babblefish-APUMA'!$A$1:$B$86,2)</f>
        <v>86</v>
      </c>
      <c r="F981" s="0" t="n">
        <f aca="false">IF(C981&gt;1,IF(C981&lt;99,VLOOKUP(C981,'Babblefish-APUMA'!$A$1:$B$86,2),C981),C981)</f>
        <v>88</v>
      </c>
    </row>
    <row r="982" customFormat="false" ht="12.75" hidden="false" customHeight="false" outlineLevel="0" collapsed="false">
      <c r="A982" s="0" t="n">
        <f aca="false">B982*1000+C982</f>
        <v>21041</v>
      </c>
      <c r="B982" s="0" t="n">
        <v>21</v>
      </c>
      <c r="C982" s="0" t="n">
        <v>41</v>
      </c>
      <c r="D982" s="0" t="n">
        <v>0</v>
      </c>
      <c r="E982" s="0" t="n">
        <f aca="false">VLOOKUP(B982,'Babblefish-APUMA'!$A$1:$B$86,2)</f>
        <v>86</v>
      </c>
      <c r="F982" s="0" t="n">
        <f aca="false">IF(C982&gt;1,IF(C982&lt;99,VLOOKUP(C982,'Babblefish-APUMA'!$A$1:$B$86,2),C982),C982)</f>
        <v>88</v>
      </c>
    </row>
    <row r="983" customFormat="false" ht="12.75" hidden="false" customHeight="false" outlineLevel="0" collapsed="false">
      <c r="A983" s="0" t="n">
        <f aca="false">B983*1000+C983</f>
        <v>21042</v>
      </c>
      <c r="B983" s="0" t="n">
        <v>21</v>
      </c>
      <c r="C983" s="0" t="n">
        <v>42</v>
      </c>
      <c r="D983" s="0" t="n">
        <v>0</v>
      </c>
      <c r="E983" s="0" t="n">
        <f aca="false">VLOOKUP(B983,'Babblefish-APUMA'!$A$1:$B$86,2)</f>
        <v>86</v>
      </c>
      <c r="F983" s="0" t="n">
        <f aca="false">IF(C983&gt;1,IF(C983&lt;99,VLOOKUP(C983,'Babblefish-APUMA'!$A$1:$B$86,2),C983),C983)</f>
        <v>92</v>
      </c>
    </row>
    <row r="984" customFormat="false" ht="12.75" hidden="false" customHeight="false" outlineLevel="0" collapsed="false">
      <c r="A984" s="0" t="n">
        <f aca="false">B984*1000+C984</f>
        <v>21043</v>
      </c>
      <c r="B984" s="0" t="n">
        <v>21</v>
      </c>
      <c r="C984" s="0" t="n">
        <v>43</v>
      </c>
      <c r="D984" s="0" t="n">
        <v>65</v>
      </c>
      <c r="E984" s="0" t="n">
        <f aca="false">VLOOKUP(B984,'Babblefish-APUMA'!$A$1:$B$86,2)</f>
        <v>86</v>
      </c>
      <c r="F984" s="0" t="n">
        <f aca="false">IF(C984&gt;1,IF(C984&lt;99,VLOOKUP(C984,'Babblefish-APUMA'!$A$1:$B$86,2),C984),C984)</f>
        <v>92</v>
      </c>
    </row>
    <row r="985" customFormat="false" ht="12.75" hidden="false" customHeight="false" outlineLevel="0" collapsed="false">
      <c r="A985" s="0" t="n">
        <f aca="false">B985*1000+C985</f>
        <v>21046</v>
      </c>
      <c r="B985" s="0" t="n">
        <v>21</v>
      </c>
      <c r="C985" s="0" t="n">
        <v>46</v>
      </c>
      <c r="D985" s="0" t="n">
        <v>91</v>
      </c>
      <c r="E985" s="0" t="n">
        <f aca="false">VLOOKUP(B985,'Babblefish-APUMA'!$A$1:$B$86,2)</f>
        <v>86</v>
      </c>
      <c r="F985" s="0" t="n">
        <f aca="false">IF(C985&gt;1,IF(C985&lt;99,VLOOKUP(C985,'Babblefish-APUMA'!$A$1:$B$86,2),C985),C985)</f>
        <v>92</v>
      </c>
    </row>
    <row r="986" customFormat="false" ht="12.75" hidden="false" customHeight="false" outlineLevel="0" collapsed="false">
      <c r="A986" s="0" t="n">
        <f aca="false">B986*1000+C986</f>
        <v>21048</v>
      </c>
      <c r="B986" s="0" t="n">
        <v>21</v>
      </c>
      <c r="C986" s="0" t="n">
        <v>48</v>
      </c>
      <c r="D986" s="0" t="n">
        <v>104</v>
      </c>
      <c r="E986" s="0" t="n">
        <f aca="false">VLOOKUP(B986,'Babblefish-APUMA'!$A$1:$B$86,2)</f>
        <v>86</v>
      </c>
      <c r="F986" s="0" t="n">
        <f aca="false">IF(C986&gt;1,IF(C986&lt;99,VLOOKUP(C986,'Babblefish-APUMA'!$A$1:$B$86,2),C986),C986)</f>
        <v>92</v>
      </c>
    </row>
    <row r="987" customFormat="false" ht="12.75" hidden="false" customHeight="false" outlineLevel="0" collapsed="false">
      <c r="A987" s="0" t="n">
        <f aca="false">B987*1000+C987</f>
        <v>21049</v>
      </c>
      <c r="B987" s="0" t="n">
        <v>21</v>
      </c>
      <c r="C987" s="0" t="n">
        <v>49</v>
      </c>
      <c r="D987" s="0" t="n">
        <v>23803</v>
      </c>
      <c r="E987" s="0" t="n">
        <f aca="false">VLOOKUP(B987,'Babblefish-APUMA'!$A$1:$B$86,2)</f>
        <v>86</v>
      </c>
      <c r="F987" s="0" t="n">
        <f aca="false">IF(C987&gt;1,IF(C987&lt;99,VLOOKUP(C987,'Babblefish-APUMA'!$A$1:$B$86,2),C987),C987)</f>
        <v>98</v>
      </c>
    </row>
    <row r="988" customFormat="false" ht="12.75" hidden="false" customHeight="false" outlineLevel="0" collapsed="false">
      <c r="A988" s="0" t="n">
        <f aca="false">B988*1000+C988</f>
        <v>21050</v>
      </c>
      <c r="B988" s="0" t="n">
        <v>21</v>
      </c>
      <c r="C988" s="0" t="n">
        <v>50</v>
      </c>
      <c r="D988" s="0" t="n">
        <v>8255</v>
      </c>
      <c r="E988" s="0" t="n">
        <f aca="false">VLOOKUP(B988,'Babblefish-APUMA'!$A$1:$B$86,2)</f>
        <v>86</v>
      </c>
      <c r="F988" s="0" t="n">
        <f aca="false">IF(C988&gt;1,IF(C988&lt;99,VLOOKUP(C988,'Babblefish-APUMA'!$A$1:$B$86,2),C988),C988)</f>
        <v>98</v>
      </c>
    </row>
    <row r="989" customFormat="false" ht="12.75" hidden="false" customHeight="false" outlineLevel="0" collapsed="false">
      <c r="A989" s="0" t="n">
        <f aca="false">B989*1000+C989</f>
        <v>21051</v>
      </c>
      <c r="B989" s="0" t="n">
        <v>21</v>
      </c>
      <c r="C989" s="0" t="n">
        <v>51</v>
      </c>
      <c r="D989" s="0" t="n">
        <v>17420</v>
      </c>
      <c r="E989" s="0" t="n">
        <f aca="false">VLOOKUP(B989,'Babblefish-APUMA'!$A$1:$B$86,2)</f>
        <v>86</v>
      </c>
      <c r="F989" s="0" t="n">
        <f aca="false">IF(C989&gt;1,IF(C989&lt;99,VLOOKUP(C989,'Babblefish-APUMA'!$A$1:$B$86,2),C989),C989)</f>
        <v>98</v>
      </c>
    </row>
    <row r="990" customFormat="false" ht="12.75" hidden="false" customHeight="false" outlineLevel="0" collapsed="false">
      <c r="A990" s="0" t="n">
        <f aca="false">B990*1000+C990</f>
        <v>21052</v>
      </c>
      <c r="B990" s="0" t="n">
        <v>21</v>
      </c>
      <c r="C990" s="0" t="n">
        <v>52</v>
      </c>
      <c r="D990" s="0" t="n">
        <v>65</v>
      </c>
      <c r="E990" s="0" t="n">
        <f aca="false">VLOOKUP(B990,'Babblefish-APUMA'!$A$1:$B$86,2)</f>
        <v>86</v>
      </c>
      <c r="F990" s="0" t="n">
        <f aca="false">IF(C990&gt;1,IF(C990&lt;99,VLOOKUP(C990,'Babblefish-APUMA'!$A$1:$B$86,2),C990),C990)</f>
        <v>90</v>
      </c>
    </row>
    <row r="991" customFormat="false" ht="12.75" hidden="false" customHeight="false" outlineLevel="0" collapsed="false">
      <c r="A991" s="0" t="n">
        <f aca="false">B991*1000+C991</f>
        <v>21053</v>
      </c>
      <c r="B991" s="0" t="n">
        <v>21</v>
      </c>
      <c r="C991" s="0" t="n">
        <v>53</v>
      </c>
      <c r="D991" s="0" t="n">
        <v>117</v>
      </c>
      <c r="E991" s="0" t="n">
        <f aca="false">VLOOKUP(B991,'Babblefish-APUMA'!$A$1:$B$86,2)</f>
        <v>86</v>
      </c>
      <c r="F991" s="0" t="n">
        <f aca="false">IF(C991&gt;1,IF(C991&lt;99,VLOOKUP(C991,'Babblefish-APUMA'!$A$1:$B$86,2),C991),C991)</f>
        <v>90</v>
      </c>
    </row>
    <row r="992" customFormat="false" ht="12.75" hidden="false" customHeight="false" outlineLevel="0" collapsed="false">
      <c r="A992" s="0" t="n">
        <f aca="false">B992*1000+C992</f>
        <v>21054</v>
      </c>
      <c r="B992" s="0" t="n">
        <v>21</v>
      </c>
      <c r="C992" s="0" t="n">
        <v>54</v>
      </c>
      <c r="D992" s="0" t="n">
        <v>104</v>
      </c>
      <c r="E992" s="0" t="n">
        <f aca="false">VLOOKUP(B992,'Babblefish-APUMA'!$A$1:$B$86,2)</f>
        <v>86</v>
      </c>
      <c r="F992" s="0" t="n">
        <f aca="false">IF(C992&gt;1,IF(C992&lt;99,VLOOKUP(C992,'Babblefish-APUMA'!$A$1:$B$86,2),C992),C992)</f>
        <v>90</v>
      </c>
    </row>
    <row r="993" customFormat="false" ht="12.75" hidden="false" customHeight="false" outlineLevel="0" collapsed="false">
      <c r="A993" s="0" t="n">
        <f aca="false">B993*1000+C993</f>
        <v>21055</v>
      </c>
      <c r="B993" s="0" t="n">
        <v>21</v>
      </c>
      <c r="C993" s="0" t="n">
        <v>55</v>
      </c>
      <c r="D993" s="0" t="n">
        <v>0</v>
      </c>
      <c r="E993" s="0" t="n">
        <f aca="false">VLOOKUP(B993,'Babblefish-APUMA'!$A$1:$B$86,2)</f>
        <v>86</v>
      </c>
      <c r="F993" s="0" t="n">
        <f aca="false">IF(C993&gt;1,IF(C993&lt;99,VLOOKUP(C993,'Babblefish-APUMA'!$A$1:$B$86,2),C993),C993)</f>
        <v>90</v>
      </c>
    </row>
    <row r="994" customFormat="false" ht="12.75" hidden="false" customHeight="false" outlineLevel="0" collapsed="false">
      <c r="A994" s="0" t="n">
        <f aca="false">B994*1000+C994</f>
        <v>21057</v>
      </c>
      <c r="B994" s="0" t="n">
        <v>21</v>
      </c>
      <c r="C994" s="0" t="n">
        <v>57</v>
      </c>
      <c r="D994" s="0" t="n">
        <v>0</v>
      </c>
      <c r="E994" s="0" t="n">
        <f aca="false">VLOOKUP(B994,'Babblefish-APUMA'!$A$1:$B$86,2)</f>
        <v>86</v>
      </c>
      <c r="F994" s="0" t="n">
        <f aca="false">IF(C994&gt;1,IF(C994&lt;99,VLOOKUP(C994,'Babblefish-APUMA'!$A$1:$B$86,2),C994),C994)</f>
        <v>90</v>
      </c>
    </row>
    <row r="995" customFormat="false" ht="12.75" hidden="false" customHeight="false" outlineLevel="0" collapsed="false">
      <c r="A995" s="0" t="n">
        <f aca="false">B995*1000+C995</f>
        <v>21059</v>
      </c>
      <c r="B995" s="0" t="n">
        <v>21</v>
      </c>
      <c r="C995" s="0" t="n">
        <v>59</v>
      </c>
      <c r="D995" s="0" t="n">
        <v>91</v>
      </c>
      <c r="E995" s="0" t="n">
        <f aca="false">VLOOKUP(B995,'Babblefish-APUMA'!$A$1:$B$86,2)</f>
        <v>86</v>
      </c>
      <c r="F995" s="0" t="n">
        <f aca="false">IF(C995&gt;1,IF(C995&lt;99,VLOOKUP(C995,'Babblefish-APUMA'!$A$1:$B$86,2),C995),C995)</f>
        <v>90</v>
      </c>
    </row>
    <row r="996" customFormat="false" ht="12.75" hidden="false" customHeight="false" outlineLevel="0" collapsed="false">
      <c r="A996" s="0" t="n">
        <f aca="false">B996*1000+C996</f>
        <v>21060</v>
      </c>
      <c r="B996" s="0" t="n">
        <v>21</v>
      </c>
      <c r="C996" s="0" t="n">
        <v>60</v>
      </c>
      <c r="D996" s="0" t="n">
        <v>0</v>
      </c>
      <c r="E996" s="0" t="n">
        <f aca="false">VLOOKUP(B996,'Babblefish-APUMA'!$A$1:$B$86,2)</f>
        <v>86</v>
      </c>
      <c r="F996" s="0" t="n">
        <f aca="false">IF(C996&gt;1,IF(C996&lt;99,VLOOKUP(C996,'Babblefish-APUMA'!$A$1:$B$86,2),C996),C996)</f>
        <v>90</v>
      </c>
    </row>
    <row r="997" customFormat="false" ht="12.75" hidden="false" customHeight="false" outlineLevel="0" collapsed="false">
      <c r="A997" s="0" t="n">
        <f aca="false">B997*1000+C997</f>
        <v>21062</v>
      </c>
      <c r="B997" s="0" t="n">
        <v>21</v>
      </c>
      <c r="C997" s="0" t="n">
        <v>62</v>
      </c>
      <c r="D997" s="0" t="n">
        <v>0</v>
      </c>
      <c r="E997" s="0" t="n">
        <f aca="false">VLOOKUP(B997,'Babblefish-APUMA'!$A$1:$B$86,2)</f>
        <v>86</v>
      </c>
      <c r="F997" s="0" t="n">
        <f aca="false">IF(C997&gt;1,IF(C997&lt;99,VLOOKUP(C997,'Babblefish-APUMA'!$A$1:$B$86,2),C997),C997)</f>
        <v>90</v>
      </c>
    </row>
    <row r="998" customFormat="false" ht="12.75" hidden="false" customHeight="false" outlineLevel="0" collapsed="false">
      <c r="A998" s="0" t="n">
        <f aca="false">B998*1000+C998</f>
        <v>21064</v>
      </c>
      <c r="B998" s="0" t="n">
        <v>21</v>
      </c>
      <c r="C998" s="0" t="n">
        <v>64</v>
      </c>
      <c r="D998" s="0" t="n">
        <v>546</v>
      </c>
      <c r="E998" s="0" t="n">
        <f aca="false">VLOOKUP(B998,'Babblefish-APUMA'!$A$1:$B$86,2)</f>
        <v>86</v>
      </c>
      <c r="F998" s="0" t="n">
        <f aca="false">IF(C998&gt;1,IF(C998&lt;99,VLOOKUP(C998,'Babblefish-APUMA'!$A$1:$B$86,2),C998),C998)</f>
        <v>90</v>
      </c>
    </row>
    <row r="999" customFormat="false" ht="12.75" hidden="false" customHeight="false" outlineLevel="0" collapsed="false">
      <c r="A999" s="0" t="n">
        <f aca="false">B999*1000+C999</f>
        <v>21065</v>
      </c>
      <c r="B999" s="0" t="n">
        <v>21</v>
      </c>
      <c r="C999" s="0" t="n">
        <v>65</v>
      </c>
      <c r="D999" s="0" t="n">
        <v>247</v>
      </c>
      <c r="E999" s="0" t="n">
        <f aca="false">VLOOKUP(B999,'Babblefish-APUMA'!$A$1:$B$86,2)</f>
        <v>86</v>
      </c>
      <c r="F999" s="0" t="n">
        <f aca="false">IF(C999&gt;1,IF(C999&lt;99,VLOOKUP(C999,'Babblefish-APUMA'!$A$1:$B$86,2),C999),C999)</f>
        <v>90</v>
      </c>
    </row>
    <row r="1000" customFormat="false" ht="12.75" hidden="false" customHeight="false" outlineLevel="0" collapsed="false">
      <c r="A1000" s="0" t="n">
        <f aca="false">B1000*1000+C1000</f>
        <v>21066</v>
      </c>
      <c r="B1000" s="0" t="n">
        <v>21</v>
      </c>
      <c r="C1000" s="0" t="n">
        <v>66</v>
      </c>
      <c r="D1000" s="0" t="n">
        <v>0</v>
      </c>
      <c r="E1000" s="0" t="n">
        <f aca="false">VLOOKUP(B1000,'Babblefish-APUMA'!$A$1:$B$86,2)</f>
        <v>86</v>
      </c>
      <c r="F1000" s="0" t="n">
        <f aca="false">IF(C1000&gt;1,IF(C1000&lt;99,VLOOKUP(C1000,'Babblefish-APUMA'!$A$1:$B$86,2),C1000),C1000)</f>
        <v>90</v>
      </c>
    </row>
    <row r="1001" customFormat="false" ht="12.75" hidden="false" customHeight="false" outlineLevel="0" collapsed="false">
      <c r="A1001" s="0" t="n">
        <f aca="false">B1001*1000+C1001</f>
        <v>21067</v>
      </c>
      <c r="B1001" s="0" t="n">
        <v>21</v>
      </c>
      <c r="C1001" s="0" t="n">
        <v>67</v>
      </c>
      <c r="D1001" s="0" t="n">
        <v>0</v>
      </c>
      <c r="E1001" s="0" t="n">
        <f aca="false">VLOOKUP(B1001,'Babblefish-APUMA'!$A$1:$B$86,2)</f>
        <v>86</v>
      </c>
      <c r="F1001" s="0" t="n">
        <f aca="false">IF(C1001&gt;1,IF(C1001&lt;99,VLOOKUP(C1001,'Babblefish-APUMA'!$A$1:$B$86,2),C1001),C1001)</f>
        <v>103</v>
      </c>
    </row>
    <row r="1002" customFormat="false" ht="12.75" hidden="false" customHeight="false" outlineLevel="0" collapsed="false">
      <c r="A1002" s="0" t="n">
        <f aca="false">B1002*1000+C1002</f>
        <v>21069</v>
      </c>
      <c r="B1002" s="0" t="n">
        <v>21</v>
      </c>
      <c r="C1002" s="0" t="n">
        <v>69</v>
      </c>
      <c r="D1002" s="0" t="n">
        <v>0</v>
      </c>
      <c r="E1002" s="0" t="n">
        <f aca="false">VLOOKUP(B1002,'Babblefish-APUMA'!$A$1:$B$86,2)</f>
        <v>86</v>
      </c>
      <c r="F1002" s="0" t="n">
        <f aca="false">IF(C1002&gt;1,IF(C1002&lt;99,VLOOKUP(C1002,'Babblefish-APUMA'!$A$1:$B$86,2),C1002),C1002)</f>
        <v>93</v>
      </c>
    </row>
    <row r="1003" customFormat="false" ht="12.75" hidden="false" customHeight="false" outlineLevel="0" collapsed="false">
      <c r="A1003" s="0" t="n">
        <f aca="false">B1003*1000+C1003</f>
        <v>21071</v>
      </c>
      <c r="B1003" s="0" t="n">
        <v>21</v>
      </c>
      <c r="C1003" s="0" t="n">
        <v>71</v>
      </c>
      <c r="D1003" s="0" t="n">
        <v>0</v>
      </c>
      <c r="E1003" s="0" t="n">
        <f aca="false">VLOOKUP(B1003,'Babblefish-APUMA'!$A$1:$B$86,2)</f>
        <v>86</v>
      </c>
      <c r="F1003" s="0" t="n">
        <f aca="false">IF(C1003&gt;1,IF(C1003&lt;99,VLOOKUP(C1003,'Babblefish-APUMA'!$A$1:$B$86,2),C1003),C1003)</f>
        <v>95</v>
      </c>
    </row>
    <row r="1004" customFormat="false" ht="12.75" hidden="false" customHeight="false" outlineLevel="0" collapsed="false">
      <c r="A1004" s="0" t="n">
        <f aca="false">B1004*1000+C1004</f>
        <v>21072</v>
      </c>
      <c r="B1004" s="0" t="n">
        <v>21</v>
      </c>
      <c r="C1004" s="0" t="n">
        <v>72</v>
      </c>
      <c r="D1004" s="0" t="n">
        <v>0</v>
      </c>
      <c r="E1004" s="0" t="n">
        <f aca="false">VLOOKUP(B1004,'Babblefish-APUMA'!$A$1:$B$86,2)</f>
        <v>86</v>
      </c>
      <c r="F1004" s="0" t="n">
        <f aca="false">IF(C1004&gt;1,IF(C1004&lt;99,VLOOKUP(C1004,'Babblefish-APUMA'!$A$1:$B$86,2),C1004),C1004)</f>
        <v>95</v>
      </c>
    </row>
    <row r="1005" customFormat="false" ht="12.75" hidden="false" customHeight="false" outlineLevel="0" collapsed="false">
      <c r="A1005" s="0" t="n">
        <f aca="false">B1005*1000+C1005</f>
        <v>21073</v>
      </c>
      <c r="B1005" s="0" t="n">
        <v>21</v>
      </c>
      <c r="C1005" s="0" t="n">
        <v>73</v>
      </c>
      <c r="D1005" s="0" t="n">
        <v>234</v>
      </c>
      <c r="E1005" s="0" t="n">
        <f aca="false">VLOOKUP(B1005,'Babblefish-APUMA'!$A$1:$B$86,2)</f>
        <v>86</v>
      </c>
      <c r="F1005" s="0" t="n">
        <f aca="false">IF(C1005&gt;1,IF(C1005&lt;99,VLOOKUP(C1005,'Babblefish-APUMA'!$A$1:$B$86,2),C1005),C1005)</f>
        <v>99</v>
      </c>
    </row>
    <row r="1006" customFormat="false" ht="12.75" hidden="false" customHeight="false" outlineLevel="0" collapsed="false">
      <c r="A1006" s="0" t="n">
        <f aca="false">B1006*1000+C1006</f>
        <v>21075</v>
      </c>
      <c r="B1006" s="0" t="n">
        <v>21</v>
      </c>
      <c r="C1006" s="0" t="n">
        <v>75</v>
      </c>
      <c r="D1006" s="0" t="n">
        <v>0</v>
      </c>
      <c r="E1006" s="0" t="n">
        <f aca="false">VLOOKUP(B1006,'Babblefish-APUMA'!$A$1:$B$86,2)</f>
        <v>86</v>
      </c>
      <c r="F1006" s="0" t="n">
        <f aca="false">IF(C1006&gt;1,IF(C1006&lt;99,VLOOKUP(C1006,'Babblefish-APUMA'!$A$1:$B$86,2),C1006),C1006)</f>
        <v>75</v>
      </c>
    </row>
    <row r="1007" customFormat="false" ht="12.75" hidden="false" customHeight="false" outlineLevel="0" collapsed="false">
      <c r="A1007" s="0" t="n">
        <f aca="false">B1007*1000+C1007</f>
        <v>21076</v>
      </c>
      <c r="B1007" s="0" t="n">
        <v>21</v>
      </c>
      <c r="C1007" s="0" t="n">
        <v>76</v>
      </c>
      <c r="D1007" s="0" t="n">
        <v>442</v>
      </c>
      <c r="E1007" s="0" t="n">
        <f aca="false">VLOOKUP(B1007,'Babblefish-APUMA'!$A$1:$B$86,2)</f>
        <v>86</v>
      </c>
      <c r="F1007" s="0" t="n">
        <f aca="false">IF(C1007&gt;1,IF(C1007&lt;99,VLOOKUP(C1007,'Babblefish-APUMA'!$A$1:$B$86,2),C1007),C1007)</f>
        <v>76</v>
      </c>
    </row>
    <row r="1008" customFormat="false" ht="12.75" hidden="false" customHeight="false" outlineLevel="0" collapsed="false">
      <c r="A1008" s="0" t="n">
        <f aca="false">B1008*1000+C1008</f>
        <v>21079</v>
      </c>
      <c r="B1008" s="0" t="n">
        <v>21</v>
      </c>
      <c r="C1008" s="0" t="n">
        <v>79</v>
      </c>
      <c r="D1008" s="0" t="n">
        <v>0</v>
      </c>
      <c r="E1008" s="0" t="n">
        <f aca="false">VLOOKUP(B1008,'Babblefish-APUMA'!$A$1:$B$86,2)</f>
        <v>86</v>
      </c>
      <c r="F1008" s="0" t="n">
        <f aca="false">IF(C1008&gt;1,IF(C1008&lt;99,VLOOKUP(C1008,'Babblefish-APUMA'!$A$1:$B$86,2),C1008),C1008)</f>
        <v>89</v>
      </c>
    </row>
    <row r="1009" customFormat="false" ht="12.75" hidden="false" customHeight="false" outlineLevel="0" collapsed="false">
      <c r="A1009" s="0" t="n">
        <f aca="false">B1009*1000+C1009</f>
        <v>21080</v>
      </c>
      <c r="B1009" s="0" t="n">
        <v>21</v>
      </c>
      <c r="C1009" s="0" t="n">
        <v>80</v>
      </c>
      <c r="D1009" s="0" t="n">
        <v>0</v>
      </c>
      <c r="E1009" s="0" t="n">
        <f aca="false">VLOOKUP(B1009,'Babblefish-APUMA'!$A$1:$B$86,2)</f>
        <v>86</v>
      </c>
      <c r="F1009" s="0" t="n">
        <f aca="false">IF(C1009&gt;1,IF(C1009&lt;99,VLOOKUP(C1009,'Babblefish-APUMA'!$A$1:$B$86,2),C1009),C1009)</f>
        <v>80</v>
      </c>
    </row>
    <row r="1010" customFormat="false" ht="12.75" hidden="false" customHeight="false" outlineLevel="0" collapsed="false">
      <c r="A1010" s="0" t="n">
        <f aca="false">B1010*1000+C1010</f>
        <v>21082</v>
      </c>
      <c r="B1010" s="0" t="n">
        <v>21</v>
      </c>
      <c r="C1010" s="0" t="n">
        <v>82</v>
      </c>
      <c r="D1010" s="0" t="n">
        <v>0</v>
      </c>
      <c r="E1010" s="0" t="n">
        <f aca="false">VLOOKUP(B1010,'Babblefish-APUMA'!$A$1:$B$86,2)</f>
        <v>86</v>
      </c>
      <c r="F1010" s="0" t="n">
        <f aca="false">IF(C1010&gt;1,IF(C1010&lt;99,VLOOKUP(C1010,'Babblefish-APUMA'!$A$1:$B$86,2),C1010),C1010)</f>
        <v>95</v>
      </c>
    </row>
    <row r="1011" customFormat="false" ht="12.75" hidden="false" customHeight="false" outlineLevel="0" collapsed="false">
      <c r="A1011" s="0" t="n">
        <f aca="false">B1011*1000+C1011</f>
        <v>21085</v>
      </c>
      <c r="B1011" s="0" t="n">
        <v>21</v>
      </c>
      <c r="C1011" s="0" t="n">
        <v>85</v>
      </c>
      <c r="D1011" s="0" t="n">
        <v>0</v>
      </c>
      <c r="E1011" s="0" t="n">
        <f aca="false">VLOOKUP(B1011,'Babblefish-APUMA'!$A$1:$B$86,2)</f>
        <v>86</v>
      </c>
      <c r="F1011" s="0" t="n">
        <f aca="false">IF(C1011&gt;1,IF(C1011&lt;99,VLOOKUP(C1011,'Babblefish-APUMA'!$A$1:$B$86,2),C1011),C1011)</f>
        <v>97</v>
      </c>
    </row>
    <row r="1012" customFormat="false" ht="12.75" hidden="false" customHeight="false" outlineLevel="0" collapsed="false">
      <c r="A1012" s="0" t="n">
        <f aca="false">B1012*1000+C1012</f>
        <v>21858</v>
      </c>
      <c r="B1012" s="0" t="n">
        <v>21</v>
      </c>
      <c r="C1012" s="0" t="n">
        <v>858</v>
      </c>
      <c r="D1012" s="0" t="n">
        <v>0</v>
      </c>
      <c r="E1012" s="0" t="n">
        <f aca="false">VLOOKUP(B1012,'Babblefish-APUMA'!$A$1:$B$86,2)</f>
        <v>86</v>
      </c>
      <c r="F1012" s="0" t="n">
        <f aca="false">IF(C1012&gt;1,IF(C1012&lt;99,VLOOKUP(C1012,'Babblefish-APUMA'!$A$1:$B$86,2),C1012),C1012)</f>
        <v>858</v>
      </c>
    </row>
    <row r="1013" customFormat="false" ht="12.75" hidden="false" customHeight="false" outlineLevel="0" collapsed="false">
      <c r="A1013" s="0" t="n">
        <f aca="false">B1013*1000+C1013</f>
        <v>21999</v>
      </c>
      <c r="B1013" s="0" t="n">
        <v>21</v>
      </c>
      <c r="C1013" s="0" t="n">
        <v>999</v>
      </c>
      <c r="D1013" s="0" t="n">
        <v>403</v>
      </c>
      <c r="E1013" s="0" t="n">
        <f aca="false">VLOOKUP(B1013,'Babblefish-APUMA'!$A$1:$B$86,2)</f>
        <v>86</v>
      </c>
      <c r="F1013" s="0" t="n">
        <f aca="false">IF(C1013&gt;1,IF(C1013&lt;99,VLOOKUP(C1013,'Babblefish-APUMA'!$A$1:$B$86,2),C1013),C1013)</f>
        <v>999</v>
      </c>
    </row>
    <row r="1014" customFormat="false" ht="12.75" hidden="false" customHeight="false" outlineLevel="0" collapsed="false">
      <c r="A1014" s="0" t="n">
        <f aca="false">B1014*1000+C1014</f>
        <v>22000</v>
      </c>
      <c r="B1014" s="0" t="n">
        <v>22</v>
      </c>
      <c r="C1014" s="0" t="n">
        <v>0</v>
      </c>
      <c r="D1014" s="0" t="n">
        <v>313391</v>
      </c>
      <c r="E1014" s="0" t="n">
        <f aca="false">VLOOKUP(B1014,'Babblefish-APUMA'!$A$1:$B$86,2)</f>
        <v>22</v>
      </c>
      <c r="F1014" s="0" t="n">
        <f aca="false">IF(C1014&gt;1,IF(C1014&lt;99,VLOOKUP(C1014,'Babblefish-APUMA'!$A$1:$B$86,2),C1014),C1014)</f>
        <v>0</v>
      </c>
    </row>
    <row r="1015" customFormat="false" ht="12.75" hidden="false" customHeight="false" outlineLevel="0" collapsed="false">
      <c r="A1015" s="0" t="n">
        <f aca="false">B1015*1000+C1015</f>
        <v>22001</v>
      </c>
      <c r="B1015" s="0" t="n">
        <v>22</v>
      </c>
      <c r="C1015" s="0" t="n">
        <v>1</v>
      </c>
      <c r="D1015" s="0" t="n">
        <v>169</v>
      </c>
      <c r="E1015" s="0" t="n">
        <f aca="false">VLOOKUP(B1015,'Babblefish-APUMA'!$A$1:$B$86,2)</f>
        <v>22</v>
      </c>
      <c r="F1015" s="0" t="n">
        <f aca="false">IF(C1015&gt;1,IF(C1015&lt;99,VLOOKUP(C1015,'Babblefish-APUMA'!$A$1:$B$86,2),C1015),C1015)</f>
        <v>1</v>
      </c>
    </row>
    <row r="1016" customFormat="false" ht="12.75" hidden="false" customHeight="false" outlineLevel="0" collapsed="false">
      <c r="A1016" s="0" t="n">
        <f aca="false">B1016*1000+C1016</f>
        <v>22002</v>
      </c>
      <c r="B1016" s="0" t="n">
        <v>22</v>
      </c>
      <c r="C1016" s="0" t="n">
        <v>2</v>
      </c>
      <c r="D1016" s="0" t="n">
        <v>0</v>
      </c>
      <c r="E1016" s="0" t="n">
        <f aca="false">VLOOKUP(B1016,'Babblefish-APUMA'!$A$1:$B$86,2)</f>
        <v>22</v>
      </c>
      <c r="F1016" s="0" t="n">
        <f aca="false">IF(C1016&gt;1,IF(C1016&lt;99,VLOOKUP(C1016,'Babblefish-APUMA'!$A$1:$B$86,2),C1016),C1016)</f>
        <v>2</v>
      </c>
    </row>
    <row r="1017" customFormat="false" ht="12.75" hidden="false" customHeight="false" outlineLevel="0" collapsed="false">
      <c r="A1017" s="0" t="n">
        <f aca="false">B1017*1000+C1017</f>
        <v>22003</v>
      </c>
      <c r="B1017" s="0" t="n">
        <v>22</v>
      </c>
      <c r="C1017" s="0" t="n">
        <v>3</v>
      </c>
      <c r="D1017" s="0" t="n">
        <v>221</v>
      </c>
      <c r="E1017" s="0" t="n">
        <f aca="false">VLOOKUP(B1017,'Babblefish-APUMA'!$A$1:$B$86,2)</f>
        <v>22</v>
      </c>
      <c r="F1017" s="0" t="n">
        <f aca="false">IF(C1017&gt;1,IF(C1017&lt;99,VLOOKUP(C1017,'Babblefish-APUMA'!$A$1:$B$86,2),C1017),C1017)</f>
        <v>3</v>
      </c>
    </row>
    <row r="1018" customFormat="false" ht="12.75" hidden="false" customHeight="false" outlineLevel="0" collapsed="false">
      <c r="A1018" s="0" t="n">
        <f aca="false">B1018*1000+C1018</f>
        <v>22004</v>
      </c>
      <c r="B1018" s="0" t="n">
        <v>22</v>
      </c>
      <c r="C1018" s="0" t="n">
        <v>4</v>
      </c>
      <c r="D1018" s="0" t="n">
        <v>0</v>
      </c>
      <c r="E1018" s="0" t="n">
        <f aca="false">VLOOKUP(B1018,'Babblefish-APUMA'!$A$1:$B$86,2)</f>
        <v>22</v>
      </c>
      <c r="F1018" s="0" t="n">
        <f aca="false">IF(C1018&gt;1,IF(C1018&lt;99,VLOOKUP(C1018,'Babblefish-APUMA'!$A$1:$B$86,2),C1018),C1018)</f>
        <v>4</v>
      </c>
    </row>
    <row r="1019" customFormat="false" ht="12.75" hidden="false" customHeight="false" outlineLevel="0" collapsed="false">
      <c r="A1019" s="0" t="n">
        <f aca="false">B1019*1000+C1019</f>
        <v>22005</v>
      </c>
      <c r="B1019" s="0" t="n">
        <v>22</v>
      </c>
      <c r="C1019" s="0" t="n">
        <v>5</v>
      </c>
      <c r="D1019" s="0" t="n">
        <v>182</v>
      </c>
      <c r="E1019" s="0" t="n">
        <f aca="false">VLOOKUP(B1019,'Babblefish-APUMA'!$A$1:$B$86,2)</f>
        <v>22</v>
      </c>
      <c r="F1019" s="0" t="n">
        <f aca="false">IF(C1019&gt;1,IF(C1019&lt;99,VLOOKUP(C1019,'Babblefish-APUMA'!$A$1:$B$86,2),C1019),C1019)</f>
        <v>5</v>
      </c>
    </row>
    <row r="1020" customFormat="false" ht="12.75" hidden="false" customHeight="false" outlineLevel="0" collapsed="false">
      <c r="A1020" s="0" t="n">
        <f aca="false">B1020*1000+C1020</f>
        <v>22006</v>
      </c>
      <c r="B1020" s="0" t="n">
        <v>22</v>
      </c>
      <c r="C1020" s="0" t="n">
        <v>6</v>
      </c>
      <c r="D1020" s="0" t="n">
        <v>0</v>
      </c>
      <c r="E1020" s="0" t="n">
        <f aca="false">VLOOKUP(B1020,'Babblefish-APUMA'!$A$1:$B$86,2)</f>
        <v>22</v>
      </c>
      <c r="F1020" s="0" t="n">
        <f aca="false">IF(C1020&gt;1,IF(C1020&lt;99,VLOOKUP(C1020,'Babblefish-APUMA'!$A$1:$B$86,2),C1020),C1020)</f>
        <v>6</v>
      </c>
    </row>
    <row r="1021" customFormat="false" ht="12.75" hidden="false" customHeight="false" outlineLevel="0" collapsed="false">
      <c r="A1021" s="0" t="n">
        <f aca="false">B1021*1000+C1021</f>
        <v>22007</v>
      </c>
      <c r="B1021" s="0" t="n">
        <v>22</v>
      </c>
      <c r="C1021" s="0" t="n">
        <v>7</v>
      </c>
      <c r="D1021" s="0" t="n">
        <v>0</v>
      </c>
      <c r="E1021" s="0" t="n">
        <f aca="false">VLOOKUP(B1021,'Babblefish-APUMA'!$A$1:$B$86,2)</f>
        <v>22</v>
      </c>
      <c r="F1021" s="0" t="n">
        <f aca="false">IF(C1021&gt;1,IF(C1021&lt;99,VLOOKUP(C1021,'Babblefish-APUMA'!$A$1:$B$86,2),C1021),C1021)</f>
        <v>7</v>
      </c>
    </row>
    <row r="1022" customFormat="false" ht="12.75" hidden="false" customHeight="false" outlineLevel="0" collapsed="false">
      <c r="A1022" s="0" t="n">
        <f aca="false">B1022*1000+C1022</f>
        <v>22008</v>
      </c>
      <c r="B1022" s="0" t="n">
        <v>22</v>
      </c>
      <c r="C1022" s="0" t="n">
        <v>8</v>
      </c>
      <c r="D1022" s="0" t="n">
        <v>0</v>
      </c>
      <c r="E1022" s="0" t="n">
        <f aca="false">VLOOKUP(B1022,'Babblefish-APUMA'!$A$1:$B$86,2)</f>
        <v>22</v>
      </c>
      <c r="F1022" s="0" t="n">
        <f aca="false">IF(C1022&gt;1,IF(C1022&lt;99,VLOOKUP(C1022,'Babblefish-APUMA'!$A$1:$B$86,2),C1022),C1022)</f>
        <v>8</v>
      </c>
    </row>
    <row r="1023" customFormat="false" ht="12.75" hidden="false" customHeight="false" outlineLevel="0" collapsed="false">
      <c r="A1023" s="0" t="n">
        <f aca="false">B1023*1000+C1023</f>
        <v>22009</v>
      </c>
      <c r="B1023" s="0" t="n">
        <v>22</v>
      </c>
      <c r="C1023" s="0" t="n">
        <v>9</v>
      </c>
      <c r="D1023" s="0" t="n">
        <v>0</v>
      </c>
      <c r="E1023" s="0" t="n">
        <f aca="false">VLOOKUP(B1023,'Babblefish-APUMA'!$A$1:$B$86,2)</f>
        <v>22</v>
      </c>
      <c r="F1023" s="0" t="n">
        <f aca="false">IF(C1023&gt;1,IF(C1023&lt;99,VLOOKUP(C1023,'Babblefish-APUMA'!$A$1:$B$86,2),C1023),C1023)</f>
        <v>9</v>
      </c>
    </row>
    <row r="1024" customFormat="false" ht="12.75" hidden="false" customHeight="false" outlineLevel="0" collapsed="false">
      <c r="A1024" s="0" t="n">
        <f aca="false">B1024*1000+C1024</f>
        <v>22010</v>
      </c>
      <c r="B1024" s="0" t="n">
        <v>22</v>
      </c>
      <c r="C1024" s="0" t="n">
        <v>10</v>
      </c>
      <c r="D1024" s="0" t="n">
        <v>78</v>
      </c>
      <c r="E1024" s="0" t="n">
        <f aca="false">VLOOKUP(B1024,'Babblefish-APUMA'!$A$1:$B$86,2)</f>
        <v>22</v>
      </c>
      <c r="F1024" s="0" t="n">
        <f aca="false">IF(C1024&gt;1,IF(C1024&lt;99,VLOOKUP(C1024,'Babblefish-APUMA'!$A$1:$B$86,2),C1024),C1024)</f>
        <v>10</v>
      </c>
    </row>
    <row r="1025" customFormat="false" ht="12.75" hidden="false" customHeight="false" outlineLevel="0" collapsed="false">
      <c r="A1025" s="0" t="n">
        <f aca="false">B1025*1000+C1025</f>
        <v>22011</v>
      </c>
      <c r="B1025" s="0" t="n">
        <v>22</v>
      </c>
      <c r="C1025" s="0" t="n">
        <v>11</v>
      </c>
      <c r="D1025" s="0" t="n">
        <v>78</v>
      </c>
      <c r="E1025" s="0" t="n">
        <f aca="false">VLOOKUP(B1025,'Babblefish-APUMA'!$A$1:$B$86,2)</f>
        <v>22</v>
      </c>
      <c r="F1025" s="0" t="n">
        <f aca="false">IF(C1025&gt;1,IF(C1025&lt;99,VLOOKUP(C1025,'Babblefish-APUMA'!$A$1:$B$86,2),C1025),C1025)</f>
        <v>11</v>
      </c>
    </row>
    <row r="1026" customFormat="false" ht="12.75" hidden="false" customHeight="false" outlineLevel="0" collapsed="false">
      <c r="A1026" s="0" t="n">
        <f aca="false">B1026*1000+C1026</f>
        <v>22012</v>
      </c>
      <c r="B1026" s="0" t="n">
        <v>22</v>
      </c>
      <c r="C1026" s="0" t="n">
        <v>12</v>
      </c>
      <c r="D1026" s="0" t="n">
        <v>0</v>
      </c>
      <c r="E1026" s="0" t="n">
        <f aca="false">VLOOKUP(B1026,'Babblefish-APUMA'!$A$1:$B$86,2)</f>
        <v>22</v>
      </c>
      <c r="F1026" s="0" t="n">
        <f aca="false">IF(C1026&gt;1,IF(C1026&lt;99,VLOOKUP(C1026,'Babblefish-APUMA'!$A$1:$B$86,2),C1026),C1026)</f>
        <v>12</v>
      </c>
    </row>
    <row r="1027" customFormat="false" ht="12.75" hidden="false" customHeight="false" outlineLevel="0" collapsed="false">
      <c r="A1027" s="0" t="n">
        <f aca="false">B1027*1000+C1027</f>
        <v>22013</v>
      </c>
      <c r="B1027" s="0" t="n">
        <v>22</v>
      </c>
      <c r="C1027" s="0" t="n">
        <v>13</v>
      </c>
      <c r="D1027" s="0" t="n">
        <v>130</v>
      </c>
      <c r="E1027" s="0" t="n">
        <f aca="false">VLOOKUP(B1027,'Babblefish-APUMA'!$A$1:$B$86,2)</f>
        <v>22</v>
      </c>
      <c r="F1027" s="0" t="n">
        <f aca="false">IF(C1027&gt;1,IF(C1027&lt;99,VLOOKUP(C1027,'Babblefish-APUMA'!$A$1:$B$86,2),C1027),C1027)</f>
        <v>100</v>
      </c>
    </row>
    <row r="1028" customFormat="false" ht="12.75" hidden="false" customHeight="false" outlineLevel="0" collapsed="false">
      <c r="A1028" s="0" t="n">
        <f aca="false">B1028*1000+C1028</f>
        <v>22014</v>
      </c>
      <c r="B1028" s="0" t="n">
        <v>22</v>
      </c>
      <c r="C1028" s="0" t="n">
        <v>14</v>
      </c>
      <c r="D1028" s="0" t="n">
        <v>182</v>
      </c>
      <c r="E1028" s="0" t="n">
        <f aca="false">VLOOKUP(B1028,'Babblefish-APUMA'!$A$1:$B$86,2)</f>
        <v>22</v>
      </c>
      <c r="F1028" s="0" t="n">
        <f aca="false">IF(C1028&gt;1,IF(C1028&lt;99,VLOOKUP(C1028,'Babblefish-APUMA'!$A$1:$B$86,2),C1028),C1028)</f>
        <v>100</v>
      </c>
    </row>
    <row r="1029" customFormat="false" ht="12.75" hidden="false" customHeight="false" outlineLevel="0" collapsed="false">
      <c r="A1029" s="0" t="n">
        <f aca="false">B1029*1000+C1029</f>
        <v>22015</v>
      </c>
      <c r="B1029" s="0" t="n">
        <v>22</v>
      </c>
      <c r="C1029" s="0" t="n">
        <v>15</v>
      </c>
      <c r="D1029" s="0" t="n">
        <v>1196</v>
      </c>
      <c r="E1029" s="0" t="n">
        <f aca="false">VLOOKUP(B1029,'Babblefish-APUMA'!$A$1:$B$86,2)</f>
        <v>22</v>
      </c>
      <c r="F1029" s="0" t="n">
        <f aca="false">IF(C1029&gt;1,IF(C1029&lt;99,VLOOKUP(C1029,'Babblefish-APUMA'!$A$1:$B$86,2),C1029),C1029)</f>
        <v>15</v>
      </c>
    </row>
    <row r="1030" customFormat="false" ht="12.75" hidden="false" customHeight="false" outlineLevel="0" collapsed="false">
      <c r="A1030" s="0" t="n">
        <f aca="false">B1030*1000+C1030</f>
        <v>22016</v>
      </c>
      <c r="B1030" s="0" t="n">
        <v>22</v>
      </c>
      <c r="C1030" s="0" t="n">
        <v>16</v>
      </c>
      <c r="D1030" s="0" t="n">
        <v>65</v>
      </c>
      <c r="E1030" s="0" t="n">
        <f aca="false">VLOOKUP(B1030,'Babblefish-APUMA'!$A$1:$B$86,2)</f>
        <v>22</v>
      </c>
      <c r="F1030" s="0" t="n">
        <f aca="false">IF(C1030&gt;1,IF(C1030&lt;99,VLOOKUP(C1030,'Babblefish-APUMA'!$A$1:$B$86,2),C1030),C1030)</f>
        <v>99</v>
      </c>
    </row>
    <row r="1031" customFormat="false" ht="12.75" hidden="false" customHeight="false" outlineLevel="0" collapsed="false">
      <c r="A1031" s="0" t="n">
        <f aca="false">B1031*1000+C1031</f>
        <v>22017</v>
      </c>
      <c r="B1031" s="0" t="n">
        <v>22</v>
      </c>
      <c r="C1031" s="0" t="n">
        <v>17</v>
      </c>
      <c r="D1031" s="0" t="n">
        <v>260</v>
      </c>
      <c r="E1031" s="0" t="n">
        <f aca="false">VLOOKUP(B1031,'Babblefish-APUMA'!$A$1:$B$86,2)</f>
        <v>22</v>
      </c>
      <c r="F1031" s="0" t="n">
        <f aca="false">IF(C1031&gt;1,IF(C1031&lt;99,VLOOKUP(C1031,'Babblefish-APUMA'!$A$1:$B$86,2),C1031),C1031)</f>
        <v>87</v>
      </c>
    </row>
    <row r="1032" customFormat="false" ht="12.75" hidden="false" customHeight="false" outlineLevel="0" collapsed="false">
      <c r="A1032" s="0" t="n">
        <f aca="false">B1032*1000+C1032</f>
        <v>22018</v>
      </c>
      <c r="B1032" s="0" t="n">
        <v>22</v>
      </c>
      <c r="C1032" s="0" t="n">
        <v>18</v>
      </c>
      <c r="D1032" s="0" t="n">
        <v>3198</v>
      </c>
      <c r="E1032" s="0" t="n">
        <f aca="false">VLOOKUP(B1032,'Babblefish-APUMA'!$A$1:$B$86,2)</f>
        <v>22</v>
      </c>
      <c r="F1032" s="0" t="n">
        <f aca="false">IF(C1032&gt;1,IF(C1032&lt;99,VLOOKUP(C1032,'Babblefish-APUMA'!$A$1:$B$86,2),C1032),C1032)</f>
        <v>87</v>
      </c>
    </row>
    <row r="1033" customFormat="false" ht="12.75" hidden="false" customHeight="false" outlineLevel="0" collapsed="false">
      <c r="A1033" s="0" t="n">
        <f aca="false">B1033*1000+C1033</f>
        <v>22019</v>
      </c>
      <c r="B1033" s="0" t="n">
        <v>22</v>
      </c>
      <c r="C1033" s="0" t="n">
        <v>19</v>
      </c>
      <c r="D1033" s="0" t="n">
        <v>80925</v>
      </c>
      <c r="E1033" s="0" t="n">
        <f aca="false">VLOOKUP(B1033,'Babblefish-APUMA'!$A$1:$B$86,2)</f>
        <v>22</v>
      </c>
      <c r="F1033" s="0" t="n">
        <f aca="false">IF(C1033&gt;1,IF(C1033&lt;99,VLOOKUP(C1033,'Babblefish-APUMA'!$A$1:$B$86,2),C1033),C1033)</f>
        <v>19</v>
      </c>
    </row>
    <row r="1034" customFormat="false" ht="12.75" hidden="false" customHeight="false" outlineLevel="0" collapsed="false">
      <c r="A1034" s="0" t="n">
        <f aca="false">B1034*1000+C1034</f>
        <v>22020</v>
      </c>
      <c r="B1034" s="0" t="n">
        <v>22</v>
      </c>
      <c r="C1034" s="0" t="n">
        <v>20</v>
      </c>
      <c r="D1034" s="0" t="n">
        <v>2184</v>
      </c>
      <c r="E1034" s="0" t="n">
        <f aca="false">VLOOKUP(B1034,'Babblefish-APUMA'!$A$1:$B$86,2)</f>
        <v>22</v>
      </c>
      <c r="F1034" s="0" t="n">
        <f aca="false">IF(C1034&gt;1,IF(C1034&lt;99,VLOOKUP(C1034,'Babblefish-APUMA'!$A$1:$B$86,2),C1034),C1034)</f>
        <v>86</v>
      </c>
    </row>
    <row r="1035" customFormat="false" ht="12.75" hidden="false" customHeight="false" outlineLevel="0" collapsed="false">
      <c r="A1035" s="0" t="n">
        <f aca="false">B1035*1000+C1035</f>
        <v>22021</v>
      </c>
      <c r="B1035" s="0" t="n">
        <v>22</v>
      </c>
      <c r="C1035" s="0" t="n">
        <v>21</v>
      </c>
      <c r="D1035" s="0" t="n">
        <v>11505</v>
      </c>
      <c r="E1035" s="0" t="n">
        <f aca="false">VLOOKUP(B1035,'Babblefish-APUMA'!$A$1:$B$86,2)</f>
        <v>22</v>
      </c>
      <c r="F1035" s="0" t="n">
        <f aca="false">IF(C1035&gt;1,IF(C1035&lt;99,VLOOKUP(C1035,'Babblefish-APUMA'!$A$1:$B$86,2),C1035),C1035)</f>
        <v>86</v>
      </c>
    </row>
    <row r="1036" customFormat="false" ht="12.75" hidden="false" customHeight="false" outlineLevel="0" collapsed="false">
      <c r="A1036" s="0" t="n">
        <f aca="false">B1036*1000+C1036</f>
        <v>22022</v>
      </c>
      <c r="B1036" s="0" t="n">
        <v>22</v>
      </c>
      <c r="C1036" s="0" t="n">
        <v>22</v>
      </c>
      <c r="D1036" s="0" t="n">
        <v>203580</v>
      </c>
      <c r="E1036" s="0" t="n">
        <f aca="false">VLOOKUP(B1036,'Babblefish-APUMA'!$A$1:$B$86,2)</f>
        <v>22</v>
      </c>
      <c r="F1036" s="0" t="n">
        <f aca="false">IF(C1036&gt;1,IF(C1036&lt;99,VLOOKUP(C1036,'Babblefish-APUMA'!$A$1:$B$86,2),C1036),C1036)</f>
        <v>22</v>
      </c>
    </row>
    <row r="1037" customFormat="false" ht="12.75" hidden="false" customHeight="false" outlineLevel="0" collapsed="false">
      <c r="A1037" s="0" t="n">
        <f aca="false">B1037*1000+C1037</f>
        <v>22023</v>
      </c>
      <c r="B1037" s="0" t="n">
        <v>22</v>
      </c>
      <c r="C1037" s="0" t="n">
        <v>23</v>
      </c>
      <c r="D1037" s="0" t="n">
        <v>0</v>
      </c>
      <c r="E1037" s="0" t="n">
        <f aca="false">VLOOKUP(B1037,'Babblefish-APUMA'!$A$1:$B$86,2)</f>
        <v>22</v>
      </c>
      <c r="F1037" s="0" t="n">
        <f aca="false">IF(C1037&gt;1,IF(C1037&lt;99,VLOOKUP(C1037,'Babblefish-APUMA'!$A$1:$B$86,2),C1037),C1037)</f>
        <v>97</v>
      </c>
    </row>
    <row r="1038" customFormat="false" ht="12.75" hidden="false" customHeight="false" outlineLevel="0" collapsed="false">
      <c r="A1038" s="0" t="n">
        <f aca="false">B1038*1000+C1038</f>
        <v>22024</v>
      </c>
      <c r="B1038" s="0" t="n">
        <v>22</v>
      </c>
      <c r="C1038" s="0" t="n">
        <v>24</v>
      </c>
      <c r="D1038" s="0" t="n">
        <v>0</v>
      </c>
      <c r="E1038" s="0" t="n">
        <f aca="false">VLOOKUP(B1038,'Babblefish-APUMA'!$A$1:$B$86,2)</f>
        <v>22</v>
      </c>
      <c r="F1038" s="0" t="n">
        <f aca="false">IF(C1038&gt;1,IF(C1038&lt;99,VLOOKUP(C1038,'Babblefish-APUMA'!$A$1:$B$86,2),C1038),C1038)</f>
        <v>101</v>
      </c>
    </row>
    <row r="1039" customFormat="false" ht="12.75" hidden="false" customHeight="false" outlineLevel="0" collapsed="false">
      <c r="A1039" s="0" t="n">
        <f aca="false">B1039*1000+C1039</f>
        <v>22025</v>
      </c>
      <c r="B1039" s="0" t="n">
        <v>22</v>
      </c>
      <c r="C1039" s="0" t="n">
        <v>25</v>
      </c>
      <c r="D1039" s="0" t="n">
        <v>0</v>
      </c>
      <c r="E1039" s="0" t="n">
        <f aca="false">VLOOKUP(B1039,'Babblefish-APUMA'!$A$1:$B$86,2)</f>
        <v>22</v>
      </c>
      <c r="F1039" s="0" t="n">
        <f aca="false">IF(C1039&gt;1,IF(C1039&lt;99,VLOOKUP(C1039,'Babblefish-APUMA'!$A$1:$B$86,2),C1039),C1039)</f>
        <v>101</v>
      </c>
    </row>
    <row r="1040" customFormat="false" ht="12.75" hidden="false" customHeight="false" outlineLevel="0" collapsed="false">
      <c r="A1040" s="0" t="n">
        <f aca="false">B1040*1000+C1040</f>
        <v>22026</v>
      </c>
      <c r="B1040" s="0" t="n">
        <v>22</v>
      </c>
      <c r="C1040" s="0" t="n">
        <v>26</v>
      </c>
      <c r="D1040" s="0" t="n">
        <v>0</v>
      </c>
      <c r="E1040" s="0" t="n">
        <f aca="false">VLOOKUP(B1040,'Babblefish-APUMA'!$A$1:$B$86,2)</f>
        <v>22</v>
      </c>
      <c r="F1040" s="0" t="n">
        <f aca="false">IF(C1040&gt;1,IF(C1040&lt;99,VLOOKUP(C1040,'Babblefish-APUMA'!$A$1:$B$86,2),C1040),C1040)</f>
        <v>26</v>
      </c>
    </row>
    <row r="1041" customFormat="false" ht="12.75" hidden="false" customHeight="false" outlineLevel="0" collapsed="false">
      <c r="A1041" s="0" t="n">
        <f aca="false">B1041*1000+C1041</f>
        <v>22027</v>
      </c>
      <c r="B1041" s="0" t="n">
        <v>22</v>
      </c>
      <c r="C1041" s="0" t="n">
        <v>27</v>
      </c>
      <c r="D1041" s="0" t="n">
        <v>0</v>
      </c>
      <c r="E1041" s="0" t="n">
        <f aca="false">VLOOKUP(B1041,'Babblefish-APUMA'!$A$1:$B$86,2)</f>
        <v>22</v>
      </c>
      <c r="F1041" s="0" t="n">
        <f aca="false">IF(C1041&gt;1,IF(C1041&lt;99,VLOOKUP(C1041,'Babblefish-APUMA'!$A$1:$B$86,2),C1041),C1041)</f>
        <v>27</v>
      </c>
    </row>
    <row r="1042" customFormat="false" ht="12.75" hidden="false" customHeight="false" outlineLevel="0" collapsed="false">
      <c r="A1042" s="0" t="n">
        <f aca="false">B1042*1000+C1042</f>
        <v>22028</v>
      </c>
      <c r="B1042" s="0" t="n">
        <v>22</v>
      </c>
      <c r="C1042" s="0" t="n">
        <v>28</v>
      </c>
      <c r="D1042" s="0" t="n">
        <v>0</v>
      </c>
      <c r="E1042" s="0" t="n">
        <f aca="false">VLOOKUP(B1042,'Babblefish-APUMA'!$A$1:$B$86,2)</f>
        <v>22</v>
      </c>
      <c r="F1042" s="0" t="n">
        <f aca="false">IF(C1042&gt;1,IF(C1042&lt;99,VLOOKUP(C1042,'Babblefish-APUMA'!$A$1:$B$86,2),C1042),C1042)</f>
        <v>94</v>
      </c>
    </row>
    <row r="1043" customFormat="false" ht="12.75" hidden="false" customHeight="false" outlineLevel="0" collapsed="false">
      <c r="A1043" s="0" t="n">
        <f aca="false">B1043*1000+C1043</f>
        <v>22029</v>
      </c>
      <c r="B1043" s="0" t="n">
        <v>22</v>
      </c>
      <c r="C1043" s="0" t="n">
        <v>29</v>
      </c>
      <c r="D1043" s="0" t="n">
        <v>0</v>
      </c>
      <c r="E1043" s="0" t="n">
        <f aca="false">VLOOKUP(B1043,'Babblefish-APUMA'!$A$1:$B$86,2)</f>
        <v>22</v>
      </c>
      <c r="F1043" s="0" t="n">
        <f aca="false">IF(C1043&gt;1,IF(C1043&lt;99,VLOOKUP(C1043,'Babblefish-APUMA'!$A$1:$B$86,2),C1043),C1043)</f>
        <v>94</v>
      </c>
    </row>
    <row r="1044" customFormat="false" ht="12.75" hidden="false" customHeight="false" outlineLevel="0" collapsed="false">
      <c r="A1044" s="0" t="n">
        <f aca="false">B1044*1000+C1044</f>
        <v>22030</v>
      </c>
      <c r="B1044" s="0" t="n">
        <v>22</v>
      </c>
      <c r="C1044" s="0" t="n">
        <v>30</v>
      </c>
      <c r="D1044" s="0" t="n">
        <v>0</v>
      </c>
      <c r="E1044" s="0" t="n">
        <f aca="false">VLOOKUP(B1044,'Babblefish-APUMA'!$A$1:$B$86,2)</f>
        <v>22</v>
      </c>
      <c r="F1044" s="0" t="n">
        <f aca="false">IF(C1044&gt;1,IF(C1044&lt;99,VLOOKUP(C1044,'Babblefish-APUMA'!$A$1:$B$86,2),C1044),C1044)</f>
        <v>30</v>
      </c>
    </row>
    <row r="1045" customFormat="false" ht="12.75" hidden="false" customHeight="false" outlineLevel="0" collapsed="false">
      <c r="A1045" s="0" t="n">
        <f aca="false">B1045*1000+C1045</f>
        <v>22031</v>
      </c>
      <c r="B1045" s="0" t="n">
        <v>22</v>
      </c>
      <c r="C1045" s="0" t="n">
        <v>31</v>
      </c>
      <c r="D1045" s="0" t="n">
        <v>0</v>
      </c>
      <c r="E1045" s="0" t="n">
        <f aca="false">VLOOKUP(B1045,'Babblefish-APUMA'!$A$1:$B$86,2)</f>
        <v>22</v>
      </c>
      <c r="F1045" s="0" t="n">
        <f aca="false">IF(C1045&gt;1,IF(C1045&lt;99,VLOOKUP(C1045,'Babblefish-APUMA'!$A$1:$B$86,2),C1045),C1045)</f>
        <v>31</v>
      </c>
    </row>
    <row r="1046" customFormat="false" ht="12.75" hidden="false" customHeight="false" outlineLevel="0" collapsed="false">
      <c r="A1046" s="0" t="n">
        <f aca="false">B1046*1000+C1046</f>
        <v>22032</v>
      </c>
      <c r="B1046" s="0" t="n">
        <v>22</v>
      </c>
      <c r="C1046" s="0" t="n">
        <v>32</v>
      </c>
      <c r="D1046" s="0" t="n">
        <v>0</v>
      </c>
      <c r="E1046" s="0" t="n">
        <f aca="false">VLOOKUP(B1046,'Babblefish-APUMA'!$A$1:$B$86,2)</f>
        <v>22</v>
      </c>
      <c r="F1046" s="0" t="n">
        <f aca="false">IF(C1046&gt;1,IF(C1046&lt;99,VLOOKUP(C1046,'Babblefish-APUMA'!$A$1:$B$86,2),C1046),C1046)</f>
        <v>32</v>
      </c>
    </row>
    <row r="1047" customFormat="false" ht="12.75" hidden="false" customHeight="false" outlineLevel="0" collapsed="false">
      <c r="A1047" s="0" t="n">
        <f aca="false">B1047*1000+C1047</f>
        <v>22033</v>
      </c>
      <c r="B1047" s="0" t="n">
        <v>22</v>
      </c>
      <c r="C1047" s="0" t="n">
        <v>33</v>
      </c>
      <c r="D1047" s="0" t="n">
        <v>91</v>
      </c>
      <c r="E1047" s="0" t="n">
        <f aca="false">VLOOKUP(B1047,'Babblefish-APUMA'!$A$1:$B$86,2)</f>
        <v>22</v>
      </c>
      <c r="F1047" s="0" t="n">
        <f aca="false">IF(C1047&gt;1,IF(C1047&lt;99,VLOOKUP(C1047,'Babblefish-APUMA'!$A$1:$B$86,2),C1047),C1047)</f>
        <v>96</v>
      </c>
    </row>
    <row r="1048" customFormat="false" ht="12.75" hidden="false" customHeight="false" outlineLevel="0" collapsed="false">
      <c r="A1048" s="0" t="n">
        <f aca="false">B1048*1000+C1048</f>
        <v>22034</v>
      </c>
      <c r="B1048" s="0" t="n">
        <v>22</v>
      </c>
      <c r="C1048" s="0" t="n">
        <v>34</v>
      </c>
      <c r="D1048" s="0" t="n">
        <v>0</v>
      </c>
      <c r="E1048" s="0" t="n">
        <f aca="false">VLOOKUP(B1048,'Babblefish-APUMA'!$A$1:$B$86,2)</f>
        <v>22</v>
      </c>
      <c r="F1048" s="0" t="n">
        <f aca="false">IF(C1048&gt;1,IF(C1048&lt;99,VLOOKUP(C1048,'Babblefish-APUMA'!$A$1:$B$86,2),C1048),C1048)</f>
        <v>96</v>
      </c>
    </row>
    <row r="1049" customFormat="false" ht="12.75" hidden="false" customHeight="false" outlineLevel="0" collapsed="false">
      <c r="A1049" s="0" t="n">
        <f aca="false">B1049*1000+C1049</f>
        <v>22035</v>
      </c>
      <c r="B1049" s="0" t="n">
        <v>22</v>
      </c>
      <c r="C1049" s="0" t="n">
        <v>35</v>
      </c>
      <c r="D1049" s="0" t="n">
        <v>0</v>
      </c>
      <c r="E1049" s="0" t="n">
        <f aca="false">VLOOKUP(B1049,'Babblefish-APUMA'!$A$1:$B$86,2)</f>
        <v>22</v>
      </c>
      <c r="F1049" s="0" t="n">
        <f aca="false">IF(C1049&gt;1,IF(C1049&lt;99,VLOOKUP(C1049,'Babblefish-APUMA'!$A$1:$B$86,2),C1049),C1049)</f>
        <v>96</v>
      </c>
    </row>
    <row r="1050" customFormat="false" ht="12.75" hidden="false" customHeight="false" outlineLevel="0" collapsed="false">
      <c r="A1050" s="0" t="n">
        <f aca="false">B1050*1000+C1050</f>
        <v>22037</v>
      </c>
      <c r="B1050" s="0" t="n">
        <v>22</v>
      </c>
      <c r="C1050" s="0" t="n">
        <v>37</v>
      </c>
      <c r="D1050" s="0" t="n">
        <v>0</v>
      </c>
      <c r="E1050" s="0" t="n">
        <f aca="false">VLOOKUP(B1050,'Babblefish-APUMA'!$A$1:$B$86,2)</f>
        <v>22</v>
      </c>
      <c r="F1050" s="0" t="n">
        <f aca="false">IF(C1050&gt;1,IF(C1050&lt;99,VLOOKUP(C1050,'Babblefish-APUMA'!$A$1:$B$86,2),C1050),C1050)</f>
        <v>96</v>
      </c>
    </row>
    <row r="1051" customFormat="false" ht="12.75" hidden="false" customHeight="false" outlineLevel="0" collapsed="false">
      <c r="A1051" s="0" t="n">
        <f aca="false">B1051*1000+C1051</f>
        <v>22038</v>
      </c>
      <c r="B1051" s="0" t="n">
        <v>22</v>
      </c>
      <c r="C1051" s="0" t="n">
        <v>38</v>
      </c>
      <c r="D1051" s="0" t="n">
        <v>0</v>
      </c>
      <c r="E1051" s="0" t="n">
        <f aca="false">VLOOKUP(B1051,'Babblefish-APUMA'!$A$1:$B$86,2)</f>
        <v>22</v>
      </c>
      <c r="F1051" s="0" t="n">
        <f aca="false">IF(C1051&gt;1,IF(C1051&lt;99,VLOOKUP(C1051,'Babblefish-APUMA'!$A$1:$B$86,2),C1051),C1051)</f>
        <v>91</v>
      </c>
    </row>
    <row r="1052" customFormat="false" ht="12.75" hidden="false" customHeight="false" outlineLevel="0" collapsed="false">
      <c r="A1052" s="0" t="n">
        <f aca="false">B1052*1000+C1052</f>
        <v>22039</v>
      </c>
      <c r="B1052" s="0" t="n">
        <v>22</v>
      </c>
      <c r="C1052" s="0" t="n">
        <v>39</v>
      </c>
      <c r="D1052" s="0" t="n">
        <v>0</v>
      </c>
      <c r="E1052" s="0" t="n">
        <f aca="false">VLOOKUP(B1052,'Babblefish-APUMA'!$A$1:$B$86,2)</f>
        <v>22</v>
      </c>
      <c r="F1052" s="0" t="n">
        <f aca="false">IF(C1052&gt;1,IF(C1052&lt;99,VLOOKUP(C1052,'Babblefish-APUMA'!$A$1:$B$86,2),C1052),C1052)</f>
        <v>91</v>
      </c>
    </row>
    <row r="1053" customFormat="false" ht="12.75" hidden="false" customHeight="false" outlineLevel="0" collapsed="false">
      <c r="A1053" s="0" t="n">
        <f aca="false">B1053*1000+C1053</f>
        <v>22040</v>
      </c>
      <c r="B1053" s="0" t="n">
        <v>22</v>
      </c>
      <c r="C1053" s="0" t="n">
        <v>40</v>
      </c>
      <c r="D1053" s="0" t="n">
        <v>104</v>
      </c>
      <c r="E1053" s="0" t="n">
        <f aca="false">VLOOKUP(B1053,'Babblefish-APUMA'!$A$1:$B$86,2)</f>
        <v>22</v>
      </c>
      <c r="F1053" s="0" t="n">
        <f aca="false">IF(C1053&gt;1,IF(C1053&lt;99,VLOOKUP(C1053,'Babblefish-APUMA'!$A$1:$B$86,2),C1053),C1053)</f>
        <v>88</v>
      </c>
    </row>
    <row r="1054" customFormat="false" ht="12.75" hidden="false" customHeight="false" outlineLevel="0" collapsed="false">
      <c r="A1054" s="0" t="n">
        <f aca="false">B1054*1000+C1054</f>
        <v>22041</v>
      </c>
      <c r="B1054" s="0" t="n">
        <v>22</v>
      </c>
      <c r="C1054" s="0" t="n">
        <v>41</v>
      </c>
      <c r="D1054" s="0" t="n">
        <v>0</v>
      </c>
      <c r="E1054" s="0" t="n">
        <f aca="false">VLOOKUP(B1054,'Babblefish-APUMA'!$A$1:$B$86,2)</f>
        <v>22</v>
      </c>
      <c r="F1054" s="0" t="n">
        <f aca="false">IF(C1054&gt;1,IF(C1054&lt;99,VLOOKUP(C1054,'Babblefish-APUMA'!$A$1:$B$86,2),C1054),C1054)</f>
        <v>88</v>
      </c>
    </row>
    <row r="1055" customFormat="false" ht="12.75" hidden="false" customHeight="false" outlineLevel="0" collapsed="false">
      <c r="A1055" s="0" t="n">
        <f aca="false">B1055*1000+C1055</f>
        <v>22042</v>
      </c>
      <c r="B1055" s="0" t="n">
        <v>22</v>
      </c>
      <c r="C1055" s="0" t="n">
        <v>42</v>
      </c>
      <c r="D1055" s="0" t="n">
        <v>0</v>
      </c>
      <c r="E1055" s="0" t="n">
        <f aca="false">VLOOKUP(B1055,'Babblefish-APUMA'!$A$1:$B$86,2)</f>
        <v>22</v>
      </c>
      <c r="F1055" s="0" t="n">
        <f aca="false">IF(C1055&gt;1,IF(C1055&lt;99,VLOOKUP(C1055,'Babblefish-APUMA'!$A$1:$B$86,2),C1055),C1055)</f>
        <v>92</v>
      </c>
    </row>
    <row r="1056" customFormat="false" ht="12.75" hidden="false" customHeight="false" outlineLevel="0" collapsed="false">
      <c r="A1056" s="0" t="n">
        <f aca="false">B1056*1000+C1056</f>
        <v>22043</v>
      </c>
      <c r="B1056" s="0" t="n">
        <v>22</v>
      </c>
      <c r="C1056" s="0" t="n">
        <v>43</v>
      </c>
      <c r="D1056" s="0" t="n">
        <v>0</v>
      </c>
      <c r="E1056" s="0" t="n">
        <f aca="false">VLOOKUP(B1056,'Babblefish-APUMA'!$A$1:$B$86,2)</f>
        <v>22</v>
      </c>
      <c r="F1056" s="0" t="n">
        <f aca="false">IF(C1056&gt;1,IF(C1056&lt;99,VLOOKUP(C1056,'Babblefish-APUMA'!$A$1:$B$86,2),C1056),C1056)</f>
        <v>92</v>
      </c>
    </row>
    <row r="1057" customFormat="false" ht="12.75" hidden="false" customHeight="false" outlineLevel="0" collapsed="false">
      <c r="A1057" s="0" t="n">
        <f aca="false">B1057*1000+C1057</f>
        <v>22046</v>
      </c>
      <c r="B1057" s="0" t="n">
        <v>22</v>
      </c>
      <c r="C1057" s="0" t="n">
        <v>46</v>
      </c>
      <c r="D1057" s="0" t="n">
        <v>0</v>
      </c>
      <c r="E1057" s="0" t="n">
        <f aca="false">VLOOKUP(B1057,'Babblefish-APUMA'!$A$1:$B$86,2)</f>
        <v>22</v>
      </c>
      <c r="F1057" s="0" t="n">
        <f aca="false">IF(C1057&gt;1,IF(C1057&lt;99,VLOOKUP(C1057,'Babblefish-APUMA'!$A$1:$B$86,2),C1057),C1057)</f>
        <v>92</v>
      </c>
    </row>
    <row r="1058" customFormat="false" ht="12.75" hidden="false" customHeight="false" outlineLevel="0" collapsed="false">
      <c r="A1058" s="0" t="n">
        <f aca="false">B1058*1000+C1058</f>
        <v>22048</v>
      </c>
      <c r="B1058" s="0" t="n">
        <v>22</v>
      </c>
      <c r="C1058" s="0" t="n">
        <v>48</v>
      </c>
      <c r="D1058" s="0" t="n">
        <v>0</v>
      </c>
      <c r="E1058" s="0" t="n">
        <f aca="false">VLOOKUP(B1058,'Babblefish-APUMA'!$A$1:$B$86,2)</f>
        <v>22</v>
      </c>
      <c r="F1058" s="0" t="n">
        <f aca="false">IF(C1058&gt;1,IF(C1058&lt;99,VLOOKUP(C1058,'Babblefish-APUMA'!$A$1:$B$86,2),C1058),C1058)</f>
        <v>92</v>
      </c>
    </row>
    <row r="1059" customFormat="false" ht="12.75" hidden="false" customHeight="false" outlineLevel="0" collapsed="false">
      <c r="A1059" s="0" t="n">
        <f aca="false">B1059*1000+C1059</f>
        <v>22049</v>
      </c>
      <c r="B1059" s="0" t="n">
        <v>22</v>
      </c>
      <c r="C1059" s="0" t="n">
        <v>49</v>
      </c>
      <c r="D1059" s="0" t="n">
        <v>34372</v>
      </c>
      <c r="E1059" s="0" t="n">
        <f aca="false">VLOOKUP(B1059,'Babblefish-APUMA'!$A$1:$B$86,2)</f>
        <v>22</v>
      </c>
      <c r="F1059" s="0" t="n">
        <f aca="false">IF(C1059&gt;1,IF(C1059&lt;99,VLOOKUP(C1059,'Babblefish-APUMA'!$A$1:$B$86,2),C1059),C1059)</f>
        <v>98</v>
      </c>
    </row>
    <row r="1060" customFormat="false" ht="12.75" hidden="false" customHeight="false" outlineLevel="0" collapsed="false">
      <c r="A1060" s="0" t="n">
        <f aca="false">B1060*1000+C1060</f>
        <v>22050</v>
      </c>
      <c r="B1060" s="0" t="n">
        <v>22</v>
      </c>
      <c r="C1060" s="0" t="n">
        <v>50</v>
      </c>
      <c r="D1060" s="0" t="n">
        <v>5044</v>
      </c>
      <c r="E1060" s="0" t="n">
        <f aca="false">VLOOKUP(B1060,'Babblefish-APUMA'!$A$1:$B$86,2)</f>
        <v>22</v>
      </c>
      <c r="F1060" s="0" t="n">
        <f aca="false">IF(C1060&gt;1,IF(C1060&lt;99,VLOOKUP(C1060,'Babblefish-APUMA'!$A$1:$B$86,2),C1060),C1060)</f>
        <v>98</v>
      </c>
    </row>
    <row r="1061" customFormat="false" ht="12.75" hidden="false" customHeight="false" outlineLevel="0" collapsed="false">
      <c r="A1061" s="0" t="n">
        <f aca="false">B1061*1000+C1061</f>
        <v>22051</v>
      </c>
      <c r="B1061" s="0" t="n">
        <v>22</v>
      </c>
      <c r="C1061" s="0" t="n">
        <v>51</v>
      </c>
      <c r="D1061" s="0" t="n">
        <v>6305</v>
      </c>
      <c r="E1061" s="0" t="n">
        <f aca="false">VLOOKUP(B1061,'Babblefish-APUMA'!$A$1:$B$86,2)</f>
        <v>22</v>
      </c>
      <c r="F1061" s="0" t="n">
        <f aca="false">IF(C1061&gt;1,IF(C1061&lt;99,VLOOKUP(C1061,'Babblefish-APUMA'!$A$1:$B$86,2),C1061),C1061)</f>
        <v>98</v>
      </c>
    </row>
    <row r="1062" customFormat="false" ht="12.75" hidden="false" customHeight="false" outlineLevel="0" collapsed="false">
      <c r="A1062" s="0" t="n">
        <f aca="false">B1062*1000+C1062</f>
        <v>22052</v>
      </c>
      <c r="B1062" s="0" t="n">
        <v>22</v>
      </c>
      <c r="C1062" s="0" t="n">
        <v>52</v>
      </c>
      <c r="D1062" s="0" t="n">
        <v>91</v>
      </c>
      <c r="E1062" s="0" t="n">
        <f aca="false">VLOOKUP(B1062,'Babblefish-APUMA'!$A$1:$B$86,2)</f>
        <v>22</v>
      </c>
      <c r="F1062" s="0" t="n">
        <f aca="false">IF(C1062&gt;1,IF(C1062&lt;99,VLOOKUP(C1062,'Babblefish-APUMA'!$A$1:$B$86,2),C1062),C1062)</f>
        <v>90</v>
      </c>
    </row>
    <row r="1063" customFormat="false" ht="12.75" hidden="false" customHeight="false" outlineLevel="0" collapsed="false">
      <c r="A1063" s="0" t="n">
        <f aca="false">B1063*1000+C1063</f>
        <v>22053</v>
      </c>
      <c r="B1063" s="0" t="n">
        <v>22</v>
      </c>
      <c r="C1063" s="0" t="n">
        <v>53</v>
      </c>
      <c r="D1063" s="0" t="n">
        <v>0</v>
      </c>
      <c r="E1063" s="0" t="n">
        <f aca="false">VLOOKUP(B1063,'Babblefish-APUMA'!$A$1:$B$86,2)</f>
        <v>22</v>
      </c>
      <c r="F1063" s="0" t="n">
        <f aca="false">IF(C1063&gt;1,IF(C1063&lt;99,VLOOKUP(C1063,'Babblefish-APUMA'!$A$1:$B$86,2),C1063),C1063)</f>
        <v>90</v>
      </c>
    </row>
    <row r="1064" customFormat="false" ht="12.75" hidden="false" customHeight="false" outlineLevel="0" collapsed="false">
      <c r="A1064" s="0" t="n">
        <f aca="false">B1064*1000+C1064</f>
        <v>22054</v>
      </c>
      <c r="B1064" s="0" t="n">
        <v>22</v>
      </c>
      <c r="C1064" s="0" t="n">
        <v>54</v>
      </c>
      <c r="D1064" s="0" t="n">
        <v>0</v>
      </c>
      <c r="E1064" s="0" t="n">
        <f aca="false">VLOOKUP(B1064,'Babblefish-APUMA'!$A$1:$B$86,2)</f>
        <v>22</v>
      </c>
      <c r="F1064" s="0" t="n">
        <f aca="false">IF(C1064&gt;1,IF(C1064&lt;99,VLOOKUP(C1064,'Babblefish-APUMA'!$A$1:$B$86,2),C1064),C1064)</f>
        <v>90</v>
      </c>
    </row>
    <row r="1065" customFormat="false" ht="12.75" hidden="false" customHeight="false" outlineLevel="0" collapsed="false">
      <c r="A1065" s="0" t="n">
        <f aca="false">B1065*1000+C1065</f>
        <v>22055</v>
      </c>
      <c r="B1065" s="0" t="n">
        <v>22</v>
      </c>
      <c r="C1065" s="0" t="n">
        <v>55</v>
      </c>
      <c r="D1065" s="0" t="n">
        <v>130</v>
      </c>
      <c r="E1065" s="0" t="n">
        <f aca="false">VLOOKUP(B1065,'Babblefish-APUMA'!$A$1:$B$86,2)</f>
        <v>22</v>
      </c>
      <c r="F1065" s="0" t="n">
        <f aca="false">IF(C1065&gt;1,IF(C1065&lt;99,VLOOKUP(C1065,'Babblefish-APUMA'!$A$1:$B$86,2),C1065),C1065)</f>
        <v>90</v>
      </c>
    </row>
    <row r="1066" customFormat="false" ht="12.75" hidden="false" customHeight="false" outlineLevel="0" collapsed="false">
      <c r="A1066" s="0" t="n">
        <f aca="false">B1066*1000+C1066</f>
        <v>22057</v>
      </c>
      <c r="B1066" s="0" t="n">
        <v>22</v>
      </c>
      <c r="C1066" s="0" t="n">
        <v>57</v>
      </c>
      <c r="D1066" s="0" t="n">
        <v>0</v>
      </c>
      <c r="E1066" s="0" t="n">
        <f aca="false">VLOOKUP(B1066,'Babblefish-APUMA'!$A$1:$B$86,2)</f>
        <v>22</v>
      </c>
      <c r="F1066" s="0" t="n">
        <f aca="false">IF(C1066&gt;1,IF(C1066&lt;99,VLOOKUP(C1066,'Babblefish-APUMA'!$A$1:$B$86,2),C1066),C1066)</f>
        <v>90</v>
      </c>
    </row>
    <row r="1067" customFormat="false" ht="12.75" hidden="false" customHeight="false" outlineLevel="0" collapsed="false">
      <c r="A1067" s="0" t="n">
        <f aca="false">B1067*1000+C1067</f>
        <v>22059</v>
      </c>
      <c r="B1067" s="0" t="n">
        <v>22</v>
      </c>
      <c r="C1067" s="0" t="n">
        <v>59</v>
      </c>
      <c r="D1067" s="0" t="n">
        <v>0</v>
      </c>
      <c r="E1067" s="0" t="n">
        <f aca="false">VLOOKUP(B1067,'Babblefish-APUMA'!$A$1:$B$86,2)</f>
        <v>22</v>
      </c>
      <c r="F1067" s="0" t="n">
        <f aca="false">IF(C1067&gt;1,IF(C1067&lt;99,VLOOKUP(C1067,'Babblefish-APUMA'!$A$1:$B$86,2),C1067),C1067)</f>
        <v>90</v>
      </c>
    </row>
    <row r="1068" customFormat="false" ht="12.75" hidden="false" customHeight="false" outlineLevel="0" collapsed="false">
      <c r="A1068" s="0" t="n">
        <f aca="false">B1068*1000+C1068</f>
        <v>22060</v>
      </c>
      <c r="B1068" s="0" t="n">
        <v>22</v>
      </c>
      <c r="C1068" s="0" t="n">
        <v>60</v>
      </c>
      <c r="D1068" s="0" t="n">
        <v>0</v>
      </c>
      <c r="E1068" s="0" t="n">
        <f aca="false">VLOOKUP(B1068,'Babblefish-APUMA'!$A$1:$B$86,2)</f>
        <v>22</v>
      </c>
      <c r="F1068" s="0" t="n">
        <f aca="false">IF(C1068&gt;1,IF(C1068&lt;99,VLOOKUP(C1068,'Babblefish-APUMA'!$A$1:$B$86,2),C1068),C1068)</f>
        <v>90</v>
      </c>
    </row>
    <row r="1069" customFormat="false" ht="12.75" hidden="false" customHeight="false" outlineLevel="0" collapsed="false">
      <c r="A1069" s="0" t="n">
        <f aca="false">B1069*1000+C1069</f>
        <v>22062</v>
      </c>
      <c r="B1069" s="0" t="n">
        <v>22</v>
      </c>
      <c r="C1069" s="0" t="n">
        <v>62</v>
      </c>
      <c r="D1069" s="0" t="n">
        <v>0</v>
      </c>
      <c r="E1069" s="0" t="n">
        <f aca="false">VLOOKUP(B1069,'Babblefish-APUMA'!$A$1:$B$86,2)</f>
        <v>22</v>
      </c>
      <c r="F1069" s="0" t="n">
        <f aca="false">IF(C1069&gt;1,IF(C1069&lt;99,VLOOKUP(C1069,'Babblefish-APUMA'!$A$1:$B$86,2),C1069),C1069)</f>
        <v>90</v>
      </c>
    </row>
    <row r="1070" customFormat="false" ht="12.75" hidden="false" customHeight="false" outlineLevel="0" collapsed="false">
      <c r="A1070" s="0" t="n">
        <f aca="false">B1070*1000+C1070</f>
        <v>22064</v>
      </c>
      <c r="B1070" s="0" t="n">
        <v>22</v>
      </c>
      <c r="C1070" s="0" t="n">
        <v>64</v>
      </c>
      <c r="D1070" s="0" t="n">
        <v>0</v>
      </c>
      <c r="E1070" s="0" t="n">
        <f aca="false">VLOOKUP(B1070,'Babblefish-APUMA'!$A$1:$B$86,2)</f>
        <v>22</v>
      </c>
      <c r="F1070" s="0" t="n">
        <f aca="false">IF(C1070&gt;1,IF(C1070&lt;99,VLOOKUP(C1070,'Babblefish-APUMA'!$A$1:$B$86,2),C1070),C1070)</f>
        <v>90</v>
      </c>
    </row>
    <row r="1071" customFormat="false" ht="12.75" hidden="false" customHeight="false" outlineLevel="0" collapsed="false">
      <c r="A1071" s="0" t="n">
        <f aca="false">B1071*1000+C1071</f>
        <v>22065</v>
      </c>
      <c r="B1071" s="0" t="n">
        <v>22</v>
      </c>
      <c r="C1071" s="0" t="n">
        <v>65</v>
      </c>
      <c r="D1071" s="0" t="n">
        <v>78</v>
      </c>
      <c r="E1071" s="0" t="n">
        <f aca="false">VLOOKUP(B1071,'Babblefish-APUMA'!$A$1:$B$86,2)</f>
        <v>22</v>
      </c>
      <c r="F1071" s="0" t="n">
        <f aca="false">IF(C1071&gt;1,IF(C1071&lt;99,VLOOKUP(C1071,'Babblefish-APUMA'!$A$1:$B$86,2),C1071),C1071)</f>
        <v>90</v>
      </c>
    </row>
    <row r="1072" customFormat="false" ht="12.75" hidden="false" customHeight="false" outlineLevel="0" collapsed="false">
      <c r="A1072" s="0" t="n">
        <f aca="false">B1072*1000+C1072</f>
        <v>22066</v>
      </c>
      <c r="B1072" s="0" t="n">
        <v>22</v>
      </c>
      <c r="C1072" s="0" t="n">
        <v>66</v>
      </c>
      <c r="D1072" s="0" t="n">
        <v>182</v>
      </c>
      <c r="E1072" s="0" t="n">
        <f aca="false">VLOOKUP(B1072,'Babblefish-APUMA'!$A$1:$B$86,2)</f>
        <v>22</v>
      </c>
      <c r="F1072" s="0" t="n">
        <f aca="false">IF(C1072&gt;1,IF(C1072&lt;99,VLOOKUP(C1072,'Babblefish-APUMA'!$A$1:$B$86,2),C1072),C1072)</f>
        <v>90</v>
      </c>
    </row>
    <row r="1073" customFormat="false" ht="12.75" hidden="false" customHeight="false" outlineLevel="0" collapsed="false">
      <c r="A1073" s="0" t="n">
        <f aca="false">B1073*1000+C1073</f>
        <v>22067</v>
      </c>
      <c r="B1073" s="0" t="n">
        <v>22</v>
      </c>
      <c r="C1073" s="0" t="n">
        <v>67</v>
      </c>
      <c r="D1073" s="0" t="n">
        <v>0</v>
      </c>
      <c r="E1073" s="0" t="n">
        <f aca="false">VLOOKUP(B1073,'Babblefish-APUMA'!$A$1:$B$86,2)</f>
        <v>22</v>
      </c>
      <c r="F1073" s="0" t="n">
        <f aca="false">IF(C1073&gt;1,IF(C1073&lt;99,VLOOKUP(C1073,'Babblefish-APUMA'!$A$1:$B$86,2),C1073),C1073)</f>
        <v>103</v>
      </c>
    </row>
    <row r="1074" customFormat="false" ht="12.75" hidden="false" customHeight="false" outlineLevel="0" collapsed="false">
      <c r="A1074" s="0" t="n">
        <f aca="false">B1074*1000+C1074</f>
        <v>22069</v>
      </c>
      <c r="B1074" s="0" t="n">
        <v>22</v>
      </c>
      <c r="C1074" s="0" t="n">
        <v>69</v>
      </c>
      <c r="D1074" s="0" t="n">
        <v>143</v>
      </c>
      <c r="E1074" s="0" t="n">
        <f aca="false">VLOOKUP(B1074,'Babblefish-APUMA'!$A$1:$B$86,2)</f>
        <v>22</v>
      </c>
      <c r="F1074" s="0" t="n">
        <f aca="false">IF(C1074&gt;1,IF(C1074&lt;99,VLOOKUP(C1074,'Babblefish-APUMA'!$A$1:$B$86,2),C1074),C1074)</f>
        <v>93</v>
      </c>
    </row>
    <row r="1075" customFormat="false" ht="12.75" hidden="false" customHeight="false" outlineLevel="0" collapsed="false">
      <c r="A1075" s="0" t="n">
        <f aca="false">B1075*1000+C1075</f>
        <v>22071</v>
      </c>
      <c r="B1075" s="0" t="n">
        <v>22</v>
      </c>
      <c r="C1075" s="0" t="n">
        <v>71</v>
      </c>
      <c r="D1075" s="0" t="n">
        <v>0</v>
      </c>
      <c r="E1075" s="0" t="n">
        <f aca="false">VLOOKUP(B1075,'Babblefish-APUMA'!$A$1:$B$86,2)</f>
        <v>22</v>
      </c>
      <c r="F1075" s="0" t="n">
        <f aca="false">IF(C1075&gt;1,IF(C1075&lt;99,VLOOKUP(C1075,'Babblefish-APUMA'!$A$1:$B$86,2),C1075),C1075)</f>
        <v>95</v>
      </c>
    </row>
    <row r="1076" customFormat="false" ht="12.75" hidden="false" customHeight="false" outlineLevel="0" collapsed="false">
      <c r="A1076" s="0" t="n">
        <f aca="false">B1076*1000+C1076</f>
        <v>22072</v>
      </c>
      <c r="B1076" s="0" t="n">
        <v>22</v>
      </c>
      <c r="C1076" s="0" t="n">
        <v>72</v>
      </c>
      <c r="D1076" s="0" t="n">
        <v>0</v>
      </c>
      <c r="E1076" s="0" t="n">
        <f aca="false">VLOOKUP(B1076,'Babblefish-APUMA'!$A$1:$B$86,2)</f>
        <v>22</v>
      </c>
      <c r="F1076" s="0" t="n">
        <f aca="false">IF(C1076&gt;1,IF(C1076&lt;99,VLOOKUP(C1076,'Babblefish-APUMA'!$A$1:$B$86,2),C1076),C1076)</f>
        <v>95</v>
      </c>
    </row>
    <row r="1077" customFormat="false" ht="12.75" hidden="false" customHeight="false" outlineLevel="0" collapsed="false">
      <c r="A1077" s="0" t="n">
        <f aca="false">B1077*1000+C1077</f>
        <v>22073</v>
      </c>
      <c r="B1077" s="0" t="n">
        <v>22</v>
      </c>
      <c r="C1077" s="0" t="n">
        <v>73</v>
      </c>
      <c r="D1077" s="0" t="n">
        <v>0</v>
      </c>
      <c r="E1077" s="0" t="n">
        <f aca="false">VLOOKUP(B1077,'Babblefish-APUMA'!$A$1:$B$86,2)</f>
        <v>22</v>
      </c>
      <c r="F1077" s="0" t="n">
        <f aca="false">IF(C1077&gt;1,IF(C1077&lt;99,VLOOKUP(C1077,'Babblefish-APUMA'!$A$1:$B$86,2),C1077),C1077)</f>
        <v>99</v>
      </c>
    </row>
    <row r="1078" customFormat="false" ht="12.75" hidden="false" customHeight="false" outlineLevel="0" collapsed="false">
      <c r="A1078" s="0" t="n">
        <f aca="false">B1078*1000+C1078</f>
        <v>22075</v>
      </c>
      <c r="B1078" s="0" t="n">
        <v>22</v>
      </c>
      <c r="C1078" s="0" t="n">
        <v>75</v>
      </c>
      <c r="D1078" s="0" t="n">
        <v>0</v>
      </c>
      <c r="E1078" s="0" t="n">
        <f aca="false">VLOOKUP(B1078,'Babblefish-APUMA'!$A$1:$B$86,2)</f>
        <v>22</v>
      </c>
      <c r="F1078" s="0" t="n">
        <f aca="false">IF(C1078&gt;1,IF(C1078&lt;99,VLOOKUP(C1078,'Babblefish-APUMA'!$A$1:$B$86,2),C1078),C1078)</f>
        <v>75</v>
      </c>
    </row>
    <row r="1079" customFormat="false" ht="12.75" hidden="false" customHeight="false" outlineLevel="0" collapsed="false">
      <c r="A1079" s="0" t="n">
        <f aca="false">B1079*1000+C1079</f>
        <v>22076</v>
      </c>
      <c r="B1079" s="0" t="n">
        <v>22</v>
      </c>
      <c r="C1079" s="0" t="n">
        <v>76</v>
      </c>
      <c r="D1079" s="0" t="n">
        <v>325</v>
      </c>
      <c r="E1079" s="0" t="n">
        <f aca="false">VLOOKUP(B1079,'Babblefish-APUMA'!$A$1:$B$86,2)</f>
        <v>22</v>
      </c>
      <c r="F1079" s="0" t="n">
        <f aca="false">IF(C1079&gt;1,IF(C1079&lt;99,VLOOKUP(C1079,'Babblefish-APUMA'!$A$1:$B$86,2),C1079),C1079)</f>
        <v>76</v>
      </c>
    </row>
    <row r="1080" customFormat="false" ht="12.75" hidden="false" customHeight="false" outlineLevel="0" collapsed="false">
      <c r="A1080" s="0" t="n">
        <f aca="false">B1080*1000+C1080</f>
        <v>22079</v>
      </c>
      <c r="B1080" s="0" t="n">
        <v>22</v>
      </c>
      <c r="C1080" s="0" t="n">
        <v>79</v>
      </c>
      <c r="D1080" s="0" t="n">
        <v>0</v>
      </c>
      <c r="E1080" s="0" t="n">
        <f aca="false">VLOOKUP(B1080,'Babblefish-APUMA'!$A$1:$B$86,2)</f>
        <v>22</v>
      </c>
      <c r="F1080" s="0" t="n">
        <f aca="false">IF(C1080&gt;1,IF(C1080&lt;99,VLOOKUP(C1080,'Babblefish-APUMA'!$A$1:$B$86,2),C1080),C1080)</f>
        <v>89</v>
      </c>
    </row>
    <row r="1081" customFormat="false" ht="12.75" hidden="false" customHeight="false" outlineLevel="0" collapsed="false">
      <c r="A1081" s="0" t="n">
        <f aca="false">B1081*1000+C1081</f>
        <v>22080</v>
      </c>
      <c r="B1081" s="0" t="n">
        <v>22</v>
      </c>
      <c r="C1081" s="0" t="n">
        <v>80</v>
      </c>
      <c r="D1081" s="0" t="n">
        <v>0</v>
      </c>
      <c r="E1081" s="0" t="n">
        <f aca="false">VLOOKUP(B1081,'Babblefish-APUMA'!$A$1:$B$86,2)</f>
        <v>22</v>
      </c>
      <c r="F1081" s="0" t="n">
        <f aca="false">IF(C1081&gt;1,IF(C1081&lt;99,VLOOKUP(C1081,'Babblefish-APUMA'!$A$1:$B$86,2),C1081),C1081)</f>
        <v>80</v>
      </c>
    </row>
    <row r="1082" customFormat="false" ht="12.75" hidden="false" customHeight="false" outlineLevel="0" collapsed="false">
      <c r="A1082" s="0" t="n">
        <f aca="false">B1082*1000+C1082</f>
        <v>22082</v>
      </c>
      <c r="B1082" s="0" t="n">
        <v>22</v>
      </c>
      <c r="C1082" s="0" t="n">
        <v>82</v>
      </c>
      <c r="D1082" s="0" t="n">
        <v>0</v>
      </c>
      <c r="E1082" s="0" t="n">
        <f aca="false">VLOOKUP(B1082,'Babblefish-APUMA'!$A$1:$B$86,2)</f>
        <v>22</v>
      </c>
      <c r="F1082" s="0" t="n">
        <f aca="false">IF(C1082&gt;1,IF(C1082&lt;99,VLOOKUP(C1082,'Babblefish-APUMA'!$A$1:$B$86,2),C1082),C1082)</f>
        <v>95</v>
      </c>
    </row>
    <row r="1083" customFormat="false" ht="12.75" hidden="false" customHeight="false" outlineLevel="0" collapsed="false">
      <c r="A1083" s="0" t="n">
        <f aca="false">B1083*1000+C1083</f>
        <v>22085</v>
      </c>
      <c r="B1083" s="0" t="n">
        <v>22</v>
      </c>
      <c r="C1083" s="0" t="n">
        <v>85</v>
      </c>
      <c r="D1083" s="0" t="n">
        <v>0</v>
      </c>
      <c r="E1083" s="0" t="n">
        <f aca="false">VLOOKUP(B1083,'Babblefish-APUMA'!$A$1:$B$86,2)</f>
        <v>22</v>
      </c>
      <c r="F1083" s="0" t="n">
        <f aca="false">IF(C1083&gt;1,IF(C1083&lt;99,VLOOKUP(C1083,'Babblefish-APUMA'!$A$1:$B$86,2),C1083),C1083)</f>
        <v>97</v>
      </c>
    </row>
    <row r="1084" customFormat="false" ht="12.75" hidden="false" customHeight="false" outlineLevel="0" collapsed="false">
      <c r="A1084" s="0" t="n">
        <f aca="false">B1084*1000+C1084</f>
        <v>22858</v>
      </c>
      <c r="B1084" s="0" t="n">
        <v>22</v>
      </c>
      <c r="C1084" s="0" t="n">
        <v>858</v>
      </c>
      <c r="D1084" s="0" t="n">
        <v>0</v>
      </c>
      <c r="E1084" s="0" t="n">
        <f aca="false">VLOOKUP(B1084,'Babblefish-APUMA'!$A$1:$B$86,2)</f>
        <v>22</v>
      </c>
      <c r="F1084" s="0" t="n">
        <f aca="false">IF(C1084&gt;1,IF(C1084&lt;99,VLOOKUP(C1084,'Babblefish-APUMA'!$A$1:$B$86,2),C1084),C1084)</f>
        <v>858</v>
      </c>
    </row>
    <row r="1085" customFormat="false" ht="12.75" hidden="false" customHeight="false" outlineLevel="0" collapsed="false">
      <c r="A1085" s="0" t="n">
        <f aca="false">B1085*1000+C1085</f>
        <v>22999</v>
      </c>
      <c r="B1085" s="0" t="n">
        <v>22</v>
      </c>
      <c r="C1085" s="0" t="n">
        <v>999</v>
      </c>
      <c r="D1085" s="0" t="n">
        <v>234</v>
      </c>
      <c r="E1085" s="0" t="n">
        <f aca="false">VLOOKUP(B1085,'Babblefish-APUMA'!$A$1:$B$86,2)</f>
        <v>22</v>
      </c>
      <c r="F1085" s="0" t="n">
        <f aca="false">IF(C1085&gt;1,IF(C1085&lt;99,VLOOKUP(C1085,'Babblefish-APUMA'!$A$1:$B$86,2),C1085),C1085)</f>
        <v>999</v>
      </c>
    </row>
    <row r="1086" customFormat="false" ht="12.75" hidden="false" customHeight="false" outlineLevel="0" collapsed="false">
      <c r="A1086" s="0" t="n">
        <f aca="false">B1086*1000+C1086</f>
        <v>23000</v>
      </c>
      <c r="B1086" s="0" t="n">
        <v>23</v>
      </c>
      <c r="C1086" s="0" t="n">
        <v>0</v>
      </c>
      <c r="D1086" s="0" t="n">
        <v>154115</v>
      </c>
      <c r="E1086" s="0" t="n">
        <f aca="false">VLOOKUP(B1086,'Babblefish-APUMA'!$A$1:$B$86,2)</f>
        <v>97</v>
      </c>
      <c r="F1086" s="0" t="n">
        <f aca="false">IF(C1086&gt;1,IF(C1086&lt;99,VLOOKUP(C1086,'Babblefish-APUMA'!$A$1:$B$86,2),C1086),C1086)</f>
        <v>0</v>
      </c>
    </row>
    <row r="1087" customFormat="false" ht="12.75" hidden="false" customHeight="false" outlineLevel="0" collapsed="false">
      <c r="A1087" s="0" t="n">
        <f aca="false">B1087*1000+C1087</f>
        <v>23001</v>
      </c>
      <c r="B1087" s="0" t="n">
        <v>23</v>
      </c>
      <c r="C1087" s="0" t="n">
        <v>1</v>
      </c>
      <c r="D1087" s="0" t="n">
        <v>0</v>
      </c>
      <c r="E1087" s="0" t="n">
        <f aca="false">VLOOKUP(B1087,'Babblefish-APUMA'!$A$1:$B$86,2)</f>
        <v>97</v>
      </c>
      <c r="F1087" s="0" t="n">
        <f aca="false">IF(C1087&gt;1,IF(C1087&lt;99,VLOOKUP(C1087,'Babblefish-APUMA'!$A$1:$B$86,2),C1087),C1087)</f>
        <v>1</v>
      </c>
    </row>
    <row r="1088" customFormat="false" ht="12.75" hidden="false" customHeight="false" outlineLevel="0" collapsed="false">
      <c r="A1088" s="0" t="n">
        <f aca="false">B1088*1000+C1088</f>
        <v>23002</v>
      </c>
      <c r="B1088" s="0" t="n">
        <v>23</v>
      </c>
      <c r="C1088" s="0" t="n">
        <v>2</v>
      </c>
      <c r="D1088" s="0" t="n">
        <v>0</v>
      </c>
      <c r="E1088" s="0" t="n">
        <f aca="false">VLOOKUP(B1088,'Babblefish-APUMA'!$A$1:$B$86,2)</f>
        <v>97</v>
      </c>
      <c r="F1088" s="0" t="n">
        <f aca="false">IF(C1088&gt;1,IF(C1088&lt;99,VLOOKUP(C1088,'Babblefish-APUMA'!$A$1:$B$86,2),C1088),C1088)</f>
        <v>2</v>
      </c>
    </row>
    <row r="1089" customFormat="false" ht="12.75" hidden="false" customHeight="false" outlineLevel="0" collapsed="false">
      <c r="A1089" s="0" t="n">
        <f aca="false">B1089*1000+C1089</f>
        <v>23003</v>
      </c>
      <c r="B1089" s="0" t="n">
        <v>23</v>
      </c>
      <c r="C1089" s="0" t="n">
        <v>3</v>
      </c>
      <c r="D1089" s="0" t="n">
        <v>0</v>
      </c>
      <c r="E1089" s="0" t="n">
        <f aca="false">VLOOKUP(B1089,'Babblefish-APUMA'!$A$1:$B$86,2)</f>
        <v>97</v>
      </c>
      <c r="F1089" s="0" t="n">
        <f aca="false">IF(C1089&gt;1,IF(C1089&lt;99,VLOOKUP(C1089,'Babblefish-APUMA'!$A$1:$B$86,2),C1089),C1089)</f>
        <v>3</v>
      </c>
    </row>
    <row r="1090" customFormat="false" ht="12.75" hidden="false" customHeight="false" outlineLevel="0" collapsed="false">
      <c r="A1090" s="0" t="n">
        <f aca="false">B1090*1000+C1090</f>
        <v>23004</v>
      </c>
      <c r="B1090" s="0" t="n">
        <v>23</v>
      </c>
      <c r="C1090" s="0" t="n">
        <v>4</v>
      </c>
      <c r="D1090" s="0" t="n">
        <v>0</v>
      </c>
      <c r="E1090" s="0" t="n">
        <f aca="false">VLOOKUP(B1090,'Babblefish-APUMA'!$A$1:$B$86,2)</f>
        <v>97</v>
      </c>
      <c r="F1090" s="0" t="n">
        <f aca="false">IF(C1090&gt;1,IF(C1090&lt;99,VLOOKUP(C1090,'Babblefish-APUMA'!$A$1:$B$86,2),C1090),C1090)</f>
        <v>4</v>
      </c>
    </row>
    <row r="1091" customFormat="false" ht="12.75" hidden="false" customHeight="false" outlineLevel="0" collapsed="false">
      <c r="A1091" s="0" t="n">
        <f aca="false">B1091*1000+C1091</f>
        <v>23005</v>
      </c>
      <c r="B1091" s="0" t="n">
        <v>23</v>
      </c>
      <c r="C1091" s="0" t="n">
        <v>5</v>
      </c>
      <c r="D1091" s="0" t="n">
        <v>0</v>
      </c>
      <c r="E1091" s="0" t="n">
        <f aca="false">VLOOKUP(B1091,'Babblefish-APUMA'!$A$1:$B$86,2)</f>
        <v>97</v>
      </c>
      <c r="F1091" s="0" t="n">
        <f aca="false">IF(C1091&gt;1,IF(C1091&lt;99,VLOOKUP(C1091,'Babblefish-APUMA'!$A$1:$B$86,2),C1091),C1091)</f>
        <v>5</v>
      </c>
    </row>
    <row r="1092" customFormat="false" ht="12.75" hidden="false" customHeight="false" outlineLevel="0" collapsed="false">
      <c r="A1092" s="0" t="n">
        <f aca="false">B1092*1000+C1092</f>
        <v>23006</v>
      </c>
      <c r="B1092" s="0" t="n">
        <v>23</v>
      </c>
      <c r="C1092" s="0" t="n">
        <v>6</v>
      </c>
      <c r="D1092" s="0" t="n">
        <v>0</v>
      </c>
      <c r="E1092" s="0" t="n">
        <f aca="false">VLOOKUP(B1092,'Babblefish-APUMA'!$A$1:$B$86,2)</f>
        <v>97</v>
      </c>
      <c r="F1092" s="0" t="n">
        <f aca="false">IF(C1092&gt;1,IF(C1092&lt;99,VLOOKUP(C1092,'Babblefish-APUMA'!$A$1:$B$86,2),C1092),C1092)</f>
        <v>6</v>
      </c>
    </row>
    <row r="1093" customFormat="false" ht="12.75" hidden="false" customHeight="false" outlineLevel="0" collapsed="false">
      <c r="A1093" s="0" t="n">
        <f aca="false">B1093*1000+C1093</f>
        <v>23007</v>
      </c>
      <c r="B1093" s="0" t="n">
        <v>23</v>
      </c>
      <c r="C1093" s="0" t="n">
        <v>7</v>
      </c>
      <c r="D1093" s="0" t="n">
        <v>0</v>
      </c>
      <c r="E1093" s="0" t="n">
        <f aca="false">VLOOKUP(B1093,'Babblefish-APUMA'!$A$1:$B$86,2)</f>
        <v>97</v>
      </c>
      <c r="F1093" s="0" t="n">
        <f aca="false">IF(C1093&gt;1,IF(C1093&lt;99,VLOOKUP(C1093,'Babblefish-APUMA'!$A$1:$B$86,2),C1093),C1093)</f>
        <v>7</v>
      </c>
    </row>
    <row r="1094" customFormat="false" ht="12.75" hidden="false" customHeight="false" outlineLevel="0" collapsed="false">
      <c r="A1094" s="0" t="n">
        <f aca="false">B1094*1000+C1094</f>
        <v>23008</v>
      </c>
      <c r="B1094" s="0" t="n">
        <v>23</v>
      </c>
      <c r="C1094" s="0" t="n">
        <v>8</v>
      </c>
      <c r="D1094" s="0" t="n">
        <v>0</v>
      </c>
      <c r="E1094" s="0" t="n">
        <f aca="false">VLOOKUP(B1094,'Babblefish-APUMA'!$A$1:$B$86,2)</f>
        <v>97</v>
      </c>
      <c r="F1094" s="0" t="n">
        <f aca="false">IF(C1094&gt;1,IF(C1094&lt;99,VLOOKUP(C1094,'Babblefish-APUMA'!$A$1:$B$86,2),C1094),C1094)</f>
        <v>8</v>
      </c>
    </row>
    <row r="1095" customFormat="false" ht="12.75" hidden="false" customHeight="false" outlineLevel="0" collapsed="false">
      <c r="A1095" s="0" t="n">
        <f aca="false">B1095*1000+C1095</f>
        <v>23009</v>
      </c>
      <c r="B1095" s="0" t="n">
        <v>23</v>
      </c>
      <c r="C1095" s="0" t="n">
        <v>9</v>
      </c>
      <c r="D1095" s="0" t="n">
        <v>0</v>
      </c>
      <c r="E1095" s="0" t="n">
        <f aca="false">VLOOKUP(B1095,'Babblefish-APUMA'!$A$1:$B$86,2)</f>
        <v>97</v>
      </c>
      <c r="F1095" s="0" t="n">
        <f aca="false">IF(C1095&gt;1,IF(C1095&lt;99,VLOOKUP(C1095,'Babblefish-APUMA'!$A$1:$B$86,2),C1095),C1095)</f>
        <v>9</v>
      </c>
    </row>
    <row r="1096" customFormat="false" ht="12.75" hidden="false" customHeight="false" outlineLevel="0" collapsed="false">
      <c r="A1096" s="0" t="n">
        <f aca="false">B1096*1000+C1096</f>
        <v>23010</v>
      </c>
      <c r="B1096" s="0" t="n">
        <v>23</v>
      </c>
      <c r="C1096" s="0" t="n">
        <v>10</v>
      </c>
      <c r="D1096" s="0" t="n">
        <v>130</v>
      </c>
      <c r="E1096" s="0" t="n">
        <f aca="false">VLOOKUP(B1096,'Babblefish-APUMA'!$A$1:$B$86,2)</f>
        <v>97</v>
      </c>
      <c r="F1096" s="0" t="n">
        <f aca="false">IF(C1096&gt;1,IF(C1096&lt;99,VLOOKUP(C1096,'Babblefish-APUMA'!$A$1:$B$86,2),C1096),C1096)</f>
        <v>10</v>
      </c>
    </row>
    <row r="1097" customFormat="false" ht="12.75" hidden="false" customHeight="false" outlineLevel="0" collapsed="false">
      <c r="A1097" s="0" t="n">
        <f aca="false">B1097*1000+C1097</f>
        <v>23011</v>
      </c>
      <c r="B1097" s="0" t="n">
        <v>23</v>
      </c>
      <c r="C1097" s="0" t="n">
        <v>11</v>
      </c>
      <c r="D1097" s="0" t="n">
        <v>0</v>
      </c>
      <c r="E1097" s="0" t="n">
        <f aca="false">VLOOKUP(B1097,'Babblefish-APUMA'!$A$1:$B$86,2)</f>
        <v>97</v>
      </c>
      <c r="F1097" s="0" t="n">
        <f aca="false">IF(C1097&gt;1,IF(C1097&lt;99,VLOOKUP(C1097,'Babblefish-APUMA'!$A$1:$B$86,2),C1097),C1097)</f>
        <v>11</v>
      </c>
    </row>
    <row r="1098" customFormat="false" ht="12.75" hidden="false" customHeight="false" outlineLevel="0" collapsed="false">
      <c r="A1098" s="0" t="n">
        <f aca="false">B1098*1000+C1098</f>
        <v>23012</v>
      </c>
      <c r="B1098" s="0" t="n">
        <v>23</v>
      </c>
      <c r="C1098" s="0" t="n">
        <v>12</v>
      </c>
      <c r="D1098" s="0" t="n">
        <v>0</v>
      </c>
      <c r="E1098" s="0" t="n">
        <f aca="false">VLOOKUP(B1098,'Babblefish-APUMA'!$A$1:$B$86,2)</f>
        <v>97</v>
      </c>
      <c r="F1098" s="0" t="n">
        <f aca="false">IF(C1098&gt;1,IF(C1098&lt;99,VLOOKUP(C1098,'Babblefish-APUMA'!$A$1:$B$86,2),C1098),C1098)</f>
        <v>12</v>
      </c>
    </row>
    <row r="1099" customFormat="false" ht="12.75" hidden="false" customHeight="false" outlineLevel="0" collapsed="false">
      <c r="A1099" s="0" t="n">
        <f aca="false">B1099*1000+C1099</f>
        <v>23013</v>
      </c>
      <c r="B1099" s="0" t="n">
        <v>23</v>
      </c>
      <c r="C1099" s="0" t="n">
        <v>13</v>
      </c>
      <c r="D1099" s="0" t="n">
        <v>0</v>
      </c>
      <c r="E1099" s="0" t="n">
        <f aca="false">VLOOKUP(B1099,'Babblefish-APUMA'!$A$1:$B$86,2)</f>
        <v>97</v>
      </c>
      <c r="F1099" s="0" t="n">
        <f aca="false">IF(C1099&gt;1,IF(C1099&lt;99,VLOOKUP(C1099,'Babblefish-APUMA'!$A$1:$B$86,2),C1099),C1099)</f>
        <v>100</v>
      </c>
    </row>
    <row r="1100" customFormat="false" ht="12.75" hidden="false" customHeight="false" outlineLevel="0" collapsed="false">
      <c r="A1100" s="0" t="n">
        <f aca="false">B1100*1000+C1100</f>
        <v>23014</v>
      </c>
      <c r="B1100" s="0" t="n">
        <v>23</v>
      </c>
      <c r="C1100" s="0" t="n">
        <v>14</v>
      </c>
      <c r="D1100" s="0" t="n">
        <v>0</v>
      </c>
      <c r="E1100" s="0" t="n">
        <f aca="false">VLOOKUP(B1100,'Babblefish-APUMA'!$A$1:$B$86,2)</f>
        <v>97</v>
      </c>
      <c r="F1100" s="0" t="n">
        <f aca="false">IF(C1100&gt;1,IF(C1100&lt;99,VLOOKUP(C1100,'Babblefish-APUMA'!$A$1:$B$86,2),C1100),C1100)</f>
        <v>100</v>
      </c>
    </row>
    <row r="1101" customFormat="false" ht="12.75" hidden="false" customHeight="false" outlineLevel="0" collapsed="false">
      <c r="A1101" s="0" t="n">
        <f aca="false">B1101*1000+C1101</f>
        <v>23015</v>
      </c>
      <c r="B1101" s="0" t="n">
        <v>23</v>
      </c>
      <c r="C1101" s="0" t="n">
        <v>15</v>
      </c>
      <c r="D1101" s="0" t="n">
        <v>0</v>
      </c>
      <c r="E1101" s="0" t="n">
        <f aca="false">VLOOKUP(B1101,'Babblefish-APUMA'!$A$1:$B$86,2)</f>
        <v>97</v>
      </c>
      <c r="F1101" s="0" t="n">
        <f aca="false">IF(C1101&gt;1,IF(C1101&lt;99,VLOOKUP(C1101,'Babblefish-APUMA'!$A$1:$B$86,2),C1101),C1101)</f>
        <v>15</v>
      </c>
    </row>
    <row r="1102" customFormat="false" ht="12.75" hidden="false" customHeight="false" outlineLevel="0" collapsed="false">
      <c r="A1102" s="0" t="n">
        <f aca="false">B1102*1000+C1102</f>
        <v>23016</v>
      </c>
      <c r="B1102" s="0" t="n">
        <v>23</v>
      </c>
      <c r="C1102" s="0" t="n">
        <v>16</v>
      </c>
      <c r="D1102" s="0" t="n">
        <v>234</v>
      </c>
      <c r="E1102" s="0" t="n">
        <f aca="false">VLOOKUP(B1102,'Babblefish-APUMA'!$A$1:$B$86,2)</f>
        <v>97</v>
      </c>
      <c r="F1102" s="0" t="n">
        <f aca="false">IF(C1102&gt;1,IF(C1102&lt;99,VLOOKUP(C1102,'Babblefish-APUMA'!$A$1:$B$86,2),C1102),C1102)</f>
        <v>99</v>
      </c>
    </row>
    <row r="1103" customFormat="false" ht="12.75" hidden="false" customHeight="false" outlineLevel="0" collapsed="false">
      <c r="A1103" s="0" t="n">
        <f aca="false">B1103*1000+C1103</f>
        <v>23017</v>
      </c>
      <c r="B1103" s="0" t="n">
        <v>23</v>
      </c>
      <c r="C1103" s="0" t="n">
        <v>17</v>
      </c>
      <c r="D1103" s="0" t="n">
        <v>104</v>
      </c>
      <c r="E1103" s="0" t="n">
        <f aca="false">VLOOKUP(B1103,'Babblefish-APUMA'!$A$1:$B$86,2)</f>
        <v>97</v>
      </c>
      <c r="F1103" s="0" t="n">
        <f aca="false">IF(C1103&gt;1,IF(C1103&lt;99,VLOOKUP(C1103,'Babblefish-APUMA'!$A$1:$B$86,2),C1103),C1103)</f>
        <v>87</v>
      </c>
    </row>
    <row r="1104" customFormat="false" ht="12.75" hidden="false" customHeight="false" outlineLevel="0" collapsed="false">
      <c r="A1104" s="0" t="n">
        <f aca="false">B1104*1000+C1104</f>
        <v>23018</v>
      </c>
      <c r="B1104" s="0" t="n">
        <v>23</v>
      </c>
      <c r="C1104" s="0" t="n">
        <v>18</v>
      </c>
      <c r="D1104" s="0" t="n">
        <v>1911</v>
      </c>
      <c r="E1104" s="0" t="n">
        <f aca="false">VLOOKUP(B1104,'Babblefish-APUMA'!$A$1:$B$86,2)</f>
        <v>97</v>
      </c>
      <c r="F1104" s="0" t="n">
        <f aca="false">IF(C1104&gt;1,IF(C1104&lt;99,VLOOKUP(C1104,'Babblefish-APUMA'!$A$1:$B$86,2),C1104),C1104)</f>
        <v>87</v>
      </c>
    </row>
    <row r="1105" customFormat="false" ht="12.75" hidden="false" customHeight="false" outlineLevel="0" collapsed="false">
      <c r="A1105" s="0" t="n">
        <f aca="false">B1105*1000+C1105</f>
        <v>23019</v>
      </c>
      <c r="B1105" s="0" t="n">
        <v>23</v>
      </c>
      <c r="C1105" s="0" t="n">
        <v>19</v>
      </c>
      <c r="D1105" s="0" t="n">
        <v>585</v>
      </c>
      <c r="E1105" s="0" t="n">
        <f aca="false">VLOOKUP(B1105,'Babblefish-APUMA'!$A$1:$B$86,2)</f>
        <v>97</v>
      </c>
      <c r="F1105" s="0" t="n">
        <f aca="false">IF(C1105&gt;1,IF(C1105&lt;99,VLOOKUP(C1105,'Babblefish-APUMA'!$A$1:$B$86,2),C1105),C1105)</f>
        <v>19</v>
      </c>
    </row>
    <row r="1106" customFormat="false" ht="12.75" hidden="false" customHeight="false" outlineLevel="0" collapsed="false">
      <c r="A1106" s="0" t="n">
        <f aca="false">B1106*1000+C1106</f>
        <v>23020</v>
      </c>
      <c r="B1106" s="0" t="n">
        <v>23</v>
      </c>
      <c r="C1106" s="0" t="n">
        <v>20</v>
      </c>
      <c r="D1106" s="0" t="n">
        <v>65</v>
      </c>
      <c r="E1106" s="0" t="n">
        <f aca="false">VLOOKUP(B1106,'Babblefish-APUMA'!$A$1:$B$86,2)</f>
        <v>97</v>
      </c>
      <c r="F1106" s="0" t="n">
        <f aca="false">IF(C1106&gt;1,IF(C1106&lt;99,VLOOKUP(C1106,'Babblefish-APUMA'!$A$1:$B$86,2),C1106),C1106)</f>
        <v>86</v>
      </c>
    </row>
    <row r="1107" customFormat="false" ht="12.75" hidden="false" customHeight="false" outlineLevel="0" collapsed="false">
      <c r="A1107" s="0" t="n">
        <f aca="false">B1107*1000+C1107</f>
        <v>23021</v>
      </c>
      <c r="B1107" s="0" t="n">
        <v>23</v>
      </c>
      <c r="C1107" s="0" t="n">
        <v>21</v>
      </c>
      <c r="D1107" s="0" t="n">
        <v>9711</v>
      </c>
      <c r="E1107" s="0" t="n">
        <f aca="false">VLOOKUP(B1107,'Babblefish-APUMA'!$A$1:$B$86,2)</f>
        <v>97</v>
      </c>
      <c r="F1107" s="0" t="n">
        <f aca="false">IF(C1107&gt;1,IF(C1107&lt;99,VLOOKUP(C1107,'Babblefish-APUMA'!$A$1:$B$86,2),C1107),C1107)</f>
        <v>86</v>
      </c>
    </row>
    <row r="1108" customFormat="false" ht="12.75" hidden="false" customHeight="false" outlineLevel="0" collapsed="false">
      <c r="A1108" s="0" t="n">
        <f aca="false">B1108*1000+C1108</f>
        <v>23022</v>
      </c>
      <c r="B1108" s="0" t="n">
        <v>23</v>
      </c>
      <c r="C1108" s="0" t="n">
        <v>22</v>
      </c>
      <c r="D1108" s="0" t="n">
        <v>728</v>
      </c>
      <c r="E1108" s="0" t="n">
        <f aca="false">VLOOKUP(B1108,'Babblefish-APUMA'!$A$1:$B$86,2)</f>
        <v>97</v>
      </c>
      <c r="F1108" s="0" t="n">
        <f aca="false">IF(C1108&gt;1,IF(C1108&lt;99,VLOOKUP(C1108,'Babblefish-APUMA'!$A$1:$B$86,2),C1108),C1108)</f>
        <v>22</v>
      </c>
    </row>
    <row r="1109" customFormat="false" ht="12.75" hidden="false" customHeight="false" outlineLevel="0" collapsed="false">
      <c r="A1109" s="0" t="n">
        <f aca="false">B1109*1000+C1109</f>
        <v>23023</v>
      </c>
      <c r="B1109" s="0" t="n">
        <v>23</v>
      </c>
      <c r="C1109" s="0" t="n">
        <v>23</v>
      </c>
      <c r="D1109" s="0" t="n">
        <v>59839</v>
      </c>
      <c r="E1109" s="0" t="n">
        <f aca="false">VLOOKUP(B1109,'Babblefish-APUMA'!$A$1:$B$86,2)</f>
        <v>97</v>
      </c>
      <c r="F1109" s="0" t="n">
        <f aca="false">IF(C1109&gt;1,IF(C1109&lt;99,VLOOKUP(C1109,'Babblefish-APUMA'!$A$1:$B$86,2),C1109),C1109)</f>
        <v>97</v>
      </c>
    </row>
    <row r="1110" customFormat="false" ht="12.75" hidden="false" customHeight="false" outlineLevel="0" collapsed="false">
      <c r="A1110" s="0" t="n">
        <f aca="false">B1110*1000+C1110</f>
        <v>23024</v>
      </c>
      <c r="B1110" s="0" t="n">
        <v>23</v>
      </c>
      <c r="C1110" s="0" t="n">
        <v>24</v>
      </c>
      <c r="D1110" s="0" t="n">
        <v>2743</v>
      </c>
      <c r="E1110" s="0" t="n">
        <f aca="false">VLOOKUP(B1110,'Babblefish-APUMA'!$A$1:$B$86,2)</f>
        <v>97</v>
      </c>
      <c r="F1110" s="0" t="n">
        <f aca="false">IF(C1110&gt;1,IF(C1110&lt;99,VLOOKUP(C1110,'Babblefish-APUMA'!$A$1:$B$86,2),C1110),C1110)</f>
        <v>101</v>
      </c>
    </row>
    <row r="1111" customFormat="false" ht="12.75" hidden="false" customHeight="false" outlineLevel="0" collapsed="false">
      <c r="A1111" s="0" t="n">
        <f aca="false">B1111*1000+C1111</f>
        <v>23025</v>
      </c>
      <c r="B1111" s="0" t="n">
        <v>23</v>
      </c>
      <c r="C1111" s="0" t="n">
        <v>25</v>
      </c>
      <c r="D1111" s="0" t="n">
        <v>2184</v>
      </c>
      <c r="E1111" s="0" t="n">
        <f aca="false">VLOOKUP(B1111,'Babblefish-APUMA'!$A$1:$B$86,2)</f>
        <v>97</v>
      </c>
      <c r="F1111" s="0" t="n">
        <f aca="false">IF(C1111&gt;1,IF(C1111&lt;99,VLOOKUP(C1111,'Babblefish-APUMA'!$A$1:$B$86,2),C1111),C1111)</f>
        <v>101</v>
      </c>
    </row>
    <row r="1112" customFormat="false" ht="12.75" hidden="false" customHeight="false" outlineLevel="0" collapsed="false">
      <c r="A1112" s="0" t="n">
        <f aca="false">B1112*1000+C1112</f>
        <v>23026</v>
      </c>
      <c r="B1112" s="0" t="n">
        <v>23</v>
      </c>
      <c r="C1112" s="0" t="n">
        <v>26</v>
      </c>
      <c r="D1112" s="0" t="n">
        <v>91</v>
      </c>
      <c r="E1112" s="0" t="n">
        <f aca="false">VLOOKUP(B1112,'Babblefish-APUMA'!$A$1:$B$86,2)</f>
        <v>97</v>
      </c>
      <c r="F1112" s="0" t="n">
        <f aca="false">IF(C1112&gt;1,IF(C1112&lt;99,VLOOKUP(C1112,'Babblefish-APUMA'!$A$1:$B$86,2),C1112),C1112)</f>
        <v>26</v>
      </c>
    </row>
    <row r="1113" customFormat="false" ht="12.75" hidden="false" customHeight="false" outlineLevel="0" collapsed="false">
      <c r="A1113" s="0" t="n">
        <f aca="false">B1113*1000+C1113</f>
        <v>23027</v>
      </c>
      <c r="B1113" s="0" t="n">
        <v>23</v>
      </c>
      <c r="C1113" s="0" t="n">
        <v>27</v>
      </c>
      <c r="D1113" s="0" t="n">
        <v>0</v>
      </c>
      <c r="E1113" s="0" t="n">
        <f aca="false">VLOOKUP(B1113,'Babblefish-APUMA'!$A$1:$B$86,2)</f>
        <v>97</v>
      </c>
      <c r="F1113" s="0" t="n">
        <f aca="false">IF(C1113&gt;1,IF(C1113&lt;99,VLOOKUP(C1113,'Babblefish-APUMA'!$A$1:$B$86,2),C1113),C1113)</f>
        <v>27</v>
      </c>
    </row>
    <row r="1114" customFormat="false" ht="12.75" hidden="false" customHeight="false" outlineLevel="0" collapsed="false">
      <c r="A1114" s="0" t="n">
        <f aca="false">B1114*1000+C1114</f>
        <v>23028</v>
      </c>
      <c r="B1114" s="0" t="n">
        <v>23</v>
      </c>
      <c r="C1114" s="0" t="n">
        <v>28</v>
      </c>
      <c r="D1114" s="0" t="n">
        <v>1040</v>
      </c>
      <c r="E1114" s="0" t="n">
        <f aca="false">VLOOKUP(B1114,'Babblefish-APUMA'!$A$1:$B$86,2)</f>
        <v>97</v>
      </c>
      <c r="F1114" s="0" t="n">
        <f aca="false">IF(C1114&gt;1,IF(C1114&lt;99,VLOOKUP(C1114,'Babblefish-APUMA'!$A$1:$B$86,2),C1114),C1114)</f>
        <v>94</v>
      </c>
    </row>
    <row r="1115" customFormat="false" ht="12.75" hidden="false" customHeight="false" outlineLevel="0" collapsed="false">
      <c r="A1115" s="0" t="n">
        <f aca="false">B1115*1000+C1115</f>
        <v>23029</v>
      </c>
      <c r="B1115" s="0" t="n">
        <v>23</v>
      </c>
      <c r="C1115" s="0" t="n">
        <v>29</v>
      </c>
      <c r="D1115" s="0" t="n">
        <v>1131</v>
      </c>
      <c r="E1115" s="0" t="n">
        <f aca="false">VLOOKUP(B1115,'Babblefish-APUMA'!$A$1:$B$86,2)</f>
        <v>97</v>
      </c>
      <c r="F1115" s="0" t="n">
        <f aca="false">IF(C1115&gt;1,IF(C1115&lt;99,VLOOKUP(C1115,'Babblefish-APUMA'!$A$1:$B$86,2),C1115),C1115)</f>
        <v>94</v>
      </c>
    </row>
    <row r="1116" customFormat="false" ht="12.75" hidden="false" customHeight="false" outlineLevel="0" collapsed="false">
      <c r="A1116" s="0" t="n">
        <f aca="false">B1116*1000+C1116</f>
        <v>23030</v>
      </c>
      <c r="B1116" s="0" t="n">
        <v>23</v>
      </c>
      <c r="C1116" s="0" t="n">
        <v>30</v>
      </c>
      <c r="D1116" s="0" t="n">
        <v>91</v>
      </c>
      <c r="E1116" s="0" t="n">
        <f aca="false">VLOOKUP(B1116,'Babblefish-APUMA'!$A$1:$B$86,2)</f>
        <v>97</v>
      </c>
      <c r="F1116" s="0" t="n">
        <f aca="false">IF(C1116&gt;1,IF(C1116&lt;99,VLOOKUP(C1116,'Babblefish-APUMA'!$A$1:$B$86,2),C1116),C1116)</f>
        <v>30</v>
      </c>
    </row>
    <row r="1117" customFormat="false" ht="12.75" hidden="false" customHeight="false" outlineLevel="0" collapsed="false">
      <c r="A1117" s="0" t="n">
        <f aca="false">B1117*1000+C1117</f>
        <v>23031</v>
      </c>
      <c r="B1117" s="0" t="n">
        <v>23</v>
      </c>
      <c r="C1117" s="0" t="n">
        <v>31</v>
      </c>
      <c r="D1117" s="0" t="n">
        <v>0</v>
      </c>
      <c r="E1117" s="0" t="n">
        <f aca="false">VLOOKUP(B1117,'Babblefish-APUMA'!$A$1:$B$86,2)</f>
        <v>97</v>
      </c>
      <c r="F1117" s="0" t="n">
        <f aca="false">IF(C1117&gt;1,IF(C1117&lt;99,VLOOKUP(C1117,'Babblefish-APUMA'!$A$1:$B$86,2),C1117),C1117)</f>
        <v>31</v>
      </c>
    </row>
    <row r="1118" customFormat="false" ht="12.75" hidden="false" customHeight="false" outlineLevel="0" collapsed="false">
      <c r="A1118" s="0" t="n">
        <f aca="false">B1118*1000+C1118</f>
        <v>23032</v>
      </c>
      <c r="B1118" s="0" t="n">
        <v>23</v>
      </c>
      <c r="C1118" s="0" t="n">
        <v>32</v>
      </c>
      <c r="D1118" s="0" t="n">
        <v>65</v>
      </c>
      <c r="E1118" s="0" t="n">
        <f aca="false">VLOOKUP(B1118,'Babblefish-APUMA'!$A$1:$B$86,2)</f>
        <v>97</v>
      </c>
      <c r="F1118" s="0" t="n">
        <f aca="false">IF(C1118&gt;1,IF(C1118&lt;99,VLOOKUP(C1118,'Babblefish-APUMA'!$A$1:$B$86,2),C1118),C1118)</f>
        <v>32</v>
      </c>
    </row>
    <row r="1119" customFormat="false" ht="12.75" hidden="false" customHeight="false" outlineLevel="0" collapsed="false">
      <c r="A1119" s="0" t="n">
        <f aca="false">B1119*1000+C1119</f>
        <v>23033</v>
      </c>
      <c r="B1119" s="0" t="n">
        <v>23</v>
      </c>
      <c r="C1119" s="0" t="n">
        <v>33</v>
      </c>
      <c r="D1119" s="0" t="n">
        <v>0</v>
      </c>
      <c r="E1119" s="0" t="n">
        <f aca="false">VLOOKUP(B1119,'Babblefish-APUMA'!$A$1:$B$86,2)</f>
        <v>97</v>
      </c>
      <c r="F1119" s="0" t="n">
        <f aca="false">IF(C1119&gt;1,IF(C1119&lt;99,VLOOKUP(C1119,'Babblefish-APUMA'!$A$1:$B$86,2),C1119),C1119)</f>
        <v>96</v>
      </c>
    </row>
    <row r="1120" customFormat="false" ht="12.75" hidden="false" customHeight="false" outlineLevel="0" collapsed="false">
      <c r="A1120" s="0" t="n">
        <f aca="false">B1120*1000+C1120</f>
        <v>23034</v>
      </c>
      <c r="B1120" s="0" t="n">
        <v>23</v>
      </c>
      <c r="C1120" s="0" t="n">
        <v>34</v>
      </c>
      <c r="D1120" s="0" t="n">
        <v>0</v>
      </c>
      <c r="E1120" s="0" t="n">
        <f aca="false">VLOOKUP(B1120,'Babblefish-APUMA'!$A$1:$B$86,2)</f>
        <v>97</v>
      </c>
      <c r="F1120" s="0" t="n">
        <f aca="false">IF(C1120&gt;1,IF(C1120&lt;99,VLOOKUP(C1120,'Babblefish-APUMA'!$A$1:$B$86,2),C1120),C1120)</f>
        <v>96</v>
      </c>
    </row>
    <row r="1121" customFormat="false" ht="12.75" hidden="false" customHeight="false" outlineLevel="0" collapsed="false">
      <c r="A1121" s="0" t="n">
        <f aca="false">B1121*1000+C1121</f>
        <v>23035</v>
      </c>
      <c r="B1121" s="0" t="n">
        <v>23</v>
      </c>
      <c r="C1121" s="0" t="n">
        <v>35</v>
      </c>
      <c r="D1121" s="0" t="n">
        <v>0</v>
      </c>
      <c r="E1121" s="0" t="n">
        <f aca="false">VLOOKUP(B1121,'Babblefish-APUMA'!$A$1:$B$86,2)</f>
        <v>97</v>
      </c>
      <c r="F1121" s="0" t="n">
        <f aca="false">IF(C1121&gt;1,IF(C1121&lt;99,VLOOKUP(C1121,'Babblefish-APUMA'!$A$1:$B$86,2),C1121),C1121)</f>
        <v>96</v>
      </c>
    </row>
    <row r="1122" customFormat="false" ht="12.75" hidden="false" customHeight="false" outlineLevel="0" collapsed="false">
      <c r="A1122" s="0" t="n">
        <f aca="false">B1122*1000+C1122</f>
        <v>23037</v>
      </c>
      <c r="B1122" s="0" t="n">
        <v>23</v>
      </c>
      <c r="C1122" s="0" t="n">
        <v>37</v>
      </c>
      <c r="D1122" s="0" t="n">
        <v>0</v>
      </c>
      <c r="E1122" s="0" t="n">
        <f aca="false">VLOOKUP(B1122,'Babblefish-APUMA'!$A$1:$B$86,2)</f>
        <v>97</v>
      </c>
      <c r="F1122" s="0" t="n">
        <f aca="false">IF(C1122&gt;1,IF(C1122&lt;99,VLOOKUP(C1122,'Babblefish-APUMA'!$A$1:$B$86,2),C1122),C1122)</f>
        <v>96</v>
      </c>
    </row>
    <row r="1123" customFormat="false" ht="12.75" hidden="false" customHeight="false" outlineLevel="0" collapsed="false">
      <c r="A1123" s="0" t="n">
        <f aca="false">B1123*1000+C1123</f>
        <v>23038</v>
      </c>
      <c r="B1123" s="0" t="n">
        <v>23</v>
      </c>
      <c r="C1123" s="0" t="n">
        <v>38</v>
      </c>
      <c r="D1123" s="0" t="n">
        <v>0</v>
      </c>
      <c r="E1123" s="0" t="n">
        <f aca="false">VLOOKUP(B1123,'Babblefish-APUMA'!$A$1:$B$86,2)</f>
        <v>97</v>
      </c>
      <c r="F1123" s="0" t="n">
        <f aca="false">IF(C1123&gt;1,IF(C1123&lt;99,VLOOKUP(C1123,'Babblefish-APUMA'!$A$1:$B$86,2),C1123),C1123)</f>
        <v>91</v>
      </c>
    </row>
    <row r="1124" customFormat="false" ht="12.75" hidden="false" customHeight="false" outlineLevel="0" collapsed="false">
      <c r="A1124" s="0" t="n">
        <f aca="false">B1124*1000+C1124</f>
        <v>23039</v>
      </c>
      <c r="B1124" s="0" t="n">
        <v>23</v>
      </c>
      <c r="C1124" s="0" t="n">
        <v>39</v>
      </c>
      <c r="D1124" s="0" t="n">
        <v>0</v>
      </c>
      <c r="E1124" s="0" t="n">
        <f aca="false">VLOOKUP(B1124,'Babblefish-APUMA'!$A$1:$B$86,2)</f>
        <v>97</v>
      </c>
      <c r="F1124" s="0" t="n">
        <f aca="false">IF(C1124&gt;1,IF(C1124&lt;99,VLOOKUP(C1124,'Babblefish-APUMA'!$A$1:$B$86,2),C1124),C1124)</f>
        <v>91</v>
      </c>
    </row>
    <row r="1125" customFormat="false" ht="12.75" hidden="false" customHeight="false" outlineLevel="0" collapsed="false">
      <c r="A1125" s="0" t="n">
        <f aca="false">B1125*1000+C1125</f>
        <v>23040</v>
      </c>
      <c r="B1125" s="0" t="n">
        <v>23</v>
      </c>
      <c r="C1125" s="0" t="n">
        <v>40</v>
      </c>
      <c r="D1125" s="0" t="n">
        <v>91</v>
      </c>
      <c r="E1125" s="0" t="n">
        <f aca="false">VLOOKUP(B1125,'Babblefish-APUMA'!$A$1:$B$86,2)</f>
        <v>97</v>
      </c>
      <c r="F1125" s="0" t="n">
        <f aca="false">IF(C1125&gt;1,IF(C1125&lt;99,VLOOKUP(C1125,'Babblefish-APUMA'!$A$1:$B$86,2),C1125),C1125)</f>
        <v>88</v>
      </c>
    </row>
    <row r="1126" customFormat="false" ht="12.75" hidden="false" customHeight="false" outlineLevel="0" collapsed="false">
      <c r="A1126" s="0" t="n">
        <f aca="false">B1126*1000+C1126</f>
        <v>23041</v>
      </c>
      <c r="B1126" s="0" t="n">
        <v>23</v>
      </c>
      <c r="C1126" s="0" t="n">
        <v>41</v>
      </c>
      <c r="D1126" s="0" t="n">
        <v>0</v>
      </c>
      <c r="E1126" s="0" t="n">
        <f aca="false">VLOOKUP(B1126,'Babblefish-APUMA'!$A$1:$B$86,2)</f>
        <v>97</v>
      </c>
      <c r="F1126" s="0" t="n">
        <f aca="false">IF(C1126&gt;1,IF(C1126&lt;99,VLOOKUP(C1126,'Babblefish-APUMA'!$A$1:$B$86,2),C1126),C1126)</f>
        <v>88</v>
      </c>
    </row>
    <row r="1127" customFormat="false" ht="12.75" hidden="false" customHeight="false" outlineLevel="0" collapsed="false">
      <c r="A1127" s="0" t="n">
        <f aca="false">B1127*1000+C1127</f>
        <v>23042</v>
      </c>
      <c r="B1127" s="0" t="n">
        <v>23</v>
      </c>
      <c r="C1127" s="0" t="n">
        <v>42</v>
      </c>
      <c r="D1127" s="0" t="n">
        <v>0</v>
      </c>
      <c r="E1127" s="0" t="n">
        <f aca="false">VLOOKUP(B1127,'Babblefish-APUMA'!$A$1:$B$86,2)</f>
        <v>97</v>
      </c>
      <c r="F1127" s="0" t="n">
        <f aca="false">IF(C1127&gt;1,IF(C1127&lt;99,VLOOKUP(C1127,'Babblefish-APUMA'!$A$1:$B$86,2),C1127),C1127)</f>
        <v>92</v>
      </c>
    </row>
    <row r="1128" customFormat="false" ht="12.75" hidden="false" customHeight="false" outlineLevel="0" collapsed="false">
      <c r="A1128" s="0" t="n">
        <f aca="false">B1128*1000+C1128</f>
        <v>23043</v>
      </c>
      <c r="B1128" s="0" t="n">
        <v>23</v>
      </c>
      <c r="C1128" s="0" t="n">
        <v>43</v>
      </c>
      <c r="D1128" s="0" t="n">
        <v>0</v>
      </c>
      <c r="E1128" s="0" t="n">
        <f aca="false">VLOOKUP(B1128,'Babblefish-APUMA'!$A$1:$B$86,2)</f>
        <v>97</v>
      </c>
      <c r="F1128" s="0" t="n">
        <f aca="false">IF(C1128&gt;1,IF(C1128&lt;99,VLOOKUP(C1128,'Babblefish-APUMA'!$A$1:$B$86,2),C1128),C1128)</f>
        <v>92</v>
      </c>
    </row>
    <row r="1129" customFormat="false" ht="12.75" hidden="false" customHeight="false" outlineLevel="0" collapsed="false">
      <c r="A1129" s="0" t="n">
        <f aca="false">B1129*1000+C1129</f>
        <v>23046</v>
      </c>
      <c r="B1129" s="0" t="n">
        <v>23</v>
      </c>
      <c r="C1129" s="0" t="n">
        <v>46</v>
      </c>
      <c r="D1129" s="0" t="n">
        <v>0</v>
      </c>
      <c r="E1129" s="0" t="n">
        <f aca="false">VLOOKUP(B1129,'Babblefish-APUMA'!$A$1:$B$86,2)</f>
        <v>97</v>
      </c>
      <c r="F1129" s="0" t="n">
        <f aca="false">IF(C1129&gt;1,IF(C1129&lt;99,VLOOKUP(C1129,'Babblefish-APUMA'!$A$1:$B$86,2),C1129),C1129)</f>
        <v>92</v>
      </c>
    </row>
    <row r="1130" customFormat="false" ht="12.75" hidden="false" customHeight="false" outlineLevel="0" collapsed="false">
      <c r="A1130" s="0" t="n">
        <f aca="false">B1130*1000+C1130</f>
        <v>23048</v>
      </c>
      <c r="B1130" s="0" t="n">
        <v>23</v>
      </c>
      <c r="C1130" s="0" t="n">
        <v>48</v>
      </c>
      <c r="D1130" s="0" t="n">
        <v>0</v>
      </c>
      <c r="E1130" s="0" t="n">
        <f aca="false">VLOOKUP(B1130,'Babblefish-APUMA'!$A$1:$B$86,2)</f>
        <v>97</v>
      </c>
      <c r="F1130" s="0" t="n">
        <f aca="false">IF(C1130&gt;1,IF(C1130&lt;99,VLOOKUP(C1130,'Babblefish-APUMA'!$A$1:$B$86,2),C1130),C1130)</f>
        <v>92</v>
      </c>
    </row>
    <row r="1131" customFormat="false" ht="12.75" hidden="false" customHeight="false" outlineLevel="0" collapsed="false">
      <c r="A1131" s="0" t="n">
        <f aca="false">B1131*1000+C1131</f>
        <v>23049</v>
      </c>
      <c r="B1131" s="0" t="n">
        <v>23</v>
      </c>
      <c r="C1131" s="0" t="n">
        <v>49</v>
      </c>
      <c r="D1131" s="0" t="n">
        <v>1508</v>
      </c>
      <c r="E1131" s="0" t="n">
        <f aca="false">VLOOKUP(B1131,'Babblefish-APUMA'!$A$1:$B$86,2)</f>
        <v>97</v>
      </c>
      <c r="F1131" s="0" t="n">
        <f aca="false">IF(C1131&gt;1,IF(C1131&lt;99,VLOOKUP(C1131,'Babblefish-APUMA'!$A$1:$B$86,2),C1131),C1131)</f>
        <v>98</v>
      </c>
    </row>
    <row r="1132" customFormat="false" ht="12.75" hidden="false" customHeight="false" outlineLevel="0" collapsed="false">
      <c r="A1132" s="0" t="n">
        <f aca="false">B1132*1000+C1132</f>
        <v>23050</v>
      </c>
      <c r="B1132" s="0" t="n">
        <v>23</v>
      </c>
      <c r="C1132" s="0" t="n">
        <v>50</v>
      </c>
      <c r="D1132" s="0" t="n">
        <v>1001</v>
      </c>
      <c r="E1132" s="0" t="n">
        <f aca="false">VLOOKUP(B1132,'Babblefish-APUMA'!$A$1:$B$86,2)</f>
        <v>97</v>
      </c>
      <c r="F1132" s="0" t="n">
        <f aca="false">IF(C1132&gt;1,IF(C1132&lt;99,VLOOKUP(C1132,'Babblefish-APUMA'!$A$1:$B$86,2),C1132),C1132)</f>
        <v>98</v>
      </c>
    </row>
    <row r="1133" customFormat="false" ht="12.75" hidden="false" customHeight="false" outlineLevel="0" collapsed="false">
      <c r="A1133" s="0" t="n">
        <f aca="false">B1133*1000+C1133</f>
        <v>23051</v>
      </c>
      <c r="B1133" s="0" t="n">
        <v>23</v>
      </c>
      <c r="C1133" s="0" t="n">
        <v>51</v>
      </c>
      <c r="D1133" s="0" t="n">
        <v>650</v>
      </c>
      <c r="E1133" s="0" t="n">
        <f aca="false">VLOOKUP(B1133,'Babblefish-APUMA'!$A$1:$B$86,2)</f>
        <v>97</v>
      </c>
      <c r="F1133" s="0" t="n">
        <f aca="false">IF(C1133&gt;1,IF(C1133&lt;99,VLOOKUP(C1133,'Babblefish-APUMA'!$A$1:$B$86,2),C1133),C1133)</f>
        <v>98</v>
      </c>
    </row>
    <row r="1134" customFormat="false" ht="12.75" hidden="false" customHeight="false" outlineLevel="0" collapsed="false">
      <c r="A1134" s="0" t="n">
        <f aca="false">B1134*1000+C1134</f>
        <v>23052</v>
      </c>
      <c r="B1134" s="0" t="n">
        <v>23</v>
      </c>
      <c r="C1134" s="0" t="n">
        <v>52</v>
      </c>
      <c r="D1134" s="0" t="n">
        <v>0</v>
      </c>
      <c r="E1134" s="0" t="n">
        <f aca="false">VLOOKUP(B1134,'Babblefish-APUMA'!$A$1:$B$86,2)</f>
        <v>97</v>
      </c>
      <c r="F1134" s="0" t="n">
        <f aca="false">IF(C1134&gt;1,IF(C1134&lt;99,VLOOKUP(C1134,'Babblefish-APUMA'!$A$1:$B$86,2),C1134),C1134)</f>
        <v>90</v>
      </c>
    </row>
    <row r="1135" customFormat="false" ht="12.75" hidden="false" customHeight="false" outlineLevel="0" collapsed="false">
      <c r="A1135" s="0" t="n">
        <f aca="false">B1135*1000+C1135</f>
        <v>23053</v>
      </c>
      <c r="B1135" s="0" t="n">
        <v>23</v>
      </c>
      <c r="C1135" s="0" t="n">
        <v>53</v>
      </c>
      <c r="D1135" s="0" t="n">
        <v>0</v>
      </c>
      <c r="E1135" s="0" t="n">
        <f aca="false">VLOOKUP(B1135,'Babblefish-APUMA'!$A$1:$B$86,2)</f>
        <v>97</v>
      </c>
      <c r="F1135" s="0" t="n">
        <f aca="false">IF(C1135&gt;1,IF(C1135&lt;99,VLOOKUP(C1135,'Babblefish-APUMA'!$A$1:$B$86,2),C1135),C1135)</f>
        <v>90</v>
      </c>
    </row>
    <row r="1136" customFormat="false" ht="12.75" hidden="false" customHeight="false" outlineLevel="0" collapsed="false">
      <c r="A1136" s="0" t="n">
        <f aca="false">B1136*1000+C1136</f>
        <v>23054</v>
      </c>
      <c r="B1136" s="0" t="n">
        <v>23</v>
      </c>
      <c r="C1136" s="0" t="n">
        <v>54</v>
      </c>
      <c r="D1136" s="0" t="n">
        <v>0</v>
      </c>
      <c r="E1136" s="0" t="n">
        <f aca="false">VLOOKUP(B1136,'Babblefish-APUMA'!$A$1:$B$86,2)</f>
        <v>97</v>
      </c>
      <c r="F1136" s="0" t="n">
        <f aca="false">IF(C1136&gt;1,IF(C1136&lt;99,VLOOKUP(C1136,'Babblefish-APUMA'!$A$1:$B$86,2),C1136),C1136)</f>
        <v>90</v>
      </c>
    </row>
    <row r="1137" customFormat="false" ht="12.75" hidden="false" customHeight="false" outlineLevel="0" collapsed="false">
      <c r="A1137" s="0" t="n">
        <f aca="false">B1137*1000+C1137</f>
        <v>23055</v>
      </c>
      <c r="B1137" s="0" t="n">
        <v>23</v>
      </c>
      <c r="C1137" s="0" t="n">
        <v>55</v>
      </c>
      <c r="D1137" s="0" t="n">
        <v>0</v>
      </c>
      <c r="E1137" s="0" t="n">
        <f aca="false">VLOOKUP(B1137,'Babblefish-APUMA'!$A$1:$B$86,2)</f>
        <v>97</v>
      </c>
      <c r="F1137" s="0" t="n">
        <f aca="false">IF(C1137&gt;1,IF(C1137&lt;99,VLOOKUP(C1137,'Babblefish-APUMA'!$A$1:$B$86,2),C1137),C1137)</f>
        <v>90</v>
      </c>
    </row>
    <row r="1138" customFormat="false" ht="12.75" hidden="false" customHeight="false" outlineLevel="0" collapsed="false">
      <c r="A1138" s="0" t="n">
        <f aca="false">B1138*1000+C1138</f>
        <v>23057</v>
      </c>
      <c r="B1138" s="0" t="n">
        <v>23</v>
      </c>
      <c r="C1138" s="0" t="n">
        <v>57</v>
      </c>
      <c r="D1138" s="0" t="n">
        <v>0</v>
      </c>
      <c r="E1138" s="0" t="n">
        <f aca="false">VLOOKUP(B1138,'Babblefish-APUMA'!$A$1:$B$86,2)</f>
        <v>97</v>
      </c>
      <c r="F1138" s="0" t="n">
        <f aca="false">IF(C1138&gt;1,IF(C1138&lt;99,VLOOKUP(C1138,'Babblefish-APUMA'!$A$1:$B$86,2),C1138),C1138)</f>
        <v>90</v>
      </c>
    </row>
    <row r="1139" customFormat="false" ht="12.75" hidden="false" customHeight="false" outlineLevel="0" collapsed="false">
      <c r="A1139" s="0" t="n">
        <f aca="false">B1139*1000+C1139</f>
        <v>23059</v>
      </c>
      <c r="B1139" s="0" t="n">
        <v>23</v>
      </c>
      <c r="C1139" s="0" t="n">
        <v>59</v>
      </c>
      <c r="D1139" s="0" t="n">
        <v>0</v>
      </c>
      <c r="E1139" s="0" t="n">
        <f aca="false">VLOOKUP(B1139,'Babblefish-APUMA'!$A$1:$B$86,2)</f>
        <v>97</v>
      </c>
      <c r="F1139" s="0" t="n">
        <f aca="false">IF(C1139&gt;1,IF(C1139&lt;99,VLOOKUP(C1139,'Babblefish-APUMA'!$A$1:$B$86,2),C1139),C1139)</f>
        <v>90</v>
      </c>
    </row>
    <row r="1140" customFormat="false" ht="12.75" hidden="false" customHeight="false" outlineLevel="0" collapsed="false">
      <c r="A1140" s="0" t="n">
        <f aca="false">B1140*1000+C1140</f>
        <v>23060</v>
      </c>
      <c r="B1140" s="0" t="n">
        <v>23</v>
      </c>
      <c r="C1140" s="0" t="n">
        <v>60</v>
      </c>
      <c r="D1140" s="0" t="n">
        <v>0</v>
      </c>
      <c r="E1140" s="0" t="n">
        <f aca="false">VLOOKUP(B1140,'Babblefish-APUMA'!$A$1:$B$86,2)</f>
        <v>97</v>
      </c>
      <c r="F1140" s="0" t="n">
        <f aca="false">IF(C1140&gt;1,IF(C1140&lt;99,VLOOKUP(C1140,'Babblefish-APUMA'!$A$1:$B$86,2),C1140),C1140)</f>
        <v>90</v>
      </c>
    </row>
    <row r="1141" customFormat="false" ht="12.75" hidden="false" customHeight="false" outlineLevel="0" collapsed="false">
      <c r="A1141" s="0" t="n">
        <f aca="false">B1141*1000+C1141</f>
        <v>23062</v>
      </c>
      <c r="B1141" s="0" t="n">
        <v>23</v>
      </c>
      <c r="C1141" s="0" t="n">
        <v>62</v>
      </c>
      <c r="D1141" s="0" t="n">
        <v>0</v>
      </c>
      <c r="E1141" s="0" t="n">
        <f aca="false">VLOOKUP(B1141,'Babblefish-APUMA'!$A$1:$B$86,2)</f>
        <v>97</v>
      </c>
      <c r="F1141" s="0" t="n">
        <f aca="false">IF(C1141&gt;1,IF(C1141&lt;99,VLOOKUP(C1141,'Babblefish-APUMA'!$A$1:$B$86,2),C1141),C1141)</f>
        <v>90</v>
      </c>
    </row>
    <row r="1142" customFormat="false" ht="12.75" hidden="false" customHeight="false" outlineLevel="0" collapsed="false">
      <c r="A1142" s="0" t="n">
        <f aca="false">B1142*1000+C1142</f>
        <v>23064</v>
      </c>
      <c r="B1142" s="0" t="n">
        <v>23</v>
      </c>
      <c r="C1142" s="0" t="n">
        <v>64</v>
      </c>
      <c r="D1142" s="0" t="n">
        <v>0</v>
      </c>
      <c r="E1142" s="0" t="n">
        <f aca="false">VLOOKUP(B1142,'Babblefish-APUMA'!$A$1:$B$86,2)</f>
        <v>97</v>
      </c>
      <c r="F1142" s="0" t="n">
        <f aca="false">IF(C1142&gt;1,IF(C1142&lt;99,VLOOKUP(C1142,'Babblefish-APUMA'!$A$1:$B$86,2),C1142),C1142)</f>
        <v>90</v>
      </c>
    </row>
    <row r="1143" customFormat="false" ht="12.75" hidden="false" customHeight="false" outlineLevel="0" collapsed="false">
      <c r="A1143" s="0" t="n">
        <f aca="false">B1143*1000+C1143</f>
        <v>23065</v>
      </c>
      <c r="B1143" s="0" t="n">
        <v>23</v>
      </c>
      <c r="C1143" s="0" t="n">
        <v>65</v>
      </c>
      <c r="D1143" s="0" t="n">
        <v>65</v>
      </c>
      <c r="E1143" s="0" t="n">
        <f aca="false">VLOOKUP(B1143,'Babblefish-APUMA'!$A$1:$B$86,2)</f>
        <v>97</v>
      </c>
      <c r="F1143" s="0" t="n">
        <f aca="false">IF(C1143&gt;1,IF(C1143&lt;99,VLOOKUP(C1143,'Babblefish-APUMA'!$A$1:$B$86,2),C1143),C1143)</f>
        <v>90</v>
      </c>
    </row>
    <row r="1144" customFormat="false" ht="12.75" hidden="false" customHeight="false" outlineLevel="0" collapsed="false">
      <c r="A1144" s="0" t="n">
        <f aca="false">B1144*1000+C1144</f>
        <v>23066</v>
      </c>
      <c r="B1144" s="0" t="n">
        <v>23</v>
      </c>
      <c r="C1144" s="0" t="n">
        <v>66</v>
      </c>
      <c r="D1144" s="0" t="n">
        <v>0</v>
      </c>
      <c r="E1144" s="0" t="n">
        <f aca="false">VLOOKUP(B1144,'Babblefish-APUMA'!$A$1:$B$86,2)</f>
        <v>97</v>
      </c>
      <c r="F1144" s="0" t="n">
        <f aca="false">IF(C1144&gt;1,IF(C1144&lt;99,VLOOKUP(C1144,'Babblefish-APUMA'!$A$1:$B$86,2),C1144),C1144)</f>
        <v>90</v>
      </c>
    </row>
    <row r="1145" customFormat="false" ht="12.75" hidden="false" customHeight="false" outlineLevel="0" collapsed="false">
      <c r="A1145" s="0" t="n">
        <f aca="false">B1145*1000+C1145</f>
        <v>23067</v>
      </c>
      <c r="B1145" s="0" t="n">
        <v>23</v>
      </c>
      <c r="C1145" s="0" t="n">
        <v>67</v>
      </c>
      <c r="D1145" s="0" t="n">
        <v>0</v>
      </c>
      <c r="E1145" s="0" t="n">
        <f aca="false">VLOOKUP(B1145,'Babblefish-APUMA'!$A$1:$B$86,2)</f>
        <v>97</v>
      </c>
      <c r="F1145" s="0" t="n">
        <f aca="false">IF(C1145&gt;1,IF(C1145&lt;99,VLOOKUP(C1145,'Babblefish-APUMA'!$A$1:$B$86,2),C1145),C1145)</f>
        <v>103</v>
      </c>
    </row>
    <row r="1146" customFormat="false" ht="12.75" hidden="false" customHeight="false" outlineLevel="0" collapsed="false">
      <c r="A1146" s="0" t="n">
        <f aca="false">B1146*1000+C1146</f>
        <v>23069</v>
      </c>
      <c r="B1146" s="0" t="n">
        <v>23</v>
      </c>
      <c r="C1146" s="0" t="n">
        <v>69</v>
      </c>
      <c r="D1146" s="0" t="n">
        <v>0</v>
      </c>
      <c r="E1146" s="0" t="n">
        <f aca="false">VLOOKUP(B1146,'Babblefish-APUMA'!$A$1:$B$86,2)</f>
        <v>97</v>
      </c>
      <c r="F1146" s="0" t="n">
        <f aca="false">IF(C1146&gt;1,IF(C1146&lt;99,VLOOKUP(C1146,'Babblefish-APUMA'!$A$1:$B$86,2),C1146),C1146)</f>
        <v>93</v>
      </c>
    </row>
    <row r="1147" customFormat="false" ht="12.75" hidden="false" customHeight="false" outlineLevel="0" collapsed="false">
      <c r="A1147" s="0" t="n">
        <f aca="false">B1147*1000+C1147</f>
        <v>23071</v>
      </c>
      <c r="B1147" s="0" t="n">
        <v>23</v>
      </c>
      <c r="C1147" s="0" t="n">
        <v>71</v>
      </c>
      <c r="D1147" s="0" t="n">
        <v>0</v>
      </c>
      <c r="E1147" s="0" t="n">
        <f aca="false">VLOOKUP(B1147,'Babblefish-APUMA'!$A$1:$B$86,2)</f>
        <v>97</v>
      </c>
      <c r="F1147" s="0" t="n">
        <f aca="false">IF(C1147&gt;1,IF(C1147&lt;99,VLOOKUP(C1147,'Babblefish-APUMA'!$A$1:$B$86,2),C1147),C1147)</f>
        <v>95</v>
      </c>
    </row>
    <row r="1148" customFormat="false" ht="12.75" hidden="false" customHeight="false" outlineLevel="0" collapsed="false">
      <c r="A1148" s="0" t="n">
        <f aca="false">B1148*1000+C1148</f>
        <v>23072</v>
      </c>
      <c r="B1148" s="0" t="n">
        <v>23</v>
      </c>
      <c r="C1148" s="0" t="n">
        <v>72</v>
      </c>
      <c r="D1148" s="0" t="n">
        <v>0</v>
      </c>
      <c r="E1148" s="0" t="n">
        <f aca="false">VLOOKUP(B1148,'Babblefish-APUMA'!$A$1:$B$86,2)</f>
        <v>97</v>
      </c>
      <c r="F1148" s="0" t="n">
        <f aca="false">IF(C1148&gt;1,IF(C1148&lt;99,VLOOKUP(C1148,'Babblefish-APUMA'!$A$1:$B$86,2),C1148),C1148)</f>
        <v>95</v>
      </c>
    </row>
    <row r="1149" customFormat="false" ht="12.75" hidden="false" customHeight="false" outlineLevel="0" collapsed="false">
      <c r="A1149" s="0" t="n">
        <f aca="false">B1149*1000+C1149</f>
        <v>23073</v>
      </c>
      <c r="B1149" s="0" t="n">
        <v>23</v>
      </c>
      <c r="C1149" s="0" t="n">
        <v>73</v>
      </c>
      <c r="D1149" s="0" t="n">
        <v>0</v>
      </c>
      <c r="E1149" s="0" t="n">
        <f aca="false">VLOOKUP(B1149,'Babblefish-APUMA'!$A$1:$B$86,2)</f>
        <v>97</v>
      </c>
      <c r="F1149" s="0" t="n">
        <f aca="false">IF(C1149&gt;1,IF(C1149&lt;99,VLOOKUP(C1149,'Babblefish-APUMA'!$A$1:$B$86,2),C1149),C1149)</f>
        <v>99</v>
      </c>
    </row>
    <row r="1150" customFormat="false" ht="12.75" hidden="false" customHeight="false" outlineLevel="0" collapsed="false">
      <c r="A1150" s="0" t="n">
        <f aca="false">B1150*1000+C1150</f>
        <v>23075</v>
      </c>
      <c r="B1150" s="0" t="n">
        <v>23</v>
      </c>
      <c r="C1150" s="0" t="n">
        <v>75</v>
      </c>
      <c r="D1150" s="0" t="n">
        <v>0</v>
      </c>
      <c r="E1150" s="0" t="n">
        <f aca="false">VLOOKUP(B1150,'Babblefish-APUMA'!$A$1:$B$86,2)</f>
        <v>97</v>
      </c>
      <c r="F1150" s="0" t="n">
        <f aca="false">IF(C1150&gt;1,IF(C1150&lt;99,VLOOKUP(C1150,'Babblefish-APUMA'!$A$1:$B$86,2),C1150),C1150)</f>
        <v>75</v>
      </c>
    </row>
    <row r="1151" customFormat="false" ht="12.75" hidden="false" customHeight="false" outlineLevel="0" collapsed="false">
      <c r="A1151" s="0" t="n">
        <f aca="false">B1151*1000+C1151</f>
        <v>23076</v>
      </c>
      <c r="B1151" s="0" t="n">
        <v>23</v>
      </c>
      <c r="C1151" s="0" t="n">
        <v>76</v>
      </c>
      <c r="D1151" s="0" t="n">
        <v>0</v>
      </c>
      <c r="E1151" s="0" t="n">
        <f aca="false">VLOOKUP(B1151,'Babblefish-APUMA'!$A$1:$B$86,2)</f>
        <v>97</v>
      </c>
      <c r="F1151" s="0" t="n">
        <f aca="false">IF(C1151&gt;1,IF(C1151&lt;99,VLOOKUP(C1151,'Babblefish-APUMA'!$A$1:$B$86,2),C1151),C1151)</f>
        <v>76</v>
      </c>
    </row>
    <row r="1152" customFormat="false" ht="12.75" hidden="false" customHeight="false" outlineLevel="0" collapsed="false">
      <c r="A1152" s="0" t="n">
        <f aca="false">B1152*1000+C1152</f>
        <v>23079</v>
      </c>
      <c r="B1152" s="0" t="n">
        <v>23</v>
      </c>
      <c r="C1152" s="0" t="n">
        <v>79</v>
      </c>
      <c r="D1152" s="0" t="n">
        <v>0</v>
      </c>
      <c r="E1152" s="0" t="n">
        <f aca="false">VLOOKUP(B1152,'Babblefish-APUMA'!$A$1:$B$86,2)</f>
        <v>97</v>
      </c>
      <c r="F1152" s="0" t="n">
        <f aca="false">IF(C1152&gt;1,IF(C1152&lt;99,VLOOKUP(C1152,'Babblefish-APUMA'!$A$1:$B$86,2),C1152),C1152)</f>
        <v>89</v>
      </c>
    </row>
    <row r="1153" customFormat="false" ht="12.75" hidden="false" customHeight="false" outlineLevel="0" collapsed="false">
      <c r="A1153" s="0" t="n">
        <f aca="false">B1153*1000+C1153</f>
        <v>23080</v>
      </c>
      <c r="B1153" s="0" t="n">
        <v>23</v>
      </c>
      <c r="C1153" s="0" t="n">
        <v>80</v>
      </c>
      <c r="D1153" s="0" t="n">
        <v>0</v>
      </c>
      <c r="E1153" s="0" t="n">
        <f aca="false">VLOOKUP(B1153,'Babblefish-APUMA'!$A$1:$B$86,2)</f>
        <v>97</v>
      </c>
      <c r="F1153" s="0" t="n">
        <f aca="false">IF(C1153&gt;1,IF(C1153&lt;99,VLOOKUP(C1153,'Babblefish-APUMA'!$A$1:$B$86,2),C1153),C1153)</f>
        <v>80</v>
      </c>
    </row>
    <row r="1154" customFormat="false" ht="12.75" hidden="false" customHeight="false" outlineLevel="0" collapsed="false">
      <c r="A1154" s="0" t="n">
        <f aca="false">B1154*1000+C1154</f>
        <v>23082</v>
      </c>
      <c r="B1154" s="0" t="n">
        <v>23</v>
      </c>
      <c r="C1154" s="0" t="n">
        <v>82</v>
      </c>
      <c r="D1154" s="0" t="n">
        <v>0</v>
      </c>
      <c r="E1154" s="0" t="n">
        <f aca="false">VLOOKUP(B1154,'Babblefish-APUMA'!$A$1:$B$86,2)</f>
        <v>97</v>
      </c>
      <c r="F1154" s="0" t="n">
        <f aca="false">IF(C1154&gt;1,IF(C1154&lt;99,VLOOKUP(C1154,'Babblefish-APUMA'!$A$1:$B$86,2),C1154),C1154)</f>
        <v>95</v>
      </c>
    </row>
    <row r="1155" customFormat="false" ht="12.75" hidden="false" customHeight="false" outlineLevel="0" collapsed="false">
      <c r="A1155" s="0" t="n">
        <f aca="false">B1155*1000+C1155</f>
        <v>23085</v>
      </c>
      <c r="B1155" s="0" t="n">
        <v>23</v>
      </c>
      <c r="C1155" s="0" t="n">
        <v>85</v>
      </c>
      <c r="D1155" s="0" t="n">
        <v>25623</v>
      </c>
      <c r="E1155" s="0" t="n">
        <f aca="false">VLOOKUP(B1155,'Babblefish-APUMA'!$A$1:$B$86,2)</f>
        <v>97</v>
      </c>
      <c r="F1155" s="0" t="n">
        <f aca="false">IF(C1155&gt;1,IF(C1155&lt;99,VLOOKUP(C1155,'Babblefish-APUMA'!$A$1:$B$86,2),C1155),C1155)</f>
        <v>97</v>
      </c>
    </row>
    <row r="1156" customFormat="false" ht="12.75" hidden="false" customHeight="false" outlineLevel="0" collapsed="false">
      <c r="A1156" s="0" t="n">
        <f aca="false">B1156*1000+C1156</f>
        <v>23858</v>
      </c>
      <c r="B1156" s="0" t="n">
        <v>23</v>
      </c>
      <c r="C1156" s="0" t="n">
        <v>858</v>
      </c>
      <c r="D1156" s="0" t="n">
        <v>0</v>
      </c>
      <c r="E1156" s="0" t="n">
        <f aca="false">VLOOKUP(B1156,'Babblefish-APUMA'!$A$1:$B$86,2)</f>
        <v>97</v>
      </c>
      <c r="F1156" s="0" t="n">
        <f aca="false">IF(C1156&gt;1,IF(C1156&lt;99,VLOOKUP(C1156,'Babblefish-APUMA'!$A$1:$B$86,2),C1156),C1156)</f>
        <v>858</v>
      </c>
    </row>
    <row r="1157" customFormat="false" ht="12.75" hidden="false" customHeight="false" outlineLevel="0" collapsed="false">
      <c r="A1157" s="0" t="n">
        <f aca="false">B1157*1000+C1157</f>
        <v>23999</v>
      </c>
      <c r="B1157" s="0" t="n">
        <v>23</v>
      </c>
      <c r="C1157" s="0" t="n">
        <v>999</v>
      </c>
      <c r="D1157" s="0" t="n">
        <v>117</v>
      </c>
      <c r="E1157" s="0" t="n">
        <f aca="false">VLOOKUP(B1157,'Babblefish-APUMA'!$A$1:$B$86,2)</f>
        <v>97</v>
      </c>
      <c r="F1157" s="0" t="n">
        <f aca="false">IF(C1157&gt;1,IF(C1157&lt;99,VLOOKUP(C1157,'Babblefish-APUMA'!$A$1:$B$86,2),C1157),C1157)</f>
        <v>999</v>
      </c>
    </row>
    <row r="1158" customFormat="false" ht="12.75" hidden="false" customHeight="false" outlineLevel="0" collapsed="false">
      <c r="A1158" s="0" t="n">
        <f aca="false">B1158*1000+C1158</f>
        <v>24000</v>
      </c>
      <c r="B1158" s="0" t="n">
        <v>24</v>
      </c>
      <c r="C1158" s="0" t="n">
        <v>0</v>
      </c>
      <c r="D1158" s="0" t="n">
        <v>94055</v>
      </c>
      <c r="E1158" s="0" t="n">
        <f aca="false">VLOOKUP(B1158,'Babblefish-APUMA'!$A$1:$B$86,2)</f>
        <v>101</v>
      </c>
      <c r="F1158" s="0" t="n">
        <f aca="false">IF(C1158&gt;1,IF(C1158&lt;99,VLOOKUP(C1158,'Babblefish-APUMA'!$A$1:$B$86,2),C1158),C1158)</f>
        <v>0</v>
      </c>
    </row>
    <row r="1159" customFormat="false" ht="12.75" hidden="false" customHeight="false" outlineLevel="0" collapsed="false">
      <c r="A1159" s="0" t="n">
        <f aca="false">B1159*1000+C1159</f>
        <v>24001</v>
      </c>
      <c r="B1159" s="0" t="n">
        <v>24</v>
      </c>
      <c r="C1159" s="0" t="n">
        <v>1</v>
      </c>
      <c r="D1159" s="0" t="n">
        <v>130</v>
      </c>
      <c r="E1159" s="0" t="n">
        <f aca="false">VLOOKUP(B1159,'Babblefish-APUMA'!$A$1:$B$86,2)</f>
        <v>101</v>
      </c>
      <c r="F1159" s="0" t="n">
        <f aca="false">IF(C1159&gt;1,IF(C1159&lt;99,VLOOKUP(C1159,'Babblefish-APUMA'!$A$1:$B$86,2),C1159),C1159)</f>
        <v>1</v>
      </c>
    </row>
    <row r="1160" customFormat="false" ht="12.75" hidden="false" customHeight="false" outlineLevel="0" collapsed="false">
      <c r="A1160" s="0" t="n">
        <f aca="false">B1160*1000+C1160</f>
        <v>24002</v>
      </c>
      <c r="B1160" s="0" t="n">
        <v>24</v>
      </c>
      <c r="C1160" s="0" t="n">
        <v>2</v>
      </c>
      <c r="D1160" s="0" t="n">
        <v>0</v>
      </c>
      <c r="E1160" s="0" t="n">
        <f aca="false">VLOOKUP(B1160,'Babblefish-APUMA'!$A$1:$B$86,2)</f>
        <v>101</v>
      </c>
      <c r="F1160" s="0" t="n">
        <f aca="false">IF(C1160&gt;1,IF(C1160&lt;99,VLOOKUP(C1160,'Babblefish-APUMA'!$A$1:$B$86,2),C1160),C1160)</f>
        <v>2</v>
      </c>
    </row>
    <row r="1161" customFormat="false" ht="12.75" hidden="false" customHeight="false" outlineLevel="0" collapsed="false">
      <c r="A1161" s="0" t="n">
        <f aca="false">B1161*1000+C1161</f>
        <v>24003</v>
      </c>
      <c r="B1161" s="0" t="n">
        <v>24</v>
      </c>
      <c r="C1161" s="0" t="n">
        <v>3</v>
      </c>
      <c r="D1161" s="0" t="n">
        <v>0</v>
      </c>
      <c r="E1161" s="0" t="n">
        <f aca="false">VLOOKUP(B1161,'Babblefish-APUMA'!$A$1:$B$86,2)</f>
        <v>101</v>
      </c>
      <c r="F1161" s="0" t="n">
        <f aca="false">IF(C1161&gt;1,IF(C1161&lt;99,VLOOKUP(C1161,'Babblefish-APUMA'!$A$1:$B$86,2),C1161),C1161)</f>
        <v>3</v>
      </c>
    </row>
    <row r="1162" customFormat="false" ht="12.75" hidden="false" customHeight="false" outlineLevel="0" collapsed="false">
      <c r="A1162" s="0" t="n">
        <f aca="false">B1162*1000+C1162</f>
        <v>24004</v>
      </c>
      <c r="B1162" s="0" t="n">
        <v>24</v>
      </c>
      <c r="C1162" s="0" t="n">
        <v>4</v>
      </c>
      <c r="D1162" s="0" t="n">
        <v>0</v>
      </c>
      <c r="E1162" s="0" t="n">
        <f aca="false">VLOOKUP(B1162,'Babblefish-APUMA'!$A$1:$B$86,2)</f>
        <v>101</v>
      </c>
      <c r="F1162" s="0" t="n">
        <f aca="false">IF(C1162&gt;1,IF(C1162&lt;99,VLOOKUP(C1162,'Babblefish-APUMA'!$A$1:$B$86,2),C1162),C1162)</f>
        <v>4</v>
      </c>
    </row>
    <row r="1163" customFormat="false" ht="12.75" hidden="false" customHeight="false" outlineLevel="0" collapsed="false">
      <c r="A1163" s="0" t="n">
        <f aca="false">B1163*1000+C1163</f>
        <v>24005</v>
      </c>
      <c r="B1163" s="0" t="n">
        <v>24</v>
      </c>
      <c r="C1163" s="0" t="n">
        <v>5</v>
      </c>
      <c r="D1163" s="0" t="n">
        <v>0</v>
      </c>
      <c r="E1163" s="0" t="n">
        <f aca="false">VLOOKUP(B1163,'Babblefish-APUMA'!$A$1:$B$86,2)</f>
        <v>101</v>
      </c>
      <c r="F1163" s="0" t="n">
        <f aca="false">IF(C1163&gt;1,IF(C1163&lt;99,VLOOKUP(C1163,'Babblefish-APUMA'!$A$1:$B$86,2),C1163),C1163)</f>
        <v>5</v>
      </c>
    </row>
    <row r="1164" customFormat="false" ht="12.75" hidden="false" customHeight="false" outlineLevel="0" collapsed="false">
      <c r="A1164" s="0" t="n">
        <f aca="false">B1164*1000+C1164</f>
        <v>24006</v>
      </c>
      <c r="B1164" s="0" t="n">
        <v>24</v>
      </c>
      <c r="C1164" s="0" t="n">
        <v>6</v>
      </c>
      <c r="D1164" s="0" t="n">
        <v>0</v>
      </c>
      <c r="E1164" s="0" t="n">
        <f aca="false">VLOOKUP(B1164,'Babblefish-APUMA'!$A$1:$B$86,2)</f>
        <v>101</v>
      </c>
      <c r="F1164" s="0" t="n">
        <f aca="false">IF(C1164&gt;1,IF(C1164&lt;99,VLOOKUP(C1164,'Babblefish-APUMA'!$A$1:$B$86,2),C1164),C1164)</f>
        <v>6</v>
      </c>
    </row>
    <row r="1165" customFormat="false" ht="12.75" hidden="false" customHeight="false" outlineLevel="0" collapsed="false">
      <c r="A1165" s="0" t="n">
        <f aca="false">B1165*1000+C1165</f>
        <v>24007</v>
      </c>
      <c r="B1165" s="0" t="n">
        <v>24</v>
      </c>
      <c r="C1165" s="0" t="n">
        <v>7</v>
      </c>
      <c r="D1165" s="0" t="n">
        <v>0</v>
      </c>
      <c r="E1165" s="0" t="n">
        <f aca="false">VLOOKUP(B1165,'Babblefish-APUMA'!$A$1:$B$86,2)</f>
        <v>101</v>
      </c>
      <c r="F1165" s="0" t="n">
        <f aca="false">IF(C1165&gt;1,IF(C1165&lt;99,VLOOKUP(C1165,'Babblefish-APUMA'!$A$1:$B$86,2),C1165),C1165)</f>
        <v>7</v>
      </c>
    </row>
    <row r="1166" customFormat="false" ht="12.75" hidden="false" customHeight="false" outlineLevel="0" collapsed="false">
      <c r="A1166" s="0" t="n">
        <f aca="false">B1166*1000+C1166</f>
        <v>24008</v>
      </c>
      <c r="B1166" s="0" t="n">
        <v>24</v>
      </c>
      <c r="C1166" s="0" t="n">
        <v>8</v>
      </c>
      <c r="D1166" s="0" t="n">
        <v>0</v>
      </c>
      <c r="E1166" s="0" t="n">
        <f aca="false">VLOOKUP(B1166,'Babblefish-APUMA'!$A$1:$B$86,2)</f>
        <v>101</v>
      </c>
      <c r="F1166" s="0" t="n">
        <f aca="false">IF(C1166&gt;1,IF(C1166&lt;99,VLOOKUP(C1166,'Babblefish-APUMA'!$A$1:$B$86,2),C1166),C1166)</f>
        <v>8</v>
      </c>
    </row>
    <row r="1167" customFormat="false" ht="12.75" hidden="false" customHeight="false" outlineLevel="0" collapsed="false">
      <c r="A1167" s="0" t="n">
        <f aca="false">B1167*1000+C1167</f>
        <v>24009</v>
      </c>
      <c r="B1167" s="0" t="n">
        <v>24</v>
      </c>
      <c r="C1167" s="0" t="n">
        <v>9</v>
      </c>
      <c r="D1167" s="0" t="n">
        <v>0</v>
      </c>
      <c r="E1167" s="0" t="n">
        <f aca="false">VLOOKUP(B1167,'Babblefish-APUMA'!$A$1:$B$86,2)</f>
        <v>101</v>
      </c>
      <c r="F1167" s="0" t="n">
        <f aca="false">IF(C1167&gt;1,IF(C1167&lt;99,VLOOKUP(C1167,'Babblefish-APUMA'!$A$1:$B$86,2),C1167),C1167)</f>
        <v>9</v>
      </c>
    </row>
    <row r="1168" customFormat="false" ht="12.75" hidden="false" customHeight="false" outlineLevel="0" collapsed="false">
      <c r="A1168" s="0" t="n">
        <f aca="false">B1168*1000+C1168</f>
        <v>24010</v>
      </c>
      <c r="B1168" s="0" t="n">
        <v>24</v>
      </c>
      <c r="C1168" s="0" t="n">
        <v>10</v>
      </c>
      <c r="D1168" s="0" t="n">
        <v>0</v>
      </c>
      <c r="E1168" s="0" t="n">
        <f aca="false">VLOOKUP(B1168,'Babblefish-APUMA'!$A$1:$B$86,2)</f>
        <v>101</v>
      </c>
      <c r="F1168" s="0" t="n">
        <f aca="false">IF(C1168&gt;1,IF(C1168&lt;99,VLOOKUP(C1168,'Babblefish-APUMA'!$A$1:$B$86,2),C1168),C1168)</f>
        <v>10</v>
      </c>
    </row>
    <row r="1169" customFormat="false" ht="12.75" hidden="false" customHeight="false" outlineLevel="0" collapsed="false">
      <c r="A1169" s="0" t="n">
        <f aca="false">B1169*1000+C1169</f>
        <v>24011</v>
      </c>
      <c r="B1169" s="0" t="n">
        <v>24</v>
      </c>
      <c r="C1169" s="0" t="n">
        <v>11</v>
      </c>
      <c r="D1169" s="0" t="n">
        <v>0</v>
      </c>
      <c r="E1169" s="0" t="n">
        <f aca="false">VLOOKUP(B1169,'Babblefish-APUMA'!$A$1:$B$86,2)</f>
        <v>101</v>
      </c>
      <c r="F1169" s="0" t="n">
        <f aca="false">IF(C1169&gt;1,IF(C1169&lt;99,VLOOKUP(C1169,'Babblefish-APUMA'!$A$1:$B$86,2),C1169),C1169)</f>
        <v>11</v>
      </c>
    </row>
    <row r="1170" customFormat="false" ht="12.75" hidden="false" customHeight="false" outlineLevel="0" collapsed="false">
      <c r="A1170" s="0" t="n">
        <f aca="false">B1170*1000+C1170</f>
        <v>24012</v>
      </c>
      <c r="B1170" s="0" t="n">
        <v>24</v>
      </c>
      <c r="C1170" s="0" t="n">
        <v>12</v>
      </c>
      <c r="D1170" s="0" t="n">
        <v>0</v>
      </c>
      <c r="E1170" s="0" t="n">
        <f aca="false">VLOOKUP(B1170,'Babblefish-APUMA'!$A$1:$B$86,2)</f>
        <v>101</v>
      </c>
      <c r="F1170" s="0" t="n">
        <f aca="false">IF(C1170&gt;1,IF(C1170&lt;99,VLOOKUP(C1170,'Babblefish-APUMA'!$A$1:$B$86,2),C1170),C1170)</f>
        <v>12</v>
      </c>
    </row>
    <row r="1171" customFormat="false" ht="12.75" hidden="false" customHeight="false" outlineLevel="0" collapsed="false">
      <c r="A1171" s="0" t="n">
        <f aca="false">B1171*1000+C1171</f>
        <v>24013</v>
      </c>
      <c r="B1171" s="0" t="n">
        <v>24</v>
      </c>
      <c r="C1171" s="0" t="n">
        <v>13</v>
      </c>
      <c r="D1171" s="0" t="n">
        <v>0</v>
      </c>
      <c r="E1171" s="0" t="n">
        <f aca="false">VLOOKUP(B1171,'Babblefish-APUMA'!$A$1:$B$86,2)</f>
        <v>101</v>
      </c>
      <c r="F1171" s="0" t="n">
        <f aca="false">IF(C1171&gt;1,IF(C1171&lt;99,VLOOKUP(C1171,'Babblefish-APUMA'!$A$1:$B$86,2),C1171),C1171)</f>
        <v>100</v>
      </c>
    </row>
    <row r="1172" customFormat="false" ht="12.75" hidden="false" customHeight="false" outlineLevel="0" collapsed="false">
      <c r="A1172" s="0" t="n">
        <f aca="false">B1172*1000+C1172</f>
        <v>24014</v>
      </c>
      <c r="B1172" s="0" t="n">
        <v>24</v>
      </c>
      <c r="C1172" s="0" t="n">
        <v>14</v>
      </c>
      <c r="D1172" s="0" t="n">
        <v>0</v>
      </c>
      <c r="E1172" s="0" t="n">
        <f aca="false">VLOOKUP(B1172,'Babblefish-APUMA'!$A$1:$B$86,2)</f>
        <v>101</v>
      </c>
      <c r="F1172" s="0" t="n">
        <f aca="false">IF(C1172&gt;1,IF(C1172&lt;99,VLOOKUP(C1172,'Babblefish-APUMA'!$A$1:$B$86,2),C1172),C1172)</f>
        <v>100</v>
      </c>
    </row>
    <row r="1173" customFormat="false" ht="12.75" hidden="false" customHeight="false" outlineLevel="0" collapsed="false">
      <c r="A1173" s="0" t="n">
        <f aca="false">B1173*1000+C1173</f>
        <v>24015</v>
      </c>
      <c r="B1173" s="0" t="n">
        <v>24</v>
      </c>
      <c r="C1173" s="0" t="n">
        <v>15</v>
      </c>
      <c r="D1173" s="0" t="n">
        <v>0</v>
      </c>
      <c r="E1173" s="0" t="n">
        <f aca="false">VLOOKUP(B1173,'Babblefish-APUMA'!$A$1:$B$86,2)</f>
        <v>101</v>
      </c>
      <c r="F1173" s="0" t="n">
        <f aca="false">IF(C1173&gt;1,IF(C1173&lt;99,VLOOKUP(C1173,'Babblefish-APUMA'!$A$1:$B$86,2),C1173),C1173)</f>
        <v>15</v>
      </c>
    </row>
    <row r="1174" customFormat="false" ht="12.75" hidden="false" customHeight="false" outlineLevel="0" collapsed="false">
      <c r="A1174" s="0" t="n">
        <f aca="false">B1174*1000+C1174</f>
        <v>24016</v>
      </c>
      <c r="B1174" s="0" t="n">
        <v>24</v>
      </c>
      <c r="C1174" s="0" t="n">
        <v>16</v>
      </c>
      <c r="D1174" s="0" t="n">
        <v>208</v>
      </c>
      <c r="E1174" s="0" t="n">
        <f aca="false">VLOOKUP(B1174,'Babblefish-APUMA'!$A$1:$B$86,2)</f>
        <v>101</v>
      </c>
      <c r="F1174" s="0" t="n">
        <f aca="false">IF(C1174&gt;1,IF(C1174&lt;99,VLOOKUP(C1174,'Babblefish-APUMA'!$A$1:$B$86,2),C1174),C1174)</f>
        <v>99</v>
      </c>
    </row>
    <row r="1175" customFormat="false" ht="12.75" hidden="false" customHeight="false" outlineLevel="0" collapsed="false">
      <c r="A1175" s="0" t="n">
        <f aca="false">B1175*1000+C1175</f>
        <v>24017</v>
      </c>
      <c r="B1175" s="0" t="n">
        <v>24</v>
      </c>
      <c r="C1175" s="0" t="n">
        <v>17</v>
      </c>
      <c r="D1175" s="0" t="n">
        <v>0</v>
      </c>
      <c r="E1175" s="0" t="n">
        <f aca="false">VLOOKUP(B1175,'Babblefish-APUMA'!$A$1:$B$86,2)</f>
        <v>101</v>
      </c>
      <c r="F1175" s="0" t="n">
        <f aca="false">IF(C1175&gt;1,IF(C1175&lt;99,VLOOKUP(C1175,'Babblefish-APUMA'!$A$1:$B$86,2),C1175),C1175)</f>
        <v>87</v>
      </c>
    </row>
    <row r="1176" customFormat="false" ht="12.75" hidden="false" customHeight="false" outlineLevel="0" collapsed="false">
      <c r="A1176" s="0" t="n">
        <f aca="false">B1176*1000+C1176</f>
        <v>24018</v>
      </c>
      <c r="B1176" s="0" t="n">
        <v>24</v>
      </c>
      <c r="C1176" s="0" t="n">
        <v>18</v>
      </c>
      <c r="D1176" s="0" t="n">
        <v>312</v>
      </c>
      <c r="E1176" s="0" t="n">
        <f aca="false">VLOOKUP(B1176,'Babblefish-APUMA'!$A$1:$B$86,2)</f>
        <v>101</v>
      </c>
      <c r="F1176" s="0" t="n">
        <f aca="false">IF(C1176&gt;1,IF(C1176&lt;99,VLOOKUP(C1176,'Babblefish-APUMA'!$A$1:$B$86,2),C1176),C1176)</f>
        <v>87</v>
      </c>
    </row>
    <row r="1177" customFormat="false" ht="12.75" hidden="false" customHeight="false" outlineLevel="0" collapsed="false">
      <c r="A1177" s="0" t="n">
        <f aca="false">B1177*1000+C1177</f>
        <v>24019</v>
      </c>
      <c r="B1177" s="0" t="n">
        <v>24</v>
      </c>
      <c r="C1177" s="0" t="n">
        <v>19</v>
      </c>
      <c r="D1177" s="0" t="n">
        <v>91</v>
      </c>
      <c r="E1177" s="0" t="n">
        <f aca="false">VLOOKUP(B1177,'Babblefish-APUMA'!$A$1:$B$86,2)</f>
        <v>101</v>
      </c>
      <c r="F1177" s="0" t="n">
        <f aca="false">IF(C1177&gt;1,IF(C1177&lt;99,VLOOKUP(C1177,'Babblefish-APUMA'!$A$1:$B$86,2),C1177),C1177)</f>
        <v>19</v>
      </c>
    </row>
    <row r="1178" customFormat="false" ht="12.75" hidden="false" customHeight="false" outlineLevel="0" collapsed="false">
      <c r="A1178" s="0" t="n">
        <f aca="false">B1178*1000+C1178</f>
        <v>24020</v>
      </c>
      <c r="B1178" s="0" t="n">
        <v>24</v>
      </c>
      <c r="C1178" s="0" t="n">
        <v>20</v>
      </c>
      <c r="D1178" s="0" t="n">
        <v>234</v>
      </c>
      <c r="E1178" s="0" t="n">
        <f aca="false">VLOOKUP(B1178,'Babblefish-APUMA'!$A$1:$B$86,2)</f>
        <v>101</v>
      </c>
      <c r="F1178" s="0" t="n">
        <f aca="false">IF(C1178&gt;1,IF(C1178&lt;99,VLOOKUP(C1178,'Babblefish-APUMA'!$A$1:$B$86,2),C1178),C1178)</f>
        <v>86</v>
      </c>
    </row>
    <row r="1179" customFormat="false" ht="12.75" hidden="false" customHeight="false" outlineLevel="0" collapsed="false">
      <c r="A1179" s="0" t="n">
        <f aca="false">B1179*1000+C1179</f>
        <v>24021</v>
      </c>
      <c r="B1179" s="0" t="n">
        <v>24</v>
      </c>
      <c r="C1179" s="0" t="n">
        <v>21</v>
      </c>
      <c r="D1179" s="0" t="n">
        <v>2990</v>
      </c>
      <c r="E1179" s="0" t="n">
        <f aca="false">VLOOKUP(B1179,'Babblefish-APUMA'!$A$1:$B$86,2)</f>
        <v>101</v>
      </c>
      <c r="F1179" s="0" t="n">
        <f aca="false">IF(C1179&gt;1,IF(C1179&lt;99,VLOOKUP(C1179,'Babblefish-APUMA'!$A$1:$B$86,2),C1179),C1179)</f>
        <v>86</v>
      </c>
    </row>
    <row r="1180" customFormat="false" ht="12.75" hidden="false" customHeight="false" outlineLevel="0" collapsed="false">
      <c r="A1180" s="0" t="n">
        <f aca="false">B1180*1000+C1180</f>
        <v>24022</v>
      </c>
      <c r="B1180" s="0" t="n">
        <v>24</v>
      </c>
      <c r="C1180" s="0" t="n">
        <v>22</v>
      </c>
      <c r="D1180" s="0" t="n">
        <v>143</v>
      </c>
      <c r="E1180" s="0" t="n">
        <f aca="false">VLOOKUP(B1180,'Babblefish-APUMA'!$A$1:$B$86,2)</f>
        <v>101</v>
      </c>
      <c r="F1180" s="0" t="n">
        <f aca="false">IF(C1180&gt;1,IF(C1180&lt;99,VLOOKUP(C1180,'Babblefish-APUMA'!$A$1:$B$86,2),C1180),C1180)</f>
        <v>22</v>
      </c>
    </row>
    <row r="1181" customFormat="false" ht="12.75" hidden="false" customHeight="false" outlineLevel="0" collapsed="false">
      <c r="A1181" s="0" t="n">
        <f aca="false">B1181*1000+C1181</f>
        <v>24023</v>
      </c>
      <c r="B1181" s="0" t="n">
        <v>24</v>
      </c>
      <c r="C1181" s="0" t="n">
        <v>23</v>
      </c>
      <c r="D1181" s="0" t="n">
        <v>3510</v>
      </c>
      <c r="E1181" s="0" t="n">
        <f aca="false">VLOOKUP(B1181,'Babblefish-APUMA'!$A$1:$B$86,2)</f>
        <v>101</v>
      </c>
      <c r="F1181" s="0" t="n">
        <f aca="false">IF(C1181&gt;1,IF(C1181&lt;99,VLOOKUP(C1181,'Babblefish-APUMA'!$A$1:$B$86,2),C1181),C1181)</f>
        <v>97</v>
      </c>
    </row>
    <row r="1182" customFormat="false" ht="12.75" hidden="false" customHeight="false" outlineLevel="0" collapsed="false">
      <c r="A1182" s="0" t="n">
        <f aca="false">B1182*1000+C1182</f>
        <v>24024</v>
      </c>
      <c r="B1182" s="0" t="n">
        <v>24</v>
      </c>
      <c r="C1182" s="0" t="n">
        <v>24</v>
      </c>
      <c r="D1182" s="0" t="n">
        <v>37934</v>
      </c>
      <c r="E1182" s="0" t="n">
        <f aca="false">VLOOKUP(B1182,'Babblefish-APUMA'!$A$1:$B$86,2)</f>
        <v>101</v>
      </c>
      <c r="F1182" s="0" t="n">
        <f aca="false">IF(C1182&gt;1,IF(C1182&lt;99,VLOOKUP(C1182,'Babblefish-APUMA'!$A$1:$B$86,2),C1182),C1182)</f>
        <v>101</v>
      </c>
    </row>
    <row r="1183" customFormat="false" ht="12.75" hidden="false" customHeight="false" outlineLevel="0" collapsed="false">
      <c r="A1183" s="0" t="n">
        <f aca="false">B1183*1000+C1183</f>
        <v>24025</v>
      </c>
      <c r="B1183" s="0" t="n">
        <v>24</v>
      </c>
      <c r="C1183" s="0" t="n">
        <v>25</v>
      </c>
      <c r="D1183" s="0" t="n">
        <v>16081</v>
      </c>
      <c r="E1183" s="0" t="n">
        <f aca="false">VLOOKUP(B1183,'Babblefish-APUMA'!$A$1:$B$86,2)</f>
        <v>101</v>
      </c>
      <c r="F1183" s="0" t="n">
        <f aca="false">IF(C1183&gt;1,IF(C1183&lt;99,VLOOKUP(C1183,'Babblefish-APUMA'!$A$1:$B$86,2),C1183),C1183)</f>
        <v>101</v>
      </c>
    </row>
    <row r="1184" customFormat="false" ht="12.75" hidden="false" customHeight="false" outlineLevel="0" collapsed="false">
      <c r="A1184" s="0" t="n">
        <f aca="false">B1184*1000+C1184</f>
        <v>24026</v>
      </c>
      <c r="B1184" s="0" t="n">
        <v>24</v>
      </c>
      <c r="C1184" s="0" t="n">
        <v>26</v>
      </c>
      <c r="D1184" s="0" t="n">
        <v>169</v>
      </c>
      <c r="E1184" s="0" t="n">
        <f aca="false">VLOOKUP(B1184,'Babblefish-APUMA'!$A$1:$B$86,2)</f>
        <v>101</v>
      </c>
      <c r="F1184" s="0" t="n">
        <f aca="false">IF(C1184&gt;1,IF(C1184&lt;99,VLOOKUP(C1184,'Babblefish-APUMA'!$A$1:$B$86,2),C1184),C1184)</f>
        <v>26</v>
      </c>
    </row>
    <row r="1185" customFormat="false" ht="12.75" hidden="false" customHeight="false" outlineLevel="0" collapsed="false">
      <c r="A1185" s="0" t="n">
        <f aca="false">B1185*1000+C1185</f>
        <v>24027</v>
      </c>
      <c r="B1185" s="0" t="n">
        <v>24</v>
      </c>
      <c r="C1185" s="0" t="n">
        <v>27</v>
      </c>
      <c r="D1185" s="0" t="n">
        <v>0</v>
      </c>
      <c r="E1185" s="0" t="n">
        <f aca="false">VLOOKUP(B1185,'Babblefish-APUMA'!$A$1:$B$86,2)</f>
        <v>101</v>
      </c>
      <c r="F1185" s="0" t="n">
        <f aca="false">IF(C1185&gt;1,IF(C1185&lt;99,VLOOKUP(C1185,'Babblefish-APUMA'!$A$1:$B$86,2),C1185),C1185)</f>
        <v>27</v>
      </c>
    </row>
    <row r="1186" customFormat="false" ht="12.75" hidden="false" customHeight="false" outlineLevel="0" collapsed="false">
      <c r="A1186" s="0" t="n">
        <f aca="false">B1186*1000+C1186</f>
        <v>24028</v>
      </c>
      <c r="B1186" s="0" t="n">
        <v>24</v>
      </c>
      <c r="C1186" s="0" t="n">
        <v>28</v>
      </c>
      <c r="D1186" s="0" t="n">
        <v>65</v>
      </c>
      <c r="E1186" s="0" t="n">
        <f aca="false">VLOOKUP(B1186,'Babblefish-APUMA'!$A$1:$B$86,2)</f>
        <v>101</v>
      </c>
      <c r="F1186" s="0" t="n">
        <f aca="false">IF(C1186&gt;1,IF(C1186&lt;99,VLOOKUP(C1186,'Babblefish-APUMA'!$A$1:$B$86,2),C1186),C1186)</f>
        <v>94</v>
      </c>
    </row>
    <row r="1187" customFormat="false" ht="12.75" hidden="false" customHeight="false" outlineLevel="0" collapsed="false">
      <c r="A1187" s="0" t="n">
        <f aca="false">B1187*1000+C1187</f>
        <v>24029</v>
      </c>
      <c r="B1187" s="0" t="n">
        <v>24</v>
      </c>
      <c r="C1187" s="0" t="n">
        <v>29</v>
      </c>
      <c r="D1187" s="0" t="n">
        <v>65</v>
      </c>
      <c r="E1187" s="0" t="n">
        <f aca="false">VLOOKUP(B1187,'Babblefish-APUMA'!$A$1:$B$86,2)</f>
        <v>101</v>
      </c>
      <c r="F1187" s="0" t="n">
        <f aca="false">IF(C1187&gt;1,IF(C1187&lt;99,VLOOKUP(C1187,'Babblefish-APUMA'!$A$1:$B$86,2),C1187),C1187)</f>
        <v>94</v>
      </c>
    </row>
    <row r="1188" customFormat="false" ht="12.75" hidden="false" customHeight="false" outlineLevel="0" collapsed="false">
      <c r="A1188" s="0" t="n">
        <f aca="false">B1188*1000+C1188</f>
        <v>24030</v>
      </c>
      <c r="B1188" s="0" t="n">
        <v>24</v>
      </c>
      <c r="C1188" s="0" t="n">
        <v>30</v>
      </c>
      <c r="D1188" s="0" t="n">
        <v>1196</v>
      </c>
      <c r="E1188" s="0" t="n">
        <f aca="false">VLOOKUP(B1188,'Babblefish-APUMA'!$A$1:$B$86,2)</f>
        <v>101</v>
      </c>
      <c r="F1188" s="0" t="n">
        <f aca="false">IF(C1188&gt;1,IF(C1188&lt;99,VLOOKUP(C1188,'Babblefish-APUMA'!$A$1:$B$86,2),C1188),C1188)</f>
        <v>30</v>
      </c>
    </row>
    <row r="1189" customFormat="false" ht="12.75" hidden="false" customHeight="false" outlineLevel="0" collapsed="false">
      <c r="A1189" s="0" t="n">
        <f aca="false">B1189*1000+C1189</f>
        <v>24031</v>
      </c>
      <c r="B1189" s="0" t="n">
        <v>24</v>
      </c>
      <c r="C1189" s="0" t="n">
        <v>31</v>
      </c>
      <c r="D1189" s="0" t="n">
        <v>0</v>
      </c>
      <c r="E1189" s="0" t="n">
        <f aca="false">VLOOKUP(B1189,'Babblefish-APUMA'!$A$1:$B$86,2)</f>
        <v>101</v>
      </c>
      <c r="F1189" s="0" t="n">
        <f aca="false">IF(C1189&gt;1,IF(C1189&lt;99,VLOOKUP(C1189,'Babblefish-APUMA'!$A$1:$B$86,2),C1189),C1189)</f>
        <v>31</v>
      </c>
    </row>
    <row r="1190" customFormat="false" ht="12.75" hidden="false" customHeight="false" outlineLevel="0" collapsed="false">
      <c r="A1190" s="0" t="n">
        <f aca="false">B1190*1000+C1190</f>
        <v>24032</v>
      </c>
      <c r="B1190" s="0" t="n">
        <v>24</v>
      </c>
      <c r="C1190" s="0" t="n">
        <v>32</v>
      </c>
      <c r="D1190" s="0" t="n">
        <v>0</v>
      </c>
      <c r="E1190" s="0" t="n">
        <f aca="false">VLOOKUP(B1190,'Babblefish-APUMA'!$A$1:$B$86,2)</f>
        <v>101</v>
      </c>
      <c r="F1190" s="0" t="n">
        <f aca="false">IF(C1190&gt;1,IF(C1190&lt;99,VLOOKUP(C1190,'Babblefish-APUMA'!$A$1:$B$86,2),C1190),C1190)</f>
        <v>32</v>
      </c>
    </row>
    <row r="1191" customFormat="false" ht="12.75" hidden="false" customHeight="false" outlineLevel="0" collapsed="false">
      <c r="A1191" s="0" t="n">
        <f aca="false">B1191*1000+C1191</f>
        <v>24033</v>
      </c>
      <c r="B1191" s="0" t="n">
        <v>24</v>
      </c>
      <c r="C1191" s="0" t="n">
        <v>33</v>
      </c>
      <c r="D1191" s="0" t="n">
        <v>0</v>
      </c>
      <c r="E1191" s="0" t="n">
        <f aca="false">VLOOKUP(B1191,'Babblefish-APUMA'!$A$1:$B$86,2)</f>
        <v>101</v>
      </c>
      <c r="F1191" s="0" t="n">
        <f aca="false">IF(C1191&gt;1,IF(C1191&lt;99,VLOOKUP(C1191,'Babblefish-APUMA'!$A$1:$B$86,2),C1191),C1191)</f>
        <v>96</v>
      </c>
    </row>
    <row r="1192" customFormat="false" ht="12.75" hidden="false" customHeight="false" outlineLevel="0" collapsed="false">
      <c r="A1192" s="0" t="n">
        <f aca="false">B1192*1000+C1192</f>
        <v>24034</v>
      </c>
      <c r="B1192" s="0" t="n">
        <v>24</v>
      </c>
      <c r="C1192" s="0" t="n">
        <v>34</v>
      </c>
      <c r="D1192" s="0" t="n">
        <v>0</v>
      </c>
      <c r="E1192" s="0" t="n">
        <f aca="false">VLOOKUP(B1192,'Babblefish-APUMA'!$A$1:$B$86,2)</f>
        <v>101</v>
      </c>
      <c r="F1192" s="0" t="n">
        <f aca="false">IF(C1192&gt;1,IF(C1192&lt;99,VLOOKUP(C1192,'Babblefish-APUMA'!$A$1:$B$86,2),C1192),C1192)</f>
        <v>96</v>
      </c>
    </row>
    <row r="1193" customFormat="false" ht="12.75" hidden="false" customHeight="false" outlineLevel="0" collapsed="false">
      <c r="A1193" s="0" t="n">
        <f aca="false">B1193*1000+C1193</f>
        <v>24035</v>
      </c>
      <c r="B1193" s="0" t="n">
        <v>24</v>
      </c>
      <c r="C1193" s="0" t="n">
        <v>35</v>
      </c>
      <c r="D1193" s="0" t="n">
        <v>0</v>
      </c>
      <c r="E1193" s="0" t="n">
        <f aca="false">VLOOKUP(B1193,'Babblefish-APUMA'!$A$1:$B$86,2)</f>
        <v>101</v>
      </c>
      <c r="F1193" s="0" t="n">
        <f aca="false">IF(C1193&gt;1,IF(C1193&lt;99,VLOOKUP(C1193,'Babblefish-APUMA'!$A$1:$B$86,2),C1193),C1193)</f>
        <v>96</v>
      </c>
    </row>
    <row r="1194" customFormat="false" ht="12.75" hidden="false" customHeight="false" outlineLevel="0" collapsed="false">
      <c r="A1194" s="0" t="n">
        <f aca="false">B1194*1000+C1194</f>
        <v>24037</v>
      </c>
      <c r="B1194" s="0" t="n">
        <v>24</v>
      </c>
      <c r="C1194" s="0" t="n">
        <v>37</v>
      </c>
      <c r="D1194" s="0" t="n">
        <v>0</v>
      </c>
      <c r="E1194" s="0" t="n">
        <f aca="false">VLOOKUP(B1194,'Babblefish-APUMA'!$A$1:$B$86,2)</f>
        <v>101</v>
      </c>
      <c r="F1194" s="0" t="n">
        <f aca="false">IF(C1194&gt;1,IF(C1194&lt;99,VLOOKUP(C1194,'Babblefish-APUMA'!$A$1:$B$86,2),C1194),C1194)</f>
        <v>96</v>
      </c>
    </row>
    <row r="1195" customFormat="false" ht="12.75" hidden="false" customHeight="false" outlineLevel="0" collapsed="false">
      <c r="A1195" s="0" t="n">
        <f aca="false">B1195*1000+C1195</f>
        <v>24038</v>
      </c>
      <c r="B1195" s="0" t="n">
        <v>24</v>
      </c>
      <c r="C1195" s="0" t="n">
        <v>38</v>
      </c>
      <c r="D1195" s="0" t="n">
        <v>0</v>
      </c>
      <c r="E1195" s="0" t="n">
        <f aca="false">VLOOKUP(B1195,'Babblefish-APUMA'!$A$1:$B$86,2)</f>
        <v>101</v>
      </c>
      <c r="F1195" s="0" t="n">
        <f aca="false">IF(C1195&gt;1,IF(C1195&lt;99,VLOOKUP(C1195,'Babblefish-APUMA'!$A$1:$B$86,2),C1195),C1195)</f>
        <v>91</v>
      </c>
    </row>
    <row r="1196" customFormat="false" ht="12.75" hidden="false" customHeight="false" outlineLevel="0" collapsed="false">
      <c r="A1196" s="0" t="n">
        <f aca="false">B1196*1000+C1196</f>
        <v>24039</v>
      </c>
      <c r="B1196" s="0" t="n">
        <v>24</v>
      </c>
      <c r="C1196" s="0" t="n">
        <v>39</v>
      </c>
      <c r="D1196" s="0" t="n">
        <v>0</v>
      </c>
      <c r="E1196" s="0" t="n">
        <f aca="false">VLOOKUP(B1196,'Babblefish-APUMA'!$A$1:$B$86,2)</f>
        <v>101</v>
      </c>
      <c r="F1196" s="0" t="n">
        <f aca="false">IF(C1196&gt;1,IF(C1196&lt;99,VLOOKUP(C1196,'Babblefish-APUMA'!$A$1:$B$86,2),C1196),C1196)</f>
        <v>91</v>
      </c>
    </row>
    <row r="1197" customFormat="false" ht="12.75" hidden="false" customHeight="false" outlineLevel="0" collapsed="false">
      <c r="A1197" s="0" t="n">
        <f aca="false">B1197*1000+C1197</f>
        <v>24040</v>
      </c>
      <c r="B1197" s="0" t="n">
        <v>24</v>
      </c>
      <c r="C1197" s="0" t="n">
        <v>40</v>
      </c>
      <c r="D1197" s="0" t="n">
        <v>0</v>
      </c>
      <c r="E1197" s="0" t="n">
        <f aca="false">VLOOKUP(B1197,'Babblefish-APUMA'!$A$1:$B$86,2)</f>
        <v>101</v>
      </c>
      <c r="F1197" s="0" t="n">
        <f aca="false">IF(C1197&gt;1,IF(C1197&lt;99,VLOOKUP(C1197,'Babblefish-APUMA'!$A$1:$B$86,2),C1197),C1197)</f>
        <v>88</v>
      </c>
    </row>
    <row r="1198" customFormat="false" ht="12.75" hidden="false" customHeight="false" outlineLevel="0" collapsed="false">
      <c r="A1198" s="0" t="n">
        <f aca="false">B1198*1000+C1198</f>
        <v>24041</v>
      </c>
      <c r="B1198" s="0" t="n">
        <v>24</v>
      </c>
      <c r="C1198" s="0" t="n">
        <v>41</v>
      </c>
      <c r="D1198" s="0" t="n">
        <v>0</v>
      </c>
      <c r="E1198" s="0" t="n">
        <f aca="false">VLOOKUP(B1198,'Babblefish-APUMA'!$A$1:$B$86,2)</f>
        <v>101</v>
      </c>
      <c r="F1198" s="0" t="n">
        <f aca="false">IF(C1198&gt;1,IF(C1198&lt;99,VLOOKUP(C1198,'Babblefish-APUMA'!$A$1:$B$86,2),C1198),C1198)</f>
        <v>88</v>
      </c>
    </row>
    <row r="1199" customFormat="false" ht="12.75" hidden="false" customHeight="false" outlineLevel="0" collapsed="false">
      <c r="A1199" s="0" t="n">
        <f aca="false">B1199*1000+C1199</f>
        <v>24042</v>
      </c>
      <c r="B1199" s="0" t="n">
        <v>24</v>
      </c>
      <c r="C1199" s="0" t="n">
        <v>42</v>
      </c>
      <c r="D1199" s="0" t="n">
        <v>0</v>
      </c>
      <c r="E1199" s="0" t="n">
        <f aca="false">VLOOKUP(B1199,'Babblefish-APUMA'!$A$1:$B$86,2)</f>
        <v>101</v>
      </c>
      <c r="F1199" s="0" t="n">
        <f aca="false">IF(C1199&gt;1,IF(C1199&lt;99,VLOOKUP(C1199,'Babblefish-APUMA'!$A$1:$B$86,2),C1199),C1199)</f>
        <v>92</v>
      </c>
    </row>
    <row r="1200" customFormat="false" ht="12.75" hidden="false" customHeight="false" outlineLevel="0" collapsed="false">
      <c r="A1200" s="0" t="n">
        <f aca="false">B1200*1000+C1200</f>
        <v>24043</v>
      </c>
      <c r="B1200" s="0" t="n">
        <v>24</v>
      </c>
      <c r="C1200" s="0" t="n">
        <v>43</v>
      </c>
      <c r="D1200" s="0" t="n">
        <v>0</v>
      </c>
      <c r="E1200" s="0" t="n">
        <f aca="false">VLOOKUP(B1200,'Babblefish-APUMA'!$A$1:$B$86,2)</f>
        <v>101</v>
      </c>
      <c r="F1200" s="0" t="n">
        <f aca="false">IF(C1200&gt;1,IF(C1200&lt;99,VLOOKUP(C1200,'Babblefish-APUMA'!$A$1:$B$86,2),C1200),C1200)</f>
        <v>92</v>
      </c>
    </row>
    <row r="1201" customFormat="false" ht="12.75" hidden="false" customHeight="false" outlineLevel="0" collapsed="false">
      <c r="A1201" s="0" t="n">
        <f aca="false">B1201*1000+C1201</f>
        <v>24046</v>
      </c>
      <c r="B1201" s="0" t="n">
        <v>24</v>
      </c>
      <c r="C1201" s="0" t="n">
        <v>46</v>
      </c>
      <c r="D1201" s="0" t="n">
        <v>0</v>
      </c>
      <c r="E1201" s="0" t="n">
        <f aca="false">VLOOKUP(B1201,'Babblefish-APUMA'!$A$1:$B$86,2)</f>
        <v>101</v>
      </c>
      <c r="F1201" s="0" t="n">
        <f aca="false">IF(C1201&gt;1,IF(C1201&lt;99,VLOOKUP(C1201,'Babblefish-APUMA'!$A$1:$B$86,2),C1201),C1201)</f>
        <v>92</v>
      </c>
    </row>
    <row r="1202" customFormat="false" ht="12.75" hidden="false" customHeight="false" outlineLevel="0" collapsed="false">
      <c r="A1202" s="0" t="n">
        <f aca="false">B1202*1000+C1202</f>
        <v>24048</v>
      </c>
      <c r="B1202" s="0" t="n">
        <v>24</v>
      </c>
      <c r="C1202" s="0" t="n">
        <v>48</v>
      </c>
      <c r="D1202" s="0" t="n">
        <v>0</v>
      </c>
      <c r="E1202" s="0" t="n">
        <f aca="false">VLOOKUP(B1202,'Babblefish-APUMA'!$A$1:$B$86,2)</f>
        <v>101</v>
      </c>
      <c r="F1202" s="0" t="n">
        <f aca="false">IF(C1202&gt;1,IF(C1202&lt;99,VLOOKUP(C1202,'Babblefish-APUMA'!$A$1:$B$86,2),C1202),C1202)</f>
        <v>92</v>
      </c>
    </row>
    <row r="1203" customFormat="false" ht="12.75" hidden="false" customHeight="false" outlineLevel="0" collapsed="false">
      <c r="A1203" s="0" t="n">
        <f aca="false">B1203*1000+C1203</f>
        <v>24049</v>
      </c>
      <c r="B1203" s="0" t="n">
        <v>24</v>
      </c>
      <c r="C1203" s="0" t="n">
        <v>49</v>
      </c>
      <c r="D1203" s="0" t="n">
        <v>1326</v>
      </c>
      <c r="E1203" s="0" t="n">
        <f aca="false">VLOOKUP(B1203,'Babblefish-APUMA'!$A$1:$B$86,2)</f>
        <v>101</v>
      </c>
      <c r="F1203" s="0" t="n">
        <f aca="false">IF(C1203&gt;1,IF(C1203&lt;99,VLOOKUP(C1203,'Babblefish-APUMA'!$A$1:$B$86,2),C1203),C1203)</f>
        <v>98</v>
      </c>
    </row>
    <row r="1204" customFormat="false" ht="12.75" hidden="false" customHeight="false" outlineLevel="0" collapsed="false">
      <c r="A1204" s="0" t="n">
        <f aca="false">B1204*1000+C1204</f>
        <v>24050</v>
      </c>
      <c r="B1204" s="0" t="n">
        <v>24</v>
      </c>
      <c r="C1204" s="0" t="n">
        <v>50</v>
      </c>
      <c r="D1204" s="0" t="n">
        <v>325</v>
      </c>
      <c r="E1204" s="0" t="n">
        <f aca="false">VLOOKUP(B1204,'Babblefish-APUMA'!$A$1:$B$86,2)</f>
        <v>101</v>
      </c>
      <c r="F1204" s="0" t="n">
        <f aca="false">IF(C1204&gt;1,IF(C1204&lt;99,VLOOKUP(C1204,'Babblefish-APUMA'!$A$1:$B$86,2),C1204),C1204)</f>
        <v>98</v>
      </c>
    </row>
    <row r="1205" customFormat="false" ht="12.75" hidden="false" customHeight="false" outlineLevel="0" collapsed="false">
      <c r="A1205" s="0" t="n">
        <f aca="false">B1205*1000+C1205</f>
        <v>24051</v>
      </c>
      <c r="B1205" s="0" t="n">
        <v>24</v>
      </c>
      <c r="C1205" s="0" t="n">
        <v>51</v>
      </c>
      <c r="D1205" s="0" t="n">
        <v>676</v>
      </c>
      <c r="E1205" s="0" t="n">
        <f aca="false">VLOOKUP(B1205,'Babblefish-APUMA'!$A$1:$B$86,2)</f>
        <v>101</v>
      </c>
      <c r="F1205" s="0" t="n">
        <f aca="false">IF(C1205&gt;1,IF(C1205&lt;99,VLOOKUP(C1205,'Babblefish-APUMA'!$A$1:$B$86,2),C1205),C1205)</f>
        <v>98</v>
      </c>
    </row>
    <row r="1206" customFormat="false" ht="12.75" hidden="false" customHeight="false" outlineLevel="0" collapsed="false">
      <c r="A1206" s="0" t="n">
        <f aca="false">B1206*1000+C1206</f>
        <v>24052</v>
      </c>
      <c r="B1206" s="0" t="n">
        <v>24</v>
      </c>
      <c r="C1206" s="0" t="n">
        <v>52</v>
      </c>
      <c r="D1206" s="0" t="n">
        <v>0</v>
      </c>
      <c r="E1206" s="0" t="n">
        <f aca="false">VLOOKUP(B1206,'Babblefish-APUMA'!$A$1:$B$86,2)</f>
        <v>101</v>
      </c>
      <c r="F1206" s="0" t="n">
        <f aca="false">IF(C1206&gt;1,IF(C1206&lt;99,VLOOKUP(C1206,'Babblefish-APUMA'!$A$1:$B$86,2),C1206),C1206)</f>
        <v>90</v>
      </c>
    </row>
    <row r="1207" customFormat="false" ht="12.75" hidden="false" customHeight="false" outlineLevel="0" collapsed="false">
      <c r="A1207" s="0" t="n">
        <f aca="false">B1207*1000+C1207</f>
        <v>24053</v>
      </c>
      <c r="B1207" s="0" t="n">
        <v>24</v>
      </c>
      <c r="C1207" s="0" t="n">
        <v>53</v>
      </c>
      <c r="D1207" s="0" t="n">
        <v>0</v>
      </c>
      <c r="E1207" s="0" t="n">
        <f aca="false">VLOOKUP(B1207,'Babblefish-APUMA'!$A$1:$B$86,2)</f>
        <v>101</v>
      </c>
      <c r="F1207" s="0" t="n">
        <f aca="false">IF(C1207&gt;1,IF(C1207&lt;99,VLOOKUP(C1207,'Babblefish-APUMA'!$A$1:$B$86,2),C1207),C1207)</f>
        <v>90</v>
      </c>
    </row>
    <row r="1208" customFormat="false" ht="12.75" hidden="false" customHeight="false" outlineLevel="0" collapsed="false">
      <c r="A1208" s="0" t="n">
        <f aca="false">B1208*1000+C1208</f>
        <v>24054</v>
      </c>
      <c r="B1208" s="0" t="n">
        <v>24</v>
      </c>
      <c r="C1208" s="0" t="n">
        <v>54</v>
      </c>
      <c r="D1208" s="0" t="n">
        <v>0</v>
      </c>
      <c r="E1208" s="0" t="n">
        <f aca="false">VLOOKUP(B1208,'Babblefish-APUMA'!$A$1:$B$86,2)</f>
        <v>101</v>
      </c>
      <c r="F1208" s="0" t="n">
        <f aca="false">IF(C1208&gt;1,IF(C1208&lt;99,VLOOKUP(C1208,'Babblefish-APUMA'!$A$1:$B$86,2),C1208),C1208)</f>
        <v>90</v>
      </c>
    </row>
    <row r="1209" customFormat="false" ht="12.75" hidden="false" customHeight="false" outlineLevel="0" collapsed="false">
      <c r="A1209" s="0" t="n">
        <f aca="false">B1209*1000+C1209</f>
        <v>24055</v>
      </c>
      <c r="B1209" s="0" t="n">
        <v>24</v>
      </c>
      <c r="C1209" s="0" t="n">
        <v>55</v>
      </c>
      <c r="D1209" s="0" t="n">
        <v>0</v>
      </c>
      <c r="E1209" s="0" t="n">
        <f aca="false">VLOOKUP(B1209,'Babblefish-APUMA'!$A$1:$B$86,2)</f>
        <v>101</v>
      </c>
      <c r="F1209" s="0" t="n">
        <f aca="false">IF(C1209&gt;1,IF(C1209&lt;99,VLOOKUP(C1209,'Babblefish-APUMA'!$A$1:$B$86,2),C1209),C1209)</f>
        <v>90</v>
      </c>
    </row>
    <row r="1210" customFormat="false" ht="12.75" hidden="false" customHeight="false" outlineLevel="0" collapsed="false">
      <c r="A1210" s="0" t="n">
        <f aca="false">B1210*1000+C1210</f>
        <v>24057</v>
      </c>
      <c r="B1210" s="0" t="n">
        <v>24</v>
      </c>
      <c r="C1210" s="0" t="n">
        <v>57</v>
      </c>
      <c r="D1210" s="0" t="n">
        <v>0</v>
      </c>
      <c r="E1210" s="0" t="n">
        <f aca="false">VLOOKUP(B1210,'Babblefish-APUMA'!$A$1:$B$86,2)</f>
        <v>101</v>
      </c>
      <c r="F1210" s="0" t="n">
        <f aca="false">IF(C1210&gt;1,IF(C1210&lt;99,VLOOKUP(C1210,'Babblefish-APUMA'!$A$1:$B$86,2),C1210),C1210)</f>
        <v>90</v>
      </c>
    </row>
    <row r="1211" customFormat="false" ht="12.75" hidden="false" customHeight="false" outlineLevel="0" collapsed="false">
      <c r="A1211" s="0" t="n">
        <f aca="false">B1211*1000+C1211</f>
        <v>24059</v>
      </c>
      <c r="B1211" s="0" t="n">
        <v>24</v>
      </c>
      <c r="C1211" s="0" t="n">
        <v>59</v>
      </c>
      <c r="D1211" s="0" t="n">
        <v>0</v>
      </c>
      <c r="E1211" s="0" t="n">
        <f aca="false">VLOOKUP(B1211,'Babblefish-APUMA'!$A$1:$B$86,2)</f>
        <v>101</v>
      </c>
      <c r="F1211" s="0" t="n">
        <f aca="false">IF(C1211&gt;1,IF(C1211&lt;99,VLOOKUP(C1211,'Babblefish-APUMA'!$A$1:$B$86,2),C1211),C1211)</f>
        <v>90</v>
      </c>
    </row>
    <row r="1212" customFormat="false" ht="12.75" hidden="false" customHeight="false" outlineLevel="0" collapsed="false">
      <c r="A1212" s="0" t="n">
        <f aca="false">B1212*1000+C1212</f>
        <v>24060</v>
      </c>
      <c r="B1212" s="0" t="n">
        <v>24</v>
      </c>
      <c r="C1212" s="0" t="n">
        <v>60</v>
      </c>
      <c r="D1212" s="0" t="n">
        <v>0</v>
      </c>
      <c r="E1212" s="0" t="n">
        <f aca="false">VLOOKUP(B1212,'Babblefish-APUMA'!$A$1:$B$86,2)</f>
        <v>101</v>
      </c>
      <c r="F1212" s="0" t="n">
        <f aca="false">IF(C1212&gt;1,IF(C1212&lt;99,VLOOKUP(C1212,'Babblefish-APUMA'!$A$1:$B$86,2),C1212),C1212)</f>
        <v>90</v>
      </c>
    </row>
    <row r="1213" customFormat="false" ht="12.75" hidden="false" customHeight="false" outlineLevel="0" collapsed="false">
      <c r="A1213" s="0" t="n">
        <f aca="false">B1213*1000+C1213</f>
        <v>24062</v>
      </c>
      <c r="B1213" s="0" t="n">
        <v>24</v>
      </c>
      <c r="C1213" s="0" t="n">
        <v>62</v>
      </c>
      <c r="D1213" s="0" t="n">
        <v>0</v>
      </c>
      <c r="E1213" s="0" t="n">
        <f aca="false">VLOOKUP(B1213,'Babblefish-APUMA'!$A$1:$B$86,2)</f>
        <v>101</v>
      </c>
      <c r="F1213" s="0" t="n">
        <f aca="false">IF(C1213&gt;1,IF(C1213&lt;99,VLOOKUP(C1213,'Babblefish-APUMA'!$A$1:$B$86,2),C1213),C1213)</f>
        <v>90</v>
      </c>
    </row>
    <row r="1214" customFormat="false" ht="12.75" hidden="false" customHeight="false" outlineLevel="0" collapsed="false">
      <c r="A1214" s="0" t="n">
        <f aca="false">B1214*1000+C1214</f>
        <v>24064</v>
      </c>
      <c r="B1214" s="0" t="n">
        <v>24</v>
      </c>
      <c r="C1214" s="0" t="n">
        <v>64</v>
      </c>
      <c r="D1214" s="0" t="n">
        <v>0</v>
      </c>
      <c r="E1214" s="0" t="n">
        <f aca="false">VLOOKUP(B1214,'Babblefish-APUMA'!$A$1:$B$86,2)</f>
        <v>101</v>
      </c>
      <c r="F1214" s="0" t="n">
        <f aca="false">IF(C1214&gt;1,IF(C1214&lt;99,VLOOKUP(C1214,'Babblefish-APUMA'!$A$1:$B$86,2),C1214),C1214)</f>
        <v>90</v>
      </c>
    </row>
    <row r="1215" customFormat="false" ht="12.75" hidden="false" customHeight="false" outlineLevel="0" collapsed="false">
      <c r="A1215" s="0" t="n">
        <f aca="false">B1215*1000+C1215</f>
        <v>24065</v>
      </c>
      <c r="B1215" s="0" t="n">
        <v>24</v>
      </c>
      <c r="C1215" s="0" t="n">
        <v>65</v>
      </c>
      <c r="D1215" s="0" t="n">
        <v>0</v>
      </c>
      <c r="E1215" s="0" t="n">
        <f aca="false">VLOOKUP(B1215,'Babblefish-APUMA'!$A$1:$B$86,2)</f>
        <v>101</v>
      </c>
      <c r="F1215" s="0" t="n">
        <f aca="false">IF(C1215&gt;1,IF(C1215&lt;99,VLOOKUP(C1215,'Babblefish-APUMA'!$A$1:$B$86,2),C1215),C1215)</f>
        <v>90</v>
      </c>
    </row>
    <row r="1216" customFormat="false" ht="12.75" hidden="false" customHeight="false" outlineLevel="0" collapsed="false">
      <c r="A1216" s="0" t="n">
        <f aca="false">B1216*1000+C1216</f>
        <v>24066</v>
      </c>
      <c r="B1216" s="0" t="n">
        <v>24</v>
      </c>
      <c r="C1216" s="0" t="n">
        <v>66</v>
      </c>
      <c r="D1216" s="0" t="n">
        <v>0</v>
      </c>
      <c r="E1216" s="0" t="n">
        <f aca="false">VLOOKUP(B1216,'Babblefish-APUMA'!$A$1:$B$86,2)</f>
        <v>101</v>
      </c>
      <c r="F1216" s="0" t="n">
        <f aca="false">IF(C1216&gt;1,IF(C1216&lt;99,VLOOKUP(C1216,'Babblefish-APUMA'!$A$1:$B$86,2),C1216),C1216)</f>
        <v>90</v>
      </c>
    </row>
    <row r="1217" customFormat="false" ht="12.75" hidden="false" customHeight="false" outlineLevel="0" collapsed="false">
      <c r="A1217" s="0" t="n">
        <f aca="false">B1217*1000+C1217</f>
        <v>24067</v>
      </c>
      <c r="B1217" s="0" t="n">
        <v>24</v>
      </c>
      <c r="C1217" s="0" t="n">
        <v>67</v>
      </c>
      <c r="D1217" s="0" t="n">
        <v>0</v>
      </c>
      <c r="E1217" s="0" t="n">
        <f aca="false">VLOOKUP(B1217,'Babblefish-APUMA'!$A$1:$B$86,2)</f>
        <v>101</v>
      </c>
      <c r="F1217" s="0" t="n">
        <f aca="false">IF(C1217&gt;1,IF(C1217&lt;99,VLOOKUP(C1217,'Babblefish-APUMA'!$A$1:$B$86,2),C1217),C1217)</f>
        <v>103</v>
      </c>
    </row>
    <row r="1218" customFormat="false" ht="12.75" hidden="false" customHeight="false" outlineLevel="0" collapsed="false">
      <c r="A1218" s="0" t="n">
        <f aca="false">B1218*1000+C1218</f>
        <v>24069</v>
      </c>
      <c r="B1218" s="0" t="n">
        <v>24</v>
      </c>
      <c r="C1218" s="0" t="n">
        <v>69</v>
      </c>
      <c r="D1218" s="0" t="n">
        <v>0</v>
      </c>
      <c r="E1218" s="0" t="n">
        <f aca="false">VLOOKUP(B1218,'Babblefish-APUMA'!$A$1:$B$86,2)</f>
        <v>101</v>
      </c>
      <c r="F1218" s="0" t="n">
        <f aca="false">IF(C1218&gt;1,IF(C1218&lt;99,VLOOKUP(C1218,'Babblefish-APUMA'!$A$1:$B$86,2),C1218),C1218)</f>
        <v>93</v>
      </c>
    </row>
    <row r="1219" customFormat="false" ht="12.75" hidden="false" customHeight="false" outlineLevel="0" collapsed="false">
      <c r="A1219" s="0" t="n">
        <f aca="false">B1219*1000+C1219</f>
        <v>24071</v>
      </c>
      <c r="B1219" s="0" t="n">
        <v>24</v>
      </c>
      <c r="C1219" s="0" t="n">
        <v>71</v>
      </c>
      <c r="D1219" s="0" t="n">
        <v>0</v>
      </c>
      <c r="E1219" s="0" t="n">
        <f aca="false">VLOOKUP(B1219,'Babblefish-APUMA'!$A$1:$B$86,2)</f>
        <v>101</v>
      </c>
      <c r="F1219" s="0" t="n">
        <f aca="false">IF(C1219&gt;1,IF(C1219&lt;99,VLOOKUP(C1219,'Babblefish-APUMA'!$A$1:$B$86,2),C1219),C1219)</f>
        <v>95</v>
      </c>
    </row>
    <row r="1220" customFormat="false" ht="12.75" hidden="false" customHeight="false" outlineLevel="0" collapsed="false">
      <c r="A1220" s="0" t="n">
        <f aca="false">B1220*1000+C1220</f>
        <v>24072</v>
      </c>
      <c r="B1220" s="0" t="n">
        <v>24</v>
      </c>
      <c r="C1220" s="0" t="n">
        <v>72</v>
      </c>
      <c r="D1220" s="0" t="n">
        <v>0</v>
      </c>
      <c r="E1220" s="0" t="n">
        <f aca="false">VLOOKUP(B1220,'Babblefish-APUMA'!$A$1:$B$86,2)</f>
        <v>101</v>
      </c>
      <c r="F1220" s="0" t="n">
        <f aca="false">IF(C1220&gt;1,IF(C1220&lt;99,VLOOKUP(C1220,'Babblefish-APUMA'!$A$1:$B$86,2),C1220),C1220)</f>
        <v>95</v>
      </c>
    </row>
    <row r="1221" customFormat="false" ht="12.75" hidden="false" customHeight="false" outlineLevel="0" collapsed="false">
      <c r="A1221" s="0" t="n">
        <f aca="false">B1221*1000+C1221</f>
        <v>24073</v>
      </c>
      <c r="B1221" s="0" t="n">
        <v>24</v>
      </c>
      <c r="C1221" s="0" t="n">
        <v>73</v>
      </c>
      <c r="D1221" s="0" t="n">
        <v>0</v>
      </c>
      <c r="E1221" s="0" t="n">
        <f aca="false">VLOOKUP(B1221,'Babblefish-APUMA'!$A$1:$B$86,2)</f>
        <v>101</v>
      </c>
      <c r="F1221" s="0" t="n">
        <f aca="false">IF(C1221&gt;1,IF(C1221&lt;99,VLOOKUP(C1221,'Babblefish-APUMA'!$A$1:$B$86,2),C1221),C1221)</f>
        <v>99</v>
      </c>
    </row>
    <row r="1222" customFormat="false" ht="12.75" hidden="false" customHeight="false" outlineLevel="0" collapsed="false">
      <c r="A1222" s="0" t="n">
        <f aca="false">B1222*1000+C1222</f>
        <v>24075</v>
      </c>
      <c r="B1222" s="0" t="n">
        <v>24</v>
      </c>
      <c r="C1222" s="0" t="n">
        <v>75</v>
      </c>
      <c r="D1222" s="0" t="n">
        <v>0</v>
      </c>
      <c r="E1222" s="0" t="n">
        <f aca="false">VLOOKUP(B1222,'Babblefish-APUMA'!$A$1:$B$86,2)</f>
        <v>101</v>
      </c>
      <c r="F1222" s="0" t="n">
        <f aca="false">IF(C1222&gt;1,IF(C1222&lt;99,VLOOKUP(C1222,'Babblefish-APUMA'!$A$1:$B$86,2),C1222),C1222)</f>
        <v>75</v>
      </c>
    </row>
    <row r="1223" customFormat="false" ht="12.75" hidden="false" customHeight="false" outlineLevel="0" collapsed="false">
      <c r="A1223" s="0" t="n">
        <f aca="false">B1223*1000+C1223</f>
        <v>24076</v>
      </c>
      <c r="B1223" s="0" t="n">
        <v>24</v>
      </c>
      <c r="C1223" s="0" t="n">
        <v>76</v>
      </c>
      <c r="D1223" s="0" t="n">
        <v>234</v>
      </c>
      <c r="E1223" s="0" t="n">
        <f aca="false">VLOOKUP(B1223,'Babblefish-APUMA'!$A$1:$B$86,2)</f>
        <v>101</v>
      </c>
      <c r="F1223" s="0" t="n">
        <f aca="false">IF(C1223&gt;1,IF(C1223&lt;99,VLOOKUP(C1223,'Babblefish-APUMA'!$A$1:$B$86,2),C1223),C1223)</f>
        <v>76</v>
      </c>
    </row>
    <row r="1224" customFormat="false" ht="12.75" hidden="false" customHeight="false" outlineLevel="0" collapsed="false">
      <c r="A1224" s="0" t="n">
        <f aca="false">B1224*1000+C1224</f>
        <v>24079</v>
      </c>
      <c r="B1224" s="0" t="n">
        <v>24</v>
      </c>
      <c r="C1224" s="0" t="n">
        <v>79</v>
      </c>
      <c r="D1224" s="0" t="n">
        <v>0</v>
      </c>
      <c r="E1224" s="0" t="n">
        <f aca="false">VLOOKUP(B1224,'Babblefish-APUMA'!$A$1:$B$86,2)</f>
        <v>101</v>
      </c>
      <c r="F1224" s="0" t="n">
        <f aca="false">IF(C1224&gt;1,IF(C1224&lt;99,VLOOKUP(C1224,'Babblefish-APUMA'!$A$1:$B$86,2),C1224),C1224)</f>
        <v>89</v>
      </c>
    </row>
    <row r="1225" customFormat="false" ht="12.75" hidden="false" customHeight="false" outlineLevel="0" collapsed="false">
      <c r="A1225" s="0" t="n">
        <f aca="false">B1225*1000+C1225</f>
        <v>24080</v>
      </c>
      <c r="B1225" s="0" t="n">
        <v>24</v>
      </c>
      <c r="C1225" s="0" t="n">
        <v>80</v>
      </c>
      <c r="D1225" s="0" t="n">
        <v>0</v>
      </c>
      <c r="E1225" s="0" t="n">
        <f aca="false">VLOOKUP(B1225,'Babblefish-APUMA'!$A$1:$B$86,2)</f>
        <v>101</v>
      </c>
      <c r="F1225" s="0" t="n">
        <f aca="false">IF(C1225&gt;1,IF(C1225&lt;99,VLOOKUP(C1225,'Babblefish-APUMA'!$A$1:$B$86,2),C1225),C1225)</f>
        <v>80</v>
      </c>
    </row>
    <row r="1226" customFormat="false" ht="12.75" hidden="false" customHeight="false" outlineLevel="0" collapsed="false">
      <c r="A1226" s="0" t="n">
        <f aca="false">B1226*1000+C1226</f>
        <v>24082</v>
      </c>
      <c r="B1226" s="0" t="n">
        <v>24</v>
      </c>
      <c r="C1226" s="0" t="n">
        <v>82</v>
      </c>
      <c r="D1226" s="0" t="n">
        <v>0</v>
      </c>
      <c r="E1226" s="0" t="n">
        <f aca="false">VLOOKUP(B1226,'Babblefish-APUMA'!$A$1:$B$86,2)</f>
        <v>101</v>
      </c>
      <c r="F1226" s="0" t="n">
        <f aca="false">IF(C1226&gt;1,IF(C1226&lt;99,VLOOKUP(C1226,'Babblefish-APUMA'!$A$1:$B$86,2),C1226),C1226)</f>
        <v>95</v>
      </c>
    </row>
    <row r="1227" customFormat="false" ht="12.75" hidden="false" customHeight="false" outlineLevel="0" collapsed="false">
      <c r="A1227" s="0" t="n">
        <f aca="false">B1227*1000+C1227</f>
        <v>24085</v>
      </c>
      <c r="B1227" s="0" t="n">
        <v>24</v>
      </c>
      <c r="C1227" s="0" t="n">
        <v>85</v>
      </c>
      <c r="D1227" s="0" t="n">
        <v>1586</v>
      </c>
      <c r="E1227" s="0" t="n">
        <f aca="false">VLOOKUP(B1227,'Babblefish-APUMA'!$A$1:$B$86,2)</f>
        <v>101</v>
      </c>
      <c r="F1227" s="0" t="n">
        <f aca="false">IF(C1227&gt;1,IF(C1227&lt;99,VLOOKUP(C1227,'Babblefish-APUMA'!$A$1:$B$86,2),C1227),C1227)</f>
        <v>97</v>
      </c>
    </row>
    <row r="1228" customFormat="false" ht="12.75" hidden="false" customHeight="false" outlineLevel="0" collapsed="false">
      <c r="A1228" s="0" t="n">
        <f aca="false">B1228*1000+C1228</f>
        <v>24858</v>
      </c>
      <c r="B1228" s="0" t="n">
        <v>24</v>
      </c>
      <c r="C1228" s="0" t="n">
        <v>858</v>
      </c>
      <c r="D1228" s="0" t="n">
        <v>0</v>
      </c>
      <c r="E1228" s="0" t="n">
        <f aca="false">VLOOKUP(B1228,'Babblefish-APUMA'!$A$1:$B$86,2)</f>
        <v>101</v>
      </c>
      <c r="F1228" s="0" t="n">
        <f aca="false">IF(C1228&gt;1,IF(C1228&lt;99,VLOOKUP(C1228,'Babblefish-APUMA'!$A$1:$B$86,2),C1228),C1228)</f>
        <v>858</v>
      </c>
    </row>
    <row r="1229" customFormat="false" ht="12.75" hidden="false" customHeight="false" outlineLevel="0" collapsed="false">
      <c r="A1229" s="0" t="n">
        <f aca="false">B1229*1000+C1229</f>
        <v>24999</v>
      </c>
      <c r="B1229" s="0" t="n">
        <v>24</v>
      </c>
      <c r="C1229" s="0" t="n">
        <v>999</v>
      </c>
      <c r="D1229" s="0" t="n">
        <v>0</v>
      </c>
      <c r="E1229" s="0" t="n">
        <f aca="false">VLOOKUP(B1229,'Babblefish-APUMA'!$A$1:$B$86,2)</f>
        <v>101</v>
      </c>
      <c r="F1229" s="0" t="n">
        <f aca="false">IF(C1229&gt;1,IF(C1229&lt;99,VLOOKUP(C1229,'Babblefish-APUMA'!$A$1:$B$86,2),C1229),C1229)</f>
        <v>999</v>
      </c>
    </row>
    <row r="1230" customFormat="false" ht="12.75" hidden="false" customHeight="false" outlineLevel="0" collapsed="false">
      <c r="A1230" s="0" t="n">
        <f aca="false">B1230*1000+C1230</f>
        <v>25000</v>
      </c>
      <c r="B1230" s="0" t="n">
        <v>25</v>
      </c>
      <c r="C1230" s="0" t="n">
        <v>0</v>
      </c>
      <c r="D1230" s="0" t="n">
        <v>125554</v>
      </c>
      <c r="E1230" s="0" t="n">
        <f aca="false">VLOOKUP(B1230,'Babblefish-APUMA'!$A$1:$B$86,2)</f>
        <v>101</v>
      </c>
      <c r="F1230" s="0" t="n">
        <f aca="false">IF(C1230&gt;1,IF(C1230&lt;99,VLOOKUP(C1230,'Babblefish-APUMA'!$A$1:$B$86,2),C1230),C1230)</f>
        <v>0</v>
      </c>
    </row>
    <row r="1231" customFormat="false" ht="12.75" hidden="false" customHeight="false" outlineLevel="0" collapsed="false">
      <c r="A1231" s="0" t="n">
        <f aca="false">B1231*1000+C1231</f>
        <v>25001</v>
      </c>
      <c r="B1231" s="0" t="n">
        <v>25</v>
      </c>
      <c r="C1231" s="0" t="n">
        <v>1</v>
      </c>
      <c r="D1231" s="0" t="n">
        <v>78</v>
      </c>
      <c r="E1231" s="0" t="n">
        <f aca="false">VLOOKUP(B1231,'Babblefish-APUMA'!$A$1:$B$86,2)</f>
        <v>101</v>
      </c>
      <c r="F1231" s="0" t="n">
        <f aca="false">IF(C1231&gt;1,IF(C1231&lt;99,VLOOKUP(C1231,'Babblefish-APUMA'!$A$1:$B$86,2),C1231),C1231)</f>
        <v>1</v>
      </c>
    </row>
    <row r="1232" customFormat="false" ht="12.75" hidden="false" customHeight="false" outlineLevel="0" collapsed="false">
      <c r="A1232" s="0" t="n">
        <f aca="false">B1232*1000+C1232</f>
        <v>25002</v>
      </c>
      <c r="B1232" s="0" t="n">
        <v>25</v>
      </c>
      <c r="C1232" s="0" t="n">
        <v>2</v>
      </c>
      <c r="D1232" s="0" t="n">
        <v>0</v>
      </c>
      <c r="E1232" s="0" t="n">
        <f aca="false">VLOOKUP(B1232,'Babblefish-APUMA'!$A$1:$B$86,2)</f>
        <v>101</v>
      </c>
      <c r="F1232" s="0" t="n">
        <f aca="false">IF(C1232&gt;1,IF(C1232&lt;99,VLOOKUP(C1232,'Babblefish-APUMA'!$A$1:$B$86,2),C1232),C1232)</f>
        <v>2</v>
      </c>
    </row>
    <row r="1233" customFormat="false" ht="12.75" hidden="false" customHeight="false" outlineLevel="0" collapsed="false">
      <c r="A1233" s="0" t="n">
        <f aca="false">B1233*1000+C1233</f>
        <v>25003</v>
      </c>
      <c r="B1233" s="0" t="n">
        <v>25</v>
      </c>
      <c r="C1233" s="0" t="n">
        <v>3</v>
      </c>
      <c r="D1233" s="0" t="n">
        <v>0</v>
      </c>
      <c r="E1233" s="0" t="n">
        <f aca="false">VLOOKUP(B1233,'Babblefish-APUMA'!$A$1:$B$86,2)</f>
        <v>101</v>
      </c>
      <c r="F1233" s="0" t="n">
        <f aca="false">IF(C1233&gt;1,IF(C1233&lt;99,VLOOKUP(C1233,'Babblefish-APUMA'!$A$1:$B$86,2),C1233),C1233)</f>
        <v>3</v>
      </c>
    </row>
    <row r="1234" customFormat="false" ht="12.75" hidden="false" customHeight="false" outlineLevel="0" collapsed="false">
      <c r="A1234" s="0" t="n">
        <f aca="false">B1234*1000+C1234</f>
        <v>25004</v>
      </c>
      <c r="B1234" s="0" t="n">
        <v>25</v>
      </c>
      <c r="C1234" s="0" t="n">
        <v>4</v>
      </c>
      <c r="D1234" s="0" t="n">
        <v>0</v>
      </c>
      <c r="E1234" s="0" t="n">
        <f aca="false">VLOOKUP(B1234,'Babblefish-APUMA'!$A$1:$B$86,2)</f>
        <v>101</v>
      </c>
      <c r="F1234" s="0" t="n">
        <f aca="false">IF(C1234&gt;1,IF(C1234&lt;99,VLOOKUP(C1234,'Babblefish-APUMA'!$A$1:$B$86,2),C1234),C1234)</f>
        <v>4</v>
      </c>
    </row>
    <row r="1235" customFormat="false" ht="12.75" hidden="false" customHeight="false" outlineLevel="0" collapsed="false">
      <c r="A1235" s="0" t="n">
        <f aca="false">B1235*1000+C1235</f>
        <v>25005</v>
      </c>
      <c r="B1235" s="0" t="n">
        <v>25</v>
      </c>
      <c r="C1235" s="0" t="n">
        <v>5</v>
      </c>
      <c r="D1235" s="0" t="n">
        <v>0</v>
      </c>
      <c r="E1235" s="0" t="n">
        <f aca="false">VLOOKUP(B1235,'Babblefish-APUMA'!$A$1:$B$86,2)</f>
        <v>101</v>
      </c>
      <c r="F1235" s="0" t="n">
        <f aca="false">IF(C1235&gt;1,IF(C1235&lt;99,VLOOKUP(C1235,'Babblefish-APUMA'!$A$1:$B$86,2),C1235),C1235)</f>
        <v>5</v>
      </c>
    </row>
    <row r="1236" customFormat="false" ht="12.75" hidden="false" customHeight="false" outlineLevel="0" collapsed="false">
      <c r="A1236" s="0" t="n">
        <f aca="false">B1236*1000+C1236</f>
        <v>25006</v>
      </c>
      <c r="B1236" s="0" t="n">
        <v>25</v>
      </c>
      <c r="C1236" s="0" t="n">
        <v>6</v>
      </c>
      <c r="D1236" s="0" t="n">
        <v>0</v>
      </c>
      <c r="E1236" s="0" t="n">
        <f aca="false">VLOOKUP(B1236,'Babblefish-APUMA'!$A$1:$B$86,2)</f>
        <v>101</v>
      </c>
      <c r="F1236" s="0" t="n">
        <f aca="false">IF(C1236&gt;1,IF(C1236&lt;99,VLOOKUP(C1236,'Babblefish-APUMA'!$A$1:$B$86,2),C1236),C1236)</f>
        <v>6</v>
      </c>
    </row>
    <row r="1237" customFormat="false" ht="12.75" hidden="false" customHeight="false" outlineLevel="0" collapsed="false">
      <c r="A1237" s="0" t="n">
        <f aca="false">B1237*1000+C1237</f>
        <v>25007</v>
      </c>
      <c r="B1237" s="0" t="n">
        <v>25</v>
      </c>
      <c r="C1237" s="0" t="n">
        <v>7</v>
      </c>
      <c r="D1237" s="0" t="n">
        <v>0</v>
      </c>
      <c r="E1237" s="0" t="n">
        <f aca="false">VLOOKUP(B1237,'Babblefish-APUMA'!$A$1:$B$86,2)</f>
        <v>101</v>
      </c>
      <c r="F1237" s="0" t="n">
        <f aca="false">IF(C1237&gt;1,IF(C1237&lt;99,VLOOKUP(C1237,'Babblefish-APUMA'!$A$1:$B$86,2),C1237),C1237)</f>
        <v>7</v>
      </c>
    </row>
    <row r="1238" customFormat="false" ht="12.75" hidden="false" customHeight="false" outlineLevel="0" collapsed="false">
      <c r="A1238" s="0" t="n">
        <f aca="false">B1238*1000+C1238</f>
        <v>25008</v>
      </c>
      <c r="B1238" s="0" t="n">
        <v>25</v>
      </c>
      <c r="C1238" s="0" t="n">
        <v>8</v>
      </c>
      <c r="D1238" s="0" t="n">
        <v>0</v>
      </c>
      <c r="E1238" s="0" t="n">
        <f aca="false">VLOOKUP(B1238,'Babblefish-APUMA'!$A$1:$B$86,2)</f>
        <v>101</v>
      </c>
      <c r="F1238" s="0" t="n">
        <f aca="false">IF(C1238&gt;1,IF(C1238&lt;99,VLOOKUP(C1238,'Babblefish-APUMA'!$A$1:$B$86,2),C1238),C1238)</f>
        <v>8</v>
      </c>
    </row>
    <row r="1239" customFormat="false" ht="12.75" hidden="false" customHeight="false" outlineLevel="0" collapsed="false">
      <c r="A1239" s="0" t="n">
        <f aca="false">B1239*1000+C1239</f>
        <v>25009</v>
      </c>
      <c r="B1239" s="0" t="n">
        <v>25</v>
      </c>
      <c r="C1239" s="0" t="n">
        <v>9</v>
      </c>
      <c r="D1239" s="0" t="n">
        <v>0</v>
      </c>
      <c r="E1239" s="0" t="n">
        <f aca="false">VLOOKUP(B1239,'Babblefish-APUMA'!$A$1:$B$86,2)</f>
        <v>101</v>
      </c>
      <c r="F1239" s="0" t="n">
        <f aca="false">IF(C1239&gt;1,IF(C1239&lt;99,VLOOKUP(C1239,'Babblefish-APUMA'!$A$1:$B$86,2),C1239),C1239)</f>
        <v>9</v>
      </c>
    </row>
    <row r="1240" customFormat="false" ht="12.75" hidden="false" customHeight="false" outlineLevel="0" collapsed="false">
      <c r="A1240" s="0" t="n">
        <f aca="false">B1240*1000+C1240</f>
        <v>25010</v>
      </c>
      <c r="B1240" s="0" t="n">
        <v>25</v>
      </c>
      <c r="C1240" s="0" t="n">
        <v>10</v>
      </c>
      <c r="D1240" s="0" t="n">
        <v>0</v>
      </c>
      <c r="E1240" s="0" t="n">
        <f aca="false">VLOOKUP(B1240,'Babblefish-APUMA'!$A$1:$B$86,2)</f>
        <v>101</v>
      </c>
      <c r="F1240" s="0" t="n">
        <f aca="false">IF(C1240&gt;1,IF(C1240&lt;99,VLOOKUP(C1240,'Babblefish-APUMA'!$A$1:$B$86,2),C1240),C1240)</f>
        <v>10</v>
      </c>
    </row>
    <row r="1241" customFormat="false" ht="12.75" hidden="false" customHeight="false" outlineLevel="0" collapsed="false">
      <c r="A1241" s="0" t="n">
        <f aca="false">B1241*1000+C1241</f>
        <v>25011</v>
      </c>
      <c r="B1241" s="0" t="n">
        <v>25</v>
      </c>
      <c r="C1241" s="0" t="n">
        <v>11</v>
      </c>
      <c r="D1241" s="0" t="n">
        <v>0</v>
      </c>
      <c r="E1241" s="0" t="n">
        <f aca="false">VLOOKUP(B1241,'Babblefish-APUMA'!$A$1:$B$86,2)</f>
        <v>101</v>
      </c>
      <c r="F1241" s="0" t="n">
        <f aca="false">IF(C1241&gt;1,IF(C1241&lt;99,VLOOKUP(C1241,'Babblefish-APUMA'!$A$1:$B$86,2),C1241),C1241)</f>
        <v>11</v>
      </c>
    </row>
    <row r="1242" customFormat="false" ht="12.75" hidden="false" customHeight="false" outlineLevel="0" collapsed="false">
      <c r="A1242" s="0" t="n">
        <f aca="false">B1242*1000+C1242</f>
        <v>25012</v>
      </c>
      <c r="B1242" s="0" t="n">
        <v>25</v>
      </c>
      <c r="C1242" s="0" t="n">
        <v>12</v>
      </c>
      <c r="D1242" s="0" t="n">
        <v>156</v>
      </c>
      <c r="E1242" s="0" t="n">
        <f aca="false">VLOOKUP(B1242,'Babblefish-APUMA'!$A$1:$B$86,2)</f>
        <v>101</v>
      </c>
      <c r="F1242" s="0" t="n">
        <f aca="false">IF(C1242&gt;1,IF(C1242&lt;99,VLOOKUP(C1242,'Babblefish-APUMA'!$A$1:$B$86,2),C1242),C1242)</f>
        <v>12</v>
      </c>
    </row>
    <row r="1243" customFormat="false" ht="12.75" hidden="false" customHeight="false" outlineLevel="0" collapsed="false">
      <c r="A1243" s="0" t="n">
        <f aca="false">B1243*1000+C1243</f>
        <v>25013</v>
      </c>
      <c r="B1243" s="0" t="n">
        <v>25</v>
      </c>
      <c r="C1243" s="0" t="n">
        <v>13</v>
      </c>
      <c r="D1243" s="0" t="n">
        <v>0</v>
      </c>
      <c r="E1243" s="0" t="n">
        <f aca="false">VLOOKUP(B1243,'Babblefish-APUMA'!$A$1:$B$86,2)</f>
        <v>101</v>
      </c>
      <c r="F1243" s="0" t="n">
        <f aca="false">IF(C1243&gt;1,IF(C1243&lt;99,VLOOKUP(C1243,'Babblefish-APUMA'!$A$1:$B$86,2),C1243),C1243)</f>
        <v>100</v>
      </c>
    </row>
    <row r="1244" customFormat="false" ht="12.75" hidden="false" customHeight="false" outlineLevel="0" collapsed="false">
      <c r="A1244" s="0" t="n">
        <f aca="false">B1244*1000+C1244</f>
        <v>25014</v>
      </c>
      <c r="B1244" s="0" t="n">
        <v>25</v>
      </c>
      <c r="C1244" s="0" t="n">
        <v>14</v>
      </c>
      <c r="D1244" s="0" t="n">
        <v>0</v>
      </c>
      <c r="E1244" s="0" t="n">
        <f aca="false">VLOOKUP(B1244,'Babblefish-APUMA'!$A$1:$B$86,2)</f>
        <v>101</v>
      </c>
      <c r="F1244" s="0" t="n">
        <f aca="false">IF(C1244&gt;1,IF(C1244&lt;99,VLOOKUP(C1244,'Babblefish-APUMA'!$A$1:$B$86,2),C1244),C1244)</f>
        <v>100</v>
      </c>
    </row>
    <row r="1245" customFormat="false" ht="12.75" hidden="false" customHeight="false" outlineLevel="0" collapsed="false">
      <c r="A1245" s="0" t="n">
        <f aca="false">B1245*1000+C1245</f>
        <v>25015</v>
      </c>
      <c r="B1245" s="0" t="n">
        <v>25</v>
      </c>
      <c r="C1245" s="0" t="n">
        <v>15</v>
      </c>
      <c r="D1245" s="0" t="n">
        <v>0</v>
      </c>
      <c r="E1245" s="0" t="n">
        <f aca="false">VLOOKUP(B1245,'Babblefish-APUMA'!$A$1:$B$86,2)</f>
        <v>101</v>
      </c>
      <c r="F1245" s="0" t="n">
        <f aca="false">IF(C1245&gt;1,IF(C1245&lt;99,VLOOKUP(C1245,'Babblefish-APUMA'!$A$1:$B$86,2),C1245),C1245)</f>
        <v>15</v>
      </c>
    </row>
    <row r="1246" customFormat="false" ht="12.75" hidden="false" customHeight="false" outlineLevel="0" collapsed="false">
      <c r="A1246" s="0" t="n">
        <f aca="false">B1246*1000+C1246</f>
        <v>25016</v>
      </c>
      <c r="B1246" s="0" t="n">
        <v>25</v>
      </c>
      <c r="C1246" s="0" t="n">
        <v>16</v>
      </c>
      <c r="D1246" s="0" t="n">
        <v>0</v>
      </c>
      <c r="E1246" s="0" t="n">
        <f aca="false">VLOOKUP(B1246,'Babblefish-APUMA'!$A$1:$B$86,2)</f>
        <v>101</v>
      </c>
      <c r="F1246" s="0" t="n">
        <f aca="false">IF(C1246&gt;1,IF(C1246&lt;99,VLOOKUP(C1246,'Babblefish-APUMA'!$A$1:$B$86,2),C1246),C1246)</f>
        <v>99</v>
      </c>
    </row>
    <row r="1247" customFormat="false" ht="12.75" hidden="false" customHeight="false" outlineLevel="0" collapsed="false">
      <c r="A1247" s="0" t="n">
        <f aca="false">B1247*1000+C1247</f>
        <v>25017</v>
      </c>
      <c r="B1247" s="0" t="n">
        <v>25</v>
      </c>
      <c r="C1247" s="0" t="n">
        <v>17</v>
      </c>
      <c r="D1247" s="0" t="n">
        <v>0</v>
      </c>
      <c r="E1247" s="0" t="n">
        <f aca="false">VLOOKUP(B1247,'Babblefish-APUMA'!$A$1:$B$86,2)</f>
        <v>101</v>
      </c>
      <c r="F1247" s="0" t="n">
        <f aca="false">IF(C1247&gt;1,IF(C1247&lt;99,VLOOKUP(C1247,'Babblefish-APUMA'!$A$1:$B$86,2),C1247),C1247)</f>
        <v>87</v>
      </c>
    </row>
    <row r="1248" customFormat="false" ht="12.75" hidden="false" customHeight="false" outlineLevel="0" collapsed="false">
      <c r="A1248" s="0" t="n">
        <f aca="false">B1248*1000+C1248</f>
        <v>25018</v>
      </c>
      <c r="B1248" s="0" t="n">
        <v>25</v>
      </c>
      <c r="C1248" s="0" t="n">
        <v>18</v>
      </c>
      <c r="D1248" s="0" t="n">
        <v>364</v>
      </c>
      <c r="E1248" s="0" t="n">
        <f aca="false">VLOOKUP(B1248,'Babblefish-APUMA'!$A$1:$B$86,2)</f>
        <v>101</v>
      </c>
      <c r="F1248" s="0" t="n">
        <f aca="false">IF(C1248&gt;1,IF(C1248&lt;99,VLOOKUP(C1248,'Babblefish-APUMA'!$A$1:$B$86,2),C1248),C1248)</f>
        <v>87</v>
      </c>
    </row>
    <row r="1249" customFormat="false" ht="12.75" hidden="false" customHeight="false" outlineLevel="0" collapsed="false">
      <c r="A1249" s="0" t="n">
        <f aca="false">B1249*1000+C1249</f>
        <v>25019</v>
      </c>
      <c r="B1249" s="0" t="n">
        <v>25</v>
      </c>
      <c r="C1249" s="0" t="n">
        <v>19</v>
      </c>
      <c r="D1249" s="0" t="n">
        <v>78</v>
      </c>
      <c r="E1249" s="0" t="n">
        <f aca="false">VLOOKUP(B1249,'Babblefish-APUMA'!$A$1:$B$86,2)</f>
        <v>101</v>
      </c>
      <c r="F1249" s="0" t="n">
        <f aca="false">IF(C1249&gt;1,IF(C1249&lt;99,VLOOKUP(C1249,'Babblefish-APUMA'!$A$1:$B$86,2),C1249),C1249)</f>
        <v>19</v>
      </c>
    </row>
    <row r="1250" customFormat="false" ht="12.75" hidden="false" customHeight="false" outlineLevel="0" collapsed="false">
      <c r="A1250" s="0" t="n">
        <f aca="false">B1250*1000+C1250</f>
        <v>25020</v>
      </c>
      <c r="B1250" s="0" t="n">
        <v>25</v>
      </c>
      <c r="C1250" s="0" t="n">
        <v>20</v>
      </c>
      <c r="D1250" s="0" t="n">
        <v>299</v>
      </c>
      <c r="E1250" s="0" t="n">
        <f aca="false">VLOOKUP(B1250,'Babblefish-APUMA'!$A$1:$B$86,2)</f>
        <v>101</v>
      </c>
      <c r="F1250" s="0" t="n">
        <f aca="false">IF(C1250&gt;1,IF(C1250&lt;99,VLOOKUP(C1250,'Babblefish-APUMA'!$A$1:$B$86,2),C1250),C1250)</f>
        <v>86</v>
      </c>
    </row>
    <row r="1251" customFormat="false" ht="12.75" hidden="false" customHeight="false" outlineLevel="0" collapsed="false">
      <c r="A1251" s="0" t="n">
        <f aca="false">B1251*1000+C1251</f>
        <v>25021</v>
      </c>
      <c r="B1251" s="0" t="n">
        <v>25</v>
      </c>
      <c r="C1251" s="0" t="n">
        <v>21</v>
      </c>
      <c r="D1251" s="0" t="n">
        <v>1976</v>
      </c>
      <c r="E1251" s="0" t="n">
        <f aca="false">VLOOKUP(B1251,'Babblefish-APUMA'!$A$1:$B$86,2)</f>
        <v>101</v>
      </c>
      <c r="F1251" s="0" t="n">
        <f aca="false">IF(C1251&gt;1,IF(C1251&lt;99,VLOOKUP(C1251,'Babblefish-APUMA'!$A$1:$B$86,2),C1251),C1251)</f>
        <v>86</v>
      </c>
    </row>
    <row r="1252" customFormat="false" ht="12.75" hidden="false" customHeight="false" outlineLevel="0" collapsed="false">
      <c r="A1252" s="0" t="n">
        <f aca="false">B1252*1000+C1252</f>
        <v>25022</v>
      </c>
      <c r="B1252" s="0" t="n">
        <v>25</v>
      </c>
      <c r="C1252" s="0" t="n">
        <v>22</v>
      </c>
      <c r="D1252" s="0" t="n">
        <v>65</v>
      </c>
      <c r="E1252" s="0" t="n">
        <f aca="false">VLOOKUP(B1252,'Babblefish-APUMA'!$A$1:$B$86,2)</f>
        <v>101</v>
      </c>
      <c r="F1252" s="0" t="n">
        <f aca="false">IF(C1252&gt;1,IF(C1252&lt;99,VLOOKUP(C1252,'Babblefish-APUMA'!$A$1:$B$86,2),C1252),C1252)</f>
        <v>22</v>
      </c>
    </row>
    <row r="1253" customFormat="false" ht="12.75" hidden="false" customHeight="false" outlineLevel="0" collapsed="false">
      <c r="A1253" s="0" t="n">
        <f aca="false">B1253*1000+C1253</f>
        <v>25023</v>
      </c>
      <c r="B1253" s="0" t="n">
        <v>25</v>
      </c>
      <c r="C1253" s="0" t="n">
        <v>23</v>
      </c>
      <c r="D1253" s="0" t="n">
        <v>3029</v>
      </c>
      <c r="E1253" s="0" t="n">
        <f aca="false">VLOOKUP(B1253,'Babblefish-APUMA'!$A$1:$B$86,2)</f>
        <v>101</v>
      </c>
      <c r="F1253" s="0" t="n">
        <f aca="false">IF(C1253&gt;1,IF(C1253&lt;99,VLOOKUP(C1253,'Babblefish-APUMA'!$A$1:$B$86,2),C1253),C1253)</f>
        <v>97</v>
      </c>
    </row>
    <row r="1254" customFormat="false" ht="12.75" hidden="false" customHeight="false" outlineLevel="0" collapsed="false">
      <c r="A1254" s="0" t="n">
        <f aca="false">B1254*1000+C1254</f>
        <v>25024</v>
      </c>
      <c r="B1254" s="0" t="n">
        <v>25</v>
      </c>
      <c r="C1254" s="0" t="n">
        <v>24</v>
      </c>
      <c r="D1254" s="0" t="n">
        <v>22893</v>
      </c>
      <c r="E1254" s="0" t="n">
        <f aca="false">VLOOKUP(B1254,'Babblefish-APUMA'!$A$1:$B$86,2)</f>
        <v>101</v>
      </c>
      <c r="F1254" s="0" t="n">
        <f aca="false">IF(C1254&gt;1,IF(C1254&lt;99,VLOOKUP(C1254,'Babblefish-APUMA'!$A$1:$B$86,2),C1254),C1254)</f>
        <v>101</v>
      </c>
    </row>
    <row r="1255" customFormat="false" ht="12.75" hidden="false" customHeight="false" outlineLevel="0" collapsed="false">
      <c r="A1255" s="0" t="n">
        <f aca="false">B1255*1000+C1255</f>
        <v>25025</v>
      </c>
      <c r="B1255" s="0" t="n">
        <v>25</v>
      </c>
      <c r="C1255" s="0" t="n">
        <v>25</v>
      </c>
      <c r="D1255" s="0" t="n">
        <v>42302</v>
      </c>
      <c r="E1255" s="0" t="n">
        <f aca="false">VLOOKUP(B1255,'Babblefish-APUMA'!$A$1:$B$86,2)</f>
        <v>101</v>
      </c>
      <c r="F1255" s="0" t="n">
        <f aca="false">IF(C1255&gt;1,IF(C1255&lt;99,VLOOKUP(C1255,'Babblefish-APUMA'!$A$1:$B$86,2),C1255),C1255)</f>
        <v>101</v>
      </c>
    </row>
    <row r="1256" customFormat="false" ht="12.75" hidden="false" customHeight="false" outlineLevel="0" collapsed="false">
      <c r="A1256" s="0" t="n">
        <f aca="false">B1256*1000+C1256</f>
        <v>25026</v>
      </c>
      <c r="B1256" s="0" t="n">
        <v>25</v>
      </c>
      <c r="C1256" s="0" t="n">
        <v>26</v>
      </c>
      <c r="D1256" s="0" t="n">
        <v>325</v>
      </c>
      <c r="E1256" s="0" t="n">
        <f aca="false">VLOOKUP(B1256,'Babblefish-APUMA'!$A$1:$B$86,2)</f>
        <v>101</v>
      </c>
      <c r="F1256" s="0" t="n">
        <f aca="false">IF(C1256&gt;1,IF(C1256&lt;99,VLOOKUP(C1256,'Babblefish-APUMA'!$A$1:$B$86,2),C1256),C1256)</f>
        <v>26</v>
      </c>
    </row>
    <row r="1257" customFormat="false" ht="12.75" hidden="false" customHeight="false" outlineLevel="0" collapsed="false">
      <c r="A1257" s="0" t="n">
        <f aca="false">B1257*1000+C1257</f>
        <v>25027</v>
      </c>
      <c r="B1257" s="0" t="n">
        <v>25</v>
      </c>
      <c r="C1257" s="0" t="n">
        <v>27</v>
      </c>
      <c r="D1257" s="0" t="n">
        <v>117</v>
      </c>
      <c r="E1257" s="0" t="n">
        <f aca="false">VLOOKUP(B1257,'Babblefish-APUMA'!$A$1:$B$86,2)</f>
        <v>101</v>
      </c>
      <c r="F1257" s="0" t="n">
        <f aca="false">IF(C1257&gt;1,IF(C1257&lt;99,VLOOKUP(C1257,'Babblefish-APUMA'!$A$1:$B$86,2),C1257),C1257)</f>
        <v>27</v>
      </c>
    </row>
    <row r="1258" customFormat="false" ht="12.75" hidden="false" customHeight="false" outlineLevel="0" collapsed="false">
      <c r="A1258" s="0" t="n">
        <f aca="false">B1258*1000+C1258</f>
        <v>25028</v>
      </c>
      <c r="B1258" s="0" t="n">
        <v>25</v>
      </c>
      <c r="C1258" s="0" t="n">
        <v>28</v>
      </c>
      <c r="D1258" s="0" t="n">
        <v>104</v>
      </c>
      <c r="E1258" s="0" t="n">
        <f aca="false">VLOOKUP(B1258,'Babblefish-APUMA'!$A$1:$B$86,2)</f>
        <v>101</v>
      </c>
      <c r="F1258" s="0" t="n">
        <f aca="false">IF(C1258&gt;1,IF(C1258&lt;99,VLOOKUP(C1258,'Babblefish-APUMA'!$A$1:$B$86,2),C1258),C1258)</f>
        <v>94</v>
      </c>
    </row>
    <row r="1259" customFormat="false" ht="12.75" hidden="false" customHeight="false" outlineLevel="0" collapsed="false">
      <c r="A1259" s="0" t="n">
        <f aca="false">B1259*1000+C1259</f>
        <v>25029</v>
      </c>
      <c r="B1259" s="0" t="n">
        <v>25</v>
      </c>
      <c r="C1259" s="0" t="n">
        <v>29</v>
      </c>
      <c r="D1259" s="0" t="n">
        <v>0</v>
      </c>
      <c r="E1259" s="0" t="n">
        <f aca="false">VLOOKUP(B1259,'Babblefish-APUMA'!$A$1:$B$86,2)</f>
        <v>101</v>
      </c>
      <c r="F1259" s="0" t="n">
        <f aca="false">IF(C1259&gt;1,IF(C1259&lt;99,VLOOKUP(C1259,'Babblefish-APUMA'!$A$1:$B$86,2),C1259),C1259)</f>
        <v>94</v>
      </c>
    </row>
    <row r="1260" customFormat="false" ht="12.75" hidden="false" customHeight="false" outlineLevel="0" collapsed="false">
      <c r="A1260" s="0" t="n">
        <f aca="false">B1260*1000+C1260</f>
        <v>25030</v>
      </c>
      <c r="B1260" s="0" t="n">
        <v>25</v>
      </c>
      <c r="C1260" s="0" t="n">
        <v>30</v>
      </c>
      <c r="D1260" s="0" t="n">
        <v>2457</v>
      </c>
      <c r="E1260" s="0" t="n">
        <f aca="false">VLOOKUP(B1260,'Babblefish-APUMA'!$A$1:$B$86,2)</f>
        <v>101</v>
      </c>
      <c r="F1260" s="0" t="n">
        <f aca="false">IF(C1260&gt;1,IF(C1260&lt;99,VLOOKUP(C1260,'Babblefish-APUMA'!$A$1:$B$86,2),C1260),C1260)</f>
        <v>30</v>
      </c>
    </row>
    <row r="1261" customFormat="false" ht="12.75" hidden="false" customHeight="false" outlineLevel="0" collapsed="false">
      <c r="A1261" s="0" t="n">
        <f aca="false">B1261*1000+C1261</f>
        <v>25031</v>
      </c>
      <c r="B1261" s="0" t="n">
        <v>25</v>
      </c>
      <c r="C1261" s="0" t="n">
        <v>31</v>
      </c>
      <c r="D1261" s="0" t="n">
        <v>0</v>
      </c>
      <c r="E1261" s="0" t="n">
        <f aca="false">VLOOKUP(B1261,'Babblefish-APUMA'!$A$1:$B$86,2)</f>
        <v>101</v>
      </c>
      <c r="F1261" s="0" t="n">
        <f aca="false">IF(C1261&gt;1,IF(C1261&lt;99,VLOOKUP(C1261,'Babblefish-APUMA'!$A$1:$B$86,2),C1261),C1261)</f>
        <v>31</v>
      </c>
    </row>
    <row r="1262" customFormat="false" ht="12.75" hidden="false" customHeight="false" outlineLevel="0" collapsed="false">
      <c r="A1262" s="0" t="n">
        <f aca="false">B1262*1000+C1262</f>
        <v>25032</v>
      </c>
      <c r="B1262" s="0" t="n">
        <v>25</v>
      </c>
      <c r="C1262" s="0" t="n">
        <v>32</v>
      </c>
      <c r="D1262" s="0" t="n">
        <v>0</v>
      </c>
      <c r="E1262" s="0" t="n">
        <f aca="false">VLOOKUP(B1262,'Babblefish-APUMA'!$A$1:$B$86,2)</f>
        <v>101</v>
      </c>
      <c r="F1262" s="0" t="n">
        <f aca="false">IF(C1262&gt;1,IF(C1262&lt;99,VLOOKUP(C1262,'Babblefish-APUMA'!$A$1:$B$86,2),C1262),C1262)</f>
        <v>32</v>
      </c>
    </row>
    <row r="1263" customFormat="false" ht="12.75" hidden="false" customHeight="false" outlineLevel="0" collapsed="false">
      <c r="A1263" s="0" t="n">
        <f aca="false">B1263*1000+C1263</f>
        <v>25033</v>
      </c>
      <c r="B1263" s="0" t="n">
        <v>25</v>
      </c>
      <c r="C1263" s="0" t="n">
        <v>33</v>
      </c>
      <c r="D1263" s="0" t="n">
        <v>0</v>
      </c>
      <c r="E1263" s="0" t="n">
        <f aca="false">VLOOKUP(B1263,'Babblefish-APUMA'!$A$1:$B$86,2)</f>
        <v>101</v>
      </c>
      <c r="F1263" s="0" t="n">
        <f aca="false">IF(C1263&gt;1,IF(C1263&lt;99,VLOOKUP(C1263,'Babblefish-APUMA'!$A$1:$B$86,2),C1263),C1263)</f>
        <v>96</v>
      </c>
    </row>
    <row r="1264" customFormat="false" ht="12.75" hidden="false" customHeight="false" outlineLevel="0" collapsed="false">
      <c r="A1264" s="0" t="n">
        <f aca="false">B1264*1000+C1264</f>
        <v>25034</v>
      </c>
      <c r="B1264" s="0" t="n">
        <v>25</v>
      </c>
      <c r="C1264" s="0" t="n">
        <v>34</v>
      </c>
      <c r="D1264" s="0" t="n">
        <v>0</v>
      </c>
      <c r="E1264" s="0" t="n">
        <f aca="false">VLOOKUP(B1264,'Babblefish-APUMA'!$A$1:$B$86,2)</f>
        <v>101</v>
      </c>
      <c r="F1264" s="0" t="n">
        <f aca="false">IF(C1264&gt;1,IF(C1264&lt;99,VLOOKUP(C1264,'Babblefish-APUMA'!$A$1:$B$86,2),C1264),C1264)</f>
        <v>96</v>
      </c>
    </row>
    <row r="1265" customFormat="false" ht="12.75" hidden="false" customHeight="false" outlineLevel="0" collapsed="false">
      <c r="A1265" s="0" t="n">
        <f aca="false">B1265*1000+C1265</f>
        <v>25035</v>
      </c>
      <c r="B1265" s="0" t="n">
        <v>25</v>
      </c>
      <c r="C1265" s="0" t="n">
        <v>35</v>
      </c>
      <c r="D1265" s="0" t="n">
        <v>0</v>
      </c>
      <c r="E1265" s="0" t="n">
        <f aca="false">VLOOKUP(B1265,'Babblefish-APUMA'!$A$1:$B$86,2)</f>
        <v>101</v>
      </c>
      <c r="F1265" s="0" t="n">
        <f aca="false">IF(C1265&gt;1,IF(C1265&lt;99,VLOOKUP(C1265,'Babblefish-APUMA'!$A$1:$B$86,2),C1265),C1265)</f>
        <v>96</v>
      </c>
    </row>
    <row r="1266" customFormat="false" ht="12.75" hidden="false" customHeight="false" outlineLevel="0" collapsed="false">
      <c r="A1266" s="0" t="n">
        <f aca="false">B1266*1000+C1266</f>
        <v>25037</v>
      </c>
      <c r="B1266" s="0" t="n">
        <v>25</v>
      </c>
      <c r="C1266" s="0" t="n">
        <v>37</v>
      </c>
      <c r="D1266" s="0" t="n">
        <v>0</v>
      </c>
      <c r="E1266" s="0" t="n">
        <f aca="false">VLOOKUP(B1266,'Babblefish-APUMA'!$A$1:$B$86,2)</f>
        <v>101</v>
      </c>
      <c r="F1266" s="0" t="n">
        <f aca="false">IF(C1266&gt;1,IF(C1266&lt;99,VLOOKUP(C1266,'Babblefish-APUMA'!$A$1:$B$86,2),C1266),C1266)</f>
        <v>96</v>
      </c>
    </row>
    <row r="1267" customFormat="false" ht="12.75" hidden="false" customHeight="false" outlineLevel="0" collapsed="false">
      <c r="A1267" s="0" t="n">
        <f aca="false">B1267*1000+C1267</f>
        <v>25038</v>
      </c>
      <c r="B1267" s="0" t="n">
        <v>25</v>
      </c>
      <c r="C1267" s="0" t="n">
        <v>38</v>
      </c>
      <c r="D1267" s="0" t="n">
        <v>0</v>
      </c>
      <c r="E1267" s="0" t="n">
        <f aca="false">VLOOKUP(B1267,'Babblefish-APUMA'!$A$1:$B$86,2)</f>
        <v>101</v>
      </c>
      <c r="F1267" s="0" t="n">
        <f aca="false">IF(C1267&gt;1,IF(C1267&lt;99,VLOOKUP(C1267,'Babblefish-APUMA'!$A$1:$B$86,2),C1267),C1267)</f>
        <v>91</v>
      </c>
    </row>
    <row r="1268" customFormat="false" ht="12.75" hidden="false" customHeight="false" outlineLevel="0" collapsed="false">
      <c r="A1268" s="0" t="n">
        <f aca="false">B1268*1000+C1268</f>
        <v>25039</v>
      </c>
      <c r="B1268" s="0" t="n">
        <v>25</v>
      </c>
      <c r="C1268" s="0" t="n">
        <v>39</v>
      </c>
      <c r="D1268" s="0" t="n">
        <v>0</v>
      </c>
      <c r="E1268" s="0" t="n">
        <f aca="false">VLOOKUP(B1268,'Babblefish-APUMA'!$A$1:$B$86,2)</f>
        <v>101</v>
      </c>
      <c r="F1268" s="0" t="n">
        <f aca="false">IF(C1268&gt;1,IF(C1268&lt;99,VLOOKUP(C1268,'Babblefish-APUMA'!$A$1:$B$86,2),C1268),C1268)</f>
        <v>91</v>
      </c>
    </row>
    <row r="1269" customFormat="false" ht="12.75" hidden="false" customHeight="false" outlineLevel="0" collapsed="false">
      <c r="A1269" s="0" t="n">
        <f aca="false">B1269*1000+C1269</f>
        <v>25040</v>
      </c>
      <c r="B1269" s="0" t="n">
        <v>25</v>
      </c>
      <c r="C1269" s="0" t="n">
        <v>40</v>
      </c>
      <c r="D1269" s="0" t="n">
        <v>182</v>
      </c>
      <c r="E1269" s="0" t="n">
        <f aca="false">VLOOKUP(B1269,'Babblefish-APUMA'!$A$1:$B$86,2)</f>
        <v>101</v>
      </c>
      <c r="F1269" s="0" t="n">
        <f aca="false">IF(C1269&gt;1,IF(C1269&lt;99,VLOOKUP(C1269,'Babblefish-APUMA'!$A$1:$B$86,2),C1269),C1269)</f>
        <v>88</v>
      </c>
    </row>
    <row r="1270" customFormat="false" ht="12.75" hidden="false" customHeight="false" outlineLevel="0" collapsed="false">
      <c r="A1270" s="0" t="n">
        <f aca="false">B1270*1000+C1270</f>
        <v>25041</v>
      </c>
      <c r="B1270" s="0" t="n">
        <v>25</v>
      </c>
      <c r="C1270" s="0" t="n">
        <v>41</v>
      </c>
      <c r="D1270" s="0" t="n">
        <v>0</v>
      </c>
      <c r="E1270" s="0" t="n">
        <f aca="false">VLOOKUP(B1270,'Babblefish-APUMA'!$A$1:$B$86,2)</f>
        <v>101</v>
      </c>
      <c r="F1270" s="0" t="n">
        <f aca="false">IF(C1270&gt;1,IF(C1270&lt;99,VLOOKUP(C1270,'Babblefish-APUMA'!$A$1:$B$86,2),C1270),C1270)</f>
        <v>88</v>
      </c>
    </row>
    <row r="1271" customFormat="false" ht="12.75" hidden="false" customHeight="false" outlineLevel="0" collapsed="false">
      <c r="A1271" s="0" t="n">
        <f aca="false">B1271*1000+C1271</f>
        <v>25042</v>
      </c>
      <c r="B1271" s="0" t="n">
        <v>25</v>
      </c>
      <c r="C1271" s="0" t="n">
        <v>42</v>
      </c>
      <c r="D1271" s="0" t="n">
        <v>0</v>
      </c>
      <c r="E1271" s="0" t="n">
        <f aca="false">VLOOKUP(B1271,'Babblefish-APUMA'!$A$1:$B$86,2)</f>
        <v>101</v>
      </c>
      <c r="F1271" s="0" t="n">
        <f aca="false">IF(C1271&gt;1,IF(C1271&lt;99,VLOOKUP(C1271,'Babblefish-APUMA'!$A$1:$B$86,2),C1271),C1271)</f>
        <v>92</v>
      </c>
    </row>
    <row r="1272" customFormat="false" ht="12.75" hidden="false" customHeight="false" outlineLevel="0" collapsed="false">
      <c r="A1272" s="0" t="n">
        <f aca="false">B1272*1000+C1272</f>
        <v>25043</v>
      </c>
      <c r="B1272" s="0" t="n">
        <v>25</v>
      </c>
      <c r="C1272" s="0" t="n">
        <v>43</v>
      </c>
      <c r="D1272" s="0" t="n">
        <v>0</v>
      </c>
      <c r="E1272" s="0" t="n">
        <f aca="false">VLOOKUP(B1272,'Babblefish-APUMA'!$A$1:$B$86,2)</f>
        <v>101</v>
      </c>
      <c r="F1272" s="0" t="n">
        <f aca="false">IF(C1272&gt;1,IF(C1272&lt;99,VLOOKUP(C1272,'Babblefish-APUMA'!$A$1:$B$86,2),C1272),C1272)</f>
        <v>92</v>
      </c>
    </row>
    <row r="1273" customFormat="false" ht="12.75" hidden="false" customHeight="false" outlineLevel="0" collapsed="false">
      <c r="A1273" s="0" t="n">
        <f aca="false">B1273*1000+C1273</f>
        <v>25046</v>
      </c>
      <c r="B1273" s="0" t="n">
        <v>25</v>
      </c>
      <c r="C1273" s="0" t="n">
        <v>46</v>
      </c>
      <c r="D1273" s="0" t="n">
        <v>0</v>
      </c>
      <c r="E1273" s="0" t="n">
        <f aca="false">VLOOKUP(B1273,'Babblefish-APUMA'!$A$1:$B$86,2)</f>
        <v>101</v>
      </c>
      <c r="F1273" s="0" t="n">
        <f aca="false">IF(C1273&gt;1,IF(C1273&lt;99,VLOOKUP(C1273,'Babblefish-APUMA'!$A$1:$B$86,2),C1273),C1273)</f>
        <v>92</v>
      </c>
    </row>
    <row r="1274" customFormat="false" ht="12.75" hidden="false" customHeight="false" outlineLevel="0" collapsed="false">
      <c r="A1274" s="0" t="n">
        <f aca="false">B1274*1000+C1274</f>
        <v>25048</v>
      </c>
      <c r="B1274" s="0" t="n">
        <v>25</v>
      </c>
      <c r="C1274" s="0" t="n">
        <v>48</v>
      </c>
      <c r="D1274" s="0" t="n">
        <v>0</v>
      </c>
      <c r="E1274" s="0" t="n">
        <f aca="false">VLOOKUP(B1274,'Babblefish-APUMA'!$A$1:$B$86,2)</f>
        <v>101</v>
      </c>
      <c r="F1274" s="0" t="n">
        <f aca="false">IF(C1274&gt;1,IF(C1274&lt;99,VLOOKUP(C1274,'Babblefish-APUMA'!$A$1:$B$86,2),C1274),C1274)</f>
        <v>92</v>
      </c>
    </row>
    <row r="1275" customFormat="false" ht="12.75" hidden="false" customHeight="false" outlineLevel="0" collapsed="false">
      <c r="A1275" s="0" t="n">
        <f aca="false">B1275*1000+C1275</f>
        <v>25049</v>
      </c>
      <c r="B1275" s="0" t="n">
        <v>25</v>
      </c>
      <c r="C1275" s="0" t="n">
        <v>49</v>
      </c>
      <c r="D1275" s="0" t="n">
        <v>780</v>
      </c>
      <c r="E1275" s="0" t="n">
        <f aca="false">VLOOKUP(B1275,'Babblefish-APUMA'!$A$1:$B$86,2)</f>
        <v>101</v>
      </c>
      <c r="F1275" s="0" t="n">
        <f aca="false">IF(C1275&gt;1,IF(C1275&lt;99,VLOOKUP(C1275,'Babblefish-APUMA'!$A$1:$B$86,2),C1275),C1275)</f>
        <v>98</v>
      </c>
    </row>
    <row r="1276" customFormat="false" ht="12.75" hidden="false" customHeight="false" outlineLevel="0" collapsed="false">
      <c r="A1276" s="0" t="n">
        <f aca="false">B1276*1000+C1276</f>
        <v>25050</v>
      </c>
      <c r="B1276" s="0" t="n">
        <v>25</v>
      </c>
      <c r="C1276" s="0" t="n">
        <v>50</v>
      </c>
      <c r="D1276" s="0" t="n">
        <v>130</v>
      </c>
      <c r="E1276" s="0" t="n">
        <f aca="false">VLOOKUP(B1276,'Babblefish-APUMA'!$A$1:$B$86,2)</f>
        <v>101</v>
      </c>
      <c r="F1276" s="0" t="n">
        <f aca="false">IF(C1276&gt;1,IF(C1276&lt;99,VLOOKUP(C1276,'Babblefish-APUMA'!$A$1:$B$86,2),C1276),C1276)</f>
        <v>98</v>
      </c>
    </row>
    <row r="1277" customFormat="false" ht="12.75" hidden="false" customHeight="false" outlineLevel="0" collapsed="false">
      <c r="A1277" s="0" t="n">
        <f aca="false">B1277*1000+C1277</f>
        <v>25051</v>
      </c>
      <c r="B1277" s="0" t="n">
        <v>25</v>
      </c>
      <c r="C1277" s="0" t="n">
        <v>51</v>
      </c>
      <c r="D1277" s="0" t="n">
        <v>221</v>
      </c>
      <c r="E1277" s="0" t="n">
        <f aca="false">VLOOKUP(B1277,'Babblefish-APUMA'!$A$1:$B$86,2)</f>
        <v>101</v>
      </c>
      <c r="F1277" s="0" t="n">
        <f aca="false">IF(C1277&gt;1,IF(C1277&lt;99,VLOOKUP(C1277,'Babblefish-APUMA'!$A$1:$B$86,2),C1277),C1277)</f>
        <v>98</v>
      </c>
    </row>
    <row r="1278" customFormat="false" ht="12.75" hidden="false" customHeight="false" outlineLevel="0" collapsed="false">
      <c r="A1278" s="0" t="n">
        <f aca="false">B1278*1000+C1278</f>
        <v>25052</v>
      </c>
      <c r="B1278" s="0" t="n">
        <v>25</v>
      </c>
      <c r="C1278" s="0" t="n">
        <v>52</v>
      </c>
      <c r="D1278" s="0" t="n">
        <v>0</v>
      </c>
      <c r="E1278" s="0" t="n">
        <f aca="false">VLOOKUP(B1278,'Babblefish-APUMA'!$A$1:$B$86,2)</f>
        <v>101</v>
      </c>
      <c r="F1278" s="0" t="n">
        <f aca="false">IF(C1278&gt;1,IF(C1278&lt;99,VLOOKUP(C1278,'Babblefish-APUMA'!$A$1:$B$86,2),C1278),C1278)</f>
        <v>90</v>
      </c>
    </row>
    <row r="1279" customFormat="false" ht="12.75" hidden="false" customHeight="false" outlineLevel="0" collapsed="false">
      <c r="A1279" s="0" t="n">
        <f aca="false">B1279*1000+C1279</f>
        <v>25053</v>
      </c>
      <c r="B1279" s="0" t="n">
        <v>25</v>
      </c>
      <c r="C1279" s="0" t="n">
        <v>53</v>
      </c>
      <c r="D1279" s="0" t="n">
        <v>0</v>
      </c>
      <c r="E1279" s="0" t="n">
        <f aca="false">VLOOKUP(B1279,'Babblefish-APUMA'!$A$1:$B$86,2)</f>
        <v>101</v>
      </c>
      <c r="F1279" s="0" t="n">
        <f aca="false">IF(C1279&gt;1,IF(C1279&lt;99,VLOOKUP(C1279,'Babblefish-APUMA'!$A$1:$B$86,2),C1279),C1279)</f>
        <v>90</v>
      </c>
    </row>
    <row r="1280" customFormat="false" ht="12.75" hidden="false" customHeight="false" outlineLevel="0" collapsed="false">
      <c r="A1280" s="0" t="n">
        <f aca="false">B1280*1000+C1280</f>
        <v>25054</v>
      </c>
      <c r="B1280" s="0" t="n">
        <v>25</v>
      </c>
      <c r="C1280" s="0" t="n">
        <v>54</v>
      </c>
      <c r="D1280" s="0" t="n">
        <v>0</v>
      </c>
      <c r="E1280" s="0" t="n">
        <f aca="false">VLOOKUP(B1280,'Babblefish-APUMA'!$A$1:$B$86,2)</f>
        <v>101</v>
      </c>
      <c r="F1280" s="0" t="n">
        <f aca="false">IF(C1280&gt;1,IF(C1280&lt;99,VLOOKUP(C1280,'Babblefish-APUMA'!$A$1:$B$86,2),C1280),C1280)</f>
        <v>90</v>
      </c>
    </row>
    <row r="1281" customFormat="false" ht="12.75" hidden="false" customHeight="false" outlineLevel="0" collapsed="false">
      <c r="A1281" s="0" t="n">
        <f aca="false">B1281*1000+C1281</f>
        <v>25055</v>
      </c>
      <c r="B1281" s="0" t="n">
        <v>25</v>
      </c>
      <c r="C1281" s="0" t="n">
        <v>55</v>
      </c>
      <c r="D1281" s="0" t="n">
        <v>0</v>
      </c>
      <c r="E1281" s="0" t="n">
        <f aca="false">VLOOKUP(B1281,'Babblefish-APUMA'!$A$1:$B$86,2)</f>
        <v>101</v>
      </c>
      <c r="F1281" s="0" t="n">
        <f aca="false">IF(C1281&gt;1,IF(C1281&lt;99,VLOOKUP(C1281,'Babblefish-APUMA'!$A$1:$B$86,2),C1281),C1281)</f>
        <v>90</v>
      </c>
    </row>
    <row r="1282" customFormat="false" ht="12.75" hidden="false" customHeight="false" outlineLevel="0" collapsed="false">
      <c r="A1282" s="0" t="n">
        <f aca="false">B1282*1000+C1282</f>
        <v>25057</v>
      </c>
      <c r="B1282" s="0" t="n">
        <v>25</v>
      </c>
      <c r="C1282" s="0" t="n">
        <v>57</v>
      </c>
      <c r="D1282" s="0" t="n">
        <v>0</v>
      </c>
      <c r="E1282" s="0" t="n">
        <f aca="false">VLOOKUP(B1282,'Babblefish-APUMA'!$A$1:$B$86,2)</f>
        <v>101</v>
      </c>
      <c r="F1282" s="0" t="n">
        <f aca="false">IF(C1282&gt;1,IF(C1282&lt;99,VLOOKUP(C1282,'Babblefish-APUMA'!$A$1:$B$86,2),C1282),C1282)</f>
        <v>90</v>
      </c>
    </row>
    <row r="1283" customFormat="false" ht="12.75" hidden="false" customHeight="false" outlineLevel="0" collapsed="false">
      <c r="A1283" s="0" t="n">
        <f aca="false">B1283*1000+C1283</f>
        <v>25059</v>
      </c>
      <c r="B1283" s="0" t="n">
        <v>25</v>
      </c>
      <c r="C1283" s="0" t="n">
        <v>59</v>
      </c>
      <c r="D1283" s="0" t="n">
        <v>0</v>
      </c>
      <c r="E1283" s="0" t="n">
        <f aca="false">VLOOKUP(B1283,'Babblefish-APUMA'!$A$1:$B$86,2)</f>
        <v>101</v>
      </c>
      <c r="F1283" s="0" t="n">
        <f aca="false">IF(C1283&gt;1,IF(C1283&lt;99,VLOOKUP(C1283,'Babblefish-APUMA'!$A$1:$B$86,2),C1283),C1283)</f>
        <v>90</v>
      </c>
    </row>
    <row r="1284" customFormat="false" ht="12.75" hidden="false" customHeight="false" outlineLevel="0" collapsed="false">
      <c r="A1284" s="0" t="n">
        <f aca="false">B1284*1000+C1284</f>
        <v>25060</v>
      </c>
      <c r="B1284" s="0" t="n">
        <v>25</v>
      </c>
      <c r="C1284" s="0" t="n">
        <v>60</v>
      </c>
      <c r="D1284" s="0" t="n">
        <v>0</v>
      </c>
      <c r="E1284" s="0" t="n">
        <f aca="false">VLOOKUP(B1284,'Babblefish-APUMA'!$A$1:$B$86,2)</f>
        <v>101</v>
      </c>
      <c r="F1284" s="0" t="n">
        <f aca="false">IF(C1284&gt;1,IF(C1284&lt;99,VLOOKUP(C1284,'Babblefish-APUMA'!$A$1:$B$86,2),C1284),C1284)</f>
        <v>90</v>
      </c>
    </row>
    <row r="1285" customFormat="false" ht="12.75" hidden="false" customHeight="false" outlineLevel="0" collapsed="false">
      <c r="A1285" s="0" t="n">
        <f aca="false">B1285*1000+C1285</f>
        <v>25062</v>
      </c>
      <c r="B1285" s="0" t="n">
        <v>25</v>
      </c>
      <c r="C1285" s="0" t="n">
        <v>62</v>
      </c>
      <c r="D1285" s="0" t="n">
        <v>0</v>
      </c>
      <c r="E1285" s="0" t="n">
        <f aca="false">VLOOKUP(B1285,'Babblefish-APUMA'!$A$1:$B$86,2)</f>
        <v>101</v>
      </c>
      <c r="F1285" s="0" t="n">
        <f aca="false">IF(C1285&gt;1,IF(C1285&lt;99,VLOOKUP(C1285,'Babblefish-APUMA'!$A$1:$B$86,2),C1285),C1285)</f>
        <v>90</v>
      </c>
    </row>
    <row r="1286" customFormat="false" ht="12.75" hidden="false" customHeight="false" outlineLevel="0" collapsed="false">
      <c r="A1286" s="0" t="n">
        <f aca="false">B1286*1000+C1286</f>
        <v>25064</v>
      </c>
      <c r="B1286" s="0" t="n">
        <v>25</v>
      </c>
      <c r="C1286" s="0" t="n">
        <v>64</v>
      </c>
      <c r="D1286" s="0" t="n">
        <v>0</v>
      </c>
      <c r="E1286" s="0" t="n">
        <f aca="false">VLOOKUP(B1286,'Babblefish-APUMA'!$A$1:$B$86,2)</f>
        <v>101</v>
      </c>
      <c r="F1286" s="0" t="n">
        <f aca="false">IF(C1286&gt;1,IF(C1286&lt;99,VLOOKUP(C1286,'Babblefish-APUMA'!$A$1:$B$86,2),C1286),C1286)</f>
        <v>90</v>
      </c>
    </row>
    <row r="1287" customFormat="false" ht="12.75" hidden="false" customHeight="false" outlineLevel="0" collapsed="false">
      <c r="A1287" s="0" t="n">
        <f aca="false">B1287*1000+C1287</f>
        <v>25065</v>
      </c>
      <c r="B1287" s="0" t="n">
        <v>25</v>
      </c>
      <c r="C1287" s="0" t="n">
        <v>65</v>
      </c>
      <c r="D1287" s="0" t="n">
        <v>78</v>
      </c>
      <c r="E1287" s="0" t="n">
        <f aca="false">VLOOKUP(B1287,'Babblefish-APUMA'!$A$1:$B$86,2)</f>
        <v>101</v>
      </c>
      <c r="F1287" s="0" t="n">
        <f aca="false">IF(C1287&gt;1,IF(C1287&lt;99,VLOOKUP(C1287,'Babblefish-APUMA'!$A$1:$B$86,2),C1287),C1287)</f>
        <v>90</v>
      </c>
    </row>
    <row r="1288" customFormat="false" ht="12.75" hidden="false" customHeight="false" outlineLevel="0" collapsed="false">
      <c r="A1288" s="0" t="n">
        <f aca="false">B1288*1000+C1288</f>
        <v>25066</v>
      </c>
      <c r="B1288" s="0" t="n">
        <v>25</v>
      </c>
      <c r="C1288" s="0" t="n">
        <v>66</v>
      </c>
      <c r="D1288" s="0" t="n">
        <v>0</v>
      </c>
      <c r="E1288" s="0" t="n">
        <f aca="false">VLOOKUP(B1288,'Babblefish-APUMA'!$A$1:$B$86,2)</f>
        <v>101</v>
      </c>
      <c r="F1288" s="0" t="n">
        <f aca="false">IF(C1288&gt;1,IF(C1288&lt;99,VLOOKUP(C1288,'Babblefish-APUMA'!$A$1:$B$86,2),C1288),C1288)</f>
        <v>90</v>
      </c>
    </row>
    <row r="1289" customFormat="false" ht="12.75" hidden="false" customHeight="false" outlineLevel="0" collapsed="false">
      <c r="A1289" s="0" t="n">
        <f aca="false">B1289*1000+C1289</f>
        <v>25067</v>
      </c>
      <c r="B1289" s="0" t="n">
        <v>25</v>
      </c>
      <c r="C1289" s="0" t="n">
        <v>67</v>
      </c>
      <c r="D1289" s="0" t="n">
        <v>0</v>
      </c>
      <c r="E1289" s="0" t="n">
        <f aca="false">VLOOKUP(B1289,'Babblefish-APUMA'!$A$1:$B$86,2)</f>
        <v>101</v>
      </c>
      <c r="F1289" s="0" t="n">
        <f aca="false">IF(C1289&gt;1,IF(C1289&lt;99,VLOOKUP(C1289,'Babblefish-APUMA'!$A$1:$B$86,2),C1289),C1289)</f>
        <v>103</v>
      </c>
    </row>
    <row r="1290" customFormat="false" ht="12.75" hidden="false" customHeight="false" outlineLevel="0" collapsed="false">
      <c r="A1290" s="0" t="n">
        <f aca="false">B1290*1000+C1290</f>
        <v>25069</v>
      </c>
      <c r="B1290" s="0" t="n">
        <v>25</v>
      </c>
      <c r="C1290" s="0" t="n">
        <v>69</v>
      </c>
      <c r="D1290" s="0" t="n">
        <v>78</v>
      </c>
      <c r="E1290" s="0" t="n">
        <f aca="false">VLOOKUP(B1290,'Babblefish-APUMA'!$A$1:$B$86,2)</f>
        <v>101</v>
      </c>
      <c r="F1290" s="0" t="n">
        <f aca="false">IF(C1290&gt;1,IF(C1290&lt;99,VLOOKUP(C1290,'Babblefish-APUMA'!$A$1:$B$86,2),C1290),C1290)</f>
        <v>93</v>
      </c>
    </row>
    <row r="1291" customFormat="false" ht="12.75" hidden="false" customHeight="false" outlineLevel="0" collapsed="false">
      <c r="A1291" s="0" t="n">
        <f aca="false">B1291*1000+C1291</f>
        <v>25071</v>
      </c>
      <c r="B1291" s="0" t="n">
        <v>25</v>
      </c>
      <c r="C1291" s="0" t="n">
        <v>71</v>
      </c>
      <c r="D1291" s="0" t="n">
        <v>0</v>
      </c>
      <c r="E1291" s="0" t="n">
        <f aca="false">VLOOKUP(B1291,'Babblefish-APUMA'!$A$1:$B$86,2)</f>
        <v>101</v>
      </c>
      <c r="F1291" s="0" t="n">
        <f aca="false">IF(C1291&gt;1,IF(C1291&lt;99,VLOOKUP(C1291,'Babblefish-APUMA'!$A$1:$B$86,2),C1291),C1291)</f>
        <v>95</v>
      </c>
    </row>
    <row r="1292" customFormat="false" ht="12.75" hidden="false" customHeight="false" outlineLevel="0" collapsed="false">
      <c r="A1292" s="0" t="n">
        <f aca="false">B1292*1000+C1292</f>
        <v>25072</v>
      </c>
      <c r="B1292" s="0" t="n">
        <v>25</v>
      </c>
      <c r="C1292" s="0" t="n">
        <v>72</v>
      </c>
      <c r="D1292" s="0" t="n">
        <v>91</v>
      </c>
      <c r="E1292" s="0" t="n">
        <f aca="false">VLOOKUP(B1292,'Babblefish-APUMA'!$A$1:$B$86,2)</f>
        <v>101</v>
      </c>
      <c r="F1292" s="0" t="n">
        <f aca="false">IF(C1292&gt;1,IF(C1292&lt;99,VLOOKUP(C1292,'Babblefish-APUMA'!$A$1:$B$86,2),C1292),C1292)</f>
        <v>95</v>
      </c>
    </row>
    <row r="1293" customFormat="false" ht="12.75" hidden="false" customHeight="false" outlineLevel="0" collapsed="false">
      <c r="A1293" s="0" t="n">
        <f aca="false">B1293*1000+C1293</f>
        <v>25073</v>
      </c>
      <c r="B1293" s="0" t="n">
        <v>25</v>
      </c>
      <c r="C1293" s="0" t="n">
        <v>73</v>
      </c>
      <c r="D1293" s="0" t="n">
        <v>0</v>
      </c>
      <c r="E1293" s="0" t="n">
        <f aca="false">VLOOKUP(B1293,'Babblefish-APUMA'!$A$1:$B$86,2)</f>
        <v>101</v>
      </c>
      <c r="F1293" s="0" t="n">
        <f aca="false">IF(C1293&gt;1,IF(C1293&lt;99,VLOOKUP(C1293,'Babblefish-APUMA'!$A$1:$B$86,2),C1293),C1293)</f>
        <v>99</v>
      </c>
    </row>
    <row r="1294" customFormat="false" ht="12.75" hidden="false" customHeight="false" outlineLevel="0" collapsed="false">
      <c r="A1294" s="0" t="n">
        <f aca="false">B1294*1000+C1294</f>
        <v>25075</v>
      </c>
      <c r="B1294" s="0" t="n">
        <v>25</v>
      </c>
      <c r="C1294" s="0" t="n">
        <v>75</v>
      </c>
      <c r="D1294" s="0" t="n">
        <v>0</v>
      </c>
      <c r="E1294" s="0" t="n">
        <f aca="false">VLOOKUP(B1294,'Babblefish-APUMA'!$A$1:$B$86,2)</f>
        <v>101</v>
      </c>
      <c r="F1294" s="0" t="n">
        <f aca="false">IF(C1294&gt;1,IF(C1294&lt;99,VLOOKUP(C1294,'Babblefish-APUMA'!$A$1:$B$86,2),C1294),C1294)</f>
        <v>75</v>
      </c>
    </row>
    <row r="1295" customFormat="false" ht="12.75" hidden="false" customHeight="false" outlineLevel="0" collapsed="false">
      <c r="A1295" s="0" t="n">
        <f aca="false">B1295*1000+C1295</f>
        <v>25076</v>
      </c>
      <c r="B1295" s="0" t="n">
        <v>25</v>
      </c>
      <c r="C1295" s="0" t="n">
        <v>76</v>
      </c>
      <c r="D1295" s="0" t="n">
        <v>0</v>
      </c>
      <c r="E1295" s="0" t="n">
        <f aca="false">VLOOKUP(B1295,'Babblefish-APUMA'!$A$1:$B$86,2)</f>
        <v>101</v>
      </c>
      <c r="F1295" s="0" t="n">
        <f aca="false">IF(C1295&gt;1,IF(C1295&lt;99,VLOOKUP(C1295,'Babblefish-APUMA'!$A$1:$B$86,2),C1295),C1295)</f>
        <v>76</v>
      </c>
    </row>
    <row r="1296" customFormat="false" ht="12.75" hidden="false" customHeight="false" outlineLevel="0" collapsed="false">
      <c r="A1296" s="0" t="n">
        <f aca="false">B1296*1000+C1296</f>
        <v>25079</v>
      </c>
      <c r="B1296" s="0" t="n">
        <v>25</v>
      </c>
      <c r="C1296" s="0" t="n">
        <v>79</v>
      </c>
      <c r="D1296" s="0" t="n">
        <v>0</v>
      </c>
      <c r="E1296" s="0" t="n">
        <f aca="false">VLOOKUP(B1296,'Babblefish-APUMA'!$A$1:$B$86,2)</f>
        <v>101</v>
      </c>
      <c r="F1296" s="0" t="n">
        <f aca="false">IF(C1296&gt;1,IF(C1296&lt;99,VLOOKUP(C1296,'Babblefish-APUMA'!$A$1:$B$86,2),C1296),C1296)</f>
        <v>89</v>
      </c>
    </row>
    <row r="1297" customFormat="false" ht="12.75" hidden="false" customHeight="false" outlineLevel="0" collapsed="false">
      <c r="A1297" s="0" t="n">
        <f aca="false">B1297*1000+C1297</f>
        <v>25080</v>
      </c>
      <c r="B1297" s="0" t="n">
        <v>25</v>
      </c>
      <c r="C1297" s="0" t="n">
        <v>80</v>
      </c>
      <c r="D1297" s="0" t="n">
        <v>0</v>
      </c>
      <c r="E1297" s="0" t="n">
        <f aca="false">VLOOKUP(B1297,'Babblefish-APUMA'!$A$1:$B$86,2)</f>
        <v>101</v>
      </c>
      <c r="F1297" s="0" t="n">
        <f aca="false">IF(C1297&gt;1,IF(C1297&lt;99,VLOOKUP(C1297,'Babblefish-APUMA'!$A$1:$B$86,2),C1297),C1297)</f>
        <v>80</v>
      </c>
    </row>
    <row r="1298" customFormat="false" ht="12.75" hidden="false" customHeight="false" outlineLevel="0" collapsed="false">
      <c r="A1298" s="0" t="n">
        <f aca="false">B1298*1000+C1298</f>
        <v>25082</v>
      </c>
      <c r="B1298" s="0" t="n">
        <v>25</v>
      </c>
      <c r="C1298" s="0" t="n">
        <v>82</v>
      </c>
      <c r="D1298" s="0" t="n">
        <v>0</v>
      </c>
      <c r="E1298" s="0" t="n">
        <f aca="false">VLOOKUP(B1298,'Babblefish-APUMA'!$A$1:$B$86,2)</f>
        <v>101</v>
      </c>
      <c r="F1298" s="0" t="n">
        <f aca="false">IF(C1298&gt;1,IF(C1298&lt;99,VLOOKUP(C1298,'Babblefish-APUMA'!$A$1:$B$86,2),C1298),C1298)</f>
        <v>95</v>
      </c>
    </row>
    <row r="1299" customFormat="false" ht="12.75" hidden="false" customHeight="false" outlineLevel="0" collapsed="false">
      <c r="A1299" s="0" t="n">
        <f aca="false">B1299*1000+C1299</f>
        <v>25085</v>
      </c>
      <c r="B1299" s="0" t="n">
        <v>25</v>
      </c>
      <c r="C1299" s="0" t="n">
        <v>85</v>
      </c>
      <c r="D1299" s="0" t="n">
        <v>403</v>
      </c>
      <c r="E1299" s="0" t="n">
        <f aca="false">VLOOKUP(B1299,'Babblefish-APUMA'!$A$1:$B$86,2)</f>
        <v>101</v>
      </c>
      <c r="F1299" s="0" t="n">
        <f aca="false">IF(C1299&gt;1,IF(C1299&lt;99,VLOOKUP(C1299,'Babblefish-APUMA'!$A$1:$B$86,2),C1299),C1299)</f>
        <v>97</v>
      </c>
    </row>
    <row r="1300" customFormat="false" ht="12.75" hidden="false" customHeight="false" outlineLevel="0" collapsed="false">
      <c r="A1300" s="0" t="n">
        <f aca="false">B1300*1000+C1300</f>
        <v>25858</v>
      </c>
      <c r="B1300" s="0" t="n">
        <v>25</v>
      </c>
      <c r="C1300" s="0" t="n">
        <v>858</v>
      </c>
      <c r="D1300" s="0" t="n">
        <v>0</v>
      </c>
      <c r="E1300" s="0" t="n">
        <f aca="false">VLOOKUP(B1300,'Babblefish-APUMA'!$A$1:$B$86,2)</f>
        <v>101</v>
      </c>
      <c r="F1300" s="0" t="n">
        <f aca="false">IF(C1300&gt;1,IF(C1300&lt;99,VLOOKUP(C1300,'Babblefish-APUMA'!$A$1:$B$86,2),C1300),C1300)</f>
        <v>858</v>
      </c>
    </row>
    <row r="1301" customFormat="false" ht="12.75" hidden="false" customHeight="false" outlineLevel="0" collapsed="false">
      <c r="A1301" s="0" t="n">
        <f aca="false">B1301*1000+C1301</f>
        <v>25999</v>
      </c>
      <c r="B1301" s="0" t="n">
        <v>25</v>
      </c>
      <c r="C1301" s="0" t="n">
        <v>999</v>
      </c>
      <c r="D1301" s="0" t="n">
        <v>0</v>
      </c>
      <c r="E1301" s="0" t="n">
        <f aca="false">VLOOKUP(B1301,'Babblefish-APUMA'!$A$1:$B$86,2)</f>
        <v>101</v>
      </c>
      <c r="F1301" s="0" t="n">
        <f aca="false">IF(C1301&gt;1,IF(C1301&lt;99,VLOOKUP(C1301,'Babblefish-APUMA'!$A$1:$B$86,2),C1301),C1301)</f>
        <v>999</v>
      </c>
    </row>
    <row r="1302" customFormat="false" ht="12.75" hidden="false" customHeight="false" outlineLevel="0" collapsed="false">
      <c r="A1302" s="0" t="n">
        <f aca="false">B1302*1000+C1302</f>
        <v>26000</v>
      </c>
      <c r="B1302" s="0" t="n">
        <v>26</v>
      </c>
      <c r="C1302" s="0" t="n">
        <v>0</v>
      </c>
      <c r="D1302" s="0" t="n">
        <v>95186</v>
      </c>
      <c r="E1302" s="0" t="n">
        <f aca="false">VLOOKUP(B1302,'Babblefish-APUMA'!$A$1:$B$86,2)</f>
        <v>26</v>
      </c>
      <c r="F1302" s="0" t="n">
        <f aca="false">IF(C1302&gt;1,IF(C1302&lt;99,VLOOKUP(C1302,'Babblefish-APUMA'!$A$1:$B$86,2),C1302),C1302)</f>
        <v>0</v>
      </c>
    </row>
    <row r="1303" customFormat="false" ht="12.75" hidden="false" customHeight="false" outlineLevel="0" collapsed="false">
      <c r="A1303" s="0" t="n">
        <f aca="false">B1303*1000+C1303</f>
        <v>26001</v>
      </c>
      <c r="B1303" s="0" t="n">
        <v>26</v>
      </c>
      <c r="C1303" s="0" t="n">
        <v>1</v>
      </c>
      <c r="D1303" s="0" t="n">
        <v>0</v>
      </c>
      <c r="E1303" s="0" t="n">
        <f aca="false">VLOOKUP(B1303,'Babblefish-APUMA'!$A$1:$B$86,2)</f>
        <v>26</v>
      </c>
      <c r="F1303" s="0" t="n">
        <f aca="false">IF(C1303&gt;1,IF(C1303&lt;99,VLOOKUP(C1303,'Babblefish-APUMA'!$A$1:$B$86,2),C1303),C1303)</f>
        <v>1</v>
      </c>
    </row>
    <row r="1304" customFormat="false" ht="12.75" hidden="false" customHeight="false" outlineLevel="0" collapsed="false">
      <c r="A1304" s="0" t="n">
        <f aca="false">B1304*1000+C1304</f>
        <v>26002</v>
      </c>
      <c r="B1304" s="0" t="n">
        <v>26</v>
      </c>
      <c r="C1304" s="0" t="n">
        <v>2</v>
      </c>
      <c r="D1304" s="0" t="n">
        <v>0</v>
      </c>
      <c r="E1304" s="0" t="n">
        <f aca="false">VLOOKUP(B1304,'Babblefish-APUMA'!$A$1:$B$86,2)</f>
        <v>26</v>
      </c>
      <c r="F1304" s="0" t="n">
        <f aca="false">IF(C1304&gt;1,IF(C1304&lt;99,VLOOKUP(C1304,'Babblefish-APUMA'!$A$1:$B$86,2),C1304),C1304)</f>
        <v>2</v>
      </c>
    </row>
    <row r="1305" customFormat="false" ht="12.75" hidden="false" customHeight="false" outlineLevel="0" collapsed="false">
      <c r="A1305" s="0" t="n">
        <f aca="false">B1305*1000+C1305</f>
        <v>26003</v>
      </c>
      <c r="B1305" s="0" t="n">
        <v>26</v>
      </c>
      <c r="C1305" s="0" t="n">
        <v>3</v>
      </c>
      <c r="D1305" s="0" t="n">
        <v>26</v>
      </c>
      <c r="E1305" s="0" t="n">
        <f aca="false">VLOOKUP(B1305,'Babblefish-APUMA'!$A$1:$B$86,2)</f>
        <v>26</v>
      </c>
      <c r="F1305" s="0" t="n">
        <f aca="false">IF(C1305&gt;1,IF(C1305&lt;99,VLOOKUP(C1305,'Babblefish-APUMA'!$A$1:$B$86,2),C1305),C1305)</f>
        <v>3</v>
      </c>
    </row>
    <row r="1306" customFormat="false" ht="12.75" hidden="false" customHeight="false" outlineLevel="0" collapsed="false">
      <c r="A1306" s="0" t="n">
        <f aca="false">B1306*1000+C1306</f>
        <v>26004</v>
      </c>
      <c r="B1306" s="0" t="n">
        <v>26</v>
      </c>
      <c r="C1306" s="0" t="n">
        <v>4</v>
      </c>
      <c r="D1306" s="0" t="n">
        <v>0</v>
      </c>
      <c r="E1306" s="0" t="n">
        <f aca="false">VLOOKUP(B1306,'Babblefish-APUMA'!$A$1:$B$86,2)</f>
        <v>26</v>
      </c>
      <c r="F1306" s="0" t="n">
        <f aca="false">IF(C1306&gt;1,IF(C1306&lt;99,VLOOKUP(C1306,'Babblefish-APUMA'!$A$1:$B$86,2),C1306),C1306)</f>
        <v>4</v>
      </c>
    </row>
    <row r="1307" customFormat="false" ht="12.75" hidden="false" customHeight="false" outlineLevel="0" collapsed="false">
      <c r="A1307" s="0" t="n">
        <f aca="false">B1307*1000+C1307</f>
        <v>26005</v>
      </c>
      <c r="B1307" s="0" t="n">
        <v>26</v>
      </c>
      <c r="C1307" s="0" t="n">
        <v>5</v>
      </c>
      <c r="D1307" s="0" t="n">
        <v>208</v>
      </c>
      <c r="E1307" s="0" t="n">
        <f aca="false">VLOOKUP(B1307,'Babblefish-APUMA'!$A$1:$B$86,2)</f>
        <v>26</v>
      </c>
      <c r="F1307" s="0" t="n">
        <f aca="false">IF(C1307&gt;1,IF(C1307&lt;99,VLOOKUP(C1307,'Babblefish-APUMA'!$A$1:$B$86,2),C1307),C1307)</f>
        <v>5</v>
      </c>
    </row>
    <row r="1308" customFormat="false" ht="12.75" hidden="false" customHeight="false" outlineLevel="0" collapsed="false">
      <c r="A1308" s="0" t="n">
        <f aca="false">B1308*1000+C1308</f>
        <v>26006</v>
      </c>
      <c r="B1308" s="0" t="n">
        <v>26</v>
      </c>
      <c r="C1308" s="0" t="n">
        <v>6</v>
      </c>
      <c r="D1308" s="0" t="n">
        <v>0</v>
      </c>
      <c r="E1308" s="0" t="n">
        <f aca="false">VLOOKUP(B1308,'Babblefish-APUMA'!$A$1:$B$86,2)</f>
        <v>26</v>
      </c>
      <c r="F1308" s="0" t="n">
        <f aca="false">IF(C1308&gt;1,IF(C1308&lt;99,VLOOKUP(C1308,'Babblefish-APUMA'!$A$1:$B$86,2),C1308),C1308)</f>
        <v>6</v>
      </c>
    </row>
    <row r="1309" customFormat="false" ht="12.75" hidden="false" customHeight="false" outlineLevel="0" collapsed="false">
      <c r="A1309" s="0" t="n">
        <f aca="false">B1309*1000+C1309</f>
        <v>26007</v>
      </c>
      <c r="B1309" s="0" t="n">
        <v>26</v>
      </c>
      <c r="C1309" s="0" t="n">
        <v>7</v>
      </c>
      <c r="D1309" s="0" t="n">
        <v>0</v>
      </c>
      <c r="E1309" s="0" t="n">
        <f aca="false">VLOOKUP(B1309,'Babblefish-APUMA'!$A$1:$B$86,2)</f>
        <v>26</v>
      </c>
      <c r="F1309" s="0" t="n">
        <f aca="false">IF(C1309&gt;1,IF(C1309&lt;99,VLOOKUP(C1309,'Babblefish-APUMA'!$A$1:$B$86,2),C1309),C1309)</f>
        <v>7</v>
      </c>
    </row>
    <row r="1310" customFormat="false" ht="12.75" hidden="false" customHeight="false" outlineLevel="0" collapsed="false">
      <c r="A1310" s="0" t="n">
        <f aca="false">B1310*1000+C1310</f>
        <v>26008</v>
      </c>
      <c r="B1310" s="0" t="n">
        <v>26</v>
      </c>
      <c r="C1310" s="0" t="n">
        <v>8</v>
      </c>
      <c r="D1310" s="0" t="n">
        <v>0</v>
      </c>
      <c r="E1310" s="0" t="n">
        <f aca="false">VLOOKUP(B1310,'Babblefish-APUMA'!$A$1:$B$86,2)</f>
        <v>26</v>
      </c>
      <c r="F1310" s="0" t="n">
        <f aca="false">IF(C1310&gt;1,IF(C1310&lt;99,VLOOKUP(C1310,'Babblefish-APUMA'!$A$1:$B$86,2),C1310),C1310)</f>
        <v>8</v>
      </c>
    </row>
    <row r="1311" customFormat="false" ht="12.75" hidden="false" customHeight="false" outlineLevel="0" collapsed="false">
      <c r="A1311" s="0" t="n">
        <f aca="false">B1311*1000+C1311</f>
        <v>26009</v>
      </c>
      <c r="B1311" s="0" t="n">
        <v>26</v>
      </c>
      <c r="C1311" s="0" t="n">
        <v>9</v>
      </c>
      <c r="D1311" s="0" t="n">
        <v>0</v>
      </c>
      <c r="E1311" s="0" t="n">
        <f aca="false">VLOOKUP(B1311,'Babblefish-APUMA'!$A$1:$B$86,2)</f>
        <v>26</v>
      </c>
      <c r="F1311" s="0" t="n">
        <f aca="false">IF(C1311&gt;1,IF(C1311&lt;99,VLOOKUP(C1311,'Babblefish-APUMA'!$A$1:$B$86,2),C1311),C1311)</f>
        <v>9</v>
      </c>
    </row>
    <row r="1312" customFormat="false" ht="12.75" hidden="false" customHeight="false" outlineLevel="0" collapsed="false">
      <c r="A1312" s="0" t="n">
        <f aca="false">B1312*1000+C1312</f>
        <v>26010</v>
      </c>
      <c r="B1312" s="0" t="n">
        <v>26</v>
      </c>
      <c r="C1312" s="0" t="n">
        <v>10</v>
      </c>
      <c r="D1312" s="0" t="n">
        <v>0</v>
      </c>
      <c r="E1312" s="0" t="n">
        <f aca="false">VLOOKUP(B1312,'Babblefish-APUMA'!$A$1:$B$86,2)</f>
        <v>26</v>
      </c>
      <c r="F1312" s="0" t="n">
        <f aca="false">IF(C1312&gt;1,IF(C1312&lt;99,VLOOKUP(C1312,'Babblefish-APUMA'!$A$1:$B$86,2),C1312),C1312)</f>
        <v>10</v>
      </c>
    </row>
    <row r="1313" customFormat="false" ht="12.75" hidden="false" customHeight="false" outlineLevel="0" collapsed="false">
      <c r="A1313" s="0" t="n">
        <f aca="false">B1313*1000+C1313</f>
        <v>26011</v>
      </c>
      <c r="B1313" s="0" t="n">
        <v>26</v>
      </c>
      <c r="C1313" s="0" t="n">
        <v>11</v>
      </c>
      <c r="D1313" s="0" t="n">
        <v>169</v>
      </c>
      <c r="E1313" s="0" t="n">
        <f aca="false">VLOOKUP(B1313,'Babblefish-APUMA'!$A$1:$B$86,2)</f>
        <v>26</v>
      </c>
      <c r="F1313" s="0" t="n">
        <f aca="false">IF(C1313&gt;1,IF(C1313&lt;99,VLOOKUP(C1313,'Babblefish-APUMA'!$A$1:$B$86,2),C1313),C1313)</f>
        <v>11</v>
      </c>
    </row>
    <row r="1314" customFormat="false" ht="12.75" hidden="false" customHeight="false" outlineLevel="0" collapsed="false">
      <c r="A1314" s="0" t="n">
        <f aca="false">B1314*1000+C1314</f>
        <v>26012</v>
      </c>
      <c r="B1314" s="0" t="n">
        <v>26</v>
      </c>
      <c r="C1314" s="0" t="n">
        <v>12</v>
      </c>
      <c r="D1314" s="0" t="n">
        <v>208</v>
      </c>
      <c r="E1314" s="0" t="n">
        <f aca="false">VLOOKUP(B1314,'Babblefish-APUMA'!$A$1:$B$86,2)</f>
        <v>26</v>
      </c>
      <c r="F1314" s="0" t="n">
        <f aca="false">IF(C1314&gt;1,IF(C1314&lt;99,VLOOKUP(C1314,'Babblefish-APUMA'!$A$1:$B$86,2),C1314),C1314)</f>
        <v>12</v>
      </c>
    </row>
    <row r="1315" customFormat="false" ht="12.75" hidden="false" customHeight="false" outlineLevel="0" collapsed="false">
      <c r="A1315" s="0" t="n">
        <f aca="false">B1315*1000+C1315</f>
        <v>26013</v>
      </c>
      <c r="B1315" s="0" t="n">
        <v>26</v>
      </c>
      <c r="C1315" s="0" t="n">
        <v>13</v>
      </c>
      <c r="D1315" s="0" t="n">
        <v>0</v>
      </c>
      <c r="E1315" s="0" t="n">
        <f aca="false">VLOOKUP(B1315,'Babblefish-APUMA'!$A$1:$B$86,2)</f>
        <v>26</v>
      </c>
      <c r="F1315" s="0" t="n">
        <f aca="false">IF(C1315&gt;1,IF(C1315&lt;99,VLOOKUP(C1315,'Babblefish-APUMA'!$A$1:$B$86,2),C1315),C1315)</f>
        <v>100</v>
      </c>
    </row>
    <row r="1316" customFormat="false" ht="12.75" hidden="false" customHeight="false" outlineLevel="0" collapsed="false">
      <c r="A1316" s="0" t="n">
        <f aca="false">B1316*1000+C1316</f>
        <v>26014</v>
      </c>
      <c r="B1316" s="0" t="n">
        <v>26</v>
      </c>
      <c r="C1316" s="0" t="n">
        <v>14</v>
      </c>
      <c r="D1316" s="0" t="n">
        <v>299</v>
      </c>
      <c r="E1316" s="0" t="n">
        <f aca="false">VLOOKUP(B1316,'Babblefish-APUMA'!$A$1:$B$86,2)</f>
        <v>26</v>
      </c>
      <c r="F1316" s="0" t="n">
        <f aca="false">IF(C1316&gt;1,IF(C1316&lt;99,VLOOKUP(C1316,'Babblefish-APUMA'!$A$1:$B$86,2),C1316),C1316)</f>
        <v>100</v>
      </c>
    </row>
    <row r="1317" customFormat="false" ht="12.75" hidden="false" customHeight="false" outlineLevel="0" collapsed="false">
      <c r="A1317" s="0" t="n">
        <f aca="false">B1317*1000+C1317</f>
        <v>26015</v>
      </c>
      <c r="B1317" s="0" t="n">
        <v>26</v>
      </c>
      <c r="C1317" s="0" t="n">
        <v>15</v>
      </c>
      <c r="D1317" s="0" t="n">
        <v>0</v>
      </c>
      <c r="E1317" s="0" t="n">
        <f aca="false">VLOOKUP(B1317,'Babblefish-APUMA'!$A$1:$B$86,2)</f>
        <v>26</v>
      </c>
      <c r="F1317" s="0" t="n">
        <f aca="false">IF(C1317&gt;1,IF(C1317&lt;99,VLOOKUP(C1317,'Babblefish-APUMA'!$A$1:$B$86,2),C1317),C1317)</f>
        <v>15</v>
      </c>
    </row>
    <row r="1318" customFormat="false" ht="12.75" hidden="false" customHeight="false" outlineLevel="0" collapsed="false">
      <c r="A1318" s="0" t="n">
        <f aca="false">B1318*1000+C1318</f>
        <v>26016</v>
      </c>
      <c r="B1318" s="0" t="n">
        <v>26</v>
      </c>
      <c r="C1318" s="0" t="n">
        <v>16</v>
      </c>
      <c r="D1318" s="0" t="n">
        <v>65</v>
      </c>
      <c r="E1318" s="0" t="n">
        <f aca="false">VLOOKUP(B1318,'Babblefish-APUMA'!$A$1:$B$86,2)</f>
        <v>26</v>
      </c>
      <c r="F1318" s="0" t="n">
        <f aca="false">IF(C1318&gt;1,IF(C1318&lt;99,VLOOKUP(C1318,'Babblefish-APUMA'!$A$1:$B$86,2),C1318),C1318)</f>
        <v>99</v>
      </c>
    </row>
    <row r="1319" customFormat="false" ht="12.75" hidden="false" customHeight="false" outlineLevel="0" collapsed="false">
      <c r="A1319" s="0" t="n">
        <f aca="false">B1319*1000+C1319</f>
        <v>26017</v>
      </c>
      <c r="B1319" s="0" t="n">
        <v>26</v>
      </c>
      <c r="C1319" s="0" t="n">
        <v>17</v>
      </c>
      <c r="D1319" s="0" t="n">
        <v>0</v>
      </c>
      <c r="E1319" s="0" t="n">
        <f aca="false">VLOOKUP(B1319,'Babblefish-APUMA'!$A$1:$B$86,2)</f>
        <v>26</v>
      </c>
      <c r="F1319" s="0" t="n">
        <f aca="false">IF(C1319&gt;1,IF(C1319&lt;99,VLOOKUP(C1319,'Babblefish-APUMA'!$A$1:$B$86,2),C1319),C1319)</f>
        <v>87</v>
      </c>
    </row>
    <row r="1320" customFormat="false" ht="12.75" hidden="false" customHeight="false" outlineLevel="0" collapsed="false">
      <c r="A1320" s="0" t="n">
        <f aca="false">B1320*1000+C1320</f>
        <v>26018</v>
      </c>
      <c r="B1320" s="0" t="n">
        <v>26</v>
      </c>
      <c r="C1320" s="0" t="n">
        <v>18</v>
      </c>
      <c r="D1320" s="0" t="n">
        <v>247</v>
      </c>
      <c r="E1320" s="0" t="n">
        <f aca="false">VLOOKUP(B1320,'Babblefish-APUMA'!$A$1:$B$86,2)</f>
        <v>26</v>
      </c>
      <c r="F1320" s="0" t="n">
        <f aca="false">IF(C1320&gt;1,IF(C1320&lt;99,VLOOKUP(C1320,'Babblefish-APUMA'!$A$1:$B$86,2),C1320),C1320)</f>
        <v>87</v>
      </c>
    </row>
    <row r="1321" customFormat="false" ht="12.75" hidden="false" customHeight="false" outlineLevel="0" collapsed="false">
      <c r="A1321" s="0" t="n">
        <f aca="false">B1321*1000+C1321</f>
        <v>26019</v>
      </c>
      <c r="B1321" s="0" t="n">
        <v>26</v>
      </c>
      <c r="C1321" s="0" t="n">
        <v>19</v>
      </c>
      <c r="D1321" s="0" t="n">
        <v>0</v>
      </c>
      <c r="E1321" s="0" t="n">
        <f aca="false">VLOOKUP(B1321,'Babblefish-APUMA'!$A$1:$B$86,2)</f>
        <v>26</v>
      </c>
      <c r="F1321" s="0" t="n">
        <f aca="false">IF(C1321&gt;1,IF(C1321&lt;99,VLOOKUP(C1321,'Babblefish-APUMA'!$A$1:$B$86,2),C1321),C1321)</f>
        <v>19</v>
      </c>
    </row>
    <row r="1322" customFormat="false" ht="12.75" hidden="false" customHeight="false" outlineLevel="0" collapsed="false">
      <c r="A1322" s="0" t="n">
        <f aca="false">B1322*1000+C1322</f>
        <v>26020</v>
      </c>
      <c r="B1322" s="0" t="n">
        <v>26</v>
      </c>
      <c r="C1322" s="0" t="n">
        <v>20</v>
      </c>
      <c r="D1322" s="0" t="n">
        <v>52</v>
      </c>
      <c r="E1322" s="0" t="n">
        <f aca="false">VLOOKUP(B1322,'Babblefish-APUMA'!$A$1:$B$86,2)</f>
        <v>26</v>
      </c>
      <c r="F1322" s="0" t="n">
        <f aca="false">IF(C1322&gt;1,IF(C1322&lt;99,VLOOKUP(C1322,'Babblefish-APUMA'!$A$1:$B$86,2),C1322),C1322)</f>
        <v>86</v>
      </c>
    </row>
    <row r="1323" customFormat="false" ht="12.75" hidden="false" customHeight="false" outlineLevel="0" collapsed="false">
      <c r="A1323" s="0" t="n">
        <f aca="false">B1323*1000+C1323</f>
        <v>26021</v>
      </c>
      <c r="B1323" s="0" t="n">
        <v>26</v>
      </c>
      <c r="C1323" s="0" t="n">
        <v>21</v>
      </c>
      <c r="D1323" s="0" t="n">
        <v>429</v>
      </c>
      <c r="E1323" s="0" t="n">
        <f aca="false">VLOOKUP(B1323,'Babblefish-APUMA'!$A$1:$B$86,2)</f>
        <v>26</v>
      </c>
      <c r="F1323" s="0" t="n">
        <f aca="false">IF(C1323&gt;1,IF(C1323&lt;99,VLOOKUP(C1323,'Babblefish-APUMA'!$A$1:$B$86,2),C1323),C1323)</f>
        <v>86</v>
      </c>
    </row>
    <row r="1324" customFormat="false" ht="12.75" hidden="false" customHeight="false" outlineLevel="0" collapsed="false">
      <c r="A1324" s="0" t="n">
        <f aca="false">B1324*1000+C1324</f>
        <v>26022</v>
      </c>
      <c r="B1324" s="0" t="n">
        <v>26</v>
      </c>
      <c r="C1324" s="0" t="n">
        <v>22</v>
      </c>
      <c r="D1324" s="0" t="n">
        <v>299</v>
      </c>
      <c r="E1324" s="0" t="n">
        <f aca="false">VLOOKUP(B1324,'Babblefish-APUMA'!$A$1:$B$86,2)</f>
        <v>26</v>
      </c>
      <c r="F1324" s="0" t="n">
        <f aca="false">IF(C1324&gt;1,IF(C1324&lt;99,VLOOKUP(C1324,'Babblefish-APUMA'!$A$1:$B$86,2),C1324),C1324)</f>
        <v>22</v>
      </c>
    </row>
    <row r="1325" customFormat="false" ht="12.75" hidden="false" customHeight="false" outlineLevel="0" collapsed="false">
      <c r="A1325" s="0" t="n">
        <f aca="false">B1325*1000+C1325</f>
        <v>26023</v>
      </c>
      <c r="B1325" s="0" t="n">
        <v>26</v>
      </c>
      <c r="C1325" s="0" t="n">
        <v>23</v>
      </c>
      <c r="D1325" s="0" t="n">
        <v>1508</v>
      </c>
      <c r="E1325" s="0" t="n">
        <f aca="false">VLOOKUP(B1325,'Babblefish-APUMA'!$A$1:$B$86,2)</f>
        <v>26</v>
      </c>
      <c r="F1325" s="0" t="n">
        <f aca="false">IF(C1325&gt;1,IF(C1325&lt;99,VLOOKUP(C1325,'Babblefish-APUMA'!$A$1:$B$86,2),C1325),C1325)</f>
        <v>97</v>
      </c>
    </row>
    <row r="1326" customFormat="false" ht="12.75" hidden="false" customHeight="false" outlineLevel="0" collapsed="false">
      <c r="A1326" s="0" t="n">
        <f aca="false">B1326*1000+C1326</f>
        <v>26024</v>
      </c>
      <c r="B1326" s="0" t="n">
        <v>26</v>
      </c>
      <c r="C1326" s="0" t="n">
        <v>24</v>
      </c>
      <c r="D1326" s="0" t="n">
        <v>936</v>
      </c>
      <c r="E1326" s="0" t="n">
        <f aca="false">VLOOKUP(B1326,'Babblefish-APUMA'!$A$1:$B$86,2)</f>
        <v>26</v>
      </c>
      <c r="F1326" s="0" t="n">
        <f aca="false">IF(C1326&gt;1,IF(C1326&lt;99,VLOOKUP(C1326,'Babblefish-APUMA'!$A$1:$B$86,2),C1326),C1326)</f>
        <v>101</v>
      </c>
    </row>
    <row r="1327" customFormat="false" ht="12.75" hidden="false" customHeight="false" outlineLevel="0" collapsed="false">
      <c r="A1327" s="0" t="n">
        <f aca="false">B1327*1000+C1327</f>
        <v>26025</v>
      </c>
      <c r="B1327" s="0" t="n">
        <v>26</v>
      </c>
      <c r="C1327" s="0" t="n">
        <v>25</v>
      </c>
      <c r="D1327" s="0" t="n">
        <v>832</v>
      </c>
      <c r="E1327" s="0" t="n">
        <f aca="false">VLOOKUP(B1327,'Babblefish-APUMA'!$A$1:$B$86,2)</f>
        <v>26</v>
      </c>
      <c r="F1327" s="0" t="n">
        <f aca="false">IF(C1327&gt;1,IF(C1327&lt;99,VLOOKUP(C1327,'Babblefish-APUMA'!$A$1:$B$86,2),C1327),C1327)</f>
        <v>101</v>
      </c>
    </row>
    <row r="1328" customFormat="false" ht="12.75" hidden="false" customHeight="false" outlineLevel="0" collapsed="false">
      <c r="A1328" s="0" t="n">
        <f aca="false">B1328*1000+C1328</f>
        <v>26026</v>
      </c>
      <c r="B1328" s="0" t="n">
        <v>26</v>
      </c>
      <c r="C1328" s="0" t="n">
        <v>26</v>
      </c>
      <c r="D1328" s="0" t="n">
        <v>49543</v>
      </c>
      <c r="E1328" s="0" t="n">
        <f aca="false">VLOOKUP(B1328,'Babblefish-APUMA'!$A$1:$B$86,2)</f>
        <v>26</v>
      </c>
      <c r="F1328" s="0" t="n">
        <f aca="false">IF(C1328&gt;1,IF(C1328&lt;99,VLOOKUP(C1328,'Babblefish-APUMA'!$A$1:$B$86,2),C1328),C1328)</f>
        <v>26</v>
      </c>
    </row>
    <row r="1329" customFormat="false" ht="12.75" hidden="false" customHeight="false" outlineLevel="0" collapsed="false">
      <c r="A1329" s="0" t="n">
        <f aca="false">B1329*1000+C1329</f>
        <v>26027</v>
      </c>
      <c r="B1329" s="0" t="n">
        <v>26</v>
      </c>
      <c r="C1329" s="0" t="n">
        <v>27</v>
      </c>
      <c r="D1329" s="0" t="n">
        <v>520</v>
      </c>
      <c r="E1329" s="0" t="n">
        <f aca="false">VLOOKUP(B1329,'Babblefish-APUMA'!$A$1:$B$86,2)</f>
        <v>26</v>
      </c>
      <c r="F1329" s="0" t="n">
        <f aca="false">IF(C1329&gt;1,IF(C1329&lt;99,VLOOKUP(C1329,'Babblefish-APUMA'!$A$1:$B$86,2),C1329),C1329)</f>
        <v>27</v>
      </c>
    </row>
    <row r="1330" customFormat="false" ht="12.75" hidden="false" customHeight="false" outlineLevel="0" collapsed="false">
      <c r="A1330" s="0" t="n">
        <f aca="false">B1330*1000+C1330</f>
        <v>26028</v>
      </c>
      <c r="B1330" s="0" t="n">
        <v>26</v>
      </c>
      <c r="C1330" s="0" t="n">
        <v>28</v>
      </c>
      <c r="D1330" s="0" t="n">
        <v>676</v>
      </c>
      <c r="E1330" s="0" t="n">
        <f aca="false">VLOOKUP(B1330,'Babblefish-APUMA'!$A$1:$B$86,2)</f>
        <v>26</v>
      </c>
      <c r="F1330" s="0" t="n">
        <f aca="false">IF(C1330&gt;1,IF(C1330&lt;99,VLOOKUP(C1330,'Babblefish-APUMA'!$A$1:$B$86,2),C1330),C1330)</f>
        <v>94</v>
      </c>
    </row>
    <row r="1331" customFormat="false" ht="12.75" hidden="false" customHeight="false" outlineLevel="0" collapsed="false">
      <c r="A1331" s="0" t="n">
        <f aca="false">B1331*1000+C1331</f>
        <v>26029</v>
      </c>
      <c r="B1331" s="0" t="n">
        <v>26</v>
      </c>
      <c r="C1331" s="0" t="n">
        <v>29</v>
      </c>
      <c r="D1331" s="0" t="n">
        <v>598</v>
      </c>
      <c r="E1331" s="0" t="n">
        <f aca="false">VLOOKUP(B1331,'Babblefish-APUMA'!$A$1:$B$86,2)</f>
        <v>26</v>
      </c>
      <c r="F1331" s="0" t="n">
        <f aca="false">IF(C1331&gt;1,IF(C1331&lt;99,VLOOKUP(C1331,'Babblefish-APUMA'!$A$1:$B$86,2),C1331),C1331)</f>
        <v>94</v>
      </c>
    </row>
    <row r="1332" customFormat="false" ht="12.75" hidden="false" customHeight="false" outlineLevel="0" collapsed="false">
      <c r="A1332" s="0" t="n">
        <f aca="false">B1332*1000+C1332</f>
        <v>26030</v>
      </c>
      <c r="B1332" s="0" t="n">
        <v>26</v>
      </c>
      <c r="C1332" s="0" t="n">
        <v>30</v>
      </c>
      <c r="D1332" s="0" t="n">
        <v>130</v>
      </c>
      <c r="E1332" s="0" t="n">
        <f aca="false">VLOOKUP(B1332,'Babblefish-APUMA'!$A$1:$B$86,2)</f>
        <v>26</v>
      </c>
      <c r="F1332" s="0" t="n">
        <f aca="false">IF(C1332&gt;1,IF(C1332&lt;99,VLOOKUP(C1332,'Babblefish-APUMA'!$A$1:$B$86,2),C1332),C1332)</f>
        <v>30</v>
      </c>
    </row>
    <row r="1333" customFormat="false" ht="12.75" hidden="false" customHeight="false" outlineLevel="0" collapsed="false">
      <c r="A1333" s="0" t="n">
        <f aca="false">B1333*1000+C1333</f>
        <v>26031</v>
      </c>
      <c r="B1333" s="0" t="n">
        <v>26</v>
      </c>
      <c r="C1333" s="0" t="n">
        <v>31</v>
      </c>
      <c r="D1333" s="0" t="n">
        <v>0</v>
      </c>
      <c r="E1333" s="0" t="n">
        <f aca="false">VLOOKUP(B1333,'Babblefish-APUMA'!$A$1:$B$86,2)</f>
        <v>26</v>
      </c>
      <c r="F1333" s="0" t="n">
        <f aca="false">IF(C1333&gt;1,IF(C1333&lt;99,VLOOKUP(C1333,'Babblefish-APUMA'!$A$1:$B$86,2),C1333),C1333)</f>
        <v>31</v>
      </c>
    </row>
    <row r="1334" customFormat="false" ht="12.75" hidden="false" customHeight="false" outlineLevel="0" collapsed="false">
      <c r="A1334" s="0" t="n">
        <f aca="false">B1334*1000+C1334</f>
        <v>26032</v>
      </c>
      <c r="B1334" s="0" t="n">
        <v>26</v>
      </c>
      <c r="C1334" s="0" t="n">
        <v>32</v>
      </c>
      <c r="D1334" s="0" t="n">
        <v>0</v>
      </c>
      <c r="E1334" s="0" t="n">
        <f aca="false">VLOOKUP(B1334,'Babblefish-APUMA'!$A$1:$B$86,2)</f>
        <v>26</v>
      </c>
      <c r="F1334" s="0" t="n">
        <f aca="false">IF(C1334&gt;1,IF(C1334&lt;99,VLOOKUP(C1334,'Babblefish-APUMA'!$A$1:$B$86,2),C1334),C1334)</f>
        <v>32</v>
      </c>
    </row>
    <row r="1335" customFormat="false" ht="12.75" hidden="false" customHeight="false" outlineLevel="0" collapsed="false">
      <c r="A1335" s="0" t="n">
        <f aca="false">B1335*1000+C1335</f>
        <v>26033</v>
      </c>
      <c r="B1335" s="0" t="n">
        <v>26</v>
      </c>
      <c r="C1335" s="0" t="n">
        <v>33</v>
      </c>
      <c r="D1335" s="0" t="n">
        <v>0</v>
      </c>
      <c r="E1335" s="0" t="n">
        <f aca="false">VLOOKUP(B1335,'Babblefish-APUMA'!$A$1:$B$86,2)</f>
        <v>26</v>
      </c>
      <c r="F1335" s="0" t="n">
        <f aca="false">IF(C1335&gt;1,IF(C1335&lt;99,VLOOKUP(C1335,'Babblefish-APUMA'!$A$1:$B$86,2),C1335),C1335)</f>
        <v>96</v>
      </c>
    </row>
    <row r="1336" customFormat="false" ht="12.75" hidden="false" customHeight="false" outlineLevel="0" collapsed="false">
      <c r="A1336" s="0" t="n">
        <f aca="false">B1336*1000+C1336</f>
        <v>26034</v>
      </c>
      <c r="B1336" s="0" t="n">
        <v>26</v>
      </c>
      <c r="C1336" s="0" t="n">
        <v>34</v>
      </c>
      <c r="D1336" s="0" t="n">
        <v>0</v>
      </c>
      <c r="E1336" s="0" t="n">
        <f aca="false">VLOOKUP(B1336,'Babblefish-APUMA'!$A$1:$B$86,2)</f>
        <v>26</v>
      </c>
      <c r="F1336" s="0" t="n">
        <f aca="false">IF(C1336&gt;1,IF(C1336&lt;99,VLOOKUP(C1336,'Babblefish-APUMA'!$A$1:$B$86,2),C1336),C1336)</f>
        <v>96</v>
      </c>
    </row>
    <row r="1337" customFormat="false" ht="12.75" hidden="false" customHeight="false" outlineLevel="0" collapsed="false">
      <c r="A1337" s="0" t="n">
        <f aca="false">B1337*1000+C1337</f>
        <v>26035</v>
      </c>
      <c r="B1337" s="0" t="n">
        <v>26</v>
      </c>
      <c r="C1337" s="0" t="n">
        <v>35</v>
      </c>
      <c r="D1337" s="0" t="n">
        <v>0</v>
      </c>
      <c r="E1337" s="0" t="n">
        <f aca="false">VLOOKUP(B1337,'Babblefish-APUMA'!$A$1:$B$86,2)</f>
        <v>26</v>
      </c>
      <c r="F1337" s="0" t="n">
        <f aca="false">IF(C1337&gt;1,IF(C1337&lt;99,VLOOKUP(C1337,'Babblefish-APUMA'!$A$1:$B$86,2),C1337),C1337)</f>
        <v>96</v>
      </c>
    </row>
    <row r="1338" customFormat="false" ht="12.75" hidden="false" customHeight="false" outlineLevel="0" collapsed="false">
      <c r="A1338" s="0" t="n">
        <f aca="false">B1338*1000+C1338</f>
        <v>26037</v>
      </c>
      <c r="B1338" s="0" t="n">
        <v>26</v>
      </c>
      <c r="C1338" s="0" t="n">
        <v>37</v>
      </c>
      <c r="D1338" s="0" t="n">
        <v>0</v>
      </c>
      <c r="E1338" s="0" t="n">
        <f aca="false">VLOOKUP(B1338,'Babblefish-APUMA'!$A$1:$B$86,2)</f>
        <v>26</v>
      </c>
      <c r="F1338" s="0" t="n">
        <f aca="false">IF(C1338&gt;1,IF(C1338&lt;99,VLOOKUP(C1338,'Babblefish-APUMA'!$A$1:$B$86,2),C1338),C1338)</f>
        <v>96</v>
      </c>
    </row>
    <row r="1339" customFormat="false" ht="12.75" hidden="false" customHeight="false" outlineLevel="0" collapsed="false">
      <c r="A1339" s="0" t="n">
        <f aca="false">B1339*1000+C1339</f>
        <v>26038</v>
      </c>
      <c r="B1339" s="0" t="n">
        <v>26</v>
      </c>
      <c r="C1339" s="0" t="n">
        <v>38</v>
      </c>
      <c r="D1339" s="0" t="n">
        <v>0</v>
      </c>
      <c r="E1339" s="0" t="n">
        <f aca="false">VLOOKUP(B1339,'Babblefish-APUMA'!$A$1:$B$86,2)</f>
        <v>26</v>
      </c>
      <c r="F1339" s="0" t="n">
        <f aca="false">IF(C1339&gt;1,IF(C1339&lt;99,VLOOKUP(C1339,'Babblefish-APUMA'!$A$1:$B$86,2),C1339),C1339)</f>
        <v>91</v>
      </c>
    </row>
    <row r="1340" customFormat="false" ht="12.75" hidden="false" customHeight="false" outlineLevel="0" collapsed="false">
      <c r="A1340" s="0" t="n">
        <f aca="false">B1340*1000+C1340</f>
        <v>26039</v>
      </c>
      <c r="B1340" s="0" t="n">
        <v>26</v>
      </c>
      <c r="C1340" s="0" t="n">
        <v>39</v>
      </c>
      <c r="D1340" s="0" t="n">
        <v>52</v>
      </c>
      <c r="E1340" s="0" t="n">
        <f aca="false">VLOOKUP(B1340,'Babblefish-APUMA'!$A$1:$B$86,2)</f>
        <v>26</v>
      </c>
      <c r="F1340" s="0" t="n">
        <f aca="false">IF(C1340&gt;1,IF(C1340&lt;99,VLOOKUP(C1340,'Babblefish-APUMA'!$A$1:$B$86,2),C1340),C1340)</f>
        <v>91</v>
      </c>
    </row>
    <row r="1341" customFormat="false" ht="12.75" hidden="false" customHeight="false" outlineLevel="0" collapsed="false">
      <c r="A1341" s="0" t="n">
        <f aca="false">B1341*1000+C1341</f>
        <v>26040</v>
      </c>
      <c r="B1341" s="0" t="n">
        <v>26</v>
      </c>
      <c r="C1341" s="0" t="n">
        <v>40</v>
      </c>
      <c r="D1341" s="0" t="n">
        <v>0</v>
      </c>
      <c r="E1341" s="0" t="n">
        <f aca="false">VLOOKUP(B1341,'Babblefish-APUMA'!$A$1:$B$86,2)</f>
        <v>26</v>
      </c>
      <c r="F1341" s="0" t="n">
        <f aca="false">IF(C1341&gt;1,IF(C1341&lt;99,VLOOKUP(C1341,'Babblefish-APUMA'!$A$1:$B$86,2),C1341),C1341)</f>
        <v>88</v>
      </c>
    </row>
    <row r="1342" customFormat="false" ht="12.75" hidden="false" customHeight="false" outlineLevel="0" collapsed="false">
      <c r="A1342" s="0" t="n">
        <f aca="false">B1342*1000+C1342</f>
        <v>26041</v>
      </c>
      <c r="B1342" s="0" t="n">
        <v>26</v>
      </c>
      <c r="C1342" s="0" t="n">
        <v>41</v>
      </c>
      <c r="D1342" s="0" t="n">
        <v>26</v>
      </c>
      <c r="E1342" s="0" t="n">
        <f aca="false">VLOOKUP(B1342,'Babblefish-APUMA'!$A$1:$B$86,2)</f>
        <v>26</v>
      </c>
      <c r="F1342" s="0" t="n">
        <f aca="false">IF(C1342&gt;1,IF(C1342&lt;99,VLOOKUP(C1342,'Babblefish-APUMA'!$A$1:$B$86,2),C1342),C1342)</f>
        <v>88</v>
      </c>
    </row>
    <row r="1343" customFormat="false" ht="12.75" hidden="false" customHeight="false" outlineLevel="0" collapsed="false">
      <c r="A1343" s="0" t="n">
        <f aca="false">B1343*1000+C1343</f>
        <v>26042</v>
      </c>
      <c r="B1343" s="0" t="n">
        <v>26</v>
      </c>
      <c r="C1343" s="0" t="n">
        <v>42</v>
      </c>
      <c r="D1343" s="0" t="n">
        <v>0</v>
      </c>
      <c r="E1343" s="0" t="n">
        <f aca="false">VLOOKUP(B1343,'Babblefish-APUMA'!$A$1:$B$86,2)</f>
        <v>26</v>
      </c>
      <c r="F1343" s="0" t="n">
        <f aca="false">IF(C1343&gt;1,IF(C1343&lt;99,VLOOKUP(C1343,'Babblefish-APUMA'!$A$1:$B$86,2),C1343),C1343)</f>
        <v>92</v>
      </c>
    </row>
    <row r="1344" customFormat="false" ht="12.75" hidden="false" customHeight="false" outlineLevel="0" collapsed="false">
      <c r="A1344" s="0" t="n">
        <f aca="false">B1344*1000+C1344</f>
        <v>26043</v>
      </c>
      <c r="B1344" s="0" t="n">
        <v>26</v>
      </c>
      <c r="C1344" s="0" t="n">
        <v>43</v>
      </c>
      <c r="D1344" s="0" t="n">
        <v>0</v>
      </c>
      <c r="E1344" s="0" t="n">
        <f aca="false">VLOOKUP(B1344,'Babblefish-APUMA'!$A$1:$B$86,2)</f>
        <v>26</v>
      </c>
      <c r="F1344" s="0" t="n">
        <f aca="false">IF(C1344&gt;1,IF(C1344&lt;99,VLOOKUP(C1344,'Babblefish-APUMA'!$A$1:$B$86,2),C1344),C1344)</f>
        <v>92</v>
      </c>
    </row>
    <row r="1345" customFormat="false" ht="12.75" hidden="false" customHeight="false" outlineLevel="0" collapsed="false">
      <c r="A1345" s="0" t="n">
        <f aca="false">B1345*1000+C1345</f>
        <v>26046</v>
      </c>
      <c r="B1345" s="0" t="n">
        <v>26</v>
      </c>
      <c r="C1345" s="0" t="n">
        <v>46</v>
      </c>
      <c r="D1345" s="0" t="n">
        <v>0</v>
      </c>
      <c r="E1345" s="0" t="n">
        <f aca="false">VLOOKUP(B1345,'Babblefish-APUMA'!$A$1:$B$86,2)</f>
        <v>26</v>
      </c>
      <c r="F1345" s="0" t="n">
        <f aca="false">IF(C1345&gt;1,IF(C1345&lt;99,VLOOKUP(C1345,'Babblefish-APUMA'!$A$1:$B$86,2),C1345),C1345)</f>
        <v>92</v>
      </c>
    </row>
    <row r="1346" customFormat="false" ht="12.75" hidden="false" customHeight="false" outlineLevel="0" collapsed="false">
      <c r="A1346" s="0" t="n">
        <f aca="false">B1346*1000+C1346</f>
        <v>26048</v>
      </c>
      <c r="B1346" s="0" t="n">
        <v>26</v>
      </c>
      <c r="C1346" s="0" t="n">
        <v>48</v>
      </c>
      <c r="D1346" s="0" t="n">
        <v>0</v>
      </c>
      <c r="E1346" s="0" t="n">
        <f aca="false">VLOOKUP(B1346,'Babblefish-APUMA'!$A$1:$B$86,2)</f>
        <v>26</v>
      </c>
      <c r="F1346" s="0" t="n">
        <f aca="false">IF(C1346&gt;1,IF(C1346&lt;99,VLOOKUP(C1346,'Babblefish-APUMA'!$A$1:$B$86,2),C1346),C1346)</f>
        <v>92</v>
      </c>
    </row>
    <row r="1347" customFormat="false" ht="12.75" hidden="false" customHeight="false" outlineLevel="0" collapsed="false">
      <c r="A1347" s="0" t="n">
        <f aca="false">B1347*1000+C1347</f>
        <v>26049</v>
      </c>
      <c r="B1347" s="0" t="n">
        <v>26</v>
      </c>
      <c r="C1347" s="0" t="n">
        <v>49</v>
      </c>
      <c r="D1347" s="0" t="n">
        <v>351</v>
      </c>
      <c r="E1347" s="0" t="n">
        <f aca="false">VLOOKUP(B1347,'Babblefish-APUMA'!$A$1:$B$86,2)</f>
        <v>26</v>
      </c>
      <c r="F1347" s="0" t="n">
        <f aca="false">IF(C1347&gt;1,IF(C1347&lt;99,VLOOKUP(C1347,'Babblefish-APUMA'!$A$1:$B$86,2),C1347),C1347)</f>
        <v>98</v>
      </c>
    </row>
    <row r="1348" customFormat="false" ht="12.75" hidden="false" customHeight="false" outlineLevel="0" collapsed="false">
      <c r="A1348" s="0" t="n">
        <f aca="false">B1348*1000+C1348</f>
        <v>26050</v>
      </c>
      <c r="B1348" s="0" t="n">
        <v>26</v>
      </c>
      <c r="C1348" s="0" t="n">
        <v>50</v>
      </c>
      <c r="D1348" s="0" t="n">
        <v>0</v>
      </c>
      <c r="E1348" s="0" t="n">
        <f aca="false">VLOOKUP(B1348,'Babblefish-APUMA'!$A$1:$B$86,2)</f>
        <v>26</v>
      </c>
      <c r="F1348" s="0" t="n">
        <f aca="false">IF(C1348&gt;1,IF(C1348&lt;99,VLOOKUP(C1348,'Babblefish-APUMA'!$A$1:$B$86,2),C1348),C1348)</f>
        <v>98</v>
      </c>
    </row>
    <row r="1349" customFormat="false" ht="12.75" hidden="false" customHeight="false" outlineLevel="0" collapsed="false">
      <c r="A1349" s="0" t="n">
        <f aca="false">B1349*1000+C1349</f>
        <v>26051</v>
      </c>
      <c r="B1349" s="0" t="n">
        <v>26</v>
      </c>
      <c r="C1349" s="0" t="n">
        <v>51</v>
      </c>
      <c r="D1349" s="0" t="n">
        <v>208</v>
      </c>
      <c r="E1349" s="0" t="n">
        <f aca="false">VLOOKUP(B1349,'Babblefish-APUMA'!$A$1:$B$86,2)</f>
        <v>26</v>
      </c>
      <c r="F1349" s="0" t="n">
        <f aca="false">IF(C1349&gt;1,IF(C1349&lt;99,VLOOKUP(C1349,'Babblefish-APUMA'!$A$1:$B$86,2),C1349),C1349)</f>
        <v>98</v>
      </c>
    </row>
    <row r="1350" customFormat="false" ht="12.75" hidden="false" customHeight="false" outlineLevel="0" collapsed="false">
      <c r="A1350" s="0" t="n">
        <f aca="false">B1350*1000+C1350</f>
        <v>26052</v>
      </c>
      <c r="B1350" s="0" t="n">
        <v>26</v>
      </c>
      <c r="C1350" s="0" t="n">
        <v>52</v>
      </c>
      <c r="D1350" s="0" t="n">
        <v>0</v>
      </c>
      <c r="E1350" s="0" t="n">
        <f aca="false">VLOOKUP(B1350,'Babblefish-APUMA'!$A$1:$B$86,2)</f>
        <v>26</v>
      </c>
      <c r="F1350" s="0" t="n">
        <f aca="false">IF(C1350&gt;1,IF(C1350&lt;99,VLOOKUP(C1350,'Babblefish-APUMA'!$A$1:$B$86,2),C1350),C1350)</f>
        <v>90</v>
      </c>
    </row>
    <row r="1351" customFormat="false" ht="12.75" hidden="false" customHeight="false" outlineLevel="0" collapsed="false">
      <c r="A1351" s="0" t="n">
        <f aca="false">B1351*1000+C1351</f>
        <v>26053</v>
      </c>
      <c r="B1351" s="0" t="n">
        <v>26</v>
      </c>
      <c r="C1351" s="0" t="n">
        <v>53</v>
      </c>
      <c r="D1351" s="0" t="n">
        <v>0</v>
      </c>
      <c r="E1351" s="0" t="n">
        <f aca="false">VLOOKUP(B1351,'Babblefish-APUMA'!$A$1:$B$86,2)</f>
        <v>26</v>
      </c>
      <c r="F1351" s="0" t="n">
        <f aca="false">IF(C1351&gt;1,IF(C1351&lt;99,VLOOKUP(C1351,'Babblefish-APUMA'!$A$1:$B$86,2),C1351),C1351)</f>
        <v>90</v>
      </c>
    </row>
    <row r="1352" customFormat="false" ht="12.75" hidden="false" customHeight="false" outlineLevel="0" collapsed="false">
      <c r="A1352" s="0" t="n">
        <f aca="false">B1352*1000+C1352</f>
        <v>26054</v>
      </c>
      <c r="B1352" s="0" t="n">
        <v>26</v>
      </c>
      <c r="C1352" s="0" t="n">
        <v>54</v>
      </c>
      <c r="D1352" s="0" t="n">
        <v>0</v>
      </c>
      <c r="E1352" s="0" t="n">
        <f aca="false">VLOOKUP(B1352,'Babblefish-APUMA'!$A$1:$B$86,2)</f>
        <v>26</v>
      </c>
      <c r="F1352" s="0" t="n">
        <f aca="false">IF(C1352&gt;1,IF(C1352&lt;99,VLOOKUP(C1352,'Babblefish-APUMA'!$A$1:$B$86,2),C1352),C1352)</f>
        <v>90</v>
      </c>
    </row>
    <row r="1353" customFormat="false" ht="12.75" hidden="false" customHeight="false" outlineLevel="0" collapsed="false">
      <c r="A1353" s="0" t="n">
        <f aca="false">B1353*1000+C1353</f>
        <v>26055</v>
      </c>
      <c r="B1353" s="0" t="n">
        <v>26</v>
      </c>
      <c r="C1353" s="0" t="n">
        <v>55</v>
      </c>
      <c r="D1353" s="0" t="n">
        <v>0</v>
      </c>
      <c r="E1353" s="0" t="n">
        <f aca="false">VLOOKUP(B1353,'Babblefish-APUMA'!$A$1:$B$86,2)</f>
        <v>26</v>
      </c>
      <c r="F1353" s="0" t="n">
        <f aca="false">IF(C1353&gt;1,IF(C1353&lt;99,VLOOKUP(C1353,'Babblefish-APUMA'!$A$1:$B$86,2),C1353),C1353)</f>
        <v>90</v>
      </c>
    </row>
    <row r="1354" customFormat="false" ht="12.75" hidden="false" customHeight="false" outlineLevel="0" collapsed="false">
      <c r="A1354" s="0" t="n">
        <f aca="false">B1354*1000+C1354</f>
        <v>26056</v>
      </c>
      <c r="B1354" s="0" t="n">
        <v>26</v>
      </c>
      <c r="C1354" s="0" t="n">
        <v>56</v>
      </c>
      <c r="D1354" s="0" t="n">
        <v>78</v>
      </c>
      <c r="E1354" s="0" t="n">
        <f aca="false">VLOOKUP(B1354,'Babblefish-APUMA'!$A$1:$B$86,2)</f>
        <v>26</v>
      </c>
      <c r="F1354" s="0" t="n">
        <f aca="false">IF(C1354&gt;1,IF(C1354&lt;99,VLOOKUP(C1354,'Babblefish-APUMA'!$A$1:$B$86,2),C1354),C1354)</f>
        <v>90</v>
      </c>
    </row>
    <row r="1355" customFormat="false" ht="12.75" hidden="false" customHeight="false" outlineLevel="0" collapsed="false">
      <c r="A1355" s="0" t="n">
        <f aca="false">B1355*1000+C1355</f>
        <v>26057</v>
      </c>
      <c r="B1355" s="0" t="n">
        <v>26</v>
      </c>
      <c r="C1355" s="0" t="n">
        <v>57</v>
      </c>
      <c r="D1355" s="0" t="n">
        <v>0</v>
      </c>
      <c r="E1355" s="0" t="n">
        <f aca="false">VLOOKUP(B1355,'Babblefish-APUMA'!$A$1:$B$86,2)</f>
        <v>26</v>
      </c>
      <c r="F1355" s="0" t="n">
        <f aca="false">IF(C1355&gt;1,IF(C1355&lt;99,VLOOKUP(C1355,'Babblefish-APUMA'!$A$1:$B$86,2),C1355),C1355)</f>
        <v>90</v>
      </c>
    </row>
    <row r="1356" customFormat="false" ht="12.75" hidden="false" customHeight="false" outlineLevel="0" collapsed="false">
      <c r="A1356" s="0" t="n">
        <f aca="false">B1356*1000+C1356</f>
        <v>26059</v>
      </c>
      <c r="B1356" s="0" t="n">
        <v>26</v>
      </c>
      <c r="C1356" s="0" t="n">
        <v>59</v>
      </c>
      <c r="D1356" s="0" t="n">
        <v>0</v>
      </c>
      <c r="E1356" s="0" t="n">
        <f aca="false">VLOOKUP(B1356,'Babblefish-APUMA'!$A$1:$B$86,2)</f>
        <v>26</v>
      </c>
      <c r="F1356" s="0" t="n">
        <f aca="false">IF(C1356&gt;1,IF(C1356&lt;99,VLOOKUP(C1356,'Babblefish-APUMA'!$A$1:$B$86,2),C1356),C1356)</f>
        <v>90</v>
      </c>
    </row>
    <row r="1357" customFormat="false" ht="12.75" hidden="false" customHeight="false" outlineLevel="0" collapsed="false">
      <c r="A1357" s="0" t="n">
        <f aca="false">B1357*1000+C1357</f>
        <v>26060</v>
      </c>
      <c r="B1357" s="0" t="n">
        <v>26</v>
      </c>
      <c r="C1357" s="0" t="n">
        <v>60</v>
      </c>
      <c r="D1357" s="0" t="n">
        <v>0</v>
      </c>
      <c r="E1357" s="0" t="n">
        <f aca="false">VLOOKUP(B1357,'Babblefish-APUMA'!$A$1:$B$86,2)</f>
        <v>26</v>
      </c>
      <c r="F1357" s="0" t="n">
        <f aca="false">IF(C1357&gt;1,IF(C1357&lt;99,VLOOKUP(C1357,'Babblefish-APUMA'!$A$1:$B$86,2),C1357),C1357)</f>
        <v>90</v>
      </c>
    </row>
    <row r="1358" customFormat="false" ht="12.75" hidden="false" customHeight="false" outlineLevel="0" collapsed="false">
      <c r="A1358" s="0" t="n">
        <f aca="false">B1358*1000+C1358</f>
        <v>26062</v>
      </c>
      <c r="B1358" s="0" t="n">
        <v>26</v>
      </c>
      <c r="C1358" s="0" t="n">
        <v>62</v>
      </c>
      <c r="D1358" s="0" t="n">
        <v>0</v>
      </c>
      <c r="E1358" s="0" t="n">
        <f aca="false">VLOOKUP(B1358,'Babblefish-APUMA'!$A$1:$B$86,2)</f>
        <v>26</v>
      </c>
      <c r="F1358" s="0" t="n">
        <f aca="false">IF(C1358&gt;1,IF(C1358&lt;99,VLOOKUP(C1358,'Babblefish-APUMA'!$A$1:$B$86,2),C1358),C1358)</f>
        <v>90</v>
      </c>
    </row>
    <row r="1359" customFormat="false" ht="12.75" hidden="false" customHeight="false" outlineLevel="0" collapsed="false">
      <c r="A1359" s="0" t="n">
        <f aca="false">B1359*1000+C1359</f>
        <v>26064</v>
      </c>
      <c r="B1359" s="0" t="n">
        <v>26</v>
      </c>
      <c r="C1359" s="0" t="n">
        <v>64</v>
      </c>
      <c r="D1359" s="0" t="n">
        <v>78</v>
      </c>
      <c r="E1359" s="0" t="n">
        <f aca="false">VLOOKUP(B1359,'Babblefish-APUMA'!$A$1:$B$86,2)</f>
        <v>26</v>
      </c>
      <c r="F1359" s="0" t="n">
        <f aca="false">IF(C1359&gt;1,IF(C1359&lt;99,VLOOKUP(C1359,'Babblefish-APUMA'!$A$1:$B$86,2),C1359),C1359)</f>
        <v>90</v>
      </c>
    </row>
    <row r="1360" customFormat="false" ht="12.75" hidden="false" customHeight="false" outlineLevel="0" collapsed="false">
      <c r="A1360" s="0" t="n">
        <f aca="false">B1360*1000+C1360</f>
        <v>26065</v>
      </c>
      <c r="B1360" s="0" t="n">
        <v>26</v>
      </c>
      <c r="C1360" s="0" t="n">
        <v>65</v>
      </c>
      <c r="D1360" s="0" t="n">
        <v>273</v>
      </c>
      <c r="E1360" s="0" t="n">
        <f aca="false">VLOOKUP(B1360,'Babblefish-APUMA'!$A$1:$B$86,2)</f>
        <v>26</v>
      </c>
      <c r="F1360" s="0" t="n">
        <f aca="false">IF(C1360&gt;1,IF(C1360&lt;99,VLOOKUP(C1360,'Babblefish-APUMA'!$A$1:$B$86,2),C1360),C1360)</f>
        <v>90</v>
      </c>
    </row>
    <row r="1361" customFormat="false" ht="12.75" hidden="false" customHeight="false" outlineLevel="0" collapsed="false">
      <c r="A1361" s="0" t="n">
        <f aca="false">B1361*1000+C1361</f>
        <v>26066</v>
      </c>
      <c r="B1361" s="0" t="n">
        <v>26</v>
      </c>
      <c r="C1361" s="0" t="n">
        <v>66</v>
      </c>
      <c r="D1361" s="0" t="n">
        <v>0</v>
      </c>
      <c r="E1361" s="0" t="n">
        <f aca="false">VLOOKUP(B1361,'Babblefish-APUMA'!$A$1:$B$86,2)</f>
        <v>26</v>
      </c>
      <c r="F1361" s="0" t="n">
        <f aca="false">IF(C1361&gt;1,IF(C1361&lt;99,VLOOKUP(C1361,'Babblefish-APUMA'!$A$1:$B$86,2),C1361),C1361)</f>
        <v>90</v>
      </c>
    </row>
    <row r="1362" customFormat="false" ht="12.75" hidden="false" customHeight="false" outlineLevel="0" collapsed="false">
      <c r="A1362" s="0" t="n">
        <f aca="false">B1362*1000+C1362</f>
        <v>26067</v>
      </c>
      <c r="B1362" s="0" t="n">
        <v>26</v>
      </c>
      <c r="C1362" s="0" t="n">
        <v>67</v>
      </c>
      <c r="D1362" s="0" t="n">
        <v>0</v>
      </c>
      <c r="E1362" s="0" t="n">
        <f aca="false">VLOOKUP(B1362,'Babblefish-APUMA'!$A$1:$B$86,2)</f>
        <v>26</v>
      </c>
      <c r="F1362" s="0" t="n">
        <f aca="false">IF(C1362&gt;1,IF(C1362&lt;99,VLOOKUP(C1362,'Babblefish-APUMA'!$A$1:$B$86,2),C1362),C1362)</f>
        <v>103</v>
      </c>
    </row>
    <row r="1363" customFormat="false" ht="12.75" hidden="false" customHeight="false" outlineLevel="0" collapsed="false">
      <c r="A1363" s="0" t="n">
        <f aca="false">B1363*1000+C1363</f>
        <v>26069</v>
      </c>
      <c r="B1363" s="0" t="n">
        <v>26</v>
      </c>
      <c r="C1363" s="0" t="n">
        <v>69</v>
      </c>
      <c r="D1363" s="0" t="n">
        <v>65</v>
      </c>
      <c r="E1363" s="0" t="n">
        <f aca="false">VLOOKUP(B1363,'Babblefish-APUMA'!$A$1:$B$86,2)</f>
        <v>26</v>
      </c>
      <c r="F1363" s="0" t="n">
        <f aca="false">IF(C1363&gt;1,IF(C1363&lt;99,VLOOKUP(C1363,'Babblefish-APUMA'!$A$1:$B$86,2),C1363),C1363)</f>
        <v>93</v>
      </c>
    </row>
    <row r="1364" customFormat="false" ht="12.75" hidden="false" customHeight="false" outlineLevel="0" collapsed="false">
      <c r="A1364" s="0" t="n">
        <f aca="false">B1364*1000+C1364</f>
        <v>26071</v>
      </c>
      <c r="B1364" s="0" t="n">
        <v>26</v>
      </c>
      <c r="C1364" s="0" t="n">
        <v>71</v>
      </c>
      <c r="D1364" s="0" t="n">
        <v>0</v>
      </c>
      <c r="E1364" s="0" t="n">
        <f aca="false">VLOOKUP(B1364,'Babblefish-APUMA'!$A$1:$B$86,2)</f>
        <v>26</v>
      </c>
      <c r="F1364" s="0" t="n">
        <f aca="false">IF(C1364&gt;1,IF(C1364&lt;99,VLOOKUP(C1364,'Babblefish-APUMA'!$A$1:$B$86,2),C1364),C1364)</f>
        <v>95</v>
      </c>
    </row>
    <row r="1365" customFormat="false" ht="12.75" hidden="false" customHeight="false" outlineLevel="0" collapsed="false">
      <c r="A1365" s="0" t="n">
        <f aca="false">B1365*1000+C1365</f>
        <v>26072</v>
      </c>
      <c r="B1365" s="0" t="n">
        <v>26</v>
      </c>
      <c r="C1365" s="0" t="n">
        <v>72</v>
      </c>
      <c r="D1365" s="0" t="n">
        <v>0</v>
      </c>
      <c r="E1365" s="0" t="n">
        <f aca="false">VLOOKUP(B1365,'Babblefish-APUMA'!$A$1:$B$86,2)</f>
        <v>26</v>
      </c>
      <c r="F1365" s="0" t="n">
        <f aca="false">IF(C1365&gt;1,IF(C1365&lt;99,VLOOKUP(C1365,'Babblefish-APUMA'!$A$1:$B$86,2),C1365),C1365)</f>
        <v>95</v>
      </c>
    </row>
    <row r="1366" customFormat="false" ht="12.75" hidden="false" customHeight="false" outlineLevel="0" collapsed="false">
      <c r="A1366" s="0" t="n">
        <f aca="false">B1366*1000+C1366</f>
        <v>26073</v>
      </c>
      <c r="B1366" s="0" t="n">
        <v>26</v>
      </c>
      <c r="C1366" s="0" t="n">
        <v>73</v>
      </c>
      <c r="D1366" s="0" t="n">
        <v>0</v>
      </c>
      <c r="E1366" s="0" t="n">
        <f aca="false">VLOOKUP(B1366,'Babblefish-APUMA'!$A$1:$B$86,2)</f>
        <v>26</v>
      </c>
      <c r="F1366" s="0" t="n">
        <f aca="false">IF(C1366&gt;1,IF(C1366&lt;99,VLOOKUP(C1366,'Babblefish-APUMA'!$A$1:$B$86,2),C1366),C1366)</f>
        <v>99</v>
      </c>
    </row>
    <row r="1367" customFormat="false" ht="12.75" hidden="false" customHeight="false" outlineLevel="0" collapsed="false">
      <c r="A1367" s="0" t="n">
        <f aca="false">B1367*1000+C1367</f>
        <v>26075</v>
      </c>
      <c r="B1367" s="0" t="n">
        <v>26</v>
      </c>
      <c r="C1367" s="0" t="n">
        <v>75</v>
      </c>
      <c r="D1367" s="0" t="n">
        <v>0</v>
      </c>
      <c r="E1367" s="0" t="n">
        <f aca="false">VLOOKUP(B1367,'Babblefish-APUMA'!$A$1:$B$86,2)</f>
        <v>26</v>
      </c>
      <c r="F1367" s="0" t="n">
        <f aca="false">IF(C1367&gt;1,IF(C1367&lt;99,VLOOKUP(C1367,'Babblefish-APUMA'!$A$1:$B$86,2),C1367),C1367)</f>
        <v>75</v>
      </c>
    </row>
    <row r="1368" customFormat="false" ht="12.75" hidden="false" customHeight="false" outlineLevel="0" collapsed="false">
      <c r="A1368" s="0" t="n">
        <f aca="false">B1368*1000+C1368</f>
        <v>26076</v>
      </c>
      <c r="B1368" s="0" t="n">
        <v>26</v>
      </c>
      <c r="C1368" s="0" t="n">
        <v>76</v>
      </c>
      <c r="D1368" s="0" t="n">
        <v>0</v>
      </c>
      <c r="E1368" s="0" t="n">
        <f aca="false">VLOOKUP(B1368,'Babblefish-APUMA'!$A$1:$B$86,2)</f>
        <v>26</v>
      </c>
      <c r="F1368" s="0" t="n">
        <f aca="false">IF(C1368&gt;1,IF(C1368&lt;99,VLOOKUP(C1368,'Babblefish-APUMA'!$A$1:$B$86,2),C1368),C1368)</f>
        <v>76</v>
      </c>
    </row>
    <row r="1369" customFormat="false" ht="12.75" hidden="false" customHeight="false" outlineLevel="0" collapsed="false">
      <c r="A1369" s="0" t="n">
        <f aca="false">B1369*1000+C1369</f>
        <v>26079</v>
      </c>
      <c r="B1369" s="0" t="n">
        <v>26</v>
      </c>
      <c r="C1369" s="0" t="n">
        <v>79</v>
      </c>
      <c r="D1369" s="0" t="n">
        <v>0</v>
      </c>
      <c r="E1369" s="0" t="n">
        <f aca="false">VLOOKUP(B1369,'Babblefish-APUMA'!$A$1:$B$86,2)</f>
        <v>26</v>
      </c>
      <c r="F1369" s="0" t="n">
        <f aca="false">IF(C1369&gt;1,IF(C1369&lt;99,VLOOKUP(C1369,'Babblefish-APUMA'!$A$1:$B$86,2),C1369),C1369)</f>
        <v>89</v>
      </c>
    </row>
    <row r="1370" customFormat="false" ht="12.75" hidden="false" customHeight="false" outlineLevel="0" collapsed="false">
      <c r="A1370" s="0" t="n">
        <f aca="false">B1370*1000+C1370</f>
        <v>26080</v>
      </c>
      <c r="B1370" s="0" t="n">
        <v>26</v>
      </c>
      <c r="C1370" s="0" t="n">
        <v>80</v>
      </c>
      <c r="D1370" s="0" t="n">
        <v>0</v>
      </c>
      <c r="E1370" s="0" t="n">
        <f aca="false">VLOOKUP(B1370,'Babblefish-APUMA'!$A$1:$B$86,2)</f>
        <v>26</v>
      </c>
      <c r="F1370" s="0" t="n">
        <f aca="false">IF(C1370&gt;1,IF(C1370&lt;99,VLOOKUP(C1370,'Babblefish-APUMA'!$A$1:$B$86,2),C1370),C1370)</f>
        <v>80</v>
      </c>
    </row>
    <row r="1371" customFormat="false" ht="12.75" hidden="false" customHeight="false" outlineLevel="0" collapsed="false">
      <c r="A1371" s="0" t="n">
        <f aca="false">B1371*1000+C1371</f>
        <v>26082</v>
      </c>
      <c r="B1371" s="0" t="n">
        <v>26</v>
      </c>
      <c r="C1371" s="0" t="n">
        <v>82</v>
      </c>
      <c r="D1371" s="0" t="n">
        <v>0</v>
      </c>
      <c r="E1371" s="0" t="n">
        <f aca="false">VLOOKUP(B1371,'Babblefish-APUMA'!$A$1:$B$86,2)</f>
        <v>26</v>
      </c>
      <c r="F1371" s="0" t="n">
        <f aca="false">IF(C1371&gt;1,IF(C1371&lt;99,VLOOKUP(C1371,'Babblefish-APUMA'!$A$1:$B$86,2),C1371),C1371)</f>
        <v>95</v>
      </c>
    </row>
    <row r="1372" customFormat="false" ht="12.75" hidden="false" customHeight="false" outlineLevel="0" collapsed="false">
      <c r="A1372" s="0" t="n">
        <f aca="false">B1372*1000+C1372</f>
        <v>26085</v>
      </c>
      <c r="B1372" s="0" t="n">
        <v>26</v>
      </c>
      <c r="C1372" s="0" t="n">
        <v>85</v>
      </c>
      <c r="D1372" s="0" t="n">
        <v>1482</v>
      </c>
      <c r="E1372" s="0" t="n">
        <f aca="false">VLOOKUP(B1372,'Babblefish-APUMA'!$A$1:$B$86,2)</f>
        <v>26</v>
      </c>
      <c r="F1372" s="0" t="n">
        <f aca="false">IF(C1372&gt;1,IF(C1372&lt;99,VLOOKUP(C1372,'Babblefish-APUMA'!$A$1:$B$86,2),C1372),C1372)</f>
        <v>97</v>
      </c>
    </row>
    <row r="1373" customFormat="false" ht="12.75" hidden="false" customHeight="false" outlineLevel="0" collapsed="false">
      <c r="A1373" s="0" t="n">
        <f aca="false">B1373*1000+C1373</f>
        <v>26858</v>
      </c>
      <c r="B1373" s="0" t="n">
        <v>26</v>
      </c>
      <c r="C1373" s="0" t="n">
        <v>858</v>
      </c>
      <c r="D1373" s="0" t="n">
        <v>0</v>
      </c>
      <c r="E1373" s="0" t="n">
        <f aca="false">VLOOKUP(B1373,'Babblefish-APUMA'!$A$1:$B$86,2)</f>
        <v>26</v>
      </c>
      <c r="F1373" s="0" t="n">
        <f aca="false">IF(C1373&gt;1,IF(C1373&lt;99,VLOOKUP(C1373,'Babblefish-APUMA'!$A$1:$B$86,2),C1373),C1373)</f>
        <v>858</v>
      </c>
    </row>
    <row r="1374" customFormat="false" ht="12.75" hidden="false" customHeight="false" outlineLevel="0" collapsed="false">
      <c r="A1374" s="0" t="n">
        <f aca="false">B1374*1000+C1374</f>
        <v>26999</v>
      </c>
      <c r="B1374" s="0" t="n">
        <v>26</v>
      </c>
      <c r="C1374" s="0" t="n">
        <v>999</v>
      </c>
      <c r="D1374" s="0" t="n">
        <v>0</v>
      </c>
      <c r="E1374" s="0" t="n">
        <f aca="false">VLOOKUP(B1374,'Babblefish-APUMA'!$A$1:$B$86,2)</f>
        <v>26</v>
      </c>
      <c r="F1374" s="0" t="n">
        <f aca="false">IF(C1374&gt;1,IF(C1374&lt;99,VLOOKUP(C1374,'Babblefish-APUMA'!$A$1:$B$86,2),C1374),C1374)</f>
        <v>999</v>
      </c>
    </row>
    <row r="1375" customFormat="false" ht="12.75" hidden="false" customHeight="false" outlineLevel="0" collapsed="false">
      <c r="A1375" s="0" t="n">
        <f aca="false">B1375*1000+C1375</f>
        <v>27000</v>
      </c>
      <c r="B1375" s="0" t="n">
        <v>27</v>
      </c>
      <c r="C1375" s="0" t="n">
        <v>0</v>
      </c>
      <c r="D1375" s="0" t="n">
        <v>78299</v>
      </c>
      <c r="E1375" s="0" t="n">
        <f aca="false">VLOOKUP(B1375,'Babblefish-APUMA'!$A$1:$B$86,2)</f>
        <v>27</v>
      </c>
      <c r="F1375" s="0" t="n">
        <f aca="false">IF(C1375&gt;1,IF(C1375&lt;99,VLOOKUP(C1375,'Babblefish-APUMA'!$A$1:$B$86,2),C1375),C1375)</f>
        <v>0</v>
      </c>
    </row>
    <row r="1376" customFormat="false" ht="12.75" hidden="false" customHeight="false" outlineLevel="0" collapsed="false">
      <c r="A1376" s="0" t="n">
        <f aca="false">B1376*1000+C1376</f>
        <v>27001</v>
      </c>
      <c r="B1376" s="0" t="n">
        <v>27</v>
      </c>
      <c r="C1376" s="0" t="n">
        <v>1</v>
      </c>
      <c r="D1376" s="0" t="n">
        <v>0</v>
      </c>
      <c r="E1376" s="0" t="n">
        <f aca="false">VLOOKUP(B1376,'Babblefish-APUMA'!$A$1:$B$86,2)</f>
        <v>27</v>
      </c>
      <c r="F1376" s="0" t="n">
        <f aca="false">IF(C1376&gt;1,IF(C1376&lt;99,VLOOKUP(C1376,'Babblefish-APUMA'!$A$1:$B$86,2),C1376),C1376)</f>
        <v>1</v>
      </c>
    </row>
    <row r="1377" customFormat="false" ht="12.75" hidden="false" customHeight="false" outlineLevel="0" collapsed="false">
      <c r="A1377" s="0" t="n">
        <f aca="false">B1377*1000+C1377</f>
        <v>27002</v>
      </c>
      <c r="B1377" s="0" t="n">
        <v>27</v>
      </c>
      <c r="C1377" s="0" t="n">
        <v>2</v>
      </c>
      <c r="D1377" s="0" t="n">
        <v>0</v>
      </c>
      <c r="E1377" s="0" t="n">
        <f aca="false">VLOOKUP(B1377,'Babblefish-APUMA'!$A$1:$B$86,2)</f>
        <v>27</v>
      </c>
      <c r="F1377" s="0" t="n">
        <f aca="false">IF(C1377&gt;1,IF(C1377&lt;99,VLOOKUP(C1377,'Babblefish-APUMA'!$A$1:$B$86,2),C1377),C1377)</f>
        <v>2</v>
      </c>
    </row>
    <row r="1378" customFormat="false" ht="12.75" hidden="false" customHeight="false" outlineLevel="0" collapsed="false">
      <c r="A1378" s="0" t="n">
        <f aca="false">B1378*1000+C1378</f>
        <v>27003</v>
      </c>
      <c r="B1378" s="0" t="n">
        <v>27</v>
      </c>
      <c r="C1378" s="0" t="n">
        <v>3</v>
      </c>
      <c r="D1378" s="0" t="n">
        <v>0</v>
      </c>
      <c r="E1378" s="0" t="n">
        <f aca="false">VLOOKUP(B1378,'Babblefish-APUMA'!$A$1:$B$86,2)</f>
        <v>27</v>
      </c>
      <c r="F1378" s="0" t="n">
        <f aca="false">IF(C1378&gt;1,IF(C1378&lt;99,VLOOKUP(C1378,'Babblefish-APUMA'!$A$1:$B$86,2),C1378),C1378)</f>
        <v>3</v>
      </c>
    </row>
    <row r="1379" customFormat="false" ht="12.75" hidden="false" customHeight="false" outlineLevel="0" collapsed="false">
      <c r="A1379" s="0" t="n">
        <f aca="false">B1379*1000+C1379</f>
        <v>27004</v>
      </c>
      <c r="B1379" s="0" t="n">
        <v>27</v>
      </c>
      <c r="C1379" s="0" t="n">
        <v>4</v>
      </c>
      <c r="D1379" s="0" t="n">
        <v>0</v>
      </c>
      <c r="E1379" s="0" t="n">
        <f aca="false">VLOOKUP(B1379,'Babblefish-APUMA'!$A$1:$B$86,2)</f>
        <v>27</v>
      </c>
      <c r="F1379" s="0" t="n">
        <f aca="false">IF(C1379&gt;1,IF(C1379&lt;99,VLOOKUP(C1379,'Babblefish-APUMA'!$A$1:$B$86,2),C1379),C1379)</f>
        <v>4</v>
      </c>
    </row>
    <row r="1380" customFormat="false" ht="12.75" hidden="false" customHeight="false" outlineLevel="0" collapsed="false">
      <c r="A1380" s="0" t="n">
        <f aca="false">B1380*1000+C1380</f>
        <v>27005</v>
      </c>
      <c r="B1380" s="0" t="n">
        <v>27</v>
      </c>
      <c r="C1380" s="0" t="n">
        <v>5</v>
      </c>
      <c r="D1380" s="0" t="n">
        <v>0</v>
      </c>
      <c r="E1380" s="0" t="n">
        <f aca="false">VLOOKUP(B1380,'Babblefish-APUMA'!$A$1:$B$86,2)</f>
        <v>27</v>
      </c>
      <c r="F1380" s="0" t="n">
        <f aca="false">IF(C1380&gt;1,IF(C1380&lt;99,VLOOKUP(C1380,'Babblefish-APUMA'!$A$1:$B$86,2),C1380),C1380)</f>
        <v>5</v>
      </c>
    </row>
    <row r="1381" customFormat="false" ht="12.75" hidden="false" customHeight="false" outlineLevel="0" collapsed="false">
      <c r="A1381" s="0" t="n">
        <f aca="false">B1381*1000+C1381</f>
        <v>27006</v>
      </c>
      <c r="B1381" s="0" t="n">
        <v>27</v>
      </c>
      <c r="C1381" s="0" t="n">
        <v>6</v>
      </c>
      <c r="D1381" s="0" t="n">
        <v>0</v>
      </c>
      <c r="E1381" s="0" t="n">
        <f aca="false">VLOOKUP(B1381,'Babblefish-APUMA'!$A$1:$B$86,2)</f>
        <v>27</v>
      </c>
      <c r="F1381" s="0" t="n">
        <f aca="false">IF(C1381&gt;1,IF(C1381&lt;99,VLOOKUP(C1381,'Babblefish-APUMA'!$A$1:$B$86,2),C1381),C1381)</f>
        <v>6</v>
      </c>
    </row>
    <row r="1382" customFormat="false" ht="12.75" hidden="false" customHeight="false" outlineLevel="0" collapsed="false">
      <c r="A1382" s="0" t="n">
        <f aca="false">B1382*1000+C1382</f>
        <v>27007</v>
      </c>
      <c r="B1382" s="0" t="n">
        <v>27</v>
      </c>
      <c r="C1382" s="0" t="n">
        <v>7</v>
      </c>
      <c r="D1382" s="0" t="n">
        <v>0</v>
      </c>
      <c r="E1382" s="0" t="n">
        <f aca="false">VLOOKUP(B1382,'Babblefish-APUMA'!$A$1:$B$86,2)</f>
        <v>27</v>
      </c>
      <c r="F1382" s="0" t="n">
        <f aca="false">IF(C1382&gt;1,IF(C1382&lt;99,VLOOKUP(C1382,'Babblefish-APUMA'!$A$1:$B$86,2),C1382),C1382)</f>
        <v>7</v>
      </c>
    </row>
    <row r="1383" customFormat="false" ht="12.75" hidden="false" customHeight="false" outlineLevel="0" collapsed="false">
      <c r="A1383" s="0" t="n">
        <f aca="false">B1383*1000+C1383</f>
        <v>27008</v>
      </c>
      <c r="B1383" s="0" t="n">
        <v>27</v>
      </c>
      <c r="C1383" s="0" t="n">
        <v>8</v>
      </c>
      <c r="D1383" s="0" t="n">
        <v>0</v>
      </c>
      <c r="E1383" s="0" t="n">
        <f aca="false">VLOOKUP(B1383,'Babblefish-APUMA'!$A$1:$B$86,2)</f>
        <v>27</v>
      </c>
      <c r="F1383" s="0" t="n">
        <f aca="false">IF(C1383&gt;1,IF(C1383&lt;99,VLOOKUP(C1383,'Babblefish-APUMA'!$A$1:$B$86,2),C1383),C1383)</f>
        <v>8</v>
      </c>
    </row>
    <row r="1384" customFormat="false" ht="12.75" hidden="false" customHeight="false" outlineLevel="0" collapsed="false">
      <c r="A1384" s="0" t="n">
        <f aca="false">B1384*1000+C1384</f>
        <v>27009</v>
      </c>
      <c r="B1384" s="0" t="n">
        <v>27</v>
      </c>
      <c r="C1384" s="0" t="n">
        <v>9</v>
      </c>
      <c r="D1384" s="0" t="n">
        <v>143</v>
      </c>
      <c r="E1384" s="0" t="n">
        <f aca="false">VLOOKUP(B1384,'Babblefish-APUMA'!$A$1:$B$86,2)</f>
        <v>27</v>
      </c>
      <c r="F1384" s="0" t="n">
        <f aca="false">IF(C1384&gt;1,IF(C1384&lt;99,VLOOKUP(C1384,'Babblefish-APUMA'!$A$1:$B$86,2),C1384),C1384)</f>
        <v>9</v>
      </c>
    </row>
    <row r="1385" customFormat="false" ht="12.75" hidden="false" customHeight="false" outlineLevel="0" collapsed="false">
      <c r="A1385" s="0" t="n">
        <f aca="false">B1385*1000+C1385</f>
        <v>27010</v>
      </c>
      <c r="B1385" s="0" t="n">
        <v>27</v>
      </c>
      <c r="C1385" s="0" t="n">
        <v>10</v>
      </c>
      <c r="D1385" s="0" t="n">
        <v>0</v>
      </c>
      <c r="E1385" s="0" t="n">
        <f aca="false">VLOOKUP(B1385,'Babblefish-APUMA'!$A$1:$B$86,2)</f>
        <v>27</v>
      </c>
      <c r="F1385" s="0" t="n">
        <f aca="false">IF(C1385&gt;1,IF(C1385&lt;99,VLOOKUP(C1385,'Babblefish-APUMA'!$A$1:$B$86,2),C1385),C1385)</f>
        <v>10</v>
      </c>
    </row>
    <row r="1386" customFormat="false" ht="12.75" hidden="false" customHeight="false" outlineLevel="0" collapsed="false">
      <c r="A1386" s="0" t="n">
        <f aca="false">B1386*1000+C1386</f>
        <v>27011</v>
      </c>
      <c r="B1386" s="0" t="n">
        <v>27</v>
      </c>
      <c r="C1386" s="0" t="n">
        <v>11</v>
      </c>
      <c r="D1386" s="0" t="n">
        <v>0</v>
      </c>
      <c r="E1386" s="0" t="n">
        <f aca="false">VLOOKUP(B1386,'Babblefish-APUMA'!$A$1:$B$86,2)</f>
        <v>27</v>
      </c>
      <c r="F1386" s="0" t="n">
        <f aca="false">IF(C1386&gt;1,IF(C1386&lt;99,VLOOKUP(C1386,'Babblefish-APUMA'!$A$1:$B$86,2),C1386),C1386)</f>
        <v>11</v>
      </c>
    </row>
    <row r="1387" customFormat="false" ht="12.75" hidden="false" customHeight="false" outlineLevel="0" collapsed="false">
      <c r="A1387" s="0" t="n">
        <f aca="false">B1387*1000+C1387</f>
        <v>27012</v>
      </c>
      <c r="B1387" s="0" t="n">
        <v>27</v>
      </c>
      <c r="C1387" s="0" t="n">
        <v>12</v>
      </c>
      <c r="D1387" s="0" t="n">
        <v>0</v>
      </c>
      <c r="E1387" s="0" t="n">
        <f aca="false">VLOOKUP(B1387,'Babblefish-APUMA'!$A$1:$B$86,2)</f>
        <v>27</v>
      </c>
      <c r="F1387" s="0" t="n">
        <f aca="false">IF(C1387&gt;1,IF(C1387&lt;99,VLOOKUP(C1387,'Babblefish-APUMA'!$A$1:$B$86,2),C1387),C1387)</f>
        <v>12</v>
      </c>
    </row>
    <row r="1388" customFormat="false" ht="12.75" hidden="false" customHeight="false" outlineLevel="0" collapsed="false">
      <c r="A1388" s="0" t="n">
        <f aca="false">B1388*1000+C1388</f>
        <v>27013</v>
      </c>
      <c r="B1388" s="0" t="n">
        <v>27</v>
      </c>
      <c r="C1388" s="0" t="n">
        <v>13</v>
      </c>
      <c r="D1388" s="0" t="n">
        <v>0</v>
      </c>
      <c r="E1388" s="0" t="n">
        <f aca="false">VLOOKUP(B1388,'Babblefish-APUMA'!$A$1:$B$86,2)</f>
        <v>27</v>
      </c>
      <c r="F1388" s="0" t="n">
        <f aca="false">IF(C1388&gt;1,IF(C1388&lt;99,VLOOKUP(C1388,'Babblefish-APUMA'!$A$1:$B$86,2),C1388),C1388)</f>
        <v>100</v>
      </c>
    </row>
    <row r="1389" customFormat="false" ht="12.75" hidden="false" customHeight="false" outlineLevel="0" collapsed="false">
      <c r="A1389" s="0" t="n">
        <f aca="false">B1389*1000+C1389</f>
        <v>27014</v>
      </c>
      <c r="B1389" s="0" t="n">
        <v>27</v>
      </c>
      <c r="C1389" s="0" t="n">
        <v>14</v>
      </c>
      <c r="D1389" s="0" t="n">
        <v>0</v>
      </c>
      <c r="E1389" s="0" t="n">
        <f aca="false">VLOOKUP(B1389,'Babblefish-APUMA'!$A$1:$B$86,2)</f>
        <v>27</v>
      </c>
      <c r="F1389" s="0" t="n">
        <f aca="false">IF(C1389&gt;1,IF(C1389&lt;99,VLOOKUP(C1389,'Babblefish-APUMA'!$A$1:$B$86,2),C1389),C1389)</f>
        <v>100</v>
      </c>
    </row>
    <row r="1390" customFormat="false" ht="12.75" hidden="false" customHeight="false" outlineLevel="0" collapsed="false">
      <c r="A1390" s="0" t="n">
        <f aca="false">B1390*1000+C1390</f>
        <v>27015</v>
      </c>
      <c r="B1390" s="0" t="n">
        <v>27</v>
      </c>
      <c r="C1390" s="0" t="n">
        <v>15</v>
      </c>
      <c r="D1390" s="0" t="n">
        <v>0</v>
      </c>
      <c r="E1390" s="0" t="n">
        <f aca="false">VLOOKUP(B1390,'Babblefish-APUMA'!$A$1:$B$86,2)</f>
        <v>27</v>
      </c>
      <c r="F1390" s="0" t="n">
        <f aca="false">IF(C1390&gt;1,IF(C1390&lt;99,VLOOKUP(C1390,'Babblefish-APUMA'!$A$1:$B$86,2),C1390),C1390)</f>
        <v>15</v>
      </c>
    </row>
    <row r="1391" customFormat="false" ht="12.75" hidden="false" customHeight="false" outlineLevel="0" collapsed="false">
      <c r="A1391" s="0" t="n">
        <f aca="false">B1391*1000+C1391</f>
        <v>27016</v>
      </c>
      <c r="B1391" s="0" t="n">
        <v>27</v>
      </c>
      <c r="C1391" s="0" t="n">
        <v>16</v>
      </c>
      <c r="D1391" s="0" t="n">
        <v>0</v>
      </c>
      <c r="E1391" s="0" t="n">
        <f aca="false">VLOOKUP(B1391,'Babblefish-APUMA'!$A$1:$B$86,2)</f>
        <v>27</v>
      </c>
      <c r="F1391" s="0" t="n">
        <f aca="false">IF(C1391&gt;1,IF(C1391&lt;99,VLOOKUP(C1391,'Babblefish-APUMA'!$A$1:$B$86,2),C1391),C1391)</f>
        <v>99</v>
      </c>
    </row>
    <row r="1392" customFormat="false" ht="12.75" hidden="false" customHeight="false" outlineLevel="0" collapsed="false">
      <c r="A1392" s="0" t="n">
        <f aca="false">B1392*1000+C1392</f>
        <v>27017</v>
      </c>
      <c r="B1392" s="0" t="n">
        <v>27</v>
      </c>
      <c r="C1392" s="0" t="n">
        <v>17</v>
      </c>
      <c r="D1392" s="0" t="n">
        <v>0</v>
      </c>
      <c r="E1392" s="0" t="n">
        <f aca="false">VLOOKUP(B1392,'Babblefish-APUMA'!$A$1:$B$86,2)</f>
        <v>27</v>
      </c>
      <c r="F1392" s="0" t="n">
        <f aca="false">IF(C1392&gt;1,IF(C1392&lt;99,VLOOKUP(C1392,'Babblefish-APUMA'!$A$1:$B$86,2),C1392),C1392)</f>
        <v>87</v>
      </c>
    </row>
    <row r="1393" customFormat="false" ht="12.75" hidden="false" customHeight="false" outlineLevel="0" collapsed="false">
      <c r="A1393" s="0" t="n">
        <f aca="false">B1393*1000+C1393</f>
        <v>27018</v>
      </c>
      <c r="B1393" s="0" t="n">
        <v>27</v>
      </c>
      <c r="C1393" s="0" t="n">
        <v>18</v>
      </c>
      <c r="D1393" s="0" t="n">
        <v>91</v>
      </c>
      <c r="E1393" s="0" t="n">
        <f aca="false">VLOOKUP(B1393,'Babblefish-APUMA'!$A$1:$B$86,2)</f>
        <v>27</v>
      </c>
      <c r="F1393" s="0" t="n">
        <f aca="false">IF(C1393&gt;1,IF(C1393&lt;99,VLOOKUP(C1393,'Babblefish-APUMA'!$A$1:$B$86,2),C1393),C1393)</f>
        <v>87</v>
      </c>
    </row>
    <row r="1394" customFormat="false" ht="12.75" hidden="false" customHeight="false" outlineLevel="0" collapsed="false">
      <c r="A1394" s="0" t="n">
        <f aca="false">B1394*1000+C1394</f>
        <v>27019</v>
      </c>
      <c r="B1394" s="0" t="n">
        <v>27</v>
      </c>
      <c r="C1394" s="0" t="n">
        <v>19</v>
      </c>
      <c r="D1394" s="0" t="n">
        <v>0</v>
      </c>
      <c r="E1394" s="0" t="n">
        <f aca="false">VLOOKUP(B1394,'Babblefish-APUMA'!$A$1:$B$86,2)</f>
        <v>27</v>
      </c>
      <c r="F1394" s="0" t="n">
        <f aca="false">IF(C1394&gt;1,IF(C1394&lt;99,VLOOKUP(C1394,'Babblefish-APUMA'!$A$1:$B$86,2),C1394),C1394)</f>
        <v>19</v>
      </c>
    </row>
    <row r="1395" customFormat="false" ht="12.75" hidden="false" customHeight="false" outlineLevel="0" collapsed="false">
      <c r="A1395" s="0" t="n">
        <f aca="false">B1395*1000+C1395</f>
        <v>27020</v>
      </c>
      <c r="B1395" s="0" t="n">
        <v>27</v>
      </c>
      <c r="C1395" s="0" t="n">
        <v>20</v>
      </c>
      <c r="D1395" s="0" t="n">
        <v>0</v>
      </c>
      <c r="E1395" s="0" t="n">
        <f aca="false">VLOOKUP(B1395,'Babblefish-APUMA'!$A$1:$B$86,2)</f>
        <v>27</v>
      </c>
      <c r="F1395" s="0" t="n">
        <f aca="false">IF(C1395&gt;1,IF(C1395&lt;99,VLOOKUP(C1395,'Babblefish-APUMA'!$A$1:$B$86,2),C1395),C1395)</f>
        <v>86</v>
      </c>
    </row>
    <row r="1396" customFormat="false" ht="12.75" hidden="false" customHeight="false" outlineLevel="0" collapsed="false">
      <c r="A1396" s="0" t="n">
        <f aca="false">B1396*1000+C1396</f>
        <v>27021</v>
      </c>
      <c r="B1396" s="0" t="n">
        <v>27</v>
      </c>
      <c r="C1396" s="0" t="n">
        <v>21</v>
      </c>
      <c r="D1396" s="0" t="n">
        <v>91</v>
      </c>
      <c r="E1396" s="0" t="n">
        <f aca="false">VLOOKUP(B1396,'Babblefish-APUMA'!$A$1:$B$86,2)</f>
        <v>27</v>
      </c>
      <c r="F1396" s="0" t="n">
        <f aca="false">IF(C1396&gt;1,IF(C1396&lt;99,VLOOKUP(C1396,'Babblefish-APUMA'!$A$1:$B$86,2),C1396),C1396)</f>
        <v>86</v>
      </c>
    </row>
    <row r="1397" customFormat="false" ht="12.75" hidden="false" customHeight="false" outlineLevel="0" collapsed="false">
      <c r="A1397" s="0" t="n">
        <f aca="false">B1397*1000+C1397</f>
        <v>27022</v>
      </c>
      <c r="B1397" s="0" t="n">
        <v>27</v>
      </c>
      <c r="C1397" s="0" t="n">
        <v>22</v>
      </c>
      <c r="D1397" s="0" t="n">
        <v>0</v>
      </c>
      <c r="E1397" s="0" t="n">
        <f aca="false">VLOOKUP(B1397,'Babblefish-APUMA'!$A$1:$B$86,2)</f>
        <v>27</v>
      </c>
      <c r="F1397" s="0" t="n">
        <f aca="false">IF(C1397&gt;1,IF(C1397&lt;99,VLOOKUP(C1397,'Babblefish-APUMA'!$A$1:$B$86,2),C1397),C1397)</f>
        <v>22</v>
      </c>
    </row>
    <row r="1398" customFormat="false" ht="12.75" hidden="false" customHeight="false" outlineLevel="0" collapsed="false">
      <c r="A1398" s="0" t="n">
        <f aca="false">B1398*1000+C1398</f>
        <v>27023</v>
      </c>
      <c r="B1398" s="0" t="n">
        <v>27</v>
      </c>
      <c r="C1398" s="0" t="n">
        <v>23</v>
      </c>
      <c r="D1398" s="0" t="n">
        <v>91</v>
      </c>
      <c r="E1398" s="0" t="n">
        <f aca="false">VLOOKUP(B1398,'Babblefish-APUMA'!$A$1:$B$86,2)</f>
        <v>27</v>
      </c>
      <c r="F1398" s="0" t="n">
        <f aca="false">IF(C1398&gt;1,IF(C1398&lt;99,VLOOKUP(C1398,'Babblefish-APUMA'!$A$1:$B$86,2),C1398),C1398)</f>
        <v>97</v>
      </c>
    </row>
    <row r="1399" customFormat="false" ht="12.75" hidden="false" customHeight="false" outlineLevel="0" collapsed="false">
      <c r="A1399" s="0" t="n">
        <f aca="false">B1399*1000+C1399</f>
        <v>27024</v>
      </c>
      <c r="B1399" s="0" t="n">
        <v>27</v>
      </c>
      <c r="C1399" s="0" t="n">
        <v>24</v>
      </c>
      <c r="D1399" s="0" t="n">
        <v>260</v>
      </c>
      <c r="E1399" s="0" t="n">
        <f aca="false">VLOOKUP(B1399,'Babblefish-APUMA'!$A$1:$B$86,2)</f>
        <v>27</v>
      </c>
      <c r="F1399" s="0" t="n">
        <f aca="false">IF(C1399&gt;1,IF(C1399&lt;99,VLOOKUP(C1399,'Babblefish-APUMA'!$A$1:$B$86,2),C1399),C1399)</f>
        <v>101</v>
      </c>
    </row>
    <row r="1400" customFormat="false" ht="12.75" hidden="false" customHeight="false" outlineLevel="0" collapsed="false">
      <c r="A1400" s="0" t="n">
        <f aca="false">B1400*1000+C1400</f>
        <v>27025</v>
      </c>
      <c r="B1400" s="0" t="n">
        <v>27</v>
      </c>
      <c r="C1400" s="0" t="n">
        <v>25</v>
      </c>
      <c r="D1400" s="0" t="n">
        <v>0</v>
      </c>
      <c r="E1400" s="0" t="n">
        <f aca="false">VLOOKUP(B1400,'Babblefish-APUMA'!$A$1:$B$86,2)</f>
        <v>27</v>
      </c>
      <c r="F1400" s="0" t="n">
        <f aca="false">IF(C1400&gt;1,IF(C1400&lt;99,VLOOKUP(C1400,'Babblefish-APUMA'!$A$1:$B$86,2),C1400),C1400)</f>
        <v>101</v>
      </c>
    </row>
    <row r="1401" customFormat="false" ht="12.75" hidden="false" customHeight="false" outlineLevel="0" collapsed="false">
      <c r="A1401" s="0" t="n">
        <f aca="false">B1401*1000+C1401</f>
        <v>27026</v>
      </c>
      <c r="B1401" s="0" t="n">
        <v>27</v>
      </c>
      <c r="C1401" s="0" t="n">
        <v>26</v>
      </c>
      <c r="D1401" s="0" t="n">
        <v>429</v>
      </c>
      <c r="E1401" s="0" t="n">
        <f aca="false">VLOOKUP(B1401,'Babblefish-APUMA'!$A$1:$B$86,2)</f>
        <v>27</v>
      </c>
      <c r="F1401" s="0" t="n">
        <f aca="false">IF(C1401&gt;1,IF(C1401&lt;99,VLOOKUP(C1401,'Babblefish-APUMA'!$A$1:$B$86,2),C1401),C1401)</f>
        <v>26</v>
      </c>
    </row>
    <row r="1402" customFormat="false" ht="12.75" hidden="false" customHeight="false" outlineLevel="0" collapsed="false">
      <c r="A1402" s="0" t="n">
        <f aca="false">B1402*1000+C1402</f>
        <v>27027</v>
      </c>
      <c r="B1402" s="0" t="n">
        <v>27</v>
      </c>
      <c r="C1402" s="0" t="n">
        <v>27</v>
      </c>
      <c r="D1402" s="0" t="n">
        <v>34346</v>
      </c>
      <c r="E1402" s="0" t="n">
        <f aca="false">VLOOKUP(B1402,'Babblefish-APUMA'!$A$1:$B$86,2)</f>
        <v>27</v>
      </c>
      <c r="F1402" s="0" t="n">
        <f aca="false">IF(C1402&gt;1,IF(C1402&lt;99,VLOOKUP(C1402,'Babblefish-APUMA'!$A$1:$B$86,2),C1402),C1402)</f>
        <v>27</v>
      </c>
    </row>
    <row r="1403" customFormat="false" ht="12.75" hidden="false" customHeight="false" outlineLevel="0" collapsed="false">
      <c r="A1403" s="0" t="n">
        <f aca="false">B1403*1000+C1403</f>
        <v>27028</v>
      </c>
      <c r="B1403" s="0" t="n">
        <v>27</v>
      </c>
      <c r="C1403" s="0" t="n">
        <v>28</v>
      </c>
      <c r="D1403" s="0" t="n">
        <v>0</v>
      </c>
      <c r="E1403" s="0" t="n">
        <f aca="false">VLOOKUP(B1403,'Babblefish-APUMA'!$A$1:$B$86,2)</f>
        <v>27</v>
      </c>
      <c r="F1403" s="0" t="n">
        <f aca="false">IF(C1403&gt;1,IF(C1403&lt;99,VLOOKUP(C1403,'Babblefish-APUMA'!$A$1:$B$86,2),C1403),C1403)</f>
        <v>94</v>
      </c>
    </row>
    <row r="1404" customFormat="false" ht="12.75" hidden="false" customHeight="false" outlineLevel="0" collapsed="false">
      <c r="A1404" s="0" t="n">
        <f aca="false">B1404*1000+C1404</f>
        <v>27029</v>
      </c>
      <c r="B1404" s="0" t="n">
        <v>27</v>
      </c>
      <c r="C1404" s="0" t="n">
        <v>29</v>
      </c>
      <c r="D1404" s="0" t="n">
        <v>0</v>
      </c>
      <c r="E1404" s="0" t="n">
        <f aca="false">VLOOKUP(B1404,'Babblefish-APUMA'!$A$1:$B$86,2)</f>
        <v>27</v>
      </c>
      <c r="F1404" s="0" t="n">
        <f aca="false">IF(C1404&gt;1,IF(C1404&lt;99,VLOOKUP(C1404,'Babblefish-APUMA'!$A$1:$B$86,2),C1404),C1404)</f>
        <v>94</v>
      </c>
    </row>
    <row r="1405" customFormat="false" ht="12.75" hidden="false" customHeight="false" outlineLevel="0" collapsed="false">
      <c r="A1405" s="0" t="n">
        <f aca="false">B1405*1000+C1405</f>
        <v>27030</v>
      </c>
      <c r="B1405" s="0" t="n">
        <v>27</v>
      </c>
      <c r="C1405" s="0" t="n">
        <v>30</v>
      </c>
      <c r="D1405" s="0" t="n">
        <v>1105</v>
      </c>
      <c r="E1405" s="0" t="n">
        <f aca="false">VLOOKUP(B1405,'Babblefish-APUMA'!$A$1:$B$86,2)</f>
        <v>27</v>
      </c>
      <c r="F1405" s="0" t="n">
        <f aca="false">IF(C1405&gt;1,IF(C1405&lt;99,VLOOKUP(C1405,'Babblefish-APUMA'!$A$1:$B$86,2),C1405),C1405)</f>
        <v>30</v>
      </c>
    </row>
    <row r="1406" customFormat="false" ht="12.75" hidden="false" customHeight="false" outlineLevel="0" collapsed="false">
      <c r="A1406" s="0" t="n">
        <f aca="false">B1406*1000+C1406</f>
        <v>27031</v>
      </c>
      <c r="B1406" s="0" t="n">
        <v>27</v>
      </c>
      <c r="C1406" s="0" t="n">
        <v>31</v>
      </c>
      <c r="D1406" s="0" t="n">
        <v>156</v>
      </c>
      <c r="E1406" s="0" t="n">
        <f aca="false">VLOOKUP(B1406,'Babblefish-APUMA'!$A$1:$B$86,2)</f>
        <v>27</v>
      </c>
      <c r="F1406" s="0" t="n">
        <f aca="false">IF(C1406&gt;1,IF(C1406&lt;99,VLOOKUP(C1406,'Babblefish-APUMA'!$A$1:$B$86,2),C1406),C1406)</f>
        <v>31</v>
      </c>
    </row>
    <row r="1407" customFormat="false" ht="12.75" hidden="false" customHeight="false" outlineLevel="0" collapsed="false">
      <c r="A1407" s="0" t="n">
        <f aca="false">B1407*1000+C1407</f>
        <v>27032</v>
      </c>
      <c r="B1407" s="0" t="n">
        <v>27</v>
      </c>
      <c r="C1407" s="0" t="n">
        <v>32</v>
      </c>
      <c r="D1407" s="0" t="n">
        <v>78</v>
      </c>
      <c r="E1407" s="0" t="n">
        <f aca="false">VLOOKUP(B1407,'Babblefish-APUMA'!$A$1:$B$86,2)</f>
        <v>27</v>
      </c>
      <c r="F1407" s="0" t="n">
        <f aca="false">IF(C1407&gt;1,IF(C1407&lt;99,VLOOKUP(C1407,'Babblefish-APUMA'!$A$1:$B$86,2),C1407),C1407)</f>
        <v>32</v>
      </c>
    </row>
    <row r="1408" customFormat="false" ht="12.75" hidden="false" customHeight="false" outlineLevel="0" collapsed="false">
      <c r="A1408" s="0" t="n">
        <f aca="false">B1408*1000+C1408</f>
        <v>27033</v>
      </c>
      <c r="B1408" s="0" t="n">
        <v>27</v>
      </c>
      <c r="C1408" s="0" t="n">
        <v>33</v>
      </c>
      <c r="D1408" s="0" t="n">
        <v>0</v>
      </c>
      <c r="E1408" s="0" t="n">
        <f aca="false">VLOOKUP(B1408,'Babblefish-APUMA'!$A$1:$B$86,2)</f>
        <v>27</v>
      </c>
      <c r="F1408" s="0" t="n">
        <f aca="false">IF(C1408&gt;1,IF(C1408&lt;99,VLOOKUP(C1408,'Babblefish-APUMA'!$A$1:$B$86,2),C1408),C1408)</f>
        <v>96</v>
      </c>
    </row>
    <row r="1409" customFormat="false" ht="12.75" hidden="false" customHeight="false" outlineLevel="0" collapsed="false">
      <c r="A1409" s="0" t="n">
        <f aca="false">B1409*1000+C1409</f>
        <v>27034</v>
      </c>
      <c r="B1409" s="0" t="n">
        <v>27</v>
      </c>
      <c r="C1409" s="0" t="n">
        <v>34</v>
      </c>
      <c r="D1409" s="0" t="n">
        <v>0</v>
      </c>
      <c r="E1409" s="0" t="n">
        <f aca="false">VLOOKUP(B1409,'Babblefish-APUMA'!$A$1:$B$86,2)</f>
        <v>27</v>
      </c>
      <c r="F1409" s="0" t="n">
        <f aca="false">IF(C1409&gt;1,IF(C1409&lt;99,VLOOKUP(C1409,'Babblefish-APUMA'!$A$1:$B$86,2),C1409),C1409)</f>
        <v>96</v>
      </c>
    </row>
    <row r="1410" customFormat="false" ht="12.75" hidden="false" customHeight="false" outlineLevel="0" collapsed="false">
      <c r="A1410" s="0" t="n">
        <f aca="false">B1410*1000+C1410</f>
        <v>27035</v>
      </c>
      <c r="B1410" s="0" t="n">
        <v>27</v>
      </c>
      <c r="C1410" s="0" t="n">
        <v>35</v>
      </c>
      <c r="D1410" s="0" t="n">
        <v>0</v>
      </c>
      <c r="E1410" s="0" t="n">
        <f aca="false">VLOOKUP(B1410,'Babblefish-APUMA'!$A$1:$B$86,2)</f>
        <v>27</v>
      </c>
      <c r="F1410" s="0" t="n">
        <f aca="false">IF(C1410&gt;1,IF(C1410&lt;99,VLOOKUP(C1410,'Babblefish-APUMA'!$A$1:$B$86,2),C1410),C1410)</f>
        <v>96</v>
      </c>
    </row>
    <row r="1411" customFormat="false" ht="12.75" hidden="false" customHeight="false" outlineLevel="0" collapsed="false">
      <c r="A1411" s="0" t="n">
        <f aca="false">B1411*1000+C1411</f>
        <v>27037</v>
      </c>
      <c r="B1411" s="0" t="n">
        <v>27</v>
      </c>
      <c r="C1411" s="0" t="n">
        <v>37</v>
      </c>
      <c r="D1411" s="0" t="n">
        <v>0</v>
      </c>
      <c r="E1411" s="0" t="n">
        <f aca="false">VLOOKUP(B1411,'Babblefish-APUMA'!$A$1:$B$86,2)</f>
        <v>27</v>
      </c>
      <c r="F1411" s="0" t="n">
        <f aca="false">IF(C1411&gt;1,IF(C1411&lt;99,VLOOKUP(C1411,'Babblefish-APUMA'!$A$1:$B$86,2),C1411),C1411)</f>
        <v>96</v>
      </c>
    </row>
    <row r="1412" customFormat="false" ht="12.75" hidden="false" customHeight="false" outlineLevel="0" collapsed="false">
      <c r="A1412" s="0" t="n">
        <f aca="false">B1412*1000+C1412</f>
        <v>27038</v>
      </c>
      <c r="B1412" s="0" t="n">
        <v>27</v>
      </c>
      <c r="C1412" s="0" t="n">
        <v>38</v>
      </c>
      <c r="D1412" s="0" t="n">
        <v>520</v>
      </c>
      <c r="E1412" s="0" t="n">
        <f aca="false">VLOOKUP(B1412,'Babblefish-APUMA'!$A$1:$B$86,2)</f>
        <v>27</v>
      </c>
      <c r="F1412" s="0" t="n">
        <f aca="false">IF(C1412&gt;1,IF(C1412&lt;99,VLOOKUP(C1412,'Babblefish-APUMA'!$A$1:$B$86,2),C1412),C1412)</f>
        <v>91</v>
      </c>
    </row>
    <row r="1413" customFormat="false" ht="12.75" hidden="false" customHeight="false" outlineLevel="0" collapsed="false">
      <c r="A1413" s="0" t="n">
        <f aca="false">B1413*1000+C1413</f>
        <v>27039</v>
      </c>
      <c r="B1413" s="0" t="n">
        <v>27</v>
      </c>
      <c r="C1413" s="0" t="n">
        <v>39</v>
      </c>
      <c r="D1413" s="0" t="n">
        <v>806</v>
      </c>
      <c r="E1413" s="0" t="n">
        <f aca="false">VLOOKUP(B1413,'Babblefish-APUMA'!$A$1:$B$86,2)</f>
        <v>27</v>
      </c>
      <c r="F1413" s="0" t="n">
        <f aca="false">IF(C1413&gt;1,IF(C1413&lt;99,VLOOKUP(C1413,'Babblefish-APUMA'!$A$1:$B$86,2),C1413),C1413)</f>
        <v>91</v>
      </c>
    </row>
    <row r="1414" customFormat="false" ht="12.75" hidden="false" customHeight="false" outlineLevel="0" collapsed="false">
      <c r="A1414" s="0" t="n">
        <f aca="false">B1414*1000+C1414</f>
        <v>27040</v>
      </c>
      <c r="B1414" s="0" t="n">
        <v>27</v>
      </c>
      <c r="C1414" s="0" t="n">
        <v>40</v>
      </c>
      <c r="D1414" s="0" t="n">
        <v>4810</v>
      </c>
      <c r="E1414" s="0" t="n">
        <f aca="false">VLOOKUP(B1414,'Babblefish-APUMA'!$A$1:$B$86,2)</f>
        <v>27</v>
      </c>
      <c r="F1414" s="0" t="n">
        <f aca="false">IF(C1414&gt;1,IF(C1414&lt;99,VLOOKUP(C1414,'Babblefish-APUMA'!$A$1:$B$86,2),C1414),C1414)</f>
        <v>88</v>
      </c>
    </row>
    <row r="1415" customFormat="false" ht="12.75" hidden="false" customHeight="false" outlineLevel="0" collapsed="false">
      <c r="A1415" s="0" t="n">
        <f aca="false">B1415*1000+C1415</f>
        <v>27041</v>
      </c>
      <c r="B1415" s="0" t="n">
        <v>27</v>
      </c>
      <c r="C1415" s="0" t="n">
        <v>41</v>
      </c>
      <c r="D1415" s="0" t="n">
        <v>2821</v>
      </c>
      <c r="E1415" s="0" t="n">
        <f aca="false">VLOOKUP(B1415,'Babblefish-APUMA'!$A$1:$B$86,2)</f>
        <v>27</v>
      </c>
      <c r="F1415" s="0" t="n">
        <f aca="false">IF(C1415&gt;1,IF(C1415&lt;99,VLOOKUP(C1415,'Babblefish-APUMA'!$A$1:$B$86,2),C1415),C1415)</f>
        <v>88</v>
      </c>
    </row>
    <row r="1416" customFormat="false" ht="12.75" hidden="false" customHeight="false" outlineLevel="0" collapsed="false">
      <c r="A1416" s="0" t="n">
        <f aca="false">B1416*1000+C1416</f>
        <v>27042</v>
      </c>
      <c r="B1416" s="0" t="n">
        <v>27</v>
      </c>
      <c r="C1416" s="0" t="n">
        <v>42</v>
      </c>
      <c r="D1416" s="0" t="n">
        <v>0</v>
      </c>
      <c r="E1416" s="0" t="n">
        <f aca="false">VLOOKUP(B1416,'Babblefish-APUMA'!$A$1:$B$86,2)</f>
        <v>27</v>
      </c>
      <c r="F1416" s="0" t="n">
        <f aca="false">IF(C1416&gt;1,IF(C1416&lt;99,VLOOKUP(C1416,'Babblefish-APUMA'!$A$1:$B$86,2),C1416),C1416)</f>
        <v>92</v>
      </c>
    </row>
    <row r="1417" customFormat="false" ht="12.75" hidden="false" customHeight="false" outlineLevel="0" collapsed="false">
      <c r="A1417" s="0" t="n">
        <f aca="false">B1417*1000+C1417</f>
        <v>27043</v>
      </c>
      <c r="B1417" s="0" t="n">
        <v>27</v>
      </c>
      <c r="C1417" s="0" t="n">
        <v>43</v>
      </c>
      <c r="D1417" s="0" t="n">
        <v>0</v>
      </c>
      <c r="E1417" s="0" t="n">
        <f aca="false">VLOOKUP(B1417,'Babblefish-APUMA'!$A$1:$B$86,2)</f>
        <v>27</v>
      </c>
      <c r="F1417" s="0" t="n">
        <f aca="false">IF(C1417&gt;1,IF(C1417&lt;99,VLOOKUP(C1417,'Babblefish-APUMA'!$A$1:$B$86,2),C1417),C1417)</f>
        <v>92</v>
      </c>
    </row>
    <row r="1418" customFormat="false" ht="12.75" hidden="false" customHeight="false" outlineLevel="0" collapsed="false">
      <c r="A1418" s="0" t="n">
        <f aca="false">B1418*1000+C1418</f>
        <v>27046</v>
      </c>
      <c r="B1418" s="0" t="n">
        <v>27</v>
      </c>
      <c r="C1418" s="0" t="n">
        <v>46</v>
      </c>
      <c r="D1418" s="0" t="n">
        <v>0</v>
      </c>
      <c r="E1418" s="0" t="n">
        <f aca="false">VLOOKUP(B1418,'Babblefish-APUMA'!$A$1:$B$86,2)</f>
        <v>27</v>
      </c>
      <c r="F1418" s="0" t="n">
        <f aca="false">IF(C1418&gt;1,IF(C1418&lt;99,VLOOKUP(C1418,'Babblefish-APUMA'!$A$1:$B$86,2),C1418),C1418)</f>
        <v>92</v>
      </c>
    </row>
    <row r="1419" customFormat="false" ht="12.75" hidden="false" customHeight="false" outlineLevel="0" collapsed="false">
      <c r="A1419" s="0" t="n">
        <f aca="false">B1419*1000+C1419</f>
        <v>27048</v>
      </c>
      <c r="B1419" s="0" t="n">
        <v>27</v>
      </c>
      <c r="C1419" s="0" t="n">
        <v>48</v>
      </c>
      <c r="D1419" s="0" t="n">
        <v>0</v>
      </c>
      <c r="E1419" s="0" t="n">
        <f aca="false">VLOOKUP(B1419,'Babblefish-APUMA'!$A$1:$B$86,2)</f>
        <v>27</v>
      </c>
      <c r="F1419" s="0" t="n">
        <f aca="false">IF(C1419&gt;1,IF(C1419&lt;99,VLOOKUP(C1419,'Babblefish-APUMA'!$A$1:$B$86,2),C1419),C1419)</f>
        <v>92</v>
      </c>
    </row>
    <row r="1420" customFormat="false" ht="12.75" hidden="false" customHeight="false" outlineLevel="0" collapsed="false">
      <c r="A1420" s="0" t="n">
        <f aca="false">B1420*1000+C1420</f>
        <v>27049</v>
      </c>
      <c r="B1420" s="0" t="n">
        <v>27</v>
      </c>
      <c r="C1420" s="0" t="n">
        <v>49</v>
      </c>
      <c r="D1420" s="0" t="n">
        <v>2535</v>
      </c>
      <c r="E1420" s="0" t="n">
        <f aca="false">VLOOKUP(B1420,'Babblefish-APUMA'!$A$1:$B$86,2)</f>
        <v>27</v>
      </c>
      <c r="F1420" s="0" t="n">
        <f aca="false">IF(C1420&gt;1,IF(C1420&lt;99,VLOOKUP(C1420,'Babblefish-APUMA'!$A$1:$B$86,2),C1420),C1420)</f>
        <v>98</v>
      </c>
    </row>
    <row r="1421" customFormat="false" ht="12.75" hidden="false" customHeight="false" outlineLevel="0" collapsed="false">
      <c r="A1421" s="0" t="n">
        <f aca="false">B1421*1000+C1421</f>
        <v>27050</v>
      </c>
      <c r="B1421" s="0" t="n">
        <v>27</v>
      </c>
      <c r="C1421" s="0" t="n">
        <v>50</v>
      </c>
      <c r="D1421" s="0" t="n">
        <v>351</v>
      </c>
      <c r="E1421" s="0" t="n">
        <f aca="false">VLOOKUP(B1421,'Babblefish-APUMA'!$A$1:$B$86,2)</f>
        <v>27</v>
      </c>
      <c r="F1421" s="0" t="n">
        <f aca="false">IF(C1421&gt;1,IF(C1421&lt;99,VLOOKUP(C1421,'Babblefish-APUMA'!$A$1:$B$86,2),C1421),C1421)</f>
        <v>98</v>
      </c>
    </row>
    <row r="1422" customFormat="false" ht="12.75" hidden="false" customHeight="false" outlineLevel="0" collapsed="false">
      <c r="A1422" s="0" t="n">
        <f aca="false">B1422*1000+C1422</f>
        <v>27051</v>
      </c>
      <c r="B1422" s="0" t="n">
        <v>27</v>
      </c>
      <c r="C1422" s="0" t="n">
        <v>51</v>
      </c>
      <c r="D1422" s="0" t="n">
        <v>1222</v>
      </c>
      <c r="E1422" s="0" t="n">
        <f aca="false">VLOOKUP(B1422,'Babblefish-APUMA'!$A$1:$B$86,2)</f>
        <v>27</v>
      </c>
      <c r="F1422" s="0" t="n">
        <f aca="false">IF(C1422&gt;1,IF(C1422&lt;99,VLOOKUP(C1422,'Babblefish-APUMA'!$A$1:$B$86,2),C1422),C1422)</f>
        <v>98</v>
      </c>
    </row>
    <row r="1423" customFormat="false" ht="12.75" hidden="false" customHeight="false" outlineLevel="0" collapsed="false">
      <c r="A1423" s="0" t="n">
        <f aca="false">B1423*1000+C1423</f>
        <v>27052</v>
      </c>
      <c r="B1423" s="0" t="n">
        <v>27</v>
      </c>
      <c r="C1423" s="0" t="n">
        <v>52</v>
      </c>
      <c r="D1423" s="0" t="n">
        <v>0</v>
      </c>
      <c r="E1423" s="0" t="n">
        <f aca="false">VLOOKUP(B1423,'Babblefish-APUMA'!$A$1:$B$86,2)</f>
        <v>27</v>
      </c>
      <c r="F1423" s="0" t="n">
        <f aca="false">IF(C1423&gt;1,IF(C1423&lt;99,VLOOKUP(C1423,'Babblefish-APUMA'!$A$1:$B$86,2),C1423),C1423)</f>
        <v>90</v>
      </c>
    </row>
    <row r="1424" customFormat="false" ht="12.75" hidden="false" customHeight="false" outlineLevel="0" collapsed="false">
      <c r="A1424" s="0" t="n">
        <f aca="false">B1424*1000+C1424</f>
        <v>27053</v>
      </c>
      <c r="B1424" s="0" t="n">
        <v>27</v>
      </c>
      <c r="C1424" s="0" t="n">
        <v>53</v>
      </c>
      <c r="D1424" s="0" t="n">
        <v>0</v>
      </c>
      <c r="E1424" s="0" t="n">
        <f aca="false">VLOOKUP(B1424,'Babblefish-APUMA'!$A$1:$B$86,2)</f>
        <v>27</v>
      </c>
      <c r="F1424" s="0" t="n">
        <f aca="false">IF(C1424&gt;1,IF(C1424&lt;99,VLOOKUP(C1424,'Babblefish-APUMA'!$A$1:$B$86,2),C1424),C1424)</f>
        <v>90</v>
      </c>
    </row>
    <row r="1425" customFormat="false" ht="12.75" hidden="false" customHeight="false" outlineLevel="0" collapsed="false">
      <c r="A1425" s="0" t="n">
        <f aca="false">B1425*1000+C1425</f>
        <v>27054</v>
      </c>
      <c r="B1425" s="0" t="n">
        <v>27</v>
      </c>
      <c r="C1425" s="0" t="n">
        <v>54</v>
      </c>
      <c r="D1425" s="0" t="n">
        <v>0</v>
      </c>
      <c r="E1425" s="0" t="n">
        <f aca="false">VLOOKUP(B1425,'Babblefish-APUMA'!$A$1:$B$86,2)</f>
        <v>27</v>
      </c>
      <c r="F1425" s="0" t="n">
        <f aca="false">IF(C1425&gt;1,IF(C1425&lt;99,VLOOKUP(C1425,'Babblefish-APUMA'!$A$1:$B$86,2),C1425),C1425)</f>
        <v>90</v>
      </c>
    </row>
    <row r="1426" customFormat="false" ht="12.75" hidden="false" customHeight="false" outlineLevel="0" collapsed="false">
      <c r="A1426" s="0" t="n">
        <f aca="false">B1426*1000+C1426</f>
        <v>27055</v>
      </c>
      <c r="B1426" s="0" t="n">
        <v>27</v>
      </c>
      <c r="C1426" s="0" t="n">
        <v>55</v>
      </c>
      <c r="D1426" s="0" t="n">
        <v>0</v>
      </c>
      <c r="E1426" s="0" t="n">
        <f aca="false">VLOOKUP(B1426,'Babblefish-APUMA'!$A$1:$B$86,2)</f>
        <v>27</v>
      </c>
      <c r="F1426" s="0" t="n">
        <f aca="false">IF(C1426&gt;1,IF(C1426&lt;99,VLOOKUP(C1426,'Babblefish-APUMA'!$A$1:$B$86,2),C1426),C1426)</f>
        <v>90</v>
      </c>
    </row>
    <row r="1427" customFormat="false" ht="12.75" hidden="false" customHeight="false" outlineLevel="0" collapsed="false">
      <c r="A1427" s="0" t="n">
        <f aca="false">B1427*1000+C1427</f>
        <v>27056</v>
      </c>
      <c r="B1427" s="0" t="n">
        <v>27</v>
      </c>
      <c r="C1427" s="0" t="n">
        <v>56</v>
      </c>
      <c r="D1427" s="0" t="n">
        <v>0</v>
      </c>
      <c r="E1427" s="0" t="n">
        <f aca="false">VLOOKUP(B1427,'Babblefish-APUMA'!$A$1:$B$86,2)</f>
        <v>27</v>
      </c>
      <c r="F1427" s="0" t="n">
        <f aca="false">IF(C1427&gt;1,IF(C1427&lt;99,VLOOKUP(C1427,'Babblefish-APUMA'!$A$1:$B$86,2),C1427),C1427)</f>
        <v>90</v>
      </c>
    </row>
    <row r="1428" customFormat="false" ht="12.75" hidden="false" customHeight="false" outlineLevel="0" collapsed="false">
      <c r="A1428" s="0" t="n">
        <f aca="false">B1428*1000+C1428</f>
        <v>27057</v>
      </c>
      <c r="B1428" s="0" t="n">
        <v>27</v>
      </c>
      <c r="C1428" s="0" t="n">
        <v>57</v>
      </c>
      <c r="D1428" s="0" t="n">
        <v>0</v>
      </c>
      <c r="E1428" s="0" t="n">
        <f aca="false">VLOOKUP(B1428,'Babblefish-APUMA'!$A$1:$B$86,2)</f>
        <v>27</v>
      </c>
      <c r="F1428" s="0" t="n">
        <f aca="false">IF(C1428&gt;1,IF(C1428&lt;99,VLOOKUP(C1428,'Babblefish-APUMA'!$A$1:$B$86,2),C1428),C1428)</f>
        <v>90</v>
      </c>
    </row>
    <row r="1429" customFormat="false" ht="12.75" hidden="false" customHeight="false" outlineLevel="0" collapsed="false">
      <c r="A1429" s="0" t="n">
        <f aca="false">B1429*1000+C1429</f>
        <v>27059</v>
      </c>
      <c r="B1429" s="0" t="n">
        <v>27</v>
      </c>
      <c r="C1429" s="0" t="n">
        <v>59</v>
      </c>
      <c r="D1429" s="0" t="n">
        <v>0</v>
      </c>
      <c r="E1429" s="0" t="n">
        <f aca="false">VLOOKUP(B1429,'Babblefish-APUMA'!$A$1:$B$86,2)</f>
        <v>27</v>
      </c>
      <c r="F1429" s="0" t="n">
        <f aca="false">IF(C1429&gt;1,IF(C1429&lt;99,VLOOKUP(C1429,'Babblefish-APUMA'!$A$1:$B$86,2),C1429),C1429)</f>
        <v>90</v>
      </c>
    </row>
    <row r="1430" customFormat="false" ht="12.75" hidden="false" customHeight="false" outlineLevel="0" collapsed="false">
      <c r="A1430" s="0" t="n">
        <f aca="false">B1430*1000+C1430</f>
        <v>27060</v>
      </c>
      <c r="B1430" s="0" t="n">
        <v>27</v>
      </c>
      <c r="C1430" s="0" t="n">
        <v>60</v>
      </c>
      <c r="D1430" s="0" t="n">
        <v>0</v>
      </c>
      <c r="E1430" s="0" t="n">
        <f aca="false">VLOOKUP(B1430,'Babblefish-APUMA'!$A$1:$B$86,2)</f>
        <v>27</v>
      </c>
      <c r="F1430" s="0" t="n">
        <f aca="false">IF(C1430&gt;1,IF(C1430&lt;99,VLOOKUP(C1430,'Babblefish-APUMA'!$A$1:$B$86,2),C1430),C1430)</f>
        <v>90</v>
      </c>
    </row>
    <row r="1431" customFormat="false" ht="12.75" hidden="false" customHeight="false" outlineLevel="0" collapsed="false">
      <c r="A1431" s="0" t="n">
        <f aca="false">B1431*1000+C1431</f>
        <v>27062</v>
      </c>
      <c r="B1431" s="0" t="n">
        <v>27</v>
      </c>
      <c r="C1431" s="0" t="n">
        <v>62</v>
      </c>
      <c r="D1431" s="0" t="n">
        <v>0</v>
      </c>
      <c r="E1431" s="0" t="n">
        <f aca="false">VLOOKUP(B1431,'Babblefish-APUMA'!$A$1:$B$86,2)</f>
        <v>27</v>
      </c>
      <c r="F1431" s="0" t="n">
        <f aca="false">IF(C1431&gt;1,IF(C1431&lt;99,VLOOKUP(C1431,'Babblefish-APUMA'!$A$1:$B$86,2),C1431),C1431)</f>
        <v>90</v>
      </c>
    </row>
    <row r="1432" customFormat="false" ht="12.75" hidden="false" customHeight="false" outlineLevel="0" collapsed="false">
      <c r="A1432" s="0" t="n">
        <f aca="false">B1432*1000+C1432</f>
        <v>27064</v>
      </c>
      <c r="B1432" s="0" t="n">
        <v>27</v>
      </c>
      <c r="C1432" s="0" t="n">
        <v>64</v>
      </c>
      <c r="D1432" s="0" t="n">
        <v>91</v>
      </c>
      <c r="E1432" s="0" t="n">
        <f aca="false">VLOOKUP(B1432,'Babblefish-APUMA'!$A$1:$B$86,2)</f>
        <v>27</v>
      </c>
      <c r="F1432" s="0" t="n">
        <f aca="false">IF(C1432&gt;1,IF(C1432&lt;99,VLOOKUP(C1432,'Babblefish-APUMA'!$A$1:$B$86,2),C1432),C1432)</f>
        <v>90</v>
      </c>
    </row>
    <row r="1433" customFormat="false" ht="12.75" hidden="false" customHeight="false" outlineLevel="0" collapsed="false">
      <c r="A1433" s="0" t="n">
        <f aca="false">B1433*1000+C1433</f>
        <v>27065</v>
      </c>
      <c r="B1433" s="0" t="n">
        <v>27</v>
      </c>
      <c r="C1433" s="0" t="n">
        <v>65</v>
      </c>
      <c r="D1433" s="0" t="n">
        <v>0</v>
      </c>
      <c r="E1433" s="0" t="n">
        <f aca="false">VLOOKUP(B1433,'Babblefish-APUMA'!$A$1:$B$86,2)</f>
        <v>27</v>
      </c>
      <c r="F1433" s="0" t="n">
        <f aca="false">IF(C1433&gt;1,IF(C1433&lt;99,VLOOKUP(C1433,'Babblefish-APUMA'!$A$1:$B$86,2),C1433),C1433)</f>
        <v>90</v>
      </c>
    </row>
    <row r="1434" customFormat="false" ht="12.75" hidden="false" customHeight="false" outlineLevel="0" collapsed="false">
      <c r="A1434" s="0" t="n">
        <f aca="false">B1434*1000+C1434</f>
        <v>27066</v>
      </c>
      <c r="B1434" s="0" t="n">
        <v>27</v>
      </c>
      <c r="C1434" s="0" t="n">
        <v>66</v>
      </c>
      <c r="D1434" s="0" t="n">
        <v>0</v>
      </c>
      <c r="E1434" s="0" t="n">
        <f aca="false">VLOOKUP(B1434,'Babblefish-APUMA'!$A$1:$B$86,2)</f>
        <v>27</v>
      </c>
      <c r="F1434" s="0" t="n">
        <f aca="false">IF(C1434&gt;1,IF(C1434&lt;99,VLOOKUP(C1434,'Babblefish-APUMA'!$A$1:$B$86,2),C1434),C1434)</f>
        <v>90</v>
      </c>
    </row>
    <row r="1435" customFormat="false" ht="12.75" hidden="false" customHeight="false" outlineLevel="0" collapsed="false">
      <c r="A1435" s="0" t="n">
        <f aca="false">B1435*1000+C1435</f>
        <v>27067</v>
      </c>
      <c r="B1435" s="0" t="n">
        <v>27</v>
      </c>
      <c r="C1435" s="0" t="n">
        <v>67</v>
      </c>
      <c r="D1435" s="0" t="n">
        <v>0</v>
      </c>
      <c r="E1435" s="0" t="n">
        <f aca="false">VLOOKUP(B1435,'Babblefish-APUMA'!$A$1:$B$86,2)</f>
        <v>27</v>
      </c>
      <c r="F1435" s="0" t="n">
        <f aca="false">IF(C1435&gt;1,IF(C1435&lt;99,VLOOKUP(C1435,'Babblefish-APUMA'!$A$1:$B$86,2),C1435),C1435)</f>
        <v>103</v>
      </c>
    </row>
    <row r="1436" customFormat="false" ht="12.75" hidden="false" customHeight="false" outlineLevel="0" collapsed="false">
      <c r="A1436" s="0" t="n">
        <f aca="false">B1436*1000+C1436</f>
        <v>27069</v>
      </c>
      <c r="B1436" s="0" t="n">
        <v>27</v>
      </c>
      <c r="C1436" s="0" t="n">
        <v>69</v>
      </c>
      <c r="D1436" s="0" t="n">
        <v>0</v>
      </c>
      <c r="E1436" s="0" t="n">
        <f aca="false">VLOOKUP(B1436,'Babblefish-APUMA'!$A$1:$B$86,2)</f>
        <v>27</v>
      </c>
      <c r="F1436" s="0" t="n">
        <f aca="false">IF(C1436&gt;1,IF(C1436&lt;99,VLOOKUP(C1436,'Babblefish-APUMA'!$A$1:$B$86,2),C1436),C1436)</f>
        <v>93</v>
      </c>
    </row>
    <row r="1437" customFormat="false" ht="12.75" hidden="false" customHeight="false" outlineLevel="0" collapsed="false">
      <c r="A1437" s="0" t="n">
        <f aca="false">B1437*1000+C1437</f>
        <v>27071</v>
      </c>
      <c r="B1437" s="0" t="n">
        <v>27</v>
      </c>
      <c r="C1437" s="0" t="n">
        <v>71</v>
      </c>
      <c r="D1437" s="0" t="n">
        <v>0</v>
      </c>
      <c r="E1437" s="0" t="n">
        <f aca="false">VLOOKUP(B1437,'Babblefish-APUMA'!$A$1:$B$86,2)</f>
        <v>27</v>
      </c>
      <c r="F1437" s="0" t="n">
        <f aca="false">IF(C1437&gt;1,IF(C1437&lt;99,VLOOKUP(C1437,'Babblefish-APUMA'!$A$1:$B$86,2),C1437),C1437)</f>
        <v>95</v>
      </c>
    </row>
    <row r="1438" customFormat="false" ht="12.75" hidden="false" customHeight="false" outlineLevel="0" collapsed="false">
      <c r="A1438" s="0" t="n">
        <f aca="false">B1438*1000+C1438</f>
        <v>27072</v>
      </c>
      <c r="B1438" s="0" t="n">
        <v>27</v>
      </c>
      <c r="C1438" s="0" t="n">
        <v>72</v>
      </c>
      <c r="D1438" s="0" t="n">
        <v>0</v>
      </c>
      <c r="E1438" s="0" t="n">
        <f aca="false">VLOOKUP(B1438,'Babblefish-APUMA'!$A$1:$B$86,2)</f>
        <v>27</v>
      </c>
      <c r="F1438" s="0" t="n">
        <f aca="false">IF(C1438&gt;1,IF(C1438&lt;99,VLOOKUP(C1438,'Babblefish-APUMA'!$A$1:$B$86,2),C1438),C1438)</f>
        <v>95</v>
      </c>
    </row>
    <row r="1439" customFormat="false" ht="12.75" hidden="false" customHeight="false" outlineLevel="0" collapsed="false">
      <c r="A1439" s="0" t="n">
        <f aca="false">B1439*1000+C1439</f>
        <v>27073</v>
      </c>
      <c r="B1439" s="0" t="n">
        <v>27</v>
      </c>
      <c r="C1439" s="0" t="n">
        <v>73</v>
      </c>
      <c r="D1439" s="0" t="n">
        <v>91</v>
      </c>
      <c r="E1439" s="0" t="n">
        <f aca="false">VLOOKUP(B1439,'Babblefish-APUMA'!$A$1:$B$86,2)</f>
        <v>27</v>
      </c>
      <c r="F1439" s="0" t="n">
        <f aca="false">IF(C1439&gt;1,IF(C1439&lt;99,VLOOKUP(C1439,'Babblefish-APUMA'!$A$1:$B$86,2),C1439),C1439)</f>
        <v>99</v>
      </c>
    </row>
    <row r="1440" customFormat="false" ht="12.75" hidden="false" customHeight="false" outlineLevel="0" collapsed="false">
      <c r="A1440" s="0" t="n">
        <f aca="false">B1440*1000+C1440</f>
        <v>27075</v>
      </c>
      <c r="B1440" s="0" t="n">
        <v>27</v>
      </c>
      <c r="C1440" s="0" t="n">
        <v>75</v>
      </c>
      <c r="D1440" s="0" t="n">
        <v>130</v>
      </c>
      <c r="E1440" s="0" t="n">
        <f aca="false">VLOOKUP(B1440,'Babblefish-APUMA'!$A$1:$B$86,2)</f>
        <v>27</v>
      </c>
      <c r="F1440" s="0" t="n">
        <f aca="false">IF(C1440&gt;1,IF(C1440&lt;99,VLOOKUP(C1440,'Babblefish-APUMA'!$A$1:$B$86,2),C1440),C1440)</f>
        <v>75</v>
      </c>
    </row>
    <row r="1441" customFormat="false" ht="12.75" hidden="false" customHeight="false" outlineLevel="0" collapsed="false">
      <c r="A1441" s="0" t="n">
        <f aca="false">B1441*1000+C1441</f>
        <v>27076</v>
      </c>
      <c r="B1441" s="0" t="n">
        <v>27</v>
      </c>
      <c r="C1441" s="0" t="n">
        <v>76</v>
      </c>
      <c r="D1441" s="0" t="n">
        <v>351</v>
      </c>
      <c r="E1441" s="0" t="n">
        <f aca="false">VLOOKUP(B1441,'Babblefish-APUMA'!$A$1:$B$86,2)</f>
        <v>27</v>
      </c>
      <c r="F1441" s="0" t="n">
        <f aca="false">IF(C1441&gt;1,IF(C1441&lt;99,VLOOKUP(C1441,'Babblefish-APUMA'!$A$1:$B$86,2),C1441),C1441)</f>
        <v>76</v>
      </c>
    </row>
    <row r="1442" customFormat="false" ht="12.75" hidden="false" customHeight="false" outlineLevel="0" collapsed="false">
      <c r="A1442" s="0" t="n">
        <f aca="false">B1442*1000+C1442</f>
        <v>27077</v>
      </c>
      <c r="B1442" s="0" t="n">
        <v>27</v>
      </c>
      <c r="C1442" s="0" t="n">
        <v>77</v>
      </c>
      <c r="D1442" s="0" t="n">
        <v>13</v>
      </c>
      <c r="E1442" s="0" t="n">
        <f aca="false">VLOOKUP(B1442,'Babblefish-APUMA'!$A$1:$B$86,2)</f>
        <v>27</v>
      </c>
      <c r="F1442" s="0" t="n">
        <f aca="false">IF(C1442&gt;1,IF(C1442&lt;99,VLOOKUP(C1442,'Babblefish-APUMA'!$A$1:$B$86,2),C1442),C1442)</f>
        <v>77</v>
      </c>
    </row>
    <row r="1443" customFormat="false" ht="12.75" hidden="false" customHeight="false" outlineLevel="0" collapsed="false">
      <c r="A1443" s="0" t="n">
        <f aca="false">B1443*1000+C1443</f>
        <v>27079</v>
      </c>
      <c r="B1443" s="0" t="n">
        <v>27</v>
      </c>
      <c r="C1443" s="0" t="n">
        <v>79</v>
      </c>
      <c r="D1443" s="0" t="n">
        <v>143</v>
      </c>
      <c r="E1443" s="0" t="n">
        <f aca="false">VLOOKUP(B1443,'Babblefish-APUMA'!$A$1:$B$86,2)</f>
        <v>27</v>
      </c>
      <c r="F1443" s="0" t="n">
        <f aca="false">IF(C1443&gt;1,IF(C1443&lt;99,VLOOKUP(C1443,'Babblefish-APUMA'!$A$1:$B$86,2),C1443),C1443)</f>
        <v>89</v>
      </c>
    </row>
    <row r="1444" customFormat="false" ht="12.75" hidden="false" customHeight="false" outlineLevel="0" collapsed="false">
      <c r="A1444" s="0" t="n">
        <f aca="false">B1444*1000+C1444</f>
        <v>27080</v>
      </c>
      <c r="B1444" s="0" t="n">
        <v>27</v>
      </c>
      <c r="C1444" s="0" t="n">
        <v>80</v>
      </c>
      <c r="D1444" s="0" t="n">
        <v>0</v>
      </c>
      <c r="E1444" s="0" t="n">
        <f aca="false">VLOOKUP(B1444,'Babblefish-APUMA'!$A$1:$B$86,2)</f>
        <v>27</v>
      </c>
      <c r="F1444" s="0" t="n">
        <f aca="false">IF(C1444&gt;1,IF(C1444&lt;99,VLOOKUP(C1444,'Babblefish-APUMA'!$A$1:$B$86,2),C1444),C1444)</f>
        <v>80</v>
      </c>
    </row>
    <row r="1445" customFormat="false" ht="12.75" hidden="false" customHeight="false" outlineLevel="0" collapsed="false">
      <c r="A1445" s="0" t="n">
        <f aca="false">B1445*1000+C1445</f>
        <v>27082</v>
      </c>
      <c r="B1445" s="0" t="n">
        <v>27</v>
      </c>
      <c r="C1445" s="0" t="n">
        <v>82</v>
      </c>
      <c r="D1445" s="0" t="n">
        <v>0</v>
      </c>
      <c r="E1445" s="0" t="n">
        <f aca="false">VLOOKUP(B1445,'Babblefish-APUMA'!$A$1:$B$86,2)</f>
        <v>27</v>
      </c>
      <c r="F1445" s="0" t="n">
        <f aca="false">IF(C1445&gt;1,IF(C1445&lt;99,VLOOKUP(C1445,'Babblefish-APUMA'!$A$1:$B$86,2),C1445),C1445)</f>
        <v>95</v>
      </c>
    </row>
    <row r="1446" customFormat="false" ht="12.75" hidden="false" customHeight="false" outlineLevel="0" collapsed="false">
      <c r="A1446" s="0" t="n">
        <f aca="false">B1446*1000+C1446</f>
        <v>27085</v>
      </c>
      <c r="B1446" s="0" t="n">
        <v>27</v>
      </c>
      <c r="C1446" s="0" t="n">
        <v>85</v>
      </c>
      <c r="D1446" s="0" t="n">
        <v>0</v>
      </c>
      <c r="E1446" s="0" t="n">
        <f aca="false">VLOOKUP(B1446,'Babblefish-APUMA'!$A$1:$B$86,2)</f>
        <v>27</v>
      </c>
      <c r="F1446" s="0" t="n">
        <f aca="false">IF(C1446&gt;1,IF(C1446&lt;99,VLOOKUP(C1446,'Babblefish-APUMA'!$A$1:$B$86,2),C1446),C1446)</f>
        <v>97</v>
      </c>
    </row>
    <row r="1447" customFormat="false" ht="12.75" hidden="false" customHeight="false" outlineLevel="0" collapsed="false">
      <c r="A1447" s="0" t="n">
        <f aca="false">B1447*1000+C1447</f>
        <v>27858</v>
      </c>
      <c r="B1447" s="0" t="n">
        <v>27</v>
      </c>
      <c r="C1447" s="0" t="n">
        <v>858</v>
      </c>
      <c r="D1447" s="0" t="n">
        <v>0</v>
      </c>
      <c r="E1447" s="0" t="n">
        <f aca="false">VLOOKUP(B1447,'Babblefish-APUMA'!$A$1:$B$86,2)</f>
        <v>27</v>
      </c>
      <c r="F1447" s="0" t="n">
        <f aca="false">IF(C1447&gt;1,IF(C1447&lt;99,VLOOKUP(C1447,'Babblefish-APUMA'!$A$1:$B$86,2),C1447),C1447)</f>
        <v>858</v>
      </c>
    </row>
    <row r="1448" customFormat="false" ht="12.75" hidden="false" customHeight="false" outlineLevel="0" collapsed="false">
      <c r="A1448" s="0" t="n">
        <f aca="false">B1448*1000+C1448</f>
        <v>27999</v>
      </c>
      <c r="B1448" s="0" t="n">
        <v>27</v>
      </c>
      <c r="C1448" s="0" t="n">
        <v>999</v>
      </c>
      <c r="D1448" s="0" t="n">
        <v>0</v>
      </c>
      <c r="E1448" s="0" t="n">
        <f aca="false">VLOOKUP(B1448,'Babblefish-APUMA'!$A$1:$B$86,2)</f>
        <v>27</v>
      </c>
      <c r="F1448" s="0" t="n">
        <f aca="false">IF(C1448&gt;1,IF(C1448&lt;99,VLOOKUP(C1448,'Babblefish-APUMA'!$A$1:$B$86,2),C1448),C1448)</f>
        <v>999</v>
      </c>
    </row>
    <row r="1449" customFormat="false" ht="12.75" hidden="false" customHeight="false" outlineLevel="0" collapsed="false">
      <c r="A1449" s="0" t="n">
        <f aca="false">B1449*1000+C1449</f>
        <v>28000</v>
      </c>
      <c r="B1449" s="0" t="n">
        <v>28</v>
      </c>
      <c r="C1449" s="0" t="n">
        <v>0</v>
      </c>
      <c r="D1449" s="0" t="n">
        <v>215956</v>
      </c>
      <c r="E1449" s="0" t="n">
        <f aca="false">VLOOKUP(B1449,'Babblefish-APUMA'!$A$1:$B$86,2)</f>
        <v>94</v>
      </c>
      <c r="F1449" s="0" t="n">
        <f aca="false">IF(C1449&gt;1,IF(C1449&lt;99,VLOOKUP(C1449,'Babblefish-APUMA'!$A$1:$B$86,2),C1449),C1449)</f>
        <v>0</v>
      </c>
    </row>
    <row r="1450" customFormat="false" ht="12.75" hidden="false" customHeight="false" outlineLevel="0" collapsed="false">
      <c r="A1450" s="0" t="n">
        <f aca="false">B1450*1000+C1450</f>
        <v>28001</v>
      </c>
      <c r="B1450" s="0" t="n">
        <v>28</v>
      </c>
      <c r="C1450" s="0" t="n">
        <v>1</v>
      </c>
      <c r="D1450" s="0" t="n">
        <v>0</v>
      </c>
      <c r="E1450" s="0" t="n">
        <f aca="false">VLOOKUP(B1450,'Babblefish-APUMA'!$A$1:$B$86,2)</f>
        <v>94</v>
      </c>
      <c r="F1450" s="0" t="n">
        <f aca="false">IF(C1450&gt;1,IF(C1450&lt;99,VLOOKUP(C1450,'Babblefish-APUMA'!$A$1:$B$86,2),C1450),C1450)</f>
        <v>1</v>
      </c>
    </row>
    <row r="1451" customFormat="false" ht="12.75" hidden="false" customHeight="false" outlineLevel="0" collapsed="false">
      <c r="A1451" s="0" t="n">
        <f aca="false">B1451*1000+C1451</f>
        <v>28002</v>
      </c>
      <c r="B1451" s="0" t="n">
        <v>28</v>
      </c>
      <c r="C1451" s="0" t="n">
        <v>2</v>
      </c>
      <c r="D1451" s="0" t="n">
        <v>195</v>
      </c>
      <c r="E1451" s="0" t="n">
        <f aca="false">VLOOKUP(B1451,'Babblefish-APUMA'!$A$1:$B$86,2)</f>
        <v>94</v>
      </c>
      <c r="F1451" s="0" t="n">
        <f aca="false">IF(C1451&gt;1,IF(C1451&lt;99,VLOOKUP(C1451,'Babblefish-APUMA'!$A$1:$B$86,2),C1451),C1451)</f>
        <v>2</v>
      </c>
    </row>
    <row r="1452" customFormat="false" ht="12.75" hidden="false" customHeight="false" outlineLevel="0" collapsed="false">
      <c r="A1452" s="0" t="n">
        <f aca="false">B1452*1000+C1452</f>
        <v>28003</v>
      </c>
      <c r="B1452" s="0" t="n">
        <v>28</v>
      </c>
      <c r="C1452" s="0" t="n">
        <v>3</v>
      </c>
      <c r="D1452" s="0" t="n">
        <v>117</v>
      </c>
      <c r="E1452" s="0" t="n">
        <f aca="false">VLOOKUP(B1452,'Babblefish-APUMA'!$A$1:$B$86,2)</f>
        <v>94</v>
      </c>
      <c r="F1452" s="0" t="n">
        <f aca="false">IF(C1452&gt;1,IF(C1452&lt;99,VLOOKUP(C1452,'Babblefish-APUMA'!$A$1:$B$86,2),C1452),C1452)</f>
        <v>3</v>
      </c>
    </row>
    <row r="1453" customFormat="false" ht="12.75" hidden="false" customHeight="false" outlineLevel="0" collapsed="false">
      <c r="A1453" s="0" t="n">
        <f aca="false">B1453*1000+C1453</f>
        <v>28004</v>
      </c>
      <c r="B1453" s="0" t="n">
        <v>28</v>
      </c>
      <c r="C1453" s="0" t="n">
        <v>4</v>
      </c>
      <c r="D1453" s="0" t="n">
        <v>0</v>
      </c>
      <c r="E1453" s="0" t="n">
        <f aca="false">VLOOKUP(B1453,'Babblefish-APUMA'!$A$1:$B$86,2)</f>
        <v>94</v>
      </c>
      <c r="F1453" s="0" t="n">
        <f aca="false">IF(C1453&gt;1,IF(C1453&lt;99,VLOOKUP(C1453,'Babblefish-APUMA'!$A$1:$B$86,2),C1453),C1453)</f>
        <v>4</v>
      </c>
    </row>
    <row r="1454" customFormat="false" ht="12.75" hidden="false" customHeight="false" outlineLevel="0" collapsed="false">
      <c r="A1454" s="0" t="n">
        <f aca="false">B1454*1000+C1454</f>
        <v>28005</v>
      </c>
      <c r="B1454" s="0" t="n">
        <v>28</v>
      </c>
      <c r="C1454" s="0" t="n">
        <v>5</v>
      </c>
      <c r="D1454" s="0" t="n">
        <v>91</v>
      </c>
      <c r="E1454" s="0" t="n">
        <f aca="false">VLOOKUP(B1454,'Babblefish-APUMA'!$A$1:$B$86,2)</f>
        <v>94</v>
      </c>
      <c r="F1454" s="0" t="n">
        <f aca="false">IF(C1454&gt;1,IF(C1454&lt;99,VLOOKUP(C1454,'Babblefish-APUMA'!$A$1:$B$86,2),C1454),C1454)</f>
        <v>5</v>
      </c>
    </row>
    <row r="1455" customFormat="false" ht="12.75" hidden="false" customHeight="false" outlineLevel="0" collapsed="false">
      <c r="A1455" s="0" t="n">
        <f aca="false">B1455*1000+C1455</f>
        <v>28006</v>
      </c>
      <c r="B1455" s="0" t="n">
        <v>28</v>
      </c>
      <c r="C1455" s="0" t="n">
        <v>6</v>
      </c>
      <c r="D1455" s="0" t="n">
        <v>0</v>
      </c>
      <c r="E1455" s="0" t="n">
        <f aca="false">VLOOKUP(B1455,'Babblefish-APUMA'!$A$1:$B$86,2)</f>
        <v>94</v>
      </c>
      <c r="F1455" s="0" t="n">
        <f aca="false">IF(C1455&gt;1,IF(C1455&lt;99,VLOOKUP(C1455,'Babblefish-APUMA'!$A$1:$B$86,2),C1455),C1455)</f>
        <v>6</v>
      </c>
    </row>
    <row r="1456" customFormat="false" ht="12.75" hidden="false" customHeight="false" outlineLevel="0" collapsed="false">
      <c r="A1456" s="0" t="n">
        <f aca="false">B1456*1000+C1456</f>
        <v>28007</v>
      </c>
      <c r="B1456" s="0" t="n">
        <v>28</v>
      </c>
      <c r="C1456" s="0" t="n">
        <v>7</v>
      </c>
      <c r="D1456" s="0" t="n">
        <v>117</v>
      </c>
      <c r="E1456" s="0" t="n">
        <f aca="false">VLOOKUP(B1456,'Babblefish-APUMA'!$A$1:$B$86,2)</f>
        <v>94</v>
      </c>
      <c r="F1456" s="0" t="n">
        <f aca="false">IF(C1456&gt;1,IF(C1456&lt;99,VLOOKUP(C1456,'Babblefish-APUMA'!$A$1:$B$86,2),C1456),C1456)</f>
        <v>7</v>
      </c>
    </row>
    <row r="1457" customFormat="false" ht="12.75" hidden="false" customHeight="false" outlineLevel="0" collapsed="false">
      <c r="A1457" s="0" t="n">
        <f aca="false">B1457*1000+C1457</f>
        <v>28008</v>
      </c>
      <c r="B1457" s="0" t="n">
        <v>28</v>
      </c>
      <c r="C1457" s="0" t="n">
        <v>8</v>
      </c>
      <c r="D1457" s="0" t="n">
        <v>91</v>
      </c>
      <c r="E1457" s="0" t="n">
        <f aca="false">VLOOKUP(B1457,'Babblefish-APUMA'!$A$1:$B$86,2)</f>
        <v>94</v>
      </c>
      <c r="F1457" s="0" t="n">
        <f aca="false">IF(C1457&gt;1,IF(C1457&lt;99,VLOOKUP(C1457,'Babblefish-APUMA'!$A$1:$B$86,2),C1457),C1457)</f>
        <v>8</v>
      </c>
    </row>
    <row r="1458" customFormat="false" ht="12.75" hidden="false" customHeight="false" outlineLevel="0" collapsed="false">
      <c r="A1458" s="0" t="n">
        <f aca="false">B1458*1000+C1458</f>
        <v>28009</v>
      </c>
      <c r="B1458" s="0" t="n">
        <v>28</v>
      </c>
      <c r="C1458" s="0" t="n">
        <v>9</v>
      </c>
      <c r="D1458" s="0" t="n">
        <v>0</v>
      </c>
      <c r="E1458" s="0" t="n">
        <f aca="false">VLOOKUP(B1458,'Babblefish-APUMA'!$A$1:$B$86,2)</f>
        <v>94</v>
      </c>
      <c r="F1458" s="0" t="n">
        <f aca="false">IF(C1458&gt;1,IF(C1458&lt;99,VLOOKUP(C1458,'Babblefish-APUMA'!$A$1:$B$86,2),C1458),C1458)</f>
        <v>9</v>
      </c>
    </row>
    <row r="1459" customFormat="false" ht="12.75" hidden="false" customHeight="false" outlineLevel="0" collapsed="false">
      <c r="A1459" s="0" t="n">
        <f aca="false">B1459*1000+C1459</f>
        <v>28010</v>
      </c>
      <c r="B1459" s="0" t="n">
        <v>28</v>
      </c>
      <c r="C1459" s="0" t="n">
        <v>10</v>
      </c>
      <c r="D1459" s="0" t="n">
        <v>8320</v>
      </c>
      <c r="E1459" s="0" t="n">
        <f aca="false">VLOOKUP(B1459,'Babblefish-APUMA'!$A$1:$B$86,2)</f>
        <v>94</v>
      </c>
      <c r="F1459" s="0" t="n">
        <f aca="false">IF(C1459&gt;1,IF(C1459&lt;99,VLOOKUP(C1459,'Babblefish-APUMA'!$A$1:$B$86,2),C1459),C1459)</f>
        <v>10</v>
      </c>
    </row>
    <row r="1460" customFormat="false" ht="12.75" hidden="false" customHeight="false" outlineLevel="0" collapsed="false">
      <c r="A1460" s="0" t="n">
        <f aca="false">B1460*1000+C1460</f>
        <v>28011</v>
      </c>
      <c r="B1460" s="0" t="n">
        <v>28</v>
      </c>
      <c r="C1460" s="0" t="n">
        <v>11</v>
      </c>
      <c r="D1460" s="0" t="n">
        <v>1365</v>
      </c>
      <c r="E1460" s="0" t="n">
        <f aca="false">VLOOKUP(B1460,'Babblefish-APUMA'!$A$1:$B$86,2)</f>
        <v>94</v>
      </c>
      <c r="F1460" s="0" t="n">
        <f aca="false">IF(C1460&gt;1,IF(C1460&lt;99,VLOOKUP(C1460,'Babblefish-APUMA'!$A$1:$B$86,2),C1460),C1460)</f>
        <v>11</v>
      </c>
    </row>
    <row r="1461" customFormat="false" ht="12.75" hidden="false" customHeight="false" outlineLevel="0" collapsed="false">
      <c r="A1461" s="0" t="n">
        <f aca="false">B1461*1000+C1461</f>
        <v>28012</v>
      </c>
      <c r="B1461" s="0" t="n">
        <v>28</v>
      </c>
      <c r="C1461" s="0" t="n">
        <v>12</v>
      </c>
      <c r="D1461" s="0" t="n">
        <v>286</v>
      </c>
      <c r="E1461" s="0" t="n">
        <f aca="false">VLOOKUP(B1461,'Babblefish-APUMA'!$A$1:$B$86,2)</f>
        <v>94</v>
      </c>
      <c r="F1461" s="0" t="n">
        <f aca="false">IF(C1461&gt;1,IF(C1461&lt;99,VLOOKUP(C1461,'Babblefish-APUMA'!$A$1:$B$86,2),C1461),C1461)</f>
        <v>12</v>
      </c>
    </row>
    <row r="1462" customFormat="false" ht="12.75" hidden="false" customHeight="false" outlineLevel="0" collapsed="false">
      <c r="A1462" s="0" t="n">
        <f aca="false">B1462*1000+C1462</f>
        <v>28013</v>
      </c>
      <c r="B1462" s="0" t="n">
        <v>28</v>
      </c>
      <c r="C1462" s="0" t="n">
        <v>13</v>
      </c>
      <c r="D1462" s="0" t="n">
        <v>0</v>
      </c>
      <c r="E1462" s="0" t="n">
        <f aca="false">VLOOKUP(B1462,'Babblefish-APUMA'!$A$1:$B$86,2)</f>
        <v>94</v>
      </c>
      <c r="F1462" s="0" t="n">
        <f aca="false">IF(C1462&gt;1,IF(C1462&lt;99,VLOOKUP(C1462,'Babblefish-APUMA'!$A$1:$B$86,2),C1462),C1462)</f>
        <v>100</v>
      </c>
    </row>
    <row r="1463" customFormat="false" ht="12.75" hidden="false" customHeight="false" outlineLevel="0" collapsed="false">
      <c r="A1463" s="0" t="n">
        <f aca="false">B1463*1000+C1463</f>
        <v>28014</v>
      </c>
      <c r="B1463" s="0" t="n">
        <v>28</v>
      </c>
      <c r="C1463" s="0" t="n">
        <v>14</v>
      </c>
      <c r="D1463" s="0" t="n">
        <v>0</v>
      </c>
      <c r="E1463" s="0" t="n">
        <f aca="false">VLOOKUP(B1463,'Babblefish-APUMA'!$A$1:$B$86,2)</f>
        <v>94</v>
      </c>
      <c r="F1463" s="0" t="n">
        <f aca="false">IF(C1463&gt;1,IF(C1463&lt;99,VLOOKUP(C1463,'Babblefish-APUMA'!$A$1:$B$86,2),C1463),C1463)</f>
        <v>100</v>
      </c>
    </row>
    <row r="1464" customFormat="false" ht="12.75" hidden="false" customHeight="false" outlineLevel="0" collapsed="false">
      <c r="A1464" s="0" t="n">
        <f aca="false">B1464*1000+C1464</f>
        <v>28015</v>
      </c>
      <c r="B1464" s="0" t="n">
        <v>28</v>
      </c>
      <c r="C1464" s="0" t="n">
        <v>15</v>
      </c>
      <c r="D1464" s="0" t="n">
        <v>130</v>
      </c>
      <c r="E1464" s="0" t="n">
        <f aca="false">VLOOKUP(B1464,'Babblefish-APUMA'!$A$1:$B$86,2)</f>
        <v>94</v>
      </c>
      <c r="F1464" s="0" t="n">
        <f aca="false">IF(C1464&gt;1,IF(C1464&lt;99,VLOOKUP(C1464,'Babblefish-APUMA'!$A$1:$B$86,2),C1464),C1464)</f>
        <v>15</v>
      </c>
    </row>
    <row r="1465" customFormat="false" ht="12.75" hidden="false" customHeight="false" outlineLevel="0" collapsed="false">
      <c r="A1465" s="0" t="n">
        <f aca="false">B1465*1000+C1465</f>
        <v>28016</v>
      </c>
      <c r="B1465" s="0" t="n">
        <v>28</v>
      </c>
      <c r="C1465" s="0" t="n">
        <v>16</v>
      </c>
      <c r="D1465" s="0" t="n">
        <v>728</v>
      </c>
      <c r="E1465" s="0" t="n">
        <f aca="false">VLOOKUP(B1465,'Babblefish-APUMA'!$A$1:$B$86,2)</f>
        <v>94</v>
      </c>
      <c r="F1465" s="0" t="n">
        <f aca="false">IF(C1465&gt;1,IF(C1465&lt;99,VLOOKUP(C1465,'Babblefish-APUMA'!$A$1:$B$86,2),C1465),C1465)</f>
        <v>99</v>
      </c>
    </row>
    <row r="1466" customFormat="false" ht="12.75" hidden="false" customHeight="false" outlineLevel="0" collapsed="false">
      <c r="A1466" s="0" t="n">
        <f aca="false">B1466*1000+C1466</f>
        <v>28017</v>
      </c>
      <c r="B1466" s="0" t="n">
        <v>28</v>
      </c>
      <c r="C1466" s="0" t="n">
        <v>17</v>
      </c>
      <c r="D1466" s="0" t="n">
        <v>91</v>
      </c>
      <c r="E1466" s="0" t="n">
        <f aca="false">VLOOKUP(B1466,'Babblefish-APUMA'!$A$1:$B$86,2)</f>
        <v>94</v>
      </c>
      <c r="F1466" s="0" t="n">
        <f aca="false">IF(C1466&gt;1,IF(C1466&lt;99,VLOOKUP(C1466,'Babblefish-APUMA'!$A$1:$B$86,2),C1466),C1466)</f>
        <v>87</v>
      </c>
    </row>
    <row r="1467" customFormat="false" ht="12.75" hidden="false" customHeight="false" outlineLevel="0" collapsed="false">
      <c r="A1467" s="0" t="n">
        <f aca="false">B1467*1000+C1467</f>
        <v>28018</v>
      </c>
      <c r="B1467" s="0" t="n">
        <v>28</v>
      </c>
      <c r="C1467" s="0" t="n">
        <v>18</v>
      </c>
      <c r="D1467" s="0" t="n">
        <v>182</v>
      </c>
      <c r="E1467" s="0" t="n">
        <f aca="false">VLOOKUP(B1467,'Babblefish-APUMA'!$A$1:$B$86,2)</f>
        <v>94</v>
      </c>
      <c r="F1467" s="0" t="n">
        <f aca="false">IF(C1467&gt;1,IF(C1467&lt;99,VLOOKUP(C1467,'Babblefish-APUMA'!$A$1:$B$86,2),C1467),C1467)</f>
        <v>87</v>
      </c>
    </row>
    <row r="1468" customFormat="false" ht="12.75" hidden="false" customHeight="false" outlineLevel="0" collapsed="false">
      <c r="A1468" s="0" t="n">
        <f aca="false">B1468*1000+C1468</f>
        <v>28019</v>
      </c>
      <c r="B1468" s="0" t="n">
        <v>28</v>
      </c>
      <c r="C1468" s="0" t="n">
        <v>19</v>
      </c>
      <c r="D1468" s="0" t="n">
        <v>598</v>
      </c>
      <c r="E1468" s="0" t="n">
        <f aca="false">VLOOKUP(B1468,'Babblefish-APUMA'!$A$1:$B$86,2)</f>
        <v>94</v>
      </c>
      <c r="F1468" s="0" t="n">
        <f aca="false">IF(C1468&gt;1,IF(C1468&lt;99,VLOOKUP(C1468,'Babblefish-APUMA'!$A$1:$B$86,2),C1468),C1468)</f>
        <v>19</v>
      </c>
    </row>
    <row r="1469" customFormat="false" ht="12.75" hidden="false" customHeight="false" outlineLevel="0" collapsed="false">
      <c r="A1469" s="0" t="n">
        <f aca="false">B1469*1000+C1469</f>
        <v>28020</v>
      </c>
      <c r="B1469" s="0" t="n">
        <v>28</v>
      </c>
      <c r="C1469" s="0" t="n">
        <v>20</v>
      </c>
      <c r="D1469" s="0" t="n">
        <v>0</v>
      </c>
      <c r="E1469" s="0" t="n">
        <f aca="false">VLOOKUP(B1469,'Babblefish-APUMA'!$A$1:$B$86,2)</f>
        <v>94</v>
      </c>
      <c r="F1469" s="0" t="n">
        <f aca="false">IF(C1469&gt;1,IF(C1469&lt;99,VLOOKUP(C1469,'Babblefish-APUMA'!$A$1:$B$86,2),C1469),C1469)</f>
        <v>86</v>
      </c>
    </row>
    <row r="1470" customFormat="false" ht="12.75" hidden="false" customHeight="false" outlineLevel="0" collapsed="false">
      <c r="A1470" s="0" t="n">
        <f aca="false">B1470*1000+C1470</f>
        <v>28021</v>
      </c>
      <c r="B1470" s="0" t="n">
        <v>28</v>
      </c>
      <c r="C1470" s="0" t="n">
        <v>21</v>
      </c>
      <c r="D1470" s="0" t="n">
        <v>234</v>
      </c>
      <c r="E1470" s="0" t="n">
        <f aca="false">VLOOKUP(B1470,'Babblefish-APUMA'!$A$1:$B$86,2)</f>
        <v>94</v>
      </c>
      <c r="F1470" s="0" t="n">
        <f aca="false">IF(C1470&gt;1,IF(C1470&lt;99,VLOOKUP(C1470,'Babblefish-APUMA'!$A$1:$B$86,2),C1470),C1470)</f>
        <v>86</v>
      </c>
    </row>
    <row r="1471" customFormat="false" ht="12.75" hidden="false" customHeight="false" outlineLevel="0" collapsed="false">
      <c r="A1471" s="0" t="n">
        <f aca="false">B1471*1000+C1471</f>
        <v>28022</v>
      </c>
      <c r="B1471" s="0" t="n">
        <v>28</v>
      </c>
      <c r="C1471" s="0" t="n">
        <v>22</v>
      </c>
      <c r="D1471" s="0" t="n">
        <v>130</v>
      </c>
      <c r="E1471" s="0" t="n">
        <f aca="false">VLOOKUP(B1471,'Babblefish-APUMA'!$A$1:$B$86,2)</f>
        <v>94</v>
      </c>
      <c r="F1471" s="0" t="n">
        <f aca="false">IF(C1471&gt;1,IF(C1471&lt;99,VLOOKUP(C1471,'Babblefish-APUMA'!$A$1:$B$86,2),C1471),C1471)</f>
        <v>22</v>
      </c>
    </row>
    <row r="1472" customFormat="false" ht="12.75" hidden="false" customHeight="false" outlineLevel="0" collapsed="false">
      <c r="A1472" s="0" t="n">
        <f aca="false">B1472*1000+C1472</f>
        <v>28023</v>
      </c>
      <c r="B1472" s="0" t="n">
        <v>28</v>
      </c>
      <c r="C1472" s="0" t="n">
        <v>23</v>
      </c>
      <c r="D1472" s="0" t="n">
        <v>1014</v>
      </c>
      <c r="E1472" s="0" t="n">
        <f aca="false">VLOOKUP(B1472,'Babblefish-APUMA'!$A$1:$B$86,2)</f>
        <v>94</v>
      </c>
      <c r="F1472" s="0" t="n">
        <f aca="false">IF(C1472&gt;1,IF(C1472&lt;99,VLOOKUP(C1472,'Babblefish-APUMA'!$A$1:$B$86,2),C1472),C1472)</f>
        <v>97</v>
      </c>
    </row>
    <row r="1473" customFormat="false" ht="12.75" hidden="false" customHeight="false" outlineLevel="0" collapsed="false">
      <c r="A1473" s="0" t="n">
        <f aca="false">B1473*1000+C1473</f>
        <v>28024</v>
      </c>
      <c r="B1473" s="0" t="n">
        <v>28</v>
      </c>
      <c r="C1473" s="0" t="n">
        <v>24</v>
      </c>
      <c r="D1473" s="0" t="n">
        <v>0</v>
      </c>
      <c r="E1473" s="0" t="n">
        <f aca="false">VLOOKUP(B1473,'Babblefish-APUMA'!$A$1:$B$86,2)</f>
        <v>94</v>
      </c>
      <c r="F1473" s="0" t="n">
        <f aca="false">IF(C1473&gt;1,IF(C1473&lt;99,VLOOKUP(C1473,'Babblefish-APUMA'!$A$1:$B$86,2),C1473),C1473)</f>
        <v>101</v>
      </c>
    </row>
    <row r="1474" customFormat="false" ht="12.75" hidden="false" customHeight="false" outlineLevel="0" collapsed="false">
      <c r="A1474" s="0" t="n">
        <f aca="false">B1474*1000+C1474</f>
        <v>28025</v>
      </c>
      <c r="B1474" s="0" t="n">
        <v>28</v>
      </c>
      <c r="C1474" s="0" t="n">
        <v>25</v>
      </c>
      <c r="D1474" s="0" t="n">
        <v>0</v>
      </c>
      <c r="E1474" s="0" t="n">
        <f aca="false">VLOOKUP(B1474,'Babblefish-APUMA'!$A$1:$B$86,2)</f>
        <v>94</v>
      </c>
      <c r="F1474" s="0" t="n">
        <f aca="false">IF(C1474&gt;1,IF(C1474&lt;99,VLOOKUP(C1474,'Babblefish-APUMA'!$A$1:$B$86,2),C1474),C1474)</f>
        <v>101</v>
      </c>
    </row>
    <row r="1475" customFormat="false" ht="12.75" hidden="false" customHeight="false" outlineLevel="0" collapsed="false">
      <c r="A1475" s="0" t="n">
        <f aca="false">B1475*1000+C1475</f>
        <v>28026</v>
      </c>
      <c r="B1475" s="0" t="n">
        <v>28</v>
      </c>
      <c r="C1475" s="0" t="n">
        <v>26</v>
      </c>
      <c r="D1475" s="0" t="n">
        <v>403</v>
      </c>
      <c r="E1475" s="0" t="n">
        <f aca="false">VLOOKUP(B1475,'Babblefish-APUMA'!$A$1:$B$86,2)</f>
        <v>94</v>
      </c>
      <c r="F1475" s="0" t="n">
        <f aca="false">IF(C1475&gt;1,IF(C1475&lt;99,VLOOKUP(C1475,'Babblefish-APUMA'!$A$1:$B$86,2),C1475),C1475)</f>
        <v>26</v>
      </c>
    </row>
    <row r="1476" customFormat="false" ht="12.75" hidden="false" customHeight="false" outlineLevel="0" collapsed="false">
      <c r="A1476" s="0" t="n">
        <f aca="false">B1476*1000+C1476</f>
        <v>28027</v>
      </c>
      <c r="B1476" s="0" t="n">
        <v>28</v>
      </c>
      <c r="C1476" s="0" t="n">
        <v>27</v>
      </c>
      <c r="D1476" s="0" t="n">
        <v>0</v>
      </c>
      <c r="E1476" s="0" t="n">
        <f aca="false">VLOOKUP(B1476,'Babblefish-APUMA'!$A$1:$B$86,2)</f>
        <v>94</v>
      </c>
      <c r="F1476" s="0" t="n">
        <f aca="false">IF(C1476&gt;1,IF(C1476&lt;99,VLOOKUP(C1476,'Babblefish-APUMA'!$A$1:$B$86,2),C1476),C1476)</f>
        <v>27</v>
      </c>
    </row>
    <row r="1477" customFormat="false" ht="12.75" hidden="false" customHeight="false" outlineLevel="0" collapsed="false">
      <c r="A1477" s="0" t="n">
        <f aca="false">B1477*1000+C1477</f>
        <v>28028</v>
      </c>
      <c r="B1477" s="0" t="n">
        <v>28</v>
      </c>
      <c r="C1477" s="0" t="n">
        <v>28</v>
      </c>
      <c r="D1477" s="0" t="n">
        <v>107159</v>
      </c>
      <c r="E1477" s="0" t="n">
        <f aca="false">VLOOKUP(B1477,'Babblefish-APUMA'!$A$1:$B$86,2)</f>
        <v>94</v>
      </c>
      <c r="F1477" s="0" t="n">
        <f aca="false">IF(C1477&gt;1,IF(C1477&lt;99,VLOOKUP(C1477,'Babblefish-APUMA'!$A$1:$B$86,2),C1477),C1477)</f>
        <v>94</v>
      </c>
    </row>
    <row r="1478" customFormat="false" ht="12.75" hidden="false" customHeight="false" outlineLevel="0" collapsed="false">
      <c r="A1478" s="0" t="n">
        <f aca="false">B1478*1000+C1478</f>
        <v>28029</v>
      </c>
      <c r="B1478" s="0" t="n">
        <v>28</v>
      </c>
      <c r="C1478" s="0" t="n">
        <v>29</v>
      </c>
      <c r="D1478" s="0" t="n">
        <v>34047</v>
      </c>
      <c r="E1478" s="0" t="n">
        <f aca="false">VLOOKUP(B1478,'Babblefish-APUMA'!$A$1:$B$86,2)</f>
        <v>94</v>
      </c>
      <c r="F1478" s="0" t="n">
        <f aca="false">IF(C1478&gt;1,IF(C1478&lt;99,VLOOKUP(C1478,'Babblefish-APUMA'!$A$1:$B$86,2),C1478),C1478)</f>
        <v>94</v>
      </c>
    </row>
    <row r="1479" customFormat="false" ht="12.75" hidden="false" customHeight="false" outlineLevel="0" collapsed="false">
      <c r="A1479" s="0" t="n">
        <f aca="false">B1479*1000+C1479</f>
        <v>28030</v>
      </c>
      <c r="B1479" s="0" t="n">
        <v>28</v>
      </c>
      <c r="C1479" s="0" t="n">
        <v>30</v>
      </c>
      <c r="D1479" s="0" t="n">
        <v>0</v>
      </c>
      <c r="E1479" s="0" t="n">
        <f aca="false">VLOOKUP(B1479,'Babblefish-APUMA'!$A$1:$B$86,2)</f>
        <v>94</v>
      </c>
      <c r="F1479" s="0" t="n">
        <f aca="false">IF(C1479&gt;1,IF(C1479&lt;99,VLOOKUP(C1479,'Babblefish-APUMA'!$A$1:$B$86,2),C1479),C1479)</f>
        <v>30</v>
      </c>
    </row>
    <row r="1480" customFormat="false" ht="12.75" hidden="false" customHeight="false" outlineLevel="0" collapsed="false">
      <c r="A1480" s="0" t="n">
        <f aca="false">B1480*1000+C1480</f>
        <v>28031</v>
      </c>
      <c r="B1480" s="0" t="n">
        <v>28</v>
      </c>
      <c r="C1480" s="0" t="n">
        <v>31</v>
      </c>
      <c r="D1480" s="0" t="n">
        <v>0</v>
      </c>
      <c r="E1480" s="0" t="n">
        <f aca="false">VLOOKUP(B1480,'Babblefish-APUMA'!$A$1:$B$86,2)</f>
        <v>94</v>
      </c>
      <c r="F1480" s="0" t="n">
        <f aca="false">IF(C1480&gt;1,IF(C1480&lt;99,VLOOKUP(C1480,'Babblefish-APUMA'!$A$1:$B$86,2),C1480),C1480)</f>
        <v>31</v>
      </c>
    </row>
    <row r="1481" customFormat="false" ht="12.75" hidden="false" customHeight="false" outlineLevel="0" collapsed="false">
      <c r="A1481" s="0" t="n">
        <f aca="false">B1481*1000+C1481</f>
        <v>28032</v>
      </c>
      <c r="B1481" s="0" t="n">
        <v>28</v>
      </c>
      <c r="C1481" s="0" t="n">
        <v>32</v>
      </c>
      <c r="D1481" s="0" t="n">
        <v>0</v>
      </c>
      <c r="E1481" s="0" t="n">
        <f aca="false">VLOOKUP(B1481,'Babblefish-APUMA'!$A$1:$B$86,2)</f>
        <v>94</v>
      </c>
      <c r="F1481" s="0" t="n">
        <f aca="false">IF(C1481&gt;1,IF(C1481&lt;99,VLOOKUP(C1481,'Babblefish-APUMA'!$A$1:$B$86,2),C1481),C1481)</f>
        <v>32</v>
      </c>
    </row>
    <row r="1482" customFormat="false" ht="12.75" hidden="false" customHeight="false" outlineLevel="0" collapsed="false">
      <c r="A1482" s="0" t="n">
        <f aca="false">B1482*1000+C1482</f>
        <v>28033</v>
      </c>
      <c r="B1482" s="0" t="n">
        <v>28</v>
      </c>
      <c r="C1482" s="0" t="n">
        <v>33</v>
      </c>
      <c r="D1482" s="0" t="n">
        <v>0</v>
      </c>
      <c r="E1482" s="0" t="n">
        <f aca="false">VLOOKUP(B1482,'Babblefish-APUMA'!$A$1:$B$86,2)</f>
        <v>94</v>
      </c>
      <c r="F1482" s="0" t="n">
        <f aca="false">IF(C1482&gt;1,IF(C1482&lt;99,VLOOKUP(C1482,'Babblefish-APUMA'!$A$1:$B$86,2),C1482),C1482)</f>
        <v>96</v>
      </c>
    </row>
    <row r="1483" customFormat="false" ht="12.75" hidden="false" customHeight="false" outlineLevel="0" collapsed="false">
      <c r="A1483" s="0" t="n">
        <f aca="false">B1483*1000+C1483</f>
        <v>28034</v>
      </c>
      <c r="B1483" s="0" t="n">
        <v>28</v>
      </c>
      <c r="C1483" s="0" t="n">
        <v>34</v>
      </c>
      <c r="D1483" s="0" t="n">
        <v>0</v>
      </c>
      <c r="E1483" s="0" t="n">
        <f aca="false">VLOOKUP(B1483,'Babblefish-APUMA'!$A$1:$B$86,2)</f>
        <v>94</v>
      </c>
      <c r="F1483" s="0" t="n">
        <f aca="false">IF(C1483&gt;1,IF(C1483&lt;99,VLOOKUP(C1483,'Babblefish-APUMA'!$A$1:$B$86,2),C1483),C1483)</f>
        <v>96</v>
      </c>
    </row>
    <row r="1484" customFormat="false" ht="12.75" hidden="false" customHeight="false" outlineLevel="0" collapsed="false">
      <c r="A1484" s="0" t="n">
        <f aca="false">B1484*1000+C1484</f>
        <v>28035</v>
      </c>
      <c r="B1484" s="0" t="n">
        <v>28</v>
      </c>
      <c r="C1484" s="0" t="n">
        <v>35</v>
      </c>
      <c r="D1484" s="0" t="n">
        <v>0</v>
      </c>
      <c r="E1484" s="0" t="n">
        <f aca="false">VLOOKUP(B1484,'Babblefish-APUMA'!$A$1:$B$86,2)</f>
        <v>94</v>
      </c>
      <c r="F1484" s="0" t="n">
        <f aca="false">IF(C1484&gt;1,IF(C1484&lt;99,VLOOKUP(C1484,'Babblefish-APUMA'!$A$1:$B$86,2),C1484),C1484)</f>
        <v>96</v>
      </c>
    </row>
    <row r="1485" customFormat="false" ht="12.75" hidden="false" customHeight="false" outlineLevel="0" collapsed="false">
      <c r="A1485" s="0" t="n">
        <f aca="false">B1485*1000+C1485</f>
        <v>28037</v>
      </c>
      <c r="B1485" s="0" t="n">
        <v>28</v>
      </c>
      <c r="C1485" s="0" t="n">
        <v>37</v>
      </c>
      <c r="D1485" s="0" t="n">
        <v>221</v>
      </c>
      <c r="E1485" s="0" t="n">
        <f aca="false">VLOOKUP(B1485,'Babblefish-APUMA'!$A$1:$B$86,2)</f>
        <v>94</v>
      </c>
      <c r="F1485" s="0" t="n">
        <f aca="false">IF(C1485&gt;1,IF(C1485&lt;99,VLOOKUP(C1485,'Babblefish-APUMA'!$A$1:$B$86,2),C1485),C1485)</f>
        <v>96</v>
      </c>
    </row>
    <row r="1486" customFormat="false" ht="12.75" hidden="false" customHeight="false" outlineLevel="0" collapsed="false">
      <c r="A1486" s="0" t="n">
        <f aca="false">B1486*1000+C1486</f>
        <v>28038</v>
      </c>
      <c r="B1486" s="0" t="n">
        <v>28</v>
      </c>
      <c r="C1486" s="0" t="n">
        <v>38</v>
      </c>
      <c r="D1486" s="0" t="n">
        <v>0</v>
      </c>
      <c r="E1486" s="0" t="n">
        <f aca="false">VLOOKUP(B1486,'Babblefish-APUMA'!$A$1:$B$86,2)</f>
        <v>94</v>
      </c>
      <c r="F1486" s="0" t="n">
        <f aca="false">IF(C1486&gt;1,IF(C1486&lt;99,VLOOKUP(C1486,'Babblefish-APUMA'!$A$1:$B$86,2),C1486),C1486)</f>
        <v>91</v>
      </c>
    </row>
    <row r="1487" customFormat="false" ht="12.75" hidden="false" customHeight="false" outlineLevel="0" collapsed="false">
      <c r="A1487" s="0" t="n">
        <f aca="false">B1487*1000+C1487</f>
        <v>28039</v>
      </c>
      <c r="B1487" s="0" t="n">
        <v>28</v>
      </c>
      <c r="C1487" s="0" t="n">
        <v>39</v>
      </c>
      <c r="D1487" s="0" t="n">
        <v>0</v>
      </c>
      <c r="E1487" s="0" t="n">
        <f aca="false">VLOOKUP(B1487,'Babblefish-APUMA'!$A$1:$B$86,2)</f>
        <v>94</v>
      </c>
      <c r="F1487" s="0" t="n">
        <f aca="false">IF(C1487&gt;1,IF(C1487&lt;99,VLOOKUP(C1487,'Babblefish-APUMA'!$A$1:$B$86,2),C1487),C1487)</f>
        <v>91</v>
      </c>
    </row>
    <row r="1488" customFormat="false" ht="12.75" hidden="false" customHeight="false" outlineLevel="0" collapsed="false">
      <c r="A1488" s="0" t="n">
        <f aca="false">B1488*1000+C1488</f>
        <v>28040</v>
      </c>
      <c r="B1488" s="0" t="n">
        <v>28</v>
      </c>
      <c r="C1488" s="0" t="n">
        <v>40</v>
      </c>
      <c r="D1488" s="0" t="n">
        <v>0</v>
      </c>
      <c r="E1488" s="0" t="n">
        <f aca="false">VLOOKUP(B1488,'Babblefish-APUMA'!$A$1:$B$86,2)</f>
        <v>94</v>
      </c>
      <c r="F1488" s="0" t="n">
        <f aca="false">IF(C1488&gt;1,IF(C1488&lt;99,VLOOKUP(C1488,'Babblefish-APUMA'!$A$1:$B$86,2),C1488),C1488)</f>
        <v>88</v>
      </c>
    </row>
    <row r="1489" customFormat="false" ht="12.75" hidden="false" customHeight="false" outlineLevel="0" collapsed="false">
      <c r="A1489" s="0" t="n">
        <f aca="false">B1489*1000+C1489</f>
        <v>28041</v>
      </c>
      <c r="B1489" s="0" t="n">
        <v>28</v>
      </c>
      <c r="C1489" s="0" t="n">
        <v>41</v>
      </c>
      <c r="D1489" s="0" t="n">
        <v>0</v>
      </c>
      <c r="E1489" s="0" t="n">
        <f aca="false">VLOOKUP(B1489,'Babblefish-APUMA'!$A$1:$B$86,2)</f>
        <v>94</v>
      </c>
      <c r="F1489" s="0" t="n">
        <f aca="false">IF(C1489&gt;1,IF(C1489&lt;99,VLOOKUP(C1489,'Babblefish-APUMA'!$A$1:$B$86,2),C1489),C1489)</f>
        <v>88</v>
      </c>
    </row>
    <row r="1490" customFormat="false" ht="12.75" hidden="false" customHeight="false" outlineLevel="0" collapsed="false">
      <c r="A1490" s="0" t="n">
        <f aca="false">B1490*1000+C1490</f>
        <v>28042</v>
      </c>
      <c r="B1490" s="0" t="n">
        <v>28</v>
      </c>
      <c r="C1490" s="0" t="n">
        <v>42</v>
      </c>
      <c r="D1490" s="0" t="n">
        <v>0</v>
      </c>
      <c r="E1490" s="0" t="n">
        <f aca="false">VLOOKUP(B1490,'Babblefish-APUMA'!$A$1:$B$86,2)</f>
        <v>94</v>
      </c>
      <c r="F1490" s="0" t="n">
        <f aca="false">IF(C1490&gt;1,IF(C1490&lt;99,VLOOKUP(C1490,'Babblefish-APUMA'!$A$1:$B$86,2),C1490),C1490)</f>
        <v>92</v>
      </c>
    </row>
    <row r="1491" customFormat="false" ht="12.75" hidden="false" customHeight="false" outlineLevel="0" collapsed="false">
      <c r="A1491" s="0" t="n">
        <f aca="false">B1491*1000+C1491</f>
        <v>28043</v>
      </c>
      <c r="B1491" s="0" t="n">
        <v>28</v>
      </c>
      <c r="C1491" s="0" t="n">
        <v>43</v>
      </c>
      <c r="D1491" s="0" t="n">
        <v>117</v>
      </c>
      <c r="E1491" s="0" t="n">
        <f aca="false">VLOOKUP(B1491,'Babblefish-APUMA'!$A$1:$B$86,2)</f>
        <v>94</v>
      </c>
      <c r="F1491" s="0" t="n">
        <f aca="false">IF(C1491&gt;1,IF(C1491&lt;99,VLOOKUP(C1491,'Babblefish-APUMA'!$A$1:$B$86,2),C1491),C1491)</f>
        <v>92</v>
      </c>
    </row>
    <row r="1492" customFormat="false" ht="12.75" hidden="false" customHeight="false" outlineLevel="0" collapsed="false">
      <c r="A1492" s="0" t="n">
        <f aca="false">B1492*1000+C1492</f>
        <v>28046</v>
      </c>
      <c r="B1492" s="0" t="n">
        <v>28</v>
      </c>
      <c r="C1492" s="0" t="n">
        <v>46</v>
      </c>
      <c r="D1492" s="0" t="n">
        <v>0</v>
      </c>
      <c r="E1492" s="0" t="n">
        <f aca="false">VLOOKUP(B1492,'Babblefish-APUMA'!$A$1:$B$86,2)</f>
        <v>94</v>
      </c>
      <c r="F1492" s="0" t="n">
        <f aca="false">IF(C1492&gt;1,IF(C1492&lt;99,VLOOKUP(C1492,'Babblefish-APUMA'!$A$1:$B$86,2),C1492),C1492)</f>
        <v>92</v>
      </c>
    </row>
    <row r="1493" customFormat="false" ht="12.75" hidden="false" customHeight="false" outlineLevel="0" collapsed="false">
      <c r="A1493" s="0" t="n">
        <f aca="false">B1493*1000+C1493</f>
        <v>28048</v>
      </c>
      <c r="B1493" s="0" t="n">
        <v>28</v>
      </c>
      <c r="C1493" s="0" t="n">
        <v>48</v>
      </c>
      <c r="D1493" s="0" t="n">
        <v>0</v>
      </c>
      <c r="E1493" s="0" t="n">
        <f aca="false">VLOOKUP(B1493,'Babblefish-APUMA'!$A$1:$B$86,2)</f>
        <v>94</v>
      </c>
      <c r="F1493" s="0" t="n">
        <f aca="false">IF(C1493&gt;1,IF(C1493&lt;99,VLOOKUP(C1493,'Babblefish-APUMA'!$A$1:$B$86,2),C1493),C1493)</f>
        <v>92</v>
      </c>
    </row>
    <row r="1494" customFormat="false" ht="12.75" hidden="false" customHeight="false" outlineLevel="0" collapsed="false">
      <c r="A1494" s="0" t="n">
        <f aca="false">B1494*1000+C1494</f>
        <v>28049</v>
      </c>
      <c r="B1494" s="0" t="n">
        <v>28</v>
      </c>
      <c r="C1494" s="0" t="n">
        <v>49</v>
      </c>
      <c r="D1494" s="0" t="n">
        <v>130</v>
      </c>
      <c r="E1494" s="0" t="n">
        <f aca="false">VLOOKUP(B1494,'Babblefish-APUMA'!$A$1:$B$86,2)</f>
        <v>94</v>
      </c>
      <c r="F1494" s="0" t="n">
        <f aca="false">IF(C1494&gt;1,IF(C1494&lt;99,VLOOKUP(C1494,'Babblefish-APUMA'!$A$1:$B$86,2),C1494),C1494)</f>
        <v>98</v>
      </c>
    </row>
    <row r="1495" customFormat="false" ht="12.75" hidden="false" customHeight="false" outlineLevel="0" collapsed="false">
      <c r="A1495" s="0" t="n">
        <f aca="false">B1495*1000+C1495</f>
        <v>28050</v>
      </c>
      <c r="B1495" s="0" t="n">
        <v>28</v>
      </c>
      <c r="C1495" s="0" t="n">
        <v>50</v>
      </c>
      <c r="D1495" s="0" t="n">
        <v>312</v>
      </c>
      <c r="E1495" s="0" t="n">
        <f aca="false">VLOOKUP(B1495,'Babblefish-APUMA'!$A$1:$B$86,2)</f>
        <v>94</v>
      </c>
      <c r="F1495" s="0" t="n">
        <f aca="false">IF(C1495&gt;1,IF(C1495&lt;99,VLOOKUP(C1495,'Babblefish-APUMA'!$A$1:$B$86,2),C1495),C1495)</f>
        <v>98</v>
      </c>
    </row>
    <row r="1496" customFormat="false" ht="12.75" hidden="false" customHeight="false" outlineLevel="0" collapsed="false">
      <c r="A1496" s="0" t="n">
        <f aca="false">B1496*1000+C1496</f>
        <v>28051</v>
      </c>
      <c r="B1496" s="0" t="n">
        <v>28</v>
      </c>
      <c r="C1496" s="0" t="n">
        <v>51</v>
      </c>
      <c r="D1496" s="0" t="n">
        <v>117</v>
      </c>
      <c r="E1496" s="0" t="n">
        <f aca="false">VLOOKUP(B1496,'Babblefish-APUMA'!$A$1:$B$86,2)</f>
        <v>94</v>
      </c>
      <c r="F1496" s="0" t="n">
        <f aca="false">IF(C1496&gt;1,IF(C1496&lt;99,VLOOKUP(C1496,'Babblefish-APUMA'!$A$1:$B$86,2),C1496),C1496)</f>
        <v>98</v>
      </c>
    </row>
    <row r="1497" customFormat="false" ht="12.75" hidden="false" customHeight="false" outlineLevel="0" collapsed="false">
      <c r="A1497" s="0" t="n">
        <f aca="false">B1497*1000+C1497</f>
        <v>28052</v>
      </c>
      <c r="B1497" s="0" t="n">
        <v>28</v>
      </c>
      <c r="C1497" s="0" t="n">
        <v>52</v>
      </c>
      <c r="D1497" s="0" t="n">
        <v>0</v>
      </c>
      <c r="E1497" s="0" t="n">
        <f aca="false">VLOOKUP(B1497,'Babblefish-APUMA'!$A$1:$B$86,2)</f>
        <v>94</v>
      </c>
      <c r="F1497" s="0" t="n">
        <f aca="false">IF(C1497&gt;1,IF(C1497&lt;99,VLOOKUP(C1497,'Babblefish-APUMA'!$A$1:$B$86,2),C1497),C1497)</f>
        <v>90</v>
      </c>
    </row>
    <row r="1498" customFormat="false" ht="12.75" hidden="false" customHeight="false" outlineLevel="0" collapsed="false">
      <c r="A1498" s="0" t="n">
        <f aca="false">B1498*1000+C1498</f>
        <v>28053</v>
      </c>
      <c r="B1498" s="0" t="n">
        <v>28</v>
      </c>
      <c r="C1498" s="0" t="n">
        <v>53</v>
      </c>
      <c r="D1498" s="0" t="n">
        <v>0</v>
      </c>
      <c r="E1498" s="0" t="n">
        <f aca="false">VLOOKUP(B1498,'Babblefish-APUMA'!$A$1:$B$86,2)</f>
        <v>94</v>
      </c>
      <c r="F1498" s="0" t="n">
        <f aca="false">IF(C1498&gt;1,IF(C1498&lt;99,VLOOKUP(C1498,'Babblefish-APUMA'!$A$1:$B$86,2),C1498),C1498)</f>
        <v>90</v>
      </c>
    </row>
    <row r="1499" customFormat="false" ht="12.75" hidden="false" customHeight="false" outlineLevel="0" collapsed="false">
      <c r="A1499" s="0" t="n">
        <f aca="false">B1499*1000+C1499</f>
        <v>28054</v>
      </c>
      <c r="B1499" s="0" t="n">
        <v>28</v>
      </c>
      <c r="C1499" s="0" t="n">
        <v>54</v>
      </c>
      <c r="D1499" s="0" t="n">
        <v>0</v>
      </c>
      <c r="E1499" s="0" t="n">
        <f aca="false">VLOOKUP(B1499,'Babblefish-APUMA'!$A$1:$B$86,2)</f>
        <v>94</v>
      </c>
      <c r="F1499" s="0" t="n">
        <f aca="false">IF(C1499&gt;1,IF(C1499&lt;99,VLOOKUP(C1499,'Babblefish-APUMA'!$A$1:$B$86,2),C1499),C1499)</f>
        <v>90</v>
      </c>
    </row>
    <row r="1500" customFormat="false" ht="12.75" hidden="false" customHeight="false" outlineLevel="0" collapsed="false">
      <c r="A1500" s="0" t="n">
        <f aca="false">B1500*1000+C1500</f>
        <v>28055</v>
      </c>
      <c r="B1500" s="0" t="n">
        <v>28</v>
      </c>
      <c r="C1500" s="0" t="n">
        <v>55</v>
      </c>
      <c r="D1500" s="0" t="n">
        <v>0</v>
      </c>
      <c r="E1500" s="0" t="n">
        <f aca="false">VLOOKUP(B1500,'Babblefish-APUMA'!$A$1:$B$86,2)</f>
        <v>94</v>
      </c>
      <c r="F1500" s="0" t="n">
        <f aca="false">IF(C1500&gt;1,IF(C1500&lt;99,VLOOKUP(C1500,'Babblefish-APUMA'!$A$1:$B$86,2),C1500),C1500)</f>
        <v>90</v>
      </c>
    </row>
    <row r="1501" customFormat="false" ht="12.75" hidden="false" customHeight="false" outlineLevel="0" collapsed="false">
      <c r="A1501" s="0" t="n">
        <f aca="false">B1501*1000+C1501</f>
        <v>28056</v>
      </c>
      <c r="B1501" s="0" t="n">
        <v>28</v>
      </c>
      <c r="C1501" s="0" t="n">
        <v>56</v>
      </c>
      <c r="D1501" s="0" t="n">
        <v>65</v>
      </c>
      <c r="E1501" s="0" t="n">
        <f aca="false">VLOOKUP(B1501,'Babblefish-APUMA'!$A$1:$B$86,2)</f>
        <v>94</v>
      </c>
      <c r="F1501" s="0" t="n">
        <f aca="false">IF(C1501&gt;1,IF(C1501&lt;99,VLOOKUP(C1501,'Babblefish-APUMA'!$A$1:$B$86,2),C1501),C1501)</f>
        <v>90</v>
      </c>
    </row>
    <row r="1502" customFormat="false" ht="12.75" hidden="false" customHeight="false" outlineLevel="0" collapsed="false">
      <c r="A1502" s="0" t="n">
        <f aca="false">B1502*1000+C1502</f>
        <v>28057</v>
      </c>
      <c r="B1502" s="0" t="n">
        <v>28</v>
      </c>
      <c r="C1502" s="0" t="n">
        <v>57</v>
      </c>
      <c r="D1502" s="0" t="n">
        <v>0</v>
      </c>
      <c r="E1502" s="0" t="n">
        <f aca="false">VLOOKUP(B1502,'Babblefish-APUMA'!$A$1:$B$86,2)</f>
        <v>94</v>
      </c>
      <c r="F1502" s="0" t="n">
        <f aca="false">IF(C1502&gt;1,IF(C1502&lt;99,VLOOKUP(C1502,'Babblefish-APUMA'!$A$1:$B$86,2),C1502),C1502)</f>
        <v>90</v>
      </c>
    </row>
    <row r="1503" customFormat="false" ht="12.75" hidden="false" customHeight="false" outlineLevel="0" collapsed="false">
      <c r="A1503" s="0" t="n">
        <f aca="false">B1503*1000+C1503</f>
        <v>28059</v>
      </c>
      <c r="B1503" s="0" t="n">
        <v>28</v>
      </c>
      <c r="C1503" s="0" t="n">
        <v>59</v>
      </c>
      <c r="D1503" s="0" t="n">
        <v>0</v>
      </c>
      <c r="E1503" s="0" t="n">
        <f aca="false">VLOOKUP(B1503,'Babblefish-APUMA'!$A$1:$B$86,2)</f>
        <v>94</v>
      </c>
      <c r="F1503" s="0" t="n">
        <f aca="false">IF(C1503&gt;1,IF(C1503&lt;99,VLOOKUP(C1503,'Babblefish-APUMA'!$A$1:$B$86,2),C1503),C1503)</f>
        <v>90</v>
      </c>
    </row>
    <row r="1504" customFormat="false" ht="12.75" hidden="false" customHeight="false" outlineLevel="0" collapsed="false">
      <c r="A1504" s="0" t="n">
        <f aca="false">B1504*1000+C1504</f>
        <v>28060</v>
      </c>
      <c r="B1504" s="0" t="n">
        <v>28</v>
      </c>
      <c r="C1504" s="0" t="n">
        <v>60</v>
      </c>
      <c r="D1504" s="0" t="n">
        <v>0</v>
      </c>
      <c r="E1504" s="0" t="n">
        <f aca="false">VLOOKUP(B1504,'Babblefish-APUMA'!$A$1:$B$86,2)</f>
        <v>94</v>
      </c>
      <c r="F1504" s="0" t="n">
        <f aca="false">IF(C1504&gt;1,IF(C1504&lt;99,VLOOKUP(C1504,'Babblefish-APUMA'!$A$1:$B$86,2),C1504),C1504)</f>
        <v>90</v>
      </c>
    </row>
    <row r="1505" customFormat="false" ht="12.75" hidden="false" customHeight="false" outlineLevel="0" collapsed="false">
      <c r="A1505" s="0" t="n">
        <f aca="false">B1505*1000+C1505</f>
        <v>28062</v>
      </c>
      <c r="B1505" s="0" t="n">
        <v>28</v>
      </c>
      <c r="C1505" s="0" t="n">
        <v>62</v>
      </c>
      <c r="D1505" s="0" t="n">
        <v>0</v>
      </c>
      <c r="E1505" s="0" t="n">
        <f aca="false">VLOOKUP(B1505,'Babblefish-APUMA'!$A$1:$B$86,2)</f>
        <v>94</v>
      </c>
      <c r="F1505" s="0" t="n">
        <f aca="false">IF(C1505&gt;1,IF(C1505&lt;99,VLOOKUP(C1505,'Babblefish-APUMA'!$A$1:$B$86,2),C1505),C1505)</f>
        <v>90</v>
      </c>
    </row>
    <row r="1506" customFormat="false" ht="12.75" hidden="false" customHeight="false" outlineLevel="0" collapsed="false">
      <c r="A1506" s="0" t="n">
        <f aca="false">B1506*1000+C1506</f>
        <v>28064</v>
      </c>
      <c r="B1506" s="0" t="n">
        <v>28</v>
      </c>
      <c r="C1506" s="0" t="n">
        <v>64</v>
      </c>
      <c r="D1506" s="0" t="n">
        <v>104</v>
      </c>
      <c r="E1506" s="0" t="n">
        <f aca="false">VLOOKUP(B1506,'Babblefish-APUMA'!$A$1:$B$86,2)</f>
        <v>94</v>
      </c>
      <c r="F1506" s="0" t="n">
        <f aca="false">IF(C1506&gt;1,IF(C1506&lt;99,VLOOKUP(C1506,'Babblefish-APUMA'!$A$1:$B$86,2),C1506),C1506)</f>
        <v>90</v>
      </c>
    </row>
    <row r="1507" customFormat="false" ht="12.75" hidden="false" customHeight="false" outlineLevel="0" collapsed="false">
      <c r="A1507" s="0" t="n">
        <f aca="false">B1507*1000+C1507</f>
        <v>28065</v>
      </c>
      <c r="B1507" s="0" t="n">
        <v>28</v>
      </c>
      <c r="C1507" s="0" t="n">
        <v>65</v>
      </c>
      <c r="D1507" s="0" t="n">
        <v>0</v>
      </c>
      <c r="E1507" s="0" t="n">
        <f aca="false">VLOOKUP(B1507,'Babblefish-APUMA'!$A$1:$B$86,2)</f>
        <v>94</v>
      </c>
      <c r="F1507" s="0" t="n">
        <f aca="false">IF(C1507&gt;1,IF(C1507&lt;99,VLOOKUP(C1507,'Babblefish-APUMA'!$A$1:$B$86,2),C1507),C1507)</f>
        <v>90</v>
      </c>
    </row>
    <row r="1508" customFormat="false" ht="12.75" hidden="false" customHeight="false" outlineLevel="0" collapsed="false">
      <c r="A1508" s="0" t="n">
        <f aca="false">B1508*1000+C1508</f>
        <v>28066</v>
      </c>
      <c r="B1508" s="0" t="n">
        <v>28</v>
      </c>
      <c r="C1508" s="0" t="n">
        <v>66</v>
      </c>
      <c r="D1508" s="0" t="n">
        <v>0</v>
      </c>
      <c r="E1508" s="0" t="n">
        <f aca="false">VLOOKUP(B1508,'Babblefish-APUMA'!$A$1:$B$86,2)</f>
        <v>94</v>
      </c>
      <c r="F1508" s="0" t="n">
        <f aca="false">IF(C1508&gt;1,IF(C1508&lt;99,VLOOKUP(C1508,'Babblefish-APUMA'!$A$1:$B$86,2),C1508),C1508)</f>
        <v>90</v>
      </c>
    </row>
    <row r="1509" customFormat="false" ht="12.75" hidden="false" customHeight="false" outlineLevel="0" collapsed="false">
      <c r="A1509" s="0" t="n">
        <f aca="false">B1509*1000+C1509</f>
        <v>28067</v>
      </c>
      <c r="B1509" s="0" t="n">
        <v>28</v>
      </c>
      <c r="C1509" s="0" t="n">
        <v>67</v>
      </c>
      <c r="D1509" s="0" t="n">
        <v>0</v>
      </c>
      <c r="E1509" s="0" t="n">
        <f aca="false">VLOOKUP(B1509,'Babblefish-APUMA'!$A$1:$B$86,2)</f>
        <v>94</v>
      </c>
      <c r="F1509" s="0" t="n">
        <f aca="false">IF(C1509&gt;1,IF(C1509&lt;99,VLOOKUP(C1509,'Babblefish-APUMA'!$A$1:$B$86,2),C1509),C1509)</f>
        <v>103</v>
      </c>
    </row>
    <row r="1510" customFormat="false" ht="12.75" hidden="false" customHeight="false" outlineLevel="0" collapsed="false">
      <c r="A1510" s="0" t="n">
        <f aca="false">B1510*1000+C1510</f>
        <v>28069</v>
      </c>
      <c r="B1510" s="0" t="n">
        <v>28</v>
      </c>
      <c r="C1510" s="0" t="n">
        <v>69</v>
      </c>
      <c r="D1510" s="0" t="n">
        <v>0</v>
      </c>
      <c r="E1510" s="0" t="n">
        <f aca="false">VLOOKUP(B1510,'Babblefish-APUMA'!$A$1:$B$86,2)</f>
        <v>94</v>
      </c>
      <c r="F1510" s="0" t="n">
        <f aca="false">IF(C1510&gt;1,IF(C1510&lt;99,VLOOKUP(C1510,'Babblefish-APUMA'!$A$1:$B$86,2),C1510),C1510)</f>
        <v>93</v>
      </c>
    </row>
    <row r="1511" customFormat="false" ht="12.75" hidden="false" customHeight="false" outlineLevel="0" collapsed="false">
      <c r="A1511" s="0" t="n">
        <f aca="false">B1511*1000+C1511</f>
        <v>28071</v>
      </c>
      <c r="B1511" s="0" t="n">
        <v>28</v>
      </c>
      <c r="C1511" s="0" t="n">
        <v>71</v>
      </c>
      <c r="D1511" s="0" t="n">
        <v>0</v>
      </c>
      <c r="E1511" s="0" t="n">
        <f aca="false">VLOOKUP(B1511,'Babblefish-APUMA'!$A$1:$B$86,2)</f>
        <v>94</v>
      </c>
      <c r="F1511" s="0" t="n">
        <f aca="false">IF(C1511&gt;1,IF(C1511&lt;99,VLOOKUP(C1511,'Babblefish-APUMA'!$A$1:$B$86,2),C1511),C1511)</f>
        <v>95</v>
      </c>
    </row>
    <row r="1512" customFormat="false" ht="12.75" hidden="false" customHeight="false" outlineLevel="0" collapsed="false">
      <c r="A1512" s="0" t="n">
        <f aca="false">B1512*1000+C1512</f>
        <v>28072</v>
      </c>
      <c r="B1512" s="0" t="n">
        <v>28</v>
      </c>
      <c r="C1512" s="0" t="n">
        <v>72</v>
      </c>
      <c r="D1512" s="0" t="n">
        <v>0</v>
      </c>
      <c r="E1512" s="0" t="n">
        <f aca="false">VLOOKUP(B1512,'Babblefish-APUMA'!$A$1:$B$86,2)</f>
        <v>94</v>
      </c>
      <c r="F1512" s="0" t="n">
        <f aca="false">IF(C1512&gt;1,IF(C1512&lt;99,VLOOKUP(C1512,'Babblefish-APUMA'!$A$1:$B$86,2),C1512),C1512)</f>
        <v>95</v>
      </c>
    </row>
    <row r="1513" customFormat="false" ht="12.75" hidden="false" customHeight="false" outlineLevel="0" collapsed="false">
      <c r="A1513" s="0" t="n">
        <f aca="false">B1513*1000+C1513</f>
        <v>28073</v>
      </c>
      <c r="B1513" s="0" t="n">
        <v>28</v>
      </c>
      <c r="C1513" s="0" t="n">
        <v>73</v>
      </c>
      <c r="D1513" s="0" t="n">
        <v>234</v>
      </c>
      <c r="E1513" s="0" t="n">
        <f aca="false">VLOOKUP(B1513,'Babblefish-APUMA'!$A$1:$B$86,2)</f>
        <v>94</v>
      </c>
      <c r="F1513" s="0" t="n">
        <f aca="false">IF(C1513&gt;1,IF(C1513&lt;99,VLOOKUP(C1513,'Babblefish-APUMA'!$A$1:$B$86,2),C1513),C1513)</f>
        <v>99</v>
      </c>
    </row>
    <row r="1514" customFormat="false" ht="12.75" hidden="false" customHeight="false" outlineLevel="0" collapsed="false">
      <c r="A1514" s="0" t="n">
        <f aca="false">B1514*1000+C1514</f>
        <v>28075</v>
      </c>
      <c r="B1514" s="0" t="n">
        <v>28</v>
      </c>
      <c r="C1514" s="0" t="n">
        <v>75</v>
      </c>
      <c r="D1514" s="0" t="n">
        <v>0</v>
      </c>
      <c r="E1514" s="0" t="n">
        <f aca="false">VLOOKUP(B1514,'Babblefish-APUMA'!$A$1:$B$86,2)</f>
        <v>94</v>
      </c>
      <c r="F1514" s="0" t="n">
        <f aca="false">IF(C1514&gt;1,IF(C1514&lt;99,VLOOKUP(C1514,'Babblefish-APUMA'!$A$1:$B$86,2),C1514),C1514)</f>
        <v>75</v>
      </c>
    </row>
    <row r="1515" customFormat="false" ht="12.75" hidden="false" customHeight="false" outlineLevel="0" collapsed="false">
      <c r="A1515" s="0" t="n">
        <f aca="false">B1515*1000+C1515</f>
        <v>28076</v>
      </c>
      <c r="B1515" s="0" t="n">
        <v>28</v>
      </c>
      <c r="C1515" s="0" t="n">
        <v>76</v>
      </c>
      <c r="D1515" s="0" t="n">
        <v>0</v>
      </c>
      <c r="E1515" s="0" t="n">
        <f aca="false">VLOOKUP(B1515,'Babblefish-APUMA'!$A$1:$B$86,2)</f>
        <v>94</v>
      </c>
      <c r="F1515" s="0" t="n">
        <f aca="false">IF(C1515&gt;1,IF(C1515&lt;99,VLOOKUP(C1515,'Babblefish-APUMA'!$A$1:$B$86,2),C1515),C1515)</f>
        <v>76</v>
      </c>
    </row>
    <row r="1516" customFormat="false" ht="12.75" hidden="false" customHeight="false" outlineLevel="0" collapsed="false">
      <c r="A1516" s="0" t="n">
        <f aca="false">B1516*1000+C1516</f>
        <v>28077</v>
      </c>
      <c r="B1516" s="0" t="n">
        <v>28</v>
      </c>
      <c r="C1516" s="0" t="n">
        <v>77</v>
      </c>
      <c r="D1516" s="0" t="n">
        <v>0</v>
      </c>
      <c r="E1516" s="0" t="n">
        <f aca="false">VLOOKUP(B1516,'Babblefish-APUMA'!$A$1:$B$86,2)</f>
        <v>94</v>
      </c>
      <c r="F1516" s="0" t="n">
        <f aca="false">IF(C1516&gt;1,IF(C1516&lt;99,VLOOKUP(C1516,'Babblefish-APUMA'!$A$1:$B$86,2),C1516),C1516)</f>
        <v>77</v>
      </c>
    </row>
    <row r="1517" customFormat="false" ht="12.75" hidden="false" customHeight="false" outlineLevel="0" collapsed="false">
      <c r="A1517" s="0" t="n">
        <f aca="false">B1517*1000+C1517</f>
        <v>28079</v>
      </c>
      <c r="B1517" s="0" t="n">
        <v>28</v>
      </c>
      <c r="C1517" s="0" t="n">
        <v>79</v>
      </c>
      <c r="D1517" s="0" t="n">
        <v>0</v>
      </c>
      <c r="E1517" s="0" t="n">
        <f aca="false">VLOOKUP(B1517,'Babblefish-APUMA'!$A$1:$B$86,2)</f>
        <v>94</v>
      </c>
      <c r="F1517" s="0" t="n">
        <f aca="false">IF(C1517&gt;1,IF(C1517&lt;99,VLOOKUP(C1517,'Babblefish-APUMA'!$A$1:$B$86,2),C1517),C1517)</f>
        <v>89</v>
      </c>
    </row>
    <row r="1518" customFormat="false" ht="12.75" hidden="false" customHeight="false" outlineLevel="0" collapsed="false">
      <c r="A1518" s="0" t="n">
        <f aca="false">B1518*1000+C1518</f>
        <v>28080</v>
      </c>
      <c r="B1518" s="0" t="n">
        <v>28</v>
      </c>
      <c r="C1518" s="0" t="n">
        <v>80</v>
      </c>
      <c r="D1518" s="0" t="n">
        <v>0</v>
      </c>
      <c r="E1518" s="0" t="n">
        <f aca="false">VLOOKUP(B1518,'Babblefish-APUMA'!$A$1:$B$86,2)</f>
        <v>94</v>
      </c>
      <c r="F1518" s="0" t="n">
        <f aca="false">IF(C1518&gt;1,IF(C1518&lt;99,VLOOKUP(C1518,'Babblefish-APUMA'!$A$1:$B$86,2),C1518),C1518)</f>
        <v>80</v>
      </c>
    </row>
    <row r="1519" customFormat="false" ht="12.75" hidden="false" customHeight="false" outlineLevel="0" collapsed="false">
      <c r="A1519" s="0" t="n">
        <f aca="false">B1519*1000+C1519</f>
        <v>28082</v>
      </c>
      <c r="B1519" s="0" t="n">
        <v>28</v>
      </c>
      <c r="C1519" s="0" t="n">
        <v>82</v>
      </c>
      <c r="D1519" s="0" t="n">
        <v>0</v>
      </c>
      <c r="E1519" s="0" t="n">
        <f aca="false">VLOOKUP(B1519,'Babblefish-APUMA'!$A$1:$B$86,2)</f>
        <v>94</v>
      </c>
      <c r="F1519" s="0" t="n">
        <f aca="false">IF(C1519&gt;1,IF(C1519&lt;99,VLOOKUP(C1519,'Babblefish-APUMA'!$A$1:$B$86,2),C1519),C1519)</f>
        <v>95</v>
      </c>
    </row>
    <row r="1520" customFormat="false" ht="12.75" hidden="false" customHeight="false" outlineLevel="0" collapsed="false">
      <c r="A1520" s="0" t="n">
        <f aca="false">B1520*1000+C1520</f>
        <v>28085</v>
      </c>
      <c r="B1520" s="0" t="n">
        <v>28</v>
      </c>
      <c r="C1520" s="0" t="n">
        <v>85</v>
      </c>
      <c r="D1520" s="0" t="n">
        <v>468</v>
      </c>
      <c r="E1520" s="0" t="n">
        <f aca="false">VLOOKUP(B1520,'Babblefish-APUMA'!$A$1:$B$86,2)</f>
        <v>94</v>
      </c>
      <c r="F1520" s="0" t="n">
        <f aca="false">IF(C1520&gt;1,IF(C1520&lt;99,VLOOKUP(C1520,'Babblefish-APUMA'!$A$1:$B$86,2),C1520),C1520)</f>
        <v>97</v>
      </c>
    </row>
    <row r="1521" customFormat="false" ht="12.75" hidden="false" customHeight="false" outlineLevel="0" collapsed="false">
      <c r="A1521" s="0" t="n">
        <f aca="false">B1521*1000+C1521</f>
        <v>28858</v>
      </c>
      <c r="B1521" s="0" t="n">
        <v>28</v>
      </c>
      <c r="C1521" s="0" t="n">
        <v>858</v>
      </c>
      <c r="D1521" s="0" t="n">
        <v>0</v>
      </c>
      <c r="E1521" s="0" t="n">
        <f aca="false">VLOOKUP(B1521,'Babblefish-APUMA'!$A$1:$B$86,2)</f>
        <v>94</v>
      </c>
      <c r="F1521" s="0" t="n">
        <f aca="false">IF(C1521&gt;1,IF(C1521&lt;99,VLOOKUP(C1521,'Babblefish-APUMA'!$A$1:$B$86,2),C1521),C1521)</f>
        <v>858</v>
      </c>
    </row>
    <row r="1522" customFormat="false" ht="12.75" hidden="false" customHeight="false" outlineLevel="0" collapsed="false">
      <c r="A1522" s="0" t="n">
        <f aca="false">B1522*1000+C1522</f>
        <v>28999</v>
      </c>
      <c r="B1522" s="0" t="n">
        <v>28</v>
      </c>
      <c r="C1522" s="0" t="n">
        <v>999</v>
      </c>
      <c r="D1522" s="0" t="n">
        <v>0</v>
      </c>
      <c r="E1522" s="0" t="n">
        <f aca="false">VLOOKUP(B1522,'Babblefish-APUMA'!$A$1:$B$86,2)</f>
        <v>94</v>
      </c>
      <c r="F1522" s="0" t="n">
        <f aca="false">IF(C1522&gt;1,IF(C1522&lt;99,VLOOKUP(C1522,'Babblefish-APUMA'!$A$1:$B$86,2),C1522),C1522)</f>
        <v>999</v>
      </c>
    </row>
    <row r="1523" customFormat="false" ht="12.75" hidden="false" customHeight="false" outlineLevel="0" collapsed="false">
      <c r="A1523" s="0" t="n">
        <f aca="false">B1523*1000+C1523</f>
        <v>29000</v>
      </c>
      <c r="B1523" s="0" t="n">
        <v>29</v>
      </c>
      <c r="C1523" s="0" t="n">
        <v>0</v>
      </c>
      <c r="D1523" s="0" t="n">
        <v>343122</v>
      </c>
      <c r="E1523" s="0" t="n">
        <f aca="false">VLOOKUP(B1523,'Babblefish-APUMA'!$A$1:$B$86,2)</f>
        <v>94</v>
      </c>
      <c r="F1523" s="0" t="n">
        <f aca="false">IF(C1523&gt;1,IF(C1523&lt;99,VLOOKUP(C1523,'Babblefish-APUMA'!$A$1:$B$86,2),C1523),C1523)</f>
        <v>0</v>
      </c>
    </row>
    <row r="1524" customFormat="false" ht="12.75" hidden="false" customHeight="false" outlineLevel="0" collapsed="false">
      <c r="A1524" s="0" t="n">
        <f aca="false">B1524*1000+C1524</f>
        <v>29001</v>
      </c>
      <c r="B1524" s="0" t="n">
        <v>29</v>
      </c>
      <c r="C1524" s="0" t="n">
        <v>1</v>
      </c>
      <c r="D1524" s="0" t="n">
        <v>390</v>
      </c>
      <c r="E1524" s="0" t="n">
        <f aca="false">VLOOKUP(B1524,'Babblefish-APUMA'!$A$1:$B$86,2)</f>
        <v>94</v>
      </c>
      <c r="F1524" s="0" t="n">
        <f aca="false">IF(C1524&gt;1,IF(C1524&lt;99,VLOOKUP(C1524,'Babblefish-APUMA'!$A$1:$B$86,2),C1524),C1524)</f>
        <v>1</v>
      </c>
    </row>
    <row r="1525" customFormat="false" ht="12.75" hidden="false" customHeight="false" outlineLevel="0" collapsed="false">
      <c r="A1525" s="0" t="n">
        <f aca="false">B1525*1000+C1525</f>
        <v>29002</v>
      </c>
      <c r="B1525" s="0" t="n">
        <v>29</v>
      </c>
      <c r="C1525" s="0" t="n">
        <v>2</v>
      </c>
      <c r="D1525" s="0" t="n">
        <v>286</v>
      </c>
      <c r="E1525" s="0" t="n">
        <f aca="false">VLOOKUP(B1525,'Babblefish-APUMA'!$A$1:$B$86,2)</f>
        <v>94</v>
      </c>
      <c r="F1525" s="0" t="n">
        <f aca="false">IF(C1525&gt;1,IF(C1525&lt;99,VLOOKUP(C1525,'Babblefish-APUMA'!$A$1:$B$86,2),C1525),C1525)</f>
        <v>2</v>
      </c>
    </row>
    <row r="1526" customFormat="false" ht="12.75" hidden="false" customHeight="false" outlineLevel="0" collapsed="false">
      <c r="A1526" s="0" t="n">
        <f aca="false">B1526*1000+C1526</f>
        <v>29003</v>
      </c>
      <c r="B1526" s="0" t="n">
        <v>29</v>
      </c>
      <c r="C1526" s="0" t="n">
        <v>3</v>
      </c>
      <c r="D1526" s="0" t="n">
        <v>0</v>
      </c>
      <c r="E1526" s="0" t="n">
        <f aca="false">VLOOKUP(B1526,'Babblefish-APUMA'!$A$1:$B$86,2)</f>
        <v>94</v>
      </c>
      <c r="F1526" s="0" t="n">
        <f aca="false">IF(C1526&gt;1,IF(C1526&lt;99,VLOOKUP(C1526,'Babblefish-APUMA'!$A$1:$B$86,2),C1526),C1526)</f>
        <v>3</v>
      </c>
    </row>
    <row r="1527" customFormat="false" ht="12.75" hidden="false" customHeight="false" outlineLevel="0" collapsed="false">
      <c r="A1527" s="0" t="n">
        <f aca="false">B1527*1000+C1527</f>
        <v>29004</v>
      </c>
      <c r="B1527" s="0" t="n">
        <v>29</v>
      </c>
      <c r="C1527" s="0" t="n">
        <v>4</v>
      </c>
      <c r="D1527" s="0" t="n">
        <v>104</v>
      </c>
      <c r="E1527" s="0" t="n">
        <f aca="false">VLOOKUP(B1527,'Babblefish-APUMA'!$A$1:$B$86,2)</f>
        <v>94</v>
      </c>
      <c r="F1527" s="0" t="n">
        <f aca="false">IF(C1527&gt;1,IF(C1527&lt;99,VLOOKUP(C1527,'Babblefish-APUMA'!$A$1:$B$86,2),C1527),C1527)</f>
        <v>4</v>
      </c>
    </row>
    <row r="1528" customFormat="false" ht="12.75" hidden="false" customHeight="false" outlineLevel="0" collapsed="false">
      <c r="A1528" s="0" t="n">
        <f aca="false">B1528*1000+C1528</f>
        <v>29005</v>
      </c>
      <c r="B1528" s="0" t="n">
        <v>29</v>
      </c>
      <c r="C1528" s="0" t="n">
        <v>5</v>
      </c>
      <c r="D1528" s="0" t="n">
        <v>195</v>
      </c>
      <c r="E1528" s="0" t="n">
        <f aca="false">VLOOKUP(B1528,'Babblefish-APUMA'!$A$1:$B$86,2)</f>
        <v>94</v>
      </c>
      <c r="F1528" s="0" t="n">
        <f aca="false">IF(C1528&gt;1,IF(C1528&lt;99,VLOOKUP(C1528,'Babblefish-APUMA'!$A$1:$B$86,2),C1528),C1528)</f>
        <v>5</v>
      </c>
    </row>
    <row r="1529" customFormat="false" ht="12.75" hidden="false" customHeight="false" outlineLevel="0" collapsed="false">
      <c r="A1529" s="0" t="n">
        <f aca="false">B1529*1000+C1529</f>
        <v>29006</v>
      </c>
      <c r="B1529" s="0" t="n">
        <v>29</v>
      </c>
      <c r="C1529" s="0" t="n">
        <v>6</v>
      </c>
      <c r="D1529" s="0" t="n">
        <v>169</v>
      </c>
      <c r="E1529" s="0" t="n">
        <f aca="false">VLOOKUP(B1529,'Babblefish-APUMA'!$A$1:$B$86,2)</f>
        <v>94</v>
      </c>
      <c r="F1529" s="0" t="n">
        <f aca="false">IF(C1529&gt;1,IF(C1529&lt;99,VLOOKUP(C1529,'Babblefish-APUMA'!$A$1:$B$86,2),C1529),C1529)</f>
        <v>6</v>
      </c>
    </row>
    <row r="1530" customFormat="false" ht="12.75" hidden="false" customHeight="false" outlineLevel="0" collapsed="false">
      <c r="A1530" s="0" t="n">
        <f aca="false">B1530*1000+C1530</f>
        <v>29007</v>
      </c>
      <c r="B1530" s="0" t="n">
        <v>29</v>
      </c>
      <c r="C1530" s="0" t="n">
        <v>7</v>
      </c>
      <c r="D1530" s="0" t="n">
        <v>286</v>
      </c>
      <c r="E1530" s="0" t="n">
        <f aca="false">VLOOKUP(B1530,'Babblefish-APUMA'!$A$1:$B$86,2)</f>
        <v>94</v>
      </c>
      <c r="F1530" s="0" t="n">
        <f aca="false">IF(C1530&gt;1,IF(C1530&lt;99,VLOOKUP(C1530,'Babblefish-APUMA'!$A$1:$B$86,2),C1530),C1530)</f>
        <v>7</v>
      </c>
    </row>
    <row r="1531" customFormat="false" ht="12.75" hidden="false" customHeight="false" outlineLevel="0" collapsed="false">
      <c r="A1531" s="0" t="n">
        <f aca="false">B1531*1000+C1531</f>
        <v>29008</v>
      </c>
      <c r="B1531" s="0" t="n">
        <v>29</v>
      </c>
      <c r="C1531" s="0" t="n">
        <v>8</v>
      </c>
      <c r="D1531" s="0" t="n">
        <v>338</v>
      </c>
      <c r="E1531" s="0" t="n">
        <f aca="false">VLOOKUP(B1531,'Babblefish-APUMA'!$A$1:$B$86,2)</f>
        <v>94</v>
      </c>
      <c r="F1531" s="0" t="n">
        <f aca="false">IF(C1531&gt;1,IF(C1531&lt;99,VLOOKUP(C1531,'Babblefish-APUMA'!$A$1:$B$86,2),C1531),C1531)</f>
        <v>8</v>
      </c>
    </row>
    <row r="1532" customFormat="false" ht="12.75" hidden="false" customHeight="false" outlineLevel="0" collapsed="false">
      <c r="A1532" s="0" t="n">
        <f aca="false">B1532*1000+C1532</f>
        <v>29009</v>
      </c>
      <c r="B1532" s="0" t="n">
        <v>29</v>
      </c>
      <c r="C1532" s="0" t="n">
        <v>9</v>
      </c>
      <c r="D1532" s="0" t="n">
        <v>234</v>
      </c>
      <c r="E1532" s="0" t="n">
        <f aca="false">VLOOKUP(B1532,'Babblefish-APUMA'!$A$1:$B$86,2)</f>
        <v>94</v>
      </c>
      <c r="F1532" s="0" t="n">
        <f aca="false">IF(C1532&gt;1,IF(C1532&lt;99,VLOOKUP(C1532,'Babblefish-APUMA'!$A$1:$B$86,2),C1532),C1532)</f>
        <v>9</v>
      </c>
    </row>
    <row r="1533" customFormat="false" ht="12.75" hidden="false" customHeight="false" outlineLevel="0" collapsed="false">
      <c r="A1533" s="0" t="n">
        <f aca="false">B1533*1000+C1533</f>
        <v>29010</v>
      </c>
      <c r="B1533" s="0" t="n">
        <v>29</v>
      </c>
      <c r="C1533" s="0" t="n">
        <v>10</v>
      </c>
      <c r="D1533" s="0" t="n">
        <v>9724</v>
      </c>
      <c r="E1533" s="0" t="n">
        <f aca="false">VLOOKUP(B1533,'Babblefish-APUMA'!$A$1:$B$86,2)</f>
        <v>94</v>
      </c>
      <c r="F1533" s="0" t="n">
        <f aca="false">IF(C1533&gt;1,IF(C1533&lt;99,VLOOKUP(C1533,'Babblefish-APUMA'!$A$1:$B$86,2),C1533),C1533)</f>
        <v>10</v>
      </c>
    </row>
    <row r="1534" customFormat="false" ht="12.75" hidden="false" customHeight="false" outlineLevel="0" collapsed="false">
      <c r="A1534" s="0" t="n">
        <f aca="false">B1534*1000+C1534</f>
        <v>29011</v>
      </c>
      <c r="B1534" s="0" t="n">
        <v>29</v>
      </c>
      <c r="C1534" s="0" t="n">
        <v>11</v>
      </c>
      <c r="D1534" s="0" t="n">
        <v>14781</v>
      </c>
      <c r="E1534" s="0" t="n">
        <f aca="false">VLOOKUP(B1534,'Babblefish-APUMA'!$A$1:$B$86,2)</f>
        <v>94</v>
      </c>
      <c r="F1534" s="0" t="n">
        <f aca="false">IF(C1534&gt;1,IF(C1534&lt;99,VLOOKUP(C1534,'Babblefish-APUMA'!$A$1:$B$86,2),C1534),C1534)</f>
        <v>11</v>
      </c>
    </row>
    <row r="1535" customFormat="false" ht="12.75" hidden="false" customHeight="false" outlineLevel="0" collapsed="false">
      <c r="A1535" s="0" t="n">
        <f aca="false">B1535*1000+C1535</f>
        <v>29012</v>
      </c>
      <c r="B1535" s="0" t="n">
        <v>29</v>
      </c>
      <c r="C1535" s="0" t="n">
        <v>12</v>
      </c>
      <c r="D1535" s="0" t="n">
        <v>2288</v>
      </c>
      <c r="E1535" s="0" t="n">
        <f aca="false">VLOOKUP(B1535,'Babblefish-APUMA'!$A$1:$B$86,2)</f>
        <v>94</v>
      </c>
      <c r="F1535" s="0" t="n">
        <f aca="false">IF(C1535&gt;1,IF(C1535&lt;99,VLOOKUP(C1535,'Babblefish-APUMA'!$A$1:$B$86,2),C1535),C1535)</f>
        <v>12</v>
      </c>
    </row>
    <row r="1536" customFormat="false" ht="12.75" hidden="false" customHeight="false" outlineLevel="0" collapsed="false">
      <c r="A1536" s="0" t="n">
        <f aca="false">B1536*1000+C1536</f>
        <v>29013</v>
      </c>
      <c r="B1536" s="0" t="n">
        <v>29</v>
      </c>
      <c r="C1536" s="0" t="n">
        <v>13</v>
      </c>
      <c r="D1536" s="0" t="n">
        <v>0</v>
      </c>
      <c r="E1536" s="0" t="n">
        <f aca="false">VLOOKUP(B1536,'Babblefish-APUMA'!$A$1:$B$86,2)</f>
        <v>94</v>
      </c>
      <c r="F1536" s="0" t="n">
        <f aca="false">IF(C1536&gt;1,IF(C1536&lt;99,VLOOKUP(C1536,'Babblefish-APUMA'!$A$1:$B$86,2),C1536),C1536)</f>
        <v>100</v>
      </c>
    </row>
    <row r="1537" customFormat="false" ht="12.75" hidden="false" customHeight="false" outlineLevel="0" collapsed="false">
      <c r="A1537" s="0" t="n">
        <f aca="false">B1537*1000+C1537</f>
        <v>29014</v>
      </c>
      <c r="B1537" s="0" t="n">
        <v>29</v>
      </c>
      <c r="C1537" s="0" t="n">
        <v>14</v>
      </c>
      <c r="D1537" s="0" t="n">
        <v>0</v>
      </c>
      <c r="E1537" s="0" t="n">
        <f aca="false">VLOOKUP(B1537,'Babblefish-APUMA'!$A$1:$B$86,2)</f>
        <v>94</v>
      </c>
      <c r="F1537" s="0" t="n">
        <f aca="false">IF(C1537&gt;1,IF(C1537&lt;99,VLOOKUP(C1537,'Babblefish-APUMA'!$A$1:$B$86,2),C1537),C1537)</f>
        <v>100</v>
      </c>
    </row>
    <row r="1538" customFormat="false" ht="12.75" hidden="false" customHeight="false" outlineLevel="0" collapsed="false">
      <c r="A1538" s="0" t="n">
        <f aca="false">B1538*1000+C1538</f>
        <v>29015</v>
      </c>
      <c r="B1538" s="0" t="n">
        <v>29</v>
      </c>
      <c r="C1538" s="0" t="n">
        <v>15</v>
      </c>
      <c r="D1538" s="0" t="n">
        <v>182</v>
      </c>
      <c r="E1538" s="0" t="n">
        <f aca="false">VLOOKUP(B1538,'Babblefish-APUMA'!$A$1:$B$86,2)</f>
        <v>94</v>
      </c>
      <c r="F1538" s="0" t="n">
        <f aca="false">IF(C1538&gt;1,IF(C1538&lt;99,VLOOKUP(C1538,'Babblefish-APUMA'!$A$1:$B$86,2),C1538),C1538)</f>
        <v>15</v>
      </c>
    </row>
    <row r="1539" customFormat="false" ht="12.75" hidden="false" customHeight="false" outlineLevel="0" collapsed="false">
      <c r="A1539" s="0" t="n">
        <f aca="false">B1539*1000+C1539</f>
        <v>29016</v>
      </c>
      <c r="B1539" s="0" t="n">
        <v>29</v>
      </c>
      <c r="C1539" s="0" t="n">
        <v>16</v>
      </c>
      <c r="D1539" s="0" t="n">
        <v>1183</v>
      </c>
      <c r="E1539" s="0" t="n">
        <f aca="false">VLOOKUP(B1539,'Babblefish-APUMA'!$A$1:$B$86,2)</f>
        <v>94</v>
      </c>
      <c r="F1539" s="0" t="n">
        <f aca="false">IF(C1539&gt;1,IF(C1539&lt;99,VLOOKUP(C1539,'Babblefish-APUMA'!$A$1:$B$86,2),C1539),C1539)</f>
        <v>99</v>
      </c>
    </row>
    <row r="1540" customFormat="false" ht="12.75" hidden="false" customHeight="false" outlineLevel="0" collapsed="false">
      <c r="A1540" s="0" t="n">
        <f aca="false">B1540*1000+C1540</f>
        <v>29017</v>
      </c>
      <c r="B1540" s="0" t="n">
        <v>29</v>
      </c>
      <c r="C1540" s="0" t="n">
        <v>17</v>
      </c>
      <c r="D1540" s="0" t="n">
        <v>247</v>
      </c>
      <c r="E1540" s="0" t="n">
        <f aca="false">VLOOKUP(B1540,'Babblefish-APUMA'!$A$1:$B$86,2)</f>
        <v>94</v>
      </c>
      <c r="F1540" s="0" t="n">
        <f aca="false">IF(C1540&gt;1,IF(C1540&lt;99,VLOOKUP(C1540,'Babblefish-APUMA'!$A$1:$B$86,2),C1540),C1540)</f>
        <v>87</v>
      </c>
    </row>
    <row r="1541" customFormat="false" ht="12.75" hidden="false" customHeight="false" outlineLevel="0" collapsed="false">
      <c r="A1541" s="0" t="n">
        <f aca="false">B1541*1000+C1541</f>
        <v>29018</v>
      </c>
      <c r="B1541" s="0" t="n">
        <v>29</v>
      </c>
      <c r="C1541" s="0" t="n">
        <v>18</v>
      </c>
      <c r="D1541" s="0" t="n">
        <v>975</v>
      </c>
      <c r="E1541" s="0" t="n">
        <f aca="false">VLOOKUP(B1541,'Babblefish-APUMA'!$A$1:$B$86,2)</f>
        <v>94</v>
      </c>
      <c r="F1541" s="0" t="n">
        <f aca="false">IF(C1541&gt;1,IF(C1541&lt;99,VLOOKUP(C1541,'Babblefish-APUMA'!$A$1:$B$86,2),C1541),C1541)</f>
        <v>87</v>
      </c>
    </row>
    <row r="1542" customFormat="false" ht="12.75" hidden="false" customHeight="false" outlineLevel="0" collapsed="false">
      <c r="A1542" s="0" t="n">
        <f aca="false">B1542*1000+C1542</f>
        <v>29019</v>
      </c>
      <c r="B1542" s="0" t="n">
        <v>29</v>
      </c>
      <c r="C1542" s="0" t="n">
        <v>19</v>
      </c>
      <c r="D1542" s="0" t="n">
        <v>884</v>
      </c>
      <c r="E1542" s="0" t="n">
        <f aca="false">VLOOKUP(B1542,'Babblefish-APUMA'!$A$1:$B$86,2)</f>
        <v>94</v>
      </c>
      <c r="F1542" s="0" t="n">
        <f aca="false">IF(C1542&gt;1,IF(C1542&lt;99,VLOOKUP(C1542,'Babblefish-APUMA'!$A$1:$B$86,2),C1542),C1542)</f>
        <v>19</v>
      </c>
    </row>
    <row r="1543" customFormat="false" ht="12.75" hidden="false" customHeight="false" outlineLevel="0" collapsed="false">
      <c r="A1543" s="0" t="n">
        <f aca="false">B1543*1000+C1543</f>
        <v>29020</v>
      </c>
      <c r="B1543" s="0" t="n">
        <v>29</v>
      </c>
      <c r="C1543" s="0" t="n">
        <v>20</v>
      </c>
      <c r="D1543" s="0" t="n">
        <v>0</v>
      </c>
      <c r="E1543" s="0" t="n">
        <f aca="false">VLOOKUP(B1543,'Babblefish-APUMA'!$A$1:$B$86,2)</f>
        <v>94</v>
      </c>
      <c r="F1543" s="0" t="n">
        <f aca="false">IF(C1543&gt;1,IF(C1543&lt;99,VLOOKUP(C1543,'Babblefish-APUMA'!$A$1:$B$86,2),C1543),C1543)</f>
        <v>86</v>
      </c>
    </row>
    <row r="1544" customFormat="false" ht="12.75" hidden="false" customHeight="false" outlineLevel="0" collapsed="false">
      <c r="A1544" s="0" t="n">
        <f aca="false">B1544*1000+C1544</f>
        <v>29021</v>
      </c>
      <c r="B1544" s="0" t="n">
        <v>29</v>
      </c>
      <c r="C1544" s="0" t="n">
        <v>21</v>
      </c>
      <c r="D1544" s="0" t="n">
        <v>1443</v>
      </c>
      <c r="E1544" s="0" t="n">
        <f aca="false">VLOOKUP(B1544,'Babblefish-APUMA'!$A$1:$B$86,2)</f>
        <v>94</v>
      </c>
      <c r="F1544" s="0" t="n">
        <f aca="false">IF(C1544&gt;1,IF(C1544&lt;99,VLOOKUP(C1544,'Babblefish-APUMA'!$A$1:$B$86,2),C1544),C1544)</f>
        <v>86</v>
      </c>
    </row>
    <row r="1545" customFormat="false" ht="12.75" hidden="false" customHeight="false" outlineLevel="0" collapsed="false">
      <c r="A1545" s="0" t="n">
        <f aca="false">B1545*1000+C1545</f>
        <v>29022</v>
      </c>
      <c r="B1545" s="0" t="n">
        <v>29</v>
      </c>
      <c r="C1545" s="0" t="n">
        <v>22</v>
      </c>
      <c r="D1545" s="0" t="n">
        <v>351</v>
      </c>
      <c r="E1545" s="0" t="n">
        <f aca="false">VLOOKUP(B1545,'Babblefish-APUMA'!$A$1:$B$86,2)</f>
        <v>94</v>
      </c>
      <c r="F1545" s="0" t="n">
        <f aca="false">IF(C1545&gt;1,IF(C1545&lt;99,VLOOKUP(C1545,'Babblefish-APUMA'!$A$1:$B$86,2),C1545),C1545)</f>
        <v>22</v>
      </c>
    </row>
    <row r="1546" customFormat="false" ht="12.75" hidden="false" customHeight="false" outlineLevel="0" collapsed="false">
      <c r="A1546" s="0" t="n">
        <f aca="false">B1546*1000+C1546</f>
        <v>29023</v>
      </c>
      <c r="B1546" s="0" t="n">
        <v>29</v>
      </c>
      <c r="C1546" s="0" t="n">
        <v>23</v>
      </c>
      <c r="D1546" s="0" t="n">
        <v>2964</v>
      </c>
      <c r="E1546" s="0" t="n">
        <f aca="false">VLOOKUP(B1546,'Babblefish-APUMA'!$A$1:$B$86,2)</f>
        <v>94</v>
      </c>
      <c r="F1546" s="0" t="n">
        <f aca="false">IF(C1546&gt;1,IF(C1546&lt;99,VLOOKUP(C1546,'Babblefish-APUMA'!$A$1:$B$86,2),C1546),C1546)</f>
        <v>97</v>
      </c>
    </row>
    <row r="1547" customFormat="false" ht="12.75" hidden="false" customHeight="false" outlineLevel="0" collapsed="false">
      <c r="A1547" s="0" t="n">
        <f aca="false">B1547*1000+C1547</f>
        <v>29024</v>
      </c>
      <c r="B1547" s="0" t="n">
        <v>29</v>
      </c>
      <c r="C1547" s="0" t="n">
        <v>24</v>
      </c>
      <c r="D1547" s="0" t="n">
        <v>182</v>
      </c>
      <c r="E1547" s="0" t="n">
        <f aca="false">VLOOKUP(B1547,'Babblefish-APUMA'!$A$1:$B$86,2)</f>
        <v>94</v>
      </c>
      <c r="F1547" s="0" t="n">
        <f aca="false">IF(C1547&gt;1,IF(C1547&lt;99,VLOOKUP(C1547,'Babblefish-APUMA'!$A$1:$B$86,2),C1547),C1547)</f>
        <v>101</v>
      </c>
    </row>
    <row r="1548" customFormat="false" ht="12.75" hidden="false" customHeight="false" outlineLevel="0" collapsed="false">
      <c r="A1548" s="0" t="n">
        <f aca="false">B1548*1000+C1548</f>
        <v>29025</v>
      </c>
      <c r="B1548" s="0" t="n">
        <v>29</v>
      </c>
      <c r="C1548" s="0" t="n">
        <v>25</v>
      </c>
      <c r="D1548" s="0" t="n">
        <v>0</v>
      </c>
      <c r="E1548" s="0" t="n">
        <f aca="false">VLOOKUP(B1548,'Babblefish-APUMA'!$A$1:$B$86,2)</f>
        <v>94</v>
      </c>
      <c r="F1548" s="0" t="n">
        <f aca="false">IF(C1548&gt;1,IF(C1548&lt;99,VLOOKUP(C1548,'Babblefish-APUMA'!$A$1:$B$86,2),C1548),C1548)</f>
        <v>101</v>
      </c>
    </row>
    <row r="1549" customFormat="false" ht="12.75" hidden="false" customHeight="false" outlineLevel="0" collapsed="false">
      <c r="A1549" s="0" t="n">
        <f aca="false">B1549*1000+C1549</f>
        <v>29026</v>
      </c>
      <c r="B1549" s="0" t="n">
        <v>29</v>
      </c>
      <c r="C1549" s="0" t="n">
        <v>26</v>
      </c>
      <c r="D1549" s="0" t="n">
        <v>338</v>
      </c>
      <c r="E1549" s="0" t="n">
        <f aca="false">VLOOKUP(B1549,'Babblefish-APUMA'!$A$1:$B$86,2)</f>
        <v>94</v>
      </c>
      <c r="F1549" s="0" t="n">
        <f aca="false">IF(C1549&gt;1,IF(C1549&lt;99,VLOOKUP(C1549,'Babblefish-APUMA'!$A$1:$B$86,2),C1549),C1549)</f>
        <v>26</v>
      </c>
    </row>
    <row r="1550" customFormat="false" ht="12.75" hidden="false" customHeight="false" outlineLevel="0" collapsed="false">
      <c r="A1550" s="0" t="n">
        <f aca="false">B1550*1000+C1550</f>
        <v>29027</v>
      </c>
      <c r="B1550" s="0" t="n">
        <v>29</v>
      </c>
      <c r="C1550" s="0" t="n">
        <v>27</v>
      </c>
      <c r="D1550" s="0" t="n">
        <v>0</v>
      </c>
      <c r="E1550" s="0" t="n">
        <f aca="false">VLOOKUP(B1550,'Babblefish-APUMA'!$A$1:$B$86,2)</f>
        <v>94</v>
      </c>
      <c r="F1550" s="0" t="n">
        <f aca="false">IF(C1550&gt;1,IF(C1550&lt;99,VLOOKUP(C1550,'Babblefish-APUMA'!$A$1:$B$86,2),C1550),C1550)</f>
        <v>27</v>
      </c>
    </row>
    <row r="1551" customFormat="false" ht="12.75" hidden="false" customHeight="false" outlineLevel="0" collapsed="false">
      <c r="A1551" s="0" t="n">
        <f aca="false">B1551*1000+C1551</f>
        <v>29028</v>
      </c>
      <c r="B1551" s="0" t="n">
        <v>29</v>
      </c>
      <c r="C1551" s="0" t="n">
        <v>28</v>
      </c>
      <c r="D1551" s="0" t="n">
        <v>111956</v>
      </c>
      <c r="E1551" s="0" t="n">
        <f aca="false">VLOOKUP(B1551,'Babblefish-APUMA'!$A$1:$B$86,2)</f>
        <v>94</v>
      </c>
      <c r="F1551" s="0" t="n">
        <f aca="false">IF(C1551&gt;1,IF(C1551&lt;99,VLOOKUP(C1551,'Babblefish-APUMA'!$A$1:$B$86,2),C1551),C1551)</f>
        <v>94</v>
      </c>
    </row>
    <row r="1552" customFormat="false" ht="12.75" hidden="false" customHeight="false" outlineLevel="0" collapsed="false">
      <c r="A1552" s="0" t="n">
        <f aca="false">B1552*1000+C1552</f>
        <v>29029</v>
      </c>
      <c r="B1552" s="0" t="n">
        <v>29</v>
      </c>
      <c r="C1552" s="0" t="n">
        <v>29</v>
      </c>
      <c r="D1552" s="0" t="n">
        <v>171821</v>
      </c>
      <c r="E1552" s="0" t="n">
        <f aca="false">VLOOKUP(B1552,'Babblefish-APUMA'!$A$1:$B$86,2)</f>
        <v>94</v>
      </c>
      <c r="F1552" s="0" t="n">
        <f aca="false">IF(C1552&gt;1,IF(C1552&lt;99,VLOOKUP(C1552,'Babblefish-APUMA'!$A$1:$B$86,2),C1552),C1552)</f>
        <v>94</v>
      </c>
    </row>
    <row r="1553" customFormat="false" ht="12.75" hidden="false" customHeight="false" outlineLevel="0" collapsed="false">
      <c r="A1553" s="0" t="n">
        <f aca="false">B1553*1000+C1553</f>
        <v>29030</v>
      </c>
      <c r="B1553" s="0" t="n">
        <v>29</v>
      </c>
      <c r="C1553" s="0" t="n">
        <v>30</v>
      </c>
      <c r="D1553" s="0" t="n">
        <v>0</v>
      </c>
      <c r="E1553" s="0" t="n">
        <f aca="false">VLOOKUP(B1553,'Babblefish-APUMA'!$A$1:$B$86,2)</f>
        <v>94</v>
      </c>
      <c r="F1553" s="0" t="n">
        <f aca="false">IF(C1553&gt;1,IF(C1553&lt;99,VLOOKUP(C1553,'Babblefish-APUMA'!$A$1:$B$86,2),C1553),C1553)</f>
        <v>30</v>
      </c>
    </row>
    <row r="1554" customFormat="false" ht="12.75" hidden="false" customHeight="false" outlineLevel="0" collapsed="false">
      <c r="A1554" s="0" t="n">
        <f aca="false">B1554*1000+C1554</f>
        <v>29031</v>
      </c>
      <c r="B1554" s="0" t="n">
        <v>29</v>
      </c>
      <c r="C1554" s="0" t="n">
        <v>31</v>
      </c>
      <c r="D1554" s="0" t="n">
        <v>0</v>
      </c>
      <c r="E1554" s="0" t="n">
        <f aca="false">VLOOKUP(B1554,'Babblefish-APUMA'!$A$1:$B$86,2)</f>
        <v>94</v>
      </c>
      <c r="F1554" s="0" t="n">
        <f aca="false">IF(C1554&gt;1,IF(C1554&lt;99,VLOOKUP(C1554,'Babblefish-APUMA'!$A$1:$B$86,2),C1554),C1554)</f>
        <v>31</v>
      </c>
    </row>
    <row r="1555" customFormat="false" ht="12.75" hidden="false" customHeight="false" outlineLevel="0" collapsed="false">
      <c r="A1555" s="0" t="n">
        <f aca="false">B1555*1000+C1555</f>
        <v>29032</v>
      </c>
      <c r="B1555" s="0" t="n">
        <v>29</v>
      </c>
      <c r="C1555" s="0" t="n">
        <v>32</v>
      </c>
      <c r="D1555" s="0" t="n">
        <v>0</v>
      </c>
      <c r="E1555" s="0" t="n">
        <f aca="false">VLOOKUP(B1555,'Babblefish-APUMA'!$A$1:$B$86,2)</f>
        <v>94</v>
      </c>
      <c r="F1555" s="0" t="n">
        <f aca="false">IF(C1555&gt;1,IF(C1555&lt;99,VLOOKUP(C1555,'Babblefish-APUMA'!$A$1:$B$86,2),C1555),C1555)</f>
        <v>32</v>
      </c>
    </row>
    <row r="1556" customFormat="false" ht="12.75" hidden="false" customHeight="false" outlineLevel="0" collapsed="false">
      <c r="A1556" s="0" t="n">
        <f aca="false">B1556*1000+C1556</f>
        <v>29033</v>
      </c>
      <c r="B1556" s="0" t="n">
        <v>29</v>
      </c>
      <c r="C1556" s="0" t="n">
        <v>33</v>
      </c>
      <c r="D1556" s="0" t="n">
        <v>377</v>
      </c>
      <c r="E1556" s="0" t="n">
        <f aca="false">VLOOKUP(B1556,'Babblefish-APUMA'!$A$1:$B$86,2)</f>
        <v>94</v>
      </c>
      <c r="F1556" s="0" t="n">
        <f aca="false">IF(C1556&gt;1,IF(C1556&lt;99,VLOOKUP(C1556,'Babblefish-APUMA'!$A$1:$B$86,2),C1556),C1556)</f>
        <v>96</v>
      </c>
    </row>
    <row r="1557" customFormat="false" ht="12.75" hidden="false" customHeight="false" outlineLevel="0" collapsed="false">
      <c r="A1557" s="0" t="n">
        <f aca="false">B1557*1000+C1557</f>
        <v>29034</v>
      </c>
      <c r="B1557" s="0" t="n">
        <v>29</v>
      </c>
      <c r="C1557" s="0" t="n">
        <v>34</v>
      </c>
      <c r="D1557" s="0" t="n">
        <v>0</v>
      </c>
      <c r="E1557" s="0" t="n">
        <f aca="false">VLOOKUP(B1557,'Babblefish-APUMA'!$A$1:$B$86,2)</f>
        <v>94</v>
      </c>
      <c r="F1557" s="0" t="n">
        <f aca="false">IF(C1557&gt;1,IF(C1557&lt;99,VLOOKUP(C1557,'Babblefish-APUMA'!$A$1:$B$86,2),C1557),C1557)</f>
        <v>96</v>
      </c>
    </row>
    <row r="1558" customFormat="false" ht="12.75" hidden="false" customHeight="false" outlineLevel="0" collapsed="false">
      <c r="A1558" s="0" t="n">
        <f aca="false">B1558*1000+C1558</f>
        <v>29035</v>
      </c>
      <c r="B1558" s="0" t="n">
        <v>29</v>
      </c>
      <c r="C1558" s="0" t="n">
        <v>35</v>
      </c>
      <c r="D1558" s="0" t="n">
        <v>0</v>
      </c>
      <c r="E1558" s="0" t="n">
        <f aca="false">VLOOKUP(B1558,'Babblefish-APUMA'!$A$1:$B$86,2)</f>
        <v>94</v>
      </c>
      <c r="F1558" s="0" t="n">
        <f aca="false">IF(C1558&gt;1,IF(C1558&lt;99,VLOOKUP(C1558,'Babblefish-APUMA'!$A$1:$B$86,2),C1558),C1558)</f>
        <v>96</v>
      </c>
    </row>
    <row r="1559" customFormat="false" ht="12.75" hidden="false" customHeight="false" outlineLevel="0" collapsed="false">
      <c r="A1559" s="0" t="n">
        <f aca="false">B1559*1000+C1559</f>
        <v>29037</v>
      </c>
      <c r="B1559" s="0" t="n">
        <v>29</v>
      </c>
      <c r="C1559" s="0" t="n">
        <v>37</v>
      </c>
      <c r="D1559" s="0" t="n">
        <v>91</v>
      </c>
      <c r="E1559" s="0" t="n">
        <f aca="false">VLOOKUP(B1559,'Babblefish-APUMA'!$A$1:$B$86,2)</f>
        <v>94</v>
      </c>
      <c r="F1559" s="0" t="n">
        <f aca="false">IF(C1559&gt;1,IF(C1559&lt;99,VLOOKUP(C1559,'Babblefish-APUMA'!$A$1:$B$86,2),C1559),C1559)</f>
        <v>96</v>
      </c>
    </row>
    <row r="1560" customFormat="false" ht="12.75" hidden="false" customHeight="false" outlineLevel="0" collapsed="false">
      <c r="A1560" s="0" t="n">
        <f aca="false">B1560*1000+C1560</f>
        <v>29038</v>
      </c>
      <c r="B1560" s="0" t="n">
        <v>29</v>
      </c>
      <c r="C1560" s="0" t="n">
        <v>38</v>
      </c>
      <c r="D1560" s="0" t="n">
        <v>0</v>
      </c>
      <c r="E1560" s="0" t="n">
        <f aca="false">VLOOKUP(B1560,'Babblefish-APUMA'!$A$1:$B$86,2)</f>
        <v>94</v>
      </c>
      <c r="F1560" s="0" t="n">
        <f aca="false">IF(C1560&gt;1,IF(C1560&lt;99,VLOOKUP(C1560,'Babblefish-APUMA'!$A$1:$B$86,2),C1560),C1560)</f>
        <v>91</v>
      </c>
    </row>
    <row r="1561" customFormat="false" ht="12.75" hidden="false" customHeight="false" outlineLevel="0" collapsed="false">
      <c r="A1561" s="0" t="n">
        <f aca="false">B1561*1000+C1561</f>
        <v>29039</v>
      </c>
      <c r="B1561" s="0" t="n">
        <v>29</v>
      </c>
      <c r="C1561" s="0" t="n">
        <v>39</v>
      </c>
      <c r="D1561" s="0" t="n">
        <v>221</v>
      </c>
      <c r="E1561" s="0" t="n">
        <f aca="false">VLOOKUP(B1561,'Babblefish-APUMA'!$A$1:$B$86,2)</f>
        <v>94</v>
      </c>
      <c r="F1561" s="0" t="n">
        <f aca="false">IF(C1561&gt;1,IF(C1561&lt;99,VLOOKUP(C1561,'Babblefish-APUMA'!$A$1:$B$86,2),C1561),C1561)</f>
        <v>91</v>
      </c>
    </row>
    <row r="1562" customFormat="false" ht="12.75" hidden="false" customHeight="false" outlineLevel="0" collapsed="false">
      <c r="A1562" s="0" t="n">
        <f aca="false">B1562*1000+C1562</f>
        <v>29040</v>
      </c>
      <c r="B1562" s="0" t="n">
        <v>29</v>
      </c>
      <c r="C1562" s="0" t="n">
        <v>40</v>
      </c>
      <c r="D1562" s="0" t="n">
        <v>0</v>
      </c>
      <c r="E1562" s="0" t="n">
        <f aca="false">VLOOKUP(B1562,'Babblefish-APUMA'!$A$1:$B$86,2)</f>
        <v>94</v>
      </c>
      <c r="F1562" s="0" t="n">
        <f aca="false">IF(C1562&gt;1,IF(C1562&lt;99,VLOOKUP(C1562,'Babblefish-APUMA'!$A$1:$B$86,2),C1562),C1562)</f>
        <v>88</v>
      </c>
    </row>
    <row r="1563" customFormat="false" ht="12.75" hidden="false" customHeight="false" outlineLevel="0" collapsed="false">
      <c r="A1563" s="0" t="n">
        <f aca="false">B1563*1000+C1563</f>
        <v>29041</v>
      </c>
      <c r="B1563" s="0" t="n">
        <v>29</v>
      </c>
      <c r="C1563" s="0" t="n">
        <v>41</v>
      </c>
      <c r="D1563" s="0" t="n">
        <v>117</v>
      </c>
      <c r="E1563" s="0" t="n">
        <f aca="false">VLOOKUP(B1563,'Babblefish-APUMA'!$A$1:$B$86,2)</f>
        <v>94</v>
      </c>
      <c r="F1563" s="0" t="n">
        <f aca="false">IF(C1563&gt;1,IF(C1563&lt;99,VLOOKUP(C1563,'Babblefish-APUMA'!$A$1:$B$86,2),C1563),C1563)</f>
        <v>88</v>
      </c>
    </row>
    <row r="1564" customFormat="false" ht="12.75" hidden="false" customHeight="false" outlineLevel="0" collapsed="false">
      <c r="A1564" s="0" t="n">
        <f aca="false">B1564*1000+C1564</f>
        <v>29042</v>
      </c>
      <c r="B1564" s="0" t="n">
        <v>29</v>
      </c>
      <c r="C1564" s="0" t="n">
        <v>42</v>
      </c>
      <c r="D1564" s="0" t="n">
        <v>52</v>
      </c>
      <c r="E1564" s="0" t="n">
        <f aca="false">VLOOKUP(B1564,'Babblefish-APUMA'!$A$1:$B$86,2)</f>
        <v>94</v>
      </c>
      <c r="F1564" s="0" t="n">
        <f aca="false">IF(C1564&gt;1,IF(C1564&lt;99,VLOOKUP(C1564,'Babblefish-APUMA'!$A$1:$B$86,2),C1564),C1564)</f>
        <v>92</v>
      </c>
    </row>
    <row r="1565" customFormat="false" ht="12.75" hidden="false" customHeight="false" outlineLevel="0" collapsed="false">
      <c r="A1565" s="0" t="n">
        <f aca="false">B1565*1000+C1565</f>
        <v>29043</v>
      </c>
      <c r="B1565" s="0" t="n">
        <v>29</v>
      </c>
      <c r="C1565" s="0" t="n">
        <v>43</v>
      </c>
      <c r="D1565" s="0" t="n">
        <v>0</v>
      </c>
      <c r="E1565" s="0" t="n">
        <f aca="false">VLOOKUP(B1565,'Babblefish-APUMA'!$A$1:$B$86,2)</f>
        <v>94</v>
      </c>
      <c r="F1565" s="0" t="n">
        <f aca="false">IF(C1565&gt;1,IF(C1565&lt;99,VLOOKUP(C1565,'Babblefish-APUMA'!$A$1:$B$86,2),C1565),C1565)</f>
        <v>92</v>
      </c>
    </row>
    <row r="1566" customFormat="false" ht="12.75" hidden="false" customHeight="false" outlineLevel="0" collapsed="false">
      <c r="A1566" s="0" t="n">
        <f aca="false">B1566*1000+C1566</f>
        <v>29046</v>
      </c>
      <c r="B1566" s="0" t="n">
        <v>29</v>
      </c>
      <c r="C1566" s="0" t="n">
        <v>46</v>
      </c>
      <c r="D1566" s="0" t="n">
        <v>0</v>
      </c>
      <c r="E1566" s="0" t="n">
        <f aca="false">VLOOKUP(B1566,'Babblefish-APUMA'!$A$1:$B$86,2)</f>
        <v>94</v>
      </c>
      <c r="F1566" s="0" t="n">
        <f aca="false">IF(C1566&gt;1,IF(C1566&lt;99,VLOOKUP(C1566,'Babblefish-APUMA'!$A$1:$B$86,2),C1566),C1566)</f>
        <v>92</v>
      </c>
    </row>
    <row r="1567" customFormat="false" ht="12.75" hidden="false" customHeight="false" outlineLevel="0" collapsed="false">
      <c r="A1567" s="0" t="n">
        <f aca="false">B1567*1000+C1567</f>
        <v>29048</v>
      </c>
      <c r="B1567" s="0" t="n">
        <v>29</v>
      </c>
      <c r="C1567" s="0" t="n">
        <v>48</v>
      </c>
      <c r="D1567" s="0" t="n">
        <v>0</v>
      </c>
      <c r="E1567" s="0" t="n">
        <f aca="false">VLOOKUP(B1567,'Babblefish-APUMA'!$A$1:$B$86,2)</f>
        <v>94</v>
      </c>
      <c r="F1567" s="0" t="n">
        <f aca="false">IF(C1567&gt;1,IF(C1567&lt;99,VLOOKUP(C1567,'Babblefish-APUMA'!$A$1:$B$86,2),C1567),C1567)</f>
        <v>92</v>
      </c>
    </row>
    <row r="1568" customFormat="false" ht="12.75" hidden="false" customHeight="false" outlineLevel="0" collapsed="false">
      <c r="A1568" s="0" t="n">
        <f aca="false">B1568*1000+C1568</f>
        <v>29049</v>
      </c>
      <c r="B1568" s="0" t="n">
        <v>29</v>
      </c>
      <c r="C1568" s="0" t="n">
        <v>49</v>
      </c>
      <c r="D1568" s="0" t="n">
        <v>91</v>
      </c>
      <c r="E1568" s="0" t="n">
        <f aca="false">VLOOKUP(B1568,'Babblefish-APUMA'!$A$1:$B$86,2)</f>
        <v>94</v>
      </c>
      <c r="F1568" s="0" t="n">
        <f aca="false">IF(C1568&gt;1,IF(C1568&lt;99,VLOOKUP(C1568,'Babblefish-APUMA'!$A$1:$B$86,2),C1568),C1568)</f>
        <v>98</v>
      </c>
    </row>
    <row r="1569" customFormat="false" ht="12.75" hidden="false" customHeight="false" outlineLevel="0" collapsed="false">
      <c r="A1569" s="0" t="n">
        <f aca="false">B1569*1000+C1569</f>
        <v>29050</v>
      </c>
      <c r="B1569" s="0" t="n">
        <v>29</v>
      </c>
      <c r="C1569" s="0" t="n">
        <v>50</v>
      </c>
      <c r="D1569" s="0" t="n">
        <v>481</v>
      </c>
      <c r="E1569" s="0" t="n">
        <f aca="false">VLOOKUP(B1569,'Babblefish-APUMA'!$A$1:$B$86,2)</f>
        <v>94</v>
      </c>
      <c r="F1569" s="0" t="n">
        <f aca="false">IF(C1569&gt;1,IF(C1569&lt;99,VLOOKUP(C1569,'Babblefish-APUMA'!$A$1:$B$86,2),C1569),C1569)</f>
        <v>98</v>
      </c>
    </row>
    <row r="1570" customFormat="false" ht="12.75" hidden="false" customHeight="false" outlineLevel="0" collapsed="false">
      <c r="A1570" s="0" t="n">
        <f aca="false">B1570*1000+C1570</f>
        <v>29051</v>
      </c>
      <c r="B1570" s="0" t="n">
        <v>29</v>
      </c>
      <c r="C1570" s="0" t="n">
        <v>51</v>
      </c>
      <c r="D1570" s="0" t="n">
        <v>91</v>
      </c>
      <c r="E1570" s="0" t="n">
        <f aca="false">VLOOKUP(B1570,'Babblefish-APUMA'!$A$1:$B$86,2)</f>
        <v>94</v>
      </c>
      <c r="F1570" s="0" t="n">
        <f aca="false">IF(C1570&gt;1,IF(C1570&lt;99,VLOOKUP(C1570,'Babblefish-APUMA'!$A$1:$B$86,2),C1570),C1570)</f>
        <v>98</v>
      </c>
    </row>
    <row r="1571" customFormat="false" ht="12.75" hidden="false" customHeight="false" outlineLevel="0" collapsed="false">
      <c r="A1571" s="0" t="n">
        <f aca="false">B1571*1000+C1571</f>
        <v>29052</v>
      </c>
      <c r="B1571" s="0" t="n">
        <v>29</v>
      </c>
      <c r="C1571" s="0" t="n">
        <v>52</v>
      </c>
      <c r="D1571" s="0" t="n">
        <v>0</v>
      </c>
      <c r="E1571" s="0" t="n">
        <f aca="false">VLOOKUP(B1571,'Babblefish-APUMA'!$A$1:$B$86,2)</f>
        <v>94</v>
      </c>
      <c r="F1571" s="0" t="n">
        <f aca="false">IF(C1571&gt;1,IF(C1571&lt;99,VLOOKUP(C1571,'Babblefish-APUMA'!$A$1:$B$86,2),C1571),C1571)</f>
        <v>90</v>
      </c>
    </row>
    <row r="1572" customFormat="false" ht="12.75" hidden="false" customHeight="false" outlineLevel="0" collapsed="false">
      <c r="A1572" s="0" t="n">
        <f aca="false">B1572*1000+C1572</f>
        <v>29053</v>
      </c>
      <c r="B1572" s="0" t="n">
        <v>29</v>
      </c>
      <c r="C1572" s="0" t="n">
        <v>53</v>
      </c>
      <c r="D1572" s="0" t="n">
        <v>0</v>
      </c>
      <c r="E1572" s="0" t="n">
        <f aca="false">VLOOKUP(B1572,'Babblefish-APUMA'!$A$1:$B$86,2)</f>
        <v>94</v>
      </c>
      <c r="F1572" s="0" t="n">
        <f aca="false">IF(C1572&gt;1,IF(C1572&lt;99,VLOOKUP(C1572,'Babblefish-APUMA'!$A$1:$B$86,2),C1572),C1572)</f>
        <v>90</v>
      </c>
    </row>
    <row r="1573" customFormat="false" ht="12.75" hidden="false" customHeight="false" outlineLevel="0" collapsed="false">
      <c r="A1573" s="0" t="n">
        <f aca="false">B1573*1000+C1573</f>
        <v>29054</v>
      </c>
      <c r="B1573" s="0" t="n">
        <v>29</v>
      </c>
      <c r="C1573" s="0" t="n">
        <v>54</v>
      </c>
      <c r="D1573" s="0" t="n">
        <v>0</v>
      </c>
      <c r="E1573" s="0" t="n">
        <f aca="false">VLOOKUP(B1573,'Babblefish-APUMA'!$A$1:$B$86,2)</f>
        <v>94</v>
      </c>
      <c r="F1573" s="0" t="n">
        <f aca="false">IF(C1573&gt;1,IF(C1573&lt;99,VLOOKUP(C1573,'Babblefish-APUMA'!$A$1:$B$86,2),C1573),C1573)</f>
        <v>90</v>
      </c>
    </row>
    <row r="1574" customFormat="false" ht="12.75" hidden="false" customHeight="false" outlineLevel="0" collapsed="false">
      <c r="A1574" s="0" t="n">
        <f aca="false">B1574*1000+C1574</f>
        <v>29055</v>
      </c>
      <c r="B1574" s="0" t="n">
        <v>29</v>
      </c>
      <c r="C1574" s="0" t="n">
        <v>55</v>
      </c>
      <c r="D1574" s="0" t="n">
        <v>0</v>
      </c>
      <c r="E1574" s="0" t="n">
        <f aca="false">VLOOKUP(B1574,'Babblefish-APUMA'!$A$1:$B$86,2)</f>
        <v>94</v>
      </c>
      <c r="F1574" s="0" t="n">
        <f aca="false">IF(C1574&gt;1,IF(C1574&lt;99,VLOOKUP(C1574,'Babblefish-APUMA'!$A$1:$B$86,2),C1574),C1574)</f>
        <v>90</v>
      </c>
    </row>
    <row r="1575" customFormat="false" ht="12.75" hidden="false" customHeight="false" outlineLevel="0" collapsed="false">
      <c r="A1575" s="0" t="n">
        <f aca="false">B1575*1000+C1575</f>
        <v>29056</v>
      </c>
      <c r="B1575" s="0" t="n">
        <v>29</v>
      </c>
      <c r="C1575" s="0" t="n">
        <v>56</v>
      </c>
      <c r="D1575" s="0" t="n">
        <v>0</v>
      </c>
      <c r="E1575" s="0" t="n">
        <f aca="false">VLOOKUP(B1575,'Babblefish-APUMA'!$A$1:$B$86,2)</f>
        <v>94</v>
      </c>
      <c r="F1575" s="0" t="n">
        <f aca="false">IF(C1575&gt;1,IF(C1575&lt;99,VLOOKUP(C1575,'Babblefish-APUMA'!$A$1:$B$86,2),C1575),C1575)</f>
        <v>90</v>
      </c>
    </row>
    <row r="1576" customFormat="false" ht="12.75" hidden="false" customHeight="false" outlineLevel="0" collapsed="false">
      <c r="A1576" s="0" t="n">
        <f aca="false">B1576*1000+C1576</f>
        <v>29057</v>
      </c>
      <c r="B1576" s="0" t="n">
        <v>29</v>
      </c>
      <c r="C1576" s="0" t="n">
        <v>57</v>
      </c>
      <c r="D1576" s="0" t="n">
        <v>0</v>
      </c>
      <c r="E1576" s="0" t="n">
        <f aca="false">VLOOKUP(B1576,'Babblefish-APUMA'!$A$1:$B$86,2)</f>
        <v>94</v>
      </c>
      <c r="F1576" s="0" t="n">
        <f aca="false">IF(C1576&gt;1,IF(C1576&lt;99,VLOOKUP(C1576,'Babblefish-APUMA'!$A$1:$B$86,2),C1576),C1576)</f>
        <v>90</v>
      </c>
    </row>
    <row r="1577" customFormat="false" ht="12.75" hidden="false" customHeight="false" outlineLevel="0" collapsed="false">
      <c r="A1577" s="0" t="n">
        <f aca="false">B1577*1000+C1577</f>
        <v>29059</v>
      </c>
      <c r="B1577" s="0" t="n">
        <v>29</v>
      </c>
      <c r="C1577" s="0" t="n">
        <v>59</v>
      </c>
      <c r="D1577" s="0" t="n">
        <v>0</v>
      </c>
      <c r="E1577" s="0" t="n">
        <f aca="false">VLOOKUP(B1577,'Babblefish-APUMA'!$A$1:$B$86,2)</f>
        <v>94</v>
      </c>
      <c r="F1577" s="0" t="n">
        <f aca="false">IF(C1577&gt;1,IF(C1577&lt;99,VLOOKUP(C1577,'Babblefish-APUMA'!$A$1:$B$86,2),C1577),C1577)</f>
        <v>90</v>
      </c>
    </row>
    <row r="1578" customFormat="false" ht="12.75" hidden="false" customHeight="false" outlineLevel="0" collapsed="false">
      <c r="A1578" s="0" t="n">
        <f aca="false">B1578*1000+C1578</f>
        <v>29060</v>
      </c>
      <c r="B1578" s="0" t="n">
        <v>29</v>
      </c>
      <c r="C1578" s="0" t="n">
        <v>60</v>
      </c>
      <c r="D1578" s="0" t="n">
        <v>0</v>
      </c>
      <c r="E1578" s="0" t="n">
        <f aca="false">VLOOKUP(B1578,'Babblefish-APUMA'!$A$1:$B$86,2)</f>
        <v>94</v>
      </c>
      <c r="F1578" s="0" t="n">
        <f aca="false">IF(C1578&gt;1,IF(C1578&lt;99,VLOOKUP(C1578,'Babblefish-APUMA'!$A$1:$B$86,2),C1578),C1578)</f>
        <v>90</v>
      </c>
    </row>
    <row r="1579" customFormat="false" ht="12.75" hidden="false" customHeight="false" outlineLevel="0" collapsed="false">
      <c r="A1579" s="0" t="n">
        <f aca="false">B1579*1000+C1579</f>
        <v>29062</v>
      </c>
      <c r="B1579" s="0" t="n">
        <v>29</v>
      </c>
      <c r="C1579" s="0" t="n">
        <v>62</v>
      </c>
      <c r="D1579" s="0" t="n">
        <v>0</v>
      </c>
      <c r="E1579" s="0" t="n">
        <f aca="false">VLOOKUP(B1579,'Babblefish-APUMA'!$A$1:$B$86,2)</f>
        <v>94</v>
      </c>
      <c r="F1579" s="0" t="n">
        <f aca="false">IF(C1579&gt;1,IF(C1579&lt;99,VLOOKUP(C1579,'Babblefish-APUMA'!$A$1:$B$86,2),C1579),C1579)</f>
        <v>90</v>
      </c>
    </row>
    <row r="1580" customFormat="false" ht="12.75" hidden="false" customHeight="false" outlineLevel="0" collapsed="false">
      <c r="A1580" s="0" t="n">
        <f aca="false">B1580*1000+C1580</f>
        <v>29064</v>
      </c>
      <c r="B1580" s="0" t="n">
        <v>29</v>
      </c>
      <c r="C1580" s="0" t="n">
        <v>64</v>
      </c>
      <c r="D1580" s="0" t="n">
        <v>0</v>
      </c>
      <c r="E1580" s="0" t="n">
        <f aca="false">VLOOKUP(B1580,'Babblefish-APUMA'!$A$1:$B$86,2)</f>
        <v>94</v>
      </c>
      <c r="F1580" s="0" t="n">
        <f aca="false">IF(C1580&gt;1,IF(C1580&lt;99,VLOOKUP(C1580,'Babblefish-APUMA'!$A$1:$B$86,2),C1580),C1580)</f>
        <v>90</v>
      </c>
    </row>
    <row r="1581" customFormat="false" ht="12.75" hidden="false" customHeight="false" outlineLevel="0" collapsed="false">
      <c r="A1581" s="0" t="n">
        <f aca="false">B1581*1000+C1581</f>
        <v>29065</v>
      </c>
      <c r="B1581" s="0" t="n">
        <v>29</v>
      </c>
      <c r="C1581" s="0" t="n">
        <v>65</v>
      </c>
      <c r="D1581" s="0" t="n">
        <v>182</v>
      </c>
      <c r="E1581" s="0" t="n">
        <f aca="false">VLOOKUP(B1581,'Babblefish-APUMA'!$A$1:$B$86,2)</f>
        <v>94</v>
      </c>
      <c r="F1581" s="0" t="n">
        <f aca="false">IF(C1581&gt;1,IF(C1581&lt;99,VLOOKUP(C1581,'Babblefish-APUMA'!$A$1:$B$86,2),C1581),C1581)</f>
        <v>90</v>
      </c>
    </row>
    <row r="1582" customFormat="false" ht="12.75" hidden="false" customHeight="false" outlineLevel="0" collapsed="false">
      <c r="A1582" s="0" t="n">
        <f aca="false">B1582*1000+C1582</f>
        <v>29066</v>
      </c>
      <c r="B1582" s="0" t="n">
        <v>29</v>
      </c>
      <c r="C1582" s="0" t="n">
        <v>66</v>
      </c>
      <c r="D1582" s="0" t="n">
        <v>0</v>
      </c>
      <c r="E1582" s="0" t="n">
        <f aca="false">VLOOKUP(B1582,'Babblefish-APUMA'!$A$1:$B$86,2)</f>
        <v>94</v>
      </c>
      <c r="F1582" s="0" t="n">
        <f aca="false">IF(C1582&gt;1,IF(C1582&lt;99,VLOOKUP(C1582,'Babblefish-APUMA'!$A$1:$B$86,2),C1582),C1582)</f>
        <v>90</v>
      </c>
    </row>
    <row r="1583" customFormat="false" ht="12.75" hidden="false" customHeight="false" outlineLevel="0" collapsed="false">
      <c r="A1583" s="0" t="n">
        <f aca="false">B1583*1000+C1583</f>
        <v>29067</v>
      </c>
      <c r="B1583" s="0" t="n">
        <v>29</v>
      </c>
      <c r="C1583" s="0" t="n">
        <v>67</v>
      </c>
      <c r="D1583" s="0" t="n">
        <v>0</v>
      </c>
      <c r="E1583" s="0" t="n">
        <f aca="false">VLOOKUP(B1583,'Babblefish-APUMA'!$A$1:$B$86,2)</f>
        <v>94</v>
      </c>
      <c r="F1583" s="0" t="n">
        <f aca="false">IF(C1583&gt;1,IF(C1583&lt;99,VLOOKUP(C1583,'Babblefish-APUMA'!$A$1:$B$86,2),C1583),C1583)</f>
        <v>103</v>
      </c>
    </row>
    <row r="1584" customFormat="false" ht="12.75" hidden="false" customHeight="false" outlineLevel="0" collapsed="false">
      <c r="A1584" s="0" t="n">
        <f aca="false">B1584*1000+C1584</f>
        <v>29069</v>
      </c>
      <c r="B1584" s="0" t="n">
        <v>29</v>
      </c>
      <c r="C1584" s="0" t="n">
        <v>69</v>
      </c>
      <c r="D1584" s="0" t="n">
        <v>0</v>
      </c>
      <c r="E1584" s="0" t="n">
        <f aca="false">VLOOKUP(B1584,'Babblefish-APUMA'!$A$1:$B$86,2)</f>
        <v>94</v>
      </c>
      <c r="F1584" s="0" t="n">
        <f aca="false">IF(C1584&gt;1,IF(C1584&lt;99,VLOOKUP(C1584,'Babblefish-APUMA'!$A$1:$B$86,2),C1584),C1584)</f>
        <v>93</v>
      </c>
    </row>
    <row r="1585" customFormat="false" ht="12.75" hidden="false" customHeight="false" outlineLevel="0" collapsed="false">
      <c r="A1585" s="0" t="n">
        <f aca="false">B1585*1000+C1585</f>
        <v>29071</v>
      </c>
      <c r="B1585" s="0" t="n">
        <v>29</v>
      </c>
      <c r="C1585" s="0" t="n">
        <v>71</v>
      </c>
      <c r="D1585" s="0" t="n">
        <v>0</v>
      </c>
      <c r="E1585" s="0" t="n">
        <f aca="false">VLOOKUP(B1585,'Babblefish-APUMA'!$A$1:$B$86,2)</f>
        <v>94</v>
      </c>
      <c r="F1585" s="0" t="n">
        <f aca="false">IF(C1585&gt;1,IF(C1585&lt;99,VLOOKUP(C1585,'Babblefish-APUMA'!$A$1:$B$86,2),C1585),C1585)</f>
        <v>95</v>
      </c>
    </row>
    <row r="1586" customFormat="false" ht="12.75" hidden="false" customHeight="false" outlineLevel="0" collapsed="false">
      <c r="A1586" s="0" t="n">
        <f aca="false">B1586*1000+C1586</f>
        <v>29072</v>
      </c>
      <c r="B1586" s="0" t="n">
        <v>29</v>
      </c>
      <c r="C1586" s="0" t="n">
        <v>72</v>
      </c>
      <c r="D1586" s="0" t="n">
        <v>0</v>
      </c>
      <c r="E1586" s="0" t="n">
        <f aca="false">VLOOKUP(B1586,'Babblefish-APUMA'!$A$1:$B$86,2)</f>
        <v>94</v>
      </c>
      <c r="F1586" s="0" t="n">
        <f aca="false">IF(C1586&gt;1,IF(C1586&lt;99,VLOOKUP(C1586,'Babblefish-APUMA'!$A$1:$B$86,2),C1586),C1586)</f>
        <v>95</v>
      </c>
    </row>
    <row r="1587" customFormat="false" ht="12.75" hidden="false" customHeight="false" outlineLevel="0" collapsed="false">
      <c r="A1587" s="0" t="n">
        <f aca="false">B1587*1000+C1587</f>
        <v>29073</v>
      </c>
      <c r="B1587" s="0" t="n">
        <v>29</v>
      </c>
      <c r="C1587" s="0" t="n">
        <v>73</v>
      </c>
      <c r="D1587" s="0" t="n">
        <v>182</v>
      </c>
      <c r="E1587" s="0" t="n">
        <f aca="false">VLOOKUP(B1587,'Babblefish-APUMA'!$A$1:$B$86,2)</f>
        <v>94</v>
      </c>
      <c r="F1587" s="0" t="n">
        <f aca="false">IF(C1587&gt;1,IF(C1587&lt;99,VLOOKUP(C1587,'Babblefish-APUMA'!$A$1:$B$86,2),C1587),C1587)</f>
        <v>99</v>
      </c>
    </row>
    <row r="1588" customFormat="false" ht="12.75" hidden="false" customHeight="false" outlineLevel="0" collapsed="false">
      <c r="A1588" s="0" t="n">
        <f aca="false">B1588*1000+C1588</f>
        <v>29075</v>
      </c>
      <c r="B1588" s="0" t="n">
        <v>29</v>
      </c>
      <c r="C1588" s="0" t="n">
        <v>75</v>
      </c>
      <c r="D1588" s="0" t="n">
        <v>0</v>
      </c>
      <c r="E1588" s="0" t="n">
        <f aca="false">VLOOKUP(B1588,'Babblefish-APUMA'!$A$1:$B$86,2)</f>
        <v>94</v>
      </c>
      <c r="F1588" s="0" t="n">
        <f aca="false">IF(C1588&gt;1,IF(C1588&lt;99,VLOOKUP(C1588,'Babblefish-APUMA'!$A$1:$B$86,2),C1588),C1588)</f>
        <v>75</v>
      </c>
    </row>
    <row r="1589" customFormat="false" ht="12.75" hidden="false" customHeight="false" outlineLevel="0" collapsed="false">
      <c r="A1589" s="0" t="n">
        <f aca="false">B1589*1000+C1589</f>
        <v>29076</v>
      </c>
      <c r="B1589" s="0" t="n">
        <v>29</v>
      </c>
      <c r="C1589" s="0" t="n">
        <v>76</v>
      </c>
      <c r="D1589" s="0" t="n">
        <v>0</v>
      </c>
      <c r="E1589" s="0" t="n">
        <f aca="false">VLOOKUP(B1589,'Babblefish-APUMA'!$A$1:$B$86,2)</f>
        <v>94</v>
      </c>
      <c r="F1589" s="0" t="n">
        <f aca="false">IF(C1589&gt;1,IF(C1589&lt;99,VLOOKUP(C1589,'Babblefish-APUMA'!$A$1:$B$86,2),C1589),C1589)</f>
        <v>76</v>
      </c>
    </row>
    <row r="1590" customFormat="false" ht="12.75" hidden="false" customHeight="false" outlineLevel="0" collapsed="false">
      <c r="A1590" s="0" t="n">
        <f aca="false">B1590*1000+C1590</f>
        <v>29077</v>
      </c>
      <c r="B1590" s="0" t="n">
        <v>29</v>
      </c>
      <c r="C1590" s="0" t="n">
        <v>77</v>
      </c>
      <c r="D1590" s="0" t="n">
        <v>0</v>
      </c>
      <c r="E1590" s="0" t="n">
        <f aca="false">VLOOKUP(B1590,'Babblefish-APUMA'!$A$1:$B$86,2)</f>
        <v>94</v>
      </c>
      <c r="F1590" s="0" t="n">
        <f aca="false">IF(C1590&gt;1,IF(C1590&lt;99,VLOOKUP(C1590,'Babblefish-APUMA'!$A$1:$B$86,2),C1590),C1590)</f>
        <v>77</v>
      </c>
    </row>
    <row r="1591" customFormat="false" ht="12.75" hidden="false" customHeight="false" outlineLevel="0" collapsed="false">
      <c r="A1591" s="0" t="n">
        <f aca="false">B1591*1000+C1591</f>
        <v>29079</v>
      </c>
      <c r="B1591" s="0" t="n">
        <v>29</v>
      </c>
      <c r="C1591" s="0" t="n">
        <v>79</v>
      </c>
      <c r="D1591" s="0" t="n">
        <v>0</v>
      </c>
      <c r="E1591" s="0" t="n">
        <f aca="false">VLOOKUP(B1591,'Babblefish-APUMA'!$A$1:$B$86,2)</f>
        <v>94</v>
      </c>
      <c r="F1591" s="0" t="n">
        <f aca="false">IF(C1591&gt;1,IF(C1591&lt;99,VLOOKUP(C1591,'Babblefish-APUMA'!$A$1:$B$86,2),C1591),C1591)</f>
        <v>89</v>
      </c>
    </row>
    <row r="1592" customFormat="false" ht="12.75" hidden="false" customHeight="false" outlineLevel="0" collapsed="false">
      <c r="A1592" s="0" t="n">
        <f aca="false">B1592*1000+C1592</f>
        <v>29080</v>
      </c>
      <c r="B1592" s="0" t="n">
        <v>29</v>
      </c>
      <c r="C1592" s="0" t="n">
        <v>80</v>
      </c>
      <c r="D1592" s="0" t="n">
        <v>52</v>
      </c>
      <c r="E1592" s="0" t="n">
        <f aca="false">VLOOKUP(B1592,'Babblefish-APUMA'!$A$1:$B$86,2)</f>
        <v>94</v>
      </c>
      <c r="F1592" s="0" t="n">
        <f aca="false">IF(C1592&gt;1,IF(C1592&lt;99,VLOOKUP(C1592,'Babblefish-APUMA'!$A$1:$B$86,2),C1592),C1592)</f>
        <v>80</v>
      </c>
    </row>
    <row r="1593" customFormat="false" ht="12.75" hidden="false" customHeight="false" outlineLevel="0" collapsed="false">
      <c r="A1593" s="0" t="n">
        <f aca="false">B1593*1000+C1593</f>
        <v>29082</v>
      </c>
      <c r="B1593" s="0" t="n">
        <v>29</v>
      </c>
      <c r="C1593" s="0" t="n">
        <v>82</v>
      </c>
      <c r="D1593" s="0" t="n">
        <v>130</v>
      </c>
      <c r="E1593" s="0" t="n">
        <f aca="false">VLOOKUP(B1593,'Babblefish-APUMA'!$A$1:$B$86,2)</f>
        <v>94</v>
      </c>
      <c r="F1593" s="0" t="n">
        <f aca="false">IF(C1593&gt;1,IF(C1593&lt;99,VLOOKUP(C1593,'Babblefish-APUMA'!$A$1:$B$86,2),C1593),C1593)</f>
        <v>95</v>
      </c>
    </row>
    <row r="1594" customFormat="false" ht="12.75" hidden="false" customHeight="false" outlineLevel="0" collapsed="false">
      <c r="A1594" s="0" t="n">
        <f aca="false">B1594*1000+C1594</f>
        <v>29085</v>
      </c>
      <c r="B1594" s="0" t="n">
        <v>29</v>
      </c>
      <c r="C1594" s="0" t="n">
        <v>85</v>
      </c>
      <c r="D1594" s="0" t="n">
        <v>1898</v>
      </c>
      <c r="E1594" s="0" t="n">
        <f aca="false">VLOOKUP(B1594,'Babblefish-APUMA'!$A$1:$B$86,2)</f>
        <v>94</v>
      </c>
      <c r="F1594" s="0" t="n">
        <f aca="false">IF(C1594&gt;1,IF(C1594&lt;99,VLOOKUP(C1594,'Babblefish-APUMA'!$A$1:$B$86,2),C1594),C1594)</f>
        <v>97</v>
      </c>
    </row>
    <row r="1595" customFormat="false" ht="12.75" hidden="false" customHeight="false" outlineLevel="0" collapsed="false">
      <c r="A1595" s="0" t="n">
        <f aca="false">B1595*1000+C1595</f>
        <v>29858</v>
      </c>
      <c r="B1595" s="0" t="n">
        <v>29</v>
      </c>
      <c r="C1595" s="0" t="n">
        <v>858</v>
      </c>
      <c r="D1595" s="0" t="n">
        <v>0</v>
      </c>
      <c r="E1595" s="0" t="n">
        <f aca="false">VLOOKUP(B1595,'Babblefish-APUMA'!$A$1:$B$86,2)</f>
        <v>94</v>
      </c>
      <c r="F1595" s="0" t="n">
        <f aca="false">IF(C1595&gt;1,IF(C1595&lt;99,VLOOKUP(C1595,'Babblefish-APUMA'!$A$1:$B$86,2),C1595),C1595)</f>
        <v>858</v>
      </c>
    </row>
    <row r="1596" customFormat="false" ht="12.75" hidden="false" customHeight="false" outlineLevel="0" collapsed="false">
      <c r="A1596" s="0" t="n">
        <f aca="false">B1596*1000+C1596</f>
        <v>29999</v>
      </c>
      <c r="B1596" s="0" t="n">
        <v>29</v>
      </c>
      <c r="C1596" s="0" t="n">
        <v>999</v>
      </c>
      <c r="D1596" s="0" t="n">
        <v>130</v>
      </c>
      <c r="E1596" s="0" t="n">
        <f aca="false">VLOOKUP(B1596,'Babblefish-APUMA'!$A$1:$B$86,2)</f>
        <v>94</v>
      </c>
      <c r="F1596" s="0" t="n">
        <f aca="false">IF(C1596&gt;1,IF(C1596&lt;99,VLOOKUP(C1596,'Babblefish-APUMA'!$A$1:$B$86,2),C1596),C1596)</f>
        <v>999</v>
      </c>
    </row>
    <row r="1597" customFormat="false" ht="12.75" hidden="false" customHeight="false" outlineLevel="0" collapsed="false">
      <c r="A1597" s="0" t="n">
        <f aca="false">B1597*1000+C1597</f>
        <v>30000</v>
      </c>
      <c r="B1597" s="0" t="n">
        <v>30</v>
      </c>
      <c r="C1597" s="0" t="n">
        <v>0</v>
      </c>
      <c r="D1597" s="0" t="n">
        <v>108225</v>
      </c>
      <c r="E1597" s="0" t="n">
        <f aca="false">VLOOKUP(B1597,'Babblefish-APUMA'!$A$1:$B$86,2)</f>
        <v>30</v>
      </c>
      <c r="F1597" s="0" t="n">
        <f aca="false">IF(C1597&gt;1,IF(C1597&lt;99,VLOOKUP(C1597,'Babblefish-APUMA'!$A$1:$B$86,2),C1597),C1597)</f>
        <v>0</v>
      </c>
    </row>
    <row r="1598" customFormat="false" ht="12.75" hidden="false" customHeight="false" outlineLevel="0" collapsed="false">
      <c r="A1598" s="0" t="n">
        <f aca="false">B1598*1000+C1598</f>
        <v>30001</v>
      </c>
      <c r="B1598" s="0" t="n">
        <v>30</v>
      </c>
      <c r="C1598" s="0" t="n">
        <v>1</v>
      </c>
      <c r="D1598" s="0" t="n">
        <v>0</v>
      </c>
      <c r="E1598" s="0" t="n">
        <f aca="false">VLOOKUP(B1598,'Babblefish-APUMA'!$A$1:$B$86,2)</f>
        <v>30</v>
      </c>
      <c r="F1598" s="0" t="n">
        <f aca="false">IF(C1598&gt;1,IF(C1598&lt;99,VLOOKUP(C1598,'Babblefish-APUMA'!$A$1:$B$86,2),C1598),C1598)</f>
        <v>1</v>
      </c>
    </row>
    <row r="1599" customFormat="false" ht="12.75" hidden="false" customHeight="false" outlineLevel="0" collapsed="false">
      <c r="A1599" s="0" t="n">
        <f aca="false">B1599*1000+C1599</f>
        <v>30002</v>
      </c>
      <c r="B1599" s="0" t="n">
        <v>30</v>
      </c>
      <c r="C1599" s="0" t="n">
        <v>2</v>
      </c>
      <c r="D1599" s="0" t="n">
        <v>0</v>
      </c>
      <c r="E1599" s="0" t="n">
        <f aca="false">VLOOKUP(B1599,'Babblefish-APUMA'!$A$1:$B$86,2)</f>
        <v>30</v>
      </c>
      <c r="F1599" s="0" t="n">
        <f aca="false">IF(C1599&gt;1,IF(C1599&lt;99,VLOOKUP(C1599,'Babblefish-APUMA'!$A$1:$B$86,2),C1599),C1599)</f>
        <v>2</v>
      </c>
    </row>
    <row r="1600" customFormat="false" ht="12.75" hidden="false" customHeight="false" outlineLevel="0" collapsed="false">
      <c r="A1600" s="0" t="n">
        <f aca="false">B1600*1000+C1600</f>
        <v>30003</v>
      </c>
      <c r="B1600" s="0" t="n">
        <v>30</v>
      </c>
      <c r="C1600" s="0" t="n">
        <v>3</v>
      </c>
      <c r="D1600" s="0" t="n">
        <v>0</v>
      </c>
      <c r="E1600" s="0" t="n">
        <f aca="false">VLOOKUP(B1600,'Babblefish-APUMA'!$A$1:$B$86,2)</f>
        <v>30</v>
      </c>
      <c r="F1600" s="0" t="n">
        <f aca="false">IF(C1600&gt;1,IF(C1600&lt;99,VLOOKUP(C1600,'Babblefish-APUMA'!$A$1:$B$86,2),C1600),C1600)</f>
        <v>3</v>
      </c>
    </row>
    <row r="1601" customFormat="false" ht="12.75" hidden="false" customHeight="false" outlineLevel="0" collapsed="false">
      <c r="A1601" s="0" t="n">
        <f aca="false">B1601*1000+C1601</f>
        <v>30004</v>
      </c>
      <c r="B1601" s="0" t="n">
        <v>30</v>
      </c>
      <c r="C1601" s="0" t="n">
        <v>4</v>
      </c>
      <c r="D1601" s="0" t="n">
        <v>0</v>
      </c>
      <c r="E1601" s="0" t="n">
        <f aca="false">VLOOKUP(B1601,'Babblefish-APUMA'!$A$1:$B$86,2)</f>
        <v>30</v>
      </c>
      <c r="F1601" s="0" t="n">
        <f aca="false">IF(C1601&gt;1,IF(C1601&lt;99,VLOOKUP(C1601,'Babblefish-APUMA'!$A$1:$B$86,2),C1601),C1601)</f>
        <v>4</v>
      </c>
    </row>
    <row r="1602" customFormat="false" ht="12.75" hidden="false" customHeight="false" outlineLevel="0" collapsed="false">
      <c r="A1602" s="0" t="n">
        <f aca="false">B1602*1000+C1602</f>
        <v>30005</v>
      </c>
      <c r="B1602" s="0" t="n">
        <v>30</v>
      </c>
      <c r="C1602" s="0" t="n">
        <v>5</v>
      </c>
      <c r="D1602" s="0" t="n">
        <v>0</v>
      </c>
      <c r="E1602" s="0" t="n">
        <f aca="false">VLOOKUP(B1602,'Babblefish-APUMA'!$A$1:$B$86,2)</f>
        <v>30</v>
      </c>
      <c r="F1602" s="0" t="n">
        <f aca="false">IF(C1602&gt;1,IF(C1602&lt;99,VLOOKUP(C1602,'Babblefish-APUMA'!$A$1:$B$86,2),C1602),C1602)</f>
        <v>5</v>
      </c>
    </row>
    <row r="1603" customFormat="false" ht="12.75" hidden="false" customHeight="false" outlineLevel="0" collapsed="false">
      <c r="A1603" s="0" t="n">
        <f aca="false">B1603*1000+C1603</f>
        <v>30006</v>
      </c>
      <c r="B1603" s="0" t="n">
        <v>30</v>
      </c>
      <c r="C1603" s="0" t="n">
        <v>6</v>
      </c>
      <c r="D1603" s="0" t="n">
        <v>0</v>
      </c>
      <c r="E1603" s="0" t="n">
        <f aca="false">VLOOKUP(B1603,'Babblefish-APUMA'!$A$1:$B$86,2)</f>
        <v>30</v>
      </c>
      <c r="F1603" s="0" t="n">
        <f aca="false">IF(C1603&gt;1,IF(C1603&lt;99,VLOOKUP(C1603,'Babblefish-APUMA'!$A$1:$B$86,2),C1603),C1603)</f>
        <v>6</v>
      </c>
    </row>
    <row r="1604" customFormat="false" ht="12.75" hidden="false" customHeight="false" outlineLevel="0" collapsed="false">
      <c r="A1604" s="0" t="n">
        <f aca="false">B1604*1000+C1604</f>
        <v>30007</v>
      </c>
      <c r="B1604" s="0" t="n">
        <v>30</v>
      </c>
      <c r="C1604" s="0" t="n">
        <v>7</v>
      </c>
      <c r="D1604" s="0" t="n">
        <v>0</v>
      </c>
      <c r="E1604" s="0" t="n">
        <f aca="false">VLOOKUP(B1604,'Babblefish-APUMA'!$A$1:$B$86,2)</f>
        <v>30</v>
      </c>
      <c r="F1604" s="0" t="n">
        <f aca="false">IF(C1604&gt;1,IF(C1604&lt;99,VLOOKUP(C1604,'Babblefish-APUMA'!$A$1:$B$86,2),C1604),C1604)</f>
        <v>7</v>
      </c>
    </row>
    <row r="1605" customFormat="false" ht="12.75" hidden="false" customHeight="false" outlineLevel="0" collapsed="false">
      <c r="A1605" s="0" t="n">
        <f aca="false">B1605*1000+C1605</f>
        <v>30008</v>
      </c>
      <c r="B1605" s="0" t="n">
        <v>30</v>
      </c>
      <c r="C1605" s="0" t="n">
        <v>8</v>
      </c>
      <c r="D1605" s="0" t="n">
        <v>0</v>
      </c>
      <c r="E1605" s="0" t="n">
        <f aca="false">VLOOKUP(B1605,'Babblefish-APUMA'!$A$1:$B$86,2)</f>
        <v>30</v>
      </c>
      <c r="F1605" s="0" t="n">
        <f aca="false">IF(C1605&gt;1,IF(C1605&lt;99,VLOOKUP(C1605,'Babblefish-APUMA'!$A$1:$B$86,2),C1605),C1605)</f>
        <v>8</v>
      </c>
    </row>
    <row r="1606" customFormat="false" ht="12.75" hidden="false" customHeight="false" outlineLevel="0" collapsed="false">
      <c r="A1606" s="0" t="n">
        <f aca="false">B1606*1000+C1606</f>
        <v>30009</v>
      </c>
      <c r="B1606" s="0" t="n">
        <v>30</v>
      </c>
      <c r="C1606" s="0" t="n">
        <v>9</v>
      </c>
      <c r="D1606" s="0" t="n">
        <v>0</v>
      </c>
      <c r="E1606" s="0" t="n">
        <f aca="false">VLOOKUP(B1606,'Babblefish-APUMA'!$A$1:$B$86,2)</f>
        <v>30</v>
      </c>
      <c r="F1606" s="0" t="n">
        <f aca="false">IF(C1606&gt;1,IF(C1606&lt;99,VLOOKUP(C1606,'Babblefish-APUMA'!$A$1:$B$86,2),C1606),C1606)</f>
        <v>9</v>
      </c>
    </row>
    <row r="1607" customFormat="false" ht="12.75" hidden="false" customHeight="false" outlineLevel="0" collapsed="false">
      <c r="A1607" s="0" t="n">
        <f aca="false">B1607*1000+C1607</f>
        <v>30010</v>
      </c>
      <c r="B1607" s="0" t="n">
        <v>30</v>
      </c>
      <c r="C1607" s="0" t="n">
        <v>10</v>
      </c>
      <c r="D1607" s="0" t="n">
        <v>0</v>
      </c>
      <c r="E1607" s="0" t="n">
        <f aca="false">VLOOKUP(B1607,'Babblefish-APUMA'!$A$1:$B$86,2)</f>
        <v>30</v>
      </c>
      <c r="F1607" s="0" t="n">
        <f aca="false">IF(C1607&gt;1,IF(C1607&lt;99,VLOOKUP(C1607,'Babblefish-APUMA'!$A$1:$B$86,2),C1607),C1607)</f>
        <v>10</v>
      </c>
    </row>
    <row r="1608" customFormat="false" ht="12.75" hidden="false" customHeight="false" outlineLevel="0" collapsed="false">
      <c r="A1608" s="0" t="n">
        <f aca="false">B1608*1000+C1608</f>
        <v>30011</v>
      </c>
      <c r="B1608" s="0" t="n">
        <v>30</v>
      </c>
      <c r="C1608" s="0" t="n">
        <v>11</v>
      </c>
      <c r="D1608" s="0" t="n">
        <v>0</v>
      </c>
      <c r="E1608" s="0" t="n">
        <f aca="false">VLOOKUP(B1608,'Babblefish-APUMA'!$A$1:$B$86,2)</f>
        <v>30</v>
      </c>
      <c r="F1608" s="0" t="n">
        <f aca="false">IF(C1608&gt;1,IF(C1608&lt;99,VLOOKUP(C1608,'Babblefish-APUMA'!$A$1:$B$86,2),C1608),C1608)</f>
        <v>11</v>
      </c>
    </row>
    <row r="1609" customFormat="false" ht="12.75" hidden="false" customHeight="false" outlineLevel="0" collapsed="false">
      <c r="A1609" s="0" t="n">
        <f aca="false">B1609*1000+C1609</f>
        <v>30012</v>
      </c>
      <c r="B1609" s="0" t="n">
        <v>30</v>
      </c>
      <c r="C1609" s="0" t="n">
        <v>12</v>
      </c>
      <c r="D1609" s="0" t="n">
        <v>0</v>
      </c>
      <c r="E1609" s="0" t="n">
        <f aca="false">VLOOKUP(B1609,'Babblefish-APUMA'!$A$1:$B$86,2)</f>
        <v>30</v>
      </c>
      <c r="F1609" s="0" t="n">
        <f aca="false">IF(C1609&gt;1,IF(C1609&lt;99,VLOOKUP(C1609,'Babblefish-APUMA'!$A$1:$B$86,2),C1609),C1609)</f>
        <v>12</v>
      </c>
    </row>
    <row r="1610" customFormat="false" ht="12.75" hidden="false" customHeight="false" outlineLevel="0" collapsed="false">
      <c r="A1610" s="0" t="n">
        <f aca="false">B1610*1000+C1610</f>
        <v>30013</v>
      </c>
      <c r="B1610" s="0" t="n">
        <v>30</v>
      </c>
      <c r="C1610" s="0" t="n">
        <v>13</v>
      </c>
      <c r="D1610" s="0" t="n">
        <v>0</v>
      </c>
      <c r="E1610" s="0" t="n">
        <f aca="false">VLOOKUP(B1610,'Babblefish-APUMA'!$A$1:$B$86,2)</f>
        <v>30</v>
      </c>
      <c r="F1610" s="0" t="n">
        <f aca="false">IF(C1610&gt;1,IF(C1610&lt;99,VLOOKUP(C1610,'Babblefish-APUMA'!$A$1:$B$86,2),C1610),C1610)</f>
        <v>100</v>
      </c>
    </row>
    <row r="1611" customFormat="false" ht="12.75" hidden="false" customHeight="false" outlineLevel="0" collapsed="false">
      <c r="A1611" s="0" t="n">
        <f aca="false">B1611*1000+C1611</f>
        <v>30014</v>
      </c>
      <c r="B1611" s="0" t="n">
        <v>30</v>
      </c>
      <c r="C1611" s="0" t="n">
        <v>14</v>
      </c>
      <c r="D1611" s="0" t="n">
        <v>0</v>
      </c>
      <c r="E1611" s="0" t="n">
        <f aca="false">VLOOKUP(B1611,'Babblefish-APUMA'!$A$1:$B$86,2)</f>
        <v>30</v>
      </c>
      <c r="F1611" s="0" t="n">
        <f aca="false">IF(C1611&gt;1,IF(C1611&lt;99,VLOOKUP(C1611,'Babblefish-APUMA'!$A$1:$B$86,2),C1611),C1611)</f>
        <v>100</v>
      </c>
    </row>
    <row r="1612" customFormat="false" ht="12.75" hidden="false" customHeight="false" outlineLevel="0" collapsed="false">
      <c r="A1612" s="0" t="n">
        <f aca="false">B1612*1000+C1612</f>
        <v>30015</v>
      </c>
      <c r="B1612" s="0" t="n">
        <v>30</v>
      </c>
      <c r="C1612" s="0" t="n">
        <v>15</v>
      </c>
      <c r="D1612" s="0" t="n">
        <v>0</v>
      </c>
      <c r="E1612" s="0" t="n">
        <f aca="false">VLOOKUP(B1612,'Babblefish-APUMA'!$A$1:$B$86,2)</f>
        <v>30</v>
      </c>
      <c r="F1612" s="0" t="n">
        <f aca="false">IF(C1612&gt;1,IF(C1612&lt;99,VLOOKUP(C1612,'Babblefish-APUMA'!$A$1:$B$86,2),C1612),C1612)</f>
        <v>15</v>
      </c>
    </row>
    <row r="1613" customFormat="false" ht="12.75" hidden="false" customHeight="false" outlineLevel="0" collapsed="false">
      <c r="A1613" s="0" t="n">
        <f aca="false">B1613*1000+C1613</f>
        <v>30016</v>
      </c>
      <c r="B1613" s="0" t="n">
        <v>30</v>
      </c>
      <c r="C1613" s="0" t="n">
        <v>16</v>
      </c>
      <c r="D1613" s="0" t="n">
        <v>0</v>
      </c>
      <c r="E1613" s="0" t="n">
        <f aca="false">VLOOKUP(B1613,'Babblefish-APUMA'!$A$1:$B$86,2)</f>
        <v>30</v>
      </c>
      <c r="F1613" s="0" t="n">
        <f aca="false">IF(C1613&gt;1,IF(C1613&lt;99,VLOOKUP(C1613,'Babblefish-APUMA'!$A$1:$B$86,2),C1613),C1613)</f>
        <v>99</v>
      </c>
    </row>
    <row r="1614" customFormat="false" ht="12.75" hidden="false" customHeight="false" outlineLevel="0" collapsed="false">
      <c r="A1614" s="0" t="n">
        <f aca="false">B1614*1000+C1614</f>
        <v>30017</v>
      </c>
      <c r="B1614" s="0" t="n">
        <v>30</v>
      </c>
      <c r="C1614" s="0" t="n">
        <v>17</v>
      </c>
      <c r="D1614" s="0" t="n">
        <v>0</v>
      </c>
      <c r="E1614" s="0" t="n">
        <f aca="false">VLOOKUP(B1614,'Babblefish-APUMA'!$A$1:$B$86,2)</f>
        <v>30</v>
      </c>
      <c r="F1614" s="0" t="n">
        <f aca="false">IF(C1614&gt;1,IF(C1614&lt;99,VLOOKUP(C1614,'Babblefish-APUMA'!$A$1:$B$86,2),C1614),C1614)</f>
        <v>87</v>
      </c>
    </row>
    <row r="1615" customFormat="false" ht="12.75" hidden="false" customHeight="false" outlineLevel="0" collapsed="false">
      <c r="A1615" s="0" t="n">
        <f aca="false">B1615*1000+C1615</f>
        <v>30018</v>
      </c>
      <c r="B1615" s="0" t="n">
        <v>30</v>
      </c>
      <c r="C1615" s="0" t="n">
        <v>18</v>
      </c>
      <c r="D1615" s="0" t="n">
        <v>0</v>
      </c>
      <c r="E1615" s="0" t="n">
        <f aca="false">VLOOKUP(B1615,'Babblefish-APUMA'!$A$1:$B$86,2)</f>
        <v>30</v>
      </c>
      <c r="F1615" s="0" t="n">
        <f aca="false">IF(C1615&gt;1,IF(C1615&lt;99,VLOOKUP(C1615,'Babblefish-APUMA'!$A$1:$B$86,2),C1615),C1615)</f>
        <v>87</v>
      </c>
    </row>
    <row r="1616" customFormat="false" ht="12.75" hidden="false" customHeight="false" outlineLevel="0" collapsed="false">
      <c r="A1616" s="0" t="n">
        <f aca="false">B1616*1000+C1616</f>
        <v>30019</v>
      </c>
      <c r="B1616" s="0" t="n">
        <v>30</v>
      </c>
      <c r="C1616" s="0" t="n">
        <v>19</v>
      </c>
      <c r="D1616" s="0" t="n">
        <v>182</v>
      </c>
      <c r="E1616" s="0" t="n">
        <f aca="false">VLOOKUP(B1616,'Babblefish-APUMA'!$A$1:$B$86,2)</f>
        <v>30</v>
      </c>
      <c r="F1616" s="0" t="n">
        <f aca="false">IF(C1616&gt;1,IF(C1616&lt;99,VLOOKUP(C1616,'Babblefish-APUMA'!$A$1:$B$86,2),C1616),C1616)</f>
        <v>19</v>
      </c>
    </row>
    <row r="1617" customFormat="false" ht="12.75" hidden="false" customHeight="false" outlineLevel="0" collapsed="false">
      <c r="A1617" s="0" t="n">
        <f aca="false">B1617*1000+C1617</f>
        <v>30020</v>
      </c>
      <c r="B1617" s="0" t="n">
        <v>30</v>
      </c>
      <c r="C1617" s="0" t="n">
        <v>20</v>
      </c>
      <c r="D1617" s="0" t="n">
        <v>0</v>
      </c>
      <c r="E1617" s="0" t="n">
        <f aca="false">VLOOKUP(B1617,'Babblefish-APUMA'!$A$1:$B$86,2)</f>
        <v>30</v>
      </c>
      <c r="F1617" s="0" t="n">
        <f aca="false">IF(C1617&gt;1,IF(C1617&lt;99,VLOOKUP(C1617,'Babblefish-APUMA'!$A$1:$B$86,2),C1617),C1617)</f>
        <v>86</v>
      </c>
    </row>
    <row r="1618" customFormat="false" ht="12.75" hidden="false" customHeight="false" outlineLevel="0" collapsed="false">
      <c r="A1618" s="0" t="n">
        <f aca="false">B1618*1000+C1618</f>
        <v>30021</v>
      </c>
      <c r="B1618" s="0" t="n">
        <v>30</v>
      </c>
      <c r="C1618" s="0" t="n">
        <v>21</v>
      </c>
      <c r="D1618" s="0" t="n">
        <v>52</v>
      </c>
      <c r="E1618" s="0" t="n">
        <f aca="false">VLOOKUP(B1618,'Babblefish-APUMA'!$A$1:$B$86,2)</f>
        <v>30</v>
      </c>
      <c r="F1618" s="0" t="n">
        <f aca="false">IF(C1618&gt;1,IF(C1618&lt;99,VLOOKUP(C1618,'Babblefish-APUMA'!$A$1:$B$86,2),C1618),C1618)</f>
        <v>86</v>
      </c>
    </row>
    <row r="1619" customFormat="false" ht="12.75" hidden="false" customHeight="false" outlineLevel="0" collapsed="false">
      <c r="A1619" s="0" t="n">
        <f aca="false">B1619*1000+C1619</f>
        <v>30022</v>
      </c>
      <c r="B1619" s="0" t="n">
        <v>30</v>
      </c>
      <c r="C1619" s="0" t="n">
        <v>22</v>
      </c>
      <c r="D1619" s="0" t="n">
        <v>0</v>
      </c>
      <c r="E1619" s="0" t="n">
        <f aca="false">VLOOKUP(B1619,'Babblefish-APUMA'!$A$1:$B$86,2)</f>
        <v>30</v>
      </c>
      <c r="F1619" s="0" t="n">
        <f aca="false">IF(C1619&gt;1,IF(C1619&lt;99,VLOOKUP(C1619,'Babblefish-APUMA'!$A$1:$B$86,2),C1619),C1619)</f>
        <v>22</v>
      </c>
    </row>
    <row r="1620" customFormat="false" ht="12.75" hidden="false" customHeight="false" outlineLevel="0" collapsed="false">
      <c r="A1620" s="0" t="n">
        <f aca="false">B1620*1000+C1620</f>
        <v>30023</v>
      </c>
      <c r="B1620" s="0" t="n">
        <v>30</v>
      </c>
      <c r="C1620" s="0" t="n">
        <v>23</v>
      </c>
      <c r="D1620" s="0" t="n">
        <v>117</v>
      </c>
      <c r="E1620" s="0" t="n">
        <f aca="false">VLOOKUP(B1620,'Babblefish-APUMA'!$A$1:$B$86,2)</f>
        <v>30</v>
      </c>
      <c r="F1620" s="0" t="n">
        <f aca="false">IF(C1620&gt;1,IF(C1620&lt;99,VLOOKUP(C1620,'Babblefish-APUMA'!$A$1:$B$86,2),C1620),C1620)</f>
        <v>97</v>
      </c>
    </row>
    <row r="1621" customFormat="false" ht="12.75" hidden="false" customHeight="false" outlineLevel="0" collapsed="false">
      <c r="A1621" s="0" t="n">
        <f aca="false">B1621*1000+C1621</f>
        <v>30024</v>
      </c>
      <c r="B1621" s="0" t="n">
        <v>30</v>
      </c>
      <c r="C1621" s="0" t="n">
        <v>24</v>
      </c>
      <c r="D1621" s="0" t="n">
        <v>1053</v>
      </c>
      <c r="E1621" s="0" t="n">
        <f aca="false">VLOOKUP(B1621,'Babblefish-APUMA'!$A$1:$B$86,2)</f>
        <v>30</v>
      </c>
      <c r="F1621" s="0" t="n">
        <f aca="false">IF(C1621&gt;1,IF(C1621&lt;99,VLOOKUP(C1621,'Babblefish-APUMA'!$A$1:$B$86,2),C1621),C1621)</f>
        <v>101</v>
      </c>
    </row>
    <row r="1622" customFormat="false" ht="12.75" hidden="false" customHeight="false" outlineLevel="0" collapsed="false">
      <c r="A1622" s="0" t="n">
        <f aca="false">B1622*1000+C1622</f>
        <v>30025</v>
      </c>
      <c r="B1622" s="0" t="n">
        <v>30</v>
      </c>
      <c r="C1622" s="0" t="n">
        <v>25</v>
      </c>
      <c r="D1622" s="0" t="n">
        <v>4095</v>
      </c>
      <c r="E1622" s="0" t="n">
        <f aca="false">VLOOKUP(B1622,'Babblefish-APUMA'!$A$1:$B$86,2)</f>
        <v>30</v>
      </c>
      <c r="F1622" s="0" t="n">
        <f aca="false">IF(C1622&gt;1,IF(C1622&lt;99,VLOOKUP(C1622,'Babblefish-APUMA'!$A$1:$B$86,2),C1622),C1622)</f>
        <v>101</v>
      </c>
    </row>
    <row r="1623" customFormat="false" ht="12.75" hidden="false" customHeight="false" outlineLevel="0" collapsed="false">
      <c r="A1623" s="0" t="n">
        <f aca="false">B1623*1000+C1623</f>
        <v>30026</v>
      </c>
      <c r="B1623" s="0" t="n">
        <v>30</v>
      </c>
      <c r="C1623" s="0" t="n">
        <v>26</v>
      </c>
      <c r="D1623" s="0" t="n">
        <v>0</v>
      </c>
      <c r="E1623" s="0" t="n">
        <f aca="false">VLOOKUP(B1623,'Babblefish-APUMA'!$A$1:$B$86,2)</f>
        <v>30</v>
      </c>
      <c r="F1623" s="0" t="n">
        <f aca="false">IF(C1623&gt;1,IF(C1623&lt;99,VLOOKUP(C1623,'Babblefish-APUMA'!$A$1:$B$86,2),C1623),C1623)</f>
        <v>26</v>
      </c>
    </row>
    <row r="1624" customFormat="false" ht="12.75" hidden="false" customHeight="false" outlineLevel="0" collapsed="false">
      <c r="A1624" s="0" t="n">
        <f aca="false">B1624*1000+C1624</f>
        <v>30027</v>
      </c>
      <c r="B1624" s="0" t="n">
        <v>30</v>
      </c>
      <c r="C1624" s="0" t="n">
        <v>27</v>
      </c>
      <c r="D1624" s="0" t="n">
        <v>1261</v>
      </c>
      <c r="E1624" s="0" t="n">
        <f aca="false">VLOOKUP(B1624,'Babblefish-APUMA'!$A$1:$B$86,2)</f>
        <v>30</v>
      </c>
      <c r="F1624" s="0" t="n">
        <f aca="false">IF(C1624&gt;1,IF(C1624&lt;99,VLOOKUP(C1624,'Babblefish-APUMA'!$A$1:$B$86,2),C1624),C1624)</f>
        <v>27</v>
      </c>
    </row>
    <row r="1625" customFormat="false" ht="12.75" hidden="false" customHeight="false" outlineLevel="0" collapsed="false">
      <c r="A1625" s="0" t="n">
        <f aca="false">B1625*1000+C1625</f>
        <v>30028</v>
      </c>
      <c r="B1625" s="0" t="n">
        <v>30</v>
      </c>
      <c r="C1625" s="0" t="n">
        <v>28</v>
      </c>
      <c r="D1625" s="0" t="n">
        <v>0</v>
      </c>
      <c r="E1625" s="0" t="n">
        <f aca="false">VLOOKUP(B1625,'Babblefish-APUMA'!$A$1:$B$86,2)</f>
        <v>30</v>
      </c>
      <c r="F1625" s="0" t="n">
        <f aca="false">IF(C1625&gt;1,IF(C1625&lt;99,VLOOKUP(C1625,'Babblefish-APUMA'!$A$1:$B$86,2),C1625),C1625)</f>
        <v>94</v>
      </c>
    </row>
    <row r="1626" customFormat="false" ht="12.75" hidden="false" customHeight="false" outlineLevel="0" collapsed="false">
      <c r="A1626" s="0" t="n">
        <f aca="false">B1626*1000+C1626</f>
        <v>30029</v>
      </c>
      <c r="B1626" s="0" t="n">
        <v>30</v>
      </c>
      <c r="C1626" s="0" t="n">
        <v>29</v>
      </c>
      <c r="D1626" s="0" t="n">
        <v>0</v>
      </c>
      <c r="E1626" s="0" t="n">
        <f aca="false">VLOOKUP(B1626,'Babblefish-APUMA'!$A$1:$B$86,2)</f>
        <v>30</v>
      </c>
      <c r="F1626" s="0" t="n">
        <f aca="false">IF(C1626&gt;1,IF(C1626&lt;99,VLOOKUP(C1626,'Babblefish-APUMA'!$A$1:$B$86,2),C1626),C1626)</f>
        <v>94</v>
      </c>
    </row>
    <row r="1627" customFormat="false" ht="12.75" hidden="false" customHeight="false" outlineLevel="0" collapsed="false">
      <c r="A1627" s="0" t="n">
        <f aca="false">B1627*1000+C1627</f>
        <v>30030</v>
      </c>
      <c r="B1627" s="0" t="n">
        <v>30</v>
      </c>
      <c r="C1627" s="0" t="n">
        <v>30</v>
      </c>
      <c r="D1627" s="0" t="n">
        <v>59956</v>
      </c>
      <c r="E1627" s="0" t="n">
        <f aca="false">VLOOKUP(B1627,'Babblefish-APUMA'!$A$1:$B$86,2)</f>
        <v>30</v>
      </c>
      <c r="F1627" s="0" t="n">
        <f aca="false">IF(C1627&gt;1,IF(C1627&lt;99,VLOOKUP(C1627,'Babblefish-APUMA'!$A$1:$B$86,2),C1627),C1627)</f>
        <v>30</v>
      </c>
    </row>
    <row r="1628" customFormat="false" ht="12.75" hidden="false" customHeight="false" outlineLevel="0" collapsed="false">
      <c r="A1628" s="0" t="n">
        <f aca="false">B1628*1000+C1628</f>
        <v>30031</v>
      </c>
      <c r="B1628" s="0" t="n">
        <v>30</v>
      </c>
      <c r="C1628" s="0" t="n">
        <v>31</v>
      </c>
      <c r="D1628" s="0" t="n">
        <v>195</v>
      </c>
      <c r="E1628" s="0" t="n">
        <f aca="false">VLOOKUP(B1628,'Babblefish-APUMA'!$A$1:$B$86,2)</f>
        <v>30</v>
      </c>
      <c r="F1628" s="0" t="n">
        <f aca="false">IF(C1628&gt;1,IF(C1628&lt;99,VLOOKUP(C1628,'Babblefish-APUMA'!$A$1:$B$86,2),C1628),C1628)</f>
        <v>31</v>
      </c>
    </row>
    <row r="1629" customFormat="false" ht="12.75" hidden="false" customHeight="false" outlineLevel="0" collapsed="false">
      <c r="A1629" s="0" t="n">
        <f aca="false">B1629*1000+C1629</f>
        <v>30032</v>
      </c>
      <c r="B1629" s="0" t="n">
        <v>30</v>
      </c>
      <c r="C1629" s="0" t="n">
        <v>32</v>
      </c>
      <c r="D1629" s="0" t="n">
        <v>0</v>
      </c>
      <c r="E1629" s="0" t="n">
        <f aca="false">VLOOKUP(B1629,'Babblefish-APUMA'!$A$1:$B$86,2)</f>
        <v>30</v>
      </c>
      <c r="F1629" s="0" t="n">
        <f aca="false">IF(C1629&gt;1,IF(C1629&lt;99,VLOOKUP(C1629,'Babblefish-APUMA'!$A$1:$B$86,2),C1629),C1629)</f>
        <v>32</v>
      </c>
    </row>
    <row r="1630" customFormat="false" ht="12.75" hidden="false" customHeight="false" outlineLevel="0" collapsed="false">
      <c r="A1630" s="0" t="n">
        <f aca="false">B1630*1000+C1630</f>
        <v>30033</v>
      </c>
      <c r="B1630" s="0" t="n">
        <v>30</v>
      </c>
      <c r="C1630" s="0" t="n">
        <v>33</v>
      </c>
      <c r="D1630" s="0" t="n">
        <v>0</v>
      </c>
      <c r="E1630" s="0" t="n">
        <f aca="false">VLOOKUP(B1630,'Babblefish-APUMA'!$A$1:$B$86,2)</f>
        <v>30</v>
      </c>
      <c r="F1630" s="0" t="n">
        <f aca="false">IF(C1630&gt;1,IF(C1630&lt;99,VLOOKUP(C1630,'Babblefish-APUMA'!$A$1:$B$86,2),C1630),C1630)</f>
        <v>96</v>
      </c>
    </row>
    <row r="1631" customFormat="false" ht="12.75" hidden="false" customHeight="false" outlineLevel="0" collapsed="false">
      <c r="A1631" s="0" t="n">
        <f aca="false">B1631*1000+C1631</f>
        <v>30034</v>
      </c>
      <c r="B1631" s="0" t="n">
        <v>30</v>
      </c>
      <c r="C1631" s="0" t="n">
        <v>34</v>
      </c>
      <c r="D1631" s="0" t="n">
        <v>0</v>
      </c>
      <c r="E1631" s="0" t="n">
        <f aca="false">VLOOKUP(B1631,'Babblefish-APUMA'!$A$1:$B$86,2)</f>
        <v>30</v>
      </c>
      <c r="F1631" s="0" t="n">
        <f aca="false">IF(C1631&gt;1,IF(C1631&lt;99,VLOOKUP(C1631,'Babblefish-APUMA'!$A$1:$B$86,2),C1631),C1631)</f>
        <v>96</v>
      </c>
    </row>
    <row r="1632" customFormat="false" ht="12.75" hidden="false" customHeight="false" outlineLevel="0" collapsed="false">
      <c r="A1632" s="0" t="n">
        <f aca="false">B1632*1000+C1632</f>
        <v>30035</v>
      </c>
      <c r="B1632" s="0" t="n">
        <v>30</v>
      </c>
      <c r="C1632" s="0" t="n">
        <v>35</v>
      </c>
      <c r="D1632" s="0" t="n">
        <v>0</v>
      </c>
      <c r="E1632" s="0" t="n">
        <f aca="false">VLOOKUP(B1632,'Babblefish-APUMA'!$A$1:$B$86,2)</f>
        <v>30</v>
      </c>
      <c r="F1632" s="0" t="n">
        <f aca="false">IF(C1632&gt;1,IF(C1632&lt;99,VLOOKUP(C1632,'Babblefish-APUMA'!$A$1:$B$86,2),C1632),C1632)</f>
        <v>96</v>
      </c>
    </row>
    <row r="1633" customFormat="false" ht="12.75" hidden="false" customHeight="false" outlineLevel="0" collapsed="false">
      <c r="A1633" s="0" t="n">
        <f aca="false">B1633*1000+C1633</f>
        <v>30037</v>
      </c>
      <c r="B1633" s="0" t="n">
        <v>30</v>
      </c>
      <c r="C1633" s="0" t="n">
        <v>37</v>
      </c>
      <c r="D1633" s="0" t="n">
        <v>0</v>
      </c>
      <c r="E1633" s="0" t="n">
        <f aca="false">VLOOKUP(B1633,'Babblefish-APUMA'!$A$1:$B$86,2)</f>
        <v>30</v>
      </c>
      <c r="F1633" s="0" t="n">
        <f aca="false">IF(C1633&gt;1,IF(C1633&lt;99,VLOOKUP(C1633,'Babblefish-APUMA'!$A$1:$B$86,2),C1633),C1633)</f>
        <v>96</v>
      </c>
    </row>
    <row r="1634" customFormat="false" ht="12.75" hidden="false" customHeight="false" outlineLevel="0" collapsed="false">
      <c r="A1634" s="0" t="n">
        <f aca="false">B1634*1000+C1634</f>
        <v>30038</v>
      </c>
      <c r="B1634" s="0" t="n">
        <v>30</v>
      </c>
      <c r="C1634" s="0" t="n">
        <v>38</v>
      </c>
      <c r="D1634" s="0" t="n">
        <v>0</v>
      </c>
      <c r="E1634" s="0" t="n">
        <f aca="false">VLOOKUP(B1634,'Babblefish-APUMA'!$A$1:$B$86,2)</f>
        <v>30</v>
      </c>
      <c r="F1634" s="0" t="n">
        <f aca="false">IF(C1634&gt;1,IF(C1634&lt;99,VLOOKUP(C1634,'Babblefish-APUMA'!$A$1:$B$86,2),C1634),C1634)</f>
        <v>91</v>
      </c>
    </row>
    <row r="1635" customFormat="false" ht="12.75" hidden="false" customHeight="false" outlineLevel="0" collapsed="false">
      <c r="A1635" s="0" t="n">
        <f aca="false">B1635*1000+C1635</f>
        <v>30039</v>
      </c>
      <c r="B1635" s="0" t="n">
        <v>30</v>
      </c>
      <c r="C1635" s="0" t="n">
        <v>39</v>
      </c>
      <c r="D1635" s="0" t="n">
        <v>0</v>
      </c>
      <c r="E1635" s="0" t="n">
        <f aca="false">VLOOKUP(B1635,'Babblefish-APUMA'!$A$1:$B$86,2)</f>
        <v>30</v>
      </c>
      <c r="F1635" s="0" t="n">
        <f aca="false">IF(C1635&gt;1,IF(C1635&lt;99,VLOOKUP(C1635,'Babblefish-APUMA'!$A$1:$B$86,2),C1635),C1635)</f>
        <v>91</v>
      </c>
    </row>
    <row r="1636" customFormat="false" ht="12.75" hidden="false" customHeight="false" outlineLevel="0" collapsed="false">
      <c r="A1636" s="0" t="n">
        <f aca="false">B1636*1000+C1636</f>
        <v>30040</v>
      </c>
      <c r="B1636" s="0" t="n">
        <v>30</v>
      </c>
      <c r="C1636" s="0" t="n">
        <v>40</v>
      </c>
      <c r="D1636" s="0" t="n">
        <v>286</v>
      </c>
      <c r="E1636" s="0" t="n">
        <f aca="false">VLOOKUP(B1636,'Babblefish-APUMA'!$A$1:$B$86,2)</f>
        <v>30</v>
      </c>
      <c r="F1636" s="0" t="n">
        <f aca="false">IF(C1636&gt;1,IF(C1636&lt;99,VLOOKUP(C1636,'Babblefish-APUMA'!$A$1:$B$86,2),C1636),C1636)</f>
        <v>88</v>
      </c>
    </row>
    <row r="1637" customFormat="false" ht="12.75" hidden="false" customHeight="false" outlineLevel="0" collapsed="false">
      <c r="A1637" s="0" t="n">
        <f aca="false">B1637*1000+C1637</f>
        <v>30041</v>
      </c>
      <c r="B1637" s="0" t="n">
        <v>30</v>
      </c>
      <c r="C1637" s="0" t="n">
        <v>41</v>
      </c>
      <c r="D1637" s="0" t="n">
        <v>286</v>
      </c>
      <c r="E1637" s="0" t="n">
        <f aca="false">VLOOKUP(B1637,'Babblefish-APUMA'!$A$1:$B$86,2)</f>
        <v>30</v>
      </c>
      <c r="F1637" s="0" t="n">
        <f aca="false">IF(C1637&gt;1,IF(C1637&lt;99,VLOOKUP(C1637,'Babblefish-APUMA'!$A$1:$B$86,2),C1637),C1637)</f>
        <v>88</v>
      </c>
    </row>
    <row r="1638" customFormat="false" ht="12.75" hidden="false" customHeight="false" outlineLevel="0" collapsed="false">
      <c r="A1638" s="0" t="n">
        <f aca="false">B1638*1000+C1638</f>
        <v>30042</v>
      </c>
      <c r="B1638" s="0" t="n">
        <v>30</v>
      </c>
      <c r="C1638" s="0" t="n">
        <v>42</v>
      </c>
      <c r="D1638" s="0" t="n">
        <v>0</v>
      </c>
      <c r="E1638" s="0" t="n">
        <f aca="false">VLOOKUP(B1638,'Babblefish-APUMA'!$A$1:$B$86,2)</f>
        <v>30</v>
      </c>
      <c r="F1638" s="0" t="n">
        <f aca="false">IF(C1638&gt;1,IF(C1638&lt;99,VLOOKUP(C1638,'Babblefish-APUMA'!$A$1:$B$86,2),C1638),C1638)</f>
        <v>92</v>
      </c>
    </row>
    <row r="1639" customFormat="false" ht="12.75" hidden="false" customHeight="false" outlineLevel="0" collapsed="false">
      <c r="A1639" s="0" t="n">
        <f aca="false">B1639*1000+C1639</f>
        <v>30043</v>
      </c>
      <c r="B1639" s="0" t="n">
        <v>30</v>
      </c>
      <c r="C1639" s="0" t="n">
        <v>43</v>
      </c>
      <c r="D1639" s="0" t="n">
        <v>0</v>
      </c>
      <c r="E1639" s="0" t="n">
        <f aca="false">VLOOKUP(B1639,'Babblefish-APUMA'!$A$1:$B$86,2)</f>
        <v>30</v>
      </c>
      <c r="F1639" s="0" t="n">
        <f aca="false">IF(C1639&gt;1,IF(C1639&lt;99,VLOOKUP(C1639,'Babblefish-APUMA'!$A$1:$B$86,2),C1639),C1639)</f>
        <v>92</v>
      </c>
    </row>
    <row r="1640" customFormat="false" ht="12.75" hidden="false" customHeight="false" outlineLevel="0" collapsed="false">
      <c r="A1640" s="0" t="n">
        <f aca="false">B1640*1000+C1640</f>
        <v>30046</v>
      </c>
      <c r="B1640" s="0" t="n">
        <v>30</v>
      </c>
      <c r="C1640" s="0" t="n">
        <v>46</v>
      </c>
      <c r="D1640" s="0" t="n">
        <v>0</v>
      </c>
      <c r="E1640" s="0" t="n">
        <f aca="false">VLOOKUP(B1640,'Babblefish-APUMA'!$A$1:$B$86,2)</f>
        <v>30</v>
      </c>
      <c r="F1640" s="0" t="n">
        <f aca="false">IF(C1640&gt;1,IF(C1640&lt;99,VLOOKUP(C1640,'Babblefish-APUMA'!$A$1:$B$86,2),C1640),C1640)</f>
        <v>92</v>
      </c>
    </row>
    <row r="1641" customFormat="false" ht="12.75" hidden="false" customHeight="false" outlineLevel="0" collapsed="false">
      <c r="A1641" s="0" t="n">
        <f aca="false">B1641*1000+C1641</f>
        <v>30048</v>
      </c>
      <c r="B1641" s="0" t="n">
        <v>30</v>
      </c>
      <c r="C1641" s="0" t="n">
        <v>48</v>
      </c>
      <c r="D1641" s="0" t="n">
        <v>0</v>
      </c>
      <c r="E1641" s="0" t="n">
        <f aca="false">VLOOKUP(B1641,'Babblefish-APUMA'!$A$1:$B$86,2)</f>
        <v>30</v>
      </c>
      <c r="F1641" s="0" t="n">
        <f aca="false">IF(C1641&gt;1,IF(C1641&lt;99,VLOOKUP(C1641,'Babblefish-APUMA'!$A$1:$B$86,2),C1641),C1641)</f>
        <v>92</v>
      </c>
    </row>
    <row r="1642" customFormat="false" ht="12.75" hidden="false" customHeight="false" outlineLevel="0" collapsed="false">
      <c r="A1642" s="0" t="n">
        <f aca="false">B1642*1000+C1642</f>
        <v>30049</v>
      </c>
      <c r="B1642" s="0" t="n">
        <v>30</v>
      </c>
      <c r="C1642" s="0" t="n">
        <v>49</v>
      </c>
      <c r="D1642" s="0" t="n">
        <v>559</v>
      </c>
      <c r="E1642" s="0" t="n">
        <f aca="false">VLOOKUP(B1642,'Babblefish-APUMA'!$A$1:$B$86,2)</f>
        <v>30</v>
      </c>
      <c r="F1642" s="0" t="n">
        <f aca="false">IF(C1642&gt;1,IF(C1642&lt;99,VLOOKUP(C1642,'Babblefish-APUMA'!$A$1:$B$86,2),C1642),C1642)</f>
        <v>98</v>
      </c>
    </row>
    <row r="1643" customFormat="false" ht="12.75" hidden="false" customHeight="false" outlineLevel="0" collapsed="false">
      <c r="A1643" s="0" t="n">
        <f aca="false">B1643*1000+C1643</f>
        <v>30050</v>
      </c>
      <c r="B1643" s="0" t="n">
        <v>30</v>
      </c>
      <c r="C1643" s="0" t="n">
        <v>50</v>
      </c>
      <c r="D1643" s="0" t="n">
        <v>0</v>
      </c>
      <c r="E1643" s="0" t="n">
        <f aca="false">VLOOKUP(B1643,'Babblefish-APUMA'!$A$1:$B$86,2)</f>
        <v>30</v>
      </c>
      <c r="F1643" s="0" t="n">
        <f aca="false">IF(C1643&gt;1,IF(C1643&lt;99,VLOOKUP(C1643,'Babblefish-APUMA'!$A$1:$B$86,2),C1643),C1643)</f>
        <v>98</v>
      </c>
    </row>
    <row r="1644" customFormat="false" ht="12.75" hidden="false" customHeight="false" outlineLevel="0" collapsed="false">
      <c r="A1644" s="0" t="n">
        <f aca="false">B1644*1000+C1644</f>
        <v>30051</v>
      </c>
      <c r="B1644" s="0" t="n">
        <v>30</v>
      </c>
      <c r="C1644" s="0" t="n">
        <v>51</v>
      </c>
      <c r="D1644" s="0" t="n">
        <v>390</v>
      </c>
      <c r="E1644" s="0" t="n">
        <f aca="false">VLOOKUP(B1644,'Babblefish-APUMA'!$A$1:$B$86,2)</f>
        <v>30</v>
      </c>
      <c r="F1644" s="0" t="n">
        <f aca="false">IF(C1644&gt;1,IF(C1644&lt;99,VLOOKUP(C1644,'Babblefish-APUMA'!$A$1:$B$86,2),C1644),C1644)</f>
        <v>98</v>
      </c>
    </row>
    <row r="1645" customFormat="false" ht="12.75" hidden="false" customHeight="false" outlineLevel="0" collapsed="false">
      <c r="A1645" s="0" t="n">
        <f aca="false">B1645*1000+C1645</f>
        <v>30052</v>
      </c>
      <c r="B1645" s="0" t="n">
        <v>30</v>
      </c>
      <c r="C1645" s="0" t="n">
        <v>52</v>
      </c>
      <c r="D1645" s="0" t="n">
        <v>0</v>
      </c>
      <c r="E1645" s="0" t="n">
        <f aca="false">VLOOKUP(B1645,'Babblefish-APUMA'!$A$1:$B$86,2)</f>
        <v>30</v>
      </c>
      <c r="F1645" s="0" t="n">
        <f aca="false">IF(C1645&gt;1,IF(C1645&lt;99,VLOOKUP(C1645,'Babblefish-APUMA'!$A$1:$B$86,2),C1645),C1645)</f>
        <v>90</v>
      </c>
    </row>
    <row r="1646" customFormat="false" ht="12.75" hidden="false" customHeight="false" outlineLevel="0" collapsed="false">
      <c r="A1646" s="0" t="n">
        <f aca="false">B1646*1000+C1646</f>
        <v>30053</v>
      </c>
      <c r="B1646" s="0" t="n">
        <v>30</v>
      </c>
      <c r="C1646" s="0" t="n">
        <v>53</v>
      </c>
      <c r="D1646" s="0" t="n">
        <v>0</v>
      </c>
      <c r="E1646" s="0" t="n">
        <f aca="false">VLOOKUP(B1646,'Babblefish-APUMA'!$A$1:$B$86,2)</f>
        <v>30</v>
      </c>
      <c r="F1646" s="0" t="n">
        <f aca="false">IF(C1646&gt;1,IF(C1646&lt;99,VLOOKUP(C1646,'Babblefish-APUMA'!$A$1:$B$86,2),C1646),C1646)</f>
        <v>90</v>
      </c>
    </row>
    <row r="1647" customFormat="false" ht="12.75" hidden="false" customHeight="false" outlineLevel="0" collapsed="false">
      <c r="A1647" s="0" t="n">
        <f aca="false">B1647*1000+C1647</f>
        <v>30054</v>
      </c>
      <c r="B1647" s="0" t="n">
        <v>30</v>
      </c>
      <c r="C1647" s="0" t="n">
        <v>54</v>
      </c>
      <c r="D1647" s="0" t="n">
        <v>0</v>
      </c>
      <c r="E1647" s="0" t="n">
        <f aca="false">VLOOKUP(B1647,'Babblefish-APUMA'!$A$1:$B$86,2)</f>
        <v>30</v>
      </c>
      <c r="F1647" s="0" t="n">
        <f aca="false">IF(C1647&gt;1,IF(C1647&lt;99,VLOOKUP(C1647,'Babblefish-APUMA'!$A$1:$B$86,2),C1647),C1647)</f>
        <v>90</v>
      </c>
    </row>
    <row r="1648" customFormat="false" ht="12.75" hidden="false" customHeight="false" outlineLevel="0" collapsed="false">
      <c r="A1648" s="0" t="n">
        <f aca="false">B1648*1000+C1648</f>
        <v>30055</v>
      </c>
      <c r="B1648" s="0" t="n">
        <v>30</v>
      </c>
      <c r="C1648" s="0" t="n">
        <v>55</v>
      </c>
      <c r="D1648" s="0" t="n">
        <v>0</v>
      </c>
      <c r="E1648" s="0" t="n">
        <f aca="false">VLOOKUP(B1648,'Babblefish-APUMA'!$A$1:$B$86,2)</f>
        <v>30</v>
      </c>
      <c r="F1648" s="0" t="n">
        <f aca="false">IF(C1648&gt;1,IF(C1648&lt;99,VLOOKUP(C1648,'Babblefish-APUMA'!$A$1:$B$86,2),C1648),C1648)</f>
        <v>90</v>
      </c>
    </row>
    <row r="1649" customFormat="false" ht="12.75" hidden="false" customHeight="false" outlineLevel="0" collapsed="false">
      <c r="A1649" s="0" t="n">
        <f aca="false">B1649*1000+C1649</f>
        <v>30056</v>
      </c>
      <c r="B1649" s="0" t="n">
        <v>30</v>
      </c>
      <c r="C1649" s="0" t="n">
        <v>56</v>
      </c>
      <c r="D1649" s="0" t="n">
        <v>0</v>
      </c>
      <c r="E1649" s="0" t="n">
        <f aca="false">VLOOKUP(B1649,'Babblefish-APUMA'!$A$1:$B$86,2)</f>
        <v>30</v>
      </c>
      <c r="F1649" s="0" t="n">
        <f aca="false">IF(C1649&gt;1,IF(C1649&lt;99,VLOOKUP(C1649,'Babblefish-APUMA'!$A$1:$B$86,2),C1649),C1649)</f>
        <v>90</v>
      </c>
    </row>
    <row r="1650" customFormat="false" ht="12.75" hidden="false" customHeight="false" outlineLevel="0" collapsed="false">
      <c r="A1650" s="0" t="n">
        <f aca="false">B1650*1000+C1650</f>
        <v>30057</v>
      </c>
      <c r="B1650" s="0" t="n">
        <v>30</v>
      </c>
      <c r="C1650" s="0" t="n">
        <v>57</v>
      </c>
      <c r="D1650" s="0" t="n">
        <v>0</v>
      </c>
      <c r="E1650" s="0" t="n">
        <f aca="false">VLOOKUP(B1650,'Babblefish-APUMA'!$A$1:$B$86,2)</f>
        <v>30</v>
      </c>
      <c r="F1650" s="0" t="n">
        <f aca="false">IF(C1650&gt;1,IF(C1650&lt;99,VLOOKUP(C1650,'Babblefish-APUMA'!$A$1:$B$86,2),C1650),C1650)</f>
        <v>90</v>
      </c>
    </row>
    <row r="1651" customFormat="false" ht="12.75" hidden="false" customHeight="false" outlineLevel="0" collapsed="false">
      <c r="A1651" s="0" t="n">
        <f aca="false">B1651*1000+C1651</f>
        <v>30059</v>
      </c>
      <c r="B1651" s="0" t="n">
        <v>30</v>
      </c>
      <c r="C1651" s="0" t="n">
        <v>59</v>
      </c>
      <c r="D1651" s="0" t="n">
        <v>0</v>
      </c>
      <c r="E1651" s="0" t="n">
        <f aca="false">VLOOKUP(B1651,'Babblefish-APUMA'!$A$1:$B$86,2)</f>
        <v>30</v>
      </c>
      <c r="F1651" s="0" t="n">
        <f aca="false">IF(C1651&gt;1,IF(C1651&lt;99,VLOOKUP(C1651,'Babblefish-APUMA'!$A$1:$B$86,2),C1651),C1651)</f>
        <v>90</v>
      </c>
    </row>
    <row r="1652" customFormat="false" ht="12.75" hidden="false" customHeight="false" outlineLevel="0" collapsed="false">
      <c r="A1652" s="0" t="n">
        <f aca="false">B1652*1000+C1652</f>
        <v>30060</v>
      </c>
      <c r="B1652" s="0" t="n">
        <v>30</v>
      </c>
      <c r="C1652" s="0" t="n">
        <v>60</v>
      </c>
      <c r="D1652" s="0" t="n">
        <v>0</v>
      </c>
      <c r="E1652" s="0" t="n">
        <f aca="false">VLOOKUP(B1652,'Babblefish-APUMA'!$A$1:$B$86,2)</f>
        <v>30</v>
      </c>
      <c r="F1652" s="0" t="n">
        <f aca="false">IF(C1652&gt;1,IF(C1652&lt;99,VLOOKUP(C1652,'Babblefish-APUMA'!$A$1:$B$86,2),C1652),C1652)</f>
        <v>90</v>
      </c>
    </row>
    <row r="1653" customFormat="false" ht="12.75" hidden="false" customHeight="false" outlineLevel="0" collapsed="false">
      <c r="A1653" s="0" t="n">
        <f aca="false">B1653*1000+C1653</f>
        <v>30062</v>
      </c>
      <c r="B1653" s="0" t="n">
        <v>30</v>
      </c>
      <c r="C1653" s="0" t="n">
        <v>62</v>
      </c>
      <c r="D1653" s="0" t="n">
        <v>0</v>
      </c>
      <c r="E1653" s="0" t="n">
        <f aca="false">VLOOKUP(B1653,'Babblefish-APUMA'!$A$1:$B$86,2)</f>
        <v>30</v>
      </c>
      <c r="F1653" s="0" t="n">
        <f aca="false">IF(C1653&gt;1,IF(C1653&lt;99,VLOOKUP(C1653,'Babblefish-APUMA'!$A$1:$B$86,2),C1653),C1653)</f>
        <v>90</v>
      </c>
    </row>
    <row r="1654" customFormat="false" ht="12.75" hidden="false" customHeight="false" outlineLevel="0" collapsed="false">
      <c r="A1654" s="0" t="n">
        <f aca="false">B1654*1000+C1654</f>
        <v>30064</v>
      </c>
      <c r="B1654" s="0" t="n">
        <v>30</v>
      </c>
      <c r="C1654" s="0" t="n">
        <v>64</v>
      </c>
      <c r="D1654" s="0" t="n">
        <v>0</v>
      </c>
      <c r="E1654" s="0" t="n">
        <f aca="false">VLOOKUP(B1654,'Babblefish-APUMA'!$A$1:$B$86,2)</f>
        <v>30</v>
      </c>
      <c r="F1654" s="0" t="n">
        <f aca="false">IF(C1654&gt;1,IF(C1654&lt;99,VLOOKUP(C1654,'Babblefish-APUMA'!$A$1:$B$86,2),C1654),C1654)</f>
        <v>90</v>
      </c>
    </row>
    <row r="1655" customFormat="false" ht="12.75" hidden="false" customHeight="false" outlineLevel="0" collapsed="false">
      <c r="A1655" s="0" t="n">
        <f aca="false">B1655*1000+C1655</f>
        <v>30065</v>
      </c>
      <c r="B1655" s="0" t="n">
        <v>30</v>
      </c>
      <c r="C1655" s="0" t="n">
        <v>65</v>
      </c>
      <c r="D1655" s="0" t="n">
        <v>0</v>
      </c>
      <c r="E1655" s="0" t="n">
        <f aca="false">VLOOKUP(B1655,'Babblefish-APUMA'!$A$1:$B$86,2)</f>
        <v>30</v>
      </c>
      <c r="F1655" s="0" t="n">
        <f aca="false">IF(C1655&gt;1,IF(C1655&lt;99,VLOOKUP(C1655,'Babblefish-APUMA'!$A$1:$B$86,2),C1655),C1655)</f>
        <v>90</v>
      </c>
    </row>
    <row r="1656" customFormat="false" ht="12.75" hidden="false" customHeight="false" outlineLevel="0" collapsed="false">
      <c r="A1656" s="0" t="n">
        <f aca="false">B1656*1000+C1656</f>
        <v>30066</v>
      </c>
      <c r="B1656" s="0" t="n">
        <v>30</v>
      </c>
      <c r="C1656" s="0" t="n">
        <v>66</v>
      </c>
      <c r="D1656" s="0" t="n">
        <v>0</v>
      </c>
      <c r="E1656" s="0" t="n">
        <f aca="false">VLOOKUP(B1656,'Babblefish-APUMA'!$A$1:$B$86,2)</f>
        <v>30</v>
      </c>
      <c r="F1656" s="0" t="n">
        <f aca="false">IF(C1656&gt;1,IF(C1656&lt;99,VLOOKUP(C1656,'Babblefish-APUMA'!$A$1:$B$86,2),C1656),C1656)</f>
        <v>90</v>
      </c>
    </row>
    <row r="1657" customFormat="false" ht="12.75" hidden="false" customHeight="false" outlineLevel="0" collapsed="false">
      <c r="A1657" s="0" t="n">
        <f aca="false">B1657*1000+C1657</f>
        <v>30067</v>
      </c>
      <c r="B1657" s="0" t="n">
        <v>30</v>
      </c>
      <c r="C1657" s="0" t="n">
        <v>67</v>
      </c>
      <c r="D1657" s="0" t="n">
        <v>0</v>
      </c>
      <c r="E1657" s="0" t="n">
        <f aca="false">VLOOKUP(B1657,'Babblefish-APUMA'!$A$1:$B$86,2)</f>
        <v>30</v>
      </c>
      <c r="F1657" s="0" t="n">
        <f aca="false">IF(C1657&gt;1,IF(C1657&lt;99,VLOOKUP(C1657,'Babblefish-APUMA'!$A$1:$B$86,2),C1657),C1657)</f>
        <v>103</v>
      </c>
    </row>
    <row r="1658" customFormat="false" ht="12.75" hidden="false" customHeight="false" outlineLevel="0" collapsed="false">
      <c r="A1658" s="0" t="n">
        <f aca="false">B1658*1000+C1658</f>
        <v>30069</v>
      </c>
      <c r="B1658" s="0" t="n">
        <v>30</v>
      </c>
      <c r="C1658" s="0" t="n">
        <v>69</v>
      </c>
      <c r="D1658" s="0" t="n">
        <v>0</v>
      </c>
      <c r="E1658" s="0" t="n">
        <f aca="false">VLOOKUP(B1658,'Babblefish-APUMA'!$A$1:$B$86,2)</f>
        <v>30</v>
      </c>
      <c r="F1658" s="0" t="n">
        <f aca="false">IF(C1658&gt;1,IF(C1658&lt;99,VLOOKUP(C1658,'Babblefish-APUMA'!$A$1:$B$86,2),C1658),C1658)</f>
        <v>93</v>
      </c>
    </row>
    <row r="1659" customFormat="false" ht="12.75" hidden="false" customHeight="false" outlineLevel="0" collapsed="false">
      <c r="A1659" s="0" t="n">
        <f aca="false">B1659*1000+C1659</f>
        <v>30071</v>
      </c>
      <c r="B1659" s="0" t="n">
        <v>30</v>
      </c>
      <c r="C1659" s="0" t="n">
        <v>71</v>
      </c>
      <c r="D1659" s="0" t="n">
        <v>0</v>
      </c>
      <c r="E1659" s="0" t="n">
        <f aca="false">VLOOKUP(B1659,'Babblefish-APUMA'!$A$1:$B$86,2)</f>
        <v>30</v>
      </c>
      <c r="F1659" s="0" t="n">
        <f aca="false">IF(C1659&gt;1,IF(C1659&lt;99,VLOOKUP(C1659,'Babblefish-APUMA'!$A$1:$B$86,2),C1659),C1659)</f>
        <v>95</v>
      </c>
    </row>
    <row r="1660" customFormat="false" ht="12.75" hidden="false" customHeight="false" outlineLevel="0" collapsed="false">
      <c r="A1660" s="0" t="n">
        <f aca="false">B1660*1000+C1660</f>
        <v>30072</v>
      </c>
      <c r="B1660" s="0" t="n">
        <v>30</v>
      </c>
      <c r="C1660" s="0" t="n">
        <v>72</v>
      </c>
      <c r="D1660" s="0" t="n">
        <v>0</v>
      </c>
      <c r="E1660" s="0" t="n">
        <f aca="false">VLOOKUP(B1660,'Babblefish-APUMA'!$A$1:$B$86,2)</f>
        <v>30</v>
      </c>
      <c r="F1660" s="0" t="n">
        <f aca="false">IF(C1660&gt;1,IF(C1660&lt;99,VLOOKUP(C1660,'Babblefish-APUMA'!$A$1:$B$86,2),C1660),C1660)</f>
        <v>95</v>
      </c>
    </row>
    <row r="1661" customFormat="false" ht="12.75" hidden="false" customHeight="false" outlineLevel="0" collapsed="false">
      <c r="A1661" s="0" t="n">
        <f aca="false">B1661*1000+C1661</f>
        <v>30073</v>
      </c>
      <c r="B1661" s="0" t="n">
        <v>30</v>
      </c>
      <c r="C1661" s="0" t="n">
        <v>73</v>
      </c>
      <c r="D1661" s="0" t="n">
        <v>0</v>
      </c>
      <c r="E1661" s="0" t="n">
        <f aca="false">VLOOKUP(B1661,'Babblefish-APUMA'!$A$1:$B$86,2)</f>
        <v>30</v>
      </c>
      <c r="F1661" s="0" t="n">
        <f aca="false">IF(C1661&gt;1,IF(C1661&lt;99,VLOOKUP(C1661,'Babblefish-APUMA'!$A$1:$B$86,2),C1661),C1661)</f>
        <v>99</v>
      </c>
    </row>
    <row r="1662" customFormat="false" ht="12.75" hidden="false" customHeight="false" outlineLevel="0" collapsed="false">
      <c r="A1662" s="0" t="n">
        <f aca="false">B1662*1000+C1662</f>
        <v>30075</v>
      </c>
      <c r="B1662" s="0" t="n">
        <v>30</v>
      </c>
      <c r="C1662" s="0" t="n">
        <v>75</v>
      </c>
      <c r="D1662" s="0" t="n">
        <v>0</v>
      </c>
      <c r="E1662" s="0" t="n">
        <f aca="false">VLOOKUP(B1662,'Babblefish-APUMA'!$A$1:$B$86,2)</f>
        <v>30</v>
      </c>
      <c r="F1662" s="0" t="n">
        <f aca="false">IF(C1662&gt;1,IF(C1662&lt;99,VLOOKUP(C1662,'Babblefish-APUMA'!$A$1:$B$86,2),C1662),C1662)</f>
        <v>75</v>
      </c>
    </row>
    <row r="1663" customFormat="false" ht="12.75" hidden="false" customHeight="false" outlineLevel="0" collapsed="false">
      <c r="A1663" s="0" t="n">
        <f aca="false">B1663*1000+C1663</f>
        <v>30076</v>
      </c>
      <c r="B1663" s="0" t="n">
        <v>30</v>
      </c>
      <c r="C1663" s="0" t="n">
        <v>76</v>
      </c>
      <c r="D1663" s="0" t="n">
        <v>0</v>
      </c>
      <c r="E1663" s="0" t="n">
        <f aca="false">VLOOKUP(B1663,'Babblefish-APUMA'!$A$1:$B$86,2)</f>
        <v>30</v>
      </c>
      <c r="F1663" s="0" t="n">
        <f aca="false">IF(C1663&gt;1,IF(C1663&lt;99,VLOOKUP(C1663,'Babblefish-APUMA'!$A$1:$B$86,2),C1663),C1663)</f>
        <v>76</v>
      </c>
    </row>
    <row r="1664" customFormat="false" ht="12.75" hidden="false" customHeight="false" outlineLevel="0" collapsed="false">
      <c r="A1664" s="0" t="n">
        <f aca="false">B1664*1000+C1664</f>
        <v>30077</v>
      </c>
      <c r="B1664" s="0" t="n">
        <v>30</v>
      </c>
      <c r="C1664" s="0" t="n">
        <v>77</v>
      </c>
      <c r="D1664" s="0" t="n">
        <v>0</v>
      </c>
      <c r="E1664" s="0" t="n">
        <f aca="false">VLOOKUP(B1664,'Babblefish-APUMA'!$A$1:$B$86,2)</f>
        <v>30</v>
      </c>
      <c r="F1664" s="0" t="n">
        <f aca="false">IF(C1664&gt;1,IF(C1664&lt;99,VLOOKUP(C1664,'Babblefish-APUMA'!$A$1:$B$86,2),C1664),C1664)</f>
        <v>77</v>
      </c>
    </row>
    <row r="1665" customFormat="false" ht="12.75" hidden="false" customHeight="false" outlineLevel="0" collapsed="false">
      <c r="A1665" s="0" t="n">
        <f aca="false">B1665*1000+C1665</f>
        <v>30079</v>
      </c>
      <c r="B1665" s="0" t="n">
        <v>30</v>
      </c>
      <c r="C1665" s="0" t="n">
        <v>79</v>
      </c>
      <c r="D1665" s="0" t="n">
        <v>0</v>
      </c>
      <c r="E1665" s="0" t="n">
        <f aca="false">VLOOKUP(B1665,'Babblefish-APUMA'!$A$1:$B$86,2)</f>
        <v>30</v>
      </c>
      <c r="F1665" s="0" t="n">
        <f aca="false">IF(C1665&gt;1,IF(C1665&lt;99,VLOOKUP(C1665,'Babblefish-APUMA'!$A$1:$B$86,2),C1665),C1665)</f>
        <v>89</v>
      </c>
    </row>
    <row r="1666" customFormat="false" ht="12.75" hidden="false" customHeight="false" outlineLevel="0" collapsed="false">
      <c r="A1666" s="0" t="n">
        <f aca="false">B1666*1000+C1666</f>
        <v>30080</v>
      </c>
      <c r="B1666" s="0" t="n">
        <v>30</v>
      </c>
      <c r="C1666" s="0" t="n">
        <v>80</v>
      </c>
      <c r="D1666" s="0" t="n">
        <v>0</v>
      </c>
      <c r="E1666" s="0" t="n">
        <f aca="false">VLOOKUP(B1666,'Babblefish-APUMA'!$A$1:$B$86,2)</f>
        <v>30</v>
      </c>
      <c r="F1666" s="0" t="n">
        <f aca="false">IF(C1666&gt;1,IF(C1666&lt;99,VLOOKUP(C1666,'Babblefish-APUMA'!$A$1:$B$86,2),C1666),C1666)</f>
        <v>80</v>
      </c>
    </row>
    <row r="1667" customFormat="false" ht="12.75" hidden="false" customHeight="false" outlineLevel="0" collapsed="false">
      <c r="A1667" s="0" t="n">
        <f aca="false">B1667*1000+C1667</f>
        <v>30082</v>
      </c>
      <c r="B1667" s="0" t="n">
        <v>30</v>
      </c>
      <c r="C1667" s="0" t="n">
        <v>82</v>
      </c>
      <c r="D1667" s="0" t="n">
        <v>0</v>
      </c>
      <c r="E1667" s="0" t="n">
        <f aca="false">VLOOKUP(B1667,'Babblefish-APUMA'!$A$1:$B$86,2)</f>
        <v>30</v>
      </c>
      <c r="F1667" s="0" t="n">
        <f aca="false">IF(C1667&gt;1,IF(C1667&lt;99,VLOOKUP(C1667,'Babblefish-APUMA'!$A$1:$B$86,2),C1667),C1667)</f>
        <v>95</v>
      </c>
    </row>
    <row r="1668" customFormat="false" ht="12.75" hidden="false" customHeight="false" outlineLevel="0" collapsed="false">
      <c r="A1668" s="0" t="n">
        <f aca="false">B1668*1000+C1668</f>
        <v>30085</v>
      </c>
      <c r="B1668" s="0" t="n">
        <v>30</v>
      </c>
      <c r="C1668" s="0" t="n">
        <v>85</v>
      </c>
      <c r="D1668" s="0" t="n">
        <v>0</v>
      </c>
      <c r="E1668" s="0" t="n">
        <f aca="false">VLOOKUP(B1668,'Babblefish-APUMA'!$A$1:$B$86,2)</f>
        <v>30</v>
      </c>
      <c r="F1668" s="0" t="n">
        <f aca="false">IF(C1668&gt;1,IF(C1668&lt;99,VLOOKUP(C1668,'Babblefish-APUMA'!$A$1:$B$86,2),C1668),C1668)</f>
        <v>97</v>
      </c>
    </row>
    <row r="1669" customFormat="false" ht="12.75" hidden="false" customHeight="false" outlineLevel="0" collapsed="false">
      <c r="A1669" s="0" t="n">
        <f aca="false">B1669*1000+C1669</f>
        <v>30858</v>
      </c>
      <c r="B1669" s="0" t="n">
        <v>30</v>
      </c>
      <c r="C1669" s="0" t="n">
        <v>858</v>
      </c>
      <c r="D1669" s="0" t="n">
        <v>0</v>
      </c>
      <c r="E1669" s="0" t="n">
        <f aca="false">VLOOKUP(B1669,'Babblefish-APUMA'!$A$1:$B$86,2)</f>
        <v>30</v>
      </c>
      <c r="F1669" s="0" t="n">
        <f aca="false">IF(C1669&gt;1,IF(C1669&lt;99,VLOOKUP(C1669,'Babblefish-APUMA'!$A$1:$B$86,2),C1669),C1669)</f>
        <v>858</v>
      </c>
    </row>
    <row r="1670" customFormat="false" ht="12.75" hidden="false" customHeight="false" outlineLevel="0" collapsed="false">
      <c r="A1670" s="0" t="n">
        <f aca="false">B1670*1000+C1670</f>
        <v>30999</v>
      </c>
      <c r="B1670" s="0" t="n">
        <v>30</v>
      </c>
      <c r="C1670" s="0" t="n">
        <v>999</v>
      </c>
      <c r="D1670" s="0" t="n">
        <v>0</v>
      </c>
      <c r="E1670" s="0" t="n">
        <f aca="false">VLOOKUP(B1670,'Babblefish-APUMA'!$A$1:$B$86,2)</f>
        <v>30</v>
      </c>
      <c r="F1670" s="0" t="n">
        <f aca="false">IF(C1670&gt;1,IF(C1670&lt;99,VLOOKUP(C1670,'Babblefish-APUMA'!$A$1:$B$86,2),C1670),C1670)</f>
        <v>999</v>
      </c>
    </row>
    <row r="1671" customFormat="false" ht="12.75" hidden="false" customHeight="false" outlineLevel="0" collapsed="false">
      <c r="A1671" s="0" t="n">
        <f aca="false">B1671*1000+C1671</f>
        <v>31000</v>
      </c>
      <c r="B1671" s="0" t="n">
        <v>31</v>
      </c>
      <c r="C1671" s="0" t="n">
        <v>0</v>
      </c>
      <c r="D1671" s="0" t="n">
        <v>63609</v>
      </c>
      <c r="E1671" s="0" t="n">
        <f aca="false">VLOOKUP(B1671,'Babblefish-APUMA'!$A$1:$B$86,2)</f>
        <v>31</v>
      </c>
      <c r="F1671" s="0" t="n">
        <f aca="false">IF(C1671&gt;1,IF(C1671&lt;99,VLOOKUP(C1671,'Babblefish-APUMA'!$A$1:$B$86,2),C1671),C1671)</f>
        <v>0</v>
      </c>
    </row>
    <row r="1672" customFormat="false" ht="12.75" hidden="false" customHeight="false" outlineLevel="0" collapsed="false">
      <c r="A1672" s="0" t="n">
        <f aca="false">B1672*1000+C1672</f>
        <v>31001</v>
      </c>
      <c r="B1672" s="0" t="n">
        <v>31</v>
      </c>
      <c r="C1672" s="0" t="n">
        <v>1</v>
      </c>
      <c r="D1672" s="0" t="n">
        <v>0</v>
      </c>
      <c r="E1672" s="0" t="n">
        <f aca="false">VLOOKUP(B1672,'Babblefish-APUMA'!$A$1:$B$86,2)</f>
        <v>31</v>
      </c>
      <c r="F1672" s="0" t="n">
        <f aca="false">IF(C1672&gt;1,IF(C1672&lt;99,VLOOKUP(C1672,'Babblefish-APUMA'!$A$1:$B$86,2),C1672),C1672)</f>
        <v>1</v>
      </c>
    </row>
    <row r="1673" customFormat="false" ht="12.75" hidden="false" customHeight="false" outlineLevel="0" collapsed="false">
      <c r="A1673" s="0" t="n">
        <f aca="false">B1673*1000+C1673</f>
        <v>31002</v>
      </c>
      <c r="B1673" s="0" t="n">
        <v>31</v>
      </c>
      <c r="C1673" s="0" t="n">
        <v>2</v>
      </c>
      <c r="D1673" s="0" t="n">
        <v>0</v>
      </c>
      <c r="E1673" s="0" t="n">
        <f aca="false">VLOOKUP(B1673,'Babblefish-APUMA'!$A$1:$B$86,2)</f>
        <v>31</v>
      </c>
      <c r="F1673" s="0" t="n">
        <f aca="false">IF(C1673&gt;1,IF(C1673&lt;99,VLOOKUP(C1673,'Babblefish-APUMA'!$A$1:$B$86,2),C1673),C1673)</f>
        <v>2</v>
      </c>
    </row>
    <row r="1674" customFormat="false" ht="12.75" hidden="false" customHeight="false" outlineLevel="0" collapsed="false">
      <c r="A1674" s="0" t="n">
        <f aca="false">B1674*1000+C1674</f>
        <v>31003</v>
      </c>
      <c r="B1674" s="0" t="n">
        <v>31</v>
      </c>
      <c r="C1674" s="0" t="n">
        <v>3</v>
      </c>
      <c r="D1674" s="0" t="n">
        <v>0</v>
      </c>
      <c r="E1674" s="0" t="n">
        <f aca="false">VLOOKUP(B1674,'Babblefish-APUMA'!$A$1:$B$86,2)</f>
        <v>31</v>
      </c>
      <c r="F1674" s="0" t="n">
        <f aca="false">IF(C1674&gt;1,IF(C1674&lt;99,VLOOKUP(C1674,'Babblefish-APUMA'!$A$1:$B$86,2),C1674),C1674)</f>
        <v>3</v>
      </c>
    </row>
    <row r="1675" customFormat="false" ht="12.75" hidden="false" customHeight="false" outlineLevel="0" collapsed="false">
      <c r="A1675" s="0" t="n">
        <f aca="false">B1675*1000+C1675</f>
        <v>31004</v>
      </c>
      <c r="B1675" s="0" t="n">
        <v>31</v>
      </c>
      <c r="C1675" s="0" t="n">
        <v>4</v>
      </c>
      <c r="D1675" s="0" t="n">
        <v>0</v>
      </c>
      <c r="E1675" s="0" t="n">
        <f aca="false">VLOOKUP(B1675,'Babblefish-APUMA'!$A$1:$B$86,2)</f>
        <v>31</v>
      </c>
      <c r="F1675" s="0" t="n">
        <f aca="false">IF(C1675&gt;1,IF(C1675&lt;99,VLOOKUP(C1675,'Babblefish-APUMA'!$A$1:$B$86,2),C1675),C1675)</f>
        <v>4</v>
      </c>
    </row>
    <row r="1676" customFormat="false" ht="12.75" hidden="false" customHeight="false" outlineLevel="0" collapsed="false">
      <c r="A1676" s="0" t="n">
        <f aca="false">B1676*1000+C1676</f>
        <v>31005</v>
      </c>
      <c r="B1676" s="0" t="n">
        <v>31</v>
      </c>
      <c r="C1676" s="0" t="n">
        <v>5</v>
      </c>
      <c r="D1676" s="0" t="n">
        <v>0</v>
      </c>
      <c r="E1676" s="0" t="n">
        <f aca="false">VLOOKUP(B1676,'Babblefish-APUMA'!$A$1:$B$86,2)</f>
        <v>31</v>
      </c>
      <c r="F1676" s="0" t="n">
        <f aca="false">IF(C1676&gt;1,IF(C1676&lt;99,VLOOKUP(C1676,'Babblefish-APUMA'!$A$1:$B$86,2),C1676),C1676)</f>
        <v>5</v>
      </c>
    </row>
    <row r="1677" customFormat="false" ht="12.75" hidden="false" customHeight="false" outlineLevel="0" collapsed="false">
      <c r="A1677" s="0" t="n">
        <f aca="false">B1677*1000+C1677</f>
        <v>31006</v>
      </c>
      <c r="B1677" s="0" t="n">
        <v>31</v>
      </c>
      <c r="C1677" s="0" t="n">
        <v>6</v>
      </c>
      <c r="D1677" s="0" t="n">
        <v>0</v>
      </c>
      <c r="E1677" s="0" t="n">
        <f aca="false">VLOOKUP(B1677,'Babblefish-APUMA'!$A$1:$B$86,2)</f>
        <v>31</v>
      </c>
      <c r="F1677" s="0" t="n">
        <f aca="false">IF(C1677&gt;1,IF(C1677&lt;99,VLOOKUP(C1677,'Babblefish-APUMA'!$A$1:$B$86,2),C1677),C1677)</f>
        <v>6</v>
      </c>
    </row>
    <row r="1678" customFormat="false" ht="12.75" hidden="false" customHeight="false" outlineLevel="0" collapsed="false">
      <c r="A1678" s="0" t="n">
        <f aca="false">B1678*1000+C1678</f>
        <v>31007</v>
      </c>
      <c r="B1678" s="0" t="n">
        <v>31</v>
      </c>
      <c r="C1678" s="0" t="n">
        <v>7</v>
      </c>
      <c r="D1678" s="0" t="n">
        <v>0</v>
      </c>
      <c r="E1678" s="0" t="n">
        <f aca="false">VLOOKUP(B1678,'Babblefish-APUMA'!$A$1:$B$86,2)</f>
        <v>31</v>
      </c>
      <c r="F1678" s="0" t="n">
        <f aca="false">IF(C1678&gt;1,IF(C1678&lt;99,VLOOKUP(C1678,'Babblefish-APUMA'!$A$1:$B$86,2),C1678),C1678)</f>
        <v>7</v>
      </c>
    </row>
    <row r="1679" customFormat="false" ht="12.75" hidden="false" customHeight="false" outlineLevel="0" collapsed="false">
      <c r="A1679" s="0" t="n">
        <f aca="false">B1679*1000+C1679</f>
        <v>31008</v>
      </c>
      <c r="B1679" s="0" t="n">
        <v>31</v>
      </c>
      <c r="C1679" s="0" t="n">
        <v>8</v>
      </c>
      <c r="D1679" s="0" t="n">
        <v>0</v>
      </c>
      <c r="E1679" s="0" t="n">
        <f aca="false">VLOOKUP(B1679,'Babblefish-APUMA'!$A$1:$B$86,2)</f>
        <v>31</v>
      </c>
      <c r="F1679" s="0" t="n">
        <f aca="false">IF(C1679&gt;1,IF(C1679&lt;99,VLOOKUP(C1679,'Babblefish-APUMA'!$A$1:$B$86,2),C1679),C1679)</f>
        <v>8</v>
      </c>
    </row>
    <row r="1680" customFormat="false" ht="12.75" hidden="false" customHeight="false" outlineLevel="0" collapsed="false">
      <c r="A1680" s="0" t="n">
        <f aca="false">B1680*1000+C1680</f>
        <v>31009</v>
      </c>
      <c r="B1680" s="0" t="n">
        <v>31</v>
      </c>
      <c r="C1680" s="0" t="n">
        <v>9</v>
      </c>
      <c r="D1680" s="0" t="n">
        <v>0</v>
      </c>
      <c r="E1680" s="0" t="n">
        <f aca="false">VLOOKUP(B1680,'Babblefish-APUMA'!$A$1:$B$86,2)</f>
        <v>31</v>
      </c>
      <c r="F1680" s="0" t="n">
        <f aca="false">IF(C1680&gt;1,IF(C1680&lt;99,VLOOKUP(C1680,'Babblefish-APUMA'!$A$1:$B$86,2),C1680),C1680)</f>
        <v>9</v>
      </c>
    </row>
    <row r="1681" customFormat="false" ht="12.75" hidden="false" customHeight="false" outlineLevel="0" collapsed="false">
      <c r="A1681" s="0" t="n">
        <f aca="false">B1681*1000+C1681</f>
        <v>31010</v>
      </c>
      <c r="B1681" s="0" t="n">
        <v>31</v>
      </c>
      <c r="C1681" s="0" t="n">
        <v>10</v>
      </c>
      <c r="D1681" s="0" t="n">
        <v>0</v>
      </c>
      <c r="E1681" s="0" t="n">
        <f aca="false">VLOOKUP(B1681,'Babblefish-APUMA'!$A$1:$B$86,2)</f>
        <v>31</v>
      </c>
      <c r="F1681" s="0" t="n">
        <f aca="false">IF(C1681&gt;1,IF(C1681&lt;99,VLOOKUP(C1681,'Babblefish-APUMA'!$A$1:$B$86,2),C1681),C1681)</f>
        <v>10</v>
      </c>
    </row>
    <row r="1682" customFormat="false" ht="12.75" hidden="false" customHeight="false" outlineLevel="0" collapsed="false">
      <c r="A1682" s="0" t="n">
        <f aca="false">B1682*1000+C1682</f>
        <v>31011</v>
      </c>
      <c r="B1682" s="0" t="n">
        <v>31</v>
      </c>
      <c r="C1682" s="0" t="n">
        <v>11</v>
      </c>
      <c r="D1682" s="0" t="n">
        <v>0</v>
      </c>
      <c r="E1682" s="0" t="n">
        <f aca="false">VLOOKUP(B1682,'Babblefish-APUMA'!$A$1:$B$86,2)</f>
        <v>31</v>
      </c>
      <c r="F1682" s="0" t="n">
        <f aca="false">IF(C1682&gt;1,IF(C1682&lt;99,VLOOKUP(C1682,'Babblefish-APUMA'!$A$1:$B$86,2),C1682),C1682)</f>
        <v>11</v>
      </c>
    </row>
    <row r="1683" customFormat="false" ht="12.75" hidden="false" customHeight="false" outlineLevel="0" collapsed="false">
      <c r="A1683" s="0" t="n">
        <f aca="false">B1683*1000+C1683</f>
        <v>31012</v>
      </c>
      <c r="B1683" s="0" t="n">
        <v>31</v>
      </c>
      <c r="C1683" s="0" t="n">
        <v>12</v>
      </c>
      <c r="D1683" s="0" t="n">
        <v>0</v>
      </c>
      <c r="E1683" s="0" t="n">
        <f aca="false">VLOOKUP(B1683,'Babblefish-APUMA'!$A$1:$B$86,2)</f>
        <v>31</v>
      </c>
      <c r="F1683" s="0" t="n">
        <f aca="false">IF(C1683&gt;1,IF(C1683&lt;99,VLOOKUP(C1683,'Babblefish-APUMA'!$A$1:$B$86,2),C1683),C1683)</f>
        <v>12</v>
      </c>
    </row>
    <row r="1684" customFormat="false" ht="12.75" hidden="false" customHeight="false" outlineLevel="0" collapsed="false">
      <c r="A1684" s="0" t="n">
        <f aca="false">B1684*1000+C1684</f>
        <v>31013</v>
      </c>
      <c r="B1684" s="0" t="n">
        <v>31</v>
      </c>
      <c r="C1684" s="0" t="n">
        <v>13</v>
      </c>
      <c r="D1684" s="0" t="n">
        <v>0</v>
      </c>
      <c r="E1684" s="0" t="n">
        <f aca="false">VLOOKUP(B1684,'Babblefish-APUMA'!$A$1:$B$86,2)</f>
        <v>31</v>
      </c>
      <c r="F1684" s="0" t="n">
        <f aca="false">IF(C1684&gt;1,IF(C1684&lt;99,VLOOKUP(C1684,'Babblefish-APUMA'!$A$1:$B$86,2),C1684),C1684)</f>
        <v>100</v>
      </c>
    </row>
    <row r="1685" customFormat="false" ht="12.75" hidden="false" customHeight="false" outlineLevel="0" collapsed="false">
      <c r="A1685" s="0" t="n">
        <f aca="false">B1685*1000+C1685</f>
        <v>31014</v>
      </c>
      <c r="B1685" s="0" t="n">
        <v>31</v>
      </c>
      <c r="C1685" s="0" t="n">
        <v>14</v>
      </c>
      <c r="D1685" s="0" t="n">
        <v>0</v>
      </c>
      <c r="E1685" s="0" t="n">
        <f aca="false">VLOOKUP(B1685,'Babblefish-APUMA'!$A$1:$B$86,2)</f>
        <v>31</v>
      </c>
      <c r="F1685" s="0" t="n">
        <f aca="false">IF(C1685&gt;1,IF(C1685&lt;99,VLOOKUP(C1685,'Babblefish-APUMA'!$A$1:$B$86,2),C1685),C1685)</f>
        <v>100</v>
      </c>
    </row>
    <row r="1686" customFormat="false" ht="12.75" hidden="false" customHeight="false" outlineLevel="0" collapsed="false">
      <c r="A1686" s="0" t="n">
        <f aca="false">B1686*1000+C1686</f>
        <v>31015</v>
      </c>
      <c r="B1686" s="0" t="n">
        <v>31</v>
      </c>
      <c r="C1686" s="0" t="n">
        <v>15</v>
      </c>
      <c r="D1686" s="0" t="n">
        <v>0</v>
      </c>
      <c r="E1686" s="0" t="n">
        <f aca="false">VLOOKUP(B1686,'Babblefish-APUMA'!$A$1:$B$86,2)</f>
        <v>31</v>
      </c>
      <c r="F1686" s="0" t="n">
        <f aca="false">IF(C1686&gt;1,IF(C1686&lt;99,VLOOKUP(C1686,'Babblefish-APUMA'!$A$1:$B$86,2),C1686),C1686)</f>
        <v>15</v>
      </c>
    </row>
    <row r="1687" customFormat="false" ht="12.75" hidden="false" customHeight="false" outlineLevel="0" collapsed="false">
      <c r="A1687" s="0" t="n">
        <f aca="false">B1687*1000+C1687</f>
        <v>31016</v>
      </c>
      <c r="B1687" s="0" t="n">
        <v>31</v>
      </c>
      <c r="C1687" s="0" t="n">
        <v>16</v>
      </c>
      <c r="D1687" s="0" t="n">
        <v>0</v>
      </c>
      <c r="E1687" s="0" t="n">
        <f aca="false">VLOOKUP(B1687,'Babblefish-APUMA'!$A$1:$B$86,2)</f>
        <v>31</v>
      </c>
      <c r="F1687" s="0" t="n">
        <f aca="false">IF(C1687&gt;1,IF(C1687&lt;99,VLOOKUP(C1687,'Babblefish-APUMA'!$A$1:$B$86,2),C1687),C1687)</f>
        <v>99</v>
      </c>
    </row>
    <row r="1688" customFormat="false" ht="12.75" hidden="false" customHeight="false" outlineLevel="0" collapsed="false">
      <c r="A1688" s="0" t="n">
        <f aca="false">B1688*1000+C1688</f>
        <v>31017</v>
      </c>
      <c r="B1688" s="0" t="n">
        <v>31</v>
      </c>
      <c r="C1688" s="0" t="n">
        <v>17</v>
      </c>
      <c r="D1688" s="0" t="n">
        <v>0</v>
      </c>
      <c r="E1688" s="0" t="n">
        <f aca="false">VLOOKUP(B1688,'Babblefish-APUMA'!$A$1:$B$86,2)</f>
        <v>31</v>
      </c>
      <c r="F1688" s="0" t="n">
        <f aca="false">IF(C1688&gt;1,IF(C1688&lt;99,VLOOKUP(C1688,'Babblefish-APUMA'!$A$1:$B$86,2),C1688),C1688)</f>
        <v>87</v>
      </c>
    </row>
    <row r="1689" customFormat="false" ht="12.75" hidden="false" customHeight="false" outlineLevel="0" collapsed="false">
      <c r="A1689" s="0" t="n">
        <f aca="false">B1689*1000+C1689</f>
        <v>31018</v>
      </c>
      <c r="B1689" s="0" t="n">
        <v>31</v>
      </c>
      <c r="C1689" s="0" t="n">
        <v>18</v>
      </c>
      <c r="D1689" s="0" t="n">
        <v>0</v>
      </c>
      <c r="E1689" s="0" t="n">
        <f aca="false">VLOOKUP(B1689,'Babblefish-APUMA'!$A$1:$B$86,2)</f>
        <v>31</v>
      </c>
      <c r="F1689" s="0" t="n">
        <f aca="false">IF(C1689&gt;1,IF(C1689&lt;99,VLOOKUP(C1689,'Babblefish-APUMA'!$A$1:$B$86,2),C1689),C1689)</f>
        <v>87</v>
      </c>
    </row>
    <row r="1690" customFormat="false" ht="12.75" hidden="false" customHeight="false" outlineLevel="0" collapsed="false">
      <c r="A1690" s="0" t="n">
        <f aca="false">B1690*1000+C1690</f>
        <v>31019</v>
      </c>
      <c r="B1690" s="0" t="n">
        <v>31</v>
      </c>
      <c r="C1690" s="0" t="n">
        <v>19</v>
      </c>
      <c r="D1690" s="0" t="n">
        <v>0</v>
      </c>
      <c r="E1690" s="0" t="n">
        <f aca="false">VLOOKUP(B1690,'Babblefish-APUMA'!$A$1:$B$86,2)</f>
        <v>31</v>
      </c>
      <c r="F1690" s="0" t="n">
        <f aca="false">IF(C1690&gt;1,IF(C1690&lt;99,VLOOKUP(C1690,'Babblefish-APUMA'!$A$1:$B$86,2),C1690),C1690)</f>
        <v>19</v>
      </c>
    </row>
    <row r="1691" customFormat="false" ht="12.75" hidden="false" customHeight="false" outlineLevel="0" collapsed="false">
      <c r="A1691" s="0" t="n">
        <f aca="false">B1691*1000+C1691</f>
        <v>31020</v>
      </c>
      <c r="B1691" s="0" t="n">
        <v>31</v>
      </c>
      <c r="C1691" s="0" t="n">
        <v>20</v>
      </c>
      <c r="D1691" s="0" t="n">
        <v>0</v>
      </c>
      <c r="E1691" s="0" t="n">
        <f aca="false">VLOOKUP(B1691,'Babblefish-APUMA'!$A$1:$B$86,2)</f>
        <v>31</v>
      </c>
      <c r="F1691" s="0" t="n">
        <f aca="false">IF(C1691&gt;1,IF(C1691&lt;99,VLOOKUP(C1691,'Babblefish-APUMA'!$A$1:$B$86,2),C1691),C1691)</f>
        <v>86</v>
      </c>
    </row>
    <row r="1692" customFormat="false" ht="12.75" hidden="false" customHeight="false" outlineLevel="0" collapsed="false">
      <c r="A1692" s="0" t="n">
        <f aca="false">B1692*1000+C1692</f>
        <v>31021</v>
      </c>
      <c r="B1692" s="0" t="n">
        <v>31</v>
      </c>
      <c r="C1692" s="0" t="n">
        <v>21</v>
      </c>
      <c r="D1692" s="0" t="n">
        <v>169</v>
      </c>
      <c r="E1692" s="0" t="n">
        <f aca="false">VLOOKUP(B1692,'Babblefish-APUMA'!$A$1:$B$86,2)</f>
        <v>31</v>
      </c>
      <c r="F1692" s="0" t="n">
        <f aca="false">IF(C1692&gt;1,IF(C1692&lt;99,VLOOKUP(C1692,'Babblefish-APUMA'!$A$1:$B$86,2),C1692),C1692)</f>
        <v>86</v>
      </c>
    </row>
    <row r="1693" customFormat="false" ht="12.75" hidden="false" customHeight="false" outlineLevel="0" collapsed="false">
      <c r="A1693" s="0" t="n">
        <f aca="false">B1693*1000+C1693</f>
        <v>31022</v>
      </c>
      <c r="B1693" s="0" t="n">
        <v>31</v>
      </c>
      <c r="C1693" s="0" t="n">
        <v>22</v>
      </c>
      <c r="D1693" s="0" t="n">
        <v>0</v>
      </c>
      <c r="E1693" s="0" t="n">
        <f aca="false">VLOOKUP(B1693,'Babblefish-APUMA'!$A$1:$B$86,2)</f>
        <v>31</v>
      </c>
      <c r="F1693" s="0" t="n">
        <f aca="false">IF(C1693&gt;1,IF(C1693&lt;99,VLOOKUP(C1693,'Babblefish-APUMA'!$A$1:$B$86,2),C1693),C1693)</f>
        <v>22</v>
      </c>
    </row>
    <row r="1694" customFormat="false" ht="12.75" hidden="false" customHeight="false" outlineLevel="0" collapsed="false">
      <c r="A1694" s="0" t="n">
        <f aca="false">B1694*1000+C1694</f>
        <v>31023</v>
      </c>
      <c r="B1694" s="0" t="n">
        <v>31</v>
      </c>
      <c r="C1694" s="0" t="n">
        <v>23</v>
      </c>
      <c r="D1694" s="0" t="n">
        <v>0</v>
      </c>
      <c r="E1694" s="0" t="n">
        <f aca="false">VLOOKUP(B1694,'Babblefish-APUMA'!$A$1:$B$86,2)</f>
        <v>31</v>
      </c>
      <c r="F1694" s="0" t="n">
        <f aca="false">IF(C1694&gt;1,IF(C1694&lt;99,VLOOKUP(C1694,'Babblefish-APUMA'!$A$1:$B$86,2),C1694),C1694)</f>
        <v>97</v>
      </c>
    </row>
    <row r="1695" customFormat="false" ht="12.75" hidden="false" customHeight="false" outlineLevel="0" collapsed="false">
      <c r="A1695" s="0" t="n">
        <f aca="false">B1695*1000+C1695</f>
        <v>31024</v>
      </c>
      <c r="B1695" s="0" t="n">
        <v>31</v>
      </c>
      <c r="C1695" s="0" t="n">
        <v>24</v>
      </c>
      <c r="D1695" s="0" t="n">
        <v>0</v>
      </c>
      <c r="E1695" s="0" t="n">
        <f aca="false">VLOOKUP(B1695,'Babblefish-APUMA'!$A$1:$B$86,2)</f>
        <v>31</v>
      </c>
      <c r="F1695" s="0" t="n">
        <f aca="false">IF(C1695&gt;1,IF(C1695&lt;99,VLOOKUP(C1695,'Babblefish-APUMA'!$A$1:$B$86,2),C1695),C1695)</f>
        <v>101</v>
      </c>
    </row>
    <row r="1696" customFormat="false" ht="12.75" hidden="false" customHeight="false" outlineLevel="0" collapsed="false">
      <c r="A1696" s="0" t="n">
        <f aca="false">B1696*1000+C1696</f>
        <v>31025</v>
      </c>
      <c r="B1696" s="0" t="n">
        <v>31</v>
      </c>
      <c r="C1696" s="0" t="n">
        <v>25</v>
      </c>
      <c r="D1696" s="0" t="n">
        <v>0</v>
      </c>
      <c r="E1696" s="0" t="n">
        <f aca="false">VLOOKUP(B1696,'Babblefish-APUMA'!$A$1:$B$86,2)</f>
        <v>31</v>
      </c>
      <c r="F1696" s="0" t="n">
        <f aca="false">IF(C1696&gt;1,IF(C1696&lt;99,VLOOKUP(C1696,'Babblefish-APUMA'!$A$1:$B$86,2),C1696),C1696)</f>
        <v>101</v>
      </c>
    </row>
    <row r="1697" customFormat="false" ht="12.75" hidden="false" customHeight="false" outlineLevel="0" collapsed="false">
      <c r="A1697" s="0" t="n">
        <f aca="false">B1697*1000+C1697</f>
        <v>31026</v>
      </c>
      <c r="B1697" s="0" t="n">
        <v>31</v>
      </c>
      <c r="C1697" s="0" t="n">
        <v>26</v>
      </c>
      <c r="D1697" s="0" t="n">
        <v>0</v>
      </c>
      <c r="E1697" s="0" t="n">
        <f aca="false">VLOOKUP(B1697,'Babblefish-APUMA'!$A$1:$B$86,2)</f>
        <v>31</v>
      </c>
      <c r="F1697" s="0" t="n">
        <f aca="false">IF(C1697&gt;1,IF(C1697&lt;99,VLOOKUP(C1697,'Babblefish-APUMA'!$A$1:$B$86,2),C1697),C1697)</f>
        <v>26</v>
      </c>
    </row>
    <row r="1698" customFormat="false" ht="12.75" hidden="false" customHeight="false" outlineLevel="0" collapsed="false">
      <c r="A1698" s="0" t="n">
        <f aca="false">B1698*1000+C1698</f>
        <v>31027</v>
      </c>
      <c r="B1698" s="0" t="n">
        <v>31</v>
      </c>
      <c r="C1698" s="0" t="n">
        <v>27</v>
      </c>
      <c r="D1698" s="0" t="n">
        <v>0</v>
      </c>
      <c r="E1698" s="0" t="n">
        <f aca="false">VLOOKUP(B1698,'Babblefish-APUMA'!$A$1:$B$86,2)</f>
        <v>31</v>
      </c>
      <c r="F1698" s="0" t="n">
        <f aca="false">IF(C1698&gt;1,IF(C1698&lt;99,VLOOKUP(C1698,'Babblefish-APUMA'!$A$1:$B$86,2),C1698),C1698)</f>
        <v>27</v>
      </c>
    </row>
    <row r="1699" customFormat="false" ht="12.75" hidden="false" customHeight="false" outlineLevel="0" collapsed="false">
      <c r="A1699" s="0" t="n">
        <f aca="false">B1699*1000+C1699</f>
        <v>31028</v>
      </c>
      <c r="B1699" s="0" t="n">
        <v>31</v>
      </c>
      <c r="C1699" s="0" t="n">
        <v>28</v>
      </c>
      <c r="D1699" s="0" t="n">
        <v>0</v>
      </c>
      <c r="E1699" s="0" t="n">
        <f aca="false">VLOOKUP(B1699,'Babblefish-APUMA'!$A$1:$B$86,2)</f>
        <v>31</v>
      </c>
      <c r="F1699" s="0" t="n">
        <f aca="false">IF(C1699&gt;1,IF(C1699&lt;99,VLOOKUP(C1699,'Babblefish-APUMA'!$A$1:$B$86,2),C1699),C1699)</f>
        <v>94</v>
      </c>
    </row>
    <row r="1700" customFormat="false" ht="12.75" hidden="false" customHeight="false" outlineLevel="0" collapsed="false">
      <c r="A1700" s="0" t="n">
        <f aca="false">B1700*1000+C1700</f>
        <v>31029</v>
      </c>
      <c r="B1700" s="0" t="n">
        <v>31</v>
      </c>
      <c r="C1700" s="0" t="n">
        <v>29</v>
      </c>
      <c r="D1700" s="0" t="n">
        <v>0</v>
      </c>
      <c r="E1700" s="0" t="n">
        <f aca="false">VLOOKUP(B1700,'Babblefish-APUMA'!$A$1:$B$86,2)</f>
        <v>31</v>
      </c>
      <c r="F1700" s="0" t="n">
        <f aca="false">IF(C1700&gt;1,IF(C1700&lt;99,VLOOKUP(C1700,'Babblefish-APUMA'!$A$1:$B$86,2),C1700),C1700)</f>
        <v>94</v>
      </c>
    </row>
    <row r="1701" customFormat="false" ht="12.75" hidden="false" customHeight="false" outlineLevel="0" collapsed="false">
      <c r="A1701" s="0" t="n">
        <f aca="false">B1701*1000+C1701</f>
        <v>31030</v>
      </c>
      <c r="B1701" s="0" t="n">
        <v>31</v>
      </c>
      <c r="C1701" s="0" t="n">
        <v>30</v>
      </c>
      <c r="D1701" s="0" t="n">
        <v>0</v>
      </c>
      <c r="E1701" s="0" t="n">
        <f aca="false">VLOOKUP(B1701,'Babblefish-APUMA'!$A$1:$B$86,2)</f>
        <v>31</v>
      </c>
      <c r="F1701" s="0" t="n">
        <f aca="false">IF(C1701&gt;1,IF(C1701&lt;99,VLOOKUP(C1701,'Babblefish-APUMA'!$A$1:$B$86,2),C1701),C1701)</f>
        <v>30</v>
      </c>
    </row>
    <row r="1702" customFormat="false" ht="12.75" hidden="false" customHeight="false" outlineLevel="0" collapsed="false">
      <c r="A1702" s="0" t="n">
        <f aca="false">B1702*1000+C1702</f>
        <v>31031</v>
      </c>
      <c r="B1702" s="0" t="n">
        <v>31</v>
      </c>
      <c r="C1702" s="0" t="n">
        <v>31</v>
      </c>
      <c r="D1702" s="0" t="n">
        <v>30563</v>
      </c>
      <c r="E1702" s="0" t="n">
        <f aca="false">VLOOKUP(B1702,'Babblefish-APUMA'!$A$1:$B$86,2)</f>
        <v>31</v>
      </c>
      <c r="F1702" s="0" t="n">
        <f aca="false">IF(C1702&gt;1,IF(C1702&lt;99,VLOOKUP(C1702,'Babblefish-APUMA'!$A$1:$B$86,2),C1702),C1702)</f>
        <v>31</v>
      </c>
    </row>
    <row r="1703" customFormat="false" ht="12.75" hidden="false" customHeight="false" outlineLevel="0" collapsed="false">
      <c r="A1703" s="0" t="n">
        <f aca="false">B1703*1000+C1703</f>
        <v>31032</v>
      </c>
      <c r="B1703" s="0" t="n">
        <v>31</v>
      </c>
      <c r="C1703" s="0" t="n">
        <v>32</v>
      </c>
      <c r="D1703" s="0" t="n">
        <v>117</v>
      </c>
      <c r="E1703" s="0" t="n">
        <f aca="false">VLOOKUP(B1703,'Babblefish-APUMA'!$A$1:$B$86,2)</f>
        <v>31</v>
      </c>
      <c r="F1703" s="0" t="n">
        <f aca="false">IF(C1703&gt;1,IF(C1703&lt;99,VLOOKUP(C1703,'Babblefish-APUMA'!$A$1:$B$86,2),C1703),C1703)</f>
        <v>32</v>
      </c>
    </row>
    <row r="1704" customFormat="false" ht="12.75" hidden="false" customHeight="false" outlineLevel="0" collapsed="false">
      <c r="A1704" s="0" t="n">
        <f aca="false">B1704*1000+C1704</f>
        <v>31033</v>
      </c>
      <c r="B1704" s="0" t="n">
        <v>31</v>
      </c>
      <c r="C1704" s="0" t="n">
        <v>33</v>
      </c>
      <c r="D1704" s="0" t="n">
        <v>0</v>
      </c>
      <c r="E1704" s="0" t="n">
        <f aca="false">VLOOKUP(B1704,'Babblefish-APUMA'!$A$1:$B$86,2)</f>
        <v>31</v>
      </c>
      <c r="F1704" s="0" t="n">
        <f aca="false">IF(C1704&gt;1,IF(C1704&lt;99,VLOOKUP(C1704,'Babblefish-APUMA'!$A$1:$B$86,2),C1704),C1704)</f>
        <v>96</v>
      </c>
    </row>
    <row r="1705" customFormat="false" ht="12.75" hidden="false" customHeight="false" outlineLevel="0" collapsed="false">
      <c r="A1705" s="0" t="n">
        <f aca="false">B1705*1000+C1705</f>
        <v>31034</v>
      </c>
      <c r="B1705" s="0" t="n">
        <v>31</v>
      </c>
      <c r="C1705" s="0" t="n">
        <v>34</v>
      </c>
      <c r="D1705" s="0" t="n">
        <v>0</v>
      </c>
      <c r="E1705" s="0" t="n">
        <f aca="false">VLOOKUP(B1705,'Babblefish-APUMA'!$A$1:$B$86,2)</f>
        <v>31</v>
      </c>
      <c r="F1705" s="0" t="n">
        <f aca="false">IF(C1705&gt;1,IF(C1705&lt;99,VLOOKUP(C1705,'Babblefish-APUMA'!$A$1:$B$86,2),C1705),C1705)</f>
        <v>96</v>
      </c>
    </row>
    <row r="1706" customFormat="false" ht="12.75" hidden="false" customHeight="false" outlineLevel="0" collapsed="false">
      <c r="A1706" s="0" t="n">
        <f aca="false">B1706*1000+C1706</f>
        <v>31035</v>
      </c>
      <c r="B1706" s="0" t="n">
        <v>31</v>
      </c>
      <c r="C1706" s="0" t="n">
        <v>35</v>
      </c>
      <c r="D1706" s="0" t="n">
        <v>0</v>
      </c>
      <c r="E1706" s="0" t="n">
        <f aca="false">VLOOKUP(B1706,'Babblefish-APUMA'!$A$1:$B$86,2)</f>
        <v>31</v>
      </c>
      <c r="F1706" s="0" t="n">
        <f aca="false">IF(C1706&gt;1,IF(C1706&lt;99,VLOOKUP(C1706,'Babblefish-APUMA'!$A$1:$B$86,2),C1706),C1706)</f>
        <v>96</v>
      </c>
    </row>
    <row r="1707" customFormat="false" ht="12.75" hidden="false" customHeight="false" outlineLevel="0" collapsed="false">
      <c r="A1707" s="0" t="n">
        <f aca="false">B1707*1000+C1707</f>
        <v>31037</v>
      </c>
      <c r="B1707" s="0" t="n">
        <v>31</v>
      </c>
      <c r="C1707" s="0" t="n">
        <v>37</v>
      </c>
      <c r="D1707" s="0" t="n">
        <v>0</v>
      </c>
      <c r="E1707" s="0" t="n">
        <f aca="false">VLOOKUP(B1707,'Babblefish-APUMA'!$A$1:$B$86,2)</f>
        <v>31</v>
      </c>
      <c r="F1707" s="0" t="n">
        <f aca="false">IF(C1707&gt;1,IF(C1707&lt;99,VLOOKUP(C1707,'Babblefish-APUMA'!$A$1:$B$86,2),C1707),C1707)</f>
        <v>96</v>
      </c>
    </row>
    <row r="1708" customFormat="false" ht="12.75" hidden="false" customHeight="false" outlineLevel="0" collapsed="false">
      <c r="A1708" s="0" t="n">
        <f aca="false">B1708*1000+C1708</f>
        <v>31038</v>
      </c>
      <c r="B1708" s="0" t="n">
        <v>31</v>
      </c>
      <c r="C1708" s="0" t="n">
        <v>38</v>
      </c>
      <c r="D1708" s="0" t="n">
        <v>0</v>
      </c>
      <c r="E1708" s="0" t="n">
        <f aca="false">VLOOKUP(B1708,'Babblefish-APUMA'!$A$1:$B$86,2)</f>
        <v>31</v>
      </c>
      <c r="F1708" s="0" t="n">
        <f aca="false">IF(C1708&gt;1,IF(C1708&lt;99,VLOOKUP(C1708,'Babblefish-APUMA'!$A$1:$B$86,2),C1708),C1708)</f>
        <v>91</v>
      </c>
    </row>
    <row r="1709" customFormat="false" ht="12.75" hidden="false" customHeight="false" outlineLevel="0" collapsed="false">
      <c r="A1709" s="0" t="n">
        <f aca="false">B1709*1000+C1709</f>
        <v>31039</v>
      </c>
      <c r="B1709" s="0" t="n">
        <v>31</v>
      </c>
      <c r="C1709" s="0" t="n">
        <v>39</v>
      </c>
      <c r="D1709" s="0" t="n">
        <v>0</v>
      </c>
      <c r="E1709" s="0" t="n">
        <f aca="false">VLOOKUP(B1709,'Babblefish-APUMA'!$A$1:$B$86,2)</f>
        <v>31</v>
      </c>
      <c r="F1709" s="0" t="n">
        <f aca="false">IF(C1709&gt;1,IF(C1709&lt;99,VLOOKUP(C1709,'Babblefish-APUMA'!$A$1:$B$86,2),C1709),C1709)</f>
        <v>91</v>
      </c>
    </row>
    <row r="1710" customFormat="false" ht="12.75" hidden="false" customHeight="false" outlineLevel="0" collapsed="false">
      <c r="A1710" s="0" t="n">
        <f aca="false">B1710*1000+C1710</f>
        <v>31040</v>
      </c>
      <c r="B1710" s="0" t="n">
        <v>31</v>
      </c>
      <c r="C1710" s="0" t="n">
        <v>40</v>
      </c>
      <c r="D1710" s="0" t="n">
        <v>871</v>
      </c>
      <c r="E1710" s="0" t="n">
        <f aca="false">VLOOKUP(B1710,'Babblefish-APUMA'!$A$1:$B$86,2)</f>
        <v>31</v>
      </c>
      <c r="F1710" s="0" t="n">
        <f aca="false">IF(C1710&gt;1,IF(C1710&lt;99,VLOOKUP(C1710,'Babblefish-APUMA'!$A$1:$B$86,2),C1710),C1710)</f>
        <v>88</v>
      </c>
    </row>
    <row r="1711" customFormat="false" ht="12.75" hidden="false" customHeight="false" outlineLevel="0" collapsed="false">
      <c r="A1711" s="0" t="n">
        <f aca="false">B1711*1000+C1711</f>
        <v>31041</v>
      </c>
      <c r="B1711" s="0" t="n">
        <v>31</v>
      </c>
      <c r="C1711" s="0" t="n">
        <v>41</v>
      </c>
      <c r="D1711" s="0" t="n">
        <v>1612</v>
      </c>
      <c r="E1711" s="0" t="n">
        <f aca="false">VLOOKUP(B1711,'Babblefish-APUMA'!$A$1:$B$86,2)</f>
        <v>31</v>
      </c>
      <c r="F1711" s="0" t="n">
        <f aca="false">IF(C1711&gt;1,IF(C1711&lt;99,VLOOKUP(C1711,'Babblefish-APUMA'!$A$1:$B$86,2),C1711),C1711)</f>
        <v>88</v>
      </c>
    </row>
    <row r="1712" customFormat="false" ht="12.75" hidden="false" customHeight="false" outlineLevel="0" collapsed="false">
      <c r="A1712" s="0" t="n">
        <f aca="false">B1712*1000+C1712</f>
        <v>31042</v>
      </c>
      <c r="B1712" s="0" t="n">
        <v>31</v>
      </c>
      <c r="C1712" s="0" t="n">
        <v>42</v>
      </c>
      <c r="D1712" s="0" t="n">
        <v>0</v>
      </c>
      <c r="E1712" s="0" t="n">
        <f aca="false">VLOOKUP(B1712,'Babblefish-APUMA'!$A$1:$B$86,2)</f>
        <v>31</v>
      </c>
      <c r="F1712" s="0" t="n">
        <f aca="false">IF(C1712&gt;1,IF(C1712&lt;99,VLOOKUP(C1712,'Babblefish-APUMA'!$A$1:$B$86,2),C1712),C1712)</f>
        <v>92</v>
      </c>
    </row>
    <row r="1713" customFormat="false" ht="12.75" hidden="false" customHeight="false" outlineLevel="0" collapsed="false">
      <c r="A1713" s="0" t="n">
        <f aca="false">B1713*1000+C1713</f>
        <v>31043</v>
      </c>
      <c r="B1713" s="0" t="n">
        <v>31</v>
      </c>
      <c r="C1713" s="0" t="n">
        <v>43</v>
      </c>
      <c r="D1713" s="0" t="n">
        <v>0</v>
      </c>
      <c r="E1713" s="0" t="n">
        <f aca="false">VLOOKUP(B1713,'Babblefish-APUMA'!$A$1:$B$86,2)</f>
        <v>31</v>
      </c>
      <c r="F1713" s="0" t="n">
        <f aca="false">IF(C1713&gt;1,IF(C1713&lt;99,VLOOKUP(C1713,'Babblefish-APUMA'!$A$1:$B$86,2),C1713),C1713)</f>
        <v>92</v>
      </c>
    </row>
    <row r="1714" customFormat="false" ht="12.75" hidden="false" customHeight="false" outlineLevel="0" collapsed="false">
      <c r="A1714" s="0" t="n">
        <f aca="false">B1714*1000+C1714</f>
        <v>31046</v>
      </c>
      <c r="B1714" s="0" t="n">
        <v>31</v>
      </c>
      <c r="C1714" s="0" t="n">
        <v>46</v>
      </c>
      <c r="D1714" s="0" t="n">
        <v>0</v>
      </c>
      <c r="E1714" s="0" t="n">
        <f aca="false">VLOOKUP(B1714,'Babblefish-APUMA'!$A$1:$B$86,2)</f>
        <v>31</v>
      </c>
      <c r="F1714" s="0" t="n">
        <f aca="false">IF(C1714&gt;1,IF(C1714&lt;99,VLOOKUP(C1714,'Babblefish-APUMA'!$A$1:$B$86,2),C1714),C1714)</f>
        <v>92</v>
      </c>
    </row>
    <row r="1715" customFormat="false" ht="12.75" hidden="false" customHeight="false" outlineLevel="0" collapsed="false">
      <c r="A1715" s="0" t="n">
        <f aca="false">B1715*1000+C1715</f>
        <v>31048</v>
      </c>
      <c r="B1715" s="0" t="n">
        <v>31</v>
      </c>
      <c r="C1715" s="0" t="n">
        <v>48</v>
      </c>
      <c r="D1715" s="0" t="n">
        <v>0</v>
      </c>
      <c r="E1715" s="0" t="n">
        <f aca="false">VLOOKUP(B1715,'Babblefish-APUMA'!$A$1:$B$86,2)</f>
        <v>31</v>
      </c>
      <c r="F1715" s="0" t="n">
        <f aca="false">IF(C1715&gt;1,IF(C1715&lt;99,VLOOKUP(C1715,'Babblefish-APUMA'!$A$1:$B$86,2),C1715),C1715)</f>
        <v>92</v>
      </c>
    </row>
    <row r="1716" customFormat="false" ht="12.75" hidden="false" customHeight="false" outlineLevel="0" collapsed="false">
      <c r="A1716" s="0" t="n">
        <f aca="false">B1716*1000+C1716</f>
        <v>31049</v>
      </c>
      <c r="B1716" s="0" t="n">
        <v>31</v>
      </c>
      <c r="C1716" s="0" t="n">
        <v>49</v>
      </c>
      <c r="D1716" s="0" t="n">
        <v>104</v>
      </c>
      <c r="E1716" s="0" t="n">
        <f aca="false">VLOOKUP(B1716,'Babblefish-APUMA'!$A$1:$B$86,2)</f>
        <v>31</v>
      </c>
      <c r="F1716" s="0" t="n">
        <f aca="false">IF(C1716&gt;1,IF(C1716&lt;99,VLOOKUP(C1716,'Babblefish-APUMA'!$A$1:$B$86,2),C1716),C1716)</f>
        <v>98</v>
      </c>
    </row>
    <row r="1717" customFormat="false" ht="12.75" hidden="false" customHeight="false" outlineLevel="0" collapsed="false">
      <c r="A1717" s="0" t="n">
        <f aca="false">B1717*1000+C1717</f>
        <v>31050</v>
      </c>
      <c r="B1717" s="0" t="n">
        <v>31</v>
      </c>
      <c r="C1717" s="0" t="n">
        <v>50</v>
      </c>
      <c r="D1717" s="0" t="n">
        <v>0</v>
      </c>
      <c r="E1717" s="0" t="n">
        <f aca="false">VLOOKUP(B1717,'Babblefish-APUMA'!$A$1:$B$86,2)</f>
        <v>31</v>
      </c>
      <c r="F1717" s="0" t="n">
        <f aca="false">IF(C1717&gt;1,IF(C1717&lt;99,VLOOKUP(C1717,'Babblefish-APUMA'!$A$1:$B$86,2),C1717),C1717)</f>
        <v>98</v>
      </c>
    </row>
    <row r="1718" customFormat="false" ht="12.75" hidden="false" customHeight="false" outlineLevel="0" collapsed="false">
      <c r="A1718" s="0" t="n">
        <f aca="false">B1718*1000+C1718</f>
        <v>31051</v>
      </c>
      <c r="B1718" s="0" t="n">
        <v>31</v>
      </c>
      <c r="C1718" s="0" t="n">
        <v>51</v>
      </c>
      <c r="D1718" s="0" t="n">
        <v>0</v>
      </c>
      <c r="E1718" s="0" t="n">
        <f aca="false">VLOOKUP(B1718,'Babblefish-APUMA'!$A$1:$B$86,2)</f>
        <v>31</v>
      </c>
      <c r="F1718" s="0" t="n">
        <f aca="false">IF(C1718&gt;1,IF(C1718&lt;99,VLOOKUP(C1718,'Babblefish-APUMA'!$A$1:$B$86,2),C1718),C1718)</f>
        <v>98</v>
      </c>
    </row>
    <row r="1719" customFormat="false" ht="12.75" hidden="false" customHeight="false" outlineLevel="0" collapsed="false">
      <c r="A1719" s="0" t="n">
        <f aca="false">B1719*1000+C1719</f>
        <v>31052</v>
      </c>
      <c r="B1719" s="0" t="n">
        <v>31</v>
      </c>
      <c r="C1719" s="0" t="n">
        <v>52</v>
      </c>
      <c r="D1719" s="0" t="n">
        <v>0</v>
      </c>
      <c r="E1719" s="0" t="n">
        <f aca="false">VLOOKUP(B1719,'Babblefish-APUMA'!$A$1:$B$86,2)</f>
        <v>31</v>
      </c>
      <c r="F1719" s="0" t="n">
        <f aca="false">IF(C1719&gt;1,IF(C1719&lt;99,VLOOKUP(C1719,'Babblefish-APUMA'!$A$1:$B$86,2),C1719),C1719)</f>
        <v>90</v>
      </c>
    </row>
    <row r="1720" customFormat="false" ht="12.75" hidden="false" customHeight="false" outlineLevel="0" collapsed="false">
      <c r="A1720" s="0" t="n">
        <f aca="false">B1720*1000+C1720</f>
        <v>31053</v>
      </c>
      <c r="B1720" s="0" t="n">
        <v>31</v>
      </c>
      <c r="C1720" s="0" t="n">
        <v>53</v>
      </c>
      <c r="D1720" s="0" t="n">
        <v>0</v>
      </c>
      <c r="E1720" s="0" t="n">
        <f aca="false">VLOOKUP(B1720,'Babblefish-APUMA'!$A$1:$B$86,2)</f>
        <v>31</v>
      </c>
      <c r="F1720" s="0" t="n">
        <f aca="false">IF(C1720&gt;1,IF(C1720&lt;99,VLOOKUP(C1720,'Babblefish-APUMA'!$A$1:$B$86,2),C1720),C1720)</f>
        <v>90</v>
      </c>
    </row>
    <row r="1721" customFormat="false" ht="12.75" hidden="false" customHeight="false" outlineLevel="0" collapsed="false">
      <c r="A1721" s="0" t="n">
        <f aca="false">B1721*1000+C1721</f>
        <v>31054</v>
      </c>
      <c r="B1721" s="0" t="n">
        <v>31</v>
      </c>
      <c r="C1721" s="0" t="n">
        <v>54</v>
      </c>
      <c r="D1721" s="0" t="n">
        <v>0</v>
      </c>
      <c r="E1721" s="0" t="n">
        <f aca="false">VLOOKUP(B1721,'Babblefish-APUMA'!$A$1:$B$86,2)</f>
        <v>31</v>
      </c>
      <c r="F1721" s="0" t="n">
        <f aca="false">IF(C1721&gt;1,IF(C1721&lt;99,VLOOKUP(C1721,'Babblefish-APUMA'!$A$1:$B$86,2),C1721),C1721)</f>
        <v>90</v>
      </c>
    </row>
    <row r="1722" customFormat="false" ht="12.75" hidden="false" customHeight="false" outlineLevel="0" collapsed="false">
      <c r="A1722" s="0" t="n">
        <f aca="false">B1722*1000+C1722</f>
        <v>31055</v>
      </c>
      <c r="B1722" s="0" t="n">
        <v>31</v>
      </c>
      <c r="C1722" s="0" t="n">
        <v>55</v>
      </c>
      <c r="D1722" s="0" t="n">
        <v>0</v>
      </c>
      <c r="E1722" s="0" t="n">
        <f aca="false">VLOOKUP(B1722,'Babblefish-APUMA'!$A$1:$B$86,2)</f>
        <v>31</v>
      </c>
      <c r="F1722" s="0" t="n">
        <f aca="false">IF(C1722&gt;1,IF(C1722&lt;99,VLOOKUP(C1722,'Babblefish-APUMA'!$A$1:$B$86,2),C1722),C1722)</f>
        <v>90</v>
      </c>
    </row>
    <row r="1723" customFormat="false" ht="12.75" hidden="false" customHeight="false" outlineLevel="0" collapsed="false">
      <c r="A1723" s="0" t="n">
        <f aca="false">B1723*1000+C1723</f>
        <v>31056</v>
      </c>
      <c r="B1723" s="0" t="n">
        <v>31</v>
      </c>
      <c r="C1723" s="0" t="n">
        <v>56</v>
      </c>
      <c r="D1723" s="0" t="n">
        <v>0</v>
      </c>
      <c r="E1723" s="0" t="n">
        <f aca="false">VLOOKUP(B1723,'Babblefish-APUMA'!$A$1:$B$86,2)</f>
        <v>31</v>
      </c>
      <c r="F1723" s="0" t="n">
        <f aca="false">IF(C1723&gt;1,IF(C1723&lt;99,VLOOKUP(C1723,'Babblefish-APUMA'!$A$1:$B$86,2),C1723),C1723)</f>
        <v>90</v>
      </c>
    </row>
    <row r="1724" customFormat="false" ht="12.75" hidden="false" customHeight="false" outlineLevel="0" collapsed="false">
      <c r="A1724" s="0" t="n">
        <f aca="false">B1724*1000+C1724</f>
        <v>31057</v>
      </c>
      <c r="B1724" s="0" t="n">
        <v>31</v>
      </c>
      <c r="C1724" s="0" t="n">
        <v>57</v>
      </c>
      <c r="D1724" s="0" t="n">
        <v>0</v>
      </c>
      <c r="E1724" s="0" t="n">
        <f aca="false">VLOOKUP(B1724,'Babblefish-APUMA'!$A$1:$B$86,2)</f>
        <v>31</v>
      </c>
      <c r="F1724" s="0" t="n">
        <f aca="false">IF(C1724&gt;1,IF(C1724&lt;99,VLOOKUP(C1724,'Babblefish-APUMA'!$A$1:$B$86,2),C1724),C1724)</f>
        <v>90</v>
      </c>
    </row>
    <row r="1725" customFormat="false" ht="12.75" hidden="false" customHeight="false" outlineLevel="0" collapsed="false">
      <c r="A1725" s="0" t="n">
        <f aca="false">B1725*1000+C1725</f>
        <v>31059</v>
      </c>
      <c r="B1725" s="0" t="n">
        <v>31</v>
      </c>
      <c r="C1725" s="0" t="n">
        <v>59</v>
      </c>
      <c r="D1725" s="0" t="n">
        <v>0</v>
      </c>
      <c r="E1725" s="0" t="n">
        <f aca="false">VLOOKUP(B1725,'Babblefish-APUMA'!$A$1:$B$86,2)</f>
        <v>31</v>
      </c>
      <c r="F1725" s="0" t="n">
        <f aca="false">IF(C1725&gt;1,IF(C1725&lt;99,VLOOKUP(C1725,'Babblefish-APUMA'!$A$1:$B$86,2),C1725),C1725)</f>
        <v>90</v>
      </c>
    </row>
    <row r="1726" customFormat="false" ht="12.75" hidden="false" customHeight="false" outlineLevel="0" collapsed="false">
      <c r="A1726" s="0" t="n">
        <f aca="false">B1726*1000+C1726</f>
        <v>31060</v>
      </c>
      <c r="B1726" s="0" t="n">
        <v>31</v>
      </c>
      <c r="C1726" s="0" t="n">
        <v>60</v>
      </c>
      <c r="D1726" s="0" t="n">
        <v>0</v>
      </c>
      <c r="E1726" s="0" t="n">
        <f aca="false">VLOOKUP(B1726,'Babblefish-APUMA'!$A$1:$B$86,2)</f>
        <v>31</v>
      </c>
      <c r="F1726" s="0" t="n">
        <f aca="false">IF(C1726&gt;1,IF(C1726&lt;99,VLOOKUP(C1726,'Babblefish-APUMA'!$A$1:$B$86,2),C1726),C1726)</f>
        <v>90</v>
      </c>
    </row>
    <row r="1727" customFormat="false" ht="12.75" hidden="false" customHeight="false" outlineLevel="0" collapsed="false">
      <c r="A1727" s="0" t="n">
        <f aca="false">B1727*1000+C1727</f>
        <v>31062</v>
      </c>
      <c r="B1727" s="0" t="n">
        <v>31</v>
      </c>
      <c r="C1727" s="0" t="n">
        <v>62</v>
      </c>
      <c r="D1727" s="0" t="n">
        <v>0</v>
      </c>
      <c r="E1727" s="0" t="n">
        <f aca="false">VLOOKUP(B1727,'Babblefish-APUMA'!$A$1:$B$86,2)</f>
        <v>31</v>
      </c>
      <c r="F1727" s="0" t="n">
        <f aca="false">IF(C1727&gt;1,IF(C1727&lt;99,VLOOKUP(C1727,'Babblefish-APUMA'!$A$1:$B$86,2),C1727),C1727)</f>
        <v>90</v>
      </c>
    </row>
    <row r="1728" customFormat="false" ht="12.75" hidden="false" customHeight="false" outlineLevel="0" collapsed="false">
      <c r="A1728" s="0" t="n">
        <f aca="false">B1728*1000+C1728</f>
        <v>31064</v>
      </c>
      <c r="B1728" s="0" t="n">
        <v>31</v>
      </c>
      <c r="C1728" s="0" t="n">
        <v>64</v>
      </c>
      <c r="D1728" s="0" t="n">
        <v>0</v>
      </c>
      <c r="E1728" s="0" t="n">
        <f aca="false">VLOOKUP(B1728,'Babblefish-APUMA'!$A$1:$B$86,2)</f>
        <v>31</v>
      </c>
      <c r="F1728" s="0" t="n">
        <f aca="false">IF(C1728&gt;1,IF(C1728&lt;99,VLOOKUP(C1728,'Babblefish-APUMA'!$A$1:$B$86,2),C1728),C1728)</f>
        <v>90</v>
      </c>
    </row>
    <row r="1729" customFormat="false" ht="12.75" hidden="false" customHeight="false" outlineLevel="0" collapsed="false">
      <c r="A1729" s="0" t="n">
        <f aca="false">B1729*1000+C1729</f>
        <v>31065</v>
      </c>
      <c r="B1729" s="0" t="n">
        <v>31</v>
      </c>
      <c r="C1729" s="0" t="n">
        <v>65</v>
      </c>
      <c r="D1729" s="0" t="n">
        <v>91</v>
      </c>
      <c r="E1729" s="0" t="n">
        <f aca="false">VLOOKUP(B1729,'Babblefish-APUMA'!$A$1:$B$86,2)</f>
        <v>31</v>
      </c>
      <c r="F1729" s="0" t="n">
        <f aca="false">IF(C1729&gt;1,IF(C1729&lt;99,VLOOKUP(C1729,'Babblefish-APUMA'!$A$1:$B$86,2),C1729),C1729)</f>
        <v>90</v>
      </c>
    </row>
    <row r="1730" customFormat="false" ht="12.75" hidden="false" customHeight="false" outlineLevel="0" collapsed="false">
      <c r="A1730" s="0" t="n">
        <f aca="false">B1730*1000+C1730</f>
        <v>31066</v>
      </c>
      <c r="B1730" s="0" t="n">
        <v>31</v>
      </c>
      <c r="C1730" s="0" t="n">
        <v>66</v>
      </c>
      <c r="D1730" s="0" t="n">
        <v>0</v>
      </c>
      <c r="E1730" s="0" t="n">
        <f aca="false">VLOOKUP(B1730,'Babblefish-APUMA'!$A$1:$B$86,2)</f>
        <v>31</v>
      </c>
      <c r="F1730" s="0" t="n">
        <f aca="false">IF(C1730&gt;1,IF(C1730&lt;99,VLOOKUP(C1730,'Babblefish-APUMA'!$A$1:$B$86,2),C1730),C1730)</f>
        <v>90</v>
      </c>
    </row>
    <row r="1731" customFormat="false" ht="12.75" hidden="false" customHeight="false" outlineLevel="0" collapsed="false">
      <c r="A1731" s="0" t="n">
        <f aca="false">B1731*1000+C1731</f>
        <v>31067</v>
      </c>
      <c r="B1731" s="0" t="n">
        <v>31</v>
      </c>
      <c r="C1731" s="0" t="n">
        <v>67</v>
      </c>
      <c r="D1731" s="0" t="n">
        <v>0</v>
      </c>
      <c r="E1731" s="0" t="n">
        <f aca="false">VLOOKUP(B1731,'Babblefish-APUMA'!$A$1:$B$86,2)</f>
        <v>31</v>
      </c>
      <c r="F1731" s="0" t="n">
        <f aca="false">IF(C1731&gt;1,IF(C1731&lt;99,VLOOKUP(C1731,'Babblefish-APUMA'!$A$1:$B$86,2),C1731),C1731)</f>
        <v>103</v>
      </c>
    </row>
    <row r="1732" customFormat="false" ht="12.75" hidden="false" customHeight="false" outlineLevel="0" collapsed="false">
      <c r="A1732" s="0" t="n">
        <f aca="false">B1732*1000+C1732</f>
        <v>31069</v>
      </c>
      <c r="B1732" s="0" t="n">
        <v>31</v>
      </c>
      <c r="C1732" s="0" t="n">
        <v>69</v>
      </c>
      <c r="D1732" s="0" t="n">
        <v>0</v>
      </c>
      <c r="E1732" s="0" t="n">
        <f aca="false">VLOOKUP(B1732,'Babblefish-APUMA'!$A$1:$B$86,2)</f>
        <v>31</v>
      </c>
      <c r="F1732" s="0" t="n">
        <f aca="false">IF(C1732&gt;1,IF(C1732&lt;99,VLOOKUP(C1732,'Babblefish-APUMA'!$A$1:$B$86,2),C1732),C1732)</f>
        <v>93</v>
      </c>
    </row>
    <row r="1733" customFormat="false" ht="12.75" hidden="false" customHeight="false" outlineLevel="0" collapsed="false">
      <c r="A1733" s="0" t="n">
        <f aca="false">B1733*1000+C1733</f>
        <v>31071</v>
      </c>
      <c r="B1733" s="0" t="n">
        <v>31</v>
      </c>
      <c r="C1733" s="0" t="n">
        <v>71</v>
      </c>
      <c r="D1733" s="0" t="n">
        <v>0</v>
      </c>
      <c r="E1733" s="0" t="n">
        <f aca="false">VLOOKUP(B1733,'Babblefish-APUMA'!$A$1:$B$86,2)</f>
        <v>31</v>
      </c>
      <c r="F1733" s="0" t="n">
        <f aca="false">IF(C1733&gt;1,IF(C1733&lt;99,VLOOKUP(C1733,'Babblefish-APUMA'!$A$1:$B$86,2),C1733),C1733)</f>
        <v>95</v>
      </c>
    </row>
    <row r="1734" customFormat="false" ht="12.75" hidden="false" customHeight="false" outlineLevel="0" collapsed="false">
      <c r="A1734" s="0" t="n">
        <f aca="false">B1734*1000+C1734</f>
        <v>31072</v>
      </c>
      <c r="B1734" s="0" t="n">
        <v>31</v>
      </c>
      <c r="C1734" s="0" t="n">
        <v>72</v>
      </c>
      <c r="D1734" s="0" t="n">
        <v>0</v>
      </c>
      <c r="E1734" s="0" t="n">
        <f aca="false">VLOOKUP(B1734,'Babblefish-APUMA'!$A$1:$B$86,2)</f>
        <v>31</v>
      </c>
      <c r="F1734" s="0" t="n">
        <f aca="false">IF(C1734&gt;1,IF(C1734&lt;99,VLOOKUP(C1734,'Babblefish-APUMA'!$A$1:$B$86,2),C1734),C1734)</f>
        <v>95</v>
      </c>
    </row>
    <row r="1735" customFormat="false" ht="12.75" hidden="false" customHeight="false" outlineLevel="0" collapsed="false">
      <c r="A1735" s="0" t="n">
        <f aca="false">B1735*1000+C1735</f>
        <v>31073</v>
      </c>
      <c r="B1735" s="0" t="n">
        <v>31</v>
      </c>
      <c r="C1735" s="0" t="n">
        <v>73</v>
      </c>
      <c r="D1735" s="0" t="n">
        <v>0</v>
      </c>
      <c r="E1735" s="0" t="n">
        <f aca="false">VLOOKUP(B1735,'Babblefish-APUMA'!$A$1:$B$86,2)</f>
        <v>31</v>
      </c>
      <c r="F1735" s="0" t="n">
        <f aca="false">IF(C1735&gt;1,IF(C1735&lt;99,VLOOKUP(C1735,'Babblefish-APUMA'!$A$1:$B$86,2),C1735),C1735)</f>
        <v>99</v>
      </c>
    </row>
    <row r="1736" customFormat="false" ht="12.75" hidden="false" customHeight="false" outlineLevel="0" collapsed="false">
      <c r="A1736" s="0" t="n">
        <f aca="false">B1736*1000+C1736</f>
        <v>31075</v>
      </c>
      <c r="B1736" s="0" t="n">
        <v>31</v>
      </c>
      <c r="C1736" s="0" t="n">
        <v>75</v>
      </c>
      <c r="D1736" s="0" t="n">
        <v>1417</v>
      </c>
      <c r="E1736" s="0" t="n">
        <f aca="false">VLOOKUP(B1736,'Babblefish-APUMA'!$A$1:$B$86,2)</f>
        <v>31</v>
      </c>
      <c r="F1736" s="0" t="n">
        <f aca="false">IF(C1736&gt;1,IF(C1736&lt;99,VLOOKUP(C1736,'Babblefish-APUMA'!$A$1:$B$86,2),C1736),C1736)</f>
        <v>75</v>
      </c>
    </row>
    <row r="1737" customFormat="false" ht="12.75" hidden="false" customHeight="false" outlineLevel="0" collapsed="false">
      <c r="A1737" s="0" t="n">
        <f aca="false">B1737*1000+C1737</f>
        <v>31076</v>
      </c>
      <c r="B1737" s="0" t="n">
        <v>31</v>
      </c>
      <c r="C1737" s="0" t="n">
        <v>76</v>
      </c>
      <c r="D1737" s="0" t="n">
        <v>0</v>
      </c>
      <c r="E1737" s="0" t="n">
        <f aca="false">VLOOKUP(B1737,'Babblefish-APUMA'!$A$1:$B$86,2)</f>
        <v>31</v>
      </c>
      <c r="F1737" s="0" t="n">
        <f aca="false">IF(C1737&gt;1,IF(C1737&lt;99,VLOOKUP(C1737,'Babblefish-APUMA'!$A$1:$B$86,2),C1737),C1737)</f>
        <v>76</v>
      </c>
    </row>
    <row r="1738" customFormat="false" ht="12.75" hidden="false" customHeight="false" outlineLevel="0" collapsed="false">
      <c r="A1738" s="0" t="n">
        <f aca="false">B1738*1000+C1738</f>
        <v>31077</v>
      </c>
      <c r="B1738" s="0" t="n">
        <v>31</v>
      </c>
      <c r="C1738" s="0" t="n">
        <v>77</v>
      </c>
      <c r="D1738" s="0" t="n">
        <v>0</v>
      </c>
      <c r="E1738" s="0" t="n">
        <f aca="false">VLOOKUP(B1738,'Babblefish-APUMA'!$A$1:$B$86,2)</f>
        <v>31</v>
      </c>
      <c r="F1738" s="0" t="n">
        <f aca="false">IF(C1738&gt;1,IF(C1738&lt;99,VLOOKUP(C1738,'Babblefish-APUMA'!$A$1:$B$86,2),C1738),C1738)</f>
        <v>77</v>
      </c>
    </row>
    <row r="1739" customFormat="false" ht="12.75" hidden="false" customHeight="false" outlineLevel="0" collapsed="false">
      <c r="A1739" s="0" t="n">
        <f aca="false">B1739*1000+C1739</f>
        <v>31079</v>
      </c>
      <c r="B1739" s="0" t="n">
        <v>31</v>
      </c>
      <c r="C1739" s="0" t="n">
        <v>79</v>
      </c>
      <c r="D1739" s="0" t="n">
        <v>247</v>
      </c>
      <c r="E1739" s="0" t="n">
        <f aca="false">VLOOKUP(B1739,'Babblefish-APUMA'!$A$1:$B$86,2)</f>
        <v>31</v>
      </c>
      <c r="F1739" s="0" t="n">
        <f aca="false">IF(C1739&gt;1,IF(C1739&lt;99,VLOOKUP(C1739,'Babblefish-APUMA'!$A$1:$B$86,2),C1739),C1739)</f>
        <v>89</v>
      </c>
    </row>
    <row r="1740" customFormat="false" ht="12.75" hidden="false" customHeight="false" outlineLevel="0" collapsed="false">
      <c r="A1740" s="0" t="n">
        <f aca="false">B1740*1000+C1740</f>
        <v>31080</v>
      </c>
      <c r="B1740" s="0" t="n">
        <v>31</v>
      </c>
      <c r="C1740" s="0" t="n">
        <v>80</v>
      </c>
      <c r="D1740" s="0" t="n">
        <v>507</v>
      </c>
      <c r="E1740" s="0" t="n">
        <f aca="false">VLOOKUP(B1740,'Babblefish-APUMA'!$A$1:$B$86,2)</f>
        <v>31</v>
      </c>
      <c r="F1740" s="0" t="n">
        <f aca="false">IF(C1740&gt;1,IF(C1740&lt;99,VLOOKUP(C1740,'Babblefish-APUMA'!$A$1:$B$86,2),C1740),C1740)</f>
        <v>80</v>
      </c>
    </row>
    <row r="1741" customFormat="false" ht="12.75" hidden="false" customHeight="false" outlineLevel="0" collapsed="false">
      <c r="A1741" s="0" t="n">
        <f aca="false">B1741*1000+C1741</f>
        <v>31082</v>
      </c>
      <c r="B1741" s="0" t="n">
        <v>31</v>
      </c>
      <c r="C1741" s="0" t="n">
        <v>82</v>
      </c>
      <c r="D1741" s="0" t="n">
        <v>0</v>
      </c>
      <c r="E1741" s="0" t="n">
        <f aca="false">VLOOKUP(B1741,'Babblefish-APUMA'!$A$1:$B$86,2)</f>
        <v>31</v>
      </c>
      <c r="F1741" s="0" t="n">
        <f aca="false">IF(C1741&gt;1,IF(C1741&lt;99,VLOOKUP(C1741,'Babblefish-APUMA'!$A$1:$B$86,2),C1741),C1741)</f>
        <v>95</v>
      </c>
    </row>
    <row r="1742" customFormat="false" ht="12.75" hidden="false" customHeight="false" outlineLevel="0" collapsed="false">
      <c r="A1742" s="0" t="n">
        <f aca="false">B1742*1000+C1742</f>
        <v>31085</v>
      </c>
      <c r="B1742" s="0" t="n">
        <v>31</v>
      </c>
      <c r="C1742" s="0" t="n">
        <v>85</v>
      </c>
      <c r="D1742" s="0" t="n">
        <v>0</v>
      </c>
      <c r="E1742" s="0" t="n">
        <f aca="false">VLOOKUP(B1742,'Babblefish-APUMA'!$A$1:$B$86,2)</f>
        <v>31</v>
      </c>
      <c r="F1742" s="0" t="n">
        <f aca="false">IF(C1742&gt;1,IF(C1742&lt;99,VLOOKUP(C1742,'Babblefish-APUMA'!$A$1:$B$86,2),C1742),C1742)</f>
        <v>97</v>
      </c>
    </row>
    <row r="1743" customFormat="false" ht="12.75" hidden="false" customHeight="false" outlineLevel="0" collapsed="false">
      <c r="A1743" s="0" t="n">
        <f aca="false">B1743*1000+C1743</f>
        <v>31858</v>
      </c>
      <c r="B1743" s="0" t="n">
        <v>31</v>
      </c>
      <c r="C1743" s="0" t="n">
        <v>858</v>
      </c>
      <c r="D1743" s="0" t="n">
        <v>0</v>
      </c>
      <c r="E1743" s="0" t="n">
        <f aca="false">VLOOKUP(B1743,'Babblefish-APUMA'!$A$1:$B$86,2)</f>
        <v>31</v>
      </c>
      <c r="F1743" s="0" t="n">
        <f aca="false">IF(C1743&gt;1,IF(C1743&lt;99,VLOOKUP(C1743,'Babblefish-APUMA'!$A$1:$B$86,2),C1743),C1743)</f>
        <v>858</v>
      </c>
    </row>
    <row r="1744" customFormat="false" ht="12.75" hidden="false" customHeight="false" outlineLevel="0" collapsed="false">
      <c r="A1744" s="0" t="n">
        <f aca="false">B1744*1000+C1744</f>
        <v>31999</v>
      </c>
      <c r="B1744" s="0" t="n">
        <v>31</v>
      </c>
      <c r="C1744" s="0" t="n">
        <v>999</v>
      </c>
      <c r="D1744" s="0" t="n">
        <v>0</v>
      </c>
      <c r="E1744" s="0" t="n">
        <f aca="false">VLOOKUP(B1744,'Babblefish-APUMA'!$A$1:$B$86,2)</f>
        <v>31</v>
      </c>
      <c r="F1744" s="0" t="n">
        <f aca="false">IF(C1744&gt;1,IF(C1744&lt;99,VLOOKUP(C1744,'Babblefish-APUMA'!$A$1:$B$86,2),C1744),C1744)</f>
        <v>999</v>
      </c>
    </row>
    <row r="1745" customFormat="false" ht="12.75" hidden="false" customHeight="false" outlineLevel="0" collapsed="false">
      <c r="A1745" s="0" t="n">
        <f aca="false">B1745*1000+C1745</f>
        <v>32000</v>
      </c>
      <c r="B1745" s="0" t="n">
        <v>32</v>
      </c>
      <c r="C1745" s="0" t="n">
        <v>0</v>
      </c>
      <c r="D1745" s="0" t="n">
        <v>187317</v>
      </c>
      <c r="E1745" s="0" t="n">
        <f aca="false">VLOOKUP(B1745,'Babblefish-APUMA'!$A$1:$B$86,2)</f>
        <v>32</v>
      </c>
      <c r="F1745" s="0" t="n">
        <f aca="false">IF(C1745&gt;1,IF(C1745&lt;99,VLOOKUP(C1745,'Babblefish-APUMA'!$A$1:$B$86,2),C1745),C1745)</f>
        <v>0</v>
      </c>
    </row>
    <row r="1746" customFormat="false" ht="12.75" hidden="false" customHeight="false" outlineLevel="0" collapsed="false">
      <c r="A1746" s="0" t="n">
        <f aca="false">B1746*1000+C1746</f>
        <v>32001</v>
      </c>
      <c r="B1746" s="0" t="n">
        <v>32</v>
      </c>
      <c r="C1746" s="0" t="n">
        <v>1</v>
      </c>
      <c r="D1746" s="0" t="n">
        <v>0</v>
      </c>
      <c r="E1746" s="0" t="n">
        <f aca="false">VLOOKUP(B1746,'Babblefish-APUMA'!$A$1:$B$86,2)</f>
        <v>32</v>
      </c>
      <c r="F1746" s="0" t="n">
        <f aca="false">IF(C1746&gt;1,IF(C1746&lt;99,VLOOKUP(C1746,'Babblefish-APUMA'!$A$1:$B$86,2),C1746),C1746)</f>
        <v>1</v>
      </c>
    </row>
    <row r="1747" customFormat="false" ht="12.75" hidden="false" customHeight="false" outlineLevel="0" collapsed="false">
      <c r="A1747" s="0" t="n">
        <f aca="false">B1747*1000+C1747</f>
        <v>32002</v>
      </c>
      <c r="B1747" s="0" t="n">
        <v>32</v>
      </c>
      <c r="C1747" s="0" t="n">
        <v>2</v>
      </c>
      <c r="D1747" s="0" t="n">
        <v>0</v>
      </c>
      <c r="E1747" s="0" t="n">
        <f aca="false">VLOOKUP(B1747,'Babblefish-APUMA'!$A$1:$B$86,2)</f>
        <v>32</v>
      </c>
      <c r="F1747" s="0" t="n">
        <f aca="false">IF(C1747&gt;1,IF(C1747&lt;99,VLOOKUP(C1747,'Babblefish-APUMA'!$A$1:$B$86,2),C1747),C1747)</f>
        <v>2</v>
      </c>
    </row>
    <row r="1748" customFormat="false" ht="12.75" hidden="false" customHeight="false" outlineLevel="0" collapsed="false">
      <c r="A1748" s="0" t="n">
        <f aca="false">B1748*1000+C1748</f>
        <v>32003</v>
      </c>
      <c r="B1748" s="0" t="n">
        <v>32</v>
      </c>
      <c r="C1748" s="0" t="n">
        <v>3</v>
      </c>
      <c r="D1748" s="0" t="n">
        <v>65</v>
      </c>
      <c r="E1748" s="0" t="n">
        <f aca="false">VLOOKUP(B1748,'Babblefish-APUMA'!$A$1:$B$86,2)</f>
        <v>32</v>
      </c>
      <c r="F1748" s="0" t="n">
        <f aca="false">IF(C1748&gt;1,IF(C1748&lt;99,VLOOKUP(C1748,'Babblefish-APUMA'!$A$1:$B$86,2),C1748),C1748)</f>
        <v>3</v>
      </c>
    </row>
    <row r="1749" customFormat="false" ht="12.75" hidden="false" customHeight="false" outlineLevel="0" collapsed="false">
      <c r="A1749" s="0" t="n">
        <f aca="false">B1749*1000+C1749</f>
        <v>32004</v>
      </c>
      <c r="B1749" s="0" t="n">
        <v>32</v>
      </c>
      <c r="C1749" s="0" t="n">
        <v>4</v>
      </c>
      <c r="D1749" s="0" t="n">
        <v>0</v>
      </c>
      <c r="E1749" s="0" t="n">
        <f aca="false">VLOOKUP(B1749,'Babblefish-APUMA'!$A$1:$B$86,2)</f>
        <v>32</v>
      </c>
      <c r="F1749" s="0" t="n">
        <f aca="false">IF(C1749&gt;1,IF(C1749&lt;99,VLOOKUP(C1749,'Babblefish-APUMA'!$A$1:$B$86,2),C1749),C1749)</f>
        <v>4</v>
      </c>
    </row>
    <row r="1750" customFormat="false" ht="12.75" hidden="false" customHeight="false" outlineLevel="0" collapsed="false">
      <c r="A1750" s="0" t="n">
        <f aca="false">B1750*1000+C1750</f>
        <v>32005</v>
      </c>
      <c r="B1750" s="0" t="n">
        <v>32</v>
      </c>
      <c r="C1750" s="0" t="n">
        <v>5</v>
      </c>
      <c r="D1750" s="0" t="n">
        <v>0</v>
      </c>
      <c r="E1750" s="0" t="n">
        <f aca="false">VLOOKUP(B1750,'Babblefish-APUMA'!$A$1:$B$86,2)</f>
        <v>32</v>
      </c>
      <c r="F1750" s="0" t="n">
        <f aca="false">IF(C1750&gt;1,IF(C1750&lt;99,VLOOKUP(C1750,'Babblefish-APUMA'!$A$1:$B$86,2),C1750),C1750)</f>
        <v>5</v>
      </c>
    </row>
    <row r="1751" customFormat="false" ht="12.75" hidden="false" customHeight="false" outlineLevel="0" collapsed="false">
      <c r="A1751" s="0" t="n">
        <f aca="false">B1751*1000+C1751</f>
        <v>32006</v>
      </c>
      <c r="B1751" s="0" t="n">
        <v>32</v>
      </c>
      <c r="C1751" s="0" t="n">
        <v>6</v>
      </c>
      <c r="D1751" s="0" t="n">
        <v>0</v>
      </c>
      <c r="E1751" s="0" t="n">
        <f aca="false">VLOOKUP(B1751,'Babblefish-APUMA'!$A$1:$B$86,2)</f>
        <v>32</v>
      </c>
      <c r="F1751" s="0" t="n">
        <f aca="false">IF(C1751&gt;1,IF(C1751&lt;99,VLOOKUP(C1751,'Babblefish-APUMA'!$A$1:$B$86,2),C1751),C1751)</f>
        <v>6</v>
      </c>
    </row>
    <row r="1752" customFormat="false" ht="12.75" hidden="false" customHeight="false" outlineLevel="0" collapsed="false">
      <c r="A1752" s="0" t="n">
        <f aca="false">B1752*1000+C1752</f>
        <v>32007</v>
      </c>
      <c r="B1752" s="0" t="n">
        <v>32</v>
      </c>
      <c r="C1752" s="0" t="n">
        <v>7</v>
      </c>
      <c r="D1752" s="0" t="n">
        <v>0</v>
      </c>
      <c r="E1752" s="0" t="n">
        <f aca="false">VLOOKUP(B1752,'Babblefish-APUMA'!$A$1:$B$86,2)</f>
        <v>32</v>
      </c>
      <c r="F1752" s="0" t="n">
        <f aca="false">IF(C1752&gt;1,IF(C1752&lt;99,VLOOKUP(C1752,'Babblefish-APUMA'!$A$1:$B$86,2),C1752),C1752)</f>
        <v>7</v>
      </c>
    </row>
    <row r="1753" customFormat="false" ht="12.75" hidden="false" customHeight="false" outlineLevel="0" collapsed="false">
      <c r="A1753" s="0" t="n">
        <f aca="false">B1753*1000+C1753</f>
        <v>32008</v>
      </c>
      <c r="B1753" s="0" t="n">
        <v>32</v>
      </c>
      <c r="C1753" s="0" t="n">
        <v>8</v>
      </c>
      <c r="D1753" s="0" t="n">
        <v>0</v>
      </c>
      <c r="E1753" s="0" t="n">
        <f aca="false">VLOOKUP(B1753,'Babblefish-APUMA'!$A$1:$B$86,2)</f>
        <v>32</v>
      </c>
      <c r="F1753" s="0" t="n">
        <f aca="false">IF(C1753&gt;1,IF(C1753&lt;99,VLOOKUP(C1753,'Babblefish-APUMA'!$A$1:$B$86,2),C1753),C1753)</f>
        <v>8</v>
      </c>
    </row>
    <row r="1754" customFormat="false" ht="12.75" hidden="false" customHeight="false" outlineLevel="0" collapsed="false">
      <c r="A1754" s="0" t="n">
        <f aca="false">B1754*1000+C1754</f>
        <v>32009</v>
      </c>
      <c r="B1754" s="0" t="n">
        <v>32</v>
      </c>
      <c r="C1754" s="0" t="n">
        <v>9</v>
      </c>
      <c r="D1754" s="0" t="n">
        <v>0</v>
      </c>
      <c r="E1754" s="0" t="n">
        <f aca="false">VLOOKUP(B1754,'Babblefish-APUMA'!$A$1:$B$86,2)</f>
        <v>32</v>
      </c>
      <c r="F1754" s="0" t="n">
        <f aca="false">IF(C1754&gt;1,IF(C1754&lt;99,VLOOKUP(C1754,'Babblefish-APUMA'!$A$1:$B$86,2),C1754),C1754)</f>
        <v>9</v>
      </c>
    </row>
    <row r="1755" customFormat="false" ht="12.75" hidden="false" customHeight="false" outlineLevel="0" collapsed="false">
      <c r="A1755" s="0" t="n">
        <f aca="false">B1755*1000+C1755</f>
        <v>32010</v>
      </c>
      <c r="B1755" s="0" t="n">
        <v>32</v>
      </c>
      <c r="C1755" s="0" t="n">
        <v>10</v>
      </c>
      <c r="D1755" s="0" t="n">
        <v>0</v>
      </c>
      <c r="E1755" s="0" t="n">
        <f aca="false">VLOOKUP(B1755,'Babblefish-APUMA'!$A$1:$B$86,2)</f>
        <v>32</v>
      </c>
      <c r="F1755" s="0" t="n">
        <f aca="false">IF(C1755&gt;1,IF(C1755&lt;99,VLOOKUP(C1755,'Babblefish-APUMA'!$A$1:$B$86,2),C1755),C1755)</f>
        <v>10</v>
      </c>
    </row>
    <row r="1756" customFormat="false" ht="12.75" hidden="false" customHeight="false" outlineLevel="0" collapsed="false">
      <c r="A1756" s="0" t="n">
        <f aca="false">B1756*1000+C1756</f>
        <v>32011</v>
      </c>
      <c r="B1756" s="0" t="n">
        <v>32</v>
      </c>
      <c r="C1756" s="0" t="n">
        <v>11</v>
      </c>
      <c r="D1756" s="0" t="n">
        <v>0</v>
      </c>
      <c r="E1756" s="0" t="n">
        <f aca="false">VLOOKUP(B1756,'Babblefish-APUMA'!$A$1:$B$86,2)</f>
        <v>32</v>
      </c>
      <c r="F1756" s="0" t="n">
        <f aca="false">IF(C1756&gt;1,IF(C1756&lt;99,VLOOKUP(C1756,'Babblefish-APUMA'!$A$1:$B$86,2),C1756),C1756)</f>
        <v>11</v>
      </c>
    </row>
    <row r="1757" customFormat="false" ht="12.75" hidden="false" customHeight="false" outlineLevel="0" collapsed="false">
      <c r="A1757" s="0" t="n">
        <f aca="false">B1757*1000+C1757</f>
        <v>32012</v>
      </c>
      <c r="B1757" s="0" t="n">
        <v>32</v>
      </c>
      <c r="C1757" s="0" t="n">
        <v>12</v>
      </c>
      <c r="D1757" s="0" t="n">
        <v>0</v>
      </c>
      <c r="E1757" s="0" t="n">
        <f aca="false">VLOOKUP(B1757,'Babblefish-APUMA'!$A$1:$B$86,2)</f>
        <v>32</v>
      </c>
      <c r="F1757" s="0" t="n">
        <f aca="false">IF(C1757&gt;1,IF(C1757&lt;99,VLOOKUP(C1757,'Babblefish-APUMA'!$A$1:$B$86,2),C1757),C1757)</f>
        <v>12</v>
      </c>
    </row>
    <row r="1758" customFormat="false" ht="12.75" hidden="false" customHeight="false" outlineLevel="0" collapsed="false">
      <c r="A1758" s="0" t="n">
        <f aca="false">B1758*1000+C1758</f>
        <v>32013</v>
      </c>
      <c r="B1758" s="0" t="n">
        <v>32</v>
      </c>
      <c r="C1758" s="0" t="n">
        <v>13</v>
      </c>
      <c r="D1758" s="0" t="n">
        <v>0</v>
      </c>
      <c r="E1758" s="0" t="n">
        <f aca="false">VLOOKUP(B1758,'Babblefish-APUMA'!$A$1:$B$86,2)</f>
        <v>32</v>
      </c>
      <c r="F1758" s="0" t="n">
        <f aca="false">IF(C1758&gt;1,IF(C1758&lt;99,VLOOKUP(C1758,'Babblefish-APUMA'!$A$1:$B$86,2),C1758),C1758)</f>
        <v>100</v>
      </c>
    </row>
    <row r="1759" customFormat="false" ht="12.75" hidden="false" customHeight="false" outlineLevel="0" collapsed="false">
      <c r="A1759" s="0" t="n">
        <f aca="false">B1759*1000+C1759</f>
        <v>32014</v>
      </c>
      <c r="B1759" s="0" t="n">
        <v>32</v>
      </c>
      <c r="C1759" s="0" t="n">
        <v>14</v>
      </c>
      <c r="D1759" s="0" t="n">
        <v>0</v>
      </c>
      <c r="E1759" s="0" t="n">
        <f aca="false">VLOOKUP(B1759,'Babblefish-APUMA'!$A$1:$B$86,2)</f>
        <v>32</v>
      </c>
      <c r="F1759" s="0" t="n">
        <f aca="false">IF(C1759&gt;1,IF(C1759&lt;99,VLOOKUP(C1759,'Babblefish-APUMA'!$A$1:$B$86,2),C1759),C1759)</f>
        <v>100</v>
      </c>
    </row>
    <row r="1760" customFormat="false" ht="12.75" hidden="false" customHeight="false" outlineLevel="0" collapsed="false">
      <c r="A1760" s="0" t="n">
        <f aca="false">B1760*1000+C1760</f>
        <v>32015</v>
      </c>
      <c r="B1760" s="0" t="n">
        <v>32</v>
      </c>
      <c r="C1760" s="0" t="n">
        <v>15</v>
      </c>
      <c r="D1760" s="0" t="n">
        <v>0</v>
      </c>
      <c r="E1760" s="0" t="n">
        <f aca="false">VLOOKUP(B1760,'Babblefish-APUMA'!$A$1:$B$86,2)</f>
        <v>32</v>
      </c>
      <c r="F1760" s="0" t="n">
        <f aca="false">IF(C1760&gt;1,IF(C1760&lt;99,VLOOKUP(C1760,'Babblefish-APUMA'!$A$1:$B$86,2),C1760),C1760)</f>
        <v>15</v>
      </c>
    </row>
    <row r="1761" customFormat="false" ht="12.75" hidden="false" customHeight="false" outlineLevel="0" collapsed="false">
      <c r="A1761" s="0" t="n">
        <f aca="false">B1761*1000+C1761</f>
        <v>32016</v>
      </c>
      <c r="B1761" s="0" t="n">
        <v>32</v>
      </c>
      <c r="C1761" s="0" t="n">
        <v>16</v>
      </c>
      <c r="D1761" s="0" t="n">
        <v>0</v>
      </c>
      <c r="E1761" s="0" t="n">
        <f aca="false">VLOOKUP(B1761,'Babblefish-APUMA'!$A$1:$B$86,2)</f>
        <v>32</v>
      </c>
      <c r="F1761" s="0" t="n">
        <f aca="false">IF(C1761&gt;1,IF(C1761&lt;99,VLOOKUP(C1761,'Babblefish-APUMA'!$A$1:$B$86,2),C1761),C1761)</f>
        <v>99</v>
      </c>
    </row>
    <row r="1762" customFormat="false" ht="12.75" hidden="false" customHeight="false" outlineLevel="0" collapsed="false">
      <c r="A1762" s="0" t="n">
        <f aca="false">B1762*1000+C1762</f>
        <v>32017</v>
      </c>
      <c r="B1762" s="0" t="n">
        <v>32</v>
      </c>
      <c r="C1762" s="0" t="n">
        <v>17</v>
      </c>
      <c r="D1762" s="0" t="n">
        <v>0</v>
      </c>
      <c r="E1762" s="0" t="n">
        <f aca="false">VLOOKUP(B1762,'Babblefish-APUMA'!$A$1:$B$86,2)</f>
        <v>32</v>
      </c>
      <c r="F1762" s="0" t="n">
        <f aca="false">IF(C1762&gt;1,IF(C1762&lt;99,VLOOKUP(C1762,'Babblefish-APUMA'!$A$1:$B$86,2),C1762),C1762)</f>
        <v>87</v>
      </c>
    </row>
    <row r="1763" customFormat="false" ht="12.75" hidden="false" customHeight="false" outlineLevel="0" collapsed="false">
      <c r="A1763" s="0" t="n">
        <f aca="false">B1763*1000+C1763</f>
        <v>32018</v>
      </c>
      <c r="B1763" s="0" t="n">
        <v>32</v>
      </c>
      <c r="C1763" s="0" t="n">
        <v>18</v>
      </c>
      <c r="D1763" s="0" t="n">
        <v>0</v>
      </c>
      <c r="E1763" s="0" t="n">
        <f aca="false">VLOOKUP(B1763,'Babblefish-APUMA'!$A$1:$B$86,2)</f>
        <v>32</v>
      </c>
      <c r="F1763" s="0" t="n">
        <f aca="false">IF(C1763&gt;1,IF(C1763&lt;99,VLOOKUP(C1763,'Babblefish-APUMA'!$A$1:$B$86,2),C1763),C1763)</f>
        <v>87</v>
      </c>
    </row>
    <row r="1764" customFormat="false" ht="12.75" hidden="false" customHeight="false" outlineLevel="0" collapsed="false">
      <c r="A1764" s="0" t="n">
        <f aca="false">B1764*1000+C1764</f>
        <v>32019</v>
      </c>
      <c r="B1764" s="0" t="n">
        <v>32</v>
      </c>
      <c r="C1764" s="0" t="n">
        <v>19</v>
      </c>
      <c r="D1764" s="0" t="n">
        <v>0</v>
      </c>
      <c r="E1764" s="0" t="n">
        <f aca="false">VLOOKUP(B1764,'Babblefish-APUMA'!$A$1:$B$86,2)</f>
        <v>32</v>
      </c>
      <c r="F1764" s="0" t="n">
        <f aca="false">IF(C1764&gt;1,IF(C1764&lt;99,VLOOKUP(C1764,'Babblefish-APUMA'!$A$1:$B$86,2),C1764),C1764)</f>
        <v>19</v>
      </c>
    </row>
    <row r="1765" customFormat="false" ht="12.75" hidden="false" customHeight="false" outlineLevel="0" collapsed="false">
      <c r="A1765" s="0" t="n">
        <f aca="false">B1765*1000+C1765</f>
        <v>32020</v>
      </c>
      <c r="B1765" s="0" t="n">
        <v>32</v>
      </c>
      <c r="C1765" s="0" t="n">
        <v>20</v>
      </c>
      <c r="D1765" s="0" t="n">
        <v>78</v>
      </c>
      <c r="E1765" s="0" t="n">
        <f aca="false">VLOOKUP(B1765,'Babblefish-APUMA'!$A$1:$B$86,2)</f>
        <v>32</v>
      </c>
      <c r="F1765" s="0" t="n">
        <f aca="false">IF(C1765&gt;1,IF(C1765&lt;99,VLOOKUP(C1765,'Babblefish-APUMA'!$A$1:$B$86,2),C1765),C1765)</f>
        <v>86</v>
      </c>
    </row>
    <row r="1766" customFormat="false" ht="12.75" hidden="false" customHeight="false" outlineLevel="0" collapsed="false">
      <c r="A1766" s="0" t="n">
        <f aca="false">B1766*1000+C1766</f>
        <v>32021</v>
      </c>
      <c r="B1766" s="0" t="n">
        <v>32</v>
      </c>
      <c r="C1766" s="0" t="n">
        <v>21</v>
      </c>
      <c r="D1766" s="0" t="n">
        <v>78</v>
      </c>
      <c r="E1766" s="0" t="n">
        <f aca="false">VLOOKUP(B1766,'Babblefish-APUMA'!$A$1:$B$86,2)</f>
        <v>32</v>
      </c>
      <c r="F1766" s="0" t="n">
        <f aca="false">IF(C1766&gt;1,IF(C1766&lt;99,VLOOKUP(C1766,'Babblefish-APUMA'!$A$1:$B$86,2),C1766),C1766)</f>
        <v>86</v>
      </c>
    </row>
    <row r="1767" customFormat="false" ht="12.75" hidden="false" customHeight="false" outlineLevel="0" collapsed="false">
      <c r="A1767" s="0" t="n">
        <f aca="false">B1767*1000+C1767</f>
        <v>32022</v>
      </c>
      <c r="B1767" s="0" t="n">
        <v>32</v>
      </c>
      <c r="C1767" s="0" t="n">
        <v>22</v>
      </c>
      <c r="D1767" s="0" t="n">
        <v>377</v>
      </c>
      <c r="E1767" s="0" t="n">
        <f aca="false">VLOOKUP(B1767,'Babblefish-APUMA'!$A$1:$B$86,2)</f>
        <v>32</v>
      </c>
      <c r="F1767" s="0" t="n">
        <f aca="false">IF(C1767&gt;1,IF(C1767&lt;99,VLOOKUP(C1767,'Babblefish-APUMA'!$A$1:$B$86,2),C1767),C1767)</f>
        <v>22</v>
      </c>
    </row>
    <row r="1768" customFormat="false" ht="12.75" hidden="false" customHeight="false" outlineLevel="0" collapsed="false">
      <c r="A1768" s="0" t="n">
        <f aca="false">B1768*1000+C1768</f>
        <v>32023</v>
      </c>
      <c r="B1768" s="0" t="n">
        <v>32</v>
      </c>
      <c r="C1768" s="0" t="n">
        <v>23</v>
      </c>
      <c r="D1768" s="0" t="n">
        <v>0</v>
      </c>
      <c r="E1768" s="0" t="n">
        <f aca="false">VLOOKUP(B1768,'Babblefish-APUMA'!$A$1:$B$86,2)</f>
        <v>32</v>
      </c>
      <c r="F1768" s="0" t="n">
        <f aca="false">IF(C1768&gt;1,IF(C1768&lt;99,VLOOKUP(C1768,'Babblefish-APUMA'!$A$1:$B$86,2),C1768),C1768)</f>
        <v>97</v>
      </c>
    </row>
    <row r="1769" customFormat="false" ht="12.75" hidden="false" customHeight="false" outlineLevel="0" collapsed="false">
      <c r="A1769" s="0" t="n">
        <f aca="false">B1769*1000+C1769</f>
        <v>32024</v>
      </c>
      <c r="B1769" s="0" t="n">
        <v>32</v>
      </c>
      <c r="C1769" s="0" t="n">
        <v>24</v>
      </c>
      <c r="D1769" s="0" t="n">
        <v>0</v>
      </c>
      <c r="E1769" s="0" t="n">
        <f aca="false">VLOOKUP(B1769,'Babblefish-APUMA'!$A$1:$B$86,2)</f>
        <v>32</v>
      </c>
      <c r="F1769" s="0" t="n">
        <f aca="false">IF(C1769&gt;1,IF(C1769&lt;99,VLOOKUP(C1769,'Babblefish-APUMA'!$A$1:$B$86,2),C1769),C1769)</f>
        <v>101</v>
      </c>
    </row>
    <row r="1770" customFormat="false" ht="12.75" hidden="false" customHeight="false" outlineLevel="0" collapsed="false">
      <c r="A1770" s="0" t="n">
        <f aca="false">B1770*1000+C1770</f>
        <v>32025</v>
      </c>
      <c r="B1770" s="0" t="n">
        <v>32</v>
      </c>
      <c r="C1770" s="0" t="n">
        <v>25</v>
      </c>
      <c r="D1770" s="0" t="n">
        <v>0</v>
      </c>
      <c r="E1770" s="0" t="n">
        <f aca="false">VLOOKUP(B1770,'Babblefish-APUMA'!$A$1:$B$86,2)</f>
        <v>32</v>
      </c>
      <c r="F1770" s="0" t="n">
        <f aca="false">IF(C1770&gt;1,IF(C1770&lt;99,VLOOKUP(C1770,'Babblefish-APUMA'!$A$1:$B$86,2),C1770),C1770)</f>
        <v>101</v>
      </c>
    </row>
    <row r="1771" customFormat="false" ht="12.75" hidden="false" customHeight="false" outlineLevel="0" collapsed="false">
      <c r="A1771" s="0" t="n">
        <f aca="false">B1771*1000+C1771</f>
        <v>32026</v>
      </c>
      <c r="B1771" s="0" t="n">
        <v>32</v>
      </c>
      <c r="C1771" s="0" t="n">
        <v>26</v>
      </c>
      <c r="D1771" s="0" t="n">
        <v>0</v>
      </c>
      <c r="E1771" s="0" t="n">
        <f aca="false">VLOOKUP(B1771,'Babblefish-APUMA'!$A$1:$B$86,2)</f>
        <v>32</v>
      </c>
      <c r="F1771" s="0" t="n">
        <f aca="false">IF(C1771&gt;1,IF(C1771&lt;99,VLOOKUP(C1771,'Babblefish-APUMA'!$A$1:$B$86,2),C1771),C1771)</f>
        <v>26</v>
      </c>
    </row>
    <row r="1772" customFormat="false" ht="12.75" hidden="false" customHeight="false" outlineLevel="0" collapsed="false">
      <c r="A1772" s="0" t="n">
        <f aca="false">B1772*1000+C1772</f>
        <v>32027</v>
      </c>
      <c r="B1772" s="0" t="n">
        <v>32</v>
      </c>
      <c r="C1772" s="0" t="n">
        <v>27</v>
      </c>
      <c r="D1772" s="0" t="n">
        <v>0</v>
      </c>
      <c r="E1772" s="0" t="n">
        <f aca="false">VLOOKUP(B1772,'Babblefish-APUMA'!$A$1:$B$86,2)</f>
        <v>32</v>
      </c>
      <c r="F1772" s="0" t="n">
        <f aca="false">IF(C1772&gt;1,IF(C1772&lt;99,VLOOKUP(C1772,'Babblefish-APUMA'!$A$1:$B$86,2),C1772),C1772)</f>
        <v>27</v>
      </c>
    </row>
    <row r="1773" customFormat="false" ht="12.75" hidden="false" customHeight="false" outlineLevel="0" collapsed="false">
      <c r="A1773" s="0" t="n">
        <f aca="false">B1773*1000+C1773</f>
        <v>32028</v>
      </c>
      <c r="B1773" s="0" t="n">
        <v>32</v>
      </c>
      <c r="C1773" s="0" t="n">
        <v>28</v>
      </c>
      <c r="D1773" s="0" t="n">
        <v>0</v>
      </c>
      <c r="E1773" s="0" t="n">
        <f aca="false">VLOOKUP(B1773,'Babblefish-APUMA'!$A$1:$B$86,2)</f>
        <v>32</v>
      </c>
      <c r="F1773" s="0" t="n">
        <f aca="false">IF(C1773&gt;1,IF(C1773&lt;99,VLOOKUP(C1773,'Babblefish-APUMA'!$A$1:$B$86,2),C1773),C1773)</f>
        <v>94</v>
      </c>
    </row>
    <row r="1774" customFormat="false" ht="12.75" hidden="false" customHeight="false" outlineLevel="0" collapsed="false">
      <c r="A1774" s="0" t="n">
        <f aca="false">B1774*1000+C1774</f>
        <v>32029</v>
      </c>
      <c r="B1774" s="0" t="n">
        <v>32</v>
      </c>
      <c r="C1774" s="0" t="n">
        <v>29</v>
      </c>
      <c r="D1774" s="0" t="n">
        <v>0</v>
      </c>
      <c r="E1774" s="0" t="n">
        <f aca="false">VLOOKUP(B1774,'Babblefish-APUMA'!$A$1:$B$86,2)</f>
        <v>32</v>
      </c>
      <c r="F1774" s="0" t="n">
        <f aca="false">IF(C1774&gt;1,IF(C1774&lt;99,VLOOKUP(C1774,'Babblefish-APUMA'!$A$1:$B$86,2),C1774),C1774)</f>
        <v>94</v>
      </c>
    </row>
    <row r="1775" customFormat="false" ht="12.75" hidden="false" customHeight="false" outlineLevel="0" collapsed="false">
      <c r="A1775" s="0" t="n">
        <f aca="false">B1775*1000+C1775</f>
        <v>32030</v>
      </c>
      <c r="B1775" s="0" t="n">
        <v>32</v>
      </c>
      <c r="C1775" s="0" t="n">
        <v>30</v>
      </c>
      <c r="D1775" s="0" t="n">
        <v>13</v>
      </c>
      <c r="E1775" s="0" t="n">
        <f aca="false">VLOOKUP(B1775,'Babblefish-APUMA'!$A$1:$B$86,2)</f>
        <v>32</v>
      </c>
      <c r="F1775" s="0" t="n">
        <f aca="false">IF(C1775&gt;1,IF(C1775&lt;99,VLOOKUP(C1775,'Babblefish-APUMA'!$A$1:$B$86,2),C1775),C1775)</f>
        <v>30</v>
      </c>
    </row>
    <row r="1776" customFormat="false" ht="12.75" hidden="false" customHeight="false" outlineLevel="0" collapsed="false">
      <c r="A1776" s="0" t="n">
        <f aca="false">B1776*1000+C1776</f>
        <v>32031</v>
      </c>
      <c r="B1776" s="0" t="n">
        <v>32</v>
      </c>
      <c r="C1776" s="0" t="n">
        <v>31</v>
      </c>
      <c r="D1776" s="0" t="n">
        <v>0</v>
      </c>
      <c r="E1776" s="0" t="n">
        <f aca="false">VLOOKUP(B1776,'Babblefish-APUMA'!$A$1:$B$86,2)</f>
        <v>32</v>
      </c>
      <c r="F1776" s="0" t="n">
        <f aca="false">IF(C1776&gt;1,IF(C1776&lt;99,VLOOKUP(C1776,'Babblefish-APUMA'!$A$1:$B$86,2),C1776),C1776)</f>
        <v>31</v>
      </c>
    </row>
    <row r="1777" customFormat="false" ht="12.75" hidden="false" customHeight="false" outlineLevel="0" collapsed="false">
      <c r="A1777" s="0" t="n">
        <f aca="false">B1777*1000+C1777</f>
        <v>32032</v>
      </c>
      <c r="B1777" s="0" t="n">
        <v>32</v>
      </c>
      <c r="C1777" s="0" t="n">
        <v>32</v>
      </c>
      <c r="D1777" s="0" t="n">
        <v>169559</v>
      </c>
      <c r="E1777" s="0" t="n">
        <f aca="false">VLOOKUP(B1777,'Babblefish-APUMA'!$A$1:$B$86,2)</f>
        <v>32</v>
      </c>
      <c r="F1777" s="0" t="n">
        <f aca="false">IF(C1777&gt;1,IF(C1777&lt;99,VLOOKUP(C1777,'Babblefish-APUMA'!$A$1:$B$86,2),C1777),C1777)</f>
        <v>32</v>
      </c>
    </row>
    <row r="1778" customFormat="false" ht="12.75" hidden="false" customHeight="false" outlineLevel="0" collapsed="false">
      <c r="A1778" s="0" t="n">
        <f aca="false">B1778*1000+C1778</f>
        <v>32033</v>
      </c>
      <c r="B1778" s="0" t="n">
        <v>32</v>
      </c>
      <c r="C1778" s="0" t="n">
        <v>33</v>
      </c>
      <c r="D1778" s="0" t="n">
        <v>0</v>
      </c>
      <c r="E1778" s="0" t="n">
        <f aca="false">VLOOKUP(B1778,'Babblefish-APUMA'!$A$1:$B$86,2)</f>
        <v>32</v>
      </c>
      <c r="F1778" s="0" t="n">
        <f aca="false">IF(C1778&gt;1,IF(C1778&lt;99,VLOOKUP(C1778,'Babblefish-APUMA'!$A$1:$B$86,2),C1778),C1778)</f>
        <v>96</v>
      </c>
    </row>
    <row r="1779" customFormat="false" ht="12.75" hidden="false" customHeight="false" outlineLevel="0" collapsed="false">
      <c r="A1779" s="0" t="n">
        <f aca="false">B1779*1000+C1779</f>
        <v>32034</v>
      </c>
      <c r="B1779" s="0" t="n">
        <v>32</v>
      </c>
      <c r="C1779" s="0" t="n">
        <v>34</v>
      </c>
      <c r="D1779" s="0" t="n">
        <v>0</v>
      </c>
      <c r="E1779" s="0" t="n">
        <f aca="false">VLOOKUP(B1779,'Babblefish-APUMA'!$A$1:$B$86,2)</f>
        <v>32</v>
      </c>
      <c r="F1779" s="0" t="n">
        <f aca="false">IF(C1779&gt;1,IF(C1779&lt;99,VLOOKUP(C1779,'Babblefish-APUMA'!$A$1:$B$86,2),C1779),C1779)</f>
        <v>96</v>
      </c>
    </row>
    <row r="1780" customFormat="false" ht="12.75" hidden="false" customHeight="false" outlineLevel="0" collapsed="false">
      <c r="A1780" s="0" t="n">
        <f aca="false">B1780*1000+C1780</f>
        <v>32035</v>
      </c>
      <c r="B1780" s="0" t="n">
        <v>32</v>
      </c>
      <c r="C1780" s="0" t="n">
        <v>35</v>
      </c>
      <c r="D1780" s="0" t="n">
        <v>0</v>
      </c>
      <c r="E1780" s="0" t="n">
        <f aca="false">VLOOKUP(B1780,'Babblefish-APUMA'!$A$1:$B$86,2)</f>
        <v>32</v>
      </c>
      <c r="F1780" s="0" t="n">
        <f aca="false">IF(C1780&gt;1,IF(C1780&lt;99,VLOOKUP(C1780,'Babblefish-APUMA'!$A$1:$B$86,2),C1780),C1780)</f>
        <v>96</v>
      </c>
    </row>
    <row r="1781" customFormat="false" ht="12.75" hidden="false" customHeight="false" outlineLevel="0" collapsed="false">
      <c r="A1781" s="0" t="n">
        <f aca="false">B1781*1000+C1781</f>
        <v>32037</v>
      </c>
      <c r="B1781" s="0" t="n">
        <v>32</v>
      </c>
      <c r="C1781" s="0" t="n">
        <v>37</v>
      </c>
      <c r="D1781" s="0" t="n">
        <v>65</v>
      </c>
      <c r="E1781" s="0" t="n">
        <f aca="false">VLOOKUP(B1781,'Babblefish-APUMA'!$A$1:$B$86,2)</f>
        <v>32</v>
      </c>
      <c r="F1781" s="0" t="n">
        <f aca="false">IF(C1781&gt;1,IF(C1781&lt;99,VLOOKUP(C1781,'Babblefish-APUMA'!$A$1:$B$86,2),C1781),C1781)</f>
        <v>96</v>
      </c>
    </row>
    <row r="1782" customFormat="false" ht="12.75" hidden="false" customHeight="false" outlineLevel="0" collapsed="false">
      <c r="A1782" s="0" t="n">
        <f aca="false">B1782*1000+C1782</f>
        <v>32038</v>
      </c>
      <c r="B1782" s="0" t="n">
        <v>32</v>
      </c>
      <c r="C1782" s="0" t="n">
        <v>38</v>
      </c>
      <c r="D1782" s="0" t="n">
        <v>0</v>
      </c>
      <c r="E1782" s="0" t="n">
        <f aca="false">VLOOKUP(B1782,'Babblefish-APUMA'!$A$1:$B$86,2)</f>
        <v>32</v>
      </c>
      <c r="F1782" s="0" t="n">
        <f aca="false">IF(C1782&gt;1,IF(C1782&lt;99,VLOOKUP(C1782,'Babblefish-APUMA'!$A$1:$B$86,2),C1782),C1782)</f>
        <v>91</v>
      </c>
    </row>
    <row r="1783" customFormat="false" ht="12.75" hidden="false" customHeight="false" outlineLevel="0" collapsed="false">
      <c r="A1783" s="0" t="n">
        <f aca="false">B1783*1000+C1783</f>
        <v>32039</v>
      </c>
      <c r="B1783" s="0" t="n">
        <v>32</v>
      </c>
      <c r="C1783" s="0" t="n">
        <v>39</v>
      </c>
      <c r="D1783" s="0" t="n">
        <v>208</v>
      </c>
      <c r="E1783" s="0" t="n">
        <f aca="false">VLOOKUP(B1783,'Babblefish-APUMA'!$A$1:$B$86,2)</f>
        <v>32</v>
      </c>
      <c r="F1783" s="0" t="n">
        <f aca="false">IF(C1783&gt;1,IF(C1783&lt;99,VLOOKUP(C1783,'Babblefish-APUMA'!$A$1:$B$86,2),C1783),C1783)</f>
        <v>91</v>
      </c>
    </row>
    <row r="1784" customFormat="false" ht="12.75" hidden="false" customHeight="false" outlineLevel="0" collapsed="false">
      <c r="A1784" s="0" t="n">
        <f aca="false">B1784*1000+C1784</f>
        <v>32040</v>
      </c>
      <c r="B1784" s="0" t="n">
        <v>32</v>
      </c>
      <c r="C1784" s="0" t="n">
        <v>40</v>
      </c>
      <c r="D1784" s="0" t="n">
        <v>78</v>
      </c>
      <c r="E1784" s="0" t="n">
        <f aca="false">VLOOKUP(B1784,'Babblefish-APUMA'!$A$1:$B$86,2)</f>
        <v>32</v>
      </c>
      <c r="F1784" s="0" t="n">
        <f aca="false">IF(C1784&gt;1,IF(C1784&lt;99,VLOOKUP(C1784,'Babblefish-APUMA'!$A$1:$B$86,2),C1784),C1784)</f>
        <v>88</v>
      </c>
    </row>
    <row r="1785" customFormat="false" ht="12.75" hidden="false" customHeight="false" outlineLevel="0" collapsed="false">
      <c r="A1785" s="0" t="n">
        <f aca="false">B1785*1000+C1785</f>
        <v>32041</v>
      </c>
      <c r="B1785" s="0" t="n">
        <v>32</v>
      </c>
      <c r="C1785" s="0" t="n">
        <v>41</v>
      </c>
      <c r="D1785" s="0" t="n">
        <v>65</v>
      </c>
      <c r="E1785" s="0" t="n">
        <f aca="false">VLOOKUP(B1785,'Babblefish-APUMA'!$A$1:$B$86,2)</f>
        <v>32</v>
      </c>
      <c r="F1785" s="0" t="n">
        <f aca="false">IF(C1785&gt;1,IF(C1785&lt;99,VLOOKUP(C1785,'Babblefish-APUMA'!$A$1:$B$86,2),C1785),C1785)</f>
        <v>88</v>
      </c>
    </row>
    <row r="1786" customFormat="false" ht="12.75" hidden="false" customHeight="false" outlineLevel="0" collapsed="false">
      <c r="A1786" s="0" t="n">
        <f aca="false">B1786*1000+C1786</f>
        <v>32042</v>
      </c>
      <c r="B1786" s="0" t="n">
        <v>32</v>
      </c>
      <c r="C1786" s="0" t="n">
        <v>42</v>
      </c>
      <c r="D1786" s="0" t="n">
        <v>91</v>
      </c>
      <c r="E1786" s="0" t="n">
        <f aca="false">VLOOKUP(B1786,'Babblefish-APUMA'!$A$1:$B$86,2)</f>
        <v>32</v>
      </c>
      <c r="F1786" s="0" t="n">
        <f aca="false">IF(C1786&gt;1,IF(C1786&lt;99,VLOOKUP(C1786,'Babblefish-APUMA'!$A$1:$B$86,2),C1786),C1786)</f>
        <v>92</v>
      </c>
    </row>
    <row r="1787" customFormat="false" ht="12.75" hidden="false" customHeight="false" outlineLevel="0" collapsed="false">
      <c r="A1787" s="0" t="n">
        <f aca="false">B1787*1000+C1787</f>
        <v>32043</v>
      </c>
      <c r="B1787" s="0" t="n">
        <v>32</v>
      </c>
      <c r="C1787" s="0" t="n">
        <v>43</v>
      </c>
      <c r="D1787" s="0" t="n">
        <v>0</v>
      </c>
      <c r="E1787" s="0" t="n">
        <f aca="false">VLOOKUP(B1787,'Babblefish-APUMA'!$A$1:$B$86,2)</f>
        <v>32</v>
      </c>
      <c r="F1787" s="0" t="n">
        <f aca="false">IF(C1787&gt;1,IF(C1787&lt;99,VLOOKUP(C1787,'Babblefish-APUMA'!$A$1:$B$86,2),C1787),C1787)</f>
        <v>92</v>
      </c>
    </row>
    <row r="1788" customFormat="false" ht="12.75" hidden="false" customHeight="false" outlineLevel="0" collapsed="false">
      <c r="A1788" s="0" t="n">
        <f aca="false">B1788*1000+C1788</f>
        <v>32046</v>
      </c>
      <c r="B1788" s="0" t="n">
        <v>32</v>
      </c>
      <c r="C1788" s="0" t="n">
        <v>46</v>
      </c>
      <c r="D1788" s="0" t="n">
        <v>0</v>
      </c>
      <c r="E1788" s="0" t="n">
        <f aca="false">VLOOKUP(B1788,'Babblefish-APUMA'!$A$1:$B$86,2)</f>
        <v>32</v>
      </c>
      <c r="F1788" s="0" t="n">
        <f aca="false">IF(C1788&gt;1,IF(C1788&lt;99,VLOOKUP(C1788,'Babblefish-APUMA'!$A$1:$B$86,2),C1788),C1788)</f>
        <v>92</v>
      </c>
    </row>
    <row r="1789" customFormat="false" ht="12.75" hidden="false" customHeight="false" outlineLevel="0" collapsed="false">
      <c r="A1789" s="0" t="n">
        <f aca="false">B1789*1000+C1789</f>
        <v>32048</v>
      </c>
      <c r="B1789" s="0" t="n">
        <v>32</v>
      </c>
      <c r="C1789" s="0" t="n">
        <v>48</v>
      </c>
      <c r="D1789" s="0" t="n">
        <v>0</v>
      </c>
      <c r="E1789" s="0" t="n">
        <f aca="false">VLOOKUP(B1789,'Babblefish-APUMA'!$A$1:$B$86,2)</f>
        <v>32</v>
      </c>
      <c r="F1789" s="0" t="n">
        <f aca="false">IF(C1789&gt;1,IF(C1789&lt;99,VLOOKUP(C1789,'Babblefish-APUMA'!$A$1:$B$86,2),C1789),C1789)</f>
        <v>92</v>
      </c>
    </row>
    <row r="1790" customFormat="false" ht="12.75" hidden="false" customHeight="false" outlineLevel="0" collapsed="false">
      <c r="A1790" s="0" t="n">
        <f aca="false">B1790*1000+C1790</f>
        <v>32049</v>
      </c>
      <c r="B1790" s="0" t="n">
        <v>32</v>
      </c>
      <c r="C1790" s="0" t="n">
        <v>49</v>
      </c>
      <c r="D1790" s="0" t="n">
        <v>0</v>
      </c>
      <c r="E1790" s="0" t="n">
        <f aca="false">VLOOKUP(B1790,'Babblefish-APUMA'!$A$1:$B$86,2)</f>
        <v>32</v>
      </c>
      <c r="F1790" s="0" t="n">
        <f aca="false">IF(C1790&gt;1,IF(C1790&lt;99,VLOOKUP(C1790,'Babblefish-APUMA'!$A$1:$B$86,2),C1790),C1790)</f>
        <v>98</v>
      </c>
    </row>
    <row r="1791" customFormat="false" ht="12.75" hidden="false" customHeight="false" outlineLevel="0" collapsed="false">
      <c r="A1791" s="0" t="n">
        <f aca="false">B1791*1000+C1791</f>
        <v>32050</v>
      </c>
      <c r="B1791" s="0" t="n">
        <v>32</v>
      </c>
      <c r="C1791" s="0" t="n">
        <v>50</v>
      </c>
      <c r="D1791" s="0" t="n">
        <v>104</v>
      </c>
      <c r="E1791" s="0" t="n">
        <f aca="false">VLOOKUP(B1791,'Babblefish-APUMA'!$A$1:$B$86,2)</f>
        <v>32</v>
      </c>
      <c r="F1791" s="0" t="n">
        <f aca="false">IF(C1791&gt;1,IF(C1791&lt;99,VLOOKUP(C1791,'Babblefish-APUMA'!$A$1:$B$86,2),C1791),C1791)</f>
        <v>98</v>
      </c>
    </row>
    <row r="1792" customFormat="false" ht="12.75" hidden="false" customHeight="false" outlineLevel="0" collapsed="false">
      <c r="A1792" s="0" t="n">
        <f aca="false">B1792*1000+C1792</f>
        <v>32051</v>
      </c>
      <c r="B1792" s="0" t="n">
        <v>32</v>
      </c>
      <c r="C1792" s="0" t="n">
        <v>51</v>
      </c>
      <c r="D1792" s="0" t="n">
        <v>0</v>
      </c>
      <c r="E1792" s="0" t="n">
        <f aca="false">VLOOKUP(B1792,'Babblefish-APUMA'!$A$1:$B$86,2)</f>
        <v>32</v>
      </c>
      <c r="F1792" s="0" t="n">
        <f aca="false">IF(C1792&gt;1,IF(C1792&lt;99,VLOOKUP(C1792,'Babblefish-APUMA'!$A$1:$B$86,2),C1792),C1792)</f>
        <v>98</v>
      </c>
    </row>
    <row r="1793" customFormat="false" ht="12.75" hidden="false" customHeight="false" outlineLevel="0" collapsed="false">
      <c r="A1793" s="0" t="n">
        <f aca="false">B1793*1000+C1793</f>
        <v>32052</v>
      </c>
      <c r="B1793" s="0" t="n">
        <v>32</v>
      </c>
      <c r="C1793" s="0" t="n">
        <v>52</v>
      </c>
      <c r="D1793" s="0" t="n">
        <v>0</v>
      </c>
      <c r="E1793" s="0" t="n">
        <f aca="false">VLOOKUP(B1793,'Babblefish-APUMA'!$A$1:$B$86,2)</f>
        <v>32</v>
      </c>
      <c r="F1793" s="0" t="n">
        <f aca="false">IF(C1793&gt;1,IF(C1793&lt;99,VLOOKUP(C1793,'Babblefish-APUMA'!$A$1:$B$86,2),C1793),C1793)</f>
        <v>90</v>
      </c>
    </row>
    <row r="1794" customFormat="false" ht="12.75" hidden="false" customHeight="false" outlineLevel="0" collapsed="false">
      <c r="A1794" s="0" t="n">
        <f aca="false">B1794*1000+C1794</f>
        <v>32053</v>
      </c>
      <c r="B1794" s="0" t="n">
        <v>32</v>
      </c>
      <c r="C1794" s="0" t="n">
        <v>53</v>
      </c>
      <c r="D1794" s="0" t="n">
        <v>0</v>
      </c>
      <c r="E1794" s="0" t="n">
        <f aca="false">VLOOKUP(B1794,'Babblefish-APUMA'!$A$1:$B$86,2)</f>
        <v>32</v>
      </c>
      <c r="F1794" s="0" t="n">
        <f aca="false">IF(C1794&gt;1,IF(C1794&lt;99,VLOOKUP(C1794,'Babblefish-APUMA'!$A$1:$B$86,2),C1794),C1794)</f>
        <v>90</v>
      </c>
    </row>
    <row r="1795" customFormat="false" ht="12.75" hidden="false" customHeight="false" outlineLevel="0" collapsed="false">
      <c r="A1795" s="0" t="n">
        <f aca="false">B1795*1000+C1795</f>
        <v>32054</v>
      </c>
      <c r="B1795" s="0" t="n">
        <v>32</v>
      </c>
      <c r="C1795" s="0" t="n">
        <v>54</v>
      </c>
      <c r="D1795" s="0" t="n">
        <v>0</v>
      </c>
      <c r="E1795" s="0" t="n">
        <f aca="false">VLOOKUP(B1795,'Babblefish-APUMA'!$A$1:$B$86,2)</f>
        <v>32</v>
      </c>
      <c r="F1795" s="0" t="n">
        <f aca="false">IF(C1795&gt;1,IF(C1795&lt;99,VLOOKUP(C1795,'Babblefish-APUMA'!$A$1:$B$86,2),C1795),C1795)</f>
        <v>90</v>
      </c>
    </row>
    <row r="1796" customFormat="false" ht="12.75" hidden="false" customHeight="false" outlineLevel="0" collapsed="false">
      <c r="A1796" s="0" t="n">
        <f aca="false">B1796*1000+C1796</f>
        <v>32055</v>
      </c>
      <c r="B1796" s="0" t="n">
        <v>32</v>
      </c>
      <c r="C1796" s="0" t="n">
        <v>55</v>
      </c>
      <c r="D1796" s="0" t="n">
        <v>0</v>
      </c>
      <c r="E1796" s="0" t="n">
        <f aca="false">VLOOKUP(B1796,'Babblefish-APUMA'!$A$1:$B$86,2)</f>
        <v>32</v>
      </c>
      <c r="F1796" s="0" t="n">
        <f aca="false">IF(C1796&gt;1,IF(C1796&lt;99,VLOOKUP(C1796,'Babblefish-APUMA'!$A$1:$B$86,2),C1796),C1796)</f>
        <v>90</v>
      </c>
    </row>
    <row r="1797" customFormat="false" ht="12.75" hidden="false" customHeight="false" outlineLevel="0" collapsed="false">
      <c r="A1797" s="0" t="n">
        <f aca="false">B1797*1000+C1797</f>
        <v>32056</v>
      </c>
      <c r="B1797" s="0" t="n">
        <v>32</v>
      </c>
      <c r="C1797" s="0" t="n">
        <v>56</v>
      </c>
      <c r="D1797" s="0" t="n">
        <v>0</v>
      </c>
      <c r="E1797" s="0" t="n">
        <f aca="false">VLOOKUP(B1797,'Babblefish-APUMA'!$A$1:$B$86,2)</f>
        <v>32</v>
      </c>
      <c r="F1797" s="0" t="n">
        <f aca="false">IF(C1797&gt;1,IF(C1797&lt;99,VLOOKUP(C1797,'Babblefish-APUMA'!$A$1:$B$86,2),C1797),C1797)</f>
        <v>90</v>
      </c>
    </row>
    <row r="1798" customFormat="false" ht="12.75" hidden="false" customHeight="false" outlineLevel="0" collapsed="false">
      <c r="A1798" s="0" t="n">
        <f aca="false">B1798*1000+C1798</f>
        <v>32057</v>
      </c>
      <c r="B1798" s="0" t="n">
        <v>32</v>
      </c>
      <c r="C1798" s="0" t="n">
        <v>57</v>
      </c>
      <c r="D1798" s="0" t="n">
        <v>0</v>
      </c>
      <c r="E1798" s="0" t="n">
        <f aca="false">VLOOKUP(B1798,'Babblefish-APUMA'!$A$1:$B$86,2)</f>
        <v>32</v>
      </c>
      <c r="F1798" s="0" t="n">
        <f aca="false">IF(C1798&gt;1,IF(C1798&lt;99,VLOOKUP(C1798,'Babblefish-APUMA'!$A$1:$B$86,2),C1798),C1798)</f>
        <v>90</v>
      </c>
    </row>
    <row r="1799" customFormat="false" ht="12.75" hidden="false" customHeight="false" outlineLevel="0" collapsed="false">
      <c r="A1799" s="0" t="n">
        <f aca="false">B1799*1000+C1799</f>
        <v>32059</v>
      </c>
      <c r="B1799" s="0" t="n">
        <v>32</v>
      </c>
      <c r="C1799" s="0" t="n">
        <v>59</v>
      </c>
      <c r="D1799" s="0" t="n">
        <v>0</v>
      </c>
      <c r="E1799" s="0" t="n">
        <f aca="false">VLOOKUP(B1799,'Babblefish-APUMA'!$A$1:$B$86,2)</f>
        <v>32</v>
      </c>
      <c r="F1799" s="0" t="n">
        <f aca="false">IF(C1799&gt;1,IF(C1799&lt;99,VLOOKUP(C1799,'Babblefish-APUMA'!$A$1:$B$86,2),C1799),C1799)</f>
        <v>90</v>
      </c>
    </row>
    <row r="1800" customFormat="false" ht="12.75" hidden="false" customHeight="false" outlineLevel="0" collapsed="false">
      <c r="A1800" s="0" t="n">
        <f aca="false">B1800*1000+C1800</f>
        <v>32060</v>
      </c>
      <c r="B1800" s="0" t="n">
        <v>32</v>
      </c>
      <c r="C1800" s="0" t="n">
        <v>60</v>
      </c>
      <c r="D1800" s="0" t="n">
        <v>0</v>
      </c>
      <c r="E1800" s="0" t="n">
        <f aca="false">VLOOKUP(B1800,'Babblefish-APUMA'!$A$1:$B$86,2)</f>
        <v>32</v>
      </c>
      <c r="F1800" s="0" t="n">
        <f aca="false">IF(C1800&gt;1,IF(C1800&lt;99,VLOOKUP(C1800,'Babblefish-APUMA'!$A$1:$B$86,2),C1800),C1800)</f>
        <v>90</v>
      </c>
    </row>
    <row r="1801" customFormat="false" ht="12.75" hidden="false" customHeight="false" outlineLevel="0" collapsed="false">
      <c r="A1801" s="0" t="n">
        <f aca="false">B1801*1000+C1801</f>
        <v>32062</v>
      </c>
      <c r="B1801" s="0" t="n">
        <v>32</v>
      </c>
      <c r="C1801" s="0" t="n">
        <v>62</v>
      </c>
      <c r="D1801" s="0" t="n">
        <v>52</v>
      </c>
      <c r="E1801" s="0" t="n">
        <f aca="false">VLOOKUP(B1801,'Babblefish-APUMA'!$A$1:$B$86,2)</f>
        <v>32</v>
      </c>
      <c r="F1801" s="0" t="n">
        <f aca="false">IF(C1801&gt;1,IF(C1801&lt;99,VLOOKUP(C1801,'Babblefish-APUMA'!$A$1:$B$86,2),C1801),C1801)</f>
        <v>90</v>
      </c>
    </row>
    <row r="1802" customFormat="false" ht="12.75" hidden="false" customHeight="false" outlineLevel="0" collapsed="false">
      <c r="A1802" s="0" t="n">
        <f aca="false">B1802*1000+C1802</f>
        <v>32064</v>
      </c>
      <c r="B1802" s="0" t="n">
        <v>32</v>
      </c>
      <c r="C1802" s="0" t="n">
        <v>64</v>
      </c>
      <c r="D1802" s="0" t="n">
        <v>598</v>
      </c>
      <c r="E1802" s="0" t="n">
        <f aca="false">VLOOKUP(B1802,'Babblefish-APUMA'!$A$1:$B$86,2)</f>
        <v>32</v>
      </c>
      <c r="F1802" s="0" t="n">
        <f aca="false">IF(C1802&gt;1,IF(C1802&lt;99,VLOOKUP(C1802,'Babblefish-APUMA'!$A$1:$B$86,2),C1802),C1802)</f>
        <v>90</v>
      </c>
    </row>
    <row r="1803" customFormat="false" ht="12.75" hidden="false" customHeight="false" outlineLevel="0" collapsed="false">
      <c r="A1803" s="0" t="n">
        <f aca="false">B1803*1000+C1803</f>
        <v>32065</v>
      </c>
      <c r="B1803" s="0" t="n">
        <v>32</v>
      </c>
      <c r="C1803" s="0" t="n">
        <v>65</v>
      </c>
      <c r="D1803" s="0" t="n">
        <v>949</v>
      </c>
      <c r="E1803" s="0" t="n">
        <f aca="false">VLOOKUP(B1803,'Babblefish-APUMA'!$A$1:$B$86,2)</f>
        <v>32</v>
      </c>
      <c r="F1803" s="0" t="n">
        <f aca="false">IF(C1803&gt;1,IF(C1803&lt;99,VLOOKUP(C1803,'Babblefish-APUMA'!$A$1:$B$86,2),C1803),C1803)</f>
        <v>90</v>
      </c>
    </row>
    <row r="1804" customFormat="false" ht="12.75" hidden="false" customHeight="false" outlineLevel="0" collapsed="false">
      <c r="A1804" s="0" t="n">
        <f aca="false">B1804*1000+C1804</f>
        <v>32066</v>
      </c>
      <c r="B1804" s="0" t="n">
        <v>32</v>
      </c>
      <c r="C1804" s="0" t="n">
        <v>66</v>
      </c>
      <c r="D1804" s="0" t="n">
        <v>0</v>
      </c>
      <c r="E1804" s="0" t="n">
        <f aca="false">VLOOKUP(B1804,'Babblefish-APUMA'!$A$1:$B$86,2)</f>
        <v>32</v>
      </c>
      <c r="F1804" s="0" t="n">
        <f aca="false">IF(C1804&gt;1,IF(C1804&lt;99,VLOOKUP(C1804,'Babblefish-APUMA'!$A$1:$B$86,2),C1804),C1804)</f>
        <v>90</v>
      </c>
    </row>
    <row r="1805" customFormat="false" ht="12.75" hidden="false" customHeight="false" outlineLevel="0" collapsed="false">
      <c r="A1805" s="0" t="n">
        <f aca="false">B1805*1000+C1805</f>
        <v>32067</v>
      </c>
      <c r="B1805" s="0" t="n">
        <v>32</v>
      </c>
      <c r="C1805" s="0" t="n">
        <v>67</v>
      </c>
      <c r="D1805" s="0" t="n">
        <v>1768</v>
      </c>
      <c r="E1805" s="0" t="n">
        <f aca="false">VLOOKUP(B1805,'Babblefish-APUMA'!$A$1:$B$86,2)</f>
        <v>32</v>
      </c>
      <c r="F1805" s="0" t="n">
        <f aca="false">IF(C1805&gt;1,IF(C1805&lt;99,VLOOKUP(C1805,'Babblefish-APUMA'!$A$1:$B$86,2),C1805),C1805)</f>
        <v>103</v>
      </c>
    </row>
    <row r="1806" customFormat="false" ht="12.75" hidden="false" customHeight="false" outlineLevel="0" collapsed="false">
      <c r="A1806" s="0" t="n">
        <f aca="false">B1806*1000+C1806</f>
        <v>32069</v>
      </c>
      <c r="B1806" s="0" t="n">
        <v>32</v>
      </c>
      <c r="C1806" s="0" t="n">
        <v>69</v>
      </c>
      <c r="D1806" s="0" t="n">
        <v>156</v>
      </c>
      <c r="E1806" s="0" t="n">
        <f aca="false">VLOOKUP(B1806,'Babblefish-APUMA'!$A$1:$B$86,2)</f>
        <v>32</v>
      </c>
      <c r="F1806" s="0" t="n">
        <f aca="false">IF(C1806&gt;1,IF(C1806&lt;99,VLOOKUP(C1806,'Babblefish-APUMA'!$A$1:$B$86,2),C1806),C1806)</f>
        <v>93</v>
      </c>
    </row>
    <row r="1807" customFormat="false" ht="12.75" hidden="false" customHeight="false" outlineLevel="0" collapsed="false">
      <c r="A1807" s="0" t="n">
        <f aca="false">B1807*1000+C1807</f>
        <v>32071</v>
      </c>
      <c r="B1807" s="0" t="n">
        <v>32</v>
      </c>
      <c r="C1807" s="0" t="n">
        <v>71</v>
      </c>
      <c r="D1807" s="0" t="n">
        <v>0</v>
      </c>
      <c r="E1807" s="0" t="n">
        <f aca="false">VLOOKUP(B1807,'Babblefish-APUMA'!$A$1:$B$86,2)</f>
        <v>32</v>
      </c>
      <c r="F1807" s="0" t="n">
        <f aca="false">IF(C1807&gt;1,IF(C1807&lt;99,VLOOKUP(C1807,'Babblefish-APUMA'!$A$1:$B$86,2),C1807),C1807)</f>
        <v>95</v>
      </c>
    </row>
    <row r="1808" customFormat="false" ht="12.75" hidden="false" customHeight="false" outlineLevel="0" collapsed="false">
      <c r="A1808" s="0" t="n">
        <f aca="false">B1808*1000+C1808</f>
        <v>32072</v>
      </c>
      <c r="B1808" s="0" t="n">
        <v>32</v>
      </c>
      <c r="C1808" s="0" t="n">
        <v>72</v>
      </c>
      <c r="D1808" s="0" t="n">
        <v>260</v>
      </c>
      <c r="E1808" s="0" t="n">
        <f aca="false">VLOOKUP(B1808,'Babblefish-APUMA'!$A$1:$B$86,2)</f>
        <v>32</v>
      </c>
      <c r="F1808" s="0" t="n">
        <f aca="false">IF(C1808&gt;1,IF(C1808&lt;99,VLOOKUP(C1808,'Babblefish-APUMA'!$A$1:$B$86,2),C1808),C1808)</f>
        <v>95</v>
      </c>
    </row>
    <row r="1809" customFormat="false" ht="12.75" hidden="false" customHeight="false" outlineLevel="0" collapsed="false">
      <c r="A1809" s="0" t="n">
        <f aca="false">B1809*1000+C1809</f>
        <v>32073</v>
      </c>
      <c r="B1809" s="0" t="n">
        <v>32</v>
      </c>
      <c r="C1809" s="0" t="n">
        <v>73</v>
      </c>
      <c r="D1809" s="0" t="n">
        <v>0</v>
      </c>
      <c r="E1809" s="0" t="n">
        <f aca="false">VLOOKUP(B1809,'Babblefish-APUMA'!$A$1:$B$86,2)</f>
        <v>32</v>
      </c>
      <c r="F1809" s="0" t="n">
        <f aca="false">IF(C1809&gt;1,IF(C1809&lt;99,VLOOKUP(C1809,'Babblefish-APUMA'!$A$1:$B$86,2),C1809),C1809)</f>
        <v>99</v>
      </c>
    </row>
    <row r="1810" customFormat="false" ht="12.75" hidden="false" customHeight="false" outlineLevel="0" collapsed="false">
      <c r="A1810" s="0" t="n">
        <f aca="false">B1810*1000+C1810</f>
        <v>32075</v>
      </c>
      <c r="B1810" s="0" t="n">
        <v>32</v>
      </c>
      <c r="C1810" s="0" t="n">
        <v>75</v>
      </c>
      <c r="D1810" s="0" t="n">
        <v>0</v>
      </c>
      <c r="E1810" s="0" t="n">
        <f aca="false">VLOOKUP(B1810,'Babblefish-APUMA'!$A$1:$B$86,2)</f>
        <v>32</v>
      </c>
      <c r="F1810" s="0" t="n">
        <f aca="false">IF(C1810&gt;1,IF(C1810&lt;99,VLOOKUP(C1810,'Babblefish-APUMA'!$A$1:$B$86,2),C1810),C1810)</f>
        <v>75</v>
      </c>
    </row>
    <row r="1811" customFormat="false" ht="12.75" hidden="false" customHeight="false" outlineLevel="0" collapsed="false">
      <c r="A1811" s="0" t="n">
        <f aca="false">B1811*1000+C1811</f>
        <v>32076</v>
      </c>
      <c r="B1811" s="0" t="n">
        <v>32</v>
      </c>
      <c r="C1811" s="0" t="n">
        <v>76</v>
      </c>
      <c r="D1811" s="0" t="n">
        <v>0</v>
      </c>
      <c r="E1811" s="0" t="n">
        <f aca="false">VLOOKUP(B1811,'Babblefish-APUMA'!$A$1:$B$86,2)</f>
        <v>32</v>
      </c>
      <c r="F1811" s="0" t="n">
        <f aca="false">IF(C1811&gt;1,IF(C1811&lt;99,VLOOKUP(C1811,'Babblefish-APUMA'!$A$1:$B$86,2),C1811),C1811)</f>
        <v>76</v>
      </c>
    </row>
    <row r="1812" customFormat="false" ht="12.75" hidden="false" customHeight="false" outlineLevel="0" collapsed="false">
      <c r="A1812" s="0" t="n">
        <f aca="false">B1812*1000+C1812</f>
        <v>32077</v>
      </c>
      <c r="B1812" s="0" t="n">
        <v>32</v>
      </c>
      <c r="C1812" s="0" t="n">
        <v>77</v>
      </c>
      <c r="D1812" s="0" t="n">
        <v>0</v>
      </c>
      <c r="E1812" s="0" t="n">
        <f aca="false">VLOOKUP(B1812,'Babblefish-APUMA'!$A$1:$B$86,2)</f>
        <v>32</v>
      </c>
      <c r="F1812" s="0" t="n">
        <f aca="false">IF(C1812&gt;1,IF(C1812&lt;99,VLOOKUP(C1812,'Babblefish-APUMA'!$A$1:$B$86,2),C1812),C1812)</f>
        <v>77</v>
      </c>
    </row>
    <row r="1813" customFormat="false" ht="12.75" hidden="false" customHeight="false" outlineLevel="0" collapsed="false">
      <c r="A1813" s="0" t="n">
        <f aca="false">B1813*1000+C1813</f>
        <v>32079</v>
      </c>
      <c r="B1813" s="0" t="n">
        <v>32</v>
      </c>
      <c r="C1813" s="0" t="n">
        <v>79</v>
      </c>
      <c r="D1813" s="0" t="n">
        <v>0</v>
      </c>
      <c r="E1813" s="0" t="n">
        <f aca="false">VLOOKUP(B1813,'Babblefish-APUMA'!$A$1:$B$86,2)</f>
        <v>32</v>
      </c>
      <c r="F1813" s="0" t="n">
        <f aca="false">IF(C1813&gt;1,IF(C1813&lt;99,VLOOKUP(C1813,'Babblefish-APUMA'!$A$1:$B$86,2),C1813),C1813)</f>
        <v>89</v>
      </c>
    </row>
    <row r="1814" customFormat="false" ht="12.75" hidden="false" customHeight="false" outlineLevel="0" collapsed="false">
      <c r="A1814" s="0" t="n">
        <f aca="false">B1814*1000+C1814</f>
        <v>32080</v>
      </c>
      <c r="B1814" s="0" t="n">
        <v>32</v>
      </c>
      <c r="C1814" s="0" t="n">
        <v>80</v>
      </c>
      <c r="D1814" s="0" t="n">
        <v>5109</v>
      </c>
      <c r="E1814" s="0" t="n">
        <f aca="false">VLOOKUP(B1814,'Babblefish-APUMA'!$A$1:$B$86,2)</f>
        <v>32</v>
      </c>
      <c r="F1814" s="0" t="n">
        <f aca="false">IF(C1814&gt;1,IF(C1814&lt;99,VLOOKUP(C1814,'Babblefish-APUMA'!$A$1:$B$86,2),C1814),C1814)</f>
        <v>80</v>
      </c>
    </row>
    <row r="1815" customFormat="false" ht="12.75" hidden="false" customHeight="false" outlineLevel="0" collapsed="false">
      <c r="A1815" s="0" t="n">
        <f aca="false">B1815*1000+C1815</f>
        <v>32082</v>
      </c>
      <c r="B1815" s="0" t="n">
        <v>32</v>
      </c>
      <c r="C1815" s="0" t="n">
        <v>82</v>
      </c>
      <c r="D1815" s="0" t="n">
        <v>221</v>
      </c>
      <c r="E1815" s="0" t="n">
        <f aca="false">VLOOKUP(B1815,'Babblefish-APUMA'!$A$1:$B$86,2)</f>
        <v>32</v>
      </c>
      <c r="F1815" s="0" t="n">
        <f aca="false">IF(C1815&gt;1,IF(C1815&lt;99,VLOOKUP(C1815,'Babblefish-APUMA'!$A$1:$B$86,2),C1815),C1815)</f>
        <v>95</v>
      </c>
    </row>
    <row r="1816" customFormat="false" ht="12.75" hidden="false" customHeight="false" outlineLevel="0" collapsed="false">
      <c r="A1816" s="0" t="n">
        <f aca="false">B1816*1000+C1816</f>
        <v>32083</v>
      </c>
      <c r="B1816" s="0" t="n">
        <v>32</v>
      </c>
      <c r="C1816" s="0" t="n">
        <v>83</v>
      </c>
      <c r="D1816" s="0" t="n">
        <v>247</v>
      </c>
      <c r="E1816" s="0" t="n">
        <f aca="false">VLOOKUP(B1816,'Babblefish-APUMA'!$A$1:$B$86,2)</f>
        <v>32</v>
      </c>
      <c r="F1816" s="0" t="n">
        <f aca="false">IF(C1816&gt;1,IF(C1816&lt;99,VLOOKUP(C1816,'Babblefish-APUMA'!$A$1:$B$86,2),C1816),C1816)</f>
        <v>103</v>
      </c>
    </row>
    <row r="1817" customFormat="false" ht="12.75" hidden="false" customHeight="false" outlineLevel="0" collapsed="false">
      <c r="A1817" s="0" t="n">
        <f aca="false">B1817*1000+C1817</f>
        <v>32085</v>
      </c>
      <c r="B1817" s="0" t="n">
        <v>32</v>
      </c>
      <c r="C1817" s="0" t="n">
        <v>85</v>
      </c>
      <c r="D1817" s="0" t="n">
        <v>0</v>
      </c>
      <c r="E1817" s="0" t="n">
        <f aca="false">VLOOKUP(B1817,'Babblefish-APUMA'!$A$1:$B$86,2)</f>
        <v>32</v>
      </c>
      <c r="F1817" s="0" t="n">
        <f aca="false">IF(C1817&gt;1,IF(C1817&lt;99,VLOOKUP(C1817,'Babblefish-APUMA'!$A$1:$B$86,2),C1817),C1817)</f>
        <v>97</v>
      </c>
    </row>
    <row r="1818" customFormat="false" ht="12.75" hidden="false" customHeight="false" outlineLevel="0" collapsed="false">
      <c r="A1818" s="0" t="n">
        <f aca="false">B1818*1000+C1818</f>
        <v>32858</v>
      </c>
      <c r="B1818" s="0" t="n">
        <v>32</v>
      </c>
      <c r="C1818" s="0" t="n">
        <v>858</v>
      </c>
      <c r="D1818" s="0" t="n">
        <v>0</v>
      </c>
      <c r="E1818" s="0" t="n">
        <f aca="false">VLOOKUP(B1818,'Babblefish-APUMA'!$A$1:$B$86,2)</f>
        <v>32</v>
      </c>
      <c r="F1818" s="0" t="n">
        <f aca="false">IF(C1818&gt;1,IF(C1818&lt;99,VLOOKUP(C1818,'Babblefish-APUMA'!$A$1:$B$86,2),C1818),C1818)</f>
        <v>858</v>
      </c>
    </row>
    <row r="1819" customFormat="false" ht="12.75" hidden="false" customHeight="false" outlineLevel="0" collapsed="false">
      <c r="A1819" s="0" t="n">
        <f aca="false">B1819*1000+C1819</f>
        <v>32999</v>
      </c>
      <c r="B1819" s="0" t="n">
        <v>32</v>
      </c>
      <c r="C1819" s="0" t="n">
        <v>999</v>
      </c>
      <c r="D1819" s="0" t="n">
        <v>0</v>
      </c>
      <c r="E1819" s="0" t="n">
        <f aca="false">VLOOKUP(B1819,'Babblefish-APUMA'!$A$1:$B$86,2)</f>
        <v>32</v>
      </c>
      <c r="F1819" s="0" t="n">
        <f aca="false">IF(C1819&gt;1,IF(C1819&lt;99,VLOOKUP(C1819,'Babblefish-APUMA'!$A$1:$B$86,2),C1819),C1819)</f>
        <v>999</v>
      </c>
    </row>
    <row r="1820" customFormat="false" ht="12.75" hidden="false" customHeight="false" outlineLevel="0" collapsed="false">
      <c r="A1820" s="0" t="n">
        <f aca="false">B1820*1000+C1820</f>
        <v>33000</v>
      </c>
      <c r="B1820" s="0" t="n">
        <v>33</v>
      </c>
      <c r="C1820" s="0" t="n">
        <v>0</v>
      </c>
      <c r="D1820" s="0" t="n">
        <v>543075</v>
      </c>
      <c r="E1820" s="0" t="n">
        <f aca="false">VLOOKUP(B1820,'Babblefish-APUMA'!$A$1:$B$86,2)</f>
        <v>96</v>
      </c>
      <c r="F1820" s="0" t="n">
        <f aca="false">IF(C1820&gt;1,IF(C1820&lt;99,VLOOKUP(C1820,'Babblefish-APUMA'!$A$1:$B$86,2),C1820),C1820)</f>
        <v>0</v>
      </c>
    </row>
    <row r="1821" customFormat="false" ht="12.75" hidden="false" customHeight="false" outlineLevel="0" collapsed="false">
      <c r="A1821" s="0" t="n">
        <f aca="false">B1821*1000+C1821</f>
        <v>33001</v>
      </c>
      <c r="B1821" s="0" t="n">
        <v>33</v>
      </c>
      <c r="C1821" s="0" t="n">
        <v>1</v>
      </c>
      <c r="D1821" s="0" t="n">
        <v>169</v>
      </c>
      <c r="E1821" s="0" t="n">
        <f aca="false">VLOOKUP(B1821,'Babblefish-APUMA'!$A$1:$B$86,2)</f>
        <v>96</v>
      </c>
      <c r="F1821" s="0" t="n">
        <f aca="false">IF(C1821&gt;1,IF(C1821&lt;99,VLOOKUP(C1821,'Babblefish-APUMA'!$A$1:$B$86,2),C1821),C1821)</f>
        <v>1</v>
      </c>
    </row>
    <row r="1822" customFormat="false" ht="12.75" hidden="false" customHeight="false" outlineLevel="0" collapsed="false">
      <c r="A1822" s="0" t="n">
        <f aca="false">B1822*1000+C1822</f>
        <v>33002</v>
      </c>
      <c r="B1822" s="0" t="n">
        <v>33</v>
      </c>
      <c r="C1822" s="0" t="n">
        <v>2</v>
      </c>
      <c r="D1822" s="0" t="n">
        <v>0</v>
      </c>
      <c r="E1822" s="0" t="n">
        <f aca="false">VLOOKUP(B1822,'Babblefish-APUMA'!$A$1:$B$86,2)</f>
        <v>96</v>
      </c>
      <c r="F1822" s="0" t="n">
        <f aca="false">IF(C1822&gt;1,IF(C1822&lt;99,VLOOKUP(C1822,'Babblefish-APUMA'!$A$1:$B$86,2),C1822),C1822)</f>
        <v>2</v>
      </c>
    </row>
    <row r="1823" customFormat="false" ht="12.75" hidden="false" customHeight="false" outlineLevel="0" collapsed="false">
      <c r="A1823" s="0" t="n">
        <f aca="false">B1823*1000+C1823</f>
        <v>33003</v>
      </c>
      <c r="B1823" s="0" t="n">
        <v>33</v>
      </c>
      <c r="C1823" s="0" t="n">
        <v>3</v>
      </c>
      <c r="D1823" s="0" t="n">
        <v>0</v>
      </c>
      <c r="E1823" s="0" t="n">
        <f aca="false">VLOOKUP(B1823,'Babblefish-APUMA'!$A$1:$B$86,2)</f>
        <v>96</v>
      </c>
      <c r="F1823" s="0" t="n">
        <f aca="false">IF(C1823&gt;1,IF(C1823&lt;99,VLOOKUP(C1823,'Babblefish-APUMA'!$A$1:$B$86,2),C1823),C1823)</f>
        <v>3</v>
      </c>
    </row>
    <row r="1824" customFormat="false" ht="12.75" hidden="false" customHeight="false" outlineLevel="0" collapsed="false">
      <c r="A1824" s="0" t="n">
        <f aca="false">B1824*1000+C1824</f>
        <v>33004</v>
      </c>
      <c r="B1824" s="0" t="n">
        <v>33</v>
      </c>
      <c r="C1824" s="0" t="n">
        <v>4</v>
      </c>
      <c r="D1824" s="0" t="n">
        <v>130</v>
      </c>
      <c r="E1824" s="0" t="n">
        <f aca="false">VLOOKUP(B1824,'Babblefish-APUMA'!$A$1:$B$86,2)</f>
        <v>96</v>
      </c>
      <c r="F1824" s="0" t="n">
        <f aca="false">IF(C1824&gt;1,IF(C1824&lt;99,VLOOKUP(C1824,'Babblefish-APUMA'!$A$1:$B$86,2),C1824),C1824)</f>
        <v>4</v>
      </c>
    </row>
    <row r="1825" customFormat="false" ht="12.75" hidden="false" customHeight="false" outlineLevel="0" collapsed="false">
      <c r="A1825" s="0" t="n">
        <f aca="false">B1825*1000+C1825</f>
        <v>33005</v>
      </c>
      <c r="B1825" s="0" t="n">
        <v>33</v>
      </c>
      <c r="C1825" s="0" t="n">
        <v>5</v>
      </c>
      <c r="D1825" s="0" t="n">
        <v>0</v>
      </c>
      <c r="E1825" s="0" t="n">
        <f aca="false">VLOOKUP(B1825,'Babblefish-APUMA'!$A$1:$B$86,2)</f>
        <v>96</v>
      </c>
      <c r="F1825" s="0" t="n">
        <f aca="false">IF(C1825&gt;1,IF(C1825&lt;99,VLOOKUP(C1825,'Babblefish-APUMA'!$A$1:$B$86,2),C1825),C1825)</f>
        <v>5</v>
      </c>
    </row>
    <row r="1826" customFormat="false" ht="12.75" hidden="false" customHeight="false" outlineLevel="0" collapsed="false">
      <c r="A1826" s="0" t="n">
        <f aca="false">B1826*1000+C1826</f>
        <v>33006</v>
      </c>
      <c r="B1826" s="0" t="n">
        <v>33</v>
      </c>
      <c r="C1826" s="0" t="n">
        <v>6</v>
      </c>
      <c r="D1826" s="0" t="n">
        <v>130</v>
      </c>
      <c r="E1826" s="0" t="n">
        <f aca="false">VLOOKUP(B1826,'Babblefish-APUMA'!$A$1:$B$86,2)</f>
        <v>96</v>
      </c>
      <c r="F1826" s="0" t="n">
        <f aca="false">IF(C1826&gt;1,IF(C1826&lt;99,VLOOKUP(C1826,'Babblefish-APUMA'!$A$1:$B$86,2),C1826),C1826)</f>
        <v>6</v>
      </c>
    </row>
    <row r="1827" customFormat="false" ht="12.75" hidden="false" customHeight="false" outlineLevel="0" collapsed="false">
      <c r="A1827" s="0" t="n">
        <f aca="false">B1827*1000+C1827</f>
        <v>33007</v>
      </c>
      <c r="B1827" s="0" t="n">
        <v>33</v>
      </c>
      <c r="C1827" s="0" t="n">
        <v>7</v>
      </c>
      <c r="D1827" s="0" t="n">
        <v>65</v>
      </c>
      <c r="E1827" s="0" t="n">
        <f aca="false">VLOOKUP(B1827,'Babblefish-APUMA'!$A$1:$B$86,2)</f>
        <v>96</v>
      </c>
      <c r="F1827" s="0" t="n">
        <f aca="false">IF(C1827&gt;1,IF(C1827&lt;99,VLOOKUP(C1827,'Babblefish-APUMA'!$A$1:$B$86,2),C1827),C1827)</f>
        <v>7</v>
      </c>
    </row>
    <row r="1828" customFormat="false" ht="12.75" hidden="false" customHeight="false" outlineLevel="0" collapsed="false">
      <c r="A1828" s="0" t="n">
        <f aca="false">B1828*1000+C1828</f>
        <v>33008</v>
      </c>
      <c r="B1828" s="0" t="n">
        <v>33</v>
      </c>
      <c r="C1828" s="0" t="n">
        <v>8</v>
      </c>
      <c r="D1828" s="0" t="n">
        <v>104</v>
      </c>
      <c r="E1828" s="0" t="n">
        <f aca="false">VLOOKUP(B1828,'Babblefish-APUMA'!$A$1:$B$86,2)</f>
        <v>96</v>
      </c>
      <c r="F1828" s="0" t="n">
        <f aca="false">IF(C1828&gt;1,IF(C1828&lt;99,VLOOKUP(C1828,'Babblefish-APUMA'!$A$1:$B$86,2),C1828),C1828)</f>
        <v>8</v>
      </c>
    </row>
    <row r="1829" customFormat="false" ht="12.75" hidden="false" customHeight="false" outlineLevel="0" collapsed="false">
      <c r="A1829" s="0" t="n">
        <f aca="false">B1829*1000+C1829</f>
        <v>33009</v>
      </c>
      <c r="B1829" s="0" t="n">
        <v>33</v>
      </c>
      <c r="C1829" s="0" t="n">
        <v>9</v>
      </c>
      <c r="D1829" s="0" t="n">
        <v>78</v>
      </c>
      <c r="E1829" s="0" t="n">
        <f aca="false">VLOOKUP(B1829,'Babblefish-APUMA'!$A$1:$B$86,2)</f>
        <v>96</v>
      </c>
      <c r="F1829" s="0" t="n">
        <f aca="false">IF(C1829&gt;1,IF(C1829&lt;99,VLOOKUP(C1829,'Babblefish-APUMA'!$A$1:$B$86,2),C1829),C1829)</f>
        <v>9</v>
      </c>
    </row>
    <row r="1830" customFormat="false" ht="12.75" hidden="false" customHeight="false" outlineLevel="0" collapsed="false">
      <c r="A1830" s="0" t="n">
        <f aca="false">B1830*1000+C1830</f>
        <v>33010</v>
      </c>
      <c r="B1830" s="0" t="n">
        <v>33</v>
      </c>
      <c r="C1830" s="0" t="n">
        <v>10</v>
      </c>
      <c r="D1830" s="0" t="n">
        <v>0</v>
      </c>
      <c r="E1830" s="0" t="n">
        <f aca="false">VLOOKUP(B1830,'Babblefish-APUMA'!$A$1:$B$86,2)</f>
        <v>96</v>
      </c>
      <c r="F1830" s="0" t="n">
        <f aca="false">IF(C1830&gt;1,IF(C1830&lt;99,VLOOKUP(C1830,'Babblefish-APUMA'!$A$1:$B$86,2),C1830),C1830)</f>
        <v>10</v>
      </c>
    </row>
    <row r="1831" customFormat="false" ht="12.75" hidden="false" customHeight="false" outlineLevel="0" collapsed="false">
      <c r="A1831" s="0" t="n">
        <f aca="false">B1831*1000+C1831</f>
        <v>33011</v>
      </c>
      <c r="B1831" s="0" t="n">
        <v>33</v>
      </c>
      <c r="C1831" s="0" t="n">
        <v>11</v>
      </c>
      <c r="D1831" s="0" t="n">
        <v>104</v>
      </c>
      <c r="E1831" s="0" t="n">
        <f aca="false">VLOOKUP(B1831,'Babblefish-APUMA'!$A$1:$B$86,2)</f>
        <v>96</v>
      </c>
      <c r="F1831" s="0" t="n">
        <f aca="false">IF(C1831&gt;1,IF(C1831&lt;99,VLOOKUP(C1831,'Babblefish-APUMA'!$A$1:$B$86,2),C1831),C1831)</f>
        <v>11</v>
      </c>
    </row>
    <row r="1832" customFormat="false" ht="12.75" hidden="false" customHeight="false" outlineLevel="0" collapsed="false">
      <c r="A1832" s="0" t="n">
        <f aca="false">B1832*1000+C1832</f>
        <v>33012</v>
      </c>
      <c r="B1832" s="0" t="n">
        <v>33</v>
      </c>
      <c r="C1832" s="0" t="n">
        <v>12</v>
      </c>
      <c r="D1832" s="0" t="n">
        <v>130</v>
      </c>
      <c r="E1832" s="0" t="n">
        <f aca="false">VLOOKUP(B1832,'Babblefish-APUMA'!$A$1:$B$86,2)</f>
        <v>96</v>
      </c>
      <c r="F1832" s="0" t="n">
        <f aca="false">IF(C1832&gt;1,IF(C1832&lt;99,VLOOKUP(C1832,'Babblefish-APUMA'!$A$1:$B$86,2),C1832),C1832)</f>
        <v>12</v>
      </c>
    </row>
    <row r="1833" customFormat="false" ht="12.75" hidden="false" customHeight="false" outlineLevel="0" collapsed="false">
      <c r="A1833" s="0" t="n">
        <f aca="false">B1833*1000+C1833</f>
        <v>33013</v>
      </c>
      <c r="B1833" s="0" t="n">
        <v>33</v>
      </c>
      <c r="C1833" s="0" t="n">
        <v>13</v>
      </c>
      <c r="D1833" s="0" t="n">
        <v>0</v>
      </c>
      <c r="E1833" s="0" t="n">
        <f aca="false">VLOOKUP(B1833,'Babblefish-APUMA'!$A$1:$B$86,2)</f>
        <v>96</v>
      </c>
      <c r="F1833" s="0" t="n">
        <f aca="false">IF(C1833&gt;1,IF(C1833&lt;99,VLOOKUP(C1833,'Babblefish-APUMA'!$A$1:$B$86,2),C1833),C1833)</f>
        <v>100</v>
      </c>
    </row>
    <row r="1834" customFormat="false" ht="12.75" hidden="false" customHeight="false" outlineLevel="0" collapsed="false">
      <c r="A1834" s="0" t="n">
        <f aca="false">B1834*1000+C1834</f>
        <v>33014</v>
      </c>
      <c r="B1834" s="0" t="n">
        <v>33</v>
      </c>
      <c r="C1834" s="0" t="n">
        <v>14</v>
      </c>
      <c r="D1834" s="0" t="n">
        <v>0</v>
      </c>
      <c r="E1834" s="0" t="n">
        <f aca="false">VLOOKUP(B1834,'Babblefish-APUMA'!$A$1:$B$86,2)</f>
        <v>96</v>
      </c>
      <c r="F1834" s="0" t="n">
        <f aca="false">IF(C1834&gt;1,IF(C1834&lt;99,VLOOKUP(C1834,'Babblefish-APUMA'!$A$1:$B$86,2),C1834),C1834)</f>
        <v>100</v>
      </c>
    </row>
    <row r="1835" customFormat="false" ht="12.75" hidden="false" customHeight="false" outlineLevel="0" collapsed="false">
      <c r="A1835" s="0" t="n">
        <f aca="false">B1835*1000+C1835</f>
        <v>33015</v>
      </c>
      <c r="B1835" s="0" t="n">
        <v>33</v>
      </c>
      <c r="C1835" s="0" t="n">
        <v>15</v>
      </c>
      <c r="D1835" s="0" t="n">
        <v>0</v>
      </c>
      <c r="E1835" s="0" t="n">
        <f aca="false">VLOOKUP(B1835,'Babblefish-APUMA'!$A$1:$B$86,2)</f>
        <v>96</v>
      </c>
      <c r="F1835" s="0" t="n">
        <f aca="false">IF(C1835&gt;1,IF(C1835&lt;99,VLOOKUP(C1835,'Babblefish-APUMA'!$A$1:$B$86,2),C1835),C1835)</f>
        <v>15</v>
      </c>
    </row>
    <row r="1836" customFormat="false" ht="12.75" hidden="false" customHeight="false" outlineLevel="0" collapsed="false">
      <c r="A1836" s="0" t="n">
        <f aca="false">B1836*1000+C1836</f>
        <v>33016</v>
      </c>
      <c r="B1836" s="0" t="n">
        <v>33</v>
      </c>
      <c r="C1836" s="0" t="n">
        <v>16</v>
      </c>
      <c r="D1836" s="0" t="n">
        <v>65</v>
      </c>
      <c r="E1836" s="0" t="n">
        <f aca="false">VLOOKUP(B1836,'Babblefish-APUMA'!$A$1:$B$86,2)</f>
        <v>96</v>
      </c>
      <c r="F1836" s="0" t="n">
        <f aca="false">IF(C1836&gt;1,IF(C1836&lt;99,VLOOKUP(C1836,'Babblefish-APUMA'!$A$1:$B$86,2),C1836),C1836)</f>
        <v>99</v>
      </c>
    </row>
    <row r="1837" customFormat="false" ht="12.75" hidden="false" customHeight="false" outlineLevel="0" collapsed="false">
      <c r="A1837" s="0" t="n">
        <f aca="false">B1837*1000+C1837</f>
        <v>33017</v>
      </c>
      <c r="B1837" s="0" t="n">
        <v>33</v>
      </c>
      <c r="C1837" s="0" t="n">
        <v>17</v>
      </c>
      <c r="D1837" s="0" t="n">
        <v>0</v>
      </c>
      <c r="E1837" s="0" t="n">
        <f aca="false">VLOOKUP(B1837,'Babblefish-APUMA'!$A$1:$B$86,2)</f>
        <v>96</v>
      </c>
      <c r="F1837" s="0" t="n">
        <f aca="false">IF(C1837&gt;1,IF(C1837&lt;99,VLOOKUP(C1837,'Babblefish-APUMA'!$A$1:$B$86,2),C1837),C1837)</f>
        <v>87</v>
      </c>
    </row>
    <row r="1838" customFormat="false" ht="12.75" hidden="false" customHeight="false" outlineLevel="0" collapsed="false">
      <c r="A1838" s="0" t="n">
        <f aca="false">B1838*1000+C1838</f>
        <v>33018</v>
      </c>
      <c r="B1838" s="0" t="n">
        <v>33</v>
      </c>
      <c r="C1838" s="0" t="n">
        <v>18</v>
      </c>
      <c r="D1838" s="0" t="n">
        <v>0</v>
      </c>
      <c r="E1838" s="0" t="n">
        <f aca="false">VLOOKUP(B1838,'Babblefish-APUMA'!$A$1:$B$86,2)</f>
        <v>96</v>
      </c>
      <c r="F1838" s="0" t="n">
        <f aca="false">IF(C1838&gt;1,IF(C1838&lt;99,VLOOKUP(C1838,'Babblefish-APUMA'!$A$1:$B$86,2),C1838),C1838)</f>
        <v>87</v>
      </c>
    </row>
    <row r="1839" customFormat="false" ht="12.75" hidden="false" customHeight="false" outlineLevel="0" collapsed="false">
      <c r="A1839" s="0" t="n">
        <f aca="false">B1839*1000+C1839</f>
        <v>33019</v>
      </c>
      <c r="B1839" s="0" t="n">
        <v>33</v>
      </c>
      <c r="C1839" s="0" t="n">
        <v>19</v>
      </c>
      <c r="D1839" s="0" t="n">
        <v>637</v>
      </c>
      <c r="E1839" s="0" t="n">
        <f aca="false">VLOOKUP(B1839,'Babblefish-APUMA'!$A$1:$B$86,2)</f>
        <v>96</v>
      </c>
      <c r="F1839" s="0" t="n">
        <f aca="false">IF(C1839&gt;1,IF(C1839&lt;99,VLOOKUP(C1839,'Babblefish-APUMA'!$A$1:$B$86,2),C1839),C1839)</f>
        <v>19</v>
      </c>
    </row>
    <row r="1840" customFormat="false" ht="12.75" hidden="false" customHeight="false" outlineLevel="0" collapsed="false">
      <c r="A1840" s="0" t="n">
        <f aca="false">B1840*1000+C1840</f>
        <v>33020</v>
      </c>
      <c r="B1840" s="0" t="n">
        <v>33</v>
      </c>
      <c r="C1840" s="0" t="n">
        <v>20</v>
      </c>
      <c r="D1840" s="0" t="n">
        <v>130</v>
      </c>
      <c r="E1840" s="0" t="n">
        <f aca="false">VLOOKUP(B1840,'Babblefish-APUMA'!$A$1:$B$86,2)</f>
        <v>96</v>
      </c>
      <c r="F1840" s="0" t="n">
        <f aca="false">IF(C1840&gt;1,IF(C1840&lt;99,VLOOKUP(C1840,'Babblefish-APUMA'!$A$1:$B$86,2),C1840),C1840)</f>
        <v>86</v>
      </c>
    </row>
    <row r="1841" customFormat="false" ht="12.75" hidden="false" customHeight="false" outlineLevel="0" collapsed="false">
      <c r="A1841" s="0" t="n">
        <f aca="false">B1841*1000+C1841</f>
        <v>33021</v>
      </c>
      <c r="B1841" s="0" t="n">
        <v>33</v>
      </c>
      <c r="C1841" s="0" t="n">
        <v>21</v>
      </c>
      <c r="D1841" s="0" t="n">
        <v>663</v>
      </c>
      <c r="E1841" s="0" t="n">
        <f aca="false">VLOOKUP(B1841,'Babblefish-APUMA'!$A$1:$B$86,2)</f>
        <v>96</v>
      </c>
      <c r="F1841" s="0" t="n">
        <f aca="false">IF(C1841&gt;1,IF(C1841&lt;99,VLOOKUP(C1841,'Babblefish-APUMA'!$A$1:$B$86,2),C1841),C1841)</f>
        <v>86</v>
      </c>
    </row>
    <row r="1842" customFormat="false" ht="12.75" hidden="false" customHeight="false" outlineLevel="0" collapsed="false">
      <c r="A1842" s="0" t="n">
        <f aca="false">B1842*1000+C1842</f>
        <v>33022</v>
      </c>
      <c r="B1842" s="0" t="n">
        <v>33</v>
      </c>
      <c r="C1842" s="0" t="n">
        <v>22</v>
      </c>
      <c r="D1842" s="0" t="n">
        <v>559</v>
      </c>
      <c r="E1842" s="0" t="n">
        <f aca="false">VLOOKUP(B1842,'Babblefish-APUMA'!$A$1:$B$86,2)</f>
        <v>96</v>
      </c>
      <c r="F1842" s="0" t="n">
        <f aca="false">IF(C1842&gt;1,IF(C1842&lt;99,VLOOKUP(C1842,'Babblefish-APUMA'!$A$1:$B$86,2),C1842),C1842)</f>
        <v>22</v>
      </c>
    </row>
    <row r="1843" customFormat="false" ht="12.75" hidden="false" customHeight="false" outlineLevel="0" collapsed="false">
      <c r="A1843" s="0" t="n">
        <f aca="false">B1843*1000+C1843</f>
        <v>33023</v>
      </c>
      <c r="B1843" s="0" t="n">
        <v>33</v>
      </c>
      <c r="C1843" s="0" t="n">
        <v>23</v>
      </c>
      <c r="D1843" s="0" t="n">
        <v>91</v>
      </c>
      <c r="E1843" s="0" t="n">
        <f aca="false">VLOOKUP(B1843,'Babblefish-APUMA'!$A$1:$B$86,2)</f>
        <v>96</v>
      </c>
      <c r="F1843" s="0" t="n">
        <f aca="false">IF(C1843&gt;1,IF(C1843&lt;99,VLOOKUP(C1843,'Babblefish-APUMA'!$A$1:$B$86,2),C1843),C1843)</f>
        <v>97</v>
      </c>
    </row>
    <row r="1844" customFormat="false" ht="12.75" hidden="false" customHeight="false" outlineLevel="0" collapsed="false">
      <c r="A1844" s="0" t="n">
        <f aca="false">B1844*1000+C1844</f>
        <v>33024</v>
      </c>
      <c r="B1844" s="0" t="n">
        <v>33</v>
      </c>
      <c r="C1844" s="0" t="n">
        <v>24</v>
      </c>
      <c r="D1844" s="0" t="n">
        <v>0</v>
      </c>
      <c r="E1844" s="0" t="n">
        <f aca="false">VLOOKUP(B1844,'Babblefish-APUMA'!$A$1:$B$86,2)</f>
        <v>96</v>
      </c>
      <c r="F1844" s="0" t="n">
        <f aca="false">IF(C1844&gt;1,IF(C1844&lt;99,VLOOKUP(C1844,'Babblefish-APUMA'!$A$1:$B$86,2),C1844),C1844)</f>
        <v>101</v>
      </c>
    </row>
    <row r="1845" customFormat="false" ht="12.75" hidden="false" customHeight="false" outlineLevel="0" collapsed="false">
      <c r="A1845" s="0" t="n">
        <f aca="false">B1845*1000+C1845</f>
        <v>33025</v>
      </c>
      <c r="B1845" s="0" t="n">
        <v>33</v>
      </c>
      <c r="C1845" s="0" t="n">
        <v>25</v>
      </c>
      <c r="D1845" s="0" t="n">
        <v>143</v>
      </c>
      <c r="E1845" s="0" t="n">
        <f aca="false">VLOOKUP(B1845,'Babblefish-APUMA'!$A$1:$B$86,2)</f>
        <v>96</v>
      </c>
      <c r="F1845" s="0" t="n">
        <f aca="false">IF(C1845&gt;1,IF(C1845&lt;99,VLOOKUP(C1845,'Babblefish-APUMA'!$A$1:$B$86,2),C1845),C1845)</f>
        <v>101</v>
      </c>
    </row>
    <row r="1846" customFormat="false" ht="12.75" hidden="false" customHeight="false" outlineLevel="0" collapsed="false">
      <c r="A1846" s="0" t="n">
        <f aca="false">B1846*1000+C1846</f>
        <v>33026</v>
      </c>
      <c r="B1846" s="0" t="n">
        <v>33</v>
      </c>
      <c r="C1846" s="0" t="n">
        <v>26</v>
      </c>
      <c r="D1846" s="0" t="n">
        <v>156</v>
      </c>
      <c r="E1846" s="0" t="n">
        <f aca="false">VLOOKUP(B1846,'Babblefish-APUMA'!$A$1:$B$86,2)</f>
        <v>96</v>
      </c>
      <c r="F1846" s="0" t="n">
        <f aca="false">IF(C1846&gt;1,IF(C1846&lt;99,VLOOKUP(C1846,'Babblefish-APUMA'!$A$1:$B$86,2),C1846),C1846)</f>
        <v>26</v>
      </c>
    </row>
    <row r="1847" customFormat="false" ht="12.75" hidden="false" customHeight="false" outlineLevel="0" collapsed="false">
      <c r="A1847" s="0" t="n">
        <f aca="false">B1847*1000+C1847</f>
        <v>33027</v>
      </c>
      <c r="B1847" s="0" t="n">
        <v>33</v>
      </c>
      <c r="C1847" s="0" t="n">
        <v>27</v>
      </c>
      <c r="D1847" s="0" t="n">
        <v>0</v>
      </c>
      <c r="E1847" s="0" t="n">
        <f aca="false">VLOOKUP(B1847,'Babblefish-APUMA'!$A$1:$B$86,2)</f>
        <v>96</v>
      </c>
      <c r="F1847" s="0" t="n">
        <f aca="false">IF(C1847&gt;1,IF(C1847&lt;99,VLOOKUP(C1847,'Babblefish-APUMA'!$A$1:$B$86,2),C1847),C1847)</f>
        <v>27</v>
      </c>
    </row>
    <row r="1848" customFormat="false" ht="12.75" hidden="false" customHeight="false" outlineLevel="0" collapsed="false">
      <c r="A1848" s="0" t="n">
        <f aca="false">B1848*1000+C1848</f>
        <v>33028</v>
      </c>
      <c r="B1848" s="0" t="n">
        <v>33</v>
      </c>
      <c r="C1848" s="0" t="n">
        <v>28</v>
      </c>
      <c r="D1848" s="0" t="n">
        <v>0</v>
      </c>
      <c r="E1848" s="0" t="n">
        <f aca="false">VLOOKUP(B1848,'Babblefish-APUMA'!$A$1:$B$86,2)</f>
        <v>96</v>
      </c>
      <c r="F1848" s="0" t="n">
        <f aca="false">IF(C1848&gt;1,IF(C1848&lt;99,VLOOKUP(C1848,'Babblefish-APUMA'!$A$1:$B$86,2),C1848),C1848)</f>
        <v>94</v>
      </c>
    </row>
    <row r="1849" customFormat="false" ht="12.75" hidden="false" customHeight="false" outlineLevel="0" collapsed="false">
      <c r="A1849" s="0" t="n">
        <f aca="false">B1849*1000+C1849</f>
        <v>33029</v>
      </c>
      <c r="B1849" s="0" t="n">
        <v>33</v>
      </c>
      <c r="C1849" s="0" t="n">
        <v>29</v>
      </c>
      <c r="D1849" s="0" t="n">
        <v>91</v>
      </c>
      <c r="E1849" s="0" t="n">
        <f aca="false">VLOOKUP(B1849,'Babblefish-APUMA'!$A$1:$B$86,2)</f>
        <v>96</v>
      </c>
      <c r="F1849" s="0" t="n">
        <f aca="false">IF(C1849&gt;1,IF(C1849&lt;99,VLOOKUP(C1849,'Babblefish-APUMA'!$A$1:$B$86,2),C1849),C1849)</f>
        <v>94</v>
      </c>
    </row>
    <row r="1850" customFormat="false" ht="12.75" hidden="false" customHeight="false" outlineLevel="0" collapsed="false">
      <c r="A1850" s="0" t="n">
        <f aca="false">B1850*1000+C1850</f>
        <v>33030</v>
      </c>
      <c r="B1850" s="0" t="n">
        <v>33</v>
      </c>
      <c r="C1850" s="0" t="n">
        <v>30</v>
      </c>
      <c r="D1850" s="0" t="n">
        <v>91</v>
      </c>
      <c r="E1850" s="0" t="n">
        <f aca="false">VLOOKUP(B1850,'Babblefish-APUMA'!$A$1:$B$86,2)</f>
        <v>96</v>
      </c>
      <c r="F1850" s="0" t="n">
        <f aca="false">IF(C1850&gt;1,IF(C1850&lt;99,VLOOKUP(C1850,'Babblefish-APUMA'!$A$1:$B$86,2),C1850),C1850)</f>
        <v>30</v>
      </c>
    </row>
    <row r="1851" customFormat="false" ht="12.75" hidden="false" customHeight="false" outlineLevel="0" collapsed="false">
      <c r="A1851" s="0" t="n">
        <f aca="false">B1851*1000+C1851</f>
        <v>33031</v>
      </c>
      <c r="B1851" s="0" t="n">
        <v>33</v>
      </c>
      <c r="C1851" s="0" t="n">
        <v>31</v>
      </c>
      <c r="D1851" s="0" t="n">
        <v>0</v>
      </c>
      <c r="E1851" s="0" t="n">
        <f aca="false">VLOOKUP(B1851,'Babblefish-APUMA'!$A$1:$B$86,2)</f>
        <v>96</v>
      </c>
      <c r="F1851" s="0" t="n">
        <f aca="false">IF(C1851&gt;1,IF(C1851&lt;99,VLOOKUP(C1851,'Babblefish-APUMA'!$A$1:$B$86,2),C1851),C1851)</f>
        <v>31</v>
      </c>
    </row>
    <row r="1852" customFormat="false" ht="12.75" hidden="false" customHeight="false" outlineLevel="0" collapsed="false">
      <c r="A1852" s="0" t="n">
        <f aca="false">B1852*1000+C1852</f>
        <v>33032</v>
      </c>
      <c r="B1852" s="0" t="n">
        <v>33</v>
      </c>
      <c r="C1852" s="0" t="n">
        <v>32</v>
      </c>
      <c r="D1852" s="0" t="n">
        <v>0</v>
      </c>
      <c r="E1852" s="0" t="n">
        <f aca="false">VLOOKUP(B1852,'Babblefish-APUMA'!$A$1:$B$86,2)</f>
        <v>96</v>
      </c>
      <c r="F1852" s="0" t="n">
        <f aca="false">IF(C1852&gt;1,IF(C1852&lt;99,VLOOKUP(C1852,'Babblefish-APUMA'!$A$1:$B$86,2),C1852),C1852)</f>
        <v>32</v>
      </c>
    </row>
    <row r="1853" customFormat="false" ht="12.75" hidden="false" customHeight="false" outlineLevel="0" collapsed="false">
      <c r="A1853" s="0" t="n">
        <f aca="false">B1853*1000+C1853</f>
        <v>33033</v>
      </c>
      <c r="B1853" s="0" t="n">
        <v>33</v>
      </c>
      <c r="C1853" s="0" t="n">
        <v>33</v>
      </c>
      <c r="D1853" s="0" t="n">
        <v>455325</v>
      </c>
      <c r="E1853" s="0" t="n">
        <f aca="false">VLOOKUP(B1853,'Babblefish-APUMA'!$A$1:$B$86,2)</f>
        <v>96</v>
      </c>
      <c r="F1853" s="0" t="n">
        <f aca="false">IF(C1853&gt;1,IF(C1853&lt;99,VLOOKUP(C1853,'Babblefish-APUMA'!$A$1:$B$86,2),C1853),C1853)</f>
        <v>96</v>
      </c>
    </row>
    <row r="1854" customFormat="false" ht="12.75" hidden="false" customHeight="false" outlineLevel="0" collapsed="false">
      <c r="A1854" s="0" t="n">
        <f aca="false">B1854*1000+C1854</f>
        <v>33034</v>
      </c>
      <c r="B1854" s="0" t="n">
        <v>33</v>
      </c>
      <c r="C1854" s="0" t="n">
        <v>34</v>
      </c>
      <c r="D1854" s="0" t="n">
        <v>1612</v>
      </c>
      <c r="E1854" s="0" t="n">
        <f aca="false">VLOOKUP(B1854,'Babblefish-APUMA'!$A$1:$B$86,2)</f>
        <v>96</v>
      </c>
      <c r="F1854" s="0" t="n">
        <f aca="false">IF(C1854&gt;1,IF(C1854&lt;99,VLOOKUP(C1854,'Babblefish-APUMA'!$A$1:$B$86,2),C1854),C1854)</f>
        <v>96</v>
      </c>
    </row>
    <row r="1855" customFormat="false" ht="12.75" hidden="false" customHeight="false" outlineLevel="0" collapsed="false">
      <c r="A1855" s="0" t="n">
        <f aca="false">B1855*1000+C1855</f>
        <v>33035</v>
      </c>
      <c r="B1855" s="0" t="n">
        <v>33</v>
      </c>
      <c r="C1855" s="0" t="n">
        <v>35</v>
      </c>
      <c r="D1855" s="0" t="n">
        <v>4030</v>
      </c>
      <c r="E1855" s="0" t="n">
        <f aca="false">VLOOKUP(B1855,'Babblefish-APUMA'!$A$1:$B$86,2)</f>
        <v>96</v>
      </c>
      <c r="F1855" s="0" t="n">
        <f aca="false">IF(C1855&gt;1,IF(C1855&lt;99,VLOOKUP(C1855,'Babblefish-APUMA'!$A$1:$B$86,2),C1855),C1855)</f>
        <v>96</v>
      </c>
    </row>
    <row r="1856" customFormat="false" ht="12.75" hidden="false" customHeight="false" outlineLevel="0" collapsed="false">
      <c r="A1856" s="0" t="n">
        <f aca="false">B1856*1000+C1856</f>
        <v>33036</v>
      </c>
      <c r="B1856" s="0" t="n">
        <v>33</v>
      </c>
      <c r="C1856" s="0" t="n">
        <v>36</v>
      </c>
      <c r="D1856" s="0" t="n">
        <v>14807</v>
      </c>
      <c r="E1856" s="0" t="n">
        <f aca="false">VLOOKUP(B1856,'Babblefish-APUMA'!$A$1:$B$86,2)</f>
        <v>96</v>
      </c>
      <c r="F1856" s="0" t="n">
        <f aca="false">IF(C1856&gt;1,IF(C1856&lt;99,VLOOKUP(C1856,'Babblefish-APUMA'!$A$1:$B$86,2),C1856),C1856)</f>
        <v>96</v>
      </c>
    </row>
    <row r="1857" customFormat="false" ht="12.75" hidden="false" customHeight="false" outlineLevel="0" collapsed="false">
      <c r="A1857" s="0" t="n">
        <f aca="false">B1857*1000+C1857</f>
        <v>33037</v>
      </c>
      <c r="B1857" s="0" t="n">
        <v>33</v>
      </c>
      <c r="C1857" s="0" t="n">
        <v>37</v>
      </c>
      <c r="D1857" s="0" t="n">
        <v>71305</v>
      </c>
      <c r="E1857" s="0" t="n">
        <f aca="false">VLOOKUP(B1857,'Babblefish-APUMA'!$A$1:$B$86,2)</f>
        <v>96</v>
      </c>
      <c r="F1857" s="0" t="n">
        <f aca="false">IF(C1857&gt;1,IF(C1857&lt;99,VLOOKUP(C1857,'Babblefish-APUMA'!$A$1:$B$86,2),C1857),C1857)</f>
        <v>96</v>
      </c>
    </row>
    <row r="1858" customFormat="false" ht="12.75" hidden="false" customHeight="false" outlineLevel="0" collapsed="false">
      <c r="A1858" s="0" t="n">
        <f aca="false">B1858*1000+C1858</f>
        <v>33038</v>
      </c>
      <c r="B1858" s="0" t="n">
        <v>33</v>
      </c>
      <c r="C1858" s="0" t="n">
        <v>38</v>
      </c>
      <c r="D1858" s="0" t="n">
        <v>0</v>
      </c>
      <c r="E1858" s="0" t="n">
        <f aca="false">VLOOKUP(B1858,'Babblefish-APUMA'!$A$1:$B$86,2)</f>
        <v>96</v>
      </c>
      <c r="F1858" s="0" t="n">
        <f aca="false">IF(C1858&gt;1,IF(C1858&lt;99,VLOOKUP(C1858,'Babblefish-APUMA'!$A$1:$B$86,2),C1858),C1858)</f>
        <v>91</v>
      </c>
    </row>
    <row r="1859" customFormat="false" ht="12.75" hidden="false" customHeight="false" outlineLevel="0" collapsed="false">
      <c r="A1859" s="0" t="n">
        <f aca="false">B1859*1000+C1859</f>
        <v>33039</v>
      </c>
      <c r="B1859" s="0" t="n">
        <v>33</v>
      </c>
      <c r="C1859" s="0" t="n">
        <v>39</v>
      </c>
      <c r="D1859" s="0" t="n">
        <v>78</v>
      </c>
      <c r="E1859" s="0" t="n">
        <f aca="false">VLOOKUP(B1859,'Babblefish-APUMA'!$A$1:$B$86,2)</f>
        <v>96</v>
      </c>
      <c r="F1859" s="0" t="n">
        <f aca="false">IF(C1859&gt;1,IF(C1859&lt;99,VLOOKUP(C1859,'Babblefish-APUMA'!$A$1:$B$86,2),C1859),C1859)</f>
        <v>91</v>
      </c>
    </row>
    <row r="1860" customFormat="false" ht="12.75" hidden="false" customHeight="false" outlineLevel="0" collapsed="false">
      <c r="A1860" s="0" t="n">
        <f aca="false">B1860*1000+C1860</f>
        <v>33040</v>
      </c>
      <c r="B1860" s="0" t="n">
        <v>33</v>
      </c>
      <c r="C1860" s="0" t="n">
        <v>40</v>
      </c>
      <c r="D1860" s="0" t="n">
        <v>143</v>
      </c>
      <c r="E1860" s="0" t="n">
        <f aca="false">VLOOKUP(B1860,'Babblefish-APUMA'!$A$1:$B$86,2)</f>
        <v>96</v>
      </c>
      <c r="F1860" s="0" t="n">
        <f aca="false">IF(C1860&gt;1,IF(C1860&lt;99,VLOOKUP(C1860,'Babblefish-APUMA'!$A$1:$B$86,2),C1860),C1860)</f>
        <v>88</v>
      </c>
    </row>
    <row r="1861" customFormat="false" ht="12.75" hidden="false" customHeight="false" outlineLevel="0" collapsed="false">
      <c r="A1861" s="0" t="n">
        <f aca="false">B1861*1000+C1861</f>
        <v>33041</v>
      </c>
      <c r="B1861" s="0" t="n">
        <v>33</v>
      </c>
      <c r="C1861" s="0" t="n">
        <v>41</v>
      </c>
      <c r="D1861" s="0" t="n">
        <v>0</v>
      </c>
      <c r="E1861" s="0" t="n">
        <f aca="false">VLOOKUP(B1861,'Babblefish-APUMA'!$A$1:$B$86,2)</f>
        <v>96</v>
      </c>
      <c r="F1861" s="0" t="n">
        <f aca="false">IF(C1861&gt;1,IF(C1861&lt;99,VLOOKUP(C1861,'Babblefish-APUMA'!$A$1:$B$86,2),C1861),C1861)</f>
        <v>88</v>
      </c>
    </row>
    <row r="1862" customFormat="false" ht="12.75" hidden="false" customHeight="false" outlineLevel="0" collapsed="false">
      <c r="A1862" s="0" t="n">
        <f aca="false">B1862*1000+C1862</f>
        <v>33042</v>
      </c>
      <c r="B1862" s="0" t="n">
        <v>33</v>
      </c>
      <c r="C1862" s="0" t="n">
        <v>42</v>
      </c>
      <c r="D1862" s="0" t="n">
        <v>221</v>
      </c>
      <c r="E1862" s="0" t="n">
        <f aca="false">VLOOKUP(B1862,'Babblefish-APUMA'!$A$1:$B$86,2)</f>
        <v>96</v>
      </c>
      <c r="F1862" s="0" t="n">
        <f aca="false">IF(C1862&gt;1,IF(C1862&lt;99,VLOOKUP(C1862,'Babblefish-APUMA'!$A$1:$B$86,2),C1862),C1862)</f>
        <v>92</v>
      </c>
    </row>
    <row r="1863" customFormat="false" ht="12.75" hidden="false" customHeight="false" outlineLevel="0" collapsed="false">
      <c r="A1863" s="0" t="n">
        <f aca="false">B1863*1000+C1863</f>
        <v>33043</v>
      </c>
      <c r="B1863" s="0" t="n">
        <v>33</v>
      </c>
      <c r="C1863" s="0" t="n">
        <v>43</v>
      </c>
      <c r="D1863" s="0" t="n">
        <v>585</v>
      </c>
      <c r="E1863" s="0" t="n">
        <f aca="false">VLOOKUP(B1863,'Babblefish-APUMA'!$A$1:$B$86,2)</f>
        <v>96</v>
      </c>
      <c r="F1863" s="0" t="n">
        <f aca="false">IF(C1863&gt;1,IF(C1863&lt;99,VLOOKUP(C1863,'Babblefish-APUMA'!$A$1:$B$86,2),C1863),C1863)</f>
        <v>92</v>
      </c>
    </row>
    <row r="1864" customFormat="false" ht="12.75" hidden="false" customHeight="false" outlineLevel="0" collapsed="false">
      <c r="A1864" s="0" t="n">
        <f aca="false">B1864*1000+C1864</f>
        <v>33045</v>
      </c>
      <c r="B1864" s="0" t="n">
        <v>33</v>
      </c>
      <c r="C1864" s="0" t="n">
        <v>45</v>
      </c>
      <c r="D1864" s="0" t="n">
        <v>130</v>
      </c>
      <c r="E1864" s="0" t="n">
        <f aca="false">VLOOKUP(B1864,'Babblefish-APUMA'!$A$1:$B$86,2)</f>
        <v>96</v>
      </c>
      <c r="F1864" s="0" t="n">
        <f aca="false">IF(C1864&gt;1,IF(C1864&lt;99,VLOOKUP(C1864,'Babblefish-APUMA'!$A$1:$B$86,2),C1864),C1864)</f>
        <v>92</v>
      </c>
    </row>
    <row r="1865" customFormat="false" ht="12.75" hidden="false" customHeight="false" outlineLevel="0" collapsed="false">
      <c r="A1865" s="0" t="n">
        <f aca="false">B1865*1000+C1865</f>
        <v>33046</v>
      </c>
      <c r="B1865" s="0" t="n">
        <v>33</v>
      </c>
      <c r="C1865" s="0" t="n">
        <v>46</v>
      </c>
      <c r="D1865" s="0" t="n">
        <v>117</v>
      </c>
      <c r="E1865" s="0" t="n">
        <f aca="false">VLOOKUP(B1865,'Babblefish-APUMA'!$A$1:$B$86,2)</f>
        <v>96</v>
      </c>
      <c r="F1865" s="0" t="n">
        <f aca="false">IF(C1865&gt;1,IF(C1865&lt;99,VLOOKUP(C1865,'Babblefish-APUMA'!$A$1:$B$86,2),C1865),C1865)</f>
        <v>92</v>
      </c>
    </row>
    <row r="1866" customFormat="false" ht="12.75" hidden="false" customHeight="false" outlineLevel="0" collapsed="false">
      <c r="A1866" s="0" t="n">
        <f aca="false">B1866*1000+C1866</f>
        <v>33048</v>
      </c>
      <c r="B1866" s="0" t="n">
        <v>33</v>
      </c>
      <c r="C1866" s="0" t="n">
        <v>48</v>
      </c>
      <c r="D1866" s="0" t="n">
        <v>1365</v>
      </c>
      <c r="E1866" s="0" t="n">
        <f aca="false">VLOOKUP(B1866,'Babblefish-APUMA'!$A$1:$B$86,2)</f>
        <v>96</v>
      </c>
      <c r="F1866" s="0" t="n">
        <f aca="false">IF(C1866&gt;1,IF(C1866&lt;99,VLOOKUP(C1866,'Babblefish-APUMA'!$A$1:$B$86,2),C1866),C1866)</f>
        <v>92</v>
      </c>
    </row>
    <row r="1867" customFormat="false" ht="12.75" hidden="false" customHeight="false" outlineLevel="0" collapsed="false">
      <c r="A1867" s="0" t="n">
        <f aca="false">B1867*1000+C1867</f>
        <v>33049</v>
      </c>
      <c r="B1867" s="0" t="n">
        <v>33</v>
      </c>
      <c r="C1867" s="0" t="n">
        <v>49</v>
      </c>
      <c r="D1867" s="0" t="n">
        <v>130</v>
      </c>
      <c r="E1867" s="0" t="n">
        <f aca="false">VLOOKUP(B1867,'Babblefish-APUMA'!$A$1:$B$86,2)</f>
        <v>96</v>
      </c>
      <c r="F1867" s="0" t="n">
        <f aca="false">IF(C1867&gt;1,IF(C1867&lt;99,VLOOKUP(C1867,'Babblefish-APUMA'!$A$1:$B$86,2),C1867),C1867)</f>
        <v>98</v>
      </c>
    </row>
    <row r="1868" customFormat="false" ht="12.75" hidden="false" customHeight="false" outlineLevel="0" collapsed="false">
      <c r="A1868" s="0" t="n">
        <f aca="false">B1868*1000+C1868</f>
        <v>33050</v>
      </c>
      <c r="B1868" s="0" t="n">
        <v>33</v>
      </c>
      <c r="C1868" s="0" t="n">
        <v>50</v>
      </c>
      <c r="D1868" s="0" t="n">
        <v>273</v>
      </c>
      <c r="E1868" s="0" t="n">
        <f aca="false">VLOOKUP(B1868,'Babblefish-APUMA'!$A$1:$B$86,2)</f>
        <v>96</v>
      </c>
      <c r="F1868" s="0" t="n">
        <f aca="false">IF(C1868&gt;1,IF(C1868&lt;99,VLOOKUP(C1868,'Babblefish-APUMA'!$A$1:$B$86,2),C1868),C1868)</f>
        <v>98</v>
      </c>
    </row>
    <row r="1869" customFormat="false" ht="12.75" hidden="false" customHeight="false" outlineLevel="0" collapsed="false">
      <c r="A1869" s="0" t="n">
        <f aca="false">B1869*1000+C1869</f>
        <v>33051</v>
      </c>
      <c r="B1869" s="0" t="n">
        <v>33</v>
      </c>
      <c r="C1869" s="0" t="n">
        <v>51</v>
      </c>
      <c r="D1869" s="0" t="n">
        <v>0</v>
      </c>
      <c r="E1869" s="0" t="n">
        <f aca="false">VLOOKUP(B1869,'Babblefish-APUMA'!$A$1:$B$86,2)</f>
        <v>96</v>
      </c>
      <c r="F1869" s="0" t="n">
        <f aca="false">IF(C1869&gt;1,IF(C1869&lt;99,VLOOKUP(C1869,'Babblefish-APUMA'!$A$1:$B$86,2),C1869),C1869)</f>
        <v>98</v>
      </c>
    </row>
    <row r="1870" customFormat="false" ht="12.75" hidden="false" customHeight="false" outlineLevel="0" collapsed="false">
      <c r="A1870" s="0" t="n">
        <f aca="false">B1870*1000+C1870</f>
        <v>33052</v>
      </c>
      <c r="B1870" s="0" t="n">
        <v>33</v>
      </c>
      <c r="C1870" s="0" t="n">
        <v>52</v>
      </c>
      <c r="D1870" s="0" t="n">
        <v>130</v>
      </c>
      <c r="E1870" s="0" t="n">
        <f aca="false">VLOOKUP(B1870,'Babblefish-APUMA'!$A$1:$B$86,2)</f>
        <v>96</v>
      </c>
      <c r="F1870" s="0" t="n">
        <f aca="false">IF(C1870&gt;1,IF(C1870&lt;99,VLOOKUP(C1870,'Babblefish-APUMA'!$A$1:$B$86,2),C1870),C1870)</f>
        <v>90</v>
      </c>
    </row>
    <row r="1871" customFormat="false" ht="12.75" hidden="false" customHeight="false" outlineLevel="0" collapsed="false">
      <c r="A1871" s="0" t="n">
        <f aca="false">B1871*1000+C1871</f>
        <v>33053</v>
      </c>
      <c r="B1871" s="0" t="n">
        <v>33</v>
      </c>
      <c r="C1871" s="0" t="n">
        <v>53</v>
      </c>
      <c r="D1871" s="0" t="n">
        <v>0</v>
      </c>
      <c r="E1871" s="0" t="n">
        <f aca="false">VLOOKUP(B1871,'Babblefish-APUMA'!$A$1:$B$86,2)</f>
        <v>96</v>
      </c>
      <c r="F1871" s="0" t="n">
        <f aca="false">IF(C1871&gt;1,IF(C1871&lt;99,VLOOKUP(C1871,'Babblefish-APUMA'!$A$1:$B$86,2),C1871),C1871)</f>
        <v>90</v>
      </c>
    </row>
    <row r="1872" customFormat="false" ht="12.75" hidden="false" customHeight="false" outlineLevel="0" collapsed="false">
      <c r="A1872" s="0" t="n">
        <f aca="false">B1872*1000+C1872</f>
        <v>33054</v>
      </c>
      <c r="B1872" s="0" t="n">
        <v>33</v>
      </c>
      <c r="C1872" s="0" t="n">
        <v>54</v>
      </c>
      <c r="D1872" s="0" t="n">
        <v>0</v>
      </c>
      <c r="E1872" s="0" t="n">
        <f aca="false">VLOOKUP(B1872,'Babblefish-APUMA'!$A$1:$B$86,2)</f>
        <v>96</v>
      </c>
      <c r="F1872" s="0" t="n">
        <f aca="false">IF(C1872&gt;1,IF(C1872&lt;99,VLOOKUP(C1872,'Babblefish-APUMA'!$A$1:$B$86,2),C1872),C1872)</f>
        <v>90</v>
      </c>
    </row>
    <row r="1873" customFormat="false" ht="12.75" hidden="false" customHeight="false" outlineLevel="0" collapsed="false">
      <c r="A1873" s="0" t="n">
        <f aca="false">B1873*1000+C1873</f>
        <v>33055</v>
      </c>
      <c r="B1873" s="0" t="n">
        <v>33</v>
      </c>
      <c r="C1873" s="0" t="n">
        <v>55</v>
      </c>
      <c r="D1873" s="0" t="n">
        <v>0</v>
      </c>
      <c r="E1873" s="0" t="n">
        <f aca="false">VLOOKUP(B1873,'Babblefish-APUMA'!$A$1:$B$86,2)</f>
        <v>96</v>
      </c>
      <c r="F1873" s="0" t="n">
        <f aca="false">IF(C1873&gt;1,IF(C1873&lt;99,VLOOKUP(C1873,'Babblefish-APUMA'!$A$1:$B$86,2),C1873),C1873)</f>
        <v>90</v>
      </c>
    </row>
    <row r="1874" customFormat="false" ht="12.75" hidden="false" customHeight="false" outlineLevel="0" collapsed="false">
      <c r="A1874" s="0" t="n">
        <f aca="false">B1874*1000+C1874</f>
        <v>33056</v>
      </c>
      <c r="B1874" s="0" t="n">
        <v>33</v>
      </c>
      <c r="C1874" s="0" t="n">
        <v>56</v>
      </c>
      <c r="D1874" s="0" t="n">
        <v>0</v>
      </c>
      <c r="E1874" s="0" t="n">
        <f aca="false">VLOOKUP(B1874,'Babblefish-APUMA'!$A$1:$B$86,2)</f>
        <v>96</v>
      </c>
      <c r="F1874" s="0" t="n">
        <f aca="false">IF(C1874&gt;1,IF(C1874&lt;99,VLOOKUP(C1874,'Babblefish-APUMA'!$A$1:$B$86,2),C1874),C1874)</f>
        <v>90</v>
      </c>
    </row>
    <row r="1875" customFormat="false" ht="12.75" hidden="false" customHeight="false" outlineLevel="0" collapsed="false">
      <c r="A1875" s="0" t="n">
        <f aca="false">B1875*1000+C1875</f>
        <v>33057</v>
      </c>
      <c r="B1875" s="0" t="n">
        <v>33</v>
      </c>
      <c r="C1875" s="0" t="n">
        <v>57</v>
      </c>
      <c r="D1875" s="0" t="n">
        <v>0</v>
      </c>
      <c r="E1875" s="0" t="n">
        <f aca="false">VLOOKUP(B1875,'Babblefish-APUMA'!$A$1:$B$86,2)</f>
        <v>96</v>
      </c>
      <c r="F1875" s="0" t="n">
        <f aca="false">IF(C1875&gt;1,IF(C1875&lt;99,VLOOKUP(C1875,'Babblefish-APUMA'!$A$1:$B$86,2),C1875),C1875)</f>
        <v>90</v>
      </c>
    </row>
    <row r="1876" customFormat="false" ht="12.75" hidden="false" customHeight="false" outlineLevel="0" collapsed="false">
      <c r="A1876" s="0" t="n">
        <f aca="false">B1876*1000+C1876</f>
        <v>33059</v>
      </c>
      <c r="B1876" s="0" t="n">
        <v>33</v>
      </c>
      <c r="C1876" s="0" t="n">
        <v>59</v>
      </c>
      <c r="D1876" s="0" t="n">
        <v>0</v>
      </c>
      <c r="E1876" s="0" t="n">
        <f aca="false">VLOOKUP(B1876,'Babblefish-APUMA'!$A$1:$B$86,2)</f>
        <v>96</v>
      </c>
      <c r="F1876" s="0" t="n">
        <f aca="false">IF(C1876&gt;1,IF(C1876&lt;99,VLOOKUP(C1876,'Babblefish-APUMA'!$A$1:$B$86,2),C1876),C1876)</f>
        <v>90</v>
      </c>
    </row>
    <row r="1877" customFormat="false" ht="12.75" hidden="false" customHeight="false" outlineLevel="0" collapsed="false">
      <c r="A1877" s="0" t="n">
        <f aca="false">B1877*1000+C1877</f>
        <v>33060</v>
      </c>
      <c r="B1877" s="0" t="n">
        <v>33</v>
      </c>
      <c r="C1877" s="0" t="n">
        <v>60</v>
      </c>
      <c r="D1877" s="0" t="n">
        <v>0</v>
      </c>
      <c r="E1877" s="0" t="n">
        <f aca="false">VLOOKUP(B1877,'Babblefish-APUMA'!$A$1:$B$86,2)</f>
        <v>96</v>
      </c>
      <c r="F1877" s="0" t="n">
        <f aca="false">IF(C1877&gt;1,IF(C1877&lt;99,VLOOKUP(C1877,'Babblefish-APUMA'!$A$1:$B$86,2),C1877),C1877)</f>
        <v>90</v>
      </c>
    </row>
    <row r="1878" customFormat="false" ht="12.75" hidden="false" customHeight="false" outlineLevel="0" collapsed="false">
      <c r="A1878" s="0" t="n">
        <f aca="false">B1878*1000+C1878</f>
        <v>33062</v>
      </c>
      <c r="B1878" s="0" t="n">
        <v>33</v>
      </c>
      <c r="C1878" s="0" t="n">
        <v>62</v>
      </c>
      <c r="D1878" s="0" t="n">
        <v>0</v>
      </c>
      <c r="E1878" s="0" t="n">
        <f aca="false">VLOOKUP(B1878,'Babblefish-APUMA'!$A$1:$B$86,2)</f>
        <v>96</v>
      </c>
      <c r="F1878" s="0" t="n">
        <f aca="false">IF(C1878&gt;1,IF(C1878&lt;99,VLOOKUP(C1878,'Babblefish-APUMA'!$A$1:$B$86,2),C1878),C1878)</f>
        <v>90</v>
      </c>
    </row>
    <row r="1879" customFormat="false" ht="12.75" hidden="false" customHeight="false" outlineLevel="0" collapsed="false">
      <c r="A1879" s="0" t="n">
        <f aca="false">B1879*1000+C1879</f>
        <v>33063</v>
      </c>
      <c r="B1879" s="0" t="n">
        <v>33</v>
      </c>
      <c r="C1879" s="0" t="n">
        <v>63</v>
      </c>
      <c r="D1879" s="0" t="n">
        <v>247</v>
      </c>
      <c r="E1879" s="0" t="n">
        <f aca="false">VLOOKUP(B1879,'Babblefish-APUMA'!$A$1:$B$86,2)</f>
        <v>96</v>
      </c>
      <c r="F1879" s="0" t="n">
        <f aca="false">IF(C1879&gt;1,IF(C1879&lt;99,VLOOKUP(C1879,'Babblefish-APUMA'!$A$1:$B$86,2),C1879),C1879)</f>
        <v>90</v>
      </c>
    </row>
    <row r="1880" customFormat="false" ht="12.75" hidden="false" customHeight="false" outlineLevel="0" collapsed="false">
      <c r="A1880" s="0" t="n">
        <f aca="false">B1880*1000+C1880</f>
        <v>33064</v>
      </c>
      <c r="B1880" s="0" t="n">
        <v>33</v>
      </c>
      <c r="C1880" s="0" t="n">
        <v>64</v>
      </c>
      <c r="D1880" s="0" t="n">
        <v>1001</v>
      </c>
      <c r="E1880" s="0" t="n">
        <f aca="false">VLOOKUP(B1880,'Babblefish-APUMA'!$A$1:$B$86,2)</f>
        <v>96</v>
      </c>
      <c r="F1880" s="0" t="n">
        <f aca="false">IF(C1880&gt;1,IF(C1880&lt;99,VLOOKUP(C1880,'Babblefish-APUMA'!$A$1:$B$86,2),C1880),C1880)</f>
        <v>90</v>
      </c>
    </row>
    <row r="1881" customFormat="false" ht="12.75" hidden="false" customHeight="false" outlineLevel="0" collapsed="false">
      <c r="A1881" s="0" t="n">
        <f aca="false">B1881*1000+C1881</f>
        <v>33065</v>
      </c>
      <c r="B1881" s="0" t="n">
        <v>33</v>
      </c>
      <c r="C1881" s="0" t="n">
        <v>65</v>
      </c>
      <c r="D1881" s="0" t="n">
        <v>663</v>
      </c>
      <c r="E1881" s="0" t="n">
        <f aca="false">VLOOKUP(B1881,'Babblefish-APUMA'!$A$1:$B$86,2)</f>
        <v>96</v>
      </c>
      <c r="F1881" s="0" t="n">
        <f aca="false">IF(C1881&gt;1,IF(C1881&lt;99,VLOOKUP(C1881,'Babblefish-APUMA'!$A$1:$B$86,2),C1881),C1881)</f>
        <v>90</v>
      </c>
    </row>
    <row r="1882" customFormat="false" ht="12.75" hidden="false" customHeight="false" outlineLevel="0" collapsed="false">
      <c r="A1882" s="0" t="n">
        <f aca="false">B1882*1000+C1882</f>
        <v>33066</v>
      </c>
      <c r="B1882" s="0" t="n">
        <v>33</v>
      </c>
      <c r="C1882" s="0" t="n">
        <v>66</v>
      </c>
      <c r="D1882" s="0" t="n">
        <v>91</v>
      </c>
      <c r="E1882" s="0" t="n">
        <f aca="false">VLOOKUP(B1882,'Babblefish-APUMA'!$A$1:$B$86,2)</f>
        <v>96</v>
      </c>
      <c r="F1882" s="0" t="n">
        <f aca="false">IF(C1882&gt;1,IF(C1882&lt;99,VLOOKUP(C1882,'Babblefish-APUMA'!$A$1:$B$86,2),C1882),C1882)</f>
        <v>90</v>
      </c>
    </row>
    <row r="1883" customFormat="false" ht="12.75" hidden="false" customHeight="false" outlineLevel="0" collapsed="false">
      <c r="A1883" s="0" t="n">
        <f aca="false">B1883*1000+C1883</f>
        <v>33067</v>
      </c>
      <c r="B1883" s="0" t="n">
        <v>33</v>
      </c>
      <c r="C1883" s="0" t="n">
        <v>67</v>
      </c>
      <c r="D1883" s="0" t="n">
        <v>182</v>
      </c>
      <c r="E1883" s="0" t="n">
        <f aca="false">VLOOKUP(B1883,'Babblefish-APUMA'!$A$1:$B$86,2)</f>
        <v>96</v>
      </c>
      <c r="F1883" s="0" t="n">
        <f aca="false">IF(C1883&gt;1,IF(C1883&lt;99,VLOOKUP(C1883,'Babblefish-APUMA'!$A$1:$B$86,2),C1883),C1883)</f>
        <v>103</v>
      </c>
    </row>
    <row r="1884" customFormat="false" ht="12.75" hidden="false" customHeight="false" outlineLevel="0" collapsed="false">
      <c r="A1884" s="0" t="n">
        <f aca="false">B1884*1000+C1884</f>
        <v>33069</v>
      </c>
      <c r="B1884" s="0" t="n">
        <v>33</v>
      </c>
      <c r="C1884" s="0" t="n">
        <v>69</v>
      </c>
      <c r="D1884" s="0" t="n">
        <v>910</v>
      </c>
      <c r="E1884" s="0" t="n">
        <f aca="false">VLOOKUP(B1884,'Babblefish-APUMA'!$A$1:$B$86,2)</f>
        <v>96</v>
      </c>
      <c r="F1884" s="0" t="n">
        <f aca="false">IF(C1884&gt;1,IF(C1884&lt;99,VLOOKUP(C1884,'Babblefish-APUMA'!$A$1:$B$86,2),C1884),C1884)</f>
        <v>93</v>
      </c>
    </row>
    <row r="1885" customFormat="false" ht="12.75" hidden="false" customHeight="false" outlineLevel="0" collapsed="false">
      <c r="A1885" s="0" t="n">
        <f aca="false">B1885*1000+C1885</f>
        <v>33071</v>
      </c>
      <c r="B1885" s="0" t="n">
        <v>33</v>
      </c>
      <c r="C1885" s="0" t="n">
        <v>71</v>
      </c>
      <c r="D1885" s="0" t="n">
        <v>0</v>
      </c>
      <c r="E1885" s="0" t="n">
        <f aca="false">VLOOKUP(B1885,'Babblefish-APUMA'!$A$1:$B$86,2)</f>
        <v>96</v>
      </c>
      <c r="F1885" s="0" t="n">
        <f aca="false">IF(C1885&gt;1,IF(C1885&lt;99,VLOOKUP(C1885,'Babblefish-APUMA'!$A$1:$B$86,2),C1885),C1885)</f>
        <v>95</v>
      </c>
    </row>
    <row r="1886" customFormat="false" ht="12.75" hidden="false" customHeight="false" outlineLevel="0" collapsed="false">
      <c r="A1886" s="0" t="n">
        <f aca="false">B1886*1000+C1886</f>
        <v>33072</v>
      </c>
      <c r="B1886" s="0" t="n">
        <v>33</v>
      </c>
      <c r="C1886" s="0" t="n">
        <v>72</v>
      </c>
      <c r="D1886" s="0" t="n">
        <v>260</v>
      </c>
      <c r="E1886" s="0" t="n">
        <f aca="false">VLOOKUP(B1886,'Babblefish-APUMA'!$A$1:$B$86,2)</f>
        <v>96</v>
      </c>
      <c r="F1886" s="0" t="n">
        <f aca="false">IF(C1886&gt;1,IF(C1886&lt;99,VLOOKUP(C1886,'Babblefish-APUMA'!$A$1:$B$86,2),C1886),C1886)</f>
        <v>95</v>
      </c>
    </row>
    <row r="1887" customFormat="false" ht="12.75" hidden="false" customHeight="false" outlineLevel="0" collapsed="false">
      <c r="A1887" s="0" t="n">
        <f aca="false">B1887*1000+C1887</f>
        <v>33073</v>
      </c>
      <c r="B1887" s="0" t="n">
        <v>33</v>
      </c>
      <c r="C1887" s="0" t="n">
        <v>73</v>
      </c>
      <c r="D1887" s="0" t="n">
        <v>0</v>
      </c>
      <c r="E1887" s="0" t="n">
        <f aca="false">VLOOKUP(B1887,'Babblefish-APUMA'!$A$1:$B$86,2)</f>
        <v>96</v>
      </c>
      <c r="F1887" s="0" t="n">
        <f aca="false">IF(C1887&gt;1,IF(C1887&lt;99,VLOOKUP(C1887,'Babblefish-APUMA'!$A$1:$B$86,2),C1887),C1887)</f>
        <v>99</v>
      </c>
    </row>
    <row r="1888" customFormat="false" ht="12.75" hidden="false" customHeight="false" outlineLevel="0" collapsed="false">
      <c r="A1888" s="0" t="n">
        <f aca="false">B1888*1000+C1888</f>
        <v>33075</v>
      </c>
      <c r="B1888" s="0" t="n">
        <v>33</v>
      </c>
      <c r="C1888" s="0" t="n">
        <v>75</v>
      </c>
      <c r="D1888" s="0" t="n">
        <v>0</v>
      </c>
      <c r="E1888" s="0" t="n">
        <f aca="false">VLOOKUP(B1888,'Babblefish-APUMA'!$A$1:$B$86,2)</f>
        <v>96</v>
      </c>
      <c r="F1888" s="0" t="n">
        <f aca="false">IF(C1888&gt;1,IF(C1888&lt;99,VLOOKUP(C1888,'Babblefish-APUMA'!$A$1:$B$86,2),C1888),C1888)</f>
        <v>75</v>
      </c>
    </row>
    <row r="1889" customFormat="false" ht="12.75" hidden="false" customHeight="false" outlineLevel="0" collapsed="false">
      <c r="A1889" s="0" t="n">
        <f aca="false">B1889*1000+C1889</f>
        <v>33076</v>
      </c>
      <c r="B1889" s="0" t="n">
        <v>33</v>
      </c>
      <c r="C1889" s="0" t="n">
        <v>76</v>
      </c>
      <c r="D1889" s="0" t="n">
        <v>169</v>
      </c>
      <c r="E1889" s="0" t="n">
        <f aca="false">VLOOKUP(B1889,'Babblefish-APUMA'!$A$1:$B$86,2)</f>
        <v>96</v>
      </c>
      <c r="F1889" s="0" t="n">
        <f aca="false">IF(C1889&gt;1,IF(C1889&lt;99,VLOOKUP(C1889,'Babblefish-APUMA'!$A$1:$B$86,2),C1889),C1889)</f>
        <v>76</v>
      </c>
    </row>
    <row r="1890" customFormat="false" ht="12.75" hidden="false" customHeight="false" outlineLevel="0" collapsed="false">
      <c r="A1890" s="0" t="n">
        <f aca="false">B1890*1000+C1890</f>
        <v>33077</v>
      </c>
      <c r="B1890" s="0" t="n">
        <v>33</v>
      </c>
      <c r="C1890" s="0" t="n">
        <v>77</v>
      </c>
      <c r="D1890" s="0" t="n">
        <v>0</v>
      </c>
      <c r="E1890" s="0" t="n">
        <f aca="false">VLOOKUP(B1890,'Babblefish-APUMA'!$A$1:$B$86,2)</f>
        <v>96</v>
      </c>
      <c r="F1890" s="0" t="n">
        <f aca="false">IF(C1890&gt;1,IF(C1890&lt;99,VLOOKUP(C1890,'Babblefish-APUMA'!$A$1:$B$86,2),C1890),C1890)</f>
        <v>77</v>
      </c>
    </row>
    <row r="1891" customFormat="false" ht="12.75" hidden="false" customHeight="false" outlineLevel="0" collapsed="false">
      <c r="A1891" s="0" t="n">
        <f aca="false">B1891*1000+C1891</f>
        <v>33079</v>
      </c>
      <c r="B1891" s="0" t="n">
        <v>33</v>
      </c>
      <c r="C1891" s="0" t="n">
        <v>79</v>
      </c>
      <c r="D1891" s="0" t="n">
        <v>390</v>
      </c>
      <c r="E1891" s="0" t="n">
        <f aca="false">VLOOKUP(B1891,'Babblefish-APUMA'!$A$1:$B$86,2)</f>
        <v>96</v>
      </c>
      <c r="F1891" s="0" t="n">
        <f aca="false">IF(C1891&gt;1,IF(C1891&lt;99,VLOOKUP(C1891,'Babblefish-APUMA'!$A$1:$B$86,2),C1891),C1891)</f>
        <v>89</v>
      </c>
    </row>
    <row r="1892" customFormat="false" ht="12.75" hidden="false" customHeight="false" outlineLevel="0" collapsed="false">
      <c r="A1892" s="0" t="n">
        <f aca="false">B1892*1000+C1892</f>
        <v>33080</v>
      </c>
      <c r="B1892" s="0" t="n">
        <v>33</v>
      </c>
      <c r="C1892" s="0" t="n">
        <v>80</v>
      </c>
      <c r="D1892" s="0" t="n">
        <v>0</v>
      </c>
      <c r="E1892" s="0" t="n">
        <f aca="false">VLOOKUP(B1892,'Babblefish-APUMA'!$A$1:$B$86,2)</f>
        <v>96</v>
      </c>
      <c r="F1892" s="0" t="n">
        <f aca="false">IF(C1892&gt;1,IF(C1892&lt;99,VLOOKUP(C1892,'Babblefish-APUMA'!$A$1:$B$86,2),C1892),C1892)</f>
        <v>80</v>
      </c>
    </row>
    <row r="1893" customFormat="false" ht="12.75" hidden="false" customHeight="false" outlineLevel="0" collapsed="false">
      <c r="A1893" s="0" t="n">
        <f aca="false">B1893*1000+C1893</f>
        <v>33082</v>
      </c>
      <c r="B1893" s="0" t="n">
        <v>33</v>
      </c>
      <c r="C1893" s="0" t="n">
        <v>82</v>
      </c>
      <c r="D1893" s="0" t="n">
        <v>130</v>
      </c>
      <c r="E1893" s="0" t="n">
        <f aca="false">VLOOKUP(B1893,'Babblefish-APUMA'!$A$1:$B$86,2)</f>
        <v>96</v>
      </c>
      <c r="F1893" s="0" t="n">
        <f aca="false">IF(C1893&gt;1,IF(C1893&lt;99,VLOOKUP(C1893,'Babblefish-APUMA'!$A$1:$B$86,2),C1893),C1893)</f>
        <v>95</v>
      </c>
    </row>
    <row r="1894" customFormat="false" ht="12.75" hidden="false" customHeight="false" outlineLevel="0" collapsed="false">
      <c r="A1894" s="0" t="n">
        <f aca="false">B1894*1000+C1894</f>
        <v>33083</v>
      </c>
      <c r="B1894" s="0" t="n">
        <v>33</v>
      </c>
      <c r="C1894" s="0" t="n">
        <v>83</v>
      </c>
      <c r="D1894" s="0" t="n">
        <v>104</v>
      </c>
      <c r="E1894" s="0" t="n">
        <f aca="false">VLOOKUP(B1894,'Babblefish-APUMA'!$A$1:$B$86,2)</f>
        <v>96</v>
      </c>
      <c r="F1894" s="0" t="n">
        <f aca="false">IF(C1894&gt;1,IF(C1894&lt;99,VLOOKUP(C1894,'Babblefish-APUMA'!$A$1:$B$86,2),C1894),C1894)</f>
        <v>103</v>
      </c>
    </row>
    <row r="1895" customFormat="false" ht="12.75" hidden="false" customHeight="false" outlineLevel="0" collapsed="false">
      <c r="A1895" s="0" t="n">
        <f aca="false">B1895*1000+C1895</f>
        <v>33084</v>
      </c>
      <c r="B1895" s="0" t="n">
        <v>33</v>
      </c>
      <c r="C1895" s="0" t="n">
        <v>84</v>
      </c>
      <c r="D1895" s="0" t="n">
        <v>429</v>
      </c>
      <c r="E1895" s="0" t="n">
        <f aca="false">VLOOKUP(B1895,'Babblefish-APUMA'!$A$1:$B$86,2)</f>
        <v>96</v>
      </c>
      <c r="F1895" s="0" t="n">
        <f aca="false">IF(C1895&gt;1,IF(C1895&lt;99,VLOOKUP(C1895,'Babblefish-APUMA'!$A$1:$B$86,2),C1895),C1895)</f>
        <v>92</v>
      </c>
    </row>
    <row r="1896" customFormat="false" ht="12.75" hidden="false" customHeight="false" outlineLevel="0" collapsed="false">
      <c r="A1896" s="0" t="n">
        <f aca="false">B1896*1000+C1896</f>
        <v>33085</v>
      </c>
      <c r="B1896" s="0" t="n">
        <v>33</v>
      </c>
      <c r="C1896" s="0" t="n">
        <v>85</v>
      </c>
      <c r="D1896" s="0" t="n">
        <v>0</v>
      </c>
      <c r="E1896" s="0" t="n">
        <f aca="false">VLOOKUP(B1896,'Babblefish-APUMA'!$A$1:$B$86,2)</f>
        <v>96</v>
      </c>
      <c r="F1896" s="0" t="n">
        <f aca="false">IF(C1896&gt;1,IF(C1896&lt;99,VLOOKUP(C1896,'Babblefish-APUMA'!$A$1:$B$86,2),C1896),C1896)</f>
        <v>97</v>
      </c>
    </row>
    <row r="1897" customFormat="false" ht="12.75" hidden="false" customHeight="false" outlineLevel="0" collapsed="false">
      <c r="A1897" s="0" t="n">
        <f aca="false">B1897*1000+C1897</f>
        <v>33858</v>
      </c>
      <c r="B1897" s="0" t="n">
        <v>33</v>
      </c>
      <c r="C1897" s="0" t="n">
        <v>858</v>
      </c>
      <c r="D1897" s="0" t="n">
        <v>0</v>
      </c>
      <c r="E1897" s="0" t="n">
        <f aca="false">VLOOKUP(B1897,'Babblefish-APUMA'!$A$1:$B$86,2)</f>
        <v>96</v>
      </c>
      <c r="F1897" s="0" t="n">
        <f aca="false">IF(C1897&gt;1,IF(C1897&lt;99,VLOOKUP(C1897,'Babblefish-APUMA'!$A$1:$B$86,2),C1897),C1897)</f>
        <v>858</v>
      </c>
    </row>
    <row r="1898" customFormat="false" ht="12.75" hidden="false" customHeight="false" outlineLevel="0" collapsed="false">
      <c r="A1898" s="0" t="n">
        <f aca="false">B1898*1000+C1898</f>
        <v>33983</v>
      </c>
      <c r="B1898" s="0" t="n">
        <v>33</v>
      </c>
      <c r="C1898" s="0" t="n">
        <v>983</v>
      </c>
      <c r="D1898" s="0" t="n">
        <v>117</v>
      </c>
      <c r="E1898" s="0" t="n">
        <f aca="false">VLOOKUP(B1898,'Babblefish-APUMA'!$A$1:$B$86,2)</f>
        <v>96</v>
      </c>
      <c r="F1898" s="0" t="n">
        <f aca="false">IF(C1898&gt;1,IF(C1898&lt;99,VLOOKUP(C1898,'Babblefish-APUMA'!$A$1:$B$86,2),C1898),C1898)</f>
        <v>983</v>
      </c>
    </row>
    <row r="1899" customFormat="false" ht="12.75" hidden="false" customHeight="false" outlineLevel="0" collapsed="false">
      <c r="A1899" s="0" t="n">
        <f aca="false">B1899*1000+C1899</f>
        <v>33999</v>
      </c>
      <c r="B1899" s="0" t="n">
        <v>33</v>
      </c>
      <c r="C1899" s="0" t="n">
        <v>999</v>
      </c>
      <c r="D1899" s="0" t="n">
        <v>2262</v>
      </c>
      <c r="E1899" s="0" t="n">
        <f aca="false">VLOOKUP(B1899,'Babblefish-APUMA'!$A$1:$B$86,2)</f>
        <v>96</v>
      </c>
      <c r="F1899" s="0" t="n">
        <f aca="false">IF(C1899&gt;1,IF(C1899&lt;99,VLOOKUP(C1899,'Babblefish-APUMA'!$A$1:$B$86,2),C1899),C1899)</f>
        <v>999</v>
      </c>
    </row>
    <row r="1900" customFormat="false" ht="12.75" hidden="false" customHeight="false" outlineLevel="0" collapsed="false">
      <c r="A1900" s="0" t="n">
        <f aca="false">B1900*1000+C1900</f>
        <v>34000</v>
      </c>
      <c r="B1900" s="0" t="n">
        <v>34</v>
      </c>
      <c r="C1900" s="0" t="n">
        <v>0</v>
      </c>
      <c r="D1900" s="0" t="n">
        <v>70278</v>
      </c>
      <c r="E1900" s="0" t="n">
        <f aca="false">VLOOKUP(B1900,'Babblefish-APUMA'!$A$1:$B$86,2)</f>
        <v>96</v>
      </c>
      <c r="F1900" s="0" t="n">
        <f aca="false">IF(C1900&gt;1,IF(C1900&lt;99,VLOOKUP(C1900,'Babblefish-APUMA'!$A$1:$B$86,2),C1900),C1900)</f>
        <v>0</v>
      </c>
    </row>
    <row r="1901" customFormat="false" ht="12.75" hidden="false" customHeight="false" outlineLevel="0" collapsed="false">
      <c r="A1901" s="0" t="n">
        <f aca="false">B1901*1000+C1901</f>
        <v>34001</v>
      </c>
      <c r="B1901" s="0" t="n">
        <v>34</v>
      </c>
      <c r="C1901" s="0" t="n">
        <v>1</v>
      </c>
      <c r="D1901" s="0" t="n">
        <v>0</v>
      </c>
      <c r="E1901" s="0" t="n">
        <f aca="false">VLOOKUP(B1901,'Babblefish-APUMA'!$A$1:$B$86,2)</f>
        <v>96</v>
      </c>
      <c r="F1901" s="0" t="n">
        <f aca="false">IF(C1901&gt;1,IF(C1901&lt;99,VLOOKUP(C1901,'Babblefish-APUMA'!$A$1:$B$86,2),C1901),C1901)</f>
        <v>1</v>
      </c>
    </row>
    <row r="1902" customFormat="false" ht="12.75" hidden="false" customHeight="false" outlineLevel="0" collapsed="false">
      <c r="A1902" s="0" t="n">
        <f aca="false">B1902*1000+C1902</f>
        <v>34002</v>
      </c>
      <c r="B1902" s="0" t="n">
        <v>34</v>
      </c>
      <c r="C1902" s="0" t="n">
        <v>2</v>
      </c>
      <c r="D1902" s="0" t="n">
        <v>0</v>
      </c>
      <c r="E1902" s="0" t="n">
        <f aca="false">VLOOKUP(B1902,'Babblefish-APUMA'!$A$1:$B$86,2)</f>
        <v>96</v>
      </c>
      <c r="F1902" s="0" t="n">
        <f aca="false">IF(C1902&gt;1,IF(C1902&lt;99,VLOOKUP(C1902,'Babblefish-APUMA'!$A$1:$B$86,2),C1902),C1902)</f>
        <v>2</v>
      </c>
    </row>
    <row r="1903" customFormat="false" ht="12.75" hidden="false" customHeight="false" outlineLevel="0" collapsed="false">
      <c r="A1903" s="0" t="n">
        <f aca="false">B1903*1000+C1903</f>
        <v>34003</v>
      </c>
      <c r="B1903" s="0" t="n">
        <v>34</v>
      </c>
      <c r="C1903" s="0" t="n">
        <v>3</v>
      </c>
      <c r="D1903" s="0" t="n">
        <v>0</v>
      </c>
      <c r="E1903" s="0" t="n">
        <f aca="false">VLOOKUP(B1903,'Babblefish-APUMA'!$A$1:$B$86,2)</f>
        <v>96</v>
      </c>
      <c r="F1903" s="0" t="n">
        <f aca="false">IF(C1903&gt;1,IF(C1903&lt;99,VLOOKUP(C1903,'Babblefish-APUMA'!$A$1:$B$86,2),C1903),C1903)</f>
        <v>3</v>
      </c>
    </row>
    <row r="1904" customFormat="false" ht="12.75" hidden="false" customHeight="false" outlineLevel="0" collapsed="false">
      <c r="A1904" s="0" t="n">
        <f aca="false">B1904*1000+C1904</f>
        <v>34004</v>
      </c>
      <c r="B1904" s="0" t="n">
        <v>34</v>
      </c>
      <c r="C1904" s="0" t="n">
        <v>4</v>
      </c>
      <c r="D1904" s="0" t="n">
        <v>0</v>
      </c>
      <c r="E1904" s="0" t="n">
        <f aca="false">VLOOKUP(B1904,'Babblefish-APUMA'!$A$1:$B$86,2)</f>
        <v>96</v>
      </c>
      <c r="F1904" s="0" t="n">
        <f aca="false">IF(C1904&gt;1,IF(C1904&lt;99,VLOOKUP(C1904,'Babblefish-APUMA'!$A$1:$B$86,2),C1904),C1904)</f>
        <v>4</v>
      </c>
    </row>
    <row r="1905" customFormat="false" ht="12.75" hidden="false" customHeight="false" outlineLevel="0" collapsed="false">
      <c r="A1905" s="0" t="n">
        <f aca="false">B1905*1000+C1905</f>
        <v>34005</v>
      </c>
      <c r="B1905" s="0" t="n">
        <v>34</v>
      </c>
      <c r="C1905" s="0" t="n">
        <v>5</v>
      </c>
      <c r="D1905" s="0" t="n">
        <v>0</v>
      </c>
      <c r="E1905" s="0" t="n">
        <f aca="false">VLOOKUP(B1905,'Babblefish-APUMA'!$A$1:$B$86,2)</f>
        <v>96</v>
      </c>
      <c r="F1905" s="0" t="n">
        <f aca="false">IF(C1905&gt;1,IF(C1905&lt;99,VLOOKUP(C1905,'Babblefish-APUMA'!$A$1:$B$86,2),C1905),C1905)</f>
        <v>5</v>
      </c>
    </row>
    <row r="1906" customFormat="false" ht="12.75" hidden="false" customHeight="false" outlineLevel="0" collapsed="false">
      <c r="A1906" s="0" t="n">
        <f aca="false">B1906*1000+C1906</f>
        <v>34006</v>
      </c>
      <c r="B1906" s="0" t="n">
        <v>34</v>
      </c>
      <c r="C1906" s="0" t="n">
        <v>6</v>
      </c>
      <c r="D1906" s="0" t="n">
        <v>0</v>
      </c>
      <c r="E1906" s="0" t="n">
        <f aca="false">VLOOKUP(B1906,'Babblefish-APUMA'!$A$1:$B$86,2)</f>
        <v>96</v>
      </c>
      <c r="F1906" s="0" t="n">
        <f aca="false">IF(C1906&gt;1,IF(C1906&lt;99,VLOOKUP(C1906,'Babblefish-APUMA'!$A$1:$B$86,2),C1906),C1906)</f>
        <v>6</v>
      </c>
    </row>
    <row r="1907" customFormat="false" ht="12.75" hidden="false" customHeight="false" outlineLevel="0" collapsed="false">
      <c r="A1907" s="0" t="n">
        <f aca="false">B1907*1000+C1907</f>
        <v>34007</v>
      </c>
      <c r="B1907" s="0" t="n">
        <v>34</v>
      </c>
      <c r="C1907" s="0" t="n">
        <v>7</v>
      </c>
      <c r="D1907" s="0" t="n">
        <v>0</v>
      </c>
      <c r="E1907" s="0" t="n">
        <f aca="false">VLOOKUP(B1907,'Babblefish-APUMA'!$A$1:$B$86,2)</f>
        <v>96</v>
      </c>
      <c r="F1907" s="0" t="n">
        <f aca="false">IF(C1907&gt;1,IF(C1907&lt;99,VLOOKUP(C1907,'Babblefish-APUMA'!$A$1:$B$86,2),C1907),C1907)</f>
        <v>7</v>
      </c>
    </row>
    <row r="1908" customFormat="false" ht="12.75" hidden="false" customHeight="false" outlineLevel="0" collapsed="false">
      <c r="A1908" s="0" t="n">
        <f aca="false">B1908*1000+C1908</f>
        <v>34008</v>
      </c>
      <c r="B1908" s="0" t="n">
        <v>34</v>
      </c>
      <c r="C1908" s="0" t="n">
        <v>8</v>
      </c>
      <c r="D1908" s="0" t="n">
        <v>0</v>
      </c>
      <c r="E1908" s="0" t="n">
        <f aca="false">VLOOKUP(B1908,'Babblefish-APUMA'!$A$1:$B$86,2)</f>
        <v>96</v>
      </c>
      <c r="F1908" s="0" t="n">
        <f aca="false">IF(C1908&gt;1,IF(C1908&lt;99,VLOOKUP(C1908,'Babblefish-APUMA'!$A$1:$B$86,2),C1908),C1908)</f>
        <v>8</v>
      </c>
    </row>
    <row r="1909" customFormat="false" ht="12.75" hidden="false" customHeight="false" outlineLevel="0" collapsed="false">
      <c r="A1909" s="0" t="n">
        <f aca="false">B1909*1000+C1909</f>
        <v>34009</v>
      </c>
      <c r="B1909" s="0" t="n">
        <v>34</v>
      </c>
      <c r="C1909" s="0" t="n">
        <v>9</v>
      </c>
      <c r="D1909" s="0" t="n">
        <v>0</v>
      </c>
      <c r="E1909" s="0" t="n">
        <f aca="false">VLOOKUP(B1909,'Babblefish-APUMA'!$A$1:$B$86,2)</f>
        <v>96</v>
      </c>
      <c r="F1909" s="0" t="n">
        <f aca="false">IF(C1909&gt;1,IF(C1909&lt;99,VLOOKUP(C1909,'Babblefish-APUMA'!$A$1:$B$86,2),C1909),C1909)</f>
        <v>9</v>
      </c>
    </row>
    <row r="1910" customFormat="false" ht="12.75" hidden="false" customHeight="false" outlineLevel="0" collapsed="false">
      <c r="A1910" s="0" t="n">
        <f aca="false">B1910*1000+C1910</f>
        <v>34010</v>
      </c>
      <c r="B1910" s="0" t="n">
        <v>34</v>
      </c>
      <c r="C1910" s="0" t="n">
        <v>10</v>
      </c>
      <c r="D1910" s="0" t="n">
        <v>0</v>
      </c>
      <c r="E1910" s="0" t="n">
        <f aca="false">VLOOKUP(B1910,'Babblefish-APUMA'!$A$1:$B$86,2)</f>
        <v>96</v>
      </c>
      <c r="F1910" s="0" t="n">
        <f aca="false">IF(C1910&gt;1,IF(C1910&lt;99,VLOOKUP(C1910,'Babblefish-APUMA'!$A$1:$B$86,2),C1910),C1910)</f>
        <v>10</v>
      </c>
    </row>
    <row r="1911" customFormat="false" ht="12.75" hidden="false" customHeight="false" outlineLevel="0" collapsed="false">
      <c r="A1911" s="0" t="n">
        <f aca="false">B1911*1000+C1911</f>
        <v>34011</v>
      </c>
      <c r="B1911" s="0" t="n">
        <v>34</v>
      </c>
      <c r="C1911" s="0" t="n">
        <v>11</v>
      </c>
      <c r="D1911" s="0" t="n">
        <v>0</v>
      </c>
      <c r="E1911" s="0" t="n">
        <f aca="false">VLOOKUP(B1911,'Babblefish-APUMA'!$A$1:$B$86,2)</f>
        <v>96</v>
      </c>
      <c r="F1911" s="0" t="n">
        <f aca="false">IF(C1911&gt;1,IF(C1911&lt;99,VLOOKUP(C1911,'Babblefish-APUMA'!$A$1:$B$86,2),C1911),C1911)</f>
        <v>11</v>
      </c>
    </row>
    <row r="1912" customFormat="false" ht="12.75" hidden="false" customHeight="false" outlineLevel="0" collapsed="false">
      <c r="A1912" s="0" t="n">
        <f aca="false">B1912*1000+C1912</f>
        <v>34012</v>
      </c>
      <c r="B1912" s="0" t="n">
        <v>34</v>
      </c>
      <c r="C1912" s="0" t="n">
        <v>12</v>
      </c>
      <c r="D1912" s="0" t="n">
        <v>130</v>
      </c>
      <c r="E1912" s="0" t="n">
        <f aca="false">VLOOKUP(B1912,'Babblefish-APUMA'!$A$1:$B$86,2)</f>
        <v>96</v>
      </c>
      <c r="F1912" s="0" t="n">
        <f aca="false">IF(C1912&gt;1,IF(C1912&lt;99,VLOOKUP(C1912,'Babblefish-APUMA'!$A$1:$B$86,2),C1912),C1912)</f>
        <v>12</v>
      </c>
    </row>
    <row r="1913" customFormat="false" ht="12.75" hidden="false" customHeight="false" outlineLevel="0" collapsed="false">
      <c r="A1913" s="0" t="n">
        <f aca="false">B1913*1000+C1913</f>
        <v>34013</v>
      </c>
      <c r="B1913" s="0" t="n">
        <v>34</v>
      </c>
      <c r="C1913" s="0" t="n">
        <v>13</v>
      </c>
      <c r="D1913" s="0" t="n">
        <v>0</v>
      </c>
      <c r="E1913" s="0" t="n">
        <f aca="false">VLOOKUP(B1913,'Babblefish-APUMA'!$A$1:$B$86,2)</f>
        <v>96</v>
      </c>
      <c r="F1913" s="0" t="n">
        <f aca="false">IF(C1913&gt;1,IF(C1913&lt;99,VLOOKUP(C1913,'Babblefish-APUMA'!$A$1:$B$86,2),C1913),C1913)</f>
        <v>100</v>
      </c>
    </row>
    <row r="1914" customFormat="false" ht="12.75" hidden="false" customHeight="false" outlineLevel="0" collapsed="false">
      <c r="A1914" s="0" t="n">
        <f aca="false">B1914*1000+C1914</f>
        <v>34014</v>
      </c>
      <c r="B1914" s="0" t="n">
        <v>34</v>
      </c>
      <c r="C1914" s="0" t="n">
        <v>14</v>
      </c>
      <c r="D1914" s="0" t="n">
        <v>91</v>
      </c>
      <c r="E1914" s="0" t="n">
        <f aca="false">VLOOKUP(B1914,'Babblefish-APUMA'!$A$1:$B$86,2)</f>
        <v>96</v>
      </c>
      <c r="F1914" s="0" t="n">
        <f aca="false">IF(C1914&gt;1,IF(C1914&lt;99,VLOOKUP(C1914,'Babblefish-APUMA'!$A$1:$B$86,2),C1914),C1914)</f>
        <v>100</v>
      </c>
    </row>
    <row r="1915" customFormat="false" ht="12.75" hidden="false" customHeight="false" outlineLevel="0" collapsed="false">
      <c r="A1915" s="0" t="n">
        <f aca="false">B1915*1000+C1915</f>
        <v>34015</v>
      </c>
      <c r="B1915" s="0" t="n">
        <v>34</v>
      </c>
      <c r="C1915" s="0" t="n">
        <v>15</v>
      </c>
      <c r="D1915" s="0" t="n">
        <v>0</v>
      </c>
      <c r="E1915" s="0" t="n">
        <f aca="false">VLOOKUP(B1915,'Babblefish-APUMA'!$A$1:$B$86,2)</f>
        <v>96</v>
      </c>
      <c r="F1915" s="0" t="n">
        <f aca="false">IF(C1915&gt;1,IF(C1915&lt;99,VLOOKUP(C1915,'Babblefish-APUMA'!$A$1:$B$86,2),C1915),C1915)</f>
        <v>15</v>
      </c>
    </row>
    <row r="1916" customFormat="false" ht="12.75" hidden="false" customHeight="false" outlineLevel="0" collapsed="false">
      <c r="A1916" s="0" t="n">
        <f aca="false">B1916*1000+C1916</f>
        <v>34016</v>
      </c>
      <c r="B1916" s="0" t="n">
        <v>34</v>
      </c>
      <c r="C1916" s="0" t="n">
        <v>16</v>
      </c>
      <c r="D1916" s="0" t="n">
        <v>0</v>
      </c>
      <c r="E1916" s="0" t="n">
        <f aca="false">VLOOKUP(B1916,'Babblefish-APUMA'!$A$1:$B$86,2)</f>
        <v>96</v>
      </c>
      <c r="F1916" s="0" t="n">
        <f aca="false">IF(C1916&gt;1,IF(C1916&lt;99,VLOOKUP(C1916,'Babblefish-APUMA'!$A$1:$B$86,2),C1916),C1916)</f>
        <v>99</v>
      </c>
    </row>
    <row r="1917" customFormat="false" ht="12.75" hidden="false" customHeight="false" outlineLevel="0" collapsed="false">
      <c r="A1917" s="0" t="n">
        <f aca="false">B1917*1000+C1917</f>
        <v>34017</v>
      </c>
      <c r="B1917" s="0" t="n">
        <v>34</v>
      </c>
      <c r="C1917" s="0" t="n">
        <v>17</v>
      </c>
      <c r="D1917" s="0" t="n">
        <v>0</v>
      </c>
      <c r="E1917" s="0" t="n">
        <f aca="false">VLOOKUP(B1917,'Babblefish-APUMA'!$A$1:$B$86,2)</f>
        <v>96</v>
      </c>
      <c r="F1917" s="0" t="n">
        <f aca="false">IF(C1917&gt;1,IF(C1917&lt;99,VLOOKUP(C1917,'Babblefish-APUMA'!$A$1:$B$86,2),C1917),C1917)</f>
        <v>87</v>
      </c>
    </row>
    <row r="1918" customFormat="false" ht="12.75" hidden="false" customHeight="false" outlineLevel="0" collapsed="false">
      <c r="A1918" s="0" t="n">
        <f aca="false">B1918*1000+C1918</f>
        <v>34018</v>
      </c>
      <c r="B1918" s="0" t="n">
        <v>34</v>
      </c>
      <c r="C1918" s="0" t="n">
        <v>18</v>
      </c>
      <c r="D1918" s="0" t="n">
        <v>0</v>
      </c>
      <c r="E1918" s="0" t="n">
        <f aca="false">VLOOKUP(B1918,'Babblefish-APUMA'!$A$1:$B$86,2)</f>
        <v>96</v>
      </c>
      <c r="F1918" s="0" t="n">
        <f aca="false">IF(C1918&gt;1,IF(C1918&lt;99,VLOOKUP(C1918,'Babblefish-APUMA'!$A$1:$B$86,2),C1918),C1918)</f>
        <v>87</v>
      </c>
    </row>
    <row r="1919" customFormat="false" ht="12.75" hidden="false" customHeight="false" outlineLevel="0" collapsed="false">
      <c r="A1919" s="0" t="n">
        <f aca="false">B1919*1000+C1919</f>
        <v>34019</v>
      </c>
      <c r="B1919" s="0" t="n">
        <v>34</v>
      </c>
      <c r="C1919" s="0" t="n">
        <v>19</v>
      </c>
      <c r="D1919" s="0" t="n">
        <v>169</v>
      </c>
      <c r="E1919" s="0" t="n">
        <f aca="false">VLOOKUP(B1919,'Babblefish-APUMA'!$A$1:$B$86,2)</f>
        <v>96</v>
      </c>
      <c r="F1919" s="0" t="n">
        <f aca="false">IF(C1919&gt;1,IF(C1919&lt;99,VLOOKUP(C1919,'Babblefish-APUMA'!$A$1:$B$86,2),C1919),C1919)</f>
        <v>19</v>
      </c>
    </row>
    <row r="1920" customFormat="false" ht="12.75" hidden="false" customHeight="false" outlineLevel="0" collapsed="false">
      <c r="A1920" s="0" t="n">
        <f aca="false">B1920*1000+C1920</f>
        <v>34020</v>
      </c>
      <c r="B1920" s="0" t="n">
        <v>34</v>
      </c>
      <c r="C1920" s="0" t="n">
        <v>20</v>
      </c>
      <c r="D1920" s="0" t="n">
        <v>0</v>
      </c>
      <c r="E1920" s="0" t="n">
        <f aca="false">VLOOKUP(B1920,'Babblefish-APUMA'!$A$1:$B$86,2)</f>
        <v>96</v>
      </c>
      <c r="F1920" s="0" t="n">
        <f aca="false">IF(C1920&gt;1,IF(C1920&lt;99,VLOOKUP(C1920,'Babblefish-APUMA'!$A$1:$B$86,2),C1920),C1920)</f>
        <v>86</v>
      </c>
    </row>
    <row r="1921" customFormat="false" ht="12.75" hidden="false" customHeight="false" outlineLevel="0" collapsed="false">
      <c r="A1921" s="0" t="n">
        <f aca="false">B1921*1000+C1921</f>
        <v>34021</v>
      </c>
      <c r="B1921" s="0" t="n">
        <v>34</v>
      </c>
      <c r="C1921" s="0" t="n">
        <v>21</v>
      </c>
      <c r="D1921" s="0" t="n">
        <v>117</v>
      </c>
      <c r="E1921" s="0" t="n">
        <f aca="false">VLOOKUP(B1921,'Babblefish-APUMA'!$A$1:$B$86,2)</f>
        <v>96</v>
      </c>
      <c r="F1921" s="0" t="n">
        <f aca="false">IF(C1921&gt;1,IF(C1921&lt;99,VLOOKUP(C1921,'Babblefish-APUMA'!$A$1:$B$86,2),C1921),C1921)</f>
        <v>86</v>
      </c>
    </row>
    <row r="1922" customFormat="false" ht="12.75" hidden="false" customHeight="false" outlineLevel="0" collapsed="false">
      <c r="A1922" s="0" t="n">
        <f aca="false">B1922*1000+C1922</f>
        <v>34022</v>
      </c>
      <c r="B1922" s="0" t="n">
        <v>34</v>
      </c>
      <c r="C1922" s="0" t="n">
        <v>22</v>
      </c>
      <c r="D1922" s="0" t="n">
        <v>0</v>
      </c>
      <c r="E1922" s="0" t="n">
        <f aca="false">VLOOKUP(B1922,'Babblefish-APUMA'!$A$1:$B$86,2)</f>
        <v>96</v>
      </c>
      <c r="F1922" s="0" t="n">
        <f aca="false">IF(C1922&gt;1,IF(C1922&lt;99,VLOOKUP(C1922,'Babblefish-APUMA'!$A$1:$B$86,2),C1922),C1922)</f>
        <v>22</v>
      </c>
    </row>
    <row r="1923" customFormat="false" ht="12.75" hidden="false" customHeight="false" outlineLevel="0" collapsed="false">
      <c r="A1923" s="0" t="n">
        <f aca="false">B1923*1000+C1923</f>
        <v>34023</v>
      </c>
      <c r="B1923" s="0" t="n">
        <v>34</v>
      </c>
      <c r="C1923" s="0" t="n">
        <v>23</v>
      </c>
      <c r="D1923" s="0" t="n">
        <v>78</v>
      </c>
      <c r="E1923" s="0" t="n">
        <f aca="false">VLOOKUP(B1923,'Babblefish-APUMA'!$A$1:$B$86,2)</f>
        <v>96</v>
      </c>
      <c r="F1923" s="0" t="n">
        <f aca="false">IF(C1923&gt;1,IF(C1923&lt;99,VLOOKUP(C1923,'Babblefish-APUMA'!$A$1:$B$86,2),C1923),C1923)</f>
        <v>97</v>
      </c>
    </row>
    <row r="1924" customFormat="false" ht="12.75" hidden="false" customHeight="false" outlineLevel="0" collapsed="false">
      <c r="A1924" s="0" t="n">
        <f aca="false">B1924*1000+C1924</f>
        <v>34024</v>
      </c>
      <c r="B1924" s="0" t="n">
        <v>34</v>
      </c>
      <c r="C1924" s="0" t="n">
        <v>24</v>
      </c>
      <c r="D1924" s="0" t="n">
        <v>0</v>
      </c>
      <c r="E1924" s="0" t="n">
        <f aca="false">VLOOKUP(B1924,'Babblefish-APUMA'!$A$1:$B$86,2)</f>
        <v>96</v>
      </c>
      <c r="F1924" s="0" t="n">
        <f aca="false">IF(C1924&gt;1,IF(C1924&lt;99,VLOOKUP(C1924,'Babblefish-APUMA'!$A$1:$B$86,2),C1924),C1924)</f>
        <v>101</v>
      </c>
    </row>
    <row r="1925" customFormat="false" ht="12.75" hidden="false" customHeight="false" outlineLevel="0" collapsed="false">
      <c r="A1925" s="0" t="n">
        <f aca="false">B1925*1000+C1925</f>
        <v>34025</v>
      </c>
      <c r="B1925" s="0" t="n">
        <v>34</v>
      </c>
      <c r="C1925" s="0" t="n">
        <v>25</v>
      </c>
      <c r="D1925" s="0" t="n">
        <v>0</v>
      </c>
      <c r="E1925" s="0" t="n">
        <f aca="false">VLOOKUP(B1925,'Babblefish-APUMA'!$A$1:$B$86,2)</f>
        <v>96</v>
      </c>
      <c r="F1925" s="0" t="n">
        <f aca="false">IF(C1925&gt;1,IF(C1925&lt;99,VLOOKUP(C1925,'Babblefish-APUMA'!$A$1:$B$86,2),C1925),C1925)</f>
        <v>101</v>
      </c>
    </row>
    <row r="1926" customFormat="false" ht="12.75" hidden="false" customHeight="false" outlineLevel="0" collapsed="false">
      <c r="A1926" s="0" t="n">
        <f aca="false">B1926*1000+C1926</f>
        <v>34026</v>
      </c>
      <c r="B1926" s="0" t="n">
        <v>34</v>
      </c>
      <c r="C1926" s="0" t="n">
        <v>26</v>
      </c>
      <c r="D1926" s="0" t="n">
        <v>0</v>
      </c>
      <c r="E1926" s="0" t="n">
        <f aca="false">VLOOKUP(B1926,'Babblefish-APUMA'!$A$1:$B$86,2)</f>
        <v>96</v>
      </c>
      <c r="F1926" s="0" t="n">
        <f aca="false">IF(C1926&gt;1,IF(C1926&lt;99,VLOOKUP(C1926,'Babblefish-APUMA'!$A$1:$B$86,2),C1926),C1926)</f>
        <v>26</v>
      </c>
    </row>
    <row r="1927" customFormat="false" ht="12.75" hidden="false" customHeight="false" outlineLevel="0" collapsed="false">
      <c r="A1927" s="0" t="n">
        <f aca="false">B1927*1000+C1927</f>
        <v>34027</v>
      </c>
      <c r="B1927" s="0" t="n">
        <v>34</v>
      </c>
      <c r="C1927" s="0" t="n">
        <v>27</v>
      </c>
      <c r="D1927" s="0" t="n">
        <v>0</v>
      </c>
      <c r="E1927" s="0" t="n">
        <f aca="false">VLOOKUP(B1927,'Babblefish-APUMA'!$A$1:$B$86,2)</f>
        <v>96</v>
      </c>
      <c r="F1927" s="0" t="n">
        <f aca="false">IF(C1927&gt;1,IF(C1927&lt;99,VLOOKUP(C1927,'Babblefish-APUMA'!$A$1:$B$86,2),C1927),C1927)</f>
        <v>27</v>
      </c>
    </row>
    <row r="1928" customFormat="false" ht="12.75" hidden="false" customHeight="false" outlineLevel="0" collapsed="false">
      <c r="A1928" s="0" t="n">
        <f aca="false">B1928*1000+C1928</f>
        <v>34028</v>
      </c>
      <c r="B1928" s="0" t="n">
        <v>34</v>
      </c>
      <c r="C1928" s="0" t="n">
        <v>28</v>
      </c>
      <c r="D1928" s="0" t="n">
        <v>0</v>
      </c>
      <c r="E1928" s="0" t="n">
        <f aca="false">VLOOKUP(B1928,'Babblefish-APUMA'!$A$1:$B$86,2)</f>
        <v>96</v>
      </c>
      <c r="F1928" s="0" t="n">
        <f aca="false">IF(C1928&gt;1,IF(C1928&lt;99,VLOOKUP(C1928,'Babblefish-APUMA'!$A$1:$B$86,2),C1928),C1928)</f>
        <v>94</v>
      </c>
    </row>
    <row r="1929" customFormat="false" ht="12.75" hidden="false" customHeight="false" outlineLevel="0" collapsed="false">
      <c r="A1929" s="0" t="n">
        <f aca="false">B1929*1000+C1929</f>
        <v>34029</v>
      </c>
      <c r="B1929" s="0" t="n">
        <v>34</v>
      </c>
      <c r="C1929" s="0" t="n">
        <v>29</v>
      </c>
      <c r="D1929" s="0" t="n">
        <v>0</v>
      </c>
      <c r="E1929" s="0" t="n">
        <f aca="false">VLOOKUP(B1929,'Babblefish-APUMA'!$A$1:$B$86,2)</f>
        <v>96</v>
      </c>
      <c r="F1929" s="0" t="n">
        <f aca="false">IF(C1929&gt;1,IF(C1929&lt;99,VLOOKUP(C1929,'Babblefish-APUMA'!$A$1:$B$86,2),C1929),C1929)</f>
        <v>94</v>
      </c>
    </row>
    <row r="1930" customFormat="false" ht="12.75" hidden="false" customHeight="false" outlineLevel="0" collapsed="false">
      <c r="A1930" s="0" t="n">
        <f aca="false">B1930*1000+C1930</f>
        <v>34030</v>
      </c>
      <c r="B1930" s="0" t="n">
        <v>34</v>
      </c>
      <c r="C1930" s="0" t="n">
        <v>30</v>
      </c>
      <c r="D1930" s="0" t="n">
        <v>0</v>
      </c>
      <c r="E1930" s="0" t="n">
        <f aca="false">VLOOKUP(B1930,'Babblefish-APUMA'!$A$1:$B$86,2)</f>
        <v>96</v>
      </c>
      <c r="F1930" s="0" t="n">
        <f aca="false">IF(C1930&gt;1,IF(C1930&lt;99,VLOOKUP(C1930,'Babblefish-APUMA'!$A$1:$B$86,2),C1930),C1930)</f>
        <v>30</v>
      </c>
    </row>
    <row r="1931" customFormat="false" ht="12.75" hidden="false" customHeight="false" outlineLevel="0" collapsed="false">
      <c r="A1931" s="0" t="n">
        <f aca="false">B1931*1000+C1931</f>
        <v>34031</v>
      </c>
      <c r="B1931" s="0" t="n">
        <v>34</v>
      </c>
      <c r="C1931" s="0" t="n">
        <v>31</v>
      </c>
      <c r="D1931" s="0" t="n">
        <v>0</v>
      </c>
      <c r="E1931" s="0" t="n">
        <f aca="false">VLOOKUP(B1931,'Babblefish-APUMA'!$A$1:$B$86,2)</f>
        <v>96</v>
      </c>
      <c r="F1931" s="0" t="n">
        <f aca="false">IF(C1931&gt;1,IF(C1931&lt;99,VLOOKUP(C1931,'Babblefish-APUMA'!$A$1:$B$86,2),C1931),C1931)</f>
        <v>31</v>
      </c>
    </row>
    <row r="1932" customFormat="false" ht="12.75" hidden="false" customHeight="false" outlineLevel="0" collapsed="false">
      <c r="A1932" s="0" t="n">
        <f aca="false">B1932*1000+C1932</f>
        <v>34032</v>
      </c>
      <c r="B1932" s="0" t="n">
        <v>34</v>
      </c>
      <c r="C1932" s="0" t="n">
        <v>32</v>
      </c>
      <c r="D1932" s="0" t="n">
        <v>0</v>
      </c>
      <c r="E1932" s="0" t="n">
        <f aca="false">VLOOKUP(B1932,'Babblefish-APUMA'!$A$1:$B$86,2)</f>
        <v>96</v>
      </c>
      <c r="F1932" s="0" t="n">
        <f aca="false">IF(C1932&gt;1,IF(C1932&lt;99,VLOOKUP(C1932,'Babblefish-APUMA'!$A$1:$B$86,2),C1932),C1932)</f>
        <v>32</v>
      </c>
    </row>
    <row r="1933" customFormat="false" ht="12.75" hidden="false" customHeight="false" outlineLevel="0" collapsed="false">
      <c r="A1933" s="0" t="n">
        <f aca="false">B1933*1000+C1933</f>
        <v>34033</v>
      </c>
      <c r="B1933" s="0" t="n">
        <v>34</v>
      </c>
      <c r="C1933" s="0" t="n">
        <v>33</v>
      </c>
      <c r="D1933" s="0" t="n">
        <v>7514</v>
      </c>
      <c r="E1933" s="0" t="n">
        <f aca="false">VLOOKUP(B1933,'Babblefish-APUMA'!$A$1:$B$86,2)</f>
        <v>96</v>
      </c>
      <c r="F1933" s="0" t="n">
        <f aca="false">IF(C1933&gt;1,IF(C1933&lt;99,VLOOKUP(C1933,'Babblefish-APUMA'!$A$1:$B$86,2),C1933),C1933)</f>
        <v>96</v>
      </c>
    </row>
    <row r="1934" customFormat="false" ht="12.75" hidden="false" customHeight="false" outlineLevel="0" collapsed="false">
      <c r="A1934" s="0" t="n">
        <f aca="false">B1934*1000+C1934</f>
        <v>34034</v>
      </c>
      <c r="B1934" s="0" t="n">
        <v>34</v>
      </c>
      <c r="C1934" s="0" t="n">
        <v>34</v>
      </c>
      <c r="D1934" s="0" t="n">
        <v>14196</v>
      </c>
      <c r="E1934" s="0" t="n">
        <f aca="false">VLOOKUP(B1934,'Babblefish-APUMA'!$A$1:$B$86,2)</f>
        <v>96</v>
      </c>
      <c r="F1934" s="0" t="n">
        <f aca="false">IF(C1934&gt;1,IF(C1934&lt;99,VLOOKUP(C1934,'Babblefish-APUMA'!$A$1:$B$86,2),C1934),C1934)</f>
        <v>96</v>
      </c>
    </row>
    <row r="1935" customFormat="false" ht="12.75" hidden="false" customHeight="false" outlineLevel="0" collapsed="false">
      <c r="A1935" s="0" t="n">
        <f aca="false">B1935*1000+C1935</f>
        <v>34035</v>
      </c>
      <c r="B1935" s="0" t="n">
        <v>34</v>
      </c>
      <c r="C1935" s="0" t="n">
        <v>35</v>
      </c>
      <c r="D1935" s="0" t="n">
        <v>1469</v>
      </c>
      <c r="E1935" s="0" t="n">
        <f aca="false">VLOOKUP(B1935,'Babblefish-APUMA'!$A$1:$B$86,2)</f>
        <v>96</v>
      </c>
      <c r="F1935" s="0" t="n">
        <f aca="false">IF(C1935&gt;1,IF(C1935&lt;99,VLOOKUP(C1935,'Babblefish-APUMA'!$A$1:$B$86,2),C1935),C1935)</f>
        <v>96</v>
      </c>
    </row>
    <row r="1936" customFormat="false" ht="12.75" hidden="false" customHeight="false" outlineLevel="0" collapsed="false">
      <c r="A1936" s="0" t="n">
        <f aca="false">B1936*1000+C1936</f>
        <v>34036</v>
      </c>
      <c r="B1936" s="0" t="n">
        <v>34</v>
      </c>
      <c r="C1936" s="0" t="n">
        <v>36</v>
      </c>
      <c r="D1936" s="0" t="n">
        <v>0</v>
      </c>
      <c r="E1936" s="0" t="n">
        <f aca="false">VLOOKUP(B1936,'Babblefish-APUMA'!$A$1:$B$86,2)</f>
        <v>96</v>
      </c>
      <c r="F1936" s="0" t="n">
        <f aca="false">IF(C1936&gt;1,IF(C1936&lt;99,VLOOKUP(C1936,'Babblefish-APUMA'!$A$1:$B$86,2),C1936),C1936)</f>
        <v>96</v>
      </c>
    </row>
    <row r="1937" customFormat="false" ht="12.75" hidden="false" customHeight="false" outlineLevel="0" collapsed="false">
      <c r="A1937" s="0" t="n">
        <f aca="false">B1937*1000+C1937</f>
        <v>34037</v>
      </c>
      <c r="B1937" s="0" t="n">
        <v>34</v>
      </c>
      <c r="C1937" s="0" t="n">
        <v>37</v>
      </c>
      <c r="D1937" s="0" t="n">
        <v>24934</v>
      </c>
      <c r="E1937" s="0" t="n">
        <f aca="false">VLOOKUP(B1937,'Babblefish-APUMA'!$A$1:$B$86,2)</f>
        <v>96</v>
      </c>
      <c r="F1937" s="0" t="n">
        <f aca="false">IF(C1937&gt;1,IF(C1937&lt;99,VLOOKUP(C1937,'Babblefish-APUMA'!$A$1:$B$86,2),C1937),C1937)</f>
        <v>96</v>
      </c>
    </row>
    <row r="1938" customFormat="false" ht="12.75" hidden="false" customHeight="false" outlineLevel="0" collapsed="false">
      <c r="A1938" s="0" t="n">
        <f aca="false">B1938*1000+C1938</f>
        <v>34038</v>
      </c>
      <c r="B1938" s="0" t="n">
        <v>34</v>
      </c>
      <c r="C1938" s="0" t="n">
        <v>38</v>
      </c>
      <c r="D1938" s="0" t="n">
        <v>0</v>
      </c>
      <c r="E1938" s="0" t="n">
        <f aca="false">VLOOKUP(B1938,'Babblefish-APUMA'!$A$1:$B$86,2)</f>
        <v>96</v>
      </c>
      <c r="F1938" s="0" t="n">
        <f aca="false">IF(C1938&gt;1,IF(C1938&lt;99,VLOOKUP(C1938,'Babblefish-APUMA'!$A$1:$B$86,2),C1938),C1938)</f>
        <v>91</v>
      </c>
    </row>
    <row r="1939" customFormat="false" ht="12.75" hidden="false" customHeight="false" outlineLevel="0" collapsed="false">
      <c r="A1939" s="0" t="n">
        <f aca="false">B1939*1000+C1939</f>
        <v>34039</v>
      </c>
      <c r="B1939" s="0" t="n">
        <v>34</v>
      </c>
      <c r="C1939" s="0" t="n">
        <v>39</v>
      </c>
      <c r="D1939" s="0" t="n">
        <v>0</v>
      </c>
      <c r="E1939" s="0" t="n">
        <f aca="false">VLOOKUP(B1939,'Babblefish-APUMA'!$A$1:$B$86,2)</f>
        <v>96</v>
      </c>
      <c r="F1939" s="0" t="n">
        <f aca="false">IF(C1939&gt;1,IF(C1939&lt;99,VLOOKUP(C1939,'Babblefish-APUMA'!$A$1:$B$86,2),C1939),C1939)</f>
        <v>91</v>
      </c>
    </row>
    <row r="1940" customFormat="false" ht="12.75" hidden="false" customHeight="false" outlineLevel="0" collapsed="false">
      <c r="A1940" s="0" t="n">
        <f aca="false">B1940*1000+C1940</f>
        <v>34040</v>
      </c>
      <c r="B1940" s="0" t="n">
        <v>34</v>
      </c>
      <c r="C1940" s="0" t="n">
        <v>40</v>
      </c>
      <c r="D1940" s="0" t="n">
        <v>0</v>
      </c>
      <c r="E1940" s="0" t="n">
        <f aca="false">VLOOKUP(B1940,'Babblefish-APUMA'!$A$1:$B$86,2)</f>
        <v>96</v>
      </c>
      <c r="F1940" s="0" t="n">
        <f aca="false">IF(C1940&gt;1,IF(C1940&lt;99,VLOOKUP(C1940,'Babblefish-APUMA'!$A$1:$B$86,2),C1940),C1940)</f>
        <v>88</v>
      </c>
    </row>
    <row r="1941" customFormat="false" ht="12.75" hidden="false" customHeight="false" outlineLevel="0" collapsed="false">
      <c r="A1941" s="0" t="n">
        <f aca="false">B1941*1000+C1941</f>
        <v>34041</v>
      </c>
      <c r="B1941" s="0" t="n">
        <v>34</v>
      </c>
      <c r="C1941" s="0" t="n">
        <v>41</v>
      </c>
      <c r="D1941" s="0" t="n">
        <v>0</v>
      </c>
      <c r="E1941" s="0" t="n">
        <f aca="false">VLOOKUP(B1941,'Babblefish-APUMA'!$A$1:$B$86,2)</f>
        <v>96</v>
      </c>
      <c r="F1941" s="0" t="n">
        <f aca="false">IF(C1941&gt;1,IF(C1941&lt;99,VLOOKUP(C1941,'Babblefish-APUMA'!$A$1:$B$86,2),C1941),C1941)</f>
        <v>88</v>
      </c>
    </row>
    <row r="1942" customFormat="false" ht="12.75" hidden="false" customHeight="false" outlineLevel="0" collapsed="false">
      <c r="A1942" s="0" t="n">
        <f aca="false">B1942*1000+C1942</f>
        <v>34042</v>
      </c>
      <c r="B1942" s="0" t="n">
        <v>34</v>
      </c>
      <c r="C1942" s="0" t="n">
        <v>42</v>
      </c>
      <c r="D1942" s="0" t="n">
        <v>273</v>
      </c>
      <c r="E1942" s="0" t="n">
        <f aca="false">VLOOKUP(B1942,'Babblefish-APUMA'!$A$1:$B$86,2)</f>
        <v>96</v>
      </c>
      <c r="F1942" s="0" t="n">
        <f aca="false">IF(C1942&gt;1,IF(C1942&lt;99,VLOOKUP(C1942,'Babblefish-APUMA'!$A$1:$B$86,2),C1942),C1942)</f>
        <v>92</v>
      </c>
    </row>
    <row r="1943" customFormat="false" ht="12.75" hidden="false" customHeight="false" outlineLevel="0" collapsed="false">
      <c r="A1943" s="0" t="n">
        <f aca="false">B1943*1000+C1943</f>
        <v>34043</v>
      </c>
      <c r="B1943" s="0" t="n">
        <v>34</v>
      </c>
      <c r="C1943" s="0" t="n">
        <v>43</v>
      </c>
      <c r="D1943" s="0" t="n">
        <v>1261</v>
      </c>
      <c r="E1943" s="0" t="n">
        <f aca="false">VLOOKUP(B1943,'Babblefish-APUMA'!$A$1:$B$86,2)</f>
        <v>96</v>
      </c>
      <c r="F1943" s="0" t="n">
        <f aca="false">IF(C1943&gt;1,IF(C1943&lt;99,VLOOKUP(C1943,'Babblefish-APUMA'!$A$1:$B$86,2),C1943),C1943)</f>
        <v>92</v>
      </c>
    </row>
    <row r="1944" customFormat="false" ht="12.75" hidden="false" customHeight="false" outlineLevel="0" collapsed="false">
      <c r="A1944" s="0" t="n">
        <f aca="false">B1944*1000+C1944</f>
        <v>34044</v>
      </c>
      <c r="B1944" s="0" t="n">
        <v>34</v>
      </c>
      <c r="C1944" s="0" t="n">
        <v>44</v>
      </c>
      <c r="D1944" s="0" t="n">
        <v>455</v>
      </c>
      <c r="E1944" s="0" t="n">
        <f aca="false">VLOOKUP(B1944,'Babblefish-APUMA'!$A$1:$B$86,2)</f>
        <v>96</v>
      </c>
      <c r="F1944" s="0" t="n">
        <f aca="false">IF(C1944&gt;1,IF(C1944&lt;99,VLOOKUP(C1944,'Babblefish-APUMA'!$A$1:$B$86,2),C1944),C1944)</f>
        <v>92</v>
      </c>
    </row>
    <row r="1945" customFormat="false" ht="12.75" hidden="false" customHeight="false" outlineLevel="0" collapsed="false">
      <c r="A1945" s="0" t="n">
        <f aca="false">B1945*1000+C1945</f>
        <v>34045</v>
      </c>
      <c r="B1945" s="0" t="n">
        <v>34</v>
      </c>
      <c r="C1945" s="0" t="n">
        <v>45</v>
      </c>
      <c r="D1945" s="0" t="n">
        <v>325</v>
      </c>
      <c r="E1945" s="0" t="n">
        <f aca="false">VLOOKUP(B1945,'Babblefish-APUMA'!$A$1:$B$86,2)</f>
        <v>96</v>
      </c>
      <c r="F1945" s="0" t="n">
        <f aca="false">IF(C1945&gt;1,IF(C1945&lt;99,VLOOKUP(C1945,'Babblefish-APUMA'!$A$1:$B$86,2),C1945),C1945)</f>
        <v>92</v>
      </c>
    </row>
    <row r="1946" customFormat="false" ht="12.75" hidden="false" customHeight="false" outlineLevel="0" collapsed="false">
      <c r="A1946" s="0" t="n">
        <f aca="false">B1946*1000+C1946</f>
        <v>34046</v>
      </c>
      <c r="B1946" s="0" t="n">
        <v>34</v>
      </c>
      <c r="C1946" s="0" t="n">
        <v>46</v>
      </c>
      <c r="D1946" s="0" t="n">
        <v>130</v>
      </c>
      <c r="E1946" s="0" t="n">
        <f aca="false">VLOOKUP(B1946,'Babblefish-APUMA'!$A$1:$B$86,2)</f>
        <v>96</v>
      </c>
      <c r="F1946" s="0" t="n">
        <f aca="false">IF(C1946&gt;1,IF(C1946&lt;99,VLOOKUP(C1946,'Babblefish-APUMA'!$A$1:$B$86,2),C1946),C1946)</f>
        <v>92</v>
      </c>
    </row>
    <row r="1947" customFormat="false" ht="12.75" hidden="false" customHeight="false" outlineLevel="0" collapsed="false">
      <c r="A1947" s="0" t="n">
        <f aca="false">B1947*1000+C1947</f>
        <v>34047</v>
      </c>
      <c r="B1947" s="0" t="n">
        <v>34</v>
      </c>
      <c r="C1947" s="0" t="n">
        <v>47</v>
      </c>
      <c r="D1947" s="0" t="n">
        <v>104</v>
      </c>
      <c r="E1947" s="0" t="n">
        <f aca="false">VLOOKUP(B1947,'Babblefish-APUMA'!$A$1:$B$86,2)</f>
        <v>96</v>
      </c>
      <c r="F1947" s="0" t="n">
        <f aca="false">IF(C1947&gt;1,IF(C1947&lt;99,VLOOKUP(C1947,'Babblefish-APUMA'!$A$1:$B$86,2),C1947),C1947)</f>
        <v>92</v>
      </c>
    </row>
    <row r="1948" customFormat="false" ht="12.75" hidden="false" customHeight="false" outlineLevel="0" collapsed="false">
      <c r="A1948" s="0" t="n">
        <f aca="false">B1948*1000+C1948</f>
        <v>34048</v>
      </c>
      <c r="B1948" s="0" t="n">
        <v>34</v>
      </c>
      <c r="C1948" s="0" t="n">
        <v>48</v>
      </c>
      <c r="D1948" s="0" t="n">
        <v>689</v>
      </c>
      <c r="E1948" s="0" t="n">
        <f aca="false">VLOOKUP(B1948,'Babblefish-APUMA'!$A$1:$B$86,2)</f>
        <v>96</v>
      </c>
      <c r="F1948" s="0" t="n">
        <f aca="false">IF(C1948&gt;1,IF(C1948&lt;99,VLOOKUP(C1948,'Babblefish-APUMA'!$A$1:$B$86,2),C1948),C1948)</f>
        <v>92</v>
      </c>
    </row>
    <row r="1949" customFormat="false" ht="12.75" hidden="false" customHeight="false" outlineLevel="0" collapsed="false">
      <c r="A1949" s="0" t="n">
        <f aca="false">B1949*1000+C1949</f>
        <v>34049</v>
      </c>
      <c r="B1949" s="0" t="n">
        <v>34</v>
      </c>
      <c r="C1949" s="0" t="n">
        <v>49</v>
      </c>
      <c r="D1949" s="0" t="n">
        <v>0</v>
      </c>
      <c r="E1949" s="0" t="n">
        <f aca="false">VLOOKUP(B1949,'Babblefish-APUMA'!$A$1:$B$86,2)</f>
        <v>96</v>
      </c>
      <c r="F1949" s="0" t="n">
        <f aca="false">IF(C1949&gt;1,IF(C1949&lt;99,VLOOKUP(C1949,'Babblefish-APUMA'!$A$1:$B$86,2),C1949),C1949)</f>
        <v>98</v>
      </c>
    </row>
    <row r="1950" customFormat="false" ht="12.75" hidden="false" customHeight="false" outlineLevel="0" collapsed="false">
      <c r="A1950" s="0" t="n">
        <f aca="false">B1950*1000+C1950</f>
        <v>34050</v>
      </c>
      <c r="B1950" s="0" t="n">
        <v>34</v>
      </c>
      <c r="C1950" s="0" t="n">
        <v>50</v>
      </c>
      <c r="D1950" s="0" t="n">
        <v>0</v>
      </c>
      <c r="E1950" s="0" t="n">
        <f aca="false">VLOOKUP(B1950,'Babblefish-APUMA'!$A$1:$B$86,2)</f>
        <v>96</v>
      </c>
      <c r="F1950" s="0" t="n">
        <f aca="false">IF(C1950&gt;1,IF(C1950&lt;99,VLOOKUP(C1950,'Babblefish-APUMA'!$A$1:$B$86,2),C1950),C1950)</f>
        <v>98</v>
      </c>
    </row>
    <row r="1951" customFormat="false" ht="12.75" hidden="false" customHeight="false" outlineLevel="0" collapsed="false">
      <c r="A1951" s="0" t="n">
        <f aca="false">B1951*1000+C1951</f>
        <v>34051</v>
      </c>
      <c r="B1951" s="0" t="n">
        <v>34</v>
      </c>
      <c r="C1951" s="0" t="n">
        <v>51</v>
      </c>
      <c r="D1951" s="0" t="n">
        <v>0</v>
      </c>
      <c r="E1951" s="0" t="n">
        <f aca="false">VLOOKUP(B1951,'Babblefish-APUMA'!$A$1:$B$86,2)</f>
        <v>96</v>
      </c>
      <c r="F1951" s="0" t="n">
        <f aca="false">IF(C1951&gt;1,IF(C1951&lt;99,VLOOKUP(C1951,'Babblefish-APUMA'!$A$1:$B$86,2),C1951),C1951)</f>
        <v>98</v>
      </c>
    </row>
    <row r="1952" customFormat="false" ht="12.75" hidden="false" customHeight="false" outlineLevel="0" collapsed="false">
      <c r="A1952" s="0" t="n">
        <f aca="false">B1952*1000+C1952</f>
        <v>34052</v>
      </c>
      <c r="B1952" s="0" t="n">
        <v>34</v>
      </c>
      <c r="C1952" s="0" t="n">
        <v>52</v>
      </c>
      <c r="D1952" s="0" t="n">
        <v>0</v>
      </c>
      <c r="E1952" s="0" t="n">
        <f aca="false">VLOOKUP(B1952,'Babblefish-APUMA'!$A$1:$B$86,2)</f>
        <v>96</v>
      </c>
      <c r="F1952" s="0" t="n">
        <f aca="false">IF(C1952&gt;1,IF(C1952&lt;99,VLOOKUP(C1952,'Babblefish-APUMA'!$A$1:$B$86,2),C1952),C1952)</f>
        <v>90</v>
      </c>
    </row>
    <row r="1953" customFormat="false" ht="12.75" hidden="false" customHeight="false" outlineLevel="0" collapsed="false">
      <c r="A1953" s="0" t="n">
        <f aca="false">B1953*1000+C1953</f>
        <v>34053</v>
      </c>
      <c r="B1953" s="0" t="n">
        <v>34</v>
      </c>
      <c r="C1953" s="0" t="n">
        <v>53</v>
      </c>
      <c r="D1953" s="0" t="n">
        <v>0</v>
      </c>
      <c r="E1953" s="0" t="n">
        <f aca="false">VLOOKUP(B1953,'Babblefish-APUMA'!$A$1:$B$86,2)</f>
        <v>96</v>
      </c>
      <c r="F1953" s="0" t="n">
        <f aca="false">IF(C1953&gt;1,IF(C1953&lt;99,VLOOKUP(C1953,'Babblefish-APUMA'!$A$1:$B$86,2),C1953),C1953)</f>
        <v>90</v>
      </c>
    </row>
    <row r="1954" customFormat="false" ht="12.75" hidden="false" customHeight="false" outlineLevel="0" collapsed="false">
      <c r="A1954" s="0" t="n">
        <f aca="false">B1954*1000+C1954</f>
        <v>34054</v>
      </c>
      <c r="B1954" s="0" t="n">
        <v>34</v>
      </c>
      <c r="C1954" s="0" t="n">
        <v>54</v>
      </c>
      <c r="D1954" s="0" t="n">
        <v>0</v>
      </c>
      <c r="E1954" s="0" t="n">
        <f aca="false">VLOOKUP(B1954,'Babblefish-APUMA'!$A$1:$B$86,2)</f>
        <v>96</v>
      </c>
      <c r="F1954" s="0" t="n">
        <f aca="false">IF(C1954&gt;1,IF(C1954&lt;99,VLOOKUP(C1954,'Babblefish-APUMA'!$A$1:$B$86,2),C1954),C1954)</f>
        <v>90</v>
      </c>
    </row>
    <row r="1955" customFormat="false" ht="12.75" hidden="false" customHeight="false" outlineLevel="0" collapsed="false">
      <c r="A1955" s="0" t="n">
        <f aca="false">B1955*1000+C1955</f>
        <v>34055</v>
      </c>
      <c r="B1955" s="0" t="n">
        <v>34</v>
      </c>
      <c r="C1955" s="0" t="n">
        <v>55</v>
      </c>
      <c r="D1955" s="0" t="n">
        <v>0</v>
      </c>
      <c r="E1955" s="0" t="n">
        <f aca="false">VLOOKUP(B1955,'Babblefish-APUMA'!$A$1:$B$86,2)</f>
        <v>96</v>
      </c>
      <c r="F1955" s="0" t="n">
        <f aca="false">IF(C1955&gt;1,IF(C1955&lt;99,VLOOKUP(C1955,'Babblefish-APUMA'!$A$1:$B$86,2),C1955),C1955)</f>
        <v>90</v>
      </c>
    </row>
    <row r="1956" customFormat="false" ht="12.75" hidden="false" customHeight="false" outlineLevel="0" collapsed="false">
      <c r="A1956" s="0" t="n">
        <f aca="false">B1956*1000+C1956</f>
        <v>34056</v>
      </c>
      <c r="B1956" s="0" t="n">
        <v>34</v>
      </c>
      <c r="C1956" s="0" t="n">
        <v>56</v>
      </c>
      <c r="D1956" s="0" t="n">
        <v>0</v>
      </c>
      <c r="E1956" s="0" t="n">
        <f aca="false">VLOOKUP(B1956,'Babblefish-APUMA'!$A$1:$B$86,2)</f>
        <v>96</v>
      </c>
      <c r="F1956" s="0" t="n">
        <f aca="false">IF(C1956&gt;1,IF(C1956&lt;99,VLOOKUP(C1956,'Babblefish-APUMA'!$A$1:$B$86,2),C1956),C1956)</f>
        <v>90</v>
      </c>
    </row>
    <row r="1957" customFormat="false" ht="12.75" hidden="false" customHeight="false" outlineLevel="0" collapsed="false">
      <c r="A1957" s="0" t="n">
        <f aca="false">B1957*1000+C1957</f>
        <v>34057</v>
      </c>
      <c r="B1957" s="0" t="n">
        <v>34</v>
      </c>
      <c r="C1957" s="0" t="n">
        <v>57</v>
      </c>
      <c r="D1957" s="0" t="n">
        <v>0</v>
      </c>
      <c r="E1957" s="0" t="n">
        <f aca="false">VLOOKUP(B1957,'Babblefish-APUMA'!$A$1:$B$86,2)</f>
        <v>96</v>
      </c>
      <c r="F1957" s="0" t="n">
        <f aca="false">IF(C1957&gt;1,IF(C1957&lt;99,VLOOKUP(C1957,'Babblefish-APUMA'!$A$1:$B$86,2),C1957),C1957)</f>
        <v>90</v>
      </c>
    </row>
    <row r="1958" customFormat="false" ht="12.75" hidden="false" customHeight="false" outlineLevel="0" collapsed="false">
      <c r="A1958" s="0" t="n">
        <f aca="false">B1958*1000+C1958</f>
        <v>34059</v>
      </c>
      <c r="B1958" s="0" t="n">
        <v>34</v>
      </c>
      <c r="C1958" s="0" t="n">
        <v>59</v>
      </c>
      <c r="D1958" s="0" t="n">
        <v>0</v>
      </c>
      <c r="E1958" s="0" t="n">
        <f aca="false">VLOOKUP(B1958,'Babblefish-APUMA'!$A$1:$B$86,2)</f>
        <v>96</v>
      </c>
      <c r="F1958" s="0" t="n">
        <f aca="false">IF(C1958&gt;1,IF(C1958&lt;99,VLOOKUP(C1958,'Babblefish-APUMA'!$A$1:$B$86,2),C1958),C1958)</f>
        <v>90</v>
      </c>
    </row>
    <row r="1959" customFormat="false" ht="12.75" hidden="false" customHeight="false" outlineLevel="0" collapsed="false">
      <c r="A1959" s="0" t="n">
        <f aca="false">B1959*1000+C1959</f>
        <v>34060</v>
      </c>
      <c r="B1959" s="0" t="n">
        <v>34</v>
      </c>
      <c r="C1959" s="0" t="n">
        <v>60</v>
      </c>
      <c r="D1959" s="0" t="n">
        <v>0</v>
      </c>
      <c r="E1959" s="0" t="n">
        <f aca="false">VLOOKUP(B1959,'Babblefish-APUMA'!$A$1:$B$86,2)</f>
        <v>96</v>
      </c>
      <c r="F1959" s="0" t="n">
        <f aca="false">IF(C1959&gt;1,IF(C1959&lt;99,VLOOKUP(C1959,'Babblefish-APUMA'!$A$1:$B$86,2),C1959),C1959)</f>
        <v>90</v>
      </c>
    </row>
    <row r="1960" customFormat="false" ht="12.75" hidden="false" customHeight="false" outlineLevel="0" collapsed="false">
      <c r="A1960" s="0" t="n">
        <f aca="false">B1960*1000+C1960</f>
        <v>34062</v>
      </c>
      <c r="B1960" s="0" t="n">
        <v>34</v>
      </c>
      <c r="C1960" s="0" t="n">
        <v>62</v>
      </c>
      <c r="D1960" s="0" t="n">
        <v>117</v>
      </c>
      <c r="E1960" s="0" t="n">
        <f aca="false">VLOOKUP(B1960,'Babblefish-APUMA'!$A$1:$B$86,2)</f>
        <v>96</v>
      </c>
      <c r="F1960" s="0" t="n">
        <f aca="false">IF(C1960&gt;1,IF(C1960&lt;99,VLOOKUP(C1960,'Babblefish-APUMA'!$A$1:$B$86,2),C1960),C1960)</f>
        <v>90</v>
      </c>
    </row>
    <row r="1961" customFormat="false" ht="12.75" hidden="false" customHeight="false" outlineLevel="0" collapsed="false">
      <c r="A1961" s="0" t="n">
        <f aca="false">B1961*1000+C1961</f>
        <v>34063</v>
      </c>
      <c r="B1961" s="0" t="n">
        <v>34</v>
      </c>
      <c r="C1961" s="0" t="n">
        <v>63</v>
      </c>
      <c r="D1961" s="0" t="n">
        <v>0</v>
      </c>
      <c r="E1961" s="0" t="n">
        <f aca="false">VLOOKUP(B1961,'Babblefish-APUMA'!$A$1:$B$86,2)</f>
        <v>96</v>
      </c>
      <c r="F1961" s="0" t="n">
        <f aca="false">IF(C1961&gt;1,IF(C1961&lt;99,VLOOKUP(C1961,'Babblefish-APUMA'!$A$1:$B$86,2),C1961),C1961)</f>
        <v>90</v>
      </c>
    </row>
    <row r="1962" customFormat="false" ht="12.75" hidden="false" customHeight="false" outlineLevel="0" collapsed="false">
      <c r="A1962" s="0" t="n">
        <f aca="false">B1962*1000+C1962</f>
        <v>34064</v>
      </c>
      <c r="B1962" s="0" t="n">
        <v>34</v>
      </c>
      <c r="C1962" s="0" t="n">
        <v>64</v>
      </c>
      <c r="D1962" s="0" t="n">
        <v>715</v>
      </c>
      <c r="E1962" s="0" t="n">
        <f aca="false">VLOOKUP(B1962,'Babblefish-APUMA'!$A$1:$B$86,2)</f>
        <v>96</v>
      </c>
      <c r="F1962" s="0" t="n">
        <f aca="false">IF(C1962&gt;1,IF(C1962&lt;99,VLOOKUP(C1962,'Babblefish-APUMA'!$A$1:$B$86,2),C1962),C1962)</f>
        <v>90</v>
      </c>
    </row>
    <row r="1963" customFormat="false" ht="12.75" hidden="false" customHeight="false" outlineLevel="0" collapsed="false">
      <c r="A1963" s="0" t="n">
        <f aca="false">B1963*1000+C1963</f>
        <v>34065</v>
      </c>
      <c r="B1963" s="0" t="n">
        <v>34</v>
      </c>
      <c r="C1963" s="0" t="n">
        <v>65</v>
      </c>
      <c r="D1963" s="0" t="n">
        <v>338</v>
      </c>
      <c r="E1963" s="0" t="n">
        <f aca="false">VLOOKUP(B1963,'Babblefish-APUMA'!$A$1:$B$86,2)</f>
        <v>96</v>
      </c>
      <c r="F1963" s="0" t="n">
        <f aca="false">IF(C1963&gt;1,IF(C1963&lt;99,VLOOKUP(C1963,'Babblefish-APUMA'!$A$1:$B$86,2),C1963),C1963)</f>
        <v>90</v>
      </c>
    </row>
    <row r="1964" customFormat="false" ht="12.75" hidden="false" customHeight="false" outlineLevel="0" collapsed="false">
      <c r="A1964" s="0" t="n">
        <f aca="false">B1964*1000+C1964</f>
        <v>34066</v>
      </c>
      <c r="B1964" s="0" t="n">
        <v>34</v>
      </c>
      <c r="C1964" s="0" t="n">
        <v>66</v>
      </c>
      <c r="D1964" s="0" t="n">
        <v>0</v>
      </c>
      <c r="E1964" s="0" t="n">
        <f aca="false">VLOOKUP(B1964,'Babblefish-APUMA'!$A$1:$B$86,2)</f>
        <v>96</v>
      </c>
      <c r="F1964" s="0" t="n">
        <f aca="false">IF(C1964&gt;1,IF(C1964&lt;99,VLOOKUP(C1964,'Babblefish-APUMA'!$A$1:$B$86,2),C1964),C1964)</f>
        <v>90</v>
      </c>
    </row>
    <row r="1965" customFormat="false" ht="12.75" hidden="false" customHeight="false" outlineLevel="0" collapsed="false">
      <c r="A1965" s="0" t="n">
        <f aca="false">B1965*1000+C1965</f>
        <v>34067</v>
      </c>
      <c r="B1965" s="0" t="n">
        <v>34</v>
      </c>
      <c r="C1965" s="0" t="n">
        <v>67</v>
      </c>
      <c r="D1965" s="0" t="n">
        <v>0</v>
      </c>
      <c r="E1965" s="0" t="n">
        <f aca="false">VLOOKUP(B1965,'Babblefish-APUMA'!$A$1:$B$86,2)</f>
        <v>96</v>
      </c>
      <c r="F1965" s="0" t="n">
        <f aca="false">IF(C1965&gt;1,IF(C1965&lt;99,VLOOKUP(C1965,'Babblefish-APUMA'!$A$1:$B$86,2),C1965),C1965)</f>
        <v>103</v>
      </c>
    </row>
    <row r="1966" customFormat="false" ht="12.75" hidden="false" customHeight="false" outlineLevel="0" collapsed="false">
      <c r="A1966" s="0" t="n">
        <f aca="false">B1966*1000+C1966</f>
        <v>34069</v>
      </c>
      <c r="B1966" s="0" t="n">
        <v>34</v>
      </c>
      <c r="C1966" s="0" t="n">
        <v>69</v>
      </c>
      <c r="D1966" s="0" t="n">
        <v>377</v>
      </c>
      <c r="E1966" s="0" t="n">
        <f aca="false">VLOOKUP(B1966,'Babblefish-APUMA'!$A$1:$B$86,2)</f>
        <v>96</v>
      </c>
      <c r="F1966" s="0" t="n">
        <f aca="false">IF(C1966&gt;1,IF(C1966&lt;99,VLOOKUP(C1966,'Babblefish-APUMA'!$A$1:$B$86,2),C1966),C1966)</f>
        <v>93</v>
      </c>
    </row>
    <row r="1967" customFormat="false" ht="12.75" hidden="false" customHeight="false" outlineLevel="0" collapsed="false">
      <c r="A1967" s="0" t="n">
        <f aca="false">B1967*1000+C1967</f>
        <v>34071</v>
      </c>
      <c r="B1967" s="0" t="n">
        <v>34</v>
      </c>
      <c r="C1967" s="0" t="n">
        <v>71</v>
      </c>
      <c r="D1967" s="0" t="n">
        <v>0</v>
      </c>
      <c r="E1967" s="0" t="n">
        <f aca="false">VLOOKUP(B1967,'Babblefish-APUMA'!$A$1:$B$86,2)</f>
        <v>96</v>
      </c>
      <c r="F1967" s="0" t="n">
        <f aca="false">IF(C1967&gt;1,IF(C1967&lt;99,VLOOKUP(C1967,'Babblefish-APUMA'!$A$1:$B$86,2),C1967),C1967)</f>
        <v>95</v>
      </c>
    </row>
    <row r="1968" customFormat="false" ht="12.75" hidden="false" customHeight="false" outlineLevel="0" collapsed="false">
      <c r="A1968" s="0" t="n">
        <f aca="false">B1968*1000+C1968</f>
        <v>34072</v>
      </c>
      <c r="B1968" s="0" t="n">
        <v>34</v>
      </c>
      <c r="C1968" s="0" t="n">
        <v>72</v>
      </c>
      <c r="D1968" s="0" t="n">
        <v>0</v>
      </c>
      <c r="E1968" s="0" t="n">
        <f aca="false">VLOOKUP(B1968,'Babblefish-APUMA'!$A$1:$B$86,2)</f>
        <v>96</v>
      </c>
      <c r="F1968" s="0" t="n">
        <f aca="false">IF(C1968&gt;1,IF(C1968&lt;99,VLOOKUP(C1968,'Babblefish-APUMA'!$A$1:$B$86,2),C1968),C1968)</f>
        <v>95</v>
      </c>
    </row>
    <row r="1969" customFormat="false" ht="12.75" hidden="false" customHeight="false" outlineLevel="0" collapsed="false">
      <c r="A1969" s="0" t="n">
        <f aca="false">B1969*1000+C1969</f>
        <v>34073</v>
      </c>
      <c r="B1969" s="0" t="n">
        <v>34</v>
      </c>
      <c r="C1969" s="0" t="n">
        <v>73</v>
      </c>
      <c r="D1969" s="0" t="n">
        <v>0</v>
      </c>
      <c r="E1969" s="0" t="n">
        <f aca="false">VLOOKUP(B1969,'Babblefish-APUMA'!$A$1:$B$86,2)</f>
        <v>96</v>
      </c>
      <c r="F1969" s="0" t="n">
        <f aca="false">IF(C1969&gt;1,IF(C1969&lt;99,VLOOKUP(C1969,'Babblefish-APUMA'!$A$1:$B$86,2),C1969),C1969)</f>
        <v>99</v>
      </c>
    </row>
    <row r="1970" customFormat="false" ht="12.75" hidden="false" customHeight="false" outlineLevel="0" collapsed="false">
      <c r="A1970" s="0" t="n">
        <f aca="false">B1970*1000+C1970</f>
        <v>34075</v>
      </c>
      <c r="B1970" s="0" t="n">
        <v>34</v>
      </c>
      <c r="C1970" s="0" t="n">
        <v>75</v>
      </c>
      <c r="D1970" s="0" t="n">
        <v>0</v>
      </c>
      <c r="E1970" s="0" t="n">
        <f aca="false">VLOOKUP(B1970,'Babblefish-APUMA'!$A$1:$B$86,2)</f>
        <v>96</v>
      </c>
      <c r="F1970" s="0" t="n">
        <f aca="false">IF(C1970&gt;1,IF(C1970&lt;99,VLOOKUP(C1970,'Babblefish-APUMA'!$A$1:$B$86,2),C1970),C1970)</f>
        <v>75</v>
      </c>
    </row>
    <row r="1971" customFormat="false" ht="12.75" hidden="false" customHeight="false" outlineLevel="0" collapsed="false">
      <c r="A1971" s="0" t="n">
        <f aca="false">B1971*1000+C1971</f>
        <v>34076</v>
      </c>
      <c r="B1971" s="0" t="n">
        <v>34</v>
      </c>
      <c r="C1971" s="0" t="n">
        <v>76</v>
      </c>
      <c r="D1971" s="0" t="n">
        <v>0</v>
      </c>
      <c r="E1971" s="0" t="n">
        <f aca="false">VLOOKUP(B1971,'Babblefish-APUMA'!$A$1:$B$86,2)</f>
        <v>96</v>
      </c>
      <c r="F1971" s="0" t="n">
        <f aca="false">IF(C1971&gt;1,IF(C1971&lt;99,VLOOKUP(C1971,'Babblefish-APUMA'!$A$1:$B$86,2),C1971),C1971)</f>
        <v>76</v>
      </c>
    </row>
    <row r="1972" customFormat="false" ht="12.75" hidden="false" customHeight="false" outlineLevel="0" collapsed="false">
      <c r="A1972" s="0" t="n">
        <f aca="false">B1972*1000+C1972</f>
        <v>34077</v>
      </c>
      <c r="B1972" s="0" t="n">
        <v>34</v>
      </c>
      <c r="C1972" s="0" t="n">
        <v>77</v>
      </c>
      <c r="D1972" s="0" t="n">
        <v>0</v>
      </c>
      <c r="E1972" s="0" t="n">
        <f aca="false">VLOOKUP(B1972,'Babblefish-APUMA'!$A$1:$B$86,2)</f>
        <v>96</v>
      </c>
      <c r="F1972" s="0" t="n">
        <f aca="false">IF(C1972&gt;1,IF(C1972&lt;99,VLOOKUP(C1972,'Babblefish-APUMA'!$A$1:$B$86,2),C1972),C1972)</f>
        <v>77</v>
      </c>
    </row>
    <row r="1973" customFormat="false" ht="12.75" hidden="false" customHeight="false" outlineLevel="0" collapsed="false">
      <c r="A1973" s="0" t="n">
        <f aca="false">B1973*1000+C1973</f>
        <v>34079</v>
      </c>
      <c r="B1973" s="0" t="n">
        <v>34</v>
      </c>
      <c r="C1973" s="0" t="n">
        <v>79</v>
      </c>
      <c r="D1973" s="0" t="n">
        <v>0</v>
      </c>
      <c r="E1973" s="0" t="n">
        <f aca="false">VLOOKUP(B1973,'Babblefish-APUMA'!$A$1:$B$86,2)</f>
        <v>96</v>
      </c>
      <c r="F1973" s="0" t="n">
        <f aca="false">IF(C1973&gt;1,IF(C1973&lt;99,VLOOKUP(C1973,'Babblefish-APUMA'!$A$1:$B$86,2),C1973),C1973)</f>
        <v>89</v>
      </c>
    </row>
    <row r="1974" customFormat="false" ht="12.75" hidden="false" customHeight="false" outlineLevel="0" collapsed="false">
      <c r="A1974" s="0" t="n">
        <f aca="false">B1974*1000+C1974</f>
        <v>34080</v>
      </c>
      <c r="B1974" s="0" t="n">
        <v>34</v>
      </c>
      <c r="C1974" s="0" t="n">
        <v>80</v>
      </c>
      <c r="D1974" s="0" t="n">
        <v>0</v>
      </c>
      <c r="E1974" s="0" t="n">
        <f aca="false">VLOOKUP(B1974,'Babblefish-APUMA'!$A$1:$B$86,2)</f>
        <v>96</v>
      </c>
      <c r="F1974" s="0" t="n">
        <f aca="false">IF(C1974&gt;1,IF(C1974&lt;99,VLOOKUP(C1974,'Babblefish-APUMA'!$A$1:$B$86,2),C1974),C1974)</f>
        <v>80</v>
      </c>
    </row>
    <row r="1975" customFormat="false" ht="12.75" hidden="false" customHeight="false" outlineLevel="0" collapsed="false">
      <c r="A1975" s="0" t="n">
        <f aca="false">B1975*1000+C1975</f>
        <v>34082</v>
      </c>
      <c r="B1975" s="0" t="n">
        <v>34</v>
      </c>
      <c r="C1975" s="0" t="n">
        <v>82</v>
      </c>
      <c r="D1975" s="0" t="n">
        <v>0</v>
      </c>
      <c r="E1975" s="0" t="n">
        <f aca="false">VLOOKUP(B1975,'Babblefish-APUMA'!$A$1:$B$86,2)</f>
        <v>96</v>
      </c>
      <c r="F1975" s="0" t="n">
        <f aca="false">IF(C1975&gt;1,IF(C1975&lt;99,VLOOKUP(C1975,'Babblefish-APUMA'!$A$1:$B$86,2),C1975),C1975)</f>
        <v>95</v>
      </c>
    </row>
    <row r="1976" customFormat="false" ht="12.75" hidden="false" customHeight="false" outlineLevel="0" collapsed="false">
      <c r="A1976" s="0" t="n">
        <f aca="false">B1976*1000+C1976</f>
        <v>34083</v>
      </c>
      <c r="B1976" s="0" t="n">
        <v>34</v>
      </c>
      <c r="C1976" s="0" t="n">
        <v>83</v>
      </c>
      <c r="D1976" s="0" t="n">
        <v>0</v>
      </c>
      <c r="E1976" s="0" t="n">
        <f aca="false">VLOOKUP(B1976,'Babblefish-APUMA'!$A$1:$B$86,2)</f>
        <v>96</v>
      </c>
      <c r="F1976" s="0" t="n">
        <f aca="false">IF(C1976&gt;1,IF(C1976&lt;99,VLOOKUP(C1976,'Babblefish-APUMA'!$A$1:$B$86,2),C1976),C1976)</f>
        <v>103</v>
      </c>
    </row>
    <row r="1977" customFormat="false" ht="12.75" hidden="false" customHeight="false" outlineLevel="0" collapsed="false">
      <c r="A1977" s="0" t="n">
        <f aca="false">B1977*1000+C1977</f>
        <v>34084</v>
      </c>
      <c r="B1977" s="0" t="n">
        <v>34</v>
      </c>
      <c r="C1977" s="0" t="n">
        <v>84</v>
      </c>
      <c r="D1977" s="0" t="n">
        <v>143</v>
      </c>
      <c r="E1977" s="0" t="n">
        <f aca="false">VLOOKUP(B1977,'Babblefish-APUMA'!$A$1:$B$86,2)</f>
        <v>96</v>
      </c>
      <c r="F1977" s="0" t="n">
        <f aca="false">IF(C1977&gt;1,IF(C1977&lt;99,VLOOKUP(C1977,'Babblefish-APUMA'!$A$1:$B$86,2),C1977),C1977)</f>
        <v>92</v>
      </c>
    </row>
    <row r="1978" customFormat="false" ht="12.75" hidden="false" customHeight="false" outlineLevel="0" collapsed="false">
      <c r="A1978" s="0" t="n">
        <f aca="false">B1978*1000+C1978</f>
        <v>34085</v>
      </c>
      <c r="B1978" s="0" t="n">
        <v>34</v>
      </c>
      <c r="C1978" s="0" t="n">
        <v>85</v>
      </c>
      <c r="D1978" s="0" t="n">
        <v>0</v>
      </c>
      <c r="E1978" s="0" t="n">
        <f aca="false">VLOOKUP(B1978,'Babblefish-APUMA'!$A$1:$B$86,2)</f>
        <v>96</v>
      </c>
      <c r="F1978" s="0" t="n">
        <f aca="false">IF(C1978&gt;1,IF(C1978&lt;99,VLOOKUP(C1978,'Babblefish-APUMA'!$A$1:$B$86,2),C1978),C1978)</f>
        <v>97</v>
      </c>
    </row>
    <row r="1979" customFormat="false" ht="12.75" hidden="false" customHeight="false" outlineLevel="0" collapsed="false">
      <c r="A1979" s="0" t="n">
        <f aca="false">B1979*1000+C1979</f>
        <v>34858</v>
      </c>
      <c r="B1979" s="0" t="n">
        <v>34</v>
      </c>
      <c r="C1979" s="0" t="n">
        <v>858</v>
      </c>
      <c r="D1979" s="0" t="n">
        <v>0</v>
      </c>
      <c r="E1979" s="0" t="n">
        <f aca="false">VLOOKUP(B1979,'Babblefish-APUMA'!$A$1:$B$86,2)</f>
        <v>96</v>
      </c>
      <c r="F1979" s="0" t="n">
        <f aca="false">IF(C1979&gt;1,IF(C1979&lt;99,VLOOKUP(C1979,'Babblefish-APUMA'!$A$1:$B$86,2),C1979),C1979)</f>
        <v>858</v>
      </c>
    </row>
    <row r="1980" customFormat="false" ht="12.75" hidden="false" customHeight="false" outlineLevel="0" collapsed="false">
      <c r="A1980" s="0" t="n">
        <f aca="false">B1980*1000+C1980</f>
        <v>34983</v>
      </c>
      <c r="B1980" s="0" t="n">
        <v>34</v>
      </c>
      <c r="C1980" s="0" t="n">
        <v>983</v>
      </c>
      <c r="D1980" s="0" t="n">
        <v>0</v>
      </c>
      <c r="E1980" s="0" t="n">
        <f aca="false">VLOOKUP(B1980,'Babblefish-APUMA'!$A$1:$B$86,2)</f>
        <v>96</v>
      </c>
      <c r="F1980" s="0" t="n">
        <f aca="false">IF(C1980&gt;1,IF(C1980&lt;99,VLOOKUP(C1980,'Babblefish-APUMA'!$A$1:$B$86,2),C1980),C1980)</f>
        <v>983</v>
      </c>
    </row>
    <row r="1981" customFormat="false" ht="12.75" hidden="false" customHeight="false" outlineLevel="0" collapsed="false">
      <c r="A1981" s="0" t="n">
        <f aca="false">B1981*1000+C1981</f>
        <v>34999</v>
      </c>
      <c r="B1981" s="0" t="n">
        <v>34</v>
      </c>
      <c r="C1981" s="0" t="n">
        <v>999</v>
      </c>
      <c r="D1981" s="0" t="n">
        <v>169</v>
      </c>
      <c r="E1981" s="0" t="n">
        <f aca="false">VLOOKUP(B1981,'Babblefish-APUMA'!$A$1:$B$86,2)</f>
        <v>96</v>
      </c>
      <c r="F1981" s="0" t="n">
        <f aca="false">IF(C1981&gt;1,IF(C1981&lt;99,VLOOKUP(C1981,'Babblefish-APUMA'!$A$1:$B$86,2),C1981),C1981)</f>
        <v>999</v>
      </c>
    </row>
    <row r="1982" customFormat="false" ht="12.75" hidden="false" customHeight="false" outlineLevel="0" collapsed="false">
      <c r="A1982" s="0" t="n">
        <f aca="false">B1982*1000+C1982</f>
        <v>35000</v>
      </c>
      <c r="B1982" s="0" t="n">
        <v>35</v>
      </c>
      <c r="C1982" s="0" t="n">
        <v>0</v>
      </c>
      <c r="D1982" s="0" t="n">
        <v>59202</v>
      </c>
      <c r="E1982" s="0" t="n">
        <f aca="false">VLOOKUP(B1982,'Babblefish-APUMA'!$A$1:$B$86,2)</f>
        <v>96</v>
      </c>
      <c r="F1982" s="0" t="n">
        <f aca="false">IF(C1982&gt;1,IF(C1982&lt;99,VLOOKUP(C1982,'Babblefish-APUMA'!$A$1:$B$86,2),C1982),C1982)</f>
        <v>0</v>
      </c>
    </row>
    <row r="1983" customFormat="false" ht="12.75" hidden="false" customHeight="false" outlineLevel="0" collapsed="false">
      <c r="A1983" s="0" t="n">
        <f aca="false">B1983*1000+C1983</f>
        <v>35001</v>
      </c>
      <c r="B1983" s="0" t="n">
        <v>35</v>
      </c>
      <c r="C1983" s="0" t="n">
        <v>1</v>
      </c>
      <c r="D1983" s="0" t="n">
        <v>0</v>
      </c>
      <c r="E1983" s="0" t="n">
        <f aca="false">VLOOKUP(B1983,'Babblefish-APUMA'!$A$1:$B$86,2)</f>
        <v>96</v>
      </c>
      <c r="F1983" s="0" t="n">
        <f aca="false">IF(C1983&gt;1,IF(C1983&lt;99,VLOOKUP(C1983,'Babblefish-APUMA'!$A$1:$B$86,2),C1983),C1983)</f>
        <v>1</v>
      </c>
    </row>
    <row r="1984" customFormat="false" ht="12.75" hidden="false" customHeight="false" outlineLevel="0" collapsed="false">
      <c r="A1984" s="0" t="n">
        <f aca="false">B1984*1000+C1984</f>
        <v>35002</v>
      </c>
      <c r="B1984" s="0" t="n">
        <v>35</v>
      </c>
      <c r="C1984" s="0" t="n">
        <v>2</v>
      </c>
      <c r="D1984" s="0" t="n">
        <v>0</v>
      </c>
      <c r="E1984" s="0" t="n">
        <f aca="false">VLOOKUP(B1984,'Babblefish-APUMA'!$A$1:$B$86,2)</f>
        <v>96</v>
      </c>
      <c r="F1984" s="0" t="n">
        <f aca="false">IF(C1984&gt;1,IF(C1984&lt;99,VLOOKUP(C1984,'Babblefish-APUMA'!$A$1:$B$86,2),C1984),C1984)</f>
        <v>2</v>
      </c>
    </row>
    <row r="1985" customFormat="false" ht="12.75" hidden="false" customHeight="false" outlineLevel="0" collapsed="false">
      <c r="A1985" s="0" t="n">
        <f aca="false">B1985*1000+C1985</f>
        <v>35003</v>
      </c>
      <c r="B1985" s="0" t="n">
        <v>35</v>
      </c>
      <c r="C1985" s="0" t="n">
        <v>3</v>
      </c>
      <c r="D1985" s="0" t="n">
        <v>0</v>
      </c>
      <c r="E1985" s="0" t="n">
        <f aca="false">VLOOKUP(B1985,'Babblefish-APUMA'!$A$1:$B$86,2)</f>
        <v>96</v>
      </c>
      <c r="F1985" s="0" t="n">
        <f aca="false">IF(C1985&gt;1,IF(C1985&lt;99,VLOOKUP(C1985,'Babblefish-APUMA'!$A$1:$B$86,2),C1985),C1985)</f>
        <v>3</v>
      </c>
    </row>
    <row r="1986" customFormat="false" ht="12.75" hidden="false" customHeight="false" outlineLevel="0" collapsed="false">
      <c r="A1986" s="0" t="n">
        <f aca="false">B1986*1000+C1986</f>
        <v>35004</v>
      </c>
      <c r="B1986" s="0" t="n">
        <v>35</v>
      </c>
      <c r="C1986" s="0" t="n">
        <v>4</v>
      </c>
      <c r="D1986" s="0" t="n">
        <v>0</v>
      </c>
      <c r="E1986" s="0" t="n">
        <f aca="false">VLOOKUP(B1986,'Babblefish-APUMA'!$A$1:$B$86,2)</f>
        <v>96</v>
      </c>
      <c r="F1986" s="0" t="n">
        <f aca="false">IF(C1986&gt;1,IF(C1986&lt;99,VLOOKUP(C1986,'Babblefish-APUMA'!$A$1:$B$86,2),C1986),C1986)</f>
        <v>4</v>
      </c>
    </row>
    <row r="1987" customFormat="false" ht="12.75" hidden="false" customHeight="false" outlineLevel="0" collapsed="false">
      <c r="A1987" s="0" t="n">
        <f aca="false">B1987*1000+C1987</f>
        <v>35005</v>
      </c>
      <c r="B1987" s="0" t="n">
        <v>35</v>
      </c>
      <c r="C1987" s="0" t="n">
        <v>5</v>
      </c>
      <c r="D1987" s="0" t="n">
        <v>0</v>
      </c>
      <c r="E1987" s="0" t="n">
        <f aca="false">VLOOKUP(B1987,'Babblefish-APUMA'!$A$1:$B$86,2)</f>
        <v>96</v>
      </c>
      <c r="F1987" s="0" t="n">
        <f aca="false">IF(C1987&gt;1,IF(C1987&lt;99,VLOOKUP(C1987,'Babblefish-APUMA'!$A$1:$B$86,2),C1987),C1987)</f>
        <v>5</v>
      </c>
    </row>
    <row r="1988" customFormat="false" ht="12.75" hidden="false" customHeight="false" outlineLevel="0" collapsed="false">
      <c r="A1988" s="0" t="n">
        <f aca="false">B1988*1000+C1988</f>
        <v>35006</v>
      </c>
      <c r="B1988" s="0" t="n">
        <v>35</v>
      </c>
      <c r="C1988" s="0" t="n">
        <v>6</v>
      </c>
      <c r="D1988" s="0" t="n">
        <v>0</v>
      </c>
      <c r="E1988" s="0" t="n">
        <f aca="false">VLOOKUP(B1988,'Babblefish-APUMA'!$A$1:$B$86,2)</f>
        <v>96</v>
      </c>
      <c r="F1988" s="0" t="n">
        <f aca="false">IF(C1988&gt;1,IF(C1988&lt;99,VLOOKUP(C1988,'Babblefish-APUMA'!$A$1:$B$86,2),C1988),C1988)</f>
        <v>6</v>
      </c>
    </row>
    <row r="1989" customFormat="false" ht="12.75" hidden="false" customHeight="false" outlineLevel="0" collapsed="false">
      <c r="A1989" s="0" t="n">
        <f aca="false">B1989*1000+C1989</f>
        <v>35007</v>
      </c>
      <c r="B1989" s="0" t="n">
        <v>35</v>
      </c>
      <c r="C1989" s="0" t="n">
        <v>7</v>
      </c>
      <c r="D1989" s="0" t="n">
        <v>0</v>
      </c>
      <c r="E1989" s="0" t="n">
        <f aca="false">VLOOKUP(B1989,'Babblefish-APUMA'!$A$1:$B$86,2)</f>
        <v>96</v>
      </c>
      <c r="F1989" s="0" t="n">
        <f aca="false">IF(C1989&gt;1,IF(C1989&lt;99,VLOOKUP(C1989,'Babblefish-APUMA'!$A$1:$B$86,2),C1989),C1989)</f>
        <v>7</v>
      </c>
    </row>
    <row r="1990" customFormat="false" ht="12.75" hidden="false" customHeight="false" outlineLevel="0" collapsed="false">
      <c r="A1990" s="0" t="n">
        <f aca="false">B1990*1000+C1990</f>
        <v>35008</v>
      </c>
      <c r="B1990" s="0" t="n">
        <v>35</v>
      </c>
      <c r="C1990" s="0" t="n">
        <v>8</v>
      </c>
      <c r="D1990" s="0" t="n">
        <v>0</v>
      </c>
      <c r="E1990" s="0" t="n">
        <f aca="false">VLOOKUP(B1990,'Babblefish-APUMA'!$A$1:$B$86,2)</f>
        <v>96</v>
      </c>
      <c r="F1990" s="0" t="n">
        <f aca="false">IF(C1990&gt;1,IF(C1990&lt;99,VLOOKUP(C1990,'Babblefish-APUMA'!$A$1:$B$86,2),C1990),C1990)</f>
        <v>8</v>
      </c>
    </row>
    <row r="1991" customFormat="false" ht="12.75" hidden="false" customHeight="false" outlineLevel="0" collapsed="false">
      <c r="A1991" s="0" t="n">
        <f aca="false">B1991*1000+C1991</f>
        <v>35009</v>
      </c>
      <c r="B1991" s="0" t="n">
        <v>35</v>
      </c>
      <c r="C1991" s="0" t="n">
        <v>9</v>
      </c>
      <c r="D1991" s="0" t="n">
        <v>0</v>
      </c>
      <c r="E1991" s="0" t="n">
        <f aca="false">VLOOKUP(B1991,'Babblefish-APUMA'!$A$1:$B$86,2)</f>
        <v>96</v>
      </c>
      <c r="F1991" s="0" t="n">
        <f aca="false">IF(C1991&gt;1,IF(C1991&lt;99,VLOOKUP(C1991,'Babblefish-APUMA'!$A$1:$B$86,2),C1991),C1991)</f>
        <v>9</v>
      </c>
    </row>
    <row r="1992" customFormat="false" ht="12.75" hidden="false" customHeight="false" outlineLevel="0" collapsed="false">
      <c r="A1992" s="0" t="n">
        <f aca="false">B1992*1000+C1992</f>
        <v>35010</v>
      </c>
      <c r="B1992" s="0" t="n">
        <v>35</v>
      </c>
      <c r="C1992" s="0" t="n">
        <v>10</v>
      </c>
      <c r="D1992" s="0" t="n">
        <v>0</v>
      </c>
      <c r="E1992" s="0" t="n">
        <f aca="false">VLOOKUP(B1992,'Babblefish-APUMA'!$A$1:$B$86,2)</f>
        <v>96</v>
      </c>
      <c r="F1992" s="0" t="n">
        <f aca="false">IF(C1992&gt;1,IF(C1992&lt;99,VLOOKUP(C1992,'Babblefish-APUMA'!$A$1:$B$86,2),C1992),C1992)</f>
        <v>10</v>
      </c>
    </row>
    <row r="1993" customFormat="false" ht="12.75" hidden="false" customHeight="false" outlineLevel="0" collapsed="false">
      <c r="A1993" s="0" t="n">
        <f aca="false">B1993*1000+C1993</f>
        <v>35011</v>
      </c>
      <c r="B1993" s="0" t="n">
        <v>35</v>
      </c>
      <c r="C1993" s="0" t="n">
        <v>11</v>
      </c>
      <c r="D1993" s="0" t="n">
        <v>0</v>
      </c>
      <c r="E1993" s="0" t="n">
        <f aca="false">VLOOKUP(B1993,'Babblefish-APUMA'!$A$1:$B$86,2)</f>
        <v>96</v>
      </c>
      <c r="F1993" s="0" t="n">
        <f aca="false">IF(C1993&gt;1,IF(C1993&lt;99,VLOOKUP(C1993,'Babblefish-APUMA'!$A$1:$B$86,2),C1993),C1993)</f>
        <v>11</v>
      </c>
    </row>
    <row r="1994" customFormat="false" ht="12.75" hidden="false" customHeight="false" outlineLevel="0" collapsed="false">
      <c r="A1994" s="0" t="n">
        <f aca="false">B1994*1000+C1994</f>
        <v>35012</v>
      </c>
      <c r="B1994" s="0" t="n">
        <v>35</v>
      </c>
      <c r="C1994" s="0" t="n">
        <v>12</v>
      </c>
      <c r="D1994" s="0" t="n">
        <v>0</v>
      </c>
      <c r="E1994" s="0" t="n">
        <f aca="false">VLOOKUP(B1994,'Babblefish-APUMA'!$A$1:$B$86,2)</f>
        <v>96</v>
      </c>
      <c r="F1994" s="0" t="n">
        <f aca="false">IF(C1994&gt;1,IF(C1994&lt;99,VLOOKUP(C1994,'Babblefish-APUMA'!$A$1:$B$86,2),C1994),C1994)</f>
        <v>12</v>
      </c>
    </row>
    <row r="1995" customFormat="false" ht="12.75" hidden="false" customHeight="false" outlineLevel="0" collapsed="false">
      <c r="A1995" s="0" t="n">
        <f aca="false">B1995*1000+C1995</f>
        <v>35013</v>
      </c>
      <c r="B1995" s="0" t="n">
        <v>35</v>
      </c>
      <c r="C1995" s="0" t="n">
        <v>13</v>
      </c>
      <c r="D1995" s="0" t="n">
        <v>0</v>
      </c>
      <c r="E1995" s="0" t="n">
        <f aca="false">VLOOKUP(B1995,'Babblefish-APUMA'!$A$1:$B$86,2)</f>
        <v>96</v>
      </c>
      <c r="F1995" s="0" t="n">
        <f aca="false">IF(C1995&gt;1,IF(C1995&lt;99,VLOOKUP(C1995,'Babblefish-APUMA'!$A$1:$B$86,2),C1995),C1995)</f>
        <v>100</v>
      </c>
    </row>
    <row r="1996" customFormat="false" ht="12.75" hidden="false" customHeight="false" outlineLevel="0" collapsed="false">
      <c r="A1996" s="0" t="n">
        <f aca="false">B1996*1000+C1996</f>
        <v>35014</v>
      </c>
      <c r="B1996" s="0" t="n">
        <v>35</v>
      </c>
      <c r="C1996" s="0" t="n">
        <v>14</v>
      </c>
      <c r="D1996" s="0" t="n">
        <v>0</v>
      </c>
      <c r="E1996" s="0" t="n">
        <f aca="false">VLOOKUP(B1996,'Babblefish-APUMA'!$A$1:$B$86,2)</f>
        <v>96</v>
      </c>
      <c r="F1996" s="0" t="n">
        <f aca="false">IF(C1996&gt;1,IF(C1996&lt;99,VLOOKUP(C1996,'Babblefish-APUMA'!$A$1:$B$86,2),C1996),C1996)</f>
        <v>100</v>
      </c>
    </row>
    <row r="1997" customFormat="false" ht="12.75" hidden="false" customHeight="false" outlineLevel="0" collapsed="false">
      <c r="A1997" s="0" t="n">
        <f aca="false">B1997*1000+C1997</f>
        <v>35015</v>
      </c>
      <c r="B1997" s="0" t="n">
        <v>35</v>
      </c>
      <c r="C1997" s="0" t="n">
        <v>15</v>
      </c>
      <c r="D1997" s="0" t="n">
        <v>0</v>
      </c>
      <c r="E1997" s="0" t="n">
        <f aca="false">VLOOKUP(B1997,'Babblefish-APUMA'!$A$1:$B$86,2)</f>
        <v>96</v>
      </c>
      <c r="F1997" s="0" t="n">
        <f aca="false">IF(C1997&gt;1,IF(C1997&lt;99,VLOOKUP(C1997,'Babblefish-APUMA'!$A$1:$B$86,2),C1997),C1997)</f>
        <v>15</v>
      </c>
    </row>
    <row r="1998" customFormat="false" ht="12.75" hidden="false" customHeight="false" outlineLevel="0" collapsed="false">
      <c r="A1998" s="0" t="n">
        <f aca="false">B1998*1000+C1998</f>
        <v>35016</v>
      </c>
      <c r="B1998" s="0" t="n">
        <v>35</v>
      </c>
      <c r="C1998" s="0" t="n">
        <v>16</v>
      </c>
      <c r="D1998" s="0" t="n">
        <v>0</v>
      </c>
      <c r="E1998" s="0" t="n">
        <f aca="false">VLOOKUP(B1998,'Babblefish-APUMA'!$A$1:$B$86,2)</f>
        <v>96</v>
      </c>
      <c r="F1998" s="0" t="n">
        <f aca="false">IF(C1998&gt;1,IF(C1998&lt;99,VLOOKUP(C1998,'Babblefish-APUMA'!$A$1:$B$86,2),C1998),C1998)</f>
        <v>99</v>
      </c>
    </row>
    <row r="1999" customFormat="false" ht="12.75" hidden="false" customHeight="false" outlineLevel="0" collapsed="false">
      <c r="A1999" s="0" t="n">
        <f aca="false">B1999*1000+C1999</f>
        <v>35017</v>
      </c>
      <c r="B1999" s="0" t="n">
        <v>35</v>
      </c>
      <c r="C1999" s="0" t="n">
        <v>17</v>
      </c>
      <c r="D1999" s="0" t="n">
        <v>0</v>
      </c>
      <c r="E1999" s="0" t="n">
        <f aca="false">VLOOKUP(B1999,'Babblefish-APUMA'!$A$1:$B$86,2)</f>
        <v>96</v>
      </c>
      <c r="F1999" s="0" t="n">
        <f aca="false">IF(C1999&gt;1,IF(C1999&lt;99,VLOOKUP(C1999,'Babblefish-APUMA'!$A$1:$B$86,2),C1999),C1999)</f>
        <v>87</v>
      </c>
    </row>
    <row r="2000" customFormat="false" ht="12.75" hidden="false" customHeight="false" outlineLevel="0" collapsed="false">
      <c r="A2000" s="0" t="n">
        <f aca="false">B2000*1000+C2000</f>
        <v>35018</v>
      </c>
      <c r="B2000" s="0" t="n">
        <v>35</v>
      </c>
      <c r="C2000" s="0" t="n">
        <v>18</v>
      </c>
      <c r="D2000" s="0" t="n">
        <v>0</v>
      </c>
      <c r="E2000" s="0" t="n">
        <f aca="false">VLOOKUP(B2000,'Babblefish-APUMA'!$A$1:$B$86,2)</f>
        <v>96</v>
      </c>
      <c r="F2000" s="0" t="n">
        <f aca="false">IF(C2000&gt;1,IF(C2000&lt;99,VLOOKUP(C2000,'Babblefish-APUMA'!$A$1:$B$86,2),C2000),C2000)</f>
        <v>87</v>
      </c>
    </row>
    <row r="2001" customFormat="false" ht="12.75" hidden="false" customHeight="false" outlineLevel="0" collapsed="false">
      <c r="A2001" s="0" t="n">
        <f aca="false">B2001*1000+C2001</f>
        <v>35019</v>
      </c>
      <c r="B2001" s="0" t="n">
        <v>35</v>
      </c>
      <c r="C2001" s="0" t="n">
        <v>19</v>
      </c>
      <c r="D2001" s="0" t="n">
        <v>0</v>
      </c>
      <c r="E2001" s="0" t="n">
        <f aca="false">VLOOKUP(B2001,'Babblefish-APUMA'!$A$1:$B$86,2)</f>
        <v>96</v>
      </c>
      <c r="F2001" s="0" t="n">
        <f aca="false">IF(C2001&gt;1,IF(C2001&lt;99,VLOOKUP(C2001,'Babblefish-APUMA'!$A$1:$B$86,2),C2001),C2001)</f>
        <v>19</v>
      </c>
    </row>
    <row r="2002" customFormat="false" ht="12.75" hidden="false" customHeight="false" outlineLevel="0" collapsed="false">
      <c r="A2002" s="0" t="n">
        <f aca="false">B2002*1000+C2002</f>
        <v>35020</v>
      </c>
      <c r="B2002" s="0" t="n">
        <v>35</v>
      </c>
      <c r="C2002" s="0" t="n">
        <v>20</v>
      </c>
      <c r="D2002" s="0" t="n">
        <v>0</v>
      </c>
      <c r="E2002" s="0" t="n">
        <f aca="false">VLOOKUP(B2002,'Babblefish-APUMA'!$A$1:$B$86,2)</f>
        <v>96</v>
      </c>
      <c r="F2002" s="0" t="n">
        <f aca="false">IF(C2002&gt;1,IF(C2002&lt;99,VLOOKUP(C2002,'Babblefish-APUMA'!$A$1:$B$86,2),C2002),C2002)</f>
        <v>86</v>
      </c>
    </row>
    <row r="2003" customFormat="false" ht="12.75" hidden="false" customHeight="false" outlineLevel="0" collapsed="false">
      <c r="A2003" s="0" t="n">
        <f aca="false">B2003*1000+C2003</f>
        <v>35021</v>
      </c>
      <c r="B2003" s="0" t="n">
        <v>35</v>
      </c>
      <c r="C2003" s="0" t="n">
        <v>21</v>
      </c>
      <c r="D2003" s="0" t="n">
        <v>0</v>
      </c>
      <c r="E2003" s="0" t="n">
        <f aca="false">VLOOKUP(B2003,'Babblefish-APUMA'!$A$1:$B$86,2)</f>
        <v>96</v>
      </c>
      <c r="F2003" s="0" t="n">
        <f aca="false">IF(C2003&gt;1,IF(C2003&lt;99,VLOOKUP(C2003,'Babblefish-APUMA'!$A$1:$B$86,2),C2003),C2003)</f>
        <v>86</v>
      </c>
    </row>
    <row r="2004" customFormat="false" ht="12.75" hidden="false" customHeight="false" outlineLevel="0" collapsed="false">
      <c r="A2004" s="0" t="n">
        <f aca="false">B2004*1000+C2004</f>
        <v>35022</v>
      </c>
      <c r="B2004" s="0" t="n">
        <v>35</v>
      </c>
      <c r="C2004" s="0" t="n">
        <v>22</v>
      </c>
      <c r="D2004" s="0" t="n">
        <v>0</v>
      </c>
      <c r="E2004" s="0" t="n">
        <f aca="false">VLOOKUP(B2004,'Babblefish-APUMA'!$A$1:$B$86,2)</f>
        <v>96</v>
      </c>
      <c r="F2004" s="0" t="n">
        <f aca="false">IF(C2004&gt;1,IF(C2004&lt;99,VLOOKUP(C2004,'Babblefish-APUMA'!$A$1:$B$86,2),C2004),C2004)</f>
        <v>22</v>
      </c>
    </row>
    <row r="2005" customFormat="false" ht="12.75" hidden="false" customHeight="false" outlineLevel="0" collapsed="false">
      <c r="A2005" s="0" t="n">
        <f aca="false">B2005*1000+C2005</f>
        <v>35023</v>
      </c>
      <c r="B2005" s="0" t="n">
        <v>35</v>
      </c>
      <c r="C2005" s="0" t="n">
        <v>23</v>
      </c>
      <c r="D2005" s="0" t="n">
        <v>0</v>
      </c>
      <c r="E2005" s="0" t="n">
        <f aca="false">VLOOKUP(B2005,'Babblefish-APUMA'!$A$1:$B$86,2)</f>
        <v>96</v>
      </c>
      <c r="F2005" s="0" t="n">
        <f aca="false">IF(C2005&gt;1,IF(C2005&lt;99,VLOOKUP(C2005,'Babblefish-APUMA'!$A$1:$B$86,2),C2005),C2005)</f>
        <v>97</v>
      </c>
    </row>
    <row r="2006" customFormat="false" ht="12.75" hidden="false" customHeight="false" outlineLevel="0" collapsed="false">
      <c r="A2006" s="0" t="n">
        <f aca="false">B2006*1000+C2006</f>
        <v>35024</v>
      </c>
      <c r="B2006" s="0" t="n">
        <v>35</v>
      </c>
      <c r="C2006" s="0" t="n">
        <v>24</v>
      </c>
      <c r="D2006" s="0" t="n">
        <v>0</v>
      </c>
      <c r="E2006" s="0" t="n">
        <f aca="false">VLOOKUP(B2006,'Babblefish-APUMA'!$A$1:$B$86,2)</f>
        <v>96</v>
      </c>
      <c r="F2006" s="0" t="n">
        <f aca="false">IF(C2006&gt;1,IF(C2006&lt;99,VLOOKUP(C2006,'Babblefish-APUMA'!$A$1:$B$86,2),C2006),C2006)</f>
        <v>101</v>
      </c>
    </row>
    <row r="2007" customFormat="false" ht="12.75" hidden="false" customHeight="false" outlineLevel="0" collapsed="false">
      <c r="A2007" s="0" t="n">
        <f aca="false">B2007*1000+C2007</f>
        <v>35025</v>
      </c>
      <c r="B2007" s="0" t="n">
        <v>35</v>
      </c>
      <c r="C2007" s="0" t="n">
        <v>25</v>
      </c>
      <c r="D2007" s="0" t="n">
        <v>0</v>
      </c>
      <c r="E2007" s="0" t="n">
        <f aca="false">VLOOKUP(B2007,'Babblefish-APUMA'!$A$1:$B$86,2)</f>
        <v>96</v>
      </c>
      <c r="F2007" s="0" t="n">
        <f aca="false">IF(C2007&gt;1,IF(C2007&lt;99,VLOOKUP(C2007,'Babblefish-APUMA'!$A$1:$B$86,2),C2007),C2007)</f>
        <v>101</v>
      </c>
    </row>
    <row r="2008" customFormat="false" ht="12.75" hidden="false" customHeight="false" outlineLevel="0" collapsed="false">
      <c r="A2008" s="0" t="n">
        <f aca="false">B2008*1000+C2008</f>
        <v>35026</v>
      </c>
      <c r="B2008" s="0" t="n">
        <v>35</v>
      </c>
      <c r="C2008" s="0" t="n">
        <v>26</v>
      </c>
      <c r="D2008" s="0" t="n">
        <v>0</v>
      </c>
      <c r="E2008" s="0" t="n">
        <f aca="false">VLOOKUP(B2008,'Babblefish-APUMA'!$A$1:$B$86,2)</f>
        <v>96</v>
      </c>
      <c r="F2008" s="0" t="n">
        <f aca="false">IF(C2008&gt;1,IF(C2008&lt;99,VLOOKUP(C2008,'Babblefish-APUMA'!$A$1:$B$86,2),C2008),C2008)</f>
        <v>26</v>
      </c>
    </row>
    <row r="2009" customFormat="false" ht="12.75" hidden="false" customHeight="false" outlineLevel="0" collapsed="false">
      <c r="A2009" s="0" t="n">
        <f aca="false">B2009*1000+C2009</f>
        <v>35027</v>
      </c>
      <c r="B2009" s="0" t="n">
        <v>35</v>
      </c>
      <c r="C2009" s="0" t="n">
        <v>27</v>
      </c>
      <c r="D2009" s="0" t="n">
        <v>0</v>
      </c>
      <c r="E2009" s="0" t="n">
        <f aca="false">VLOOKUP(B2009,'Babblefish-APUMA'!$A$1:$B$86,2)</f>
        <v>96</v>
      </c>
      <c r="F2009" s="0" t="n">
        <f aca="false">IF(C2009&gt;1,IF(C2009&lt;99,VLOOKUP(C2009,'Babblefish-APUMA'!$A$1:$B$86,2),C2009),C2009)</f>
        <v>27</v>
      </c>
    </row>
    <row r="2010" customFormat="false" ht="12.75" hidden="false" customHeight="false" outlineLevel="0" collapsed="false">
      <c r="A2010" s="0" t="n">
        <f aca="false">B2010*1000+C2010</f>
        <v>35028</v>
      </c>
      <c r="B2010" s="0" t="n">
        <v>35</v>
      </c>
      <c r="C2010" s="0" t="n">
        <v>28</v>
      </c>
      <c r="D2010" s="0" t="n">
        <v>0</v>
      </c>
      <c r="E2010" s="0" t="n">
        <f aca="false">VLOOKUP(B2010,'Babblefish-APUMA'!$A$1:$B$86,2)</f>
        <v>96</v>
      </c>
      <c r="F2010" s="0" t="n">
        <f aca="false">IF(C2010&gt;1,IF(C2010&lt;99,VLOOKUP(C2010,'Babblefish-APUMA'!$A$1:$B$86,2),C2010),C2010)</f>
        <v>94</v>
      </c>
    </row>
    <row r="2011" customFormat="false" ht="12.75" hidden="false" customHeight="false" outlineLevel="0" collapsed="false">
      <c r="A2011" s="0" t="n">
        <f aca="false">B2011*1000+C2011</f>
        <v>35029</v>
      </c>
      <c r="B2011" s="0" t="n">
        <v>35</v>
      </c>
      <c r="C2011" s="0" t="n">
        <v>29</v>
      </c>
      <c r="D2011" s="0" t="n">
        <v>0</v>
      </c>
      <c r="E2011" s="0" t="n">
        <f aca="false">VLOOKUP(B2011,'Babblefish-APUMA'!$A$1:$B$86,2)</f>
        <v>96</v>
      </c>
      <c r="F2011" s="0" t="n">
        <f aca="false">IF(C2011&gt;1,IF(C2011&lt;99,VLOOKUP(C2011,'Babblefish-APUMA'!$A$1:$B$86,2),C2011),C2011)</f>
        <v>94</v>
      </c>
    </row>
    <row r="2012" customFormat="false" ht="12.75" hidden="false" customHeight="false" outlineLevel="0" collapsed="false">
      <c r="A2012" s="0" t="n">
        <f aca="false">B2012*1000+C2012</f>
        <v>35030</v>
      </c>
      <c r="B2012" s="0" t="n">
        <v>35</v>
      </c>
      <c r="C2012" s="0" t="n">
        <v>30</v>
      </c>
      <c r="D2012" s="0" t="n">
        <v>0</v>
      </c>
      <c r="E2012" s="0" t="n">
        <f aca="false">VLOOKUP(B2012,'Babblefish-APUMA'!$A$1:$B$86,2)</f>
        <v>96</v>
      </c>
      <c r="F2012" s="0" t="n">
        <f aca="false">IF(C2012&gt;1,IF(C2012&lt;99,VLOOKUP(C2012,'Babblefish-APUMA'!$A$1:$B$86,2),C2012),C2012)</f>
        <v>30</v>
      </c>
    </row>
    <row r="2013" customFormat="false" ht="12.75" hidden="false" customHeight="false" outlineLevel="0" collapsed="false">
      <c r="A2013" s="0" t="n">
        <f aca="false">B2013*1000+C2013</f>
        <v>35031</v>
      </c>
      <c r="B2013" s="0" t="n">
        <v>35</v>
      </c>
      <c r="C2013" s="0" t="n">
        <v>31</v>
      </c>
      <c r="D2013" s="0" t="n">
        <v>0</v>
      </c>
      <c r="E2013" s="0" t="n">
        <f aca="false">VLOOKUP(B2013,'Babblefish-APUMA'!$A$1:$B$86,2)</f>
        <v>96</v>
      </c>
      <c r="F2013" s="0" t="n">
        <f aca="false">IF(C2013&gt;1,IF(C2013&lt;99,VLOOKUP(C2013,'Babblefish-APUMA'!$A$1:$B$86,2),C2013),C2013)</f>
        <v>31</v>
      </c>
    </row>
    <row r="2014" customFormat="false" ht="12.75" hidden="false" customHeight="false" outlineLevel="0" collapsed="false">
      <c r="A2014" s="0" t="n">
        <f aca="false">B2014*1000+C2014</f>
        <v>35032</v>
      </c>
      <c r="B2014" s="0" t="n">
        <v>35</v>
      </c>
      <c r="C2014" s="0" t="n">
        <v>32</v>
      </c>
      <c r="D2014" s="0" t="n">
        <v>0</v>
      </c>
      <c r="E2014" s="0" t="n">
        <f aca="false">VLOOKUP(B2014,'Babblefish-APUMA'!$A$1:$B$86,2)</f>
        <v>96</v>
      </c>
      <c r="F2014" s="0" t="n">
        <f aca="false">IF(C2014&gt;1,IF(C2014&lt;99,VLOOKUP(C2014,'Babblefish-APUMA'!$A$1:$B$86,2),C2014),C2014)</f>
        <v>32</v>
      </c>
    </row>
    <row r="2015" customFormat="false" ht="12.75" hidden="false" customHeight="false" outlineLevel="0" collapsed="false">
      <c r="A2015" s="0" t="n">
        <f aca="false">B2015*1000+C2015</f>
        <v>35033</v>
      </c>
      <c r="B2015" s="0" t="n">
        <v>35</v>
      </c>
      <c r="C2015" s="0" t="n">
        <v>33</v>
      </c>
      <c r="D2015" s="0" t="n">
        <v>11934</v>
      </c>
      <c r="E2015" s="0" t="n">
        <f aca="false">VLOOKUP(B2015,'Babblefish-APUMA'!$A$1:$B$86,2)</f>
        <v>96</v>
      </c>
      <c r="F2015" s="0" t="n">
        <f aca="false">IF(C2015&gt;1,IF(C2015&lt;99,VLOOKUP(C2015,'Babblefish-APUMA'!$A$1:$B$86,2),C2015),C2015)</f>
        <v>96</v>
      </c>
    </row>
    <row r="2016" customFormat="false" ht="12.75" hidden="false" customHeight="false" outlineLevel="0" collapsed="false">
      <c r="A2016" s="0" t="n">
        <f aca="false">B2016*1000+C2016</f>
        <v>35034</v>
      </c>
      <c r="B2016" s="0" t="n">
        <v>35</v>
      </c>
      <c r="C2016" s="0" t="n">
        <v>34</v>
      </c>
      <c r="D2016" s="0" t="n">
        <v>988</v>
      </c>
      <c r="E2016" s="0" t="n">
        <f aca="false">VLOOKUP(B2016,'Babblefish-APUMA'!$A$1:$B$86,2)</f>
        <v>96</v>
      </c>
      <c r="F2016" s="0" t="n">
        <f aca="false">IF(C2016&gt;1,IF(C2016&lt;99,VLOOKUP(C2016,'Babblefish-APUMA'!$A$1:$B$86,2),C2016),C2016)</f>
        <v>96</v>
      </c>
    </row>
    <row r="2017" customFormat="false" ht="12.75" hidden="false" customHeight="false" outlineLevel="0" collapsed="false">
      <c r="A2017" s="0" t="n">
        <f aca="false">B2017*1000+C2017</f>
        <v>35035</v>
      </c>
      <c r="B2017" s="0" t="n">
        <v>35</v>
      </c>
      <c r="C2017" s="0" t="n">
        <v>35</v>
      </c>
      <c r="D2017" s="0" t="n">
        <v>23023</v>
      </c>
      <c r="E2017" s="0" t="n">
        <f aca="false">VLOOKUP(B2017,'Babblefish-APUMA'!$A$1:$B$86,2)</f>
        <v>96</v>
      </c>
      <c r="F2017" s="0" t="n">
        <f aca="false">IF(C2017&gt;1,IF(C2017&lt;99,VLOOKUP(C2017,'Babblefish-APUMA'!$A$1:$B$86,2),C2017),C2017)</f>
        <v>96</v>
      </c>
    </row>
    <row r="2018" customFormat="false" ht="12.75" hidden="false" customHeight="false" outlineLevel="0" collapsed="false">
      <c r="A2018" s="0" t="n">
        <f aca="false">B2018*1000+C2018</f>
        <v>35036</v>
      </c>
      <c r="B2018" s="0" t="n">
        <v>35</v>
      </c>
      <c r="C2018" s="0" t="n">
        <v>36</v>
      </c>
      <c r="D2018" s="0" t="n">
        <v>195</v>
      </c>
      <c r="E2018" s="0" t="n">
        <f aca="false">VLOOKUP(B2018,'Babblefish-APUMA'!$A$1:$B$86,2)</f>
        <v>96</v>
      </c>
      <c r="F2018" s="0" t="n">
        <f aca="false">IF(C2018&gt;1,IF(C2018&lt;99,VLOOKUP(C2018,'Babblefish-APUMA'!$A$1:$B$86,2),C2018),C2018)</f>
        <v>96</v>
      </c>
    </row>
    <row r="2019" customFormat="false" ht="12.75" hidden="false" customHeight="false" outlineLevel="0" collapsed="false">
      <c r="A2019" s="0" t="n">
        <f aca="false">B2019*1000+C2019</f>
        <v>35037</v>
      </c>
      <c r="B2019" s="0" t="n">
        <v>35</v>
      </c>
      <c r="C2019" s="0" t="n">
        <v>37</v>
      </c>
      <c r="D2019" s="0" t="n">
        <v>13221</v>
      </c>
      <c r="E2019" s="0" t="n">
        <f aca="false">VLOOKUP(B2019,'Babblefish-APUMA'!$A$1:$B$86,2)</f>
        <v>96</v>
      </c>
      <c r="F2019" s="0" t="n">
        <f aca="false">IF(C2019&gt;1,IF(C2019&lt;99,VLOOKUP(C2019,'Babblefish-APUMA'!$A$1:$B$86,2),C2019),C2019)</f>
        <v>96</v>
      </c>
    </row>
    <row r="2020" customFormat="false" ht="12.75" hidden="false" customHeight="false" outlineLevel="0" collapsed="false">
      <c r="A2020" s="0" t="n">
        <f aca="false">B2020*1000+C2020</f>
        <v>35038</v>
      </c>
      <c r="B2020" s="0" t="n">
        <v>35</v>
      </c>
      <c r="C2020" s="0" t="n">
        <v>38</v>
      </c>
      <c r="D2020" s="0" t="n">
        <v>0</v>
      </c>
      <c r="E2020" s="0" t="n">
        <f aca="false">VLOOKUP(B2020,'Babblefish-APUMA'!$A$1:$B$86,2)</f>
        <v>96</v>
      </c>
      <c r="F2020" s="0" t="n">
        <f aca="false">IF(C2020&gt;1,IF(C2020&lt;99,VLOOKUP(C2020,'Babblefish-APUMA'!$A$1:$B$86,2),C2020),C2020)</f>
        <v>91</v>
      </c>
    </row>
    <row r="2021" customFormat="false" ht="12.75" hidden="false" customHeight="false" outlineLevel="0" collapsed="false">
      <c r="A2021" s="0" t="n">
        <f aca="false">B2021*1000+C2021</f>
        <v>35039</v>
      </c>
      <c r="B2021" s="0" t="n">
        <v>35</v>
      </c>
      <c r="C2021" s="0" t="n">
        <v>39</v>
      </c>
      <c r="D2021" s="0" t="n">
        <v>169</v>
      </c>
      <c r="E2021" s="0" t="n">
        <f aca="false">VLOOKUP(B2021,'Babblefish-APUMA'!$A$1:$B$86,2)</f>
        <v>96</v>
      </c>
      <c r="F2021" s="0" t="n">
        <f aca="false">IF(C2021&gt;1,IF(C2021&lt;99,VLOOKUP(C2021,'Babblefish-APUMA'!$A$1:$B$86,2),C2021),C2021)</f>
        <v>91</v>
      </c>
    </row>
    <row r="2022" customFormat="false" ht="12.75" hidden="false" customHeight="false" outlineLevel="0" collapsed="false">
      <c r="A2022" s="0" t="n">
        <f aca="false">B2022*1000+C2022</f>
        <v>35040</v>
      </c>
      <c r="B2022" s="0" t="n">
        <v>35</v>
      </c>
      <c r="C2022" s="0" t="n">
        <v>40</v>
      </c>
      <c r="D2022" s="0" t="n">
        <v>0</v>
      </c>
      <c r="E2022" s="0" t="n">
        <f aca="false">VLOOKUP(B2022,'Babblefish-APUMA'!$A$1:$B$86,2)</f>
        <v>96</v>
      </c>
      <c r="F2022" s="0" t="n">
        <f aca="false">IF(C2022&gt;1,IF(C2022&lt;99,VLOOKUP(C2022,'Babblefish-APUMA'!$A$1:$B$86,2),C2022),C2022)</f>
        <v>88</v>
      </c>
    </row>
    <row r="2023" customFormat="false" ht="12.75" hidden="false" customHeight="false" outlineLevel="0" collapsed="false">
      <c r="A2023" s="0" t="n">
        <f aca="false">B2023*1000+C2023</f>
        <v>35041</v>
      </c>
      <c r="B2023" s="0" t="n">
        <v>35</v>
      </c>
      <c r="C2023" s="0" t="n">
        <v>41</v>
      </c>
      <c r="D2023" s="0" t="n">
        <v>0</v>
      </c>
      <c r="E2023" s="0" t="n">
        <f aca="false">VLOOKUP(B2023,'Babblefish-APUMA'!$A$1:$B$86,2)</f>
        <v>96</v>
      </c>
      <c r="F2023" s="0" t="n">
        <f aca="false">IF(C2023&gt;1,IF(C2023&lt;99,VLOOKUP(C2023,'Babblefish-APUMA'!$A$1:$B$86,2),C2023),C2023)</f>
        <v>88</v>
      </c>
    </row>
    <row r="2024" customFormat="false" ht="12.75" hidden="false" customHeight="false" outlineLevel="0" collapsed="false">
      <c r="A2024" s="0" t="n">
        <f aca="false">B2024*1000+C2024</f>
        <v>35042</v>
      </c>
      <c r="B2024" s="0" t="n">
        <v>35</v>
      </c>
      <c r="C2024" s="0" t="n">
        <v>42</v>
      </c>
      <c r="D2024" s="0" t="n">
        <v>0</v>
      </c>
      <c r="E2024" s="0" t="n">
        <f aca="false">VLOOKUP(B2024,'Babblefish-APUMA'!$A$1:$B$86,2)</f>
        <v>96</v>
      </c>
      <c r="F2024" s="0" t="n">
        <f aca="false">IF(C2024&gt;1,IF(C2024&lt;99,VLOOKUP(C2024,'Babblefish-APUMA'!$A$1:$B$86,2),C2024),C2024)</f>
        <v>92</v>
      </c>
    </row>
    <row r="2025" customFormat="false" ht="12.75" hidden="false" customHeight="false" outlineLevel="0" collapsed="false">
      <c r="A2025" s="0" t="n">
        <f aca="false">B2025*1000+C2025</f>
        <v>35043</v>
      </c>
      <c r="B2025" s="0" t="n">
        <v>35</v>
      </c>
      <c r="C2025" s="0" t="n">
        <v>43</v>
      </c>
      <c r="D2025" s="0" t="n">
        <v>0</v>
      </c>
      <c r="E2025" s="0" t="n">
        <f aca="false">VLOOKUP(B2025,'Babblefish-APUMA'!$A$1:$B$86,2)</f>
        <v>96</v>
      </c>
      <c r="F2025" s="0" t="n">
        <f aca="false">IF(C2025&gt;1,IF(C2025&lt;99,VLOOKUP(C2025,'Babblefish-APUMA'!$A$1:$B$86,2),C2025),C2025)</f>
        <v>92</v>
      </c>
    </row>
    <row r="2026" customFormat="false" ht="12.75" hidden="false" customHeight="false" outlineLevel="0" collapsed="false">
      <c r="A2026" s="0" t="n">
        <f aca="false">B2026*1000+C2026</f>
        <v>35044</v>
      </c>
      <c r="B2026" s="0" t="n">
        <v>35</v>
      </c>
      <c r="C2026" s="0" t="n">
        <v>44</v>
      </c>
      <c r="D2026" s="0" t="n">
        <v>0</v>
      </c>
      <c r="E2026" s="0" t="n">
        <f aca="false">VLOOKUP(B2026,'Babblefish-APUMA'!$A$1:$B$86,2)</f>
        <v>96</v>
      </c>
      <c r="F2026" s="0" t="n">
        <f aca="false">IF(C2026&gt;1,IF(C2026&lt;99,VLOOKUP(C2026,'Babblefish-APUMA'!$A$1:$B$86,2),C2026),C2026)</f>
        <v>92</v>
      </c>
    </row>
    <row r="2027" customFormat="false" ht="12.75" hidden="false" customHeight="false" outlineLevel="0" collapsed="false">
      <c r="A2027" s="0" t="n">
        <f aca="false">B2027*1000+C2027</f>
        <v>35045</v>
      </c>
      <c r="B2027" s="0" t="n">
        <v>35</v>
      </c>
      <c r="C2027" s="0" t="n">
        <v>45</v>
      </c>
      <c r="D2027" s="0" t="n">
        <v>91</v>
      </c>
      <c r="E2027" s="0" t="n">
        <f aca="false">VLOOKUP(B2027,'Babblefish-APUMA'!$A$1:$B$86,2)</f>
        <v>96</v>
      </c>
      <c r="F2027" s="0" t="n">
        <f aca="false">IF(C2027&gt;1,IF(C2027&lt;99,VLOOKUP(C2027,'Babblefish-APUMA'!$A$1:$B$86,2),C2027),C2027)</f>
        <v>92</v>
      </c>
    </row>
    <row r="2028" customFormat="false" ht="12.75" hidden="false" customHeight="false" outlineLevel="0" collapsed="false">
      <c r="A2028" s="0" t="n">
        <f aca="false">B2028*1000+C2028</f>
        <v>35046</v>
      </c>
      <c r="B2028" s="0" t="n">
        <v>35</v>
      </c>
      <c r="C2028" s="0" t="n">
        <v>46</v>
      </c>
      <c r="D2028" s="0" t="n">
        <v>0</v>
      </c>
      <c r="E2028" s="0" t="n">
        <f aca="false">VLOOKUP(B2028,'Babblefish-APUMA'!$A$1:$B$86,2)</f>
        <v>96</v>
      </c>
      <c r="F2028" s="0" t="n">
        <f aca="false">IF(C2028&gt;1,IF(C2028&lt;99,VLOOKUP(C2028,'Babblefish-APUMA'!$A$1:$B$86,2),C2028),C2028)</f>
        <v>92</v>
      </c>
    </row>
    <row r="2029" customFormat="false" ht="12.75" hidden="false" customHeight="false" outlineLevel="0" collapsed="false">
      <c r="A2029" s="0" t="n">
        <f aca="false">B2029*1000+C2029</f>
        <v>35047</v>
      </c>
      <c r="B2029" s="0" t="n">
        <v>35</v>
      </c>
      <c r="C2029" s="0" t="n">
        <v>47</v>
      </c>
      <c r="D2029" s="0" t="n">
        <v>0</v>
      </c>
      <c r="E2029" s="0" t="n">
        <f aca="false">VLOOKUP(B2029,'Babblefish-APUMA'!$A$1:$B$86,2)</f>
        <v>96</v>
      </c>
      <c r="F2029" s="0" t="n">
        <f aca="false">IF(C2029&gt;1,IF(C2029&lt;99,VLOOKUP(C2029,'Babblefish-APUMA'!$A$1:$B$86,2),C2029),C2029)</f>
        <v>92</v>
      </c>
    </row>
    <row r="2030" customFormat="false" ht="12.75" hidden="false" customHeight="false" outlineLevel="0" collapsed="false">
      <c r="A2030" s="0" t="n">
        <f aca="false">B2030*1000+C2030</f>
        <v>35048</v>
      </c>
      <c r="B2030" s="0" t="n">
        <v>35</v>
      </c>
      <c r="C2030" s="0" t="n">
        <v>48</v>
      </c>
      <c r="D2030" s="0" t="n">
        <v>0</v>
      </c>
      <c r="E2030" s="0" t="n">
        <f aca="false">VLOOKUP(B2030,'Babblefish-APUMA'!$A$1:$B$86,2)</f>
        <v>96</v>
      </c>
      <c r="F2030" s="0" t="n">
        <f aca="false">IF(C2030&gt;1,IF(C2030&lt;99,VLOOKUP(C2030,'Babblefish-APUMA'!$A$1:$B$86,2),C2030),C2030)</f>
        <v>92</v>
      </c>
    </row>
    <row r="2031" customFormat="false" ht="12.75" hidden="false" customHeight="false" outlineLevel="0" collapsed="false">
      <c r="A2031" s="0" t="n">
        <f aca="false">B2031*1000+C2031</f>
        <v>35049</v>
      </c>
      <c r="B2031" s="0" t="n">
        <v>35</v>
      </c>
      <c r="C2031" s="0" t="n">
        <v>49</v>
      </c>
      <c r="D2031" s="0" t="n">
        <v>0</v>
      </c>
      <c r="E2031" s="0" t="n">
        <f aca="false">VLOOKUP(B2031,'Babblefish-APUMA'!$A$1:$B$86,2)</f>
        <v>96</v>
      </c>
      <c r="F2031" s="0" t="n">
        <f aca="false">IF(C2031&gt;1,IF(C2031&lt;99,VLOOKUP(C2031,'Babblefish-APUMA'!$A$1:$B$86,2),C2031),C2031)</f>
        <v>98</v>
      </c>
    </row>
    <row r="2032" customFormat="false" ht="12.75" hidden="false" customHeight="false" outlineLevel="0" collapsed="false">
      <c r="A2032" s="0" t="n">
        <f aca="false">B2032*1000+C2032</f>
        <v>35050</v>
      </c>
      <c r="B2032" s="0" t="n">
        <v>35</v>
      </c>
      <c r="C2032" s="0" t="n">
        <v>50</v>
      </c>
      <c r="D2032" s="0" t="n">
        <v>0</v>
      </c>
      <c r="E2032" s="0" t="n">
        <f aca="false">VLOOKUP(B2032,'Babblefish-APUMA'!$A$1:$B$86,2)</f>
        <v>96</v>
      </c>
      <c r="F2032" s="0" t="n">
        <f aca="false">IF(C2032&gt;1,IF(C2032&lt;99,VLOOKUP(C2032,'Babblefish-APUMA'!$A$1:$B$86,2),C2032),C2032)</f>
        <v>98</v>
      </c>
    </row>
    <row r="2033" customFormat="false" ht="12.75" hidden="false" customHeight="false" outlineLevel="0" collapsed="false">
      <c r="A2033" s="0" t="n">
        <f aca="false">B2033*1000+C2033</f>
        <v>35051</v>
      </c>
      <c r="B2033" s="0" t="n">
        <v>35</v>
      </c>
      <c r="C2033" s="0" t="n">
        <v>51</v>
      </c>
      <c r="D2033" s="0" t="n">
        <v>0</v>
      </c>
      <c r="E2033" s="0" t="n">
        <f aca="false">VLOOKUP(B2033,'Babblefish-APUMA'!$A$1:$B$86,2)</f>
        <v>96</v>
      </c>
      <c r="F2033" s="0" t="n">
        <f aca="false">IF(C2033&gt;1,IF(C2033&lt;99,VLOOKUP(C2033,'Babblefish-APUMA'!$A$1:$B$86,2),C2033),C2033)</f>
        <v>98</v>
      </c>
    </row>
    <row r="2034" customFormat="false" ht="12.75" hidden="false" customHeight="false" outlineLevel="0" collapsed="false">
      <c r="A2034" s="0" t="n">
        <f aca="false">B2034*1000+C2034</f>
        <v>35052</v>
      </c>
      <c r="B2034" s="0" t="n">
        <v>35</v>
      </c>
      <c r="C2034" s="0" t="n">
        <v>52</v>
      </c>
      <c r="D2034" s="0" t="n">
        <v>0</v>
      </c>
      <c r="E2034" s="0" t="n">
        <f aca="false">VLOOKUP(B2034,'Babblefish-APUMA'!$A$1:$B$86,2)</f>
        <v>96</v>
      </c>
      <c r="F2034" s="0" t="n">
        <f aca="false">IF(C2034&gt;1,IF(C2034&lt;99,VLOOKUP(C2034,'Babblefish-APUMA'!$A$1:$B$86,2),C2034),C2034)</f>
        <v>90</v>
      </c>
    </row>
    <row r="2035" customFormat="false" ht="12.75" hidden="false" customHeight="false" outlineLevel="0" collapsed="false">
      <c r="A2035" s="0" t="n">
        <f aca="false">B2035*1000+C2035</f>
        <v>35053</v>
      </c>
      <c r="B2035" s="0" t="n">
        <v>35</v>
      </c>
      <c r="C2035" s="0" t="n">
        <v>53</v>
      </c>
      <c r="D2035" s="0" t="n">
        <v>0</v>
      </c>
      <c r="E2035" s="0" t="n">
        <f aca="false">VLOOKUP(B2035,'Babblefish-APUMA'!$A$1:$B$86,2)</f>
        <v>96</v>
      </c>
      <c r="F2035" s="0" t="n">
        <f aca="false">IF(C2035&gt;1,IF(C2035&lt;99,VLOOKUP(C2035,'Babblefish-APUMA'!$A$1:$B$86,2),C2035),C2035)</f>
        <v>90</v>
      </c>
    </row>
    <row r="2036" customFormat="false" ht="12.75" hidden="false" customHeight="false" outlineLevel="0" collapsed="false">
      <c r="A2036" s="0" t="n">
        <f aca="false">B2036*1000+C2036</f>
        <v>35054</v>
      </c>
      <c r="B2036" s="0" t="n">
        <v>35</v>
      </c>
      <c r="C2036" s="0" t="n">
        <v>54</v>
      </c>
      <c r="D2036" s="0" t="n">
        <v>0</v>
      </c>
      <c r="E2036" s="0" t="n">
        <f aca="false">VLOOKUP(B2036,'Babblefish-APUMA'!$A$1:$B$86,2)</f>
        <v>96</v>
      </c>
      <c r="F2036" s="0" t="n">
        <f aca="false">IF(C2036&gt;1,IF(C2036&lt;99,VLOOKUP(C2036,'Babblefish-APUMA'!$A$1:$B$86,2),C2036),C2036)</f>
        <v>90</v>
      </c>
    </row>
    <row r="2037" customFormat="false" ht="12.75" hidden="false" customHeight="false" outlineLevel="0" collapsed="false">
      <c r="A2037" s="0" t="n">
        <f aca="false">B2037*1000+C2037</f>
        <v>35055</v>
      </c>
      <c r="B2037" s="0" t="n">
        <v>35</v>
      </c>
      <c r="C2037" s="0" t="n">
        <v>55</v>
      </c>
      <c r="D2037" s="0" t="n">
        <v>0</v>
      </c>
      <c r="E2037" s="0" t="n">
        <f aca="false">VLOOKUP(B2037,'Babblefish-APUMA'!$A$1:$B$86,2)</f>
        <v>96</v>
      </c>
      <c r="F2037" s="0" t="n">
        <f aca="false">IF(C2037&gt;1,IF(C2037&lt;99,VLOOKUP(C2037,'Babblefish-APUMA'!$A$1:$B$86,2),C2037),C2037)</f>
        <v>90</v>
      </c>
    </row>
    <row r="2038" customFormat="false" ht="12.75" hidden="false" customHeight="false" outlineLevel="0" collapsed="false">
      <c r="A2038" s="0" t="n">
        <f aca="false">B2038*1000+C2038</f>
        <v>35056</v>
      </c>
      <c r="B2038" s="0" t="n">
        <v>35</v>
      </c>
      <c r="C2038" s="0" t="n">
        <v>56</v>
      </c>
      <c r="D2038" s="0" t="n">
        <v>0</v>
      </c>
      <c r="E2038" s="0" t="n">
        <f aca="false">VLOOKUP(B2038,'Babblefish-APUMA'!$A$1:$B$86,2)</f>
        <v>96</v>
      </c>
      <c r="F2038" s="0" t="n">
        <f aca="false">IF(C2038&gt;1,IF(C2038&lt;99,VLOOKUP(C2038,'Babblefish-APUMA'!$A$1:$B$86,2),C2038),C2038)</f>
        <v>90</v>
      </c>
    </row>
    <row r="2039" customFormat="false" ht="12.75" hidden="false" customHeight="false" outlineLevel="0" collapsed="false">
      <c r="A2039" s="0" t="n">
        <f aca="false">B2039*1000+C2039</f>
        <v>35057</v>
      </c>
      <c r="B2039" s="0" t="n">
        <v>35</v>
      </c>
      <c r="C2039" s="0" t="n">
        <v>57</v>
      </c>
      <c r="D2039" s="0" t="n">
        <v>0</v>
      </c>
      <c r="E2039" s="0" t="n">
        <f aca="false">VLOOKUP(B2039,'Babblefish-APUMA'!$A$1:$B$86,2)</f>
        <v>96</v>
      </c>
      <c r="F2039" s="0" t="n">
        <f aca="false">IF(C2039&gt;1,IF(C2039&lt;99,VLOOKUP(C2039,'Babblefish-APUMA'!$A$1:$B$86,2),C2039),C2039)</f>
        <v>90</v>
      </c>
    </row>
    <row r="2040" customFormat="false" ht="12.75" hidden="false" customHeight="false" outlineLevel="0" collapsed="false">
      <c r="A2040" s="0" t="n">
        <f aca="false">B2040*1000+C2040</f>
        <v>35059</v>
      </c>
      <c r="B2040" s="0" t="n">
        <v>35</v>
      </c>
      <c r="C2040" s="0" t="n">
        <v>59</v>
      </c>
      <c r="D2040" s="0" t="n">
        <v>0</v>
      </c>
      <c r="E2040" s="0" t="n">
        <f aca="false">VLOOKUP(B2040,'Babblefish-APUMA'!$A$1:$B$86,2)</f>
        <v>96</v>
      </c>
      <c r="F2040" s="0" t="n">
        <f aca="false">IF(C2040&gt;1,IF(C2040&lt;99,VLOOKUP(C2040,'Babblefish-APUMA'!$A$1:$B$86,2),C2040),C2040)</f>
        <v>90</v>
      </c>
    </row>
    <row r="2041" customFormat="false" ht="12.75" hidden="false" customHeight="false" outlineLevel="0" collapsed="false">
      <c r="A2041" s="0" t="n">
        <f aca="false">B2041*1000+C2041</f>
        <v>35060</v>
      </c>
      <c r="B2041" s="0" t="n">
        <v>35</v>
      </c>
      <c r="C2041" s="0" t="n">
        <v>60</v>
      </c>
      <c r="D2041" s="0" t="n">
        <v>0</v>
      </c>
      <c r="E2041" s="0" t="n">
        <f aca="false">VLOOKUP(B2041,'Babblefish-APUMA'!$A$1:$B$86,2)</f>
        <v>96</v>
      </c>
      <c r="F2041" s="0" t="n">
        <f aca="false">IF(C2041&gt;1,IF(C2041&lt;99,VLOOKUP(C2041,'Babblefish-APUMA'!$A$1:$B$86,2),C2041),C2041)</f>
        <v>90</v>
      </c>
    </row>
    <row r="2042" customFormat="false" ht="12.75" hidden="false" customHeight="false" outlineLevel="0" collapsed="false">
      <c r="A2042" s="0" t="n">
        <f aca="false">B2042*1000+C2042</f>
        <v>35062</v>
      </c>
      <c r="B2042" s="0" t="n">
        <v>35</v>
      </c>
      <c r="C2042" s="0" t="n">
        <v>62</v>
      </c>
      <c r="D2042" s="0" t="n">
        <v>0</v>
      </c>
      <c r="E2042" s="0" t="n">
        <f aca="false">VLOOKUP(B2042,'Babblefish-APUMA'!$A$1:$B$86,2)</f>
        <v>96</v>
      </c>
      <c r="F2042" s="0" t="n">
        <f aca="false">IF(C2042&gt;1,IF(C2042&lt;99,VLOOKUP(C2042,'Babblefish-APUMA'!$A$1:$B$86,2),C2042),C2042)</f>
        <v>90</v>
      </c>
    </row>
    <row r="2043" customFormat="false" ht="12.75" hidden="false" customHeight="false" outlineLevel="0" collapsed="false">
      <c r="A2043" s="0" t="n">
        <f aca="false">B2043*1000+C2043</f>
        <v>35063</v>
      </c>
      <c r="B2043" s="0" t="n">
        <v>35</v>
      </c>
      <c r="C2043" s="0" t="n">
        <v>63</v>
      </c>
      <c r="D2043" s="0" t="n">
        <v>0</v>
      </c>
      <c r="E2043" s="0" t="n">
        <f aca="false">VLOOKUP(B2043,'Babblefish-APUMA'!$A$1:$B$86,2)</f>
        <v>96</v>
      </c>
      <c r="F2043" s="0" t="n">
        <f aca="false">IF(C2043&gt;1,IF(C2043&lt;99,VLOOKUP(C2043,'Babblefish-APUMA'!$A$1:$B$86,2),C2043),C2043)</f>
        <v>90</v>
      </c>
    </row>
    <row r="2044" customFormat="false" ht="12.75" hidden="false" customHeight="false" outlineLevel="0" collapsed="false">
      <c r="A2044" s="0" t="n">
        <f aca="false">B2044*1000+C2044</f>
        <v>35064</v>
      </c>
      <c r="B2044" s="0" t="n">
        <v>35</v>
      </c>
      <c r="C2044" s="0" t="n">
        <v>64</v>
      </c>
      <c r="D2044" s="0" t="n">
        <v>0</v>
      </c>
      <c r="E2044" s="0" t="n">
        <f aca="false">VLOOKUP(B2044,'Babblefish-APUMA'!$A$1:$B$86,2)</f>
        <v>96</v>
      </c>
      <c r="F2044" s="0" t="n">
        <f aca="false">IF(C2044&gt;1,IF(C2044&lt;99,VLOOKUP(C2044,'Babblefish-APUMA'!$A$1:$B$86,2),C2044),C2044)</f>
        <v>90</v>
      </c>
    </row>
    <row r="2045" customFormat="false" ht="12.75" hidden="false" customHeight="false" outlineLevel="0" collapsed="false">
      <c r="A2045" s="0" t="n">
        <f aca="false">B2045*1000+C2045</f>
        <v>35065</v>
      </c>
      <c r="B2045" s="0" t="n">
        <v>35</v>
      </c>
      <c r="C2045" s="0" t="n">
        <v>65</v>
      </c>
      <c r="D2045" s="0" t="n">
        <v>0</v>
      </c>
      <c r="E2045" s="0" t="n">
        <f aca="false">VLOOKUP(B2045,'Babblefish-APUMA'!$A$1:$B$86,2)</f>
        <v>96</v>
      </c>
      <c r="F2045" s="0" t="n">
        <f aca="false">IF(C2045&gt;1,IF(C2045&lt;99,VLOOKUP(C2045,'Babblefish-APUMA'!$A$1:$B$86,2),C2045),C2045)</f>
        <v>90</v>
      </c>
    </row>
    <row r="2046" customFormat="false" ht="12.75" hidden="false" customHeight="false" outlineLevel="0" collapsed="false">
      <c r="A2046" s="0" t="n">
        <f aca="false">B2046*1000+C2046</f>
        <v>35066</v>
      </c>
      <c r="B2046" s="0" t="n">
        <v>35</v>
      </c>
      <c r="C2046" s="0" t="n">
        <v>66</v>
      </c>
      <c r="D2046" s="0" t="n">
        <v>0</v>
      </c>
      <c r="E2046" s="0" t="n">
        <f aca="false">VLOOKUP(B2046,'Babblefish-APUMA'!$A$1:$B$86,2)</f>
        <v>96</v>
      </c>
      <c r="F2046" s="0" t="n">
        <f aca="false">IF(C2046&gt;1,IF(C2046&lt;99,VLOOKUP(C2046,'Babblefish-APUMA'!$A$1:$B$86,2),C2046),C2046)</f>
        <v>90</v>
      </c>
    </row>
    <row r="2047" customFormat="false" ht="12.75" hidden="false" customHeight="false" outlineLevel="0" collapsed="false">
      <c r="A2047" s="0" t="n">
        <f aca="false">B2047*1000+C2047</f>
        <v>35067</v>
      </c>
      <c r="B2047" s="0" t="n">
        <v>35</v>
      </c>
      <c r="C2047" s="0" t="n">
        <v>67</v>
      </c>
      <c r="D2047" s="0" t="n">
        <v>0</v>
      </c>
      <c r="E2047" s="0" t="n">
        <f aca="false">VLOOKUP(B2047,'Babblefish-APUMA'!$A$1:$B$86,2)</f>
        <v>96</v>
      </c>
      <c r="F2047" s="0" t="n">
        <f aca="false">IF(C2047&gt;1,IF(C2047&lt;99,VLOOKUP(C2047,'Babblefish-APUMA'!$A$1:$B$86,2),C2047),C2047)</f>
        <v>103</v>
      </c>
    </row>
    <row r="2048" customFormat="false" ht="12.75" hidden="false" customHeight="false" outlineLevel="0" collapsed="false">
      <c r="A2048" s="0" t="n">
        <f aca="false">B2048*1000+C2048</f>
        <v>35069</v>
      </c>
      <c r="B2048" s="0" t="n">
        <v>35</v>
      </c>
      <c r="C2048" s="0" t="n">
        <v>69</v>
      </c>
      <c r="D2048" s="0" t="n">
        <v>806</v>
      </c>
      <c r="E2048" s="0" t="n">
        <f aca="false">VLOOKUP(B2048,'Babblefish-APUMA'!$A$1:$B$86,2)</f>
        <v>96</v>
      </c>
      <c r="F2048" s="0" t="n">
        <f aca="false">IF(C2048&gt;1,IF(C2048&lt;99,VLOOKUP(C2048,'Babblefish-APUMA'!$A$1:$B$86,2),C2048),C2048)</f>
        <v>93</v>
      </c>
    </row>
    <row r="2049" customFormat="false" ht="12.75" hidden="false" customHeight="false" outlineLevel="0" collapsed="false">
      <c r="A2049" s="0" t="n">
        <f aca="false">B2049*1000+C2049</f>
        <v>35071</v>
      </c>
      <c r="B2049" s="0" t="n">
        <v>35</v>
      </c>
      <c r="C2049" s="0" t="n">
        <v>71</v>
      </c>
      <c r="D2049" s="0" t="n">
        <v>0</v>
      </c>
      <c r="E2049" s="0" t="n">
        <f aca="false">VLOOKUP(B2049,'Babblefish-APUMA'!$A$1:$B$86,2)</f>
        <v>96</v>
      </c>
      <c r="F2049" s="0" t="n">
        <f aca="false">IF(C2049&gt;1,IF(C2049&lt;99,VLOOKUP(C2049,'Babblefish-APUMA'!$A$1:$B$86,2),C2049),C2049)</f>
        <v>95</v>
      </c>
    </row>
    <row r="2050" customFormat="false" ht="12.75" hidden="false" customHeight="false" outlineLevel="0" collapsed="false">
      <c r="A2050" s="0" t="n">
        <f aca="false">B2050*1000+C2050</f>
        <v>35072</v>
      </c>
      <c r="B2050" s="0" t="n">
        <v>35</v>
      </c>
      <c r="C2050" s="0" t="n">
        <v>72</v>
      </c>
      <c r="D2050" s="0" t="n">
        <v>0</v>
      </c>
      <c r="E2050" s="0" t="n">
        <f aca="false">VLOOKUP(B2050,'Babblefish-APUMA'!$A$1:$B$86,2)</f>
        <v>96</v>
      </c>
      <c r="F2050" s="0" t="n">
        <f aca="false">IF(C2050&gt;1,IF(C2050&lt;99,VLOOKUP(C2050,'Babblefish-APUMA'!$A$1:$B$86,2),C2050),C2050)</f>
        <v>95</v>
      </c>
    </row>
    <row r="2051" customFormat="false" ht="12.75" hidden="false" customHeight="false" outlineLevel="0" collapsed="false">
      <c r="A2051" s="0" t="n">
        <f aca="false">B2051*1000+C2051</f>
        <v>35073</v>
      </c>
      <c r="B2051" s="0" t="n">
        <v>35</v>
      </c>
      <c r="C2051" s="0" t="n">
        <v>73</v>
      </c>
      <c r="D2051" s="0" t="n">
        <v>0</v>
      </c>
      <c r="E2051" s="0" t="n">
        <f aca="false">VLOOKUP(B2051,'Babblefish-APUMA'!$A$1:$B$86,2)</f>
        <v>96</v>
      </c>
      <c r="F2051" s="0" t="n">
        <f aca="false">IF(C2051&gt;1,IF(C2051&lt;99,VLOOKUP(C2051,'Babblefish-APUMA'!$A$1:$B$86,2),C2051),C2051)</f>
        <v>99</v>
      </c>
    </row>
    <row r="2052" customFormat="false" ht="12.75" hidden="false" customHeight="false" outlineLevel="0" collapsed="false">
      <c r="A2052" s="0" t="n">
        <f aca="false">B2052*1000+C2052</f>
        <v>35075</v>
      </c>
      <c r="B2052" s="0" t="n">
        <v>35</v>
      </c>
      <c r="C2052" s="0" t="n">
        <v>75</v>
      </c>
      <c r="D2052" s="0" t="n">
        <v>0</v>
      </c>
      <c r="E2052" s="0" t="n">
        <f aca="false">VLOOKUP(B2052,'Babblefish-APUMA'!$A$1:$B$86,2)</f>
        <v>96</v>
      </c>
      <c r="F2052" s="0" t="n">
        <f aca="false">IF(C2052&gt;1,IF(C2052&lt;99,VLOOKUP(C2052,'Babblefish-APUMA'!$A$1:$B$86,2),C2052),C2052)</f>
        <v>75</v>
      </c>
    </row>
    <row r="2053" customFormat="false" ht="12.75" hidden="false" customHeight="false" outlineLevel="0" collapsed="false">
      <c r="A2053" s="0" t="n">
        <f aca="false">B2053*1000+C2053</f>
        <v>35076</v>
      </c>
      <c r="B2053" s="0" t="n">
        <v>35</v>
      </c>
      <c r="C2053" s="0" t="n">
        <v>76</v>
      </c>
      <c r="D2053" s="0" t="n">
        <v>0</v>
      </c>
      <c r="E2053" s="0" t="n">
        <f aca="false">VLOOKUP(B2053,'Babblefish-APUMA'!$A$1:$B$86,2)</f>
        <v>96</v>
      </c>
      <c r="F2053" s="0" t="n">
        <f aca="false">IF(C2053&gt;1,IF(C2053&lt;99,VLOOKUP(C2053,'Babblefish-APUMA'!$A$1:$B$86,2),C2053),C2053)</f>
        <v>76</v>
      </c>
    </row>
    <row r="2054" customFormat="false" ht="12.75" hidden="false" customHeight="false" outlineLevel="0" collapsed="false">
      <c r="A2054" s="0" t="n">
        <f aca="false">B2054*1000+C2054</f>
        <v>35077</v>
      </c>
      <c r="B2054" s="0" t="n">
        <v>35</v>
      </c>
      <c r="C2054" s="0" t="n">
        <v>77</v>
      </c>
      <c r="D2054" s="0" t="n">
        <v>0</v>
      </c>
      <c r="E2054" s="0" t="n">
        <f aca="false">VLOOKUP(B2054,'Babblefish-APUMA'!$A$1:$B$86,2)</f>
        <v>96</v>
      </c>
      <c r="F2054" s="0" t="n">
        <f aca="false">IF(C2054&gt;1,IF(C2054&lt;99,VLOOKUP(C2054,'Babblefish-APUMA'!$A$1:$B$86,2),C2054),C2054)</f>
        <v>77</v>
      </c>
    </row>
    <row r="2055" customFormat="false" ht="12.75" hidden="false" customHeight="false" outlineLevel="0" collapsed="false">
      <c r="A2055" s="0" t="n">
        <f aca="false">B2055*1000+C2055</f>
        <v>35079</v>
      </c>
      <c r="B2055" s="0" t="n">
        <v>35</v>
      </c>
      <c r="C2055" s="0" t="n">
        <v>79</v>
      </c>
      <c r="D2055" s="0" t="n">
        <v>0</v>
      </c>
      <c r="E2055" s="0" t="n">
        <f aca="false">VLOOKUP(B2055,'Babblefish-APUMA'!$A$1:$B$86,2)</f>
        <v>96</v>
      </c>
      <c r="F2055" s="0" t="n">
        <f aca="false">IF(C2055&gt;1,IF(C2055&lt;99,VLOOKUP(C2055,'Babblefish-APUMA'!$A$1:$B$86,2),C2055),C2055)</f>
        <v>89</v>
      </c>
    </row>
    <row r="2056" customFormat="false" ht="12.75" hidden="false" customHeight="false" outlineLevel="0" collapsed="false">
      <c r="A2056" s="0" t="n">
        <f aca="false">B2056*1000+C2056</f>
        <v>35080</v>
      </c>
      <c r="B2056" s="0" t="n">
        <v>35</v>
      </c>
      <c r="C2056" s="0" t="n">
        <v>80</v>
      </c>
      <c r="D2056" s="0" t="n">
        <v>0</v>
      </c>
      <c r="E2056" s="0" t="n">
        <f aca="false">VLOOKUP(B2056,'Babblefish-APUMA'!$A$1:$B$86,2)</f>
        <v>96</v>
      </c>
      <c r="F2056" s="0" t="n">
        <f aca="false">IF(C2056&gt;1,IF(C2056&lt;99,VLOOKUP(C2056,'Babblefish-APUMA'!$A$1:$B$86,2),C2056),C2056)</f>
        <v>80</v>
      </c>
    </row>
    <row r="2057" customFormat="false" ht="12.75" hidden="false" customHeight="false" outlineLevel="0" collapsed="false">
      <c r="A2057" s="0" t="n">
        <f aca="false">B2057*1000+C2057</f>
        <v>35082</v>
      </c>
      <c r="B2057" s="0" t="n">
        <v>35</v>
      </c>
      <c r="C2057" s="0" t="n">
        <v>82</v>
      </c>
      <c r="D2057" s="0" t="n">
        <v>0</v>
      </c>
      <c r="E2057" s="0" t="n">
        <f aca="false">VLOOKUP(B2057,'Babblefish-APUMA'!$A$1:$B$86,2)</f>
        <v>96</v>
      </c>
      <c r="F2057" s="0" t="n">
        <f aca="false">IF(C2057&gt;1,IF(C2057&lt;99,VLOOKUP(C2057,'Babblefish-APUMA'!$A$1:$B$86,2),C2057),C2057)</f>
        <v>95</v>
      </c>
    </row>
    <row r="2058" customFormat="false" ht="12.75" hidden="false" customHeight="false" outlineLevel="0" collapsed="false">
      <c r="A2058" s="0" t="n">
        <f aca="false">B2058*1000+C2058</f>
        <v>35083</v>
      </c>
      <c r="B2058" s="0" t="n">
        <v>35</v>
      </c>
      <c r="C2058" s="0" t="n">
        <v>83</v>
      </c>
      <c r="D2058" s="0" t="n">
        <v>0</v>
      </c>
      <c r="E2058" s="0" t="n">
        <f aca="false">VLOOKUP(B2058,'Babblefish-APUMA'!$A$1:$B$86,2)</f>
        <v>96</v>
      </c>
      <c r="F2058" s="0" t="n">
        <f aca="false">IF(C2058&gt;1,IF(C2058&lt;99,VLOOKUP(C2058,'Babblefish-APUMA'!$A$1:$B$86,2),C2058),C2058)</f>
        <v>103</v>
      </c>
    </row>
    <row r="2059" customFormat="false" ht="12.75" hidden="false" customHeight="false" outlineLevel="0" collapsed="false">
      <c r="A2059" s="0" t="n">
        <f aca="false">B2059*1000+C2059</f>
        <v>35084</v>
      </c>
      <c r="B2059" s="0" t="n">
        <v>35</v>
      </c>
      <c r="C2059" s="0" t="n">
        <v>84</v>
      </c>
      <c r="D2059" s="0" t="n">
        <v>0</v>
      </c>
      <c r="E2059" s="0" t="n">
        <f aca="false">VLOOKUP(B2059,'Babblefish-APUMA'!$A$1:$B$86,2)</f>
        <v>96</v>
      </c>
      <c r="F2059" s="0" t="n">
        <f aca="false">IF(C2059&gt;1,IF(C2059&lt;99,VLOOKUP(C2059,'Babblefish-APUMA'!$A$1:$B$86,2),C2059),C2059)</f>
        <v>92</v>
      </c>
    </row>
    <row r="2060" customFormat="false" ht="12.75" hidden="false" customHeight="false" outlineLevel="0" collapsed="false">
      <c r="A2060" s="0" t="n">
        <f aca="false">B2060*1000+C2060</f>
        <v>35085</v>
      </c>
      <c r="B2060" s="0" t="n">
        <v>35</v>
      </c>
      <c r="C2060" s="0" t="n">
        <v>85</v>
      </c>
      <c r="D2060" s="0" t="n">
        <v>0</v>
      </c>
      <c r="E2060" s="0" t="n">
        <f aca="false">VLOOKUP(B2060,'Babblefish-APUMA'!$A$1:$B$86,2)</f>
        <v>96</v>
      </c>
      <c r="F2060" s="0" t="n">
        <f aca="false">IF(C2060&gt;1,IF(C2060&lt;99,VLOOKUP(C2060,'Babblefish-APUMA'!$A$1:$B$86,2),C2060),C2060)</f>
        <v>97</v>
      </c>
    </row>
    <row r="2061" customFormat="false" ht="12.75" hidden="false" customHeight="false" outlineLevel="0" collapsed="false">
      <c r="A2061" s="0" t="n">
        <f aca="false">B2061*1000+C2061</f>
        <v>35858</v>
      </c>
      <c r="B2061" s="0" t="n">
        <v>35</v>
      </c>
      <c r="C2061" s="0" t="n">
        <v>858</v>
      </c>
      <c r="D2061" s="0" t="n">
        <v>0</v>
      </c>
      <c r="E2061" s="0" t="n">
        <f aca="false">VLOOKUP(B2061,'Babblefish-APUMA'!$A$1:$B$86,2)</f>
        <v>96</v>
      </c>
      <c r="F2061" s="0" t="n">
        <f aca="false">IF(C2061&gt;1,IF(C2061&lt;99,VLOOKUP(C2061,'Babblefish-APUMA'!$A$1:$B$86,2),C2061),C2061)</f>
        <v>858</v>
      </c>
    </row>
    <row r="2062" customFormat="false" ht="12.75" hidden="false" customHeight="false" outlineLevel="0" collapsed="false">
      <c r="A2062" s="0" t="n">
        <f aca="false">B2062*1000+C2062</f>
        <v>35983</v>
      </c>
      <c r="B2062" s="0" t="n">
        <v>35</v>
      </c>
      <c r="C2062" s="0" t="n">
        <v>983</v>
      </c>
      <c r="D2062" s="0" t="n">
        <v>0</v>
      </c>
      <c r="E2062" s="0" t="n">
        <f aca="false">VLOOKUP(B2062,'Babblefish-APUMA'!$A$1:$B$86,2)</f>
        <v>96</v>
      </c>
      <c r="F2062" s="0" t="n">
        <f aca="false">IF(C2062&gt;1,IF(C2062&lt;99,VLOOKUP(C2062,'Babblefish-APUMA'!$A$1:$B$86,2),C2062),C2062)</f>
        <v>983</v>
      </c>
    </row>
    <row r="2063" customFormat="false" ht="12.75" hidden="false" customHeight="false" outlineLevel="0" collapsed="false">
      <c r="A2063" s="0" t="n">
        <f aca="false">B2063*1000+C2063</f>
        <v>35999</v>
      </c>
      <c r="B2063" s="0" t="n">
        <v>35</v>
      </c>
      <c r="C2063" s="0" t="n">
        <v>999</v>
      </c>
      <c r="D2063" s="0" t="n">
        <v>0</v>
      </c>
      <c r="E2063" s="0" t="n">
        <f aca="false">VLOOKUP(B2063,'Babblefish-APUMA'!$A$1:$B$86,2)</f>
        <v>96</v>
      </c>
      <c r="F2063" s="0" t="n">
        <f aca="false">IF(C2063&gt;1,IF(C2063&lt;99,VLOOKUP(C2063,'Babblefish-APUMA'!$A$1:$B$86,2),C2063),C2063)</f>
        <v>999</v>
      </c>
    </row>
    <row r="2064" customFormat="false" ht="12.75" hidden="false" customHeight="false" outlineLevel="0" collapsed="false">
      <c r="A2064" s="0" t="n">
        <f aca="false">B2064*1000+C2064</f>
        <v>36000</v>
      </c>
      <c r="B2064" s="0" t="n">
        <v>36</v>
      </c>
      <c r="C2064" s="0" t="n">
        <v>0</v>
      </c>
      <c r="D2064" s="0" t="n">
        <v>71240</v>
      </c>
      <c r="E2064" s="0" t="n">
        <f aca="false">VLOOKUP(B2064,'Babblefish-APUMA'!$A$1:$B$86,2)</f>
        <v>96</v>
      </c>
      <c r="F2064" s="0" t="n">
        <f aca="false">IF(C2064&gt;1,IF(C2064&lt;99,VLOOKUP(C2064,'Babblefish-APUMA'!$A$1:$B$86,2),C2064),C2064)</f>
        <v>0</v>
      </c>
    </row>
    <row r="2065" customFormat="false" ht="12.75" hidden="false" customHeight="false" outlineLevel="0" collapsed="false">
      <c r="A2065" s="0" t="n">
        <f aca="false">B2065*1000+C2065</f>
        <v>36001</v>
      </c>
      <c r="B2065" s="0" t="n">
        <v>36</v>
      </c>
      <c r="C2065" s="0" t="n">
        <v>1</v>
      </c>
      <c r="D2065" s="0" t="n">
        <v>0</v>
      </c>
      <c r="E2065" s="0" t="n">
        <f aca="false">VLOOKUP(B2065,'Babblefish-APUMA'!$A$1:$B$86,2)</f>
        <v>96</v>
      </c>
      <c r="F2065" s="0" t="n">
        <f aca="false">IF(C2065&gt;1,IF(C2065&lt;99,VLOOKUP(C2065,'Babblefish-APUMA'!$A$1:$B$86,2),C2065),C2065)</f>
        <v>1</v>
      </c>
    </row>
    <row r="2066" customFormat="false" ht="12.75" hidden="false" customHeight="false" outlineLevel="0" collapsed="false">
      <c r="A2066" s="0" t="n">
        <f aca="false">B2066*1000+C2066</f>
        <v>36002</v>
      </c>
      <c r="B2066" s="0" t="n">
        <v>36</v>
      </c>
      <c r="C2066" s="0" t="n">
        <v>2</v>
      </c>
      <c r="D2066" s="0" t="n">
        <v>0</v>
      </c>
      <c r="E2066" s="0" t="n">
        <f aca="false">VLOOKUP(B2066,'Babblefish-APUMA'!$A$1:$B$86,2)</f>
        <v>96</v>
      </c>
      <c r="F2066" s="0" t="n">
        <f aca="false">IF(C2066&gt;1,IF(C2066&lt;99,VLOOKUP(C2066,'Babblefish-APUMA'!$A$1:$B$86,2),C2066),C2066)</f>
        <v>2</v>
      </c>
    </row>
    <row r="2067" customFormat="false" ht="12.75" hidden="false" customHeight="false" outlineLevel="0" collapsed="false">
      <c r="A2067" s="0" t="n">
        <f aca="false">B2067*1000+C2067</f>
        <v>36003</v>
      </c>
      <c r="B2067" s="0" t="n">
        <v>36</v>
      </c>
      <c r="C2067" s="0" t="n">
        <v>3</v>
      </c>
      <c r="D2067" s="0" t="n">
        <v>0</v>
      </c>
      <c r="E2067" s="0" t="n">
        <f aca="false">VLOOKUP(B2067,'Babblefish-APUMA'!$A$1:$B$86,2)</f>
        <v>96</v>
      </c>
      <c r="F2067" s="0" t="n">
        <f aca="false">IF(C2067&gt;1,IF(C2067&lt;99,VLOOKUP(C2067,'Babblefish-APUMA'!$A$1:$B$86,2),C2067),C2067)</f>
        <v>3</v>
      </c>
    </row>
    <row r="2068" customFormat="false" ht="12.75" hidden="false" customHeight="false" outlineLevel="0" collapsed="false">
      <c r="A2068" s="0" t="n">
        <f aca="false">B2068*1000+C2068</f>
        <v>36004</v>
      </c>
      <c r="B2068" s="0" t="n">
        <v>36</v>
      </c>
      <c r="C2068" s="0" t="n">
        <v>4</v>
      </c>
      <c r="D2068" s="0" t="n">
        <v>0</v>
      </c>
      <c r="E2068" s="0" t="n">
        <f aca="false">VLOOKUP(B2068,'Babblefish-APUMA'!$A$1:$B$86,2)</f>
        <v>96</v>
      </c>
      <c r="F2068" s="0" t="n">
        <f aca="false">IF(C2068&gt;1,IF(C2068&lt;99,VLOOKUP(C2068,'Babblefish-APUMA'!$A$1:$B$86,2),C2068),C2068)</f>
        <v>4</v>
      </c>
    </row>
    <row r="2069" customFormat="false" ht="12.75" hidden="false" customHeight="false" outlineLevel="0" collapsed="false">
      <c r="A2069" s="0" t="n">
        <f aca="false">B2069*1000+C2069</f>
        <v>36005</v>
      </c>
      <c r="B2069" s="0" t="n">
        <v>36</v>
      </c>
      <c r="C2069" s="0" t="n">
        <v>5</v>
      </c>
      <c r="D2069" s="0" t="n">
        <v>0</v>
      </c>
      <c r="E2069" s="0" t="n">
        <f aca="false">VLOOKUP(B2069,'Babblefish-APUMA'!$A$1:$B$86,2)</f>
        <v>96</v>
      </c>
      <c r="F2069" s="0" t="n">
        <f aca="false">IF(C2069&gt;1,IF(C2069&lt;99,VLOOKUP(C2069,'Babblefish-APUMA'!$A$1:$B$86,2),C2069),C2069)</f>
        <v>5</v>
      </c>
    </row>
    <row r="2070" customFormat="false" ht="12.75" hidden="false" customHeight="false" outlineLevel="0" collapsed="false">
      <c r="A2070" s="0" t="n">
        <f aca="false">B2070*1000+C2070</f>
        <v>36006</v>
      </c>
      <c r="B2070" s="0" t="n">
        <v>36</v>
      </c>
      <c r="C2070" s="0" t="n">
        <v>6</v>
      </c>
      <c r="D2070" s="0" t="n">
        <v>0</v>
      </c>
      <c r="E2070" s="0" t="n">
        <f aca="false">VLOOKUP(B2070,'Babblefish-APUMA'!$A$1:$B$86,2)</f>
        <v>96</v>
      </c>
      <c r="F2070" s="0" t="n">
        <f aca="false">IF(C2070&gt;1,IF(C2070&lt;99,VLOOKUP(C2070,'Babblefish-APUMA'!$A$1:$B$86,2),C2070),C2070)</f>
        <v>6</v>
      </c>
    </row>
    <row r="2071" customFormat="false" ht="12.75" hidden="false" customHeight="false" outlineLevel="0" collapsed="false">
      <c r="A2071" s="0" t="n">
        <f aca="false">B2071*1000+C2071</f>
        <v>36007</v>
      </c>
      <c r="B2071" s="0" t="n">
        <v>36</v>
      </c>
      <c r="C2071" s="0" t="n">
        <v>7</v>
      </c>
      <c r="D2071" s="0" t="n">
        <v>0</v>
      </c>
      <c r="E2071" s="0" t="n">
        <f aca="false">VLOOKUP(B2071,'Babblefish-APUMA'!$A$1:$B$86,2)</f>
        <v>96</v>
      </c>
      <c r="F2071" s="0" t="n">
        <f aca="false">IF(C2071&gt;1,IF(C2071&lt;99,VLOOKUP(C2071,'Babblefish-APUMA'!$A$1:$B$86,2),C2071),C2071)</f>
        <v>7</v>
      </c>
    </row>
    <row r="2072" customFormat="false" ht="12.75" hidden="false" customHeight="false" outlineLevel="0" collapsed="false">
      <c r="A2072" s="0" t="n">
        <f aca="false">B2072*1000+C2072</f>
        <v>36008</v>
      </c>
      <c r="B2072" s="0" t="n">
        <v>36</v>
      </c>
      <c r="C2072" s="0" t="n">
        <v>8</v>
      </c>
      <c r="D2072" s="0" t="n">
        <v>0</v>
      </c>
      <c r="E2072" s="0" t="n">
        <f aca="false">VLOOKUP(B2072,'Babblefish-APUMA'!$A$1:$B$86,2)</f>
        <v>96</v>
      </c>
      <c r="F2072" s="0" t="n">
        <f aca="false">IF(C2072&gt;1,IF(C2072&lt;99,VLOOKUP(C2072,'Babblefish-APUMA'!$A$1:$B$86,2),C2072),C2072)</f>
        <v>8</v>
      </c>
    </row>
    <row r="2073" customFormat="false" ht="12.75" hidden="false" customHeight="false" outlineLevel="0" collapsed="false">
      <c r="A2073" s="0" t="n">
        <f aca="false">B2073*1000+C2073</f>
        <v>36009</v>
      </c>
      <c r="B2073" s="0" t="n">
        <v>36</v>
      </c>
      <c r="C2073" s="0" t="n">
        <v>9</v>
      </c>
      <c r="D2073" s="0" t="n">
        <v>0</v>
      </c>
      <c r="E2073" s="0" t="n">
        <f aca="false">VLOOKUP(B2073,'Babblefish-APUMA'!$A$1:$B$86,2)</f>
        <v>96</v>
      </c>
      <c r="F2073" s="0" t="n">
        <f aca="false">IF(C2073&gt;1,IF(C2073&lt;99,VLOOKUP(C2073,'Babblefish-APUMA'!$A$1:$B$86,2),C2073),C2073)</f>
        <v>9</v>
      </c>
    </row>
    <row r="2074" customFormat="false" ht="12.75" hidden="false" customHeight="false" outlineLevel="0" collapsed="false">
      <c r="A2074" s="0" t="n">
        <f aca="false">B2074*1000+C2074</f>
        <v>36010</v>
      </c>
      <c r="B2074" s="0" t="n">
        <v>36</v>
      </c>
      <c r="C2074" s="0" t="n">
        <v>10</v>
      </c>
      <c r="D2074" s="0" t="n">
        <v>0</v>
      </c>
      <c r="E2074" s="0" t="n">
        <f aca="false">VLOOKUP(B2074,'Babblefish-APUMA'!$A$1:$B$86,2)</f>
        <v>96</v>
      </c>
      <c r="F2074" s="0" t="n">
        <f aca="false">IF(C2074&gt;1,IF(C2074&lt;99,VLOOKUP(C2074,'Babblefish-APUMA'!$A$1:$B$86,2),C2074),C2074)</f>
        <v>10</v>
      </c>
    </row>
    <row r="2075" customFormat="false" ht="12.75" hidden="false" customHeight="false" outlineLevel="0" collapsed="false">
      <c r="A2075" s="0" t="n">
        <f aca="false">B2075*1000+C2075</f>
        <v>36011</v>
      </c>
      <c r="B2075" s="0" t="n">
        <v>36</v>
      </c>
      <c r="C2075" s="0" t="n">
        <v>11</v>
      </c>
      <c r="D2075" s="0" t="n">
        <v>0</v>
      </c>
      <c r="E2075" s="0" t="n">
        <f aca="false">VLOOKUP(B2075,'Babblefish-APUMA'!$A$1:$B$86,2)</f>
        <v>96</v>
      </c>
      <c r="F2075" s="0" t="n">
        <f aca="false">IF(C2075&gt;1,IF(C2075&lt;99,VLOOKUP(C2075,'Babblefish-APUMA'!$A$1:$B$86,2),C2075),C2075)</f>
        <v>11</v>
      </c>
    </row>
    <row r="2076" customFormat="false" ht="12.75" hidden="false" customHeight="false" outlineLevel="0" collapsed="false">
      <c r="A2076" s="0" t="n">
        <f aca="false">B2076*1000+C2076</f>
        <v>36012</v>
      </c>
      <c r="B2076" s="0" t="n">
        <v>36</v>
      </c>
      <c r="C2076" s="0" t="n">
        <v>12</v>
      </c>
      <c r="D2076" s="0" t="n">
        <v>0</v>
      </c>
      <c r="E2076" s="0" t="n">
        <f aca="false">VLOOKUP(B2076,'Babblefish-APUMA'!$A$1:$B$86,2)</f>
        <v>96</v>
      </c>
      <c r="F2076" s="0" t="n">
        <f aca="false">IF(C2076&gt;1,IF(C2076&lt;99,VLOOKUP(C2076,'Babblefish-APUMA'!$A$1:$B$86,2),C2076),C2076)</f>
        <v>12</v>
      </c>
    </row>
    <row r="2077" customFormat="false" ht="12.75" hidden="false" customHeight="false" outlineLevel="0" collapsed="false">
      <c r="A2077" s="0" t="n">
        <f aca="false">B2077*1000+C2077</f>
        <v>36013</v>
      </c>
      <c r="B2077" s="0" t="n">
        <v>36</v>
      </c>
      <c r="C2077" s="0" t="n">
        <v>13</v>
      </c>
      <c r="D2077" s="0" t="n">
        <v>0</v>
      </c>
      <c r="E2077" s="0" t="n">
        <f aca="false">VLOOKUP(B2077,'Babblefish-APUMA'!$A$1:$B$86,2)</f>
        <v>96</v>
      </c>
      <c r="F2077" s="0" t="n">
        <f aca="false">IF(C2077&gt;1,IF(C2077&lt;99,VLOOKUP(C2077,'Babblefish-APUMA'!$A$1:$B$86,2),C2077),C2077)</f>
        <v>100</v>
      </c>
    </row>
    <row r="2078" customFormat="false" ht="12.75" hidden="false" customHeight="false" outlineLevel="0" collapsed="false">
      <c r="A2078" s="0" t="n">
        <f aca="false">B2078*1000+C2078</f>
        <v>36014</v>
      </c>
      <c r="B2078" s="0" t="n">
        <v>36</v>
      </c>
      <c r="C2078" s="0" t="n">
        <v>14</v>
      </c>
      <c r="D2078" s="0" t="n">
        <v>0</v>
      </c>
      <c r="E2078" s="0" t="n">
        <f aca="false">VLOOKUP(B2078,'Babblefish-APUMA'!$A$1:$B$86,2)</f>
        <v>96</v>
      </c>
      <c r="F2078" s="0" t="n">
        <f aca="false">IF(C2078&gt;1,IF(C2078&lt;99,VLOOKUP(C2078,'Babblefish-APUMA'!$A$1:$B$86,2),C2078),C2078)</f>
        <v>100</v>
      </c>
    </row>
    <row r="2079" customFormat="false" ht="12.75" hidden="false" customHeight="false" outlineLevel="0" collapsed="false">
      <c r="A2079" s="0" t="n">
        <f aca="false">B2079*1000+C2079</f>
        <v>36015</v>
      </c>
      <c r="B2079" s="0" t="n">
        <v>36</v>
      </c>
      <c r="C2079" s="0" t="n">
        <v>15</v>
      </c>
      <c r="D2079" s="0" t="n">
        <v>0</v>
      </c>
      <c r="E2079" s="0" t="n">
        <f aca="false">VLOOKUP(B2079,'Babblefish-APUMA'!$A$1:$B$86,2)</f>
        <v>96</v>
      </c>
      <c r="F2079" s="0" t="n">
        <f aca="false">IF(C2079&gt;1,IF(C2079&lt;99,VLOOKUP(C2079,'Babblefish-APUMA'!$A$1:$B$86,2),C2079),C2079)</f>
        <v>15</v>
      </c>
    </row>
    <row r="2080" customFormat="false" ht="12.75" hidden="false" customHeight="false" outlineLevel="0" collapsed="false">
      <c r="A2080" s="0" t="n">
        <f aca="false">B2080*1000+C2080</f>
        <v>36016</v>
      </c>
      <c r="B2080" s="0" t="n">
        <v>36</v>
      </c>
      <c r="C2080" s="0" t="n">
        <v>16</v>
      </c>
      <c r="D2080" s="0" t="n">
        <v>0</v>
      </c>
      <c r="E2080" s="0" t="n">
        <f aca="false">VLOOKUP(B2080,'Babblefish-APUMA'!$A$1:$B$86,2)</f>
        <v>96</v>
      </c>
      <c r="F2080" s="0" t="n">
        <f aca="false">IF(C2080&gt;1,IF(C2080&lt;99,VLOOKUP(C2080,'Babblefish-APUMA'!$A$1:$B$86,2),C2080),C2080)</f>
        <v>99</v>
      </c>
    </row>
    <row r="2081" customFormat="false" ht="12.75" hidden="false" customHeight="false" outlineLevel="0" collapsed="false">
      <c r="A2081" s="0" t="n">
        <f aca="false">B2081*1000+C2081</f>
        <v>36017</v>
      </c>
      <c r="B2081" s="0" t="n">
        <v>36</v>
      </c>
      <c r="C2081" s="0" t="n">
        <v>17</v>
      </c>
      <c r="D2081" s="0" t="n">
        <v>0</v>
      </c>
      <c r="E2081" s="0" t="n">
        <f aca="false">VLOOKUP(B2081,'Babblefish-APUMA'!$A$1:$B$86,2)</f>
        <v>96</v>
      </c>
      <c r="F2081" s="0" t="n">
        <f aca="false">IF(C2081&gt;1,IF(C2081&lt;99,VLOOKUP(C2081,'Babblefish-APUMA'!$A$1:$B$86,2),C2081),C2081)</f>
        <v>87</v>
      </c>
    </row>
    <row r="2082" customFormat="false" ht="12.75" hidden="false" customHeight="false" outlineLevel="0" collapsed="false">
      <c r="A2082" s="0" t="n">
        <f aca="false">B2082*1000+C2082</f>
        <v>36018</v>
      </c>
      <c r="B2082" s="0" t="n">
        <v>36</v>
      </c>
      <c r="C2082" s="0" t="n">
        <v>18</v>
      </c>
      <c r="D2082" s="0" t="n">
        <v>0</v>
      </c>
      <c r="E2082" s="0" t="n">
        <f aca="false">VLOOKUP(B2082,'Babblefish-APUMA'!$A$1:$B$86,2)</f>
        <v>96</v>
      </c>
      <c r="F2082" s="0" t="n">
        <f aca="false">IF(C2082&gt;1,IF(C2082&lt;99,VLOOKUP(C2082,'Babblefish-APUMA'!$A$1:$B$86,2),C2082),C2082)</f>
        <v>87</v>
      </c>
    </row>
    <row r="2083" customFormat="false" ht="12.75" hidden="false" customHeight="false" outlineLevel="0" collapsed="false">
      <c r="A2083" s="0" t="n">
        <f aca="false">B2083*1000+C2083</f>
        <v>36019</v>
      </c>
      <c r="B2083" s="0" t="n">
        <v>36</v>
      </c>
      <c r="C2083" s="0" t="n">
        <v>19</v>
      </c>
      <c r="D2083" s="0" t="n">
        <v>0</v>
      </c>
      <c r="E2083" s="0" t="n">
        <f aca="false">VLOOKUP(B2083,'Babblefish-APUMA'!$A$1:$B$86,2)</f>
        <v>96</v>
      </c>
      <c r="F2083" s="0" t="n">
        <f aca="false">IF(C2083&gt;1,IF(C2083&lt;99,VLOOKUP(C2083,'Babblefish-APUMA'!$A$1:$B$86,2),C2083),C2083)</f>
        <v>19</v>
      </c>
    </row>
    <row r="2084" customFormat="false" ht="12.75" hidden="false" customHeight="false" outlineLevel="0" collapsed="false">
      <c r="A2084" s="0" t="n">
        <f aca="false">B2084*1000+C2084</f>
        <v>36020</v>
      </c>
      <c r="B2084" s="0" t="n">
        <v>36</v>
      </c>
      <c r="C2084" s="0" t="n">
        <v>20</v>
      </c>
      <c r="D2084" s="0" t="n">
        <v>0</v>
      </c>
      <c r="E2084" s="0" t="n">
        <f aca="false">VLOOKUP(B2084,'Babblefish-APUMA'!$A$1:$B$86,2)</f>
        <v>96</v>
      </c>
      <c r="F2084" s="0" t="n">
        <f aca="false">IF(C2084&gt;1,IF(C2084&lt;99,VLOOKUP(C2084,'Babblefish-APUMA'!$A$1:$B$86,2),C2084),C2084)</f>
        <v>86</v>
      </c>
    </row>
    <row r="2085" customFormat="false" ht="12.75" hidden="false" customHeight="false" outlineLevel="0" collapsed="false">
      <c r="A2085" s="0" t="n">
        <f aca="false">B2085*1000+C2085</f>
        <v>36021</v>
      </c>
      <c r="B2085" s="0" t="n">
        <v>36</v>
      </c>
      <c r="C2085" s="0" t="n">
        <v>21</v>
      </c>
      <c r="D2085" s="0" t="n">
        <v>0</v>
      </c>
      <c r="E2085" s="0" t="n">
        <f aca="false">VLOOKUP(B2085,'Babblefish-APUMA'!$A$1:$B$86,2)</f>
        <v>96</v>
      </c>
      <c r="F2085" s="0" t="n">
        <f aca="false">IF(C2085&gt;1,IF(C2085&lt;99,VLOOKUP(C2085,'Babblefish-APUMA'!$A$1:$B$86,2),C2085),C2085)</f>
        <v>86</v>
      </c>
    </row>
    <row r="2086" customFormat="false" ht="12.75" hidden="false" customHeight="false" outlineLevel="0" collapsed="false">
      <c r="A2086" s="0" t="n">
        <f aca="false">B2086*1000+C2086</f>
        <v>36022</v>
      </c>
      <c r="B2086" s="0" t="n">
        <v>36</v>
      </c>
      <c r="C2086" s="0" t="n">
        <v>22</v>
      </c>
      <c r="D2086" s="0" t="n">
        <v>0</v>
      </c>
      <c r="E2086" s="0" t="n">
        <f aca="false">VLOOKUP(B2086,'Babblefish-APUMA'!$A$1:$B$86,2)</f>
        <v>96</v>
      </c>
      <c r="F2086" s="0" t="n">
        <f aca="false">IF(C2086&gt;1,IF(C2086&lt;99,VLOOKUP(C2086,'Babblefish-APUMA'!$A$1:$B$86,2),C2086),C2086)</f>
        <v>22</v>
      </c>
    </row>
    <row r="2087" customFormat="false" ht="12.75" hidden="false" customHeight="false" outlineLevel="0" collapsed="false">
      <c r="A2087" s="0" t="n">
        <f aca="false">B2087*1000+C2087</f>
        <v>36023</v>
      </c>
      <c r="B2087" s="0" t="n">
        <v>36</v>
      </c>
      <c r="C2087" s="0" t="n">
        <v>23</v>
      </c>
      <c r="D2087" s="0" t="n">
        <v>0</v>
      </c>
      <c r="E2087" s="0" t="n">
        <f aca="false">VLOOKUP(B2087,'Babblefish-APUMA'!$A$1:$B$86,2)</f>
        <v>96</v>
      </c>
      <c r="F2087" s="0" t="n">
        <f aca="false">IF(C2087&gt;1,IF(C2087&lt;99,VLOOKUP(C2087,'Babblefish-APUMA'!$A$1:$B$86,2),C2087),C2087)</f>
        <v>97</v>
      </c>
    </row>
    <row r="2088" customFormat="false" ht="12.75" hidden="false" customHeight="false" outlineLevel="0" collapsed="false">
      <c r="A2088" s="0" t="n">
        <f aca="false">B2088*1000+C2088</f>
        <v>36024</v>
      </c>
      <c r="B2088" s="0" t="n">
        <v>36</v>
      </c>
      <c r="C2088" s="0" t="n">
        <v>24</v>
      </c>
      <c r="D2088" s="0" t="n">
        <v>0</v>
      </c>
      <c r="E2088" s="0" t="n">
        <f aca="false">VLOOKUP(B2088,'Babblefish-APUMA'!$A$1:$B$86,2)</f>
        <v>96</v>
      </c>
      <c r="F2088" s="0" t="n">
        <f aca="false">IF(C2088&gt;1,IF(C2088&lt;99,VLOOKUP(C2088,'Babblefish-APUMA'!$A$1:$B$86,2),C2088),C2088)</f>
        <v>101</v>
      </c>
    </row>
    <row r="2089" customFormat="false" ht="12.75" hidden="false" customHeight="false" outlineLevel="0" collapsed="false">
      <c r="A2089" s="0" t="n">
        <f aca="false">B2089*1000+C2089</f>
        <v>36025</v>
      </c>
      <c r="B2089" s="0" t="n">
        <v>36</v>
      </c>
      <c r="C2089" s="0" t="n">
        <v>25</v>
      </c>
      <c r="D2089" s="0" t="n">
        <v>0</v>
      </c>
      <c r="E2089" s="0" t="n">
        <f aca="false">VLOOKUP(B2089,'Babblefish-APUMA'!$A$1:$B$86,2)</f>
        <v>96</v>
      </c>
      <c r="F2089" s="0" t="n">
        <f aca="false">IF(C2089&gt;1,IF(C2089&lt;99,VLOOKUP(C2089,'Babblefish-APUMA'!$A$1:$B$86,2),C2089),C2089)</f>
        <v>101</v>
      </c>
    </row>
    <row r="2090" customFormat="false" ht="12.75" hidden="false" customHeight="false" outlineLevel="0" collapsed="false">
      <c r="A2090" s="0" t="n">
        <f aca="false">B2090*1000+C2090</f>
        <v>36026</v>
      </c>
      <c r="B2090" s="0" t="n">
        <v>36</v>
      </c>
      <c r="C2090" s="0" t="n">
        <v>26</v>
      </c>
      <c r="D2090" s="0" t="n">
        <v>130</v>
      </c>
      <c r="E2090" s="0" t="n">
        <f aca="false">VLOOKUP(B2090,'Babblefish-APUMA'!$A$1:$B$86,2)</f>
        <v>96</v>
      </c>
      <c r="F2090" s="0" t="n">
        <f aca="false">IF(C2090&gt;1,IF(C2090&lt;99,VLOOKUP(C2090,'Babblefish-APUMA'!$A$1:$B$86,2),C2090),C2090)</f>
        <v>26</v>
      </c>
    </row>
    <row r="2091" customFormat="false" ht="12.75" hidden="false" customHeight="false" outlineLevel="0" collapsed="false">
      <c r="A2091" s="0" t="n">
        <f aca="false">B2091*1000+C2091</f>
        <v>36027</v>
      </c>
      <c r="B2091" s="0" t="n">
        <v>36</v>
      </c>
      <c r="C2091" s="0" t="n">
        <v>27</v>
      </c>
      <c r="D2091" s="0" t="n">
        <v>0</v>
      </c>
      <c r="E2091" s="0" t="n">
        <f aca="false">VLOOKUP(B2091,'Babblefish-APUMA'!$A$1:$B$86,2)</f>
        <v>96</v>
      </c>
      <c r="F2091" s="0" t="n">
        <f aca="false">IF(C2091&gt;1,IF(C2091&lt;99,VLOOKUP(C2091,'Babblefish-APUMA'!$A$1:$B$86,2),C2091),C2091)</f>
        <v>27</v>
      </c>
    </row>
    <row r="2092" customFormat="false" ht="12.75" hidden="false" customHeight="false" outlineLevel="0" collapsed="false">
      <c r="A2092" s="0" t="n">
        <f aca="false">B2092*1000+C2092</f>
        <v>36028</v>
      </c>
      <c r="B2092" s="0" t="n">
        <v>36</v>
      </c>
      <c r="C2092" s="0" t="n">
        <v>28</v>
      </c>
      <c r="D2092" s="0" t="n">
        <v>0</v>
      </c>
      <c r="E2092" s="0" t="n">
        <f aca="false">VLOOKUP(B2092,'Babblefish-APUMA'!$A$1:$B$86,2)</f>
        <v>96</v>
      </c>
      <c r="F2092" s="0" t="n">
        <f aca="false">IF(C2092&gt;1,IF(C2092&lt;99,VLOOKUP(C2092,'Babblefish-APUMA'!$A$1:$B$86,2),C2092),C2092)</f>
        <v>94</v>
      </c>
    </row>
    <row r="2093" customFormat="false" ht="12.75" hidden="false" customHeight="false" outlineLevel="0" collapsed="false">
      <c r="A2093" s="0" t="n">
        <f aca="false">B2093*1000+C2093</f>
        <v>36029</v>
      </c>
      <c r="B2093" s="0" t="n">
        <v>36</v>
      </c>
      <c r="C2093" s="0" t="n">
        <v>29</v>
      </c>
      <c r="D2093" s="0" t="n">
        <v>0</v>
      </c>
      <c r="E2093" s="0" t="n">
        <f aca="false">VLOOKUP(B2093,'Babblefish-APUMA'!$A$1:$B$86,2)</f>
        <v>96</v>
      </c>
      <c r="F2093" s="0" t="n">
        <f aca="false">IF(C2093&gt;1,IF(C2093&lt;99,VLOOKUP(C2093,'Babblefish-APUMA'!$A$1:$B$86,2),C2093),C2093)</f>
        <v>94</v>
      </c>
    </row>
    <row r="2094" customFormat="false" ht="12.75" hidden="false" customHeight="false" outlineLevel="0" collapsed="false">
      <c r="A2094" s="0" t="n">
        <f aca="false">B2094*1000+C2094</f>
        <v>36030</v>
      </c>
      <c r="B2094" s="0" t="n">
        <v>36</v>
      </c>
      <c r="C2094" s="0" t="n">
        <v>30</v>
      </c>
      <c r="D2094" s="0" t="n">
        <v>117</v>
      </c>
      <c r="E2094" s="0" t="n">
        <f aca="false">VLOOKUP(B2094,'Babblefish-APUMA'!$A$1:$B$86,2)</f>
        <v>96</v>
      </c>
      <c r="F2094" s="0" t="n">
        <f aca="false">IF(C2094&gt;1,IF(C2094&lt;99,VLOOKUP(C2094,'Babblefish-APUMA'!$A$1:$B$86,2),C2094),C2094)</f>
        <v>30</v>
      </c>
    </row>
    <row r="2095" customFormat="false" ht="12.75" hidden="false" customHeight="false" outlineLevel="0" collapsed="false">
      <c r="A2095" s="0" t="n">
        <f aca="false">B2095*1000+C2095</f>
        <v>36031</v>
      </c>
      <c r="B2095" s="0" t="n">
        <v>36</v>
      </c>
      <c r="C2095" s="0" t="n">
        <v>31</v>
      </c>
      <c r="D2095" s="0" t="n">
        <v>0</v>
      </c>
      <c r="E2095" s="0" t="n">
        <f aca="false">VLOOKUP(B2095,'Babblefish-APUMA'!$A$1:$B$86,2)</f>
        <v>96</v>
      </c>
      <c r="F2095" s="0" t="n">
        <f aca="false">IF(C2095&gt;1,IF(C2095&lt;99,VLOOKUP(C2095,'Babblefish-APUMA'!$A$1:$B$86,2),C2095),C2095)</f>
        <v>31</v>
      </c>
    </row>
    <row r="2096" customFormat="false" ht="12.75" hidden="false" customHeight="false" outlineLevel="0" collapsed="false">
      <c r="A2096" s="0" t="n">
        <f aca="false">B2096*1000+C2096</f>
        <v>36032</v>
      </c>
      <c r="B2096" s="0" t="n">
        <v>36</v>
      </c>
      <c r="C2096" s="0" t="n">
        <v>32</v>
      </c>
      <c r="D2096" s="0" t="n">
        <v>0</v>
      </c>
      <c r="E2096" s="0" t="n">
        <f aca="false">VLOOKUP(B2096,'Babblefish-APUMA'!$A$1:$B$86,2)</f>
        <v>96</v>
      </c>
      <c r="F2096" s="0" t="n">
        <f aca="false">IF(C2096&gt;1,IF(C2096&lt;99,VLOOKUP(C2096,'Babblefish-APUMA'!$A$1:$B$86,2),C2096),C2096)</f>
        <v>32</v>
      </c>
    </row>
    <row r="2097" customFormat="false" ht="12.75" hidden="false" customHeight="false" outlineLevel="0" collapsed="false">
      <c r="A2097" s="0" t="n">
        <f aca="false">B2097*1000+C2097</f>
        <v>36033</v>
      </c>
      <c r="B2097" s="0" t="n">
        <v>36</v>
      </c>
      <c r="C2097" s="0" t="n">
        <v>33</v>
      </c>
      <c r="D2097" s="0" t="n">
        <v>29861</v>
      </c>
      <c r="E2097" s="0" t="n">
        <f aca="false">VLOOKUP(B2097,'Babblefish-APUMA'!$A$1:$B$86,2)</f>
        <v>96</v>
      </c>
      <c r="F2097" s="0" t="n">
        <f aca="false">IF(C2097&gt;1,IF(C2097&lt;99,VLOOKUP(C2097,'Babblefish-APUMA'!$A$1:$B$86,2),C2097),C2097)</f>
        <v>96</v>
      </c>
    </row>
    <row r="2098" customFormat="false" ht="12.75" hidden="false" customHeight="false" outlineLevel="0" collapsed="false">
      <c r="A2098" s="0" t="n">
        <f aca="false">B2098*1000+C2098</f>
        <v>36034</v>
      </c>
      <c r="B2098" s="0" t="n">
        <v>36</v>
      </c>
      <c r="C2098" s="0" t="n">
        <v>34</v>
      </c>
      <c r="D2098" s="0" t="n">
        <v>0</v>
      </c>
      <c r="E2098" s="0" t="n">
        <f aca="false">VLOOKUP(B2098,'Babblefish-APUMA'!$A$1:$B$86,2)</f>
        <v>96</v>
      </c>
      <c r="F2098" s="0" t="n">
        <f aca="false">IF(C2098&gt;1,IF(C2098&lt;99,VLOOKUP(C2098,'Babblefish-APUMA'!$A$1:$B$86,2),C2098),C2098)</f>
        <v>96</v>
      </c>
    </row>
    <row r="2099" customFormat="false" ht="12.75" hidden="false" customHeight="false" outlineLevel="0" collapsed="false">
      <c r="A2099" s="0" t="n">
        <f aca="false">B2099*1000+C2099</f>
        <v>36035</v>
      </c>
      <c r="B2099" s="0" t="n">
        <v>36</v>
      </c>
      <c r="C2099" s="0" t="n">
        <v>35</v>
      </c>
      <c r="D2099" s="0" t="n">
        <v>234</v>
      </c>
      <c r="E2099" s="0" t="n">
        <f aca="false">VLOOKUP(B2099,'Babblefish-APUMA'!$A$1:$B$86,2)</f>
        <v>96</v>
      </c>
      <c r="F2099" s="0" t="n">
        <f aca="false">IF(C2099&gt;1,IF(C2099&lt;99,VLOOKUP(C2099,'Babblefish-APUMA'!$A$1:$B$86,2),C2099),C2099)</f>
        <v>96</v>
      </c>
    </row>
    <row r="2100" customFormat="false" ht="12.75" hidden="false" customHeight="false" outlineLevel="0" collapsed="false">
      <c r="A2100" s="0" t="n">
        <f aca="false">B2100*1000+C2100</f>
        <v>36036</v>
      </c>
      <c r="B2100" s="0" t="n">
        <v>36</v>
      </c>
      <c r="C2100" s="0" t="n">
        <v>36</v>
      </c>
      <c r="D2100" s="0" t="n">
        <v>20917</v>
      </c>
      <c r="E2100" s="0" t="n">
        <f aca="false">VLOOKUP(B2100,'Babblefish-APUMA'!$A$1:$B$86,2)</f>
        <v>96</v>
      </c>
      <c r="F2100" s="0" t="n">
        <f aca="false">IF(C2100&gt;1,IF(C2100&lt;99,VLOOKUP(C2100,'Babblefish-APUMA'!$A$1:$B$86,2),C2100),C2100)</f>
        <v>96</v>
      </c>
    </row>
    <row r="2101" customFormat="false" ht="12.75" hidden="false" customHeight="false" outlineLevel="0" collapsed="false">
      <c r="A2101" s="0" t="n">
        <f aca="false">B2101*1000+C2101</f>
        <v>36037</v>
      </c>
      <c r="B2101" s="0" t="n">
        <v>36</v>
      </c>
      <c r="C2101" s="0" t="n">
        <v>37</v>
      </c>
      <c r="D2101" s="0" t="n">
        <v>12974</v>
      </c>
      <c r="E2101" s="0" t="n">
        <f aca="false">VLOOKUP(B2101,'Babblefish-APUMA'!$A$1:$B$86,2)</f>
        <v>96</v>
      </c>
      <c r="F2101" s="0" t="n">
        <f aca="false">IF(C2101&gt;1,IF(C2101&lt;99,VLOOKUP(C2101,'Babblefish-APUMA'!$A$1:$B$86,2),C2101),C2101)</f>
        <v>96</v>
      </c>
    </row>
    <row r="2102" customFormat="false" ht="12.75" hidden="false" customHeight="false" outlineLevel="0" collapsed="false">
      <c r="A2102" s="0" t="n">
        <f aca="false">B2102*1000+C2102</f>
        <v>36038</v>
      </c>
      <c r="B2102" s="0" t="n">
        <v>36</v>
      </c>
      <c r="C2102" s="0" t="n">
        <v>38</v>
      </c>
      <c r="D2102" s="0" t="n">
        <v>104</v>
      </c>
      <c r="E2102" s="0" t="n">
        <f aca="false">VLOOKUP(B2102,'Babblefish-APUMA'!$A$1:$B$86,2)</f>
        <v>96</v>
      </c>
      <c r="F2102" s="0" t="n">
        <f aca="false">IF(C2102&gt;1,IF(C2102&lt;99,VLOOKUP(C2102,'Babblefish-APUMA'!$A$1:$B$86,2),C2102),C2102)</f>
        <v>91</v>
      </c>
    </row>
    <row r="2103" customFormat="false" ht="12.75" hidden="false" customHeight="false" outlineLevel="0" collapsed="false">
      <c r="A2103" s="0" t="n">
        <f aca="false">B2103*1000+C2103</f>
        <v>36039</v>
      </c>
      <c r="B2103" s="0" t="n">
        <v>36</v>
      </c>
      <c r="C2103" s="0" t="n">
        <v>39</v>
      </c>
      <c r="D2103" s="0" t="n">
        <v>0</v>
      </c>
      <c r="E2103" s="0" t="n">
        <f aca="false">VLOOKUP(B2103,'Babblefish-APUMA'!$A$1:$B$86,2)</f>
        <v>96</v>
      </c>
      <c r="F2103" s="0" t="n">
        <f aca="false">IF(C2103&gt;1,IF(C2103&lt;99,VLOOKUP(C2103,'Babblefish-APUMA'!$A$1:$B$86,2),C2103),C2103)</f>
        <v>91</v>
      </c>
    </row>
    <row r="2104" customFormat="false" ht="12.75" hidden="false" customHeight="false" outlineLevel="0" collapsed="false">
      <c r="A2104" s="0" t="n">
        <f aca="false">B2104*1000+C2104</f>
        <v>36040</v>
      </c>
      <c r="B2104" s="0" t="n">
        <v>36</v>
      </c>
      <c r="C2104" s="0" t="n">
        <v>40</v>
      </c>
      <c r="D2104" s="0" t="n">
        <v>0</v>
      </c>
      <c r="E2104" s="0" t="n">
        <f aca="false">VLOOKUP(B2104,'Babblefish-APUMA'!$A$1:$B$86,2)</f>
        <v>96</v>
      </c>
      <c r="F2104" s="0" t="n">
        <f aca="false">IF(C2104&gt;1,IF(C2104&lt;99,VLOOKUP(C2104,'Babblefish-APUMA'!$A$1:$B$86,2),C2104),C2104)</f>
        <v>88</v>
      </c>
    </row>
    <row r="2105" customFormat="false" ht="12.75" hidden="false" customHeight="false" outlineLevel="0" collapsed="false">
      <c r="A2105" s="0" t="n">
        <f aca="false">B2105*1000+C2105</f>
        <v>36041</v>
      </c>
      <c r="B2105" s="0" t="n">
        <v>36</v>
      </c>
      <c r="C2105" s="0" t="n">
        <v>41</v>
      </c>
      <c r="D2105" s="0" t="n">
        <v>0</v>
      </c>
      <c r="E2105" s="0" t="n">
        <f aca="false">VLOOKUP(B2105,'Babblefish-APUMA'!$A$1:$B$86,2)</f>
        <v>96</v>
      </c>
      <c r="F2105" s="0" t="n">
        <f aca="false">IF(C2105&gt;1,IF(C2105&lt;99,VLOOKUP(C2105,'Babblefish-APUMA'!$A$1:$B$86,2),C2105),C2105)</f>
        <v>88</v>
      </c>
    </row>
    <row r="2106" customFormat="false" ht="12.75" hidden="false" customHeight="false" outlineLevel="0" collapsed="false">
      <c r="A2106" s="0" t="n">
        <f aca="false">B2106*1000+C2106</f>
        <v>36042</v>
      </c>
      <c r="B2106" s="0" t="n">
        <v>36</v>
      </c>
      <c r="C2106" s="0" t="n">
        <v>42</v>
      </c>
      <c r="D2106" s="0" t="n">
        <v>104</v>
      </c>
      <c r="E2106" s="0" t="n">
        <f aca="false">VLOOKUP(B2106,'Babblefish-APUMA'!$A$1:$B$86,2)</f>
        <v>96</v>
      </c>
      <c r="F2106" s="0" t="n">
        <f aca="false">IF(C2106&gt;1,IF(C2106&lt;99,VLOOKUP(C2106,'Babblefish-APUMA'!$A$1:$B$86,2),C2106),C2106)</f>
        <v>92</v>
      </c>
    </row>
    <row r="2107" customFormat="false" ht="12.75" hidden="false" customHeight="false" outlineLevel="0" collapsed="false">
      <c r="A2107" s="0" t="n">
        <f aca="false">B2107*1000+C2107</f>
        <v>36043</v>
      </c>
      <c r="B2107" s="0" t="n">
        <v>36</v>
      </c>
      <c r="C2107" s="0" t="n">
        <v>43</v>
      </c>
      <c r="D2107" s="0" t="n">
        <v>0</v>
      </c>
      <c r="E2107" s="0" t="n">
        <f aca="false">VLOOKUP(B2107,'Babblefish-APUMA'!$A$1:$B$86,2)</f>
        <v>96</v>
      </c>
      <c r="F2107" s="0" t="n">
        <f aca="false">IF(C2107&gt;1,IF(C2107&lt;99,VLOOKUP(C2107,'Babblefish-APUMA'!$A$1:$B$86,2),C2107),C2107)</f>
        <v>92</v>
      </c>
    </row>
    <row r="2108" customFormat="false" ht="12.75" hidden="false" customHeight="false" outlineLevel="0" collapsed="false">
      <c r="A2108" s="0" t="n">
        <f aca="false">B2108*1000+C2108</f>
        <v>36044</v>
      </c>
      <c r="B2108" s="0" t="n">
        <v>36</v>
      </c>
      <c r="C2108" s="0" t="n">
        <v>44</v>
      </c>
      <c r="D2108" s="0" t="n">
        <v>0</v>
      </c>
      <c r="E2108" s="0" t="n">
        <f aca="false">VLOOKUP(B2108,'Babblefish-APUMA'!$A$1:$B$86,2)</f>
        <v>96</v>
      </c>
      <c r="F2108" s="0" t="n">
        <f aca="false">IF(C2108&gt;1,IF(C2108&lt;99,VLOOKUP(C2108,'Babblefish-APUMA'!$A$1:$B$86,2),C2108),C2108)</f>
        <v>92</v>
      </c>
    </row>
    <row r="2109" customFormat="false" ht="12.75" hidden="false" customHeight="false" outlineLevel="0" collapsed="false">
      <c r="A2109" s="0" t="n">
        <f aca="false">B2109*1000+C2109</f>
        <v>36045</v>
      </c>
      <c r="B2109" s="0" t="n">
        <v>36</v>
      </c>
      <c r="C2109" s="0" t="n">
        <v>45</v>
      </c>
      <c r="D2109" s="0" t="n">
        <v>0</v>
      </c>
      <c r="E2109" s="0" t="n">
        <f aca="false">VLOOKUP(B2109,'Babblefish-APUMA'!$A$1:$B$86,2)</f>
        <v>96</v>
      </c>
      <c r="F2109" s="0" t="n">
        <f aca="false">IF(C2109&gt;1,IF(C2109&lt;99,VLOOKUP(C2109,'Babblefish-APUMA'!$A$1:$B$86,2),C2109),C2109)</f>
        <v>92</v>
      </c>
    </row>
    <row r="2110" customFormat="false" ht="12.75" hidden="false" customHeight="false" outlineLevel="0" collapsed="false">
      <c r="A2110" s="0" t="n">
        <f aca="false">B2110*1000+C2110</f>
        <v>36046</v>
      </c>
      <c r="B2110" s="0" t="n">
        <v>36</v>
      </c>
      <c r="C2110" s="0" t="n">
        <v>46</v>
      </c>
      <c r="D2110" s="0" t="n">
        <v>0</v>
      </c>
      <c r="E2110" s="0" t="n">
        <f aca="false">VLOOKUP(B2110,'Babblefish-APUMA'!$A$1:$B$86,2)</f>
        <v>96</v>
      </c>
      <c r="F2110" s="0" t="n">
        <f aca="false">IF(C2110&gt;1,IF(C2110&lt;99,VLOOKUP(C2110,'Babblefish-APUMA'!$A$1:$B$86,2),C2110),C2110)</f>
        <v>92</v>
      </c>
    </row>
    <row r="2111" customFormat="false" ht="12.75" hidden="false" customHeight="false" outlineLevel="0" collapsed="false">
      <c r="A2111" s="0" t="n">
        <f aca="false">B2111*1000+C2111</f>
        <v>36047</v>
      </c>
      <c r="B2111" s="0" t="n">
        <v>36</v>
      </c>
      <c r="C2111" s="0" t="n">
        <v>47</v>
      </c>
      <c r="D2111" s="0" t="n">
        <v>0</v>
      </c>
      <c r="E2111" s="0" t="n">
        <f aca="false">VLOOKUP(B2111,'Babblefish-APUMA'!$A$1:$B$86,2)</f>
        <v>96</v>
      </c>
      <c r="F2111" s="0" t="n">
        <f aca="false">IF(C2111&gt;1,IF(C2111&lt;99,VLOOKUP(C2111,'Babblefish-APUMA'!$A$1:$B$86,2),C2111),C2111)</f>
        <v>92</v>
      </c>
    </row>
    <row r="2112" customFormat="false" ht="12.75" hidden="false" customHeight="false" outlineLevel="0" collapsed="false">
      <c r="A2112" s="0" t="n">
        <f aca="false">B2112*1000+C2112</f>
        <v>36048</v>
      </c>
      <c r="B2112" s="0" t="n">
        <v>36</v>
      </c>
      <c r="C2112" s="0" t="n">
        <v>48</v>
      </c>
      <c r="D2112" s="0" t="n">
        <v>0</v>
      </c>
      <c r="E2112" s="0" t="n">
        <f aca="false">VLOOKUP(B2112,'Babblefish-APUMA'!$A$1:$B$86,2)</f>
        <v>96</v>
      </c>
      <c r="F2112" s="0" t="n">
        <f aca="false">IF(C2112&gt;1,IF(C2112&lt;99,VLOOKUP(C2112,'Babblefish-APUMA'!$A$1:$B$86,2),C2112),C2112)</f>
        <v>92</v>
      </c>
    </row>
    <row r="2113" customFormat="false" ht="12.75" hidden="false" customHeight="false" outlineLevel="0" collapsed="false">
      <c r="A2113" s="0" t="n">
        <f aca="false">B2113*1000+C2113</f>
        <v>36049</v>
      </c>
      <c r="B2113" s="0" t="n">
        <v>36</v>
      </c>
      <c r="C2113" s="0" t="n">
        <v>49</v>
      </c>
      <c r="D2113" s="0" t="n">
        <v>0</v>
      </c>
      <c r="E2113" s="0" t="n">
        <f aca="false">VLOOKUP(B2113,'Babblefish-APUMA'!$A$1:$B$86,2)</f>
        <v>96</v>
      </c>
      <c r="F2113" s="0" t="n">
        <f aca="false">IF(C2113&gt;1,IF(C2113&lt;99,VLOOKUP(C2113,'Babblefish-APUMA'!$A$1:$B$86,2),C2113),C2113)</f>
        <v>98</v>
      </c>
    </row>
    <row r="2114" customFormat="false" ht="12.75" hidden="false" customHeight="false" outlineLevel="0" collapsed="false">
      <c r="A2114" s="0" t="n">
        <f aca="false">B2114*1000+C2114</f>
        <v>36050</v>
      </c>
      <c r="B2114" s="0" t="n">
        <v>36</v>
      </c>
      <c r="C2114" s="0" t="n">
        <v>50</v>
      </c>
      <c r="D2114" s="0" t="n">
        <v>0</v>
      </c>
      <c r="E2114" s="0" t="n">
        <f aca="false">VLOOKUP(B2114,'Babblefish-APUMA'!$A$1:$B$86,2)</f>
        <v>96</v>
      </c>
      <c r="F2114" s="0" t="n">
        <f aca="false">IF(C2114&gt;1,IF(C2114&lt;99,VLOOKUP(C2114,'Babblefish-APUMA'!$A$1:$B$86,2),C2114),C2114)</f>
        <v>98</v>
      </c>
    </row>
    <row r="2115" customFormat="false" ht="12.75" hidden="false" customHeight="false" outlineLevel="0" collapsed="false">
      <c r="A2115" s="0" t="n">
        <f aca="false">B2115*1000+C2115</f>
        <v>36051</v>
      </c>
      <c r="B2115" s="0" t="n">
        <v>36</v>
      </c>
      <c r="C2115" s="0" t="n">
        <v>51</v>
      </c>
      <c r="D2115" s="0" t="n">
        <v>0</v>
      </c>
      <c r="E2115" s="0" t="n">
        <f aca="false">VLOOKUP(B2115,'Babblefish-APUMA'!$A$1:$B$86,2)</f>
        <v>96</v>
      </c>
      <c r="F2115" s="0" t="n">
        <f aca="false">IF(C2115&gt;1,IF(C2115&lt;99,VLOOKUP(C2115,'Babblefish-APUMA'!$A$1:$B$86,2),C2115),C2115)</f>
        <v>98</v>
      </c>
    </row>
    <row r="2116" customFormat="false" ht="12.75" hidden="false" customHeight="false" outlineLevel="0" collapsed="false">
      <c r="A2116" s="0" t="n">
        <f aca="false">B2116*1000+C2116</f>
        <v>36052</v>
      </c>
      <c r="B2116" s="0" t="n">
        <v>36</v>
      </c>
      <c r="C2116" s="0" t="n">
        <v>52</v>
      </c>
      <c r="D2116" s="0" t="n">
        <v>0</v>
      </c>
      <c r="E2116" s="0" t="n">
        <f aca="false">VLOOKUP(B2116,'Babblefish-APUMA'!$A$1:$B$86,2)</f>
        <v>96</v>
      </c>
      <c r="F2116" s="0" t="n">
        <f aca="false">IF(C2116&gt;1,IF(C2116&lt;99,VLOOKUP(C2116,'Babblefish-APUMA'!$A$1:$B$86,2),C2116),C2116)</f>
        <v>90</v>
      </c>
    </row>
    <row r="2117" customFormat="false" ht="12.75" hidden="false" customHeight="false" outlineLevel="0" collapsed="false">
      <c r="A2117" s="0" t="n">
        <f aca="false">B2117*1000+C2117</f>
        <v>36053</v>
      </c>
      <c r="B2117" s="0" t="n">
        <v>36</v>
      </c>
      <c r="C2117" s="0" t="n">
        <v>53</v>
      </c>
      <c r="D2117" s="0" t="n">
        <v>0</v>
      </c>
      <c r="E2117" s="0" t="n">
        <f aca="false">VLOOKUP(B2117,'Babblefish-APUMA'!$A$1:$B$86,2)</f>
        <v>96</v>
      </c>
      <c r="F2117" s="0" t="n">
        <f aca="false">IF(C2117&gt;1,IF(C2117&lt;99,VLOOKUP(C2117,'Babblefish-APUMA'!$A$1:$B$86,2),C2117),C2117)</f>
        <v>90</v>
      </c>
    </row>
    <row r="2118" customFormat="false" ht="12.75" hidden="false" customHeight="false" outlineLevel="0" collapsed="false">
      <c r="A2118" s="0" t="n">
        <f aca="false">B2118*1000+C2118</f>
        <v>36054</v>
      </c>
      <c r="B2118" s="0" t="n">
        <v>36</v>
      </c>
      <c r="C2118" s="0" t="n">
        <v>54</v>
      </c>
      <c r="D2118" s="0" t="n">
        <v>0</v>
      </c>
      <c r="E2118" s="0" t="n">
        <f aca="false">VLOOKUP(B2118,'Babblefish-APUMA'!$A$1:$B$86,2)</f>
        <v>96</v>
      </c>
      <c r="F2118" s="0" t="n">
        <f aca="false">IF(C2118&gt;1,IF(C2118&lt;99,VLOOKUP(C2118,'Babblefish-APUMA'!$A$1:$B$86,2),C2118),C2118)</f>
        <v>90</v>
      </c>
    </row>
    <row r="2119" customFormat="false" ht="12.75" hidden="false" customHeight="false" outlineLevel="0" collapsed="false">
      <c r="A2119" s="0" t="n">
        <f aca="false">B2119*1000+C2119</f>
        <v>36055</v>
      </c>
      <c r="B2119" s="0" t="n">
        <v>36</v>
      </c>
      <c r="C2119" s="0" t="n">
        <v>55</v>
      </c>
      <c r="D2119" s="0" t="n">
        <v>0</v>
      </c>
      <c r="E2119" s="0" t="n">
        <f aca="false">VLOOKUP(B2119,'Babblefish-APUMA'!$A$1:$B$86,2)</f>
        <v>96</v>
      </c>
      <c r="F2119" s="0" t="n">
        <f aca="false">IF(C2119&gt;1,IF(C2119&lt;99,VLOOKUP(C2119,'Babblefish-APUMA'!$A$1:$B$86,2),C2119),C2119)</f>
        <v>90</v>
      </c>
    </row>
    <row r="2120" customFormat="false" ht="12.75" hidden="false" customHeight="false" outlineLevel="0" collapsed="false">
      <c r="A2120" s="0" t="n">
        <f aca="false">B2120*1000+C2120</f>
        <v>36056</v>
      </c>
      <c r="B2120" s="0" t="n">
        <v>36</v>
      </c>
      <c r="C2120" s="0" t="n">
        <v>56</v>
      </c>
      <c r="D2120" s="0" t="n">
        <v>0</v>
      </c>
      <c r="E2120" s="0" t="n">
        <f aca="false">VLOOKUP(B2120,'Babblefish-APUMA'!$A$1:$B$86,2)</f>
        <v>96</v>
      </c>
      <c r="F2120" s="0" t="n">
        <f aca="false">IF(C2120&gt;1,IF(C2120&lt;99,VLOOKUP(C2120,'Babblefish-APUMA'!$A$1:$B$86,2),C2120),C2120)</f>
        <v>90</v>
      </c>
    </row>
    <row r="2121" customFormat="false" ht="12.75" hidden="false" customHeight="false" outlineLevel="0" collapsed="false">
      <c r="A2121" s="0" t="n">
        <f aca="false">B2121*1000+C2121</f>
        <v>36057</v>
      </c>
      <c r="B2121" s="0" t="n">
        <v>36</v>
      </c>
      <c r="C2121" s="0" t="n">
        <v>57</v>
      </c>
      <c r="D2121" s="0" t="n">
        <v>0</v>
      </c>
      <c r="E2121" s="0" t="n">
        <f aca="false">VLOOKUP(B2121,'Babblefish-APUMA'!$A$1:$B$86,2)</f>
        <v>96</v>
      </c>
      <c r="F2121" s="0" t="n">
        <f aca="false">IF(C2121&gt;1,IF(C2121&lt;99,VLOOKUP(C2121,'Babblefish-APUMA'!$A$1:$B$86,2),C2121),C2121)</f>
        <v>90</v>
      </c>
    </row>
    <row r="2122" customFormat="false" ht="12.75" hidden="false" customHeight="false" outlineLevel="0" collapsed="false">
      <c r="A2122" s="0" t="n">
        <f aca="false">B2122*1000+C2122</f>
        <v>36059</v>
      </c>
      <c r="B2122" s="0" t="n">
        <v>36</v>
      </c>
      <c r="C2122" s="0" t="n">
        <v>59</v>
      </c>
      <c r="D2122" s="0" t="n">
        <v>0</v>
      </c>
      <c r="E2122" s="0" t="n">
        <f aca="false">VLOOKUP(B2122,'Babblefish-APUMA'!$A$1:$B$86,2)</f>
        <v>96</v>
      </c>
      <c r="F2122" s="0" t="n">
        <f aca="false">IF(C2122&gt;1,IF(C2122&lt;99,VLOOKUP(C2122,'Babblefish-APUMA'!$A$1:$B$86,2),C2122),C2122)</f>
        <v>90</v>
      </c>
    </row>
    <row r="2123" customFormat="false" ht="12.75" hidden="false" customHeight="false" outlineLevel="0" collapsed="false">
      <c r="A2123" s="0" t="n">
        <f aca="false">B2123*1000+C2123</f>
        <v>36060</v>
      </c>
      <c r="B2123" s="0" t="n">
        <v>36</v>
      </c>
      <c r="C2123" s="0" t="n">
        <v>60</v>
      </c>
      <c r="D2123" s="0" t="n">
        <v>0</v>
      </c>
      <c r="E2123" s="0" t="n">
        <f aca="false">VLOOKUP(B2123,'Babblefish-APUMA'!$A$1:$B$86,2)</f>
        <v>96</v>
      </c>
      <c r="F2123" s="0" t="n">
        <f aca="false">IF(C2123&gt;1,IF(C2123&lt;99,VLOOKUP(C2123,'Babblefish-APUMA'!$A$1:$B$86,2),C2123),C2123)</f>
        <v>90</v>
      </c>
    </row>
    <row r="2124" customFormat="false" ht="12.75" hidden="false" customHeight="false" outlineLevel="0" collapsed="false">
      <c r="A2124" s="0" t="n">
        <f aca="false">B2124*1000+C2124</f>
        <v>36062</v>
      </c>
      <c r="B2124" s="0" t="n">
        <v>36</v>
      </c>
      <c r="C2124" s="0" t="n">
        <v>62</v>
      </c>
      <c r="D2124" s="0" t="n">
        <v>39</v>
      </c>
      <c r="E2124" s="0" t="n">
        <f aca="false">VLOOKUP(B2124,'Babblefish-APUMA'!$A$1:$B$86,2)</f>
        <v>96</v>
      </c>
      <c r="F2124" s="0" t="n">
        <f aca="false">IF(C2124&gt;1,IF(C2124&lt;99,VLOOKUP(C2124,'Babblefish-APUMA'!$A$1:$B$86,2),C2124),C2124)</f>
        <v>90</v>
      </c>
    </row>
    <row r="2125" customFormat="false" ht="12.75" hidden="false" customHeight="false" outlineLevel="0" collapsed="false">
      <c r="A2125" s="0" t="n">
        <f aca="false">B2125*1000+C2125</f>
        <v>36063</v>
      </c>
      <c r="B2125" s="0" t="n">
        <v>36</v>
      </c>
      <c r="C2125" s="0" t="n">
        <v>63</v>
      </c>
      <c r="D2125" s="0" t="n">
        <v>0</v>
      </c>
      <c r="E2125" s="0" t="n">
        <f aca="false">VLOOKUP(B2125,'Babblefish-APUMA'!$A$1:$B$86,2)</f>
        <v>96</v>
      </c>
      <c r="F2125" s="0" t="n">
        <f aca="false">IF(C2125&gt;1,IF(C2125&lt;99,VLOOKUP(C2125,'Babblefish-APUMA'!$A$1:$B$86,2),C2125),C2125)</f>
        <v>90</v>
      </c>
    </row>
    <row r="2126" customFormat="false" ht="12.75" hidden="false" customHeight="false" outlineLevel="0" collapsed="false">
      <c r="A2126" s="0" t="n">
        <f aca="false">B2126*1000+C2126</f>
        <v>36064</v>
      </c>
      <c r="B2126" s="0" t="n">
        <v>36</v>
      </c>
      <c r="C2126" s="0" t="n">
        <v>64</v>
      </c>
      <c r="D2126" s="0" t="n">
        <v>169</v>
      </c>
      <c r="E2126" s="0" t="n">
        <f aca="false">VLOOKUP(B2126,'Babblefish-APUMA'!$A$1:$B$86,2)</f>
        <v>96</v>
      </c>
      <c r="F2126" s="0" t="n">
        <f aca="false">IF(C2126&gt;1,IF(C2126&lt;99,VLOOKUP(C2126,'Babblefish-APUMA'!$A$1:$B$86,2),C2126),C2126)</f>
        <v>90</v>
      </c>
    </row>
    <row r="2127" customFormat="false" ht="12.75" hidden="false" customHeight="false" outlineLevel="0" collapsed="false">
      <c r="A2127" s="0" t="n">
        <f aca="false">B2127*1000+C2127</f>
        <v>36065</v>
      </c>
      <c r="B2127" s="0" t="n">
        <v>36</v>
      </c>
      <c r="C2127" s="0" t="n">
        <v>65</v>
      </c>
      <c r="D2127" s="0" t="n">
        <v>0</v>
      </c>
      <c r="E2127" s="0" t="n">
        <f aca="false">VLOOKUP(B2127,'Babblefish-APUMA'!$A$1:$B$86,2)</f>
        <v>96</v>
      </c>
      <c r="F2127" s="0" t="n">
        <f aca="false">IF(C2127&gt;1,IF(C2127&lt;99,VLOOKUP(C2127,'Babblefish-APUMA'!$A$1:$B$86,2),C2127),C2127)</f>
        <v>90</v>
      </c>
    </row>
    <row r="2128" customFormat="false" ht="12.75" hidden="false" customHeight="false" outlineLevel="0" collapsed="false">
      <c r="A2128" s="0" t="n">
        <f aca="false">B2128*1000+C2128</f>
        <v>36066</v>
      </c>
      <c r="B2128" s="0" t="n">
        <v>36</v>
      </c>
      <c r="C2128" s="0" t="n">
        <v>66</v>
      </c>
      <c r="D2128" s="0" t="n">
        <v>0</v>
      </c>
      <c r="E2128" s="0" t="n">
        <f aca="false">VLOOKUP(B2128,'Babblefish-APUMA'!$A$1:$B$86,2)</f>
        <v>96</v>
      </c>
      <c r="F2128" s="0" t="n">
        <f aca="false">IF(C2128&gt;1,IF(C2128&lt;99,VLOOKUP(C2128,'Babblefish-APUMA'!$A$1:$B$86,2),C2128),C2128)</f>
        <v>90</v>
      </c>
    </row>
    <row r="2129" customFormat="false" ht="12.75" hidden="false" customHeight="false" outlineLevel="0" collapsed="false">
      <c r="A2129" s="0" t="n">
        <f aca="false">B2129*1000+C2129</f>
        <v>36067</v>
      </c>
      <c r="B2129" s="0" t="n">
        <v>36</v>
      </c>
      <c r="C2129" s="0" t="n">
        <v>67</v>
      </c>
      <c r="D2129" s="0" t="n">
        <v>0</v>
      </c>
      <c r="E2129" s="0" t="n">
        <f aca="false">VLOOKUP(B2129,'Babblefish-APUMA'!$A$1:$B$86,2)</f>
        <v>96</v>
      </c>
      <c r="F2129" s="0" t="n">
        <f aca="false">IF(C2129&gt;1,IF(C2129&lt;99,VLOOKUP(C2129,'Babblefish-APUMA'!$A$1:$B$86,2),C2129),C2129)</f>
        <v>103</v>
      </c>
    </row>
    <row r="2130" customFormat="false" ht="12.75" hidden="false" customHeight="false" outlineLevel="0" collapsed="false">
      <c r="A2130" s="0" t="n">
        <f aca="false">B2130*1000+C2130</f>
        <v>36069</v>
      </c>
      <c r="B2130" s="0" t="n">
        <v>36</v>
      </c>
      <c r="C2130" s="0" t="n">
        <v>69</v>
      </c>
      <c r="D2130" s="0" t="n">
        <v>0</v>
      </c>
      <c r="E2130" s="0" t="n">
        <f aca="false">VLOOKUP(B2130,'Babblefish-APUMA'!$A$1:$B$86,2)</f>
        <v>96</v>
      </c>
      <c r="F2130" s="0" t="n">
        <f aca="false">IF(C2130&gt;1,IF(C2130&lt;99,VLOOKUP(C2130,'Babblefish-APUMA'!$A$1:$B$86,2),C2130),C2130)</f>
        <v>93</v>
      </c>
    </row>
    <row r="2131" customFormat="false" ht="12.75" hidden="false" customHeight="false" outlineLevel="0" collapsed="false">
      <c r="A2131" s="0" t="n">
        <f aca="false">B2131*1000+C2131</f>
        <v>36071</v>
      </c>
      <c r="B2131" s="0" t="n">
        <v>36</v>
      </c>
      <c r="C2131" s="0" t="n">
        <v>71</v>
      </c>
      <c r="D2131" s="0" t="n">
        <v>0</v>
      </c>
      <c r="E2131" s="0" t="n">
        <f aca="false">VLOOKUP(B2131,'Babblefish-APUMA'!$A$1:$B$86,2)</f>
        <v>96</v>
      </c>
      <c r="F2131" s="0" t="n">
        <f aca="false">IF(C2131&gt;1,IF(C2131&lt;99,VLOOKUP(C2131,'Babblefish-APUMA'!$A$1:$B$86,2),C2131),C2131)</f>
        <v>95</v>
      </c>
    </row>
    <row r="2132" customFormat="false" ht="12.75" hidden="false" customHeight="false" outlineLevel="0" collapsed="false">
      <c r="A2132" s="0" t="n">
        <f aca="false">B2132*1000+C2132</f>
        <v>36072</v>
      </c>
      <c r="B2132" s="0" t="n">
        <v>36</v>
      </c>
      <c r="C2132" s="0" t="n">
        <v>72</v>
      </c>
      <c r="D2132" s="0" t="n">
        <v>0</v>
      </c>
      <c r="E2132" s="0" t="n">
        <f aca="false">VLOOKUP(B2132,'Babblefish-APUMA'!$A$1:$B$86,2)</f>
        <v>96</v>
      </c>
      <c r="F2132" s="0" t="n">
        <f aca="false">IF(C2132&gt;1,IF(C2132&lt;99,VLOOKUP(C2132,'Babblefish-APUMA'!$A$1:$B$86,2),C2132),C2132)</f>
        <v>95</v>
      </c>
    </row>
    <row r="2133" customFormat="false" ht="12.75" hidden="false" customHeight="false" outlineLevel="0" collapsed="false">
      <c r="A2133" s="0" t="n">
        <f aca="false">B2133*1000+C2133</f>
        <v>36073</v>
      </c>
      <c r="B2133" s="0" t="n">
        <v>36</v>
      </c>
      <c r="C2133" s="0" t="n">
        <v>73</v>
      </c>
      <c r="D2133" s="0" t="n">
        <v>0</v>
      </c>
      <c r="E2133" s="0" t="n">
        <f aca="false">VLOOKUP(B2133,'Babblefish-APUMA'!$A$1:$B$86,2)</f>
        <v>96</v>
      </c>
      <c r="F2133" s="0" t="n">
        <f aca="false">IF(C2133&gt;1,IF(C2133&lt;99,VLOOKUP(C2133,'Babblefish-APUMA'!$A$1:$B$86,2),C2133),C2133)</f>
        <v>99</v>
      </c>
    </row>
    <row r="2134" customFormat="false" ht="12.75" hidden="false" customHeight="false" outlineLevel="0" collapsed="false">
      <c r="A2134" s="0" t="n">
        <f aca="false">B2134*1000+C2134</f>
        <v>36075</v>
      </c>
      <c r="B2134" s="0" t="n">
        <v>36</v>
      </c>
      <c r="C2134" s="0" t="n">
        <v>75</v>
      </c>
      <c r="D2134" s="0" t="n">
        <v>0</v>
      </c>
      <c r="E2134" s="0" t="n">
        <f aca="false">VLOOKUP(B2134,'Babblefish-APUMA'!$A$1:$B$86,2)</f>
        <v>96</v>
      </c>
      <c r="F2134" s="0" t="n">
        <f aca="false">IF(C2134&gt;1,IF(C2134&lt;99,VLOOKUP(C2134,'Babblefish-APUMA'!$A$1:$B$86,2),C2134),C2134)</f>
        <v>75</v>
      </c>
    </row>
    <row r="2135" customFormat="false" ht="12.75" hidden="false" customHeight="false" outlineLevel="0" collapsed="false">
      <c r="A2135" s="0" t="n">
        <f aca="false">B2135*1000+C2135</f>
        <v>36076</v>
      </c>
      <c r="B2135" s="0" t="n">
        <v>36</v>
      </c>
      <c r="C2135" s="0" t="n">
        <v>76</v>
      </c>
      <c r="D2135" s="0" t="n">
        <v>0</v>
      </c>
      <c r="E2135" s="0" t="n">
        <f aca="false">VLOOKUP(B2135,'Babblefish-APUMA'!$A$1:$B$86,2)</f>
        <v>96</v>
      </c>
      <c r="F2135" s="0" t="n">
        <f aca="false">IF(C2135&gt;1,IF(C2135&lt;99,VLOOKUP(C2135,'Babblefish-APUMA'!$A$1:$B$86,2),C2135),C2135)</f>
        <v>76</v>
      </c>
    </row>
    <row r="2136" customFormat="false" ht="12.75" hidden="false" customHeight="false" outlineLevel="0" collapsed="false">
      <c r="A2136" s="0" t="n">
        <f aca="false">B2136*1000+C2136</f>
        <v>36077</v>
      </c>
      <c r="B2136" s="0" t="n">
        <v>36</v>
      </c>
      <c r="C2136" s="0" t="n">
        <v>77</v>
      </c>
      <c r="D2136" s="0" t="n">
        <v>0</v>
      </c>
      <c r="E2136" s="0" t="n">
        <f aca="false">VLOOKUP(B2136,'Babblefish-APUMA'!$A$1:$B$86,2)</f>
        <v>96</v>
      </c>
      <c r="F2136" s="0" t="n">
        <f aca="false">IF(C2136&gt;1,IF(C2136&lt;99,VLOOKUP(C2136,'Babblefish-APUMA'!$A$1:$B$86,2),C2136),C2136)</f>
        <v>77</v>
      </c>
    </row>
    <row r="2137" customFormat="false" ht="12.75" hidden="false" customHeight="false" outlineLevel="0" collapsed="false">
      <c r="A2137" s="0" t="n">
        <f aca="false">B2137*1000+C2137</f>
        <v>36079</v>
      </c>
      <c r="B2137" s="0" t="n">
        <v>36</v>
      </c>
      <c r="C2137" s="0" t="n">
        <v>79</v>
      </c>
      <c r="D2137" s="0" t="n">
        <v>0</v>
      </c>
      <c r="E2137" s="0" t="n">
        <f aca="false">VLOOKUP(B2137,'Babblefish-APUMA'!$A$1:$B$86,2)</f>
        <v>96</v>
      </c>
      <c r="F2137" s="0" t="n">
        <f aca="false">IF(C2137&gt;1,IF(C2137&lt;99,VLOOKUP(C2137,'Babblefish-APUMA'!$A$1:$B$86,2),C2137),C2137)</f>
        <v>89</v>
      </c>
    </row>
    <row r="2138" customFormat="false" ht="12.75" hidden="false" customHeight="false" outlineLevel="0" collapsed="false">
      <c r="A2138" s="0" t="n">
        <f aca="false">B2138*1000+C2138</f>
        <v>36080</v>
      </c>
      <c r="B2138" s="0" t="n">
        <v>36</v>
      </c>
      <c r="C2138" s="0" t="n">
        <v>80</v>
      </c>
      <c r="D2138" s="0" t="n">
        <v>0</v>
      </c>
      <c r="E2138" s="0" t="n">
        <f aca="false">VLOOKUP(B2138,'Babblefish-APUMA'!$A$1:$B$86,2)</f>
        <v>96</v>
      </c>
      <c r="F2138" s="0" t="n">
        <f aca="false">IF(C2138&gt;1,IF(C2138&lt;99,VLOOKUP(C2138,'Babblefish-APUMA'!$A$1:$B$86,2),C2138),C2138)</f>
        <v>80</v>
      </c>
    </row>
    <row r="2139" customFormat="false" ht="12.75" hidden="false" customHeight="false" outlineLevel="0" collapsed="false">
      <c r="A2139" s="0" t="n">
        <f aca="false">B2139*1000+C2139</f>
        <v>36082</v>
      </c>
      <c r="B2139" s="0" t="n">
        <v>36</v>
      </c>
      <c r="C2139" s="0" t="n">
        <v>82</v>
      </c>
      <c r="D2139" s="0" t="n">
        <v>0</v>
      </c>
      <c r="E2139" s="0" t="n">
        <f aca="false">VLOOKUP(B2139,'Babblefish-APUMA'!$A$1:$B$86,2)</f>
        <v>96</v>
      </c>
      <c r="F2139" s="0" t="n">
        <f aca="false">IF(C2139&gt;1,IF(C2139&lt;99,VLOOKUP(C2139,'Babblefish-APUMA'!$A$1:$B$86,2),C2139),C2139)</f>
        <v>95</v>
      </c>
    </row>
    <row r="2140" customFormat="false" ht="12.75" hidden="false" customHeight="false" outlineLevel="0" collapsed="false">
      <c r="A2140" s="0" t="n">
        <f aca="false">B2140*1000+C2140</f>
        <v>36083</v>
      </c>
      <c r="B2140" s="0" t="n">
        <v>36</v>
      </c>
      <c r="C2140" s="0" t="n">
        <v>83</v>
      </c>
      <c r="D2140" s="0" t="n">
        <v>0</v>
      </c>
      <c r="E2140" s="0" t="n">
        <f aca="false">VLOOKUP(B2140,'Babblefish-APUMA'!$A$1:$B$86,2)</f>
        <v>96</v>
      </c>
      <c r="F2140" s="0" t="n">
        <f aca="false">IF(C2140&gt;1,IF(C2140&lt;99,VLOOKUP(C2140,'Babblefish-APUMA'!$A$1:$B$86,2),C2140),C2140)</f>
        <v>103</v>
      </c>
    </row>
    <row r="2141" customFormat="false" ht="12.75" hidden="false" customHeight="false" outlineLevel="0" collapsed="false">
      <c r="A2141" s="0" t="n">
        <f aca="false">B2141*1000+C2141</f>
        <v>36084</v>
      </c>
      <c r="B2141" s="0" t="n">
        <v>36</v>
      </c>
      <c r="C2141" s="0" t="n">
        <v>84</v>
      </c>
      <c r="D2141" s="0" t="n">
        <v>0</v>
      </c>
      <c r="E2141" s="0" t="n">
        <f aca="false">VLOOKUP(B2141,'Babblefish-APUMA'!$A$1:$B$86,2)</f>
        <v>96</v>
      </c>
      <c r="F2141" s="0" t="n">
        <f aca="false">IF(C2141&gt;1,IF(C2141&lt;99,VLOOKUP(C2141,'Babblefish-APUMA'!$A$1:$B$86,2),C2141),C2141)</f>
        <v>92</v>
      </c>
    </row>
    <row r="2142" customFormat="false" ht="12.75" hidden="false" customHeight="false" outlineLevel="0" collapsed="false">
      <c r="A2142" s="0" t="n">
        <f aca="false">B2142*1000+C2142</f>
        <v>36085</v>
      </c>
      <c r="B2142" s="0" t="n">
        <v>36</v>
      </c>
      <c r="C2142" s="0" t="n">
        <v>85</v>
      </c>
      <c r="D2142" s="0" t="n">
        <v>0</v>
      </c>
      <c r="E2142" s="0" t="n">
        <f aca="false">VLOOKUP(B2142,'Babblefish-APUMA'!$A$1:$B$86,2)</f>
        <v>96</v>
      </c>
      <c r="F2142" s="0" t="n">
        <f aca="false">IF(C2142&gt;1,IF(C2142&lt;99,VLOOKUP(C2142,'Babblefish-APUMA'!$A$1:$B$86,2),C2142),C2142)</f>
        <v>97</v>
      </c>
    </row>
    <row r="2143" customFormat="false" ht="12.75" hidden="false" customHeight="false" outlineLevel="0" collapsed="false">
      <c r="A2143" s="0" t="n">
        <f aca="false">B2143*1000+C2143</f>
        <v>36858</v>
      </c>
      <c r="B2143" s="0" t="n">
        <v>36</v>
      </c>
      <c r="C2143" s="0" t="n">
        <v>858</v>
      </c>
      <c r="D2143" s="0" t="n">
        <v>0</v>
      </c>
      <c r="E2143" s="0" t="n">
        <f aca="false">VLOOKUP(B2143,'Babblefish-APUMA'!$A$1:$B$86,2)</f>
        <v>96</v>
      </c>
      <c r="F2143" s="0" t="n">
        <f aca="false">IF(C2143&gt;1,IF(C2143&lt;99,VLOOKUP(C2143,'Babblefish-APUMA'!$A$1:$B$86,2),C2143),C2143)</f>
        <v>858</v>
      </c>
    </row>
    <row r="2144" customFormat="false" ht="12.75" hidden="false" customHeight="false" outlineLevel="0" collapsed="false">
      <c r="A2144" s="0" t="n">
        <f aca="false">B2144*1000+C2144</f>
        <v>36983</v>
      </c>
      <c r="B2144" s="0" t="n">
        <v>36</v>
      </c>
      <c r="C2144" s="0" t="n">
        <v>983</v>
      </c>
      <c r="D2144" s="0" t="n">
        <v>0</v>
      </c>
      <c r="E2144" s="0" t="n">
        <f aca="false">VLOOKUP(B2144,'Babblefish-APUMA'!$A$1:$B$86,2)</f>
        <v>96</v>
      </c>
      <c r="F2144" s="0" t="n">
        <f aca="false">IF(C2144&gt;1,IF(C2144&lt;99,VLOOKUP(C2144,'Babblefish-APUMA'!$A$1:$B$86,2),C2144),C2144)</f>
        <v>983</v>
      </c>
    </row>
    <row r="2145" customFormat="false" ht="12.75" hidden="false" customHeight="false" outlineLevel="0" collapsed="false">
      <c r="A2145" s="0" t="n">
        <f aca="false">B2145*1000+C2145</f>
        <v>36999</v>
      </c>
      <c r="B2145" s="0" t="n">
        <v>36</v>
      </c>
      <c r="C2145" s="0" t="n">
        <v>999</v>
      </c>
      <c r="D2145" s="0" t="n">
        <v>728</v>
      </c>
      <c r="E2145" s="0" t="n">
        <f aca="false">VLOOKUP(B2145,'Babblefish-APUMA'!$A$1:$B$86,2)</f>
        <v>96</v>
      </c>
      <c r="F2145" s="0" t="n">
        <f aca="false">IF(C2145&gt;1,IF(C2145&lt;99,VLOOKUP(C2145,'Babblefish-APUMA'!$A$1:$B$86,2),C2145),C2145)</f>
        <v>999</v>
      </c>
    </row>
    <row r="2146" customFormat="false" ht="12.75" hidden="false" customHeight="false" outlineLevel="0" collapsed="false">
      <c r="A2146" s="0" t="n">
        <f aca="false">B2146*1000+C2146</f>
        <v>37000</v>
      </c>
      <c r="B2146" s="0" t="n">
        <v>37</v>
      </c>
      <c r="C2146" s="0" t="n">
        <v>0</v>
      </c>
      <c r="D2146" s="0" t="n">
        <v>520962</v>
      </c>
      <c r="E2146" s="0" t="n">
        <f aca="false">VLOOKUP(B2146,'Babblefish-APUMA'!$A$1:$B$86,2)</f>
        <v>96</v>
      </c>
      <c r="F2146" s="0" t="n">
        <f aca="false">IF(C2146&gt;1,IF(C2146&lt;99,VLOOKUP(C2146,'Babblefish-APUMA'!$A$1:$B$86,2),C2146),C2146)</f>
        <v>0</v>
      </c>
    </row>
    <row r="2147" customFormat="false" ht="12.75" hidden="false" customHeight="false" outlineLevel="0" collapsed="false">
      <c r="A2147" s="0" t="n">
        <f aca="false">B2147*1000+C2147</f>
        <v>37001</v>
      </c>
      <c r="B2147" s="0" t="n">
        <v>37</v>
      </c>
      <c r="C2147" s="0" t="n">
        <v>1</v>
      </c>
      <c r="D2147" s="0" t="n">
        <v>403</v>
      </c>
      <c r="E2147" s="0" t="n">
        <f aca="false">VLOOKUP(B2147,'Babblefish-APUMA'!$A$1:$B$86,2)</f>
        <v>96</v>
      </c>
      <c r="F2147" s="0" t="n">
        <f aca="false">IF(C2147&gt;1,IF(C2147&lt;99,VLOOKUP(C2147,'Babblefish-APUMA'!$A$1:$B$86,2),C2147),C2147)</f>
        <v>1</v>
      </c>
    </row>
    <row r="2148" customFormat="false" ht="12.75" hidden="false" customHeight="false" outlineLevel="0" collapsed="false">
      <c r="A2148" s="0" t="n">
        <f aca="false">B2148*1000+C2148</f>
        <v>37002</v>
      </c>
      <c r="B2148" s="0" t="n">
        <v>37</v>
      </c>
      <c r="C2148" s="0" t="n">
        <v>2</v>
      </c>
      <c r="D2148" s="0" t="n">
        <v>169</v>
      </c>
      <c r="E2148" s="0" t="n">
        <f aca="false">VLOOKUP(B2148,'Babblefish-APUMA'!$A$1:$B$86,2)</f>
        <v>96</v>
      </c>
      <c r="F2148" s="0" t="n">
        <f aca="false">IF(C2148&gt;1,IF(C2148&lt;99,VLOOKUP(C2148,'Babblefish-APUMA'!$A$1:$B$86,2),C2148),C2148)</f>
        <v>2</v>
      </c>
    </row>
    <row r="2149" customFormat="false" ht="12.75" hidden="false" customHeight="false" outlineLevel="0" collapsed="false">
      <c r="A2149" s="0" t="n">
        <f aca="false">B2149*1000+C2149</f>
        <v>37003</v>
      </c>
      <c r="B2149" s="0" t="n">
        <v>37</v>
      </c>
      <c r="C2149" s="0" t="n">
        <v>3</v>
      </c>
      <c r="D2149" s="0" t="n">
        <v>130</v>
      </c>
      <c r="E2149" s="0" t="n">
        <f aca="false">VLOOKUP(B2149,'Babblefish-APUMA'!$A$1:$B$86,2)</f>
        <v>96</v>
      </c>
      <c r="F2149" s="0" t="n">
        <f aca="false">IF(C2149&gt;1,IF(C2149&lt;99,VLOOKUP(C2149,'Babblefish-APUMA'!$A$1:$B$86,2),C2149),C2149)</f>
        <v>3</v>
      </c>
    </row>
    <row r="2150" customFormat="false" ht="12.75" hidden="false" customHeight="false" outlineLevel="0" collapsed="false">
      <c r="A2150" s="0" t="n">
        <f aca="false">B2150*1000+C2150</f>
        <v>37004</v>
      </c>
      <c r="B2150" s="0" t="n">
        <v>37</v>
      </c>
      <c r="C2150" s="0" t="n">
        <v>4</v>
      </c>
      <c r="D2150" s="0" t="n">
        <v>260</v>
      </c>
      <c r="E2150" s="0" t="n">
        <f aca="false">VLOOKUP(B2150,'Babblefish-APUMA'!$A$1:$B$86,2)</f>
        <v>96</v>
      </c>
      <c r="F2150" s="0" t="n">
        <f aca="false">IF(C2150&gt;1,IF(C2150&lt;99,VLOOKUP(C2150,'Babblefish-APUMA'!$A$1:$B$86,2),C2150),C2150)</f>
        <v>4</v>
      </c>
    </row>
    <row r="2151" customFormat="false" ht="12.75" hidden="false" customHeight="false" outlineLevel="0" collapsed="false">
      <c r="A2151" s="0" t="n">
        <f aca="false">B2151*1000+C2151</f>
        <v>37005</v>
      </c>
      <c r="B2151" s="0" t="n">
        <v>37</v>
      </c>
      <c r="C2151" s="0" t="n">
        <v>5</v>
      </c>
      <c r="D2151" s="0" t="n">
        <v>78</v>
      </c>
      <c r="E2151" s="0" t="n">
        <f aca="false">VLOOKUP(B2151,'Babblefish-APUMA'!$A$1:$B$86,2)</f>
        <v>96</v>
      </c>
      <c r="F2151" s="0" t="n">
        <f aca="false">IF(C2151&gt;1,IF(C2151&lt;99,VLOOKUP(C2151,'Babblefish-APUMA'!$A$1:$B$86,2),C2151),C2151)</f>
        <v>5</v>
      </c>
    </row>
    <row r="2152" customFormat="false" ht="12.75" hidden="false" customHeight="false" outlineLevel="0" collapsed="false">
      <c r="A2152" s="0" t="n">
        <f aca="false">B2152*1000+C2152</f>
        <v>37006</v>
      </c>
      <c r="B2152" s="0" t="n">
        <v>37</v>
      </c>
      <c r="C2152" s="0" t="n">
        <v>6</v>
      </c>
      <c r="D2152" s="0" t="n">
        <v>0</v>
      </c>
      <c r="E2152" s="0" t="n">
        <f aca="false">VLOOKUP(B2152,'Babblefish-APUMA'!$A$1:$B$86,2)</f>
        <v>96</v>
      </c>
      <c r="F2152" s="0" t="n">
        <f aca="false">IF(C2152&gt;1,IF(C2152&lt;99,VLOOKUP(C2152,'Babblefish-APUMA'!$A$1:$B$86,2),C2152),C2152)</f>
        <v>6</v>
      </c>
    </row>
    <row r="2153" customFormat="false" ht="12.75" hidden="false" customHeight="false" outlineLevel="0" collapsed="false">
      <c r="A2153" s="0" t="n">
        <f aca="false">B2153*1000+C2153</f>
        <v>37007</v>
      </c>
      <c r="B2153" s="0" t="n">
        <v>37</v>
      </c>
      <c r="C2153" s="0" t="n">
        <v>7</v>
      </c>
      <c r="D2153" s="0" t="n">
        <v>143</v>
      </c>
      <c r="E2153" s="0" t="n">
        <f aca="false">VLOOKUP(B2153,'Babblefish-APUMA'!$A$1:$B$86,2)</f>
        <v>96</v>
      </c>
      <c r="F2153" s="0" t="n">
        <f aca="false">IF(C2153&gt;1,IF(C2153&lt;99,VLOOKUP(C2153,'Babblefish-APUMA'!$A$1:$B$86,2),C2153),C2153)</f>
        <v>7</v>
      </c>
    </row>
    <row r="2154" customFormat="false" ht="12.75" hidden="false" customHeight="false" outlineLevel="0" collapsed="false">
      <c r="A2154" s="0" t="n">
        <f aca="false">B2154*1000+C2154</f>
        <v>37008</v>
      </c>
      <c r="B2154" s="0" t="n">
        <v>37</v>
      </c>
      <c r="C2154" s="0" t="n">
        <v>8</v>
      </c>
      <c r="D2154" s="0" t="n">
        <v>156</v>
      </c>
      <c r="E2154" s="0" t="n">
        <f aca="false">VLOOKUP(B2154,'Babblefish-APUMA'!$A$1:$B$86,2)</f>
        <v>96</v>
      </c>
      <c r="F2154" s="0" t="n">
        <f aca="false">IF(C2154&gt;1,IF(C2154&lt;99,VLOOKUP(C2154,'Babblefish-APUMA'!$A$1:$B$86,2),C2154),C2154)</f>
        <v>8</v>
      </c>
    </row>
    <row r="2155" customFormat="false" ht="12.75" hidden="false" customHeight="false" outlineLevel="0" collapsed="false">
      <c r="A2155" s="0" t="n">
        <f aca="false">B2155*1000+C2155</f>
        <v>37009</v>
      </c>
      <c r="B2155" s="0" t="n">
        <v>37</v>
      </c>
      <c r="C2155" s="0" t="n">
        <v>9</v>
      </c>
      <c r="D2155" s="0" t="n">
        <v>0</v>
      </c>
      <c r="E2155" s="0" t="n">
        <f aca="false">VLOOKUP(B2155,'Babblefish-APUMA'!$A$1:$B$86,2)</f>
        <v>96</v>
      </c>
      <c r="F2155" s="0" t="n">
        <f aca="false">IF(C2155&gt;1,IF(C2155&lt;99,VLOOKUP(C2155,'Babblefish-APUMA'!$A$1:$B$86,2),C2155),C2155)</f>
        <v>9</v>
      </c>
    </row>
    <row r="2156" customFormat="false" ht="12.75" hidden="false" customHeight="false" outlineLevel="0" collapsed="false">
      <c r="A2156" s="0" t="n">
        <f aca="false">B2156*1000+C2156</f>
        <v>37010</v>
      </c>
      <c r="B2156" s="0" t="n">
        <v>37</v>
      </c>
      <c r="C2156" s="0" t="n">
        <v>10</v>
      </c>
      <c r="D2156" s="0" t="n">
        <v>0</v>
      </c>
      <c r="E2156" s="0" t="n">
        <f aca="false">VLOOKUP(B2156,'Babblefish-APUMA'!$A$1:$B$86,2)</f>
        <v>96</v>
      </c>
      <c r="F2156" s="0" t="n">
        <f aca="false">IF(C2156&gt;1,IF(C2156&lt;99,VLOOKUP(C2156,'Babblefish-APUMA'!$A$1:$B$86,2),C2156),C2156)</f>
        <v>10</v>
      </c>
    </row>
    <row r="2157" customFormat="false" ht="12.75" hidden="false" customHeight="false" outlineLevel="0" collapsed="false">
      <c r="A2157" s="0" t="n">
        <f aca="false">B2157*1000+C2157</f>
        <v>37011</v>
      </c>
      <c r="B2157" s="0" t="n">
        <v>37</v>
      </c>
      <c r="C2157" s="0" t="n">
        <v>11</v>
      </c>
      <c r="D2157" s="0" t="n">
        <v>65</v>
      </c>
      <c r="E2157" s="0" t="n">
        <f aca="false">VLOOKUP(B2157,'Babblefish-APUMA'!$A$1:$B$86,2)</f>
        <v>96</v>
      </c>
      <c r="F2157" s="0" t="n">
        <f aca="false">IF(C2157&gt;1,IF(C2157&lt;99,VLOOKUP(C2157,'Babblefish-APUMA'!$A$1:$B$86,2),C2157),C2157)</f>
        <v>11</v>
      </c>
    </row>
    <row r="2158" customFormat="false" ht="12.75" hidden="false" customHeight="false" outlineLevel="0" collapsed="false">
      <c r="A2158" s="0" t="n">
        <f aca="false">B2158*1000+C2158</f>
        <v>37012</v>
      </c>
      <c r="B2158" s="0" t="n">
        <v>37</v>
      </c>
      <c r="C2158" s="0" t="n">
        <v>12</v>
      </c>
      <c r="D2158" s="0" t="n">
        <v>0</v>
      </c>
      <c r="E2158" s="0" t="n">
        <f aca="false">VLOOKUP(B2158,'Babblefish-APUMA'!$A$1:$B$86,2)</f>
        <v>96</v>
      </c>
      <c r="F2158" s="0" t="n">
        <f aca="false">IF(C2158&gt;1,IF(C2158&lt;99,VLOOKUP(C2158,'Babblefish-APUMA'!$A$1:$B$86,2),C2158),C2158)</f>
        <v>12</v>
      </c>
    </row>
    <row r="2159" customFormat="false" ht="12.75" hidden="false" customHeight="false" outlineLevel="0" collapsed="false">
      <c r="A2159" s="0" t="n">
        <f aca="false">B2159*1000+C2159</f>
        <v>37013</v>
      </c>
      <c r="B2159" s="0" t="n">
        <v>37</v>
      </c>
      <c r="C2159" s="0" t="n">
        <v>13</v>
      </c>
      <c r="D2159" s="0" t="n">
        <v>0</v>
      </c>
      <c r="E2159" s="0" t="n">
        <f aca="false">VLOOKUP(B2159,'Babblefish-APUMA'!$A$1:$B$86,2)</f>
        <v>96</v>
      </c>
      <c r="F2159" s="0" t="n">
        <f aca="false">IF(C2159&gt;1,IF(C2159&lt;99,VLOOKUP(C2159,'Babblefish-APUMA'!$A$1:$B$86,2),C2159),C2159)</f>
        <v>100</v>
      </c>
    </row>
    <row r="2160" customFormat="false" ht="12.75" hidden="false" customHeight="false" outlineLevel="0" collapsed="false">
      <c r="A2160" s="0" t="n">
        <f aca="false">B2160*1000+C2160</f>
        <v>37014</v>
      </c>
      <c r="B2160" s="0" t="n">
        <v>37</v>
      </c>
      <c r="C2160" s="0" t="n">
        <v>14</v>
      </c>
      <c r="D2160" s="0" t="n">
        <v>0</v>
      </c>
      <c r="E2160" s="0" t="n">
        <f aca="false">VLOOKUP(B2160,'Babblefish-APUMA'!$A$1:$B$86,2)</f>
        <v>96</v>
      </c>
      <c r="F2160" s="0" t="n">
        <f aca="false">IF(C2160&gt;1,IF(C2160&lt;99,VLOOKUP(C2160,'Babblefish-APUMA'!$A$1:$B$86,2),C2160),C2160)</f>
        <v>100</v>
      </c>
    </row>
    <row r="2161" customFormat="false" ht="12.75" hidden="false" customHeight="false" outlineLevel="0" collapsed="false">
      <c r="A2161" s="0" t="n">
        <f aca="false">B2161*1000+C2161</f>
        <v>37015</v>
      </c>
      <c r="B2161" s="0" t="n">
        <v>37</v>
      </c>
      <c r="C2161" s="0" t="n">
        <v>15</v>
      </c>
      <c r="D2161" s="0" t="n">
        <v>143</v>
      </c>
      <c r="E2161" s="0" t="n">
        <f aca="false">VLOOKUP(B2161,'Babblefish-APUMA'!$A$1:$B$86,2)</f>
        <v>96</v>
      </c>
      <c r="F2161" s="0" t="n">
        <f aca="false">IF(C2161&gt;1,IF(C2161&lt;99,VLOOKUP(C2161,'Babblefish-APUMA'!$A$1:$B$86,2),C2161),C2161)</f>
        <v>15</v>
      </c>
    </row>
    <row r="2162" customFormat="false" ht="12.75" hidden="false" customHeight="false" outlineLevel="0" collapsed="false">
      <c r="A2162" s="0" t="n">
        <f aca="false">B2162*1000+C2162</f>
        <v>37016</v>
      </c>
      <c r="B2162" s="0" t="n">
        <v>37</v>
      </c>
      <c r="C2162" s="0" t="n">
        <v>16</v>
      </c>
      <c r="D2162" s="0" t="n">
        <v>0</v>
      </c>
      <c r="E2162" s="0" t="n">
        <f aca="false">VLOOKUP(B2162,'Babblefish-APUMA'!$A$1:$B$86,2)</f>
        <v>96</v>
      </c>
      <c r="F2162" s="0" t="n">
        <f aca="false">IF(C2162&gt;1,IF(C2162&lt;99,VLOOKUP(C2162,'Babblefish-APUMA'!$A$1:$B$86,2),C2162),C2162)</f>
        <v>99</v>
      </c>
    </row>
    <row r="2163" customFormat="false" ht="12.75" hidden="false" customHeight="false" outlineLevel="0" collapsed="false">
      <c r="A2163" s="0" t="n">
        <f aca="false">B2163*1000+C2163</f>
        <v>37017</v>
      </c>
      <c r="B2163" s="0" t="n">
        <v>37</v>
      </c>
      <c r="C2163" s="0" t="n">
        <v>17</v>
      </c>
      <c r="D2163" s="0" t="n">
        <v>91</v>
      </c>
      <c r="E2163" s="0" t="n">
        <f aca="false">VLOOKUP(B2163,'Babblefish-APUMA'!$A$1:$B$86,2)</f>
        <v>96</v>
      </c>
      <c r="F2163" s="0" t="n">
        <f aca="false">IF(C2163&gt;1,IF(C2163&lt;99,VLOOKUP(C2163,'Babblefish-APUMA'!$A$1:$B$86,2),C2163),C2163)</f>
        <v>87</v>
      </c>
    </row>
    <row r="2164" customFormat="false" ht="12.75" hidden="false" customHeight="false" outlineLevel="0" collapsed="false">
      <c r="A2164" s="0" t="n">
        <f aca="false">B2164*1000+C2164</f>
        <v>37018</v>
      </c>
      <c r="B2164" s="0" t="n">
        <v>37</v>
      </c>
      <c r="C2164" s="0" t="n">
        <v>18</v>
      </c>
      <c r="D2164" s="0" t="n">
        <v>91</v>
      </c>
      <c r="E2164" s="0" t="n">
        <f aca="false">VLOOKUP(B2164,'Babblefish-APUMA'!$A$1:$B$86,2)</f>
        <v>96</v>
      </c>
      <c r="F2164" s="0" t="n">
        <f aca="false">IF(C2164&gt;1,IF(C2164&lt;99,VLOOKUP(C2164,'Babblefish-APUMA'!$A$1:$B$86,2),C2164),C2164)</f>
        <v>87</v>
      </c>
    </row>
    <row r="2165" customFormat="false" ht="12.75" hidden="false" customHeight="false" outlineLevel="0" collapsed="false">
      <c r="A2165" s="0" t="n">
        <f aca="false">B2165*1000+C2165</f>
        <v>37019</v>
      </c>
      <c r="B2165" s="0" t="n">
        <v>37</v>
      </c>
      <c r="C2165" s="0" t="n">
        <v>19</v>
      </c>
      <c r="D2165" s="0" t="n">
        <v>403</v>
      </c>
      <c r="E2165" s="0" t="n">
        <f aca="false">VLOOKUP(B2165,'Babblefish-APUMA'!$A$1:$B$86,2)</f>
        <v>96</v>
      </c>
      <c r="F2165" s="0" t="n">
        <f aca="false">IF(C2165&gt;1,IF(C2165&lt;99,VLOOKUP(C2165,'Babblefish-APUMA'!$A$1:$B$86,2),C2165),C2165)</f>
        <v>19</v>
      </c>
    </row>
    <row r="2166" customFormat="false" ht="12.75" hidden="false" customHeight="false" outlineLevel="0" collapsed="false">
      <c r="A2166" s="0" t="n">
        <f aca="false">B2166*1000+C2166</f>
        <v>37020</v>
      </c>
      <c r="B2166" s="0" t="n">
        <v>37</v>
      </c>
      <c r="C2166" s="0" t="n">
        <v>20</v>
      </c>
      <c r="D2166" s="0" t="n">
        <v>0</v>
      </c>
      <c r="E2166" s="0" t="n">
        <f aca="false">VLOOKUP(B2166,'Babblefish-APUMA'!$A$1:$B$86,2)</f>
        <v>96</v>
      </c>
      <c r="F2166" s="0" t="n">
        <f aca="false">IF(C2166&gt;1,IF(C2166&lt;99,VLOOKUP(C2166,'Babblefish-APUMA'!$A$1:$B$86,2),C2166),C2166)</f>
        <v>86</v>
      </c>
    </row>
    <row r="2167" customFormat="false" ht="12.75" hidden="false" customHeight="false" outlineLevel="0" collapsed="false">
      <c r="A2167" s="0" t="n">
        <f aca="false">B2167*1000+C2167</f>
        <v>37021</v>
      </c>
      <c r="B2167" s="0" t="n">
        <v>37</v>
      </c>
      <c r="C2167" s="0" t="n">
        <v>21</v>
      </c>
      <c r="D2167" s="0" t="n">
        <v>377</v>
      </c>
      <c r="E2167" s="0" t="n">
        <f aca="false">VLOOKUP(B2167,'Babblefish-APUMA'!$A$1:$B$86,2)</f>
        <v>96</v>
      </c>
      <c r="F2167" s="0" t="n">
        <f aca="false">IF(C2167&gt;1,IF(C2167&lt;99,VLOOKUP(C2167,'Babblefish-APUMA'!$A$1:$B$86,2),C2167),C2167)</f>
        <v>86</v>
      </c>
    </row>
    <row r="2168" customFormat="false" ht="12.75" hidden="false" customHeight="false" outlineLevel="0" collapsed="false">
      <c r="A2168" s="0" t="n">
        <f aca="false">B2168*1000+C2168</f>
        <v>37022</v>
      </c>
      <c r="B2168" s="0" t="n">
        <v>37</v>
      </c>
      <c r="C2168" s="0" t="n">
        <v>22</v>
      </c>
      <c r="D2168" s="0" t="n">
        <v>390</v>
      </c>
      <c r="E2168" s="0" t="n">
        <f aca="false">VLOOKUP(B2168,'Babblefish-APUMA'!$A$1:$B$86,2)</f>
        <v>96</v>
      </c>
      <c r="F2168" s="0" t="n">
        <f aca="false">IF(C2168&gt;1,IF(C2168&lt;99,VLOOKUP(C2168,'Babblefish-APUMA'!$A$1:$B$86,2),C2168),C2168)</f>
        <v>22</v>
      </c>
    </row>
    <row r="2169" customFormat="false" ht="12.75" hidden="false" customHeight="false" outlineLevel="0" collapsed="false">
      <c r="A2169" s="0" t="n">
        <f aca="false">B2169*1000+C2169</f>
        <v>37023</v>
      </c>
      <c r="B2169" s="0" t="n">
        <v>37</v>
      </c>
      <c r="C2169" s="0" t="n">
        <v>23</v>
      </c>
      <c r="D2169" s="0" t="n">
        <v>0</v>
      </c>
      <c r="E2169" s="0" t="n">
        <f aca="false">VLOOKUP(B2169,'Babblefish-APUMA'!$A$1:$B$86,2)</f>
        <v>96</v>
      </c>
      <c r="F2169" s="0" t="n">
        <f aca="false">IF(C2169&gt;1,IF(C2169&lt;99,VLOOKUP(C2169,'Babblefish-APUMA'!$A$1:$B$86,2),C2169),C2169)</f>
        <v>97</v>
      </c>
    </row>
    <row r="2170" customFormat="false" ht="12.75" hidden="false" customHeight="false" outlineLevel="0" collapsed="false">
      <c r="A2170" s="0" t="n">
        <f aca="false">B2170*1000+C2170</f>
        <v>37024</v>
      </c>
      <c r="B2170" s="0" t="n">
        <v>37</v>
      </c>
      <c r="C2170" s="0" t="n">
        <v>24</v>
      </c>
      <c r="D2170" s="0" t="n">
        <v>0</v>
      </c>
      <c r="E2170" s="0" t="n">
        <f aca="false">VLOOKUP(B2170,'Babblefish-APUMA'!$A$1:$B$86,2)</f>
        <v>96</v>
      </c>
      <c r="F2170" s="0" t="n">
        <f aca="false">IF(C2170&gt;1,IF(C2170&lt;99,VLOOKUP(C2170,'Babblefish-APUMA'!$A$1:$B$86,2),C2170),C2170)</f>
        <v>101</v>
      </c>
    </row>
    <row r="2171" customFormat="false" ht="12.75" hidden="false" customHeight="false" outlineLevel="0" collapsed="false">
      <c r="A2171" s="0" t="n">
        <f aca="false">B2171*1000+C2171</f>
        <v>37025</v>
      </c>
      <c r="B2171" s="0" t="n">
        <v>37</v>
      </c>
      <c r="C2171" s="0" t="n">
        <v>25</v>
      </c>
      <c r="D2171" s="0" t="n">
        <v>91</v>
      </c>
      <c r="E2171" s="0" t="n">
        <f aca="false">VLOOKUP(B2171,'Babblefish-APUMA'!$A$1:$B$86,2)</f>
        <v>96</v>
      </c>
      <c r="F2171" s="0" t="n">
        <f aca="false">IF(C2171&gt;1,IF(C2171&lt;99,VLOOKUP(C2171,'Babblefish-APUMA'!$A$1:$B$86,2),C2171),C2171)</f>
        <v>101</v>
      </c>
    </row>
    <row r="2172" customFormat="false" ht="12.75" hidden="false" customHeight="false" outlineLevel="0" collapsed="false">
      <c r="A2172" s="0" t="n">
        <f aca="false">B2172*1000+C2172</f>
        <v>37026</v>
      </c>
      <c r="B2172" s="0" t="n">
        <v>37</v>
      </c>
      <c r="C2172" s="0" t="n">
        <v>26</v>
      </c>
      <c r="D2172" s="0" t="n">
        <v>0</v>
      </c>
      <c r="E2172" s="0" t="n">
        <f aca="false">VLOOKUP(B2172,'Babblefish-APUMA'!$A$1:$B$86,2)</f>
        <v>96</v>
      </c>
      <c r="F2172" s="0" t="n">
        <f aca="false">IF(C2172&gt;1,IF(C2172&lt;99,VLOOKUP(C2172,'Babblefish-APUMA'!$A$1:$B$86,2),C2172),C2172)</f>
        <v>26</v>
      </c>
    </row>
    <row r="2173" customFormat="false" ht="12.75" hidden="false" customHeight="false" outlineLevel="0" collapsed="false">
      <c r="A2173" s="0" t="n">
        <f aca="false">B2173*1000+C2173</f>
        <v>37027</v>
      </c>
      <c r="B2173" s="0" t="n">
        <v>37</v>
      </c>
      <c r="C2173" s="0" t="n">
        <v>27</v>
      </c>
      <c r="D2173" s="0" t="n">
        <v>0</v>
      </c>
      <c r="E2173" s="0" t="n">
        <f aca="false">VLOOKUP(B2173,'Babblefish-APUMA'!$A$1:$B$86,2)</f>
        <v>96</v>
      </c>
      <c r="F2173" s="0" t="n">
        <f aca="false">IF(C2173&gt;1,IF(C2173&lt;99,VLOOKUP(C2173,'Babblefish-APUMA'!$A$1:$B$86,2),C2173),C2173)</f>
        <v>27</v>
      </c>
    </row>
    <row r="2174" customFormat="false" ht="12.75" hidden="false" customHeight="false" outlineLevel="0" collapsed="false">
      <c r="A2174" s="0" t="n">
        <f aca="false">B2174*1000+C2174</f>
        <v>37028</v>
      </c>
      <c r="B2174" s="0" t="n">
        <v>37</v>
      </c>
      <c r="C2174" s="0" t="n">
        <v>28</v>
      </c>
      <c r="D2174" s="0" t="n">
        <v>130</v>
      </c>
      <c r="E2174" s="0" t="n">
        <f aca="false">VLOOKUP(B2174,'Babblefish-APUMA'!$A$1:$B$86,2)</f>
        <v>96</v>
      </c>
      <c r="F2174" s="0" t="n">
        <f aca="false">IF(C2174&gt;1,IF(C2174&lt;99,VLOOKUP(C2174,'Babblefish-APUMA'!$A$1:$B$86,2),C2174),C2174)</f>
        <v>94</v>
      </c>
    </row>
    <row r="2175" customFormat="false" ht="12.75" hidden="false" customHeight="false" outlineLevel="0" collapsed="false">
      <c r="A2175" s="0" t="n">
        <f aca="false">B2175*1000+C2175</f>
        <v>37029</v>
      </c>
      <c r="B2175" s="0" t="n">
        <v>37</v>
      </c>
      <c r="C2175" s="0" t="n">
        <v>29</v>
      </c>
      <c r="D2175" s="0" t="n">
        <v>0</v>
      </c>
      <c r="E2175" s="0" t="n">
        <f aca="false">VLOOKUP(B2175,'Babblefish-APUMA'!$A$1:$B$86,2)</f>
        <v>96</v>
      </c>
      <c r="F2175" s="0" t="n">
        <f aca="false">IF(C2175&gt;1,IF(C2175&lt;99,VLOOKUP(C2175,'Babblefish-APUMA'!$A$1:$B$86,2),C2175),C2175)</f>
        <v>94</v>
      </c>
    </row>
    <row r="2176" customFormat="false" ht="12.75" hidden="false" customHeight="false" outlineLevel="0" collapsed="false">
      <c r="A2176" s="0" t="n">
        <f aca="false">B2176*1000+C2176</f>
        <v>37030</v>
      </c>
      <c r="B2176" s="0" t="n">
        <v>37</v>
      </c>
      <c r="C2176" s="0" t="n">
        <v>30</v>
      </c>
      <c r="D2176" s="0" t="n">
        <v>0</v>
      </c>
      <c r="E2176" s="0" t="n">
        <f aca="false">VLOOKUP(B2176,'Babblefish-APUMA'!$A$1:$B$86,2)</f>
        <v>96</v>
      </c>
      <c r="F2176" s="0" t="n">
        <f aca="false">IF(C2176&gt;1,IF(C2176&lt;99,VLOOKUP(C2176,'Babblefish-APUMA'!$A$1:$B$86,2),C2176),C2176)</f>
        <v>30</v>
      </c>
    </row>
    <row r="2177" customFormat="false" ht="12.75" hidden="false" customHeight="false" outlineLevel="0" collapsed="false">
      <c r="A2177" s="0" t="n">
        <f aca="false">B2177*1000+C2177</f>
        <v>37031</v>
      </c>
      <c r="B2177" s="0" t="n">
        <v>37</v>
      </c>
      <c r="C2177" s="0" t="n">
        <v>31</v>
      </c>
      <c r="D2177" s="0" t="n">
        <v>65</v>
      </c>
      <c r="E2177" s="0" t="n">
        <f aca="false">VLOOKUP(B2177,'Babblefish-APUMA'!$A$1:$B$86,2)</f>
        <v>96</v>
      </c>
      <c r="F2177" s="0" t="n">
        <f aca="false">IF(C2177&gt;1,IF(C2177&lt;99,VLOOKUP(C2177,'Babblefish-APUMA'!$A$1:$B$86,2),C2177),C2177)</f>
        <v>31</v>
      </c>
    </row>
    <row r="2178" customFormat="false" ht="12.75" hidden="false" customHeight="false" outlineLevel="0" collapsed="false">
      <c r="A2178" s="0" t="n">
        <f aca="false">B2178*1000+C2178</f>
        <v>37032</v>
      </c>
      <c r="B2178" s="0" t="n">
        <v>37</v>
      </c>
      <c r="C2178" s="0" t="n">
        <v>32</v>
      </c>
      <c r="D2178" s="0" t="n">
        <v>91</v>
      </c>
      <c r="E2178" s="0" t="n">
        <f aca="false">VLOOKUP(B2178,'Babblefish-APUMA'!$A$1:$B$86,2)</f>
        <v>96</v>
      </c>
      <c r="F2178" s="0" t="n">
        <f aca="false">IF(C2178&gt;1,IF(C2178&lt;99,VLOOKUP(C2178,'Babblefish-APUMA'!$A$1:$B$86,2),C2178),C2178)</f>
        <v>32</v>
      </c>
    </row>
    <row r="2179" customFormat="false" ht="12.75" hidden="false" customHeight="false" outlineLevel="0" collapsed="false">
      <c r="A2179" s="0" t="n">
        <f aca="false">B2179*1000+C2179</f>
        <v>37033</v>
      </c>
      <c r="B2179" s="0" t="n">
        <v>37</v>
      </c>
      <c r="C2179" s="0" t="n">
        <v>33</v>
      </c>
      <c r="D2179" s="0" t="n">
        <v>174200</v>
      </c>
      <c r="E2179" s="0" t="n">
        <f aca="false">VLOOKUP(B2179,'Babblefish-APUMA'!$A$1:$B$86,2)</f>
        <v>96</v>
      </c>
      <c r="F2179" s="0" t="n">
        <f aca="false">IF(C2179&gt;1,IF(C2179&lt;99,VLOOKUP(C2179,'Babblefish-APUMA'!$A$1:$B$86,2),C2179),C2179)</f>
        <v>96</v>
      </c>
    </row>
    <row r="2180" customFormat="false" ht="12.75" hidden="false" customHeight="false" outlineLevel="0" collapsed="false">
      <c r="A2180" s="0" t="n">
        <f aca="false">B2180*1000+C2180</f>
        <v>37034</v>
      </c>
      <c r="B2180" s="0" t="n">
        <v>37</v>
      </c>
      <c r="C2180" s="0" t="n">
        <v>34</v>
      </c>
      <c r="D2180" s="0" t="n">
        <v>11167</v>
      </c>
      <c r="E2180" s="0" t="n">
        <f aca="false">VLOOKUP(B2180,'Babblefish-APUMA'!$A$1:$B$86,2)</f>
        <v>96</v>
      </c>
      <c r="F2180" s="0" t="n">
        <f aca="false">IF(C2180&gt;1,IF(C2180&lt;99,VLOOKUP(C2180,'Babblefish-APUMA'!$A$1:$B$86,2),C2180),C2180)</f>
        <v>96</v>
      </c>
    </row>
    <row r="2181" customFormat="false" ht="12.75" hidden="false" customHeight="false" outlineLevel="0" collapsed="false">
      <c r="A2181" s="0" t="n">
        <f aca="false">B2181*1000+C2181</f>
        <v>37035</v>
      </c>
      <c r="B2181" s="0" t="n">
        <v>37</v>
      </c>
      <c r="C2181" s="0" t="n">
        <v>35</v>
      </c>
      <c r="D2181" s="0" t="n">
        <v>14482</v>
      </c>
      <c r="E2181" s="0" t="n">
        <f aca="false">VLOOKUP(B2181,'Babblefish-APUMA'!$A$1:$B$86,2)</f>
        <v>96</v>
      </c>
      <c r="F2181" s="0" t="n">
        <f aca="false">IF(C2181&gt;1,IF(C2181&lt;99,VLOOKUP(C2181,'Babblefish-APUMA'!$A$1:$B$86,2),C2181),C2181)</f>
        <v>96</v>
      </c>
    </row>
    <row r="2182" customFormat="false" ht="12.75" hidden="false" customHeight="false" outlineLevel="0" collapsed="false">
      <c r="A2182" s="0" t="n">
        <f aca="false">B2182*1000+C2182</f>
        <v>37036</v>
      </c>
      <c r="B2182" s="0" t="n">
        <v>37</v>
      </c>
      <c r="C2182" s="0" t="n">
        <v>36</v>
      </c>
      <c r="D2182" s="0" t="n">
        <v>11076</v>
      </c>
      <c r="E2182" s="0" t="n">
        <f aca="false">VLOOKUP(B2182,'Babblefish-APUMA'!$A$1:$B$86,2)</f>
        <v>96</v>
      </c>
      <c r="F2182" s="0" t="n">
        <f aca="false">IF(C2182&gt;1,IF(C2182&lt;99,VLOOKUP(C2182,'Babblefish-APUMA'!$A$1:$B$86,2),C2182),C2182)</f>
        <v>96</v>
      </c>
    </row>
    <row r="2183" customFormat="false" ht="12.75" hidden="false" customHeight="false" outlineLevel="0" collapsed="false">
      <c r="A2183" s="0" t="n">
        <f aca="false">B2183*1000+C2183</f>
        <v>37037</v>
      </c>
      <c r="B2183" s="0" t="n">
        <v>37</v>
      </c>
      <c r="C2183" s="0" t="n">
        <v>37</v>
      </c>
      <c r="D2183" s="0" t="n">
        <v>264576</v>
      </c>
      <c r="E2183" s="0" t="n">
        <f aca="false">VLOOKUP(B2183,'Babblefish-APUMA'!$A$1:$B$86,2)</f>
        <v>96</v>
      </c>
      <c r="F2183" s="0" t="n">
        <f aca="false">IF(C2183&gt;1,IF(C2183&lt;99,VLOOKUP(C2183,'Babblefish-APUMA'!$A$1:$B$86,2),C2183),C2183)</f>
        <v>96</v>
      </c>
    </row>
    <row r="2184" customFormat="false" ht="12.75" hidden="false" customHeight="false" outlineLevel="0" collapsed="false">
      <c r="A2184" s="0" t="n">
        <f aca="false">B2184*1000+C2184</f>
        <v>37038</v>
      </c>
      <c r="B2184" s="0" t="n">
        <v>37</v>
      </c>
      <c r="C2184" s="0" t="n">
        <v>38</v>
      </c>
      <c r="D2184" s="0" t="n">
        <v>0</v>
      </c>
      <c r="E2184" s="0" t="n">
        <f aca="false">VLOOKUP(B2184,'Babblefish-APUMA'!$A$1:$B$86,2)</f>
        <v>96</v>
      </c>
      <c r="F2184" s="0" t="n">
        <f aca="false">IF(C2184&gt;1,IF(C2184&lt;99,VLOOKUP(C2184,'Babblefish-APUMA'!$A$1:$B$86,2),C2184),C2184)</f>
        <v>91</v>
      </c>
    </row>
    <row r="2185" customFormat="false" ht="12.75" hidden="false" customHeight="false" outlineLevel="0" collapsed="false">
      <c r="A2185" s="0" t="n">
        <f aca="false">B2185*1000+C2185</f>
        <v>37039</v>
      </c>
      <c r="B2185" s="0" t="n">
        <v>37</v>
      </c>
      <c r="C2185" s="0" t="n">
        <v>39</v>
      </c>
      <c r="D2185" s="0" t="n">
        <v>0</v>
      </c>
      <c r="E2185" s="0" t="n">
        <f aca="false">VLOOKUP(B2185,'Babblefish-APUMA'!$A$1:$B$86,2)</f>
        <v>96</v>
      </c>
      <c r="F2185" s="0" t="n">
        <f aca="false">IF(C2185&gt;1,IF(C2185&lt;99,VLOOKUP(C2185,'Babblefish-APUMA'!$A$1:$B$86,2),C2185),C2185)</f>
        <v>91</v>
      </c>
    </row>
    <row r="2186" customFormat="false" ht="12.75" hidden="false" customHeight="false" outlineLevel="0" collapsed="false">
      <c r="A2186" s="0" t="n">
        <f aca="false">B2186*1000+C2186</f>
        <v>37040</v>
      </c>
      <c r="B2186" s="0" t="n">
        <v>37</v>
      </c>
      <c r="C2186" s="0" t="n">
        <v>40</v>
      </c>
      <c r="D2186" s="0" t="n">
        <v>0</v>
      </c>
      <c r="E2186" s="0" t="n">
        <f aca="false">VLOOKUP(B2186,'Babblefish-APUMA'!$A$1:$B$86,2)</f>
        <v>96</v>
      </c>
      <c r="F2186" s="0" t="n">
        <f aca="false">IF(C2186&gt;1,IF(C2186&lt;99,VLOOKUP(C2186,'Babblefish-APUMA'!$A$1:$B$86,2),C2186),C2186)</f>
        <v>88</v>
      </c>
    </row>
    <row r="2187" customFormat="false" ht="12.75" hidden="false" customHeight="false" outlineLevel="0" collapsed="false">
      <c r="A2187" s="0" t="n">
        <f aca="false">B2187*1000+C2187</f>
        <v>37041</v>
      </c>
      <c r="B2187" s="0" t="n">
        <v>37</v>
      </c>
      <c r="C2187" s="0" t="n">
        <v>41</v>
      </c>
      <c r="D2187" s="0" t="n">
        <v>0</v>
      </c>
      <c r="E2187" s="0" t="n">
        <f aca="false">VLOOKUP(B2187,'Babblefish-APUMA'!$A$1:$B$86,2)</f>
        <v>96</v>
      </c>
      <c r="F2187" s="0" t="n">
        <f aca="false">IF(C2187&gt;1,IF(C2187&lt;99,VLOOKUP(C2187,'Babblefish-APUMA'!$A$1:$B$86,2),C2187),C2187)</f>
        <v>88</v>
      </c>
    </row>
    <row r="2188" customFormat="false" ht="12.75" hidden="false" customHeight="false" outlineLevel="0" collapsed="false">
      <c r="A2188" s="0" t="n">
        <f aca="false">B2188*1000+C2188</f>
        <v>37042</v>
      </c>
      <c r="B2188" s="0" t="n">
        <v>37</v>
      </c>
      <c r="C2188" s="0" t="n">
        <v>42</v>
      </c>
      <c r="D2188" s="0" t="n">
        <v>624</v>
      </c>
      <c r="E2188" s="0" t="n">
        <f aca="false">VLOOKUP(B2188,'Babblefish-APUMA'!$A$1:$B$86,2)</f>
        <v>96</v>
      </c>
      <c r="F2188" s="0" t="n">
        <f aca="false">IF(C2188&gt;1,IF(C2188&lt;99,VLOOKUP(C2188,'Babblefish-APUMA'!$A$1:$B$86,2),C2188),C2188)</f>
        <v>92</v>
      </c>
    </row>
    <row r="2189" customFormat="false" ht="12.75" hidden="false" customHeight="false" outlineLevel="0" collapsed="false">
      <c r="A2189" s="0" t="n">
        <f aca="false">B2189*1000+C2189</f>
        <v>37043</v>
      </c>
      <c r="B2189" s="0" t="n">
        <v>37</v>
      </c>
      <c r="C2189" s="0" t="n">
        <v>43</v>
      </c>
      <c r="D2189" s="0" t="n">
        <v>1391</v>
      </c>
      <c r="E2189" s="0" t="n">
        <f aca="false">VLOOKUP(B2189,'Babblefish-APUMA'!$A$1:$B$86,2)</f>
        <v>96</v>
      </c>
      <c r="F2189" s="0" t="n">
        <f aca="false">IF(C2189&gt;1,IF(C2189&lt;99,VLOOKUP(C2189,'Babblefish-APUMA'!$A$1:$B$86,2),C2189),C2189)</f>
        <v>92</v>
      </c>
    </row>
    <row r="2190" customFormat="false" ht="12.75" hidden="false" customHeight="false" outlineLevel="0" collapsed="false">
      <c r="A2190" s="0" t="n">
        <f aca="false">B2190*1000+C2190</f>
        <v>37044</v>
      </c>
      <c r="B2190" s="0" t="n">
        <v>37</v>
      </c>
      <c r="C2190" s="0" t="n">
        <v>44</v>
      </c>
      <c r="D2190" s="0" t="n">
        <v>637</v>
      </c>
      <c r="E2190" s="0" t="n">
        <f aca="false">VLOOKUP(B2190,'Babblefish-APUMA'!$A$1:$B$86,2)</f>
        <v>96</v>
      </c>
      <c r="F2190" s="0" t="n">
        <f aca="false">IF(C2190&gt;1,IF(C2190&lt;99,VLOOKUP(C2190,'Babblefish-APUMA'!$A$1:$B$86,2),C2190),C2190)</f>
        <v>92</v>
      </c>
    </row>
    <row r="2191" customFormat="false" ht="12.75" hidden="false" customHeight="false" outlineLevel="0" collapsed="false">
      <c r="A2191" s="0" t="n">
        <f aca="false">B2191*1000+C2191</f>
        <v>37045</v>
      </c>
      <c r="B2191" s="0" t="n">
        <v>37</v>
      </c>
      <c r="C2191" s="0" t="n">
        <v>45</v>
      </c>
      <c r="D2191" s="0" t="n">
        <v>832</v>
      </c>
      <c r="E2191" s="0" t="n">
        <f aca="false">VLOOKUP(B2191,'Babblefish-APUMA'!$A$1:$B$86,2)</f>
        <v>96</v>
      </c>
      <c r="F2191" s="0" t="n">
        <f aca="false">IF(C2191&gt;1,IF(C2191&lt;99,VLOOKUP(C2191,'Babblefish-APUMA'!$A$1:$B$86,2),C2191),C2191)</f>
        <v>92</v>
      </c>
    </row>
    <row r="2192" customFormat="false" ht="12.75" hidden="false" customHeight="false" outlineLevel="0" collapsed="false">
      <c r="A2192" s="0" t="n">
        <f aca="false">B2192*1000+C2192</f>
        <v>37046</v>
      </c>
      <c r="B2192" s="0" t="n">
        <v>37</v>
      </c>
      <c r="C2192" s="0" t="n">
        <v>46</v>
      </c>
      <c r="D2192" s="0" t="n">
        <v>0</v>
      </c>
      <c r="E2192" s="0" t="n">
        <f aca="false">VLOOKUP(B2192,'Babblefish-APUMA'!$A$1:$B$86,2)</f>
        <v>96</v>
      </c>
      <c r="F2192" s="0" t="n">
        <f aca="false">IF(C2192&gt;1,IF(C2192&lt;99,VLOOKUP(C2192,'Babblefish-APUMA'!$A$1:$B$86,2),C2192),C2192)</f>
        <v>92</v>
      </c>
    </row>
    <row r="2193" customFormat="false" ht="12.75" hidden="false" customHeight="false" outlineLevel="0" collapsed="false">
      <c r="A2193" s="0" t="n">
        <f aca="false">B2193*1000+C2193</f>
        <v>37047</v>
      </c>
      <c r="B2193" s="0" t="n">
        <v>37</v>
      </c>
      <c r="C2193" s="0" t="n">
        <v>47</v>
      </c>
      <c r="D2193" s="0" t="n">
        <v>0</v>
      </c>
      <c r="E2193" s="0" t="n">
        <f aca="false">VLOOKUP(B2193,'Babblefish-APUMA'!$A$1:$B$86,2)</f>
        <v>96</v>
      </c>
      <c r="F2193" s="0" t="n">
        <f aca="false">IF(C2193&gt;1,IF(C2193&lt;99,VLOOKUP(C2193,'Babblefish-APUMA'!$A$1:$B$86,2),C2193),C2193)</f>
        <v>92</v>
      </c>
    </row>
    <row r="2194" customFormat="false" ht="12.75" hidden="false" customHeight="false" outlineLevel="0" collapsed="false">
      <c r="A2194" s="0" t="n">
        <f aca="false">B2194*1000+C2194</f>
        <v>37048</v>
      </c>
      <c r="B2194" s="0" t="n">
        <v>37</v>
      </c>
      <c r="C2194" s="0" t="n">
        <v>48</v>
      </c>
      <c r="D2194" s="0" t="n">
        <v>2548</v>
      </c>
      <c r="E2194" s="0" t="n">
        <f aca="false">VLOOKUP(B2194,'Babblefish-APUMA'!$A$1:$B$86,2)</f>
        <v>96</v>
      </c>
      <c r="F2194" s="0" t="n">
        <f aca="false">IF(C2194&gt;1,IF(C2194&lt;99,VLOOKUP(C2194,'Babblefish-APUMA'!$A$1:$B$86,2),C2194),C2194)</f>
        <v>92</v>
      </c>
    </row>
    <row r="2195" customFormat="false" ht="12.75" hidden="false" customHeight="false" outlineLevel="0" collapsed="false">
      <c r="A2195" s="0" t="n">
        <f aca="false">B2195*1000+C2195</f>
        <v>37049</v>
      </c>
      <c r="B2195" s="0" t="n">
        <v>37</v>
      </c>
      <c r="C2195" s="0" t="n">
        <v>49</v>
      </c>
      <c r="D2195" s="0" t="n">
        <v>0</v>
      </c>
      <c r="E2195" s="0" t="n">
        <f aca="false">VLOOKUP(B2195,'Babblefish-APUMA'!$A$1:$B$86,2)</f>
        <v>96</v>
      </c>
      <c r="F2195" s="0" t="n">
        <f aca="false">IF(C2195&gt;1,IF(C2195&lt;99,VLOOKUP(C2195,'Babblefish-APUMA'!$A$1:$B$86,2),C2195),C2195)</f>
        <v>98</v>
      </c>
    </row>
    <row r="2196" customFormat="false" ht="12.75" hidden="false" customHeight="false" outlineLevel="0" collapsed="false">
      <c r="A2196" s="0" t="n">
        <f aca="false">B2196*1000+C2196</f>
        <v>37050</v>
      </c>
      <c r="B2196" s="0" t="n">
        <v>37</v>
      </c>
      <c r="C2196" s="0" t="n">
        <v>50</v>
      </c>
      <c r="D2196" s="0" t="n">
        <v>0</v>
      </c>
      <c r="E2196" s="0" t="n">
        <f aca="false">VLOOKUP(B2196,'Babblefish-APUMA'!$A$1:$B$86,2)</f>
        <v>96</v>
      </c>
      <c r="F2196" s="0" t="n">
        <f aca="false">IF(C2196&gt;1,IF(C2196&lt;99,VLOOKUP(C2196,'Babblefish-APUMA'!$A$1:$B$86,2),C2196),C2196)</f>
        <v>98</v>
      </c>
    </row>
    <row r="2197" customFormat="false" ht="12.75" hidden="false" customHeight="false" outlineLevel="0" collapsed="false">
      <c r="A2197" s="0" t="n">
        <f aca="false">B2197*1000+C2197</f>
        <v>37051</v>
      </c>
      <c r="B2197" s="0" t="n">
        <v>37</v>
      </c>
      <c r="C2197" s="0" t="n">
        <v>51</v>
      </c>
      <c r="D2197" s="0" t="n">
        <v>0</v>
      </c>
      <c r="E2197" s="0" t="n">
        <f aca="false">VLOOKUP(B2197,'Babblefish-APUMA'!$A$1:$B$86,2)</f>
        <v>96</v>
      </c>
      <c r="F2197" s="0" t="n">
        <f aca="false">IF(C2197&gt;1,IF(C2197&lt;99,VLOOKUP(C2197,'Babblefish-APUMA'!$A$1:$B$86,2),C2197),C2197)</f>
        <v>98</v>
      </c>
    </row>
    <row r="2198" customFormat="false" ht="12.75" hidden="false" customHeight="false" outlineLevel="0" collapsed="false">
      <c r="A2198" s="0" t="n">
        <f aca="false">B2198*1000+C2198</f>
        <v>37052</v>
      </c>
      <c r="B2198" s="0" t="n">
        <v>37</v>
      </c>
      <c r="C2198" s="0" t="n">
        <v>52</v>
      </c>
      <c r="D2198" s="0" t="n">
        <v>143</v>
      </c>
      <c r="E2198" s="0" t="n">
        <f aca="false">VLOOKUP(B2198,'Babblefish-APUMA'!$A$1:$B$86,2)</f>
        <v>96</v>
      </c>
      <c r="F2198" s="0" t="n">
        <f aca="false">IF(C2198&gt;1,IF(C2198&lt;99,VLOOKUP(C2198,'Babblefish-APUMA'!$A$1:$B$86,2),C2198),C2198)</f>
        <v>90</v>
      </c>
    </row>
    <row r="2199" customFormat="false" ht="12.75" hidden="false" customHeight="false" outlineLevel="0" collapsed="false">
      <c r="A2199" s="0" t="n">
        <f aca="false">B2199*1000+C2199</f>
        <v>37053</v>
      </c>
      <c r="B2199" s="0" t="n">
        <v>37</v>
      </c>
      <c r="C2199" s="0" t="n">
        <v>53</v>
      </c>
      <c r="D2199" s="0" t="n">
        <v>0</v>
      </c>
      <c r="E2199" s="0" t="n">
        <f aca="false">VLOOKUP(B2199,'Babblefish-APUMA'!$A$1:$B$86,2)</f>
        <v>96</v>
      </c>
      <c r="F2199" s="0" t="n">
        <f aca="false">IF(C2199&gt;1,IF(C2199&lt;99,VLOOKUP(C2199,'Babblefish-APUMA'!$A$1:$B$86,2),C2199),C2199)</f>
        <v>90</v>
      </c>
    </row>
    <row r="2200" customFormat="false" ht="12.75" hidden="false" customHeight="false" outlineLevel="0" collapsed="false">
      <c r="A2200" s="0" t="n">
        <f aca="false">B2200*1000+C2200</f>
        <v>37054</v>
      </c>
      <c r="B2200" s="0" t="n">
        <v>37</v>
      </c>
      <c r="C2200" s="0" t="n">
        <v>54</v>
      </c>
      <c r="D2200" s="0" t="n">
        <v>0</v>
      </c>
      <c r="E2200" s="0" t="n">
        <f aca="false">VLOOKUP(B2200,'Babblefish-APUMA'!$A$1:$B$86,2)</f>
        <v>96</v>
      </c>
      <c r="F2200" s="0" t="n">
        <f aca="false">IF(C2200&gt;1,IF(C2200&lt;99,VLOOKUP(C2200,'Babblefish-APUMA'!$A$1:$B$86,2),C2200),C2200)</f>
        <v>90</v>
      </c>
    </row>
    <row r="2201" customFormat="false" ht="12.75" hidden="false" customHeight="false" outlineLevel="0" collapsed="false">
      <c r="A2201" s="0" t="n">
        <f aca="false">B2201*1000+C2201</f>
        <v>37055</v>
      </c>
      <c r="B2201" s="0" t="n">
        <v>37</v>
      </c>
      <c r="C2201" s="0" t="n">
        <v>55</v>
      </c>
      <c r="D2201" s="0" t="n">
        <v>104</v>
      </c>
      <c r="E2201" s="0" t="n">
        <f aca="false">VLOOKUP(B2201,'Babblefish-APUMA'!$A$1:$B$86,2)</f>
        <v>96</v>
      </c>
      <c r="F2201" s="0" t="n">
        <f aca="false">IF(C2201&gt;1,IF(C2201&lt;99,VLOOKUP(C2201,'Babblefish-APUMA'!$A$1:$B$86,2),C2201),C2201)</f>
        <v>90</v>
      </c>
    </row>
    <row r="2202" customFormat="false" ht="12.75" hidden="false" customHeight="false" outlineLevel="0" collapsed="false">
      <c r="A2202" s="0" t="n">
        <f aca="false">B2202*1000+C2202</f>
        <v>37056</v>
      </c>
      <c r="B2202" s="0" t="n">
        <v>37</v>
      </c>
      <c r="C2202" s="0" t="n">
        <v>56</v>
      </c>
      <c r="D2202" s="0" t="n">
        <v>0</v>
      </c>
      <c r="E2202" s="0" t="n">
        <f aca="false">VLOOKUP(B2202,'Babblefish-APUMA'!$A$1:$B$86,2)</f>
        <v>96</v>
      </c>
      <c r="F2202" s="0" t="n">
        <f aca="false">IF(C2202&gt;1,IF(C2202&lt;99,VLOOKUP(C2202,'Babblefish-APUMA'!$A$1:$B$86,2),C2202),C2202)</f>
        <v>90</v>
      </c>
    </row>
    <row r="2203" customFormat="false" ht="12.75" hidden="false" customHeight="false" outlineLevel="0" collapsed="false">
      <c r="A2203" s="0" t="n">
        <f aca="false">B2203*1000+C2203</f>
        <v>37057</v>
      </c>
      <c r="B2203" s="0" t="n">
        <v>37</v>
      </c>
      <c r="C2203" s="0" t="n">
        <v>57</v>
      </c>
      <c r="D2203" s="0" t="n">
        <v>117</v>
      </c>
      <c r="E2203" s="0" t="n">
        <f aca="false">VLOOKUP(B2203,'Babblefish-APUMA'!$A$1:$B$86,2)</f>
        <v>96</v>
      </c>
      <c r="F2203" s="0" t="n">
        <f aca="false">IF(C2203&gt;1,IF(C2203&lt;99,VLOOKUP(C2203,'Babblefish-APUMA'!$A$1:$B$86,2),C2203),C2203)</f>
        <v>90</v>
      </c>
    </row>
    <row r="2204" customFormat="false" ht="12.75" hidden="false" customHeight="false" outlineLevel="0" collapsed="false">
      <c r="A2204" s="0" t="n">
        <f aca="false">B2204*1000+C2204</f>
        <v>37059</v>
      </c>
      <c r="B2204" s="0" t="n">
        <v>37</v>
      </c>
      <c r="C2204" s="0" t="n">
        <v>59</v>
      </c>
      <c r="D2204" s="0" t="n">
        <v>0</v>
      </c>
      <c r="E2204" s="0" t="n">
        <f aca="false">VLOOKUP(B2204,'Babblefish-APUMA'!$A$1:$B$86,2)</f>
        <v>96</v>
      </c>
      <c r="F2204" s="0" t="n">
        <f aca="false">IF(C2204&gt;1,IF(C2204&lt;99,VLOOKUP(C2204,'Babblefish-APUMA'!$A$1:$B$86,2),C2204),C2204)</f>
        <v>90</v>
      </c>
    </row>
    <row r="2205" customFormat="false" ht="12.75" hidden="false" customHeight="false" outlineLevel="0" collapsed="false">
      <c r="A2205" s="0" t="n">
        <f aca="false">B2205*1000+C2205</f>
        <v>37060</v>
      </c>
      <c r="B2205" s="0" t="n">
        <v>37</v>
      </c>
      <c r="C2205" s="0" t="n">
        <v>60</v>
      </c>
      <c r="D2205" s="0" t="n">
        <v>0</v>
      </c>
      <c r="E2205" s="0" t="n">
        <f aca="false">VLOOKUP(B2205,'Babblefish-APUMA'!$A$1:$B$86,2)</f>
        <v>96</v>
      </c>
      <c r="F2205" s="0" t="n">
        <f aca="false">IF(C2205&gt;1,IF(C2205&lt;99,VLOOKUP(C2205,'Babblefish-APUMA'!$A$1:$B$86,2),C2205),C2205)</f>
        <v>90</v>
      </c>
    </row>
    <row r="2206" customFormat="false" ht="12.75" hidden="false" customHeight="false" outlineLevel="0" collapsed="false">
      <c r="A2206" s="0" t="n">
        <f aca="false">B2206*1000+C2206</f>
        <v>37062</v>
      </c>
      <c r="B2206" s="0" t="n">
        <v>37</v>
      </c>
      <c r="C2206" s="0" t="n">
        <v>62</v>
      </c>
      <c r="D2206" s="0" t="n">
        <v>0</v>
      </c>
      <c r="E2206" s="0" t="n">
        <f aca="false">VLOOKUP(B2206,'Babblefish-APUMA'!$A$1:$B$86,2)</f>
        <v>96</v>
      </c>
      <c r="F2206" s="0" t="n">
        <f aca="false">IF(C2206&gt;1,IF(C2206&lt;99,VLOOKUP(C2206,'Babblefish-APUMA'!$A$1:$B$86,2),C2206),C2206)</f>
        <v>90</v>
      </c>
    </row>
    <row r="2207" customFormat="false" ht="12.75" hidden="false" customHeight="false" outlineLevel="0" collapsed="false">
      <c r="A2207" s="0" t="n">
        <f aca="false">B2207*1000+C2207</f>
        <v>37063</v>
      </c>
      <c r="B2207" s="0" t="n">
        <v>37</v>
      </c>
      <c r="C2207" s="0" t="n">
        <v>63</v>
      </c>
      <c r="D2207" s="0" t="n">
        <v>208</v>
      </c>
      <c r="E2207" s="0" t="n">
        <f aca="false">VLOOKUP(B2207,'Babblefish-APUMA'!$A$1:$B$86,2)</f>
        <v>96</v>
      </c>
      <c r="F2207" s="0" t="n">
        <f aca="false">IF(C2207&gt;1,IF(C2207&lt;99,VLOOKUP(C2207,'Babblefish-APUMA'!$A$1:$B$86,2),C2207),C2207)</f>
        <v>90</v>
      </c>
    </row>
    <row r="2208" customFormat="false" ht="12.75" hidden="false" customHeight="false" outlineLevel="0" collapsed="false">
      <c r="A2208" s="0" t="n">
        <f aca="false">B2208*1000+C2208</f>
        <v>37064</v>
      </c>
      <c r="B2208" s="0" t="n">
        <v>37</v>
      </c>
      <c r="C2208" s="0" t="n">
        <v>64</v>
      </c>
      <c r="D2208" s="0" t="n">
        <v>2054</v>
      </c>
      <c r="E2208" s="0" t="n">
        <f aca="false">VLOOKUP(B2208,'Babblefish-APUMA'!$A$1:$B$86,2)</f>
        <v>96</v>
      </c>
      <c r="F2208" s="0" t="n">
        <f aca="false">IF(C2208&gt;1,IF(C2208&lt;99,VLOOKUP(C2208,'Babblefish-APUMA'!$A$1:$B$86,2),C2208),C2208)</f>
        <v>90</v>
      </c>
    </row>
    <row r="2209" customFormat="false" ht="12.75" hidden="false" customHeight="false" outlineLevel="0" collapsed="false">
      <c r="A2209" s="0" t="n">
        <f aca="false">B2209*1000+C2209</f>
        <v>37065</v>
      </c>
      <c r="B2209" s="0" t="n">
        <v>37</v>
      </c>
      <c r="C2209" s="0" t="n">
        <v>65</v>
      </c>
      <c r="D2209" s="0" t="n">
        <v>1274</v>
      </c>
      <c r="E2209" s="0" t="n">
        <f aca="false">VLOOKUP(B2209,'Babblefish-APUMA'!$A$1:$B$86,2)</f>
        <v>96</v>
      </c>
      <c r="F2209" s="0" t="n">
        <f aca="false">IF(C2209&gt;1,IF(C2209&lt;99,VLOOKUP(C2209,'Babblefish-APUMA'!$A$1:$B$86,2),C2209),C2209)</f>
        <v>90</v>
      </c>
    </row>
    <row r="2210" customFormat="false" ht="12.75" hidden="false" customHeight="false" outlineLevel="0" collapsed="false">
      <c r="A2210" s="0" t="n">
        <f aca="false">B2210*1000+C2210</f>
        <v>37066</v>
      </c>
      <c r="B2210" s="0" t="n">
        <v>37</v>
      </c>
      <c r="C2210" s="0" t="n">
        <v>66</v>
      </c>
      <c r="D2210" s="0" t="n">
        <v>221</v>
      </c>
      <c r="E2210" s="0" t="n">
        <f aca="false">VLOOKUP(B2210,'Babblefish-APUMA'!$A$1:$B$86,2)</f>
        <v>96</v>
      </c>
      <c r="F2210" s="0" t="n">
        <f aca="false">IF(C2210&gt;1,IF(C2210&lt;99,VLOOKUP(C2210,'Babblefish-APUMA'!$A$1:$B$86,2),C2210),C2210)</f>
        <v>90</v>
      </c>
    </row>
    <row r="2211" customFormat="false" ht="12.75" hidden="false" customHeight="false" outlineLevel="0" collapsed="false">
      <c r="A2211" s="0" t="n">
        <f aca="false">B2211*1000+C2211</f>
        <v>37067</v>
      </c>
      <c r="B2211" s="0" t="n">
        <v>37</v>
      </c>
      <c r="C2211" s="0" t="n">
        <v>67</v>
      </c>
      <c r="D2211" s="0" t="n">
        <v>143</v>
      </c>
      <c r="E2211" s="0" t="n">
        <f aca="false">VLOOKUP(B2211,'Babblefish-APUMA'!$A$1:$B$86,2)</f>
        <v>96</v>
      </c>
      <c r="F2211" s="0" t="n">
        <f aca="false">IF(C2211&gt;1,IF(C2211&lt;99,VLOOKUP(C2211,'Babblefish-APUMA'!$A$1:$B$86,2),C2211),C2211)</f>
        <v>103</v>
      </c>
    </row>
    <row r="2212" customFormat="false" ht="12.75" hidden="false" customHeight="false" outlineLevel="0" collapsed="false">
      <c r="A2212" s="0" t="n">
        <f aca="false">B2212*1000+C2212</f>
        <v>37069</v>
      </c>
      <c r="B2212" s="0" t="n">
        <v>37</v>
      </c>
      <c r="C2212" s="0" t="n">
        <v>69</v>
      </c>
      <c r="D2212" s="0" t="n">
        <v>3380</v>
      </c>
      <c r="E2212" s="0" t="n">
        <f aca="false">VLOOKUP(B2212,'Babblefish-APUMA'!$A$1:$B$86,2)</f>
        <v>96</v>
      </c>
      <c r="F2212" s="0" t="n">
        <f aca="false">IF(C2212&gt;1,IF(C2212&lt;99,VLOOKUP(C2212,'Babblefish-APUMA'!$A$1:$B$86,2),C2212),C2212)</f>
        <v>93</v>
      </c>
    </row>
    <row r="2213" customFormat="false" ht="12.75" hidden="false" customHeight="false" outlineLevel="0" collapsed="false">
      <c r="A2213" s="0" t="n">
        <f aca="false">B2213*1000+C2213</f>
        <v>37071</v>
      </c>
      <c r="B2213" s="0" t="n">
        <v>37</v>
      </c>
      <c r="C2213" s="0" t="n">
        <v>71</v>
      </c>
      <c r="D2213" s="0" t="n">
        <v>0</v>
      </c>
      <c r="E2213" s="0" t="n">
        <f aca="false">VLOOKUP(B2213,'Babblefish-APUMA'!$A$1:$B$86,2)</f>
        <v>96</v>
      </c>
      <c r="F2213" s="0" t="n">
        <f aca="false">IF(C2213&gt;1,IF(C2213&lt;99,VLOOKUP(C2213,'Babblefish-APUMA'!$A$1:$B$86,2),C2213),C2213)</f>
        <v>95</v>
      </c>
    </row>
    <row r="2214" customFormat="false" ht="12.75" hidden="false" customHeight="false" outlineLevel="0" collapsed="false">
      <c r="A2214" s="0" t="n">
        <f aca="false">B2214*1000+C2214</f>
        <v>37072</v>
      </c>
      <c r="B2214" s="0" t="n">
        <v>37</v>
      </c>
      <c r="C2214" s="0" t="n">
        <v>72</v>
      </c>
      <c r="D2214" s="0" t="n">
        <v>1066</v>
      </c>
      <c r="E2214" s="0" t="n">
        <f aca="false">VLOOKUP(B2214,'Babblefish-APUMA'!$A$1:$B$86,2)</f>
        <v>96</v>
      </c>
      <c r="F2214" s="0" t="n">
        <f aca="false">IF(C2214&gt;1,IF(C2214&lt;99,VLOOKUP(C2214,'Babblefish-APUMA'!$A$1:$B$86,2),C2214),C2214)</f>
        <v>95</v>
      </c>
    </row>
    <row r="2215" customFormat="false" ht="12.75" hidden="false" customHeight="false" outlineLevel="0" collapsed="false">
      <c r="A2215" s="0" t="n">
        <f aca="false">B2215*1000+C2215</f>
        <v>37073</v>
      </c>
      <c r="B2215" s="0" t="n">
        <v>37</v>
      </c>
      <c r="C2215" s="0" t="n">
        <v>73</v>
      </c>
      <c r="D2215" s="0" t="n">
        <v>0</v>
      </c>
      <c r="E2215" s="0" t="n">
        <f aca="false">VLOOKUP(B2215,'Babblefish-APUMA'!$A$1:$B$86,2)</f>
        <v>96</v>
      </c>
      <c r="F2215" s="0" t="n">
        <f aca="false">IF(C2215&gt;1,IF(C2215&lt;99,VLOOKUP(C2215,'Babblefish-APUMA'!$A$1:$B$86,2),C2215),C2215)</f>
        <v>99</v>
      </c>
    </row>
    <row r="2216" customFormat="false" ht="12.75" hidden="false" customHeight="false" outlineLevel="0" collapsed="false">
      <c r="A2216" s="0" t="n">
        <f aca="false">B2216*1000+C2216</f>
        <v>37075</v>
      </c>
      <c r="B2216" s="0" t="n">
        <v>37</v>
      </c>
      <c r="C2216" s="0" t="n">
        <v>75</v>
      </c>
      <c r="D2216" s="0" t="n">
        <v>39</v>
      </c>
      <c r="E2216" s="0" t="n">
        <f aca="false">VLOOKUP(B2216,'Babblefish-APUMA'!$A$1:$B$86,2)</f>
        <v>96</v>
      </c>
      <c r="F2216" s="0" t="n">
        <f aca="false">IF(C2216&gt;1,IF(C2216&lt;99,VLOOKUP(C2216,'Babblefish-APUMA'!$A$1:$B$86,2),C2216),C2216)</f>
        <v>75</v>
      </c>
    </row>
    <row r="2217" customFormat="false" ht="12.75" hidden="false" customHeight="false" outlineLevel="0" collapsed="false">
      <c r="A2217" s="0" t="n">
        <f aca="false">B2217*1000+C2217</f>
        <v>37076</v>
      </c>
      <c r="B2217" s="0" t="n">
        <v>37</v>
      </c>
      <c r="C2217" s="0" t="n">
        <v>76</v>
      </c>
      <c r="D2217" s="0" t="n">
        <v>0</v>
      </c>
      <c r="E2217" s="0" t="n">
        <f aca="false">VLOOKUP(B2217,'Babblefish-APUMA'!$A$1:$B$86,2)</f>
        <v>96</v>
      </c>
      <c r="F2217" s="0" t="n">
        <f aca="false">IF(C2217&gt;1,IF(C2217&lt;99,VLOOKUP(C2217,'Babblefish-APUMA'!$A$1:$B$86,2),C2217),C2217)</f>
        <v>76</v>
      </c>
    </row>
    <row r="2218" customFormat="false" ht="12.75" hidden="false" customHeight="false" outlineLevel="0" collapsed="false">
      <c r="A2218" s="0" t="n">
        <f aca="false">B2218*1000+C2218</f>
        <v>37077</v>
      </c>
      <c r="B2218" s="0" t="n">
        <v>37</v>
      </c>
      <c r="C2218" s="0" t="n">
        <v>77</v>
      </c>
      <c r="D2218" s="0" t="n">
        <v>182</v>
      </c>
      <c r="E2218" s="0" t="n">
        <f aca="false">VLOOKUP(B2218,'Babblefish-APUMA'!$A$1:$B$86,2)</f>
        <v>96</v>
      </c>
      <c r="F2218" s="0" t="n">
        <f aca="false">IF(C2218&gt;1,IF(C2218&lt;99,VLOOKUP(C2218,'Babblefish-APUMA'!$A$1:$B$86,2),C2218),C2218)</f>
        <v>77</v>
      </c>
    </row>
    <row r="2219" customFormat="false" ht="12.75" hidden="false" customHeight="false" outlineLevel="0" collapsed="false">
      <c r="A2219" s="0" t="n">
        <f aca="false">B2219*1000+C2219</f>
        <v>37079</v>
      </c>
      <c r="B2219" s="0" t="n">
        <v>37</v>
      </c>
      <c r="C2219" s="0" t="n">
        <v>79</v>
      </c>
      <c r="D2219" s="0" t="n">
        <v>0</v>
      </c>
      <c r="E2219" s="0" t="n">
        <f aca="false">VLOOKUP(B2219,'Babblefish-APUMA'!$A$1:$B$86,2)</f>
        <v>96</v>
      </c>
      <c r="F2219" s="0" t="n">
        <f aca="false">IF(C2219&gt;1,IF(C2219&lt;99,VLOOKUP(C2219,'Babblefish-APUMA'!$A$1:$B$86,2),C2219),C2219)</f>
        <v>89</v>
      </c>
    </row>
    <row r="2220" customFormat="false" ht="12.75" hidden="false" customHeight="false" outlineLevel="0" collapsed="false">
      <c r="A2220" s="0" t="n">
        <f aca="false">B2220*1000+C2220</f>
        <v>37080</v>
      </c>
      <c r="B2220" s="0" t="n">
        <v>37</v>
      </c>
      <c r="C2220" s="0" t="n">
        <v>80</v>
      </c>
      <c r="D2220" s="0" t="n">
        <v>0</v>
      </c>
      <c r="E2220" s="0" t="n">
        <f aca="false">VLOOKUP(B2220,'Babblefish-APUMA'!$A$1:$B$86,2)</f>
        <v>96</v>
      </c>
      <c r="F2220" s="0" t="n">
        <f aca="false">IF(C2220&gt;1,IF(C2220&lt;99,VLOOKUP(C2220,'Babblefish-APUMA'!$A$1:$B$86,2),C2220),C2220)</f>
        <v>80</v>
      </c>
    </row>
    <row r="2221" customFormat="false" ht="12.75" hidden="false" customHeight="false" outlineLevel="0" collapsed="false">
      <c r="A2221" s="0" t="n">
        <f aca="false">B2221*1000+C2221</f>
        <v>37081</v>
      </c>
      <c r="B2221" s="0" t="n">
        <v>37</v>
      </c>
      <c r="C2221" s="0" t="n">
        <v>81</v>
      </c>
      <c r="D2221" s="0" t="n">
        <v>117</v>
      </c>
      <c r="E2221" s="0" t="n">
        <f aca="false">VLOOKUP(B2221,'Babblefish-APUMA'!$A$1:$B$86,2)</f>
        <v>96</v>
      </c>
      <c r="F2221" s="0" t="n">
        <f aca="false">IF(C2221&gt;1,IF(C2221&lt;99,VLOOKUP(C2221,'Babblefish-APUMA'!$A$1:$B$86,2),C2221),C2221)</f>
        <v>93</v>
      </c>
    </row>
    <row r="2222" customFormat="false" ht="12.75" hidden="false" customHeight="false" outlineLevel="0" collapsed="false">
      <c r="A2222" s="0" t="n">
        <f aca="false">B2222*1000+C2222</f>
        <v>37082</v>
      </c>
      <c r="B2222" s="0" t="n">
        <v>37</v>
      </c>
      <c r="C2222" s="0" t="n">
        <v>82</v>
      </c>
      <c r="D2222" s="0" t="n">
        <v>0</v>
      </c>
      <c r="E2222" s="0" t="n">
        <f aca="false">VLOOKUP(B2222,'Babblefish-APUMA'!$A$1:$B$86,2)</f>
        <v>96</v>
      </c>
      <c r="F2222" s="0" t="n">
        <f aca="false">IF(C2222&gt;1,IF(C2222&lt;99,VLOOKUP(C2222,'Babblefish-APUMA'!$A$1:$B$86,2),C2222),C2222)</f>
        <v>95</v>
      </c>
    </row>
    <row r="2223" customFormat="false" ht="12.75" hidden="false" customHeight="false" outlineLevel="0" collapsed="false">
      <c r="A2223" s="0" t="n">
        <f aca="false">B2223*1000+C2223</f>
        <v>37083</v>
      </c>
      <c r="B2223" s="0" t="n">
        <v>37</v>
      </c>
      <c r="C2223" s="0" t="n">
        <v>83</v>
      </c>
      <c r="D2223" s="0" t="n">
        <v>0</v>
      </c>
      <c r="E2223" s="0" t="n">
        <f aca="false">VLOOKUP(B2223,'Babblefish-APUMA'!$A$1:$B$86,2)</f>
        <v>96</v>
      </c>
      <c r="F2223" s="0" t="n">
        <f aca="false">IF(C2223&gt;1,IF(C2223&lt;99,VLOOKUP(C2223,'Babblefish-APUMA'!$A$1:$B$86,2),C2223),C2223)</f>
        <v>103</v>
      </c>
    </row>
    <row r="2224" customFormat="false" ht="12.75" hidden="false" customHeight="false" outlineLevel="0" collapsed="false">
      <c r="A2224" s="0" t="n">
        <f aca="false">B2224*1000+C2224</f>
        <v>37084</v>
      </c>
      <c r="B2224" s="0" t="n">
        <v>37</v>
      </c>
      <c r="C2224" s="0" t="n">
        <v>84</v>
      </c>
      <c r="D2224" s="0" t="n">
        <v>611</v>
      </c>
      <c r="E2224" s="0" t="n">
        <f aca="false">VLOOKUP(B2224,'Babblefish-APUMA'!$A$1:$B$86,2)</f>
        <v>96</v>
      </c>
      <c r="F2224" s="0" t="n">
        <f aca="false">IF(C2224&gt;1,IF(C2224&lt;99,VLOOKUP(C2224,'Babblefish-APUMA'!$A$1:$B$86,2),C2224),C2224)</f>
        <v>92</v>
      </c>
    </row>
    <row r="2225" customFormat="false" ht="12.75" hidden="false" customHeight="false" outlineLevel="0" collapsed="false">
      <c r="A2225" s="0" t="n">
        <f aca="false">B2225*1000+C2225</f>
        <v>37085</v>
      </c>
      <c r="B2225" s="0" t="n">
        <v>37</v>
      </c>
      <c r="C2225" s="0" t="n">
        <v>85</v>
      </c>
      <c r="D2225" s="0" t="n">
        <v>0</v>
      </c>
      <c r="E2225" s="0" t="n">
        <f aca="false">VLOOKUP(B2225,'Babblefish-APUMA'!$A$1:$B$86,2)</f>
        <v>96</v>
      </c>
      <c r="F2225" s="0" t="n">
        <f aca="false">IF(C2225&gt;1,IF(C2225&lt;99,VLOOKUP(C2225,'Babblefish-APUMA'!$A$1:$B$86,2),C2225),C2225)</f>
        <v>97</v>
      </c>
    </row>
    <row r="2226" customFormat="false" ht="12.75" hidden="false" customHeight="false" outlineLevel="0" collapsed="false">
      <c r="A2226" s="0" t="n">
        <f aca="false">B2226*1000+C2226</f>
        <v>37858</v>
      </c>
      <c r="B2226" s="0" t="n">
        <v>37</v>
      </c>
      <c r="C2226" s="0" t="n">
        <v>858</v>
      </c>
      <c r="D2226" s="0" t="n">
        <v>0</v>
      </c>
      <c r="E2226" s="0" t="n">
        <f aca="false">VLOOKUP(B2226,'Babblefish-APUMA'!$A$1:$B$86,2)</f>
        <v>96</v>
      </c>
      <c r="F2226" s="0" t="n">
        <f aca="false">IF(C2226&gt;1,IF(C2226&lt;99,VLOOKUP(C2226,'Babblefish-APUMA'!$A$1:$B$86,2),C2226),C2226)</f>
        <v>858</v>
      </c>
    </row>
    <row r="2227" customFormat="false" ht="12.75" hidden="false" customHeight="false" outlineLevel="0" collapsed="false">
      <c r="A2227" s="0" t="n">
        <f aca="false">B2227*1000+C2227</f>
        <v>37983</v>
      </c>
      <c r="B2227" s="0" t="n">
        <v>37</v>
      </c>
      <c r="C2227" s="0" t="n">
        <v>983</v>
      </c>
      <c r="D2227" s="0" t="n">
        <v>0</v>
      </c>
      <c r="E2227" s="0" t="n">
        <f aca="false">VLOOKUP(B2227,'Babblefish-APUMA'!$A$1:$B$86,2)</f>
        <v>96</v>
      </c>
      <c r="F2227" s="0" t="n">
        <f aca="false">IF(C2227&gt;1,IF(C2227&lt;99,VLOOKUP(C2227,'Babblefish-APUMA'!$A$1:$B$86,2),C2227),C2227)</f>
        <v>983</v>
      </c>
    </row>
    <row r="2228" customFormat="false" ht="12.75" hidden="false" customHeight="false" outlineLevel="0" collapsed="false">
      <c r="A2228" s="0" t="n">
        <f aca="false">B2228*1000+C2228</f>
        <v>37999</v>
      </c>
      <c r="B2228" s="0" t="n">
        <v>37</v>
      </c>
      <c r="C2228" s="0" t="n">
        <v>999</v>
      </c>
      <c r="D2228" s="0" t="n">
        <v>1092</v>
      </c>
      <c r="E2228" s="0" t="n">
        <f aca="false">VLOOKUP(B2228,'Babblefish-APUMA'!$A$1:$B$86,2)</f>
        <v>96</v>
      </c>
      <c r="F2228" s="0" t="n">
        <f aca="false">IF(C2228&gt;1,IF(C2228&lt;99,VLOOKUP(C2228,'Babblefish-APUMA'!$A$1:$B$86,2),C2228),C2228)</f>
        <v>999</v>
      </c>
    </row>
    <row r="2229" customFormat="false" ht="12.75" hidden="false" customHeight="false" outlineLevel="0" collapsed="false">
      <c r="A2229" s="0" t="n">
        <f aca="false">B2229*1000+C2229</f>
        <v>38000</v>
      </c>
      <c r="B2229" s="0" t="n">
        <v>38</v>
      </c>
      <c r="C2229" s="0" t="n">
        <v>0</v>
      </c>
      <c r="D2229" s="0" t="n">
        <v>62361</v>
      </c>
      <c r="E2229" s="0" t="n">
        <f aca="false">VLOOKUP(B2229,'Babblefish-APUMA'!$A$1:$B$86,2)</f>
        <v>91</v>
      </c>
      <c r="F2229" s="0" t="n">
        <f aca="false">IF(C2229&gt;1,IF(C2229&lt;99,VLOOKUP(C2229,'Babblefish-APUMA'!$A$1:$B$86,2),C2229),C2229)</f>
        <v>0</v>
      </c>
    </row>
    <row r="2230" customFormat="false" ht="12.75" hidden="false" customHeight="false" outlineLevel="0" collapsed="false">
      <c r="A2230" s="0" t="n">
        <f aca="false">B2230*1000+C2230</f>
        <v>38001</v>
      </c>
      <c r="B2230" s="0" t="n">
        <v>38</v>
      </c>
      <c r="C2230" s="0" t="n">
        <v>1</v>
      </c>
      <c r="D2230" s="0" t="n">
        <v>91</v>
      </c>
      <c r="E2230" s="0" t="n">
        <f aca="false">VLOOKUP(B2230,'Babblefish-APUMA'!$A$1:$B$86,2)</f>
        <v>91</v>
      </c>
      <c r="F2230" s="0" t="n">
        <f aca="false">IF(C2230&gt;1,IF(C2230&lt;99,VLOOKUP(C2230,'Babblefish-APUMA'!$A$1:$B$86,2),C2230),C2230)</f>
        <v>1</v>
      </c>
    </row>
    <row r="2231" customFormat="false" ht="12.75" hidden="false" customHeight="false" outlineLevel="0" collapsed="false">
      <c r="A2231" s="0" t="n">
        <f aca="false">B2231*1000+C2231</f>
        <v>38002</v>
      </c>
      <c r="B2231" s="0" t="n">
        <v>38</v>
      </c>
      <c r="C2231" s="0" t="n">
        <v>2</v>
      </c>
      <c r="D2231" s="0" t="n">
        <v>0</v>
      </c>
      <c r="E2231" s="0" t="n">
        <f aca="false">VLOOKUP(B2231,'Babblefish-APUMA'!$A$1:$B$86,2)</f>
        <v>91</v>
      </c>
      <c r="F2231" s="0" t="n">
        <f aca="false">IF(C2231&gt;1,IF(C2231&lt;99,VLOOKUP(C2231,'Babblefish-APUMA'!$A$1:$B$86,2),C2231),C2231)</f>
        <v>2</v>
      </c>
    </row>
    <row r="2232" customFormat="false" ht="12.75" hidden="false" customHeight="false" outlineLevel="0" collapsed="false">
      <c r="A2232" s="0" t="n">
        <f aca="false">B2232*1000+C2232</f>
        <v>38003</v>
      </c>
      <c r="B2232" s="0" t="n">
        <v>38</v>
      </c>
      <c r="C2232" s="0" t="n">
        <v>3</v>
      </c>
      <c r="D2232" s="0" t="n">
        <v>0</v>
      </c>
      <c r="E2232" s="0" t="n">
        <f aca="false">VLOOKUP(B2232,'Babblefish-APUMA'!$A$1:$B$86,2)</f>
        <v>91</v>
      </c>
      <c r="F2232" s="0" t="n">
        <f aca="false">IF(C2232&gt;1,IF(C2232&lt;99,VLOOKUP(C2232,'Babblefish-APUMA'!$A$1:$B$86,2),C2232),C2232)</f>
        <v>3</v>
      </c>
    </row>
    <row r="2233" customFormat="false" ht="12.75" hidden="false" customHeight="false" outlineLevel="0" collapsed="false">
      <c r="A2233" s="0" t="n">
        <f aca="false">B2233*1000+C2233</f>
        <v>38004</v>
      </c>
      <c r="B2233" s="0" t="n">
        <v>38</v>
      </c>
      <c r="C2233" s="0" t="n">
        <v>4</v>
      </c>
      <c r="D2233" s="0" t="n">
        <v>78</v>
      </c>
      <c r="E2233" s="0" t="n">
        <f aca="false">VLOOKUP(B2233,'Babblefish-APUMA'!$A$1:$B$86,2)</f>
        <v>91</v>
      </c>
      <c r="F2233" s="0" t="n">
        <f aca="false">IF(C2233&gt;1,IF(C2233&lt;99,VLOOKUP(C2233,'Babblefish-APUMA'!$A$1:$B$86,2),C2233),C2233)</f>
        <v>4</v>
      </c>
    </row>
    <row r="2234" customFormat="false" ht="12.75" hidden="false" customHeight="false" outlineLevel="0" collapsed="false">
      <c r="A2234" s="0" t="n">
        <f aca="false">B2234*1000+C2234</f>
        <v>38005</v>
      </c>
      <c r="B2234" s="0" t="n">
        <v>38</v>
      </c>
      <c r="C2234" s="0" t="n">
        <v>5</v>
      </c>
      <c r="D2234" s="0" t="n">
        <v>0</v>
      </c>
      <c r="E2234" s="0" t="n">
        <f aca="false">VLOOKUP(B2234,'Babblefish-APUMA'!$A$1:$B$86,2)</f>
        <v>91</v>
      </c>
      <c r="F2234" s="0" t="n">
        <f aca="false">IF(C2234&gt;1,IF(C2234&lt;99,VLOOKUP(C2234,'Babblefish-APUMA'!$A$1:$B$86,2),C2234),C2234)</f>
        <v>5</v>
      </c>
    </row>
    <row r="2235" customFormat="false" ht="12.75" hidden="false" customHeight="false" outlineLevel="0" collapsed="false">
      <c r="A2235" s="0" t="n">
        <f aca="false">B2235*1000+C2235</f>
        <v>38006</v>
      </c>
      <c r="B2235" s="0" t="n">
        <v>38</v>
      </c>
      <c r="C2235" s="0" t="n">
        <v>6</v>
      </c>
      <c r="D2235" s="0" t="n">
        <v>0</v>
      </c>
      <c r="E2235" s="0" t="n">
        <f aca="false">VLOOKUP(B2235,'Babblefish-APUMA'!$A$1:$B$86,2)</f>
        <v>91</v>
      </c>
      <c r="F2235" s="0" t="n">
        <f aca="false">IF(C2235&gt;1,IF(C2235&lt;99,VLOOKUP(C2235,'Babblefish-APUMA'!$A$1:$B$86,2),C2235),C2235)</f>
        <v>6</v>
      </c>
    </row>
    <row r="2236" customFormat="false" ht="12.75" hidden="false" customHeight="false" outlineLevel="0" collapsed="false">
      <c r="A2236" s="0" t="n">
        <f aca="false">B2236*1000+C2236</f>
        <v>38007</v>
      </c>
      <c r="B2236" s="0" t="n">
        <v>38</v>
      </c>
      <c r="C2236" s="0" t="n">
        <v>7</v>
      </c>
      <c r="D2236" s="0" t="n">
        <v>0</v>
      </c>
      <c r="E2236" s="0" t="n">
        <f aca="false">VLOOKUP(B2236,'Babblefish-APUMA'!$A$1:$B$86,2)</f>
        <v>91</v>
      </c>
      <c r="F2236" s="0" t="n">
        <f aca="false">IF(C2236&gt;1,IF(C2236&lt;99,VLOOKUP(C2236,'Babblefish-APUMA'!$A$1:$B$86,2),C2236),C2236)</f>
        <v>7</v>
      </c>
    </row>
    <row r="2237" customFormat="false" ht="12.75" hidden="false" customHeight="false" outlineLevel="0" collapsed="false">
      <c r="A2237" s="0" t="n">
        <f aca="false">B2237*1000+C2237</f>
        <v>38008</v>
      </c>
      <c r="B2237" s="0" t="n">
        <v>38</v>
      </c>
      <c r="C2237" s="0" t="n">
        <v>8</v>
      </c>
      <c r="D2237" s="0" t="n">
        <v>0</v>
      </c>
      <c r="E2237" s="0" t="n">
        <f aca="false">VLOOKUP(B2237,'Babblefish-APUMA'!$A$1:$B$86,2)</f>
        <v>91</v>
      </c>
      <c r="F2237" s="0" t="n">
        <f aca="false">IF(C2237&gt;1,IF(C2237&lt;99,VLOOKUP(C2237,'Babblefish-APUMA'!$A$1:$B$86,2),C2237),C2237)</f>
        <v>8</v>
      </c>
    </row>
    <row r="2238" customFormat="false" ht="12.75" hidden="false" customHeight="false" outlineLevel="0" collapsed="false">
      <c r="A2238" s="0" t="n">
        <f aca="false">B2238*1000+C2238</f>
        <v>38009</v>
      </c>
      <c r="B2238" s="0" t="n">
        <v>38</v>
      </c>
      <c r="C2238" s="0" t="n">
        <v>9</v>
      </c>
      <c r="D2238" s="0" t="n">
        <v>0</v>
      </c>
      <c r="E2238" s="0" t="n">
        <f aca="false">VLOOKUP(B2238,'Babblefish-APUMA'!$A$1:$B$86,2)</f>
        <v>91</v>
      </c>
      <c r="F2238" s="0" t="n">
        <f aca="false">IF(C2238&gt;1,IF(C2238&lt;99,VLOOKUP(C2238,'Babblefish-APUMA'!$A$1:$B$86,2),C2238),C2238)</f>
        <v>9</v>
      </c>
    </row>
    <row r="2239" customFormat="false" ht="12.75" hidden="false" customHeight="false" outlineLevel="0" collapsed="false">
      <c r="A2239" s="0" t="n">
        <f aca="false">B2239*1000+C2239</f>
        <v>38010</v>
      </c>
      <c r="B2239" s="0" t="n">
        <v>38</v>
      </c>
      <c r="C2239" s="0" t="n">
        <v>10</v>
      </c>
      <c r="D2239" s="0" t="n">
        <v>0</v>
      </c>
      <c r="E2239" s="0" t="n">
        <f aca="false">VLOOKUP(B2239,'Babblefish-APUMA'!$A$1:$B$86,2)</f>
        <v>91</v>
      </c>
      <c r="F2239" s="0" t="n">
        <f aca="false">IF(C2239&gt;1,IF(C2239&lt;99,VLOOKUP(C2239,'Babblefish-APUMA'!$A$1:$B$86,2),C2239),C2239)</f>
        <v>10</v>
      </c>
    </row>
    <row r="2240" customFormat="false" ht="12.75" hidden="false" customHeight="false" outlineLevel="0" collapsed="false">
      <c r="A2240" s="0" t="n">
        <f aca="false">B2240*1000+C2240</f>
        <v>38011</v>
      </c>
      <c r="B2240" s="0" t="n">
        <v>38</v>
      </c>
      <c r="C2240" s="0" t="n">
        <v>11</v>
      </c>
      <c r="D2240" s="0" t="n">
        <v>0</v>
      </c>
      <c r="E2240" s="0" t="n">
        <f aca="false">VLOOKUP(B2240,'Babblefish-APUMA'!$A$1:$B$86,2)</f>
        <v>91</v>
      </c>
      <c r="F2240" s="0" t="n">
        <f aca="false">IF(C2240&gt;1,IF(C2240&lt;99,VLOOKUP(C2240,'Babblefish-APUMA'!$A$1:$B$86,2),C2240),C2240)</f>
        <v>11</v>
      </c>
    </row>
    <row r="2241" customFormat="false" ht="12.75" hidden="false" customHeight="false" outlineLevel="0" collapsed="false">
      <c r="A2241" s="0" t="n">
        <f aca="false">B2241*1000+C2241</f>
        <v>38012</v>
      </c>
      <c r="B2241" s="0" t="n">
        <v>38</v>
      </c>
      <c r="C2241" s="0" t="n">
        <v>12</v>
      </c>
      <c r="D2241" s="0" t="n">
        <v>0</v>
      </c>
      <c r="E2241" s="0" t="n">
        <f aca="false">VLOOKUP(B2241,'Babblefish-APUMA'!$A$1:$B$86,2)</f>
        <v>91</v>
      </c>
      <c r="F2241" s="0" t="n">
        <f aca="false">IF(C2241&gt;1,IF(C2241&lt;99,VLOOKUP(C2241,'Babblefish-APUMA'!$A$1:$B$86,2),C2241),C2241)</f>
        <v>12</v>
      </c>
    </row>
    <row r="2242" customFormat="false" ht="12.75" hidden="false" customHeight="false" outlineLevel="0" collapsed="false">
      <c r="A2242" s="0" t="n">
        <f aca="false">B2242*1000+C2242</f>
        <v>38013</v>
      </c>
      <c r="B2242" s="0" t="n">
        <v>38</v>
      </c>
      <c r="C2242" s="0" t="n">
        <v>13</v>
      </c>
      <c r="D2242" s="0" t="n">
        <v>0</v>
      </c>
      <c r="E2242" s="0" t="n">
        <f aca="false">VLOOKUP(B2242,'Babblefish-APUMA'!$A$1:$B$86,2)</f>
        <v>91</v>
      </c>
      <c r="F2242" s="0" t="n">
        <f aca="false">IF(C2242&gt;1,IF(C2242&lt;99,VLOOKUP(C2242,'Babblefish-APUMA'!$A$1:$B$86,2),C2242),C2242)</f>
        <v>100</v>
      </c>
    </row>
    <row r="2243" customFormat="false" ht="12.75" hidden="false" customHeight="false" outlineLevel="0" collapsed="false">
      <c r="A2243" s="0" t="n">
        <f aca="false">B2243*1000+C2243</f>
        <v>38014</v>
      </c>
      <c r="B2243" s="0" t="n">
        <v>38</v>
      </c>
      <c r="C2243" s="0" t="n">
        <v>14</v>
      </c>
      <c r="D2243" s="0" t="n">
        <v>0</v>
      </c>
      <c r="E2243" s="0" t="n">
        <f aca="false">VLOOKUP(B2243,'Babblefish-APUMA'!$A$1:$B$86,2)</f>
        <v>91</v>
      </c>
      <c r="F2243" s="0" t="n">
        <f aca="false">IF(C2243&gt;1,IF(C2243&lt;99,VLOOKUP(C2243,'Babblefish-APUMA'!$A$1:$B$86,2),C2243),C2243)</f>
        <v>100</v>
      </c>
    </row>
    <row r="2244" customFormat="false" ht="12.75" hidden="false" customHeight="false" outlineLevel="0" collapsed="false">
      <c r="A2244" s="0" t="n">
        <f aca="false">B2244*1000+C2244</f>
        <v>38015</v>
      </c>
      <c r="B2244" s="0" t="n">
        <v>38</v>
      </c>
      <c r="C2244" s="0" t="n">
        <v>15</v>
      </c>
      <c r="D2244" s="0" t="n">
        <v>0</v>
      </c>
      <c r="E2244" s="0" t="n">
        <f aca="false">VLOOKUP(B2244,'Babblefish-APUMA'!$A$1:$B$86,2)</f>
        <v>91</v>
      </c>
      <c r="F2244" s="0" t="n">
        <f aca="false">IF(C2244&gt;1,IF(C2244&lt;99,VLOOKUP(C2244,'Babblefish-APUMA'!$A$1:$B$86,2),C2244),C2244)</f>
        <v>15</v>
      </c>
    </row>
    <row r="2245" customFormat="false" ht="12.75" hidden="false" customHeight="false" outlineLevel="0" collapsed="false">
      <c r="A2245" s="0" t="n">
        <f aca="false">B2245*1000+C2245</f>
        <v>38016</v>
      </c>
      <c r="B2245" s="0" t="n">
        <v>38</v>
      </c>
      <c r="C2245" s="0" t="n">
        <v>16</v>
      </c>
      <c r="D2245" s="0" t="n">
        <v>0</v>
      </c>
      <c r="E2245" s="0" t="n">
        <f aca="false">VLOOKUP(B2245,'Babblefish-APUMA'!$A$1:$B$86,2)</f>
        <v>91</v>
      </c>
      <c r="F2245" s="0" t="n">
        <f aca="false">IF(C2245&gt;1,IF(C2245&lt;99,VLOOKUP(C2245,'Babblefish-APUMA'!$A$1:$B$86,2),C2245),C2245)</f>
        <v>99</v>
      </c>
    </row>
    <row r="2246" customFormat="false" ht="12.75" hidden="false" customHeight="false" outlineLevel="0" collapsed="false">
      <c r="A2246" s="0" t="n">
        <f aca="false">B2246*1000+C2246</f>
        <v>38017</v>
      </c>
      <c r="B2246" s="0" t="n">
        <v>38</v>
      </c>
      <c r="C2246" s="0" t="n">
        <v>17</v>
      </c>
      <c r="D2246" s="0" t="n">
        <v>0</v>
      </c>
      <c r="E2246" s="0" t="n">
        <f aca="false">VLOOKUP(B2246,'Babblefish-APUMA'!$A$1:$B$86,2)</f>
        <v>91</v>
      </c>
      <c r="F2246" s="0" t="n">
        <f aca="false">IF(C2246&gt;1,IF(C2246&lt;99,VLOOKUP(C2246,'Babblefish-APUMA'!$A$1:$B$86,2),C2246),C2246)</f>
        <v>87</v>
      </c>
    </row>
    <row r="2247" customFormat="false" ht="12.75" hidden="false" customHeight="false" outlineLevel="0" collapsed="false">
      <c r="A2247" s="0" t="n">
        <f aca="false">B2247*1000+C2247</f>
        <v>38018</v>
      </c>
      <c r="B2247" s="0" t="n">
        <v>38</v>
      </c>
      <c r="C2247" s="0" t="n">
        <v>18</v>
      </c>
      <c r="D2247" s="0" t="n">
        <v>0</v>
      </c>
      <c r="E2247" s="0" t="n">
        <f aca="false">VLOOKUP(B2247,'Babblefish-APUMA'!$A$1:$B$86,2)</f>
        <v>91</v>
      </c>
      <c r="F2247" s="0" t="n">
        <f aca="false">IF(C2247&gt;1,IF(C2247&lt;99,VLOOKUP(C2247,'Babblefish-APUMA'!$A$1:$B$86,2),C2247),C2247)</f>
        <v>87</v>
      </c>
    </row>
    <row r="2248" customFormat="false" ht="12.75" hidden="false" customHeight="false" outlineLevel="0" collapsed="false">
      <c r="A2248" s="0" t="n">
        <f aca="false">B2248*1000+C2248</f>
        <v>38019</v>
      </c>
      <c r="B2248" s="0" t="n">
        <v>38</v>
      </c>
      <c r="C2248" s="0" t="n">
        <v>19</v>
      </c>
      <c r="D2248" s="0" t="n">
        <v>0</v>
      </c>
      <c r="E2248" s="0" t="n">
        <f aca="false">VLOOKUP(B2248,'Babblefish-APUMA'!$A$1:$B$86,2)</f>
        <v>91</v>
      </c>
      <c r="F2248" s="0" t="n">
        <f aca="false">IF(C2248&gt;1,IF(C2248&lt;99,VLOOKUP(C2248,'Babblefish-APUMA'!$A$1:$B$86,2),C2248),C2248)</f>
        <v>19</v>
      </c>
    </row>
    <row r="2249" customFormat="false" ht="12.75" hidden="false" customHeight="false" outlineLevel="0" collapsed="false">
      <c r="A2249" s="0" t="n">
        <f aca="false">B2249*1000+C2249</f>
        <v>38020</v>
      </c>
      <c r="B2249" s="0" t="n">
        <v>38</v>
      </c>
      <c r="C2249" s="0" t="n">
        <v>20</v>
      </c>
      <c r="D2249" s="0" t="n">
        <v>0</v>
      </c>
      <c r="E2249" s="0" t="n">
        <f aca="false">VLOOKUP(B2249,'Babblefish-APUMA'!$A$1:$B$86,2)</f>
        <v>91</v>
      </c>
      <c r="F2249" s="0" t="n">
        <f aca="false">IF(C2249&gt;1,IF(C2249&lt;99,VLOOKUP(C2249,'Babblefish-APUMA'!$A$1:$B$86,2),C2249),C2249)</f>
        <v>86</v>
      </c>
    </row>
    <row r="2250" customFormat="false" ht="12.75" hidden="false" customHeight="false" outlineLevel="0" collapsed="false">
      <c r="A2250" s="0" t="n">
        <f aca="false">B2250*1000+C2250</f>
        <v>38021</v>
      </c>
      <c r="B2250" s="0" t="n">
        <v>38</v>
      </c>
      <c r="C2250" s="0" t="n">
        <v>21</v>
      </c>
      <c r="D2250" s="0" t="n">
        <v>0</v>
      </c>
      <c r="E2250" s="0" t="n">
        <f aca="false">VLOOKUP(B2250,'Babblefish-APUMA'!$A$1:$B$86,2)</f>
        <v>91</v>
      </c>
      <c r="F2250" s="0" t="n">
        <f aca="false">IF(C2250&gt;1,IF(C2250&lt;99,VLOOKUP(C2250,'Babblefish-APUMA'!$A$1:$B$86,2),C2250),C2250)</f>
        <v>86</v>
      </c>
    </row>
    <row r="2251" customFormat="false" ht="12.75" hidden="false" customHeight="false" outlineLevel="0" collapsed="false">
      <c r="A2251" s="0" t="n">
        <f aca="false">B2251*1000+C2251</f>
        <v>38022</v>
      </c>
      <c r="B2251" s="0" t="n">
        <v>38</v>
      </c>
      <c r="C2251" s="0" t="n">
        <v>22</v>
      </c>
      <c r="D2251" s="0" t="n">
        <v>0</v>
      </c>
      <c r="E2251" s="0" t="n">
        <f aca="false">VLOOKUP(B2251,'Babblefish-APUMA'!$A$1:$B$86,2)</f>
        <v>91</v>
      </c>
      <c r="F2251" s="0" t="n">
        <f aca="false">IF(C2251&gt;1,IF(C2251&lt;99,VLOOKUP(C2251,'Babblefish-APUMA'!$A$1:$B$86,2),C2251),C2251)</f>
        <v>22</v>
      </c>
    </row>
    <row r="2252" customFormat="false" ht="12.75" hidden="false" customHeight="false" outlineLevel="0" collapsed="false">
      <c r="A2252" s="0" t="n">
        <f aca="false">B2252*1000+C2252</f>
        <v>38023</v>
      </c>
      <c r="B2252" s="0" t="n">
        <v>38</v>
      </c>
      <c r="C2252" s="0" t="n">
        <v>23</v>
      </c>
      <c r="D2252" s="0" t="n">
        <v>0</v>
      </c>
      <c r="E2252" s="0" t="n">
        <f aca="false">VLOOKUP(B2252,'Babblefish-APUMA'!$A$1:$B$86,2)</f>
        <v>91</v>
      </c>
      <c r="F2252" s="0" t="n">
        <f aca="false">IF(C2252&gt;1,IF(C2252&lt;99,VLOOKUP(C2252,'Babblefish-APUMA'!$A$1:$B$86,2),C2252),C2252)</f>
        <v>97</v>
      </c>
    </row>
    <row r="2253" customFormat="false" ht="12.75" hidden="false" customHeight="false" outlineLevel="0" collapsed="false">
      <c r="A2253" s="0" t="n">
        <f aca="false">B2253*1000+C2253</f>
        <v>38024</v>
      </c>
      <c r="B2253" s="0" t="n">
        <v>38</v>
      </c>
      <c r="C2253" s="0" t="n">
        <v>24</v>
      </c>
      <c r="D2253" s="0" t="n">
        <v>0</v>
      </c>
      <c r="E2253" s="0" t="n">
        <f aca="false">VLOOKUP(B2253,'Babblefish-APUMA'!$A$1:$B$86,2)</f>
        <v>91</v>
      </c>
      <c r="F2253" s="0" t="n">
        <f aca="false">IF(C2253&gt;1,IF(C2253&lt;99,VLOOKUP(C2253,'Babblefish-APUMA'!$A$1:$B$86,2),C2253),C2253)</f>
        <v>101</v>
      </c>
    </row>
    <row r="2254" customFormat="false" ht="12.75" hidden="false" customHeight="false" outlineLevel="0" collapsed="false">
      <c r="A2254" s="0" t="n">
        <f aca="false">B2254*1000+C2254</f>
        <v>38025</v>
      </c>
      <c r="B2254" s="0" t="n">
        <v>38</v>
      </c>
      <c r="C2254" s="0" t="n">
        <v>25</v>
      </c>
      <c r="D2254" s="0" t="n">
        <v>0</v>
      </c>
      <c r="E2254" s="0" t="n">
        <f aca="false">VLOOKUP(B2254,'Babblefish-APUMA'!$A$1:$B$86,2)</f>
        <v>91</v>
      </c>
      <c r="F2254" s="0" t="n">
        <f aca="false">IF(C2254&gt;1,IF(C2254&lt;99,VLOOKUP(C2254,'Babblefish-APUMA'!$A$1:$B$86,2),C2254),C2254)</f>
        <v>101</v>
      </c>
    </row>
    <row r="2255" customFormat="false" ht="12.75" hidden="false" customHeight="false" outlineLevel="0" collapsed="false">
      <c r="A2255" s="0" t="n">
        <f aca="false">B2255*1000+C2255</f>
        <v>38026</v>
      </c>
      <c r="B2255" s="0" t="n">
        <v>38</v>
      </c>
      <c r="C2255" s="0" t="n">
        <v>26</v>
      </c>
      <c r="D2255" s="0" t="n">
        <v>0</v>
      </c>
      <c r="E2255" s="0" t="n">
        <f aca="false">VLOOKUP(B2255,'Babblefish-APUMA'!$A$1:$B$86,2)</f>
        <v>91</v>
      </c>
      <c r="F2255" s="0" t="n">
        <f aca="false">IF(C2255&gt;1,IF(C2255&lt;99,VLOOKUP(C2255,'Babblefish-APUMA'!$A$1:$B$86,2),C2255),C2255)</f>
        <v>26</v>
      </c>
    </row>
    <row r="2256" customFormat="false" ht="12.75" hidden="false" customHeight="false" outlineLevel="0" collapsed="false">
      <c r="A2256" s="0" t="n">
        <f aca="false">B2256*1000+C2256</f>
        <v>38027</v>
      </c>
      <c r="B2256" s="0" t="n">
        <v>38</v>
      </c>
      <c r="C2256" s="0" t="n">
        <v>27</v>
      </c>
      <c r="D2256" s="0" t="n">
        <v>143</v>
      </c>
      <c r="E2256" s="0" t="n">
        <f aca="false">VLOOKUP(B2256,'Babblefish-APUMA'!$A$1:$B$86,2)</f>
        <v>91</v>
      </c>
      <c r="F2256" s="0" t="n">
        <f aca="false">IF(C2256&gt;1,IF(C2256&lt;99,VLOOKUP(C2256,'Babblefish-APUMA'!$A$1:$B$86,2),C2256),C2256)</f>
        <v>27</v>
      </c>
    </row>
    <row r="2257" customFormat="false" ht="12.75" hidden="false" customHeight="false" outlineLevel="0" collapsed="false">
      <c r="A2257" s="0" t="n">
        <f aca="false">B2257*1000+C2257</f>
        <v>38028</v>
      </c>
      <c r="B2257" s="0" t="n">
        <v>38</v>
      </c>
      <c r="C2257" s="0" t="n">
        <v>28</v>
      </c>
      <c r="D2257" s="0" t="n">
        <v>0</v>
      </c>
      <c r="E2257" s="0" t="n">
        <f aca="false">VLOOKUP(B2257,'Babblefish-APUMA'!$A$1:$B$86,2)</f>
        <v>91</v>
      </c>
      <c r="F2257" s="0" t="n">
        <f aca="false">IF(C2257&gt;1,IF(C2257&lt;99,VLOOKUP(C2257,'Babblefish-APUMA'!$A$1:$B$86,2),C2257),C2257)</f>
        <v>94</v>
      </c>
    </row>
    <row r="2258" customFormat="false" ht="12.75" hidden="false" customHeight="false" outlineLevel="0" collapsed="false">
      <c r="A2258" s="0" t="n">
        <f aca="false">B2258*1000+C2258</f>
        <v>38029</v>
      </c>
      <c r="B2258" s="0" t="n">
        <v>38</v>
      </c>
      <c r="C2258" s="0" t="n">
        <v>29</v>
      </c>
      <c r="D2258" s="0" t="n">
        <v>0</v>
      </c>
      <c r="E2258" s="0" t="n">
        <f aca="false">VLOOKUP(B2258,'Babblefish-APUMA'!$A$1:$B$86,2)</f>
        <v>91</v>
      </c>
      <c r="F2258" s="0" t="n">
        <f aca="false">IF(C2258&gt;1,IF(C2258&lt;99,VLOOKUP(C2258,'Babblefish-APUMA'!$A$1:$B$86,2),C2258),C2258)</f>
        <v>94</v>
      </c>
    </row>
    <row r="2259" customFormat="false" ht="12.75" hidden="false" customHeight="false" outlineLevel="0" collapsed="false">
      <c r="A2259" s="0" t="n">
        <f aca="false">B2259*1000+C2259</f>
        <v>38030</v>
      </c>
      <c r="B2259" s="0" t="n">
        <v>38</v>
      </c>
      <c r="C2259" s="0" t="n">
        <v>30</v>
      </c>
      <c r="D2259" s="0" t="n">
        <v>0</v>
      </c>
      <c r="E2259" s="0" t="n">
        <f aca="false">VLOOKUP(B2259,'Babblefish-APUMA'!$A$1:$B$86,2)</f>
        <v>91</v>
      </c>
      <c r="F2259" s="0" t="n">
        <f aca="false">IF(C2259&gt;1,IF(C2259&lt;99,VLOOKUP(C2259,'Babblefish-APUMA'!$A$1:$B$86,2),C2259),C2259)</f>
        <v>30</v>
      </c>
    </row>
    <row r="2260" customFormat="false" ht="12.75" hidden="false" customHeight="false" outlineLevel="0" collapsed="false">
      <c r="A2260" s="0" t="n">
        <f aca="false">B2260*1000+C2260</f>
        <v>38031</v>
      </c>
      <c r="B2260" s="0" t="n">
        <v>38</v>
      </c>
      <c r="C2260" s="0" t="n">
        <v>31</v>
      </c>
      <c r="D2260" s="0" t="n">
        <v>0</v>
      </c>
      <c r="E2260" s="0" t="n">
        <f aca="false">VLOOKUP(B2260,'Babblefish-APUMA'!$A$1:$B$86,2)</f>
        <v>91</v>
      </c>
      <c r="F2260" s="0" t="n">
        <f aca="false">IF(C2260&gt;1,IF(C2260&lt;99,VLOOKUP(C2260,'Babblefish-APUMA'!$A$1:$B$86,2),C2260),C2260)</f>
        <v>31</v>
      </c>
    </row>
    <row r="2261" customFormat="false" ht="12.75" hidden="false" customHeight="false" outlineLevel="0" collapsed="false">
      <c r="A2261" s="0" t="n">
        <f aca="false">B2261*1000+C2261</f>
        <v>38032</v>
      </c>
      <c r="B2261" s="0" t="n">
        <v>38</v>
      </c>
      <c r="C2261" s="0" t="n">
        <v>32</v>
      </c>
      <c r="D2261" s="0" t="n">
        <v>65</v>
      </c>
      <c r="E2261" s="0" t="n">
        <f aca="false">VLOOKUP(B2261,'Babblefish-APUMA'!$A$1:$B$86,2)</f>
        <v>91</v>
      </c>
      <c r="F2261" s="0" t="n">
        <f aca="false">IF(C2261&gt;1,IF(C2261&lt;99,VLOOKUP(C2261,'Babblefish-APUMA'!$A$1:$B$86,2),C2261),C2261)</f>
        <v>32</v>
      </c>
    </row>
    <row r="2262" customFormat="false" ht="12.75" hidden="false" customHeight="false" outlineLevel="0" collapsed="false">
      <c r="A2262" s="0" t="n">
        <f aca="false">B2262*1000+C2262</f>
        <v>38033</v>
      </c>
      <c r="B2262" s="0" t="n">
        <v>38</v>
      </c>
      <c r="C2262" s="0" t="n">
        <v>33</v>
      </c>
      <c r="D2262" s="0" t="n">
        <v>0</v>
      </c>
      <c r="E2262" s="0" t="n">
        <f aca="false">VLOOKUP(B2262,'Babblefish-APUMA'!$A$1:$B$86,2)</f>
        <v>91</v>
      </c>
      <c r="F2262" s="0" t="n">
        <f aca="false">IF(C2262&gt;1,IF(C2262&lt;99,VLOOKUP(C2262,'Babblefish-APUMA'!$A$1:$B$86,2),C2262),C2262)</f>
        <v>96</v>
      </c>
    </row>
    <row r="2263" customFormat="false" ht="12.75" hidden="false" customHeight="false" outlineLevel="0" collapsed="false">
      <c r="A2263" s="0" t="n">
        <f aca="false">B2263*1000+C2263</f>
        <v>38034</v>
      </c>
      <c r="B2263" s="0" t="n">
        <v>38</v>
      </c>
      <c r="C2263" s="0" t="n">
        <v>34</v>
      </c>
      <c r="D2263" s="0" t="n">
        <v>0</v>
      </c>
      <c r="E2263" s="0" t="n">
        <f aca="false">VLOOKUP(B2263,'Babblefish-APUMA'!$A$1:$B$86,2)</f>
        <v>91</v>
      </c>
      <c r="F2263" s="0" t="n">
        <f aca="false">IF(C2263&gt;1,IF(C2263&lt;99,VLOOKUP(C2263,'Babblefish-APUMA'!$A$1:$B$86,2),C2263),C2263)</f>
        <v>96</v>
      </c>
    </row>
    <row r="2264" customFormat="false" ht="12.75" hidden="false" customHeight="false" outlineLevel="0" collapsed="false">
      <c r="A2264" s="0" t="n">
        <f aca="false">B2264*1000+C2264</f>
        <v>38035</v>
      </c>
      <c r="B2264" s="0" t="n">
        <v>38</v>
      </c>
      <c r="C2264" s="0" t="n">
        <v>35</v>
      </c>
      <c r="D2264" s="0" t="n">
        <v>0</v>
      </c>
      <c r="E2264" s="0" t="n">
        <f aca="false">VLOOKUP(B2264,'Babblefish-APUMA'!$A$1:$B$86,2)</f>
        <v>91</v>
      </c>
      <c r="F2264" s="0" t="n">
        <f aca="false">IF(C2264&gt;1,IF(C2264&lt;99,VLOOKUP(C2264,'Babblefish-APUMA'!$A$1:$B$86,2),C2264),C2264)</f>
        <v>96</v>
      </c>
    </row>
    <row r="2265" customFormat="false" ht="12.75" hidden="false" customHeight="false" outlineLevel="0" collapsed="false">
      <c r="A2265" s="0" t="n">
        <f aca="false">B2265*1000+C2265</f>
        <v>38036</v>
      </c>
      <c r="B2265" s="0" t="n">
        <v>38</v>
      </c>
      <c r="C2265" s="0" t="n">
        <v>36</v>
      </c>
      <c r="D2265" s="0" t="n">
        <v>0</v>
      </c>
      <c r="E2265" s="0" t="n">
        <f aca="false">VLOOKUP(B2265,'Babblefish-APUMA'!$A$1:$B$86,2)</f>
        <v>91</v>
      </c>
      <c r="F2265" s="0" t="n">
        <f aca="false">IF(C2265&gt;1,IF(C2265&lt;99,VLOOKUP(C2265,'Babblefish-APUMA'!$A$1:$B$86,2),C2265),C2265)</f>
        <v>96</v>
      </c>
    </row>
    <row r="2266" customFormat="false" ht="12.75" hidden="false" customHeight="false" outlineLevel="0" collapsed="false">
      <c r="A2266" s="0" t="n">
        <f aca="false">B2266*1000+C2266</f>
        <v>38037</v>
      </c>
      <c r="B2266" s="0" t="n">
        <v>38</v>
      </c>
      <c r="C2266" s="0" t="n">
        <v>37</v>
      </c>
      <c r="D2266" s="0" t="n">
        <v>0</v>
      </c>
      <c r="E2266" s="0" t="n">
        <f aca="false">VLOOKUP(B2266,'Babblefish-APUMA'!$A$1:$B$86,2)</f>
        <v>91</v>
      </c>
      <c r="F2266" s="0" t="n">
        <f aca="false">IF(C2266&gt;1,IF(C2266&lt;99,VLOOKUP(C2266,'Babblefish-APUMA'!$A$1:$B$86,2),C2266),C2266)</f>
        <v>96</v>
      </c>
    </row>
    <row r="2267" customFormat="false" ht="12.75" hidden="false" customHeight="false" outlineLevel="0" collapsed="false">
      <c r="A2267" s="0" t="n">
        <f aca="false">B2267*1000+C2267</f>
        <v>38038</v>
      </c>
      <c r="B2267" s="0" t="n">
        <v>38</v>
      </c>
      <c r="C2267" s="0" t="n">
        <v>38</v>
      </c>
      <c r="D2267" s="0" t="n">
        <v>30706</v>
      </c>
      <c r="E2267" s="0" t="n">
        <f aca="false">VLOOKUP(B2267,'Babblefish-APUMA'!$A$1:$B$86,2)</f>
        <v>91</v>
      </c>
      <c r="F2267" s="0" t="n">
        <f aca="false">IF(C2267&gt;1,IF(C2267&lt;99,VLOOKUP(C2267,'Babblefish-APUMA'!$A$1:$B$86,2),C2267),C2267)</f>
        <v>91</v>
      </c>
    </row>
    <row r="2268" customFormat="false" ht="12.75" hidden="false" customHeight="false" outlineLevel="0" collapsed="false">
      <c r="A2268" s="0" t="n">
        <f aca="false">B2268*1000+C2268</f>
        <v>38039</v>
      </c>
      <c r="B2268" s="0" t="n">
        <v>38</v>
      </c>
      <c r="C2268" s="0" t="n">
        <v>39</v>
      </c>
      <c r="D2268" s="0" t="n">
        <v>12662</v>
      </c>
      <c r="E2268" s="0" t="n">
        <f aca="false">VLOOKUP(B2268,'Babblefish-APUMA'!$A$1:$B$86,2)</f>
        <v>91</v>
      </c>
      <c r="F2268" s="0" t="n">
        <f aca="false">IF(C2268&gt;1,IF(C2268&lt;99,VLOOKUP(C2268,'Babblefish-APUMA'!$A$1:$B$86,2),C2268),C2268)</f>
        <v>91</v>
      </c>
    </row>
    <row r="2269" customFormat="false" ht="12.75" hidden="false" customHeight="false" outlineLevel="0" collapsed="false">
      <c r="A2269" s="0" t="n">
        <f aca="false">B2269*1000+C2269</f>
        <v>38040</v>
      </c>
      <c r="B2269" s="0" t="n">
        <v>38</v>
      </c>
      <c r="C2269" s="0" t="n">
        <v>40</v>
      </c>
      <c r="D2269" s="0" t="n">
        <v>0</v>
      </c>
      <c r="E2269" s="0" t="n">
        <f aca="false">VLOOKUP(B2269,'Babblefish-APUMA'!$A$1:$B$86,2)</f>
        <v>91</v>
      </c>
      <c r="F2269" s="0" t="n">
        <f aca="false">IF(C2269&gt;1,IF(C2269&lt;99,VLOOKUP(C2269,'Babblefish-APUMA'!$A$1:$B$86,2),C2269),C2269)</f>
        <v>88</v>
      </c>
    </row>
    <row r="2270" customFormat="false" ht="12.75" hidden="false" customHeight="false" outlineLevel="0" collapsed="false">
      <c r="A2270" s="0" t="n">
        <f aca="false">B2270*1000+C2270</f>
        <v>38041</v>
      </c>
      <c r="B2270" s="0" t="n">
        <v>38</v>
      </c>
      <c r="C2270" s="0" t="n">
        <v>41</v>
      </c>
      <c r="D2270" s="0" t="n">
        <v>91</v>
      </c>
      <c r="E2270" s="0" t="n">
        <f aca="false">VLOOKUP(B2270,'Babblefish-APUMA'!$A$1:$B$86,2)</f>
        <v>91</v>
      </c>
      <c r="F2270" s="0" t="n">
        <f aca="false">IF(C2270&gt;1,IF(C2270&lt;99,VLOOKUP(C2270,'Babblefish-APUMA'!$A$1:$B$86,2),C2270),C2270)</f>
        <v>88</v>
      </c>
    </row>
    <row r="2271" customFormat="false" ht="12.75" hidden="false" customHeight="false" outlineLevel="0" collapsed="false">
      <c r="A2271" s="0" t="n">
        <f aca="false">B2271*1000+C2271</f>
        <v>38042</v>
      </c>
      <c r="B2271" s="0" t="n">
        <v>38</v>
      </c>
      <c r="C2271" s="0" t="n">
        <v>42</v>
      </c>
      <c r="D2271" s="0" t="n">
        <v>0</v>
      </c>
      <c r="E2271" s="0" t="n">
        <f aca="false">VLOOKUP(B2271,'Babblefish-APUMA'!$A$1:$B$86,2)</f>
        <v>91</v>
      </c>
      <c r="F2271" s="0" t="n">
        <f aca="false">IF(C2271&gt;1,IF(C2271&lt;99,VLOOKUP(C2271,'Babblefish-APUMA'!$A$1:$B$86,2),C2271),C2271)</f>
        <v>92</v>
      </c>
    </row>
    <row r="2272" customFormat="false" ht="12.75" hidden="false" customHeight="false" outlineLevel="0" collapsed="false">
      <c r="A2272" s="0" t="n">
        <f aca="false">B2272*1000+C2272</f>
        <v>38043</v>
      </c>
      <c r="B2272" s="0" t="n">
        <v>38</v>
      </c>
      <c r="C2272" s="0" t="n">
        <v>43</v>
      </c>
      <c r="D2272" s="0" t="n">
        <v>0</v>
      </c>
      <c r="E2272" s="0" t="n">
        <f aca="false">VLOOKUP(B2272,'Babblefish-APUMA'!$A$1:$B$86,2)</f>
        <v>91</v>
      </c>
      <c r="F2272" s="0" t="n">
        <f aca="false">IF(C2272&gt;1,IF(C2272&lt;99,VLOOKUP(C2272,'Babblefish-APUMA'!$A$1:$B$86,2),C2272),C2272)</f>
        <v>92</v>
      </c>
    </row>
    <row r="2273" customFormat="false" ht="12.75" hidden="false" customHeight="false" outlineLevel="0" collapsed="false">
      <c r="A2273" s="0" t="n">
        <f aca="false">B2273*1000+C2273</f>
        <v>38044</v>
      </c>
      <c r="B2273" s="0" t="n">
        <v>38</v>
      </c>
      <c r="C2273" s="0" t="n">
        <v>44</v>
      </c>
      <c r="D2273" s="0" t="n">
        <v>0</v>
      </c>
      <c r="E2273" s="0" t="n">
        <f aca="false">VLOOKUP(B2273,'Babblefish-APUMA'!$A$1:$B$86,2)</f>
        <v>91</v>
      </c>
      <c r="F2273" s="0" t="n">
        <f aca="false">IF(C2273&gt;1,IF(C2273&lt;99,VLOOKUP(C2273,'Babblefish-APUMA'!$A$1:$B$86,2),C2273),C2273)</f>
        <v>92</v>
      </c>
    </row>
    <row r="2274" customFormat="false" ht="12.75" hidden="false" customHeight="false" outlineLevel="0" collapsed="false">
      <c r="A2274" s="0" t="n">
        <f aca="false">B2274*1000+C2274</f>
        <v>38045</v>
      </c>
      <c r="B2274" s="0" t="n">
        <v>38</v>
      </c>
      <c r="C2274" s="0" t="n">
        <v>45</v>
      </c>
      <c r="D2274" s="0" t="n">
        <v>0</v>
      </c>
      <c r="E2274" s="0" t="n">
        <f aca="false">VLOOKUP(B2274,'Babblefish-APUMA'!$A$1:$B$86,2)</f>
        <v>91</v>
      </c>
      <c r="F2274" s="0" t="n">
        <f aca="false">IF(C2274&gt;1,IF(C2274&lt;99,VLOOKUP(C2274,'Babblefish-APUMA'!$A$1:$B$86,2),C2274),C2274)</f>
        <v>92</v>
      </c>
    </row>
    <row r="2275" customFormat="false" ht="12.75" hidden="false" customHeight="false" outlineLevel="0" collapsed="false">
      <c r="A2275" s="0" t="n">
        <f aca="false">B2275*1000+C2275</f>
        <v>38046</v>
      </c>
      <c r="B2275" s="0" t="n">
        <v>38</v>
      </c>
      <c r="C2275" s="0" t="n">
        <v>46</v>
      </c>
      <c r="D2275" s="0" t="n">
        <v>0</v>
      </c>
      <c r="E2275" s="0" t="n">
        <f aca="false">VLOOKUP(B2275,'Babblefish-APUMA'!$A$1:$B$86,2)</f>
        <v>91</v>
      </c>
      <c r="F2275" s="0" t="n">
        <f aca="false">IF(C2275&gt;1,IF(C2275&lt;99,VLOOKUP(C2275,'Babblefish-APUMA'!$A$1:$B$86,2),C2275),C2275)</f>
        <v>92</v>
      </c>
    </row>
    <row r="2276" customFormat="false" ht="12.75" hidden="false" customHeight="false" outlineLevel="0" collapsed="false">
      <c r="A2276" s="0" t="n">
        <f aca="false">B2276*1000+C2276</f>
        <v>38047</v>
      </c>
      <c r="B2276" s="0" t="n">
        <v>38</v>
      </c>
      <c r="C2276" s="0" t="n">
        <v>47</v>
      </c>
      <c r="D2276" s="0" t="n">
        <v>0</v>
      </c>
      <c r="E2276" s="0" t="n">
        <f aca="false">VLOOKUP(B2276,'Babblefish-APUMA'!$A$1:$B$86,2)</f>
        <v>91</v>
      </c>
      <c r="F2276" s="0" t="n">
        <f aca="false">IF(C2276&gt;1,IF(C2276&lt;99,VLOOKUP(C2276,'Babblefish-APUMA'!$A$1:$B$86,2),C2276),C2276)</f>
        <v>92</v>
      </c>
    </row>
    <row r="2277" customFormat="false" ht="12.75" hidden="false" customHeight="false" outlineLevel="0" collapsed="false">
      <c r="A2277" s="0" t="n">
        <f aca="false">B2277*1000+C2277</f>
        <v>38048</v>
      </c>
      <c r="B2277" s="0" t="n">
        <v>38</v>
      </c>
      <c r="C2277" s="0" t="n">
        <v>48</v>
      </c>
      <c r="D2277" s="0" t="n">
        <v>0</v>
      </c>
      <c r="E2277" s="0" t="n">
        <f aca="false">VLOOKUP(B2277,'Babblefish-APUMA'!$A$1:$B$86,2)</f>
        <v>91</v>
      </c>
      <c r="F2277" s="0" t="n">
        <f aca="false">IF(C2277&gt;1,IF(C2277&lt;99,VLOOKUP(C2277,'Babblefish-APUMA'!$A$1:$B$86,2),C2277),C2277)</f>
        <v>92</v>
      </c>
    </row>
    <row r="2278" customFormat="false" ht="12.75" hidden="false" customHeight="false" outlineLevel="0" collapsed="false">
      <c r="A2278" s="0" t="n">
        <f aca="false">B2278*1000+C2278</f>
        <v>38049</v>
      </c>
      <c r="B2278" s="0" t="n">
        <v>38</v>
      </c>
      <c r="C2278" s="0" t="n">
        <v>49</v>
      </c>
      <c r="D2278" s="0" t="n">
        <v>507</v>
      </c>
      <c r="E2278" s="0" t="n">
        <f aca="false">VLOOKUP(B2278,'Babblefish-APUMA'!$A$1:$B$86,2)</f>
        <v>91</v>
      </c>
      <c r="F2278" s="0" t="n">
        <f aca="false">IF(C2278&gt;1,IF(C2278&lt;99,VLOOKUP(C2278,'Babblefish-APUMA'!$A$1:$B$86,2),C2278),C2278)</f>
        <v>98</v>
      </c>
    </row>
    <row r="2279" customFormat="false" ht="12.75" hidden="false" customHeight="false" outlineLevel="0" collapsed="false">
      <c r="A2279" s="0" t="n">
        <f aca="false">B2279*1000+C2279</f>
        <v>38050</v>
      </c>
      <c r="B2279" s="0" t="n">
        <v>38</v>
      </c>
      <c r="C2279" s="0" t="n">
        <v>50</v>
      </c>
      <c r="D2279" s="0" t="n">
        <v>0</v>
      </c>
      <c r="E2279" s="0" t="n">
        <f aca="false">VLOOKUP(B2279,'Babblefish-APUMA'!$A$1:$B$86,2)</f>
        <v>91</v>
      </c>
      <c r="F2279" s="0" t="n">
        <f aca="false">IF(C2279&gt;1,IF(C2279&lt;99,VLOOKUP(C2279,'Babblefish-APUMA'!$A$1:$B$86,2),C2279),C2279)</f>
        <v>98</v>
      </c>
    </row>
    <row r="2280" customFormat="false" ht="12.75" hidden="false" customHeight="false" outlineLevel="0" collapsed="false">
      <c r="A2280" s="0" t="n">
        <f aca="false">B2280*1000+C2280</f>
        <v>38051</v>
      </c>
      <c r="B2280" s="0" t="n">
        <v>38</v>
      </c>
      <c r="C2280" s="0" t="n">
        <v>51</v>
      </c>
      <c r="D2280" s="0" t="n">
        <v>260</v>
      </c>
      <c r="E2280" s="0" t="n">
        <f aca="false">VLOOKUP(B2280,'Babblefish-APUMA'!$A$1:$B$86,2)</f>
        <v>91</v>
      </c>
      <c r="F2280" s="0" t="n">
        <f aca="false">IF(C2280&gt;1,IF(C2280&lt;99,VLOOKUP(C2280,'Babblefish-APUMA'!$A$1:$B$86,2),C2280),C2280)</f>
        <v>98</v>
      </c>
    </row>
    <row r="2281" customFormat="false" ht="12.75" hidden="false" customHeight="false" outlineLevel="0" collapsed="false">
      <c r="A2281" s="0" t="n">
        <f aca="false">B2281*1000+C2281</f>
        <v>38052</v>
      </c>
      <c r="B2281" s="0" t="n">
        <v>38</v>
      </c>
      <c r="C2281" s="0" t="n">
        <v>52</v>
      </c>
      <c r="D2281" s="0" t="n">
        <v>0</v>
      </c>
      <c r="E2281" s="0" t="n">
        <f aca="false">VLOOKUP(B2281,'Babblefish-APUMA'!$A$1:$B$86,2)</f>
        <v>91</v>
      </c>
      <c r="F2281" s="0" t="n">
        <f aca="false">IF(C2281&gt;1,IF(C2281&lt;99,VLOOKUP(C2281,'Babblefish-APUMA'!$A$1:$B$86,2),C2281),C2281)</f>
        <v>90</v>
      </c>
    </row>
    <row r="2282" customFormat="false" ht="12.75" hidden="false" customHeight="false" outlineLevel="0" collapsed="false">
      <c r="A2282" s="0" t="n">
        <f aca="false">B2282*1000+C2282</f>
        <v>38053</v>
      </c>
      <c r="B2282" s="0" t="n">
        <v>38</v>
      </c>
      <c r="C2282" s="0" t="n">
        <v>53</v>
      </c>
      <c r="D2282" s="0" t="n">
        <v>0</v>
      </c>
      <c r="E2282" s="0" t="n">
        <f aca="false">VLOOKUP(B2282,'Babblefish-APUMA'!$A$1:$B$86,2)</f>
        <v>91</v>
      </c>
      <c r="F2282" s="0" t="n">
        <f aca="false">IF(C2282&gt;1,IF(C2282&lt;99,VLOOKUP(C2282,'Babblefish-APUMA'!$A$1:$B$86,2),C2282),C2282)</f>
        <v>90</v>
      </c>
    </row>
    <row r="2283" customFormat="false" ht="12.75" hidden="false" customHeight="false" outlineLevel="0" collapsed="false">
      <c r="A2283" s="0" t="n">
        <f aca="false">B2283*1000+C2283</f>
        <v>38054</v>
      </c>
      <c r="B2283" s="0" t="n">
        <v>38</v>
      </c>
      <c r="C2283" s="0" t="n">
        <v>54</v>
      </c>
      <c r="D2283" s="0" t="n">
        <v>0</v>
      </c>
      <c r="E2283" s="0" t="n">
        <f aca="false">VLOOKUP(B2283,'Babblefish-APUMA'!$A$1:$B$86,2)</f>
        <v>91</v>
      </c>
      <c r="F2283" s="0" t="n">
        <f aca="false">IF(C2283&gt;1,IF(C2283&lt;99,VLOOKUP(C2283,'Babblefish-APUMA'!$A$1:$B$86,2),C2283),C2283)</f>
        <v>90</v>
      </c>
    </row>
    <row r="2284" customFormat="false" ht="12.75" hidden="false" customHeight="false" outlineLevel="0" collapsed="false">
      <c r="A2284" s="0" t="n">
        <f aca="false">B2284*1000+C2284</f>
        <v>38055</v>
      </c>
      <c r="B2284" s="0" t="n">
        <v>38</v>
      </c>
      <c r="C2284" s="0" t="n">
        <v>55</v>
      </c>
      <c r="D2284" s="0" t="n">
        <v>0</v>
      </c>
      <c r="E2284" s="0" t="n">
        <f aca="false">VLOOKUP(B2284,'Babblefish-APUMA'!$A$1:$B$86,2)</f>
        <v>91</v>
      </c>
      <c r="F2284" s="0" t="n">
        <f aca="false">IF(C2284&gt;1,IF(C2284&lt;99,VLOOKUP(C2284,'Babblefish-APUMA'!$A$1:$B$86,2),C2284),C2284)</f>
        <v>90</v>
      </c>
    </row>
    <row r="2285" customFormat="false" ht="12.75" hidden="false" customHeight="false" outlineLevel="0" collapsed="false">
      <c r="A2285" s="0" t="n">
        <f aca="false">B2285*1000+C2285</f>
        <v>38056</v>
      </c>
      <c r="B2285" s="0" t="n">
        <v>38</v>
      </c>
      <c r="C2285" s="0" t="n">
        <v>56</v>
      </c>
      <c r="D2285" s="0" t="n">
        <v>0</v>
      </c>
      <c r="E2285" s="0" t="n">
        <f aca="false">VLOOKUP(B2285,'Babblefish-APUMA'!$A$1:$B$86,2)</f>
        <v>91</v>
      </c>
      <c r="F2285" s="0" t="n">
        <f aca="false">IF(C2285&gt;1,IF(C2285&lt;99,VLOOKUP(C2285,'Babblefish-APUMA'!$A$1:$B$86,2),C2285),C2285)</f>
        <v>90</v>
      </c>
    </row>
    <row r="2286" customFormat="false" ht="12.75" hidden="false" customHeight="false" outlineLevel="0" collapsed="false">
      <c r="A2286" s="0" t="n">
        <f aca="false">B2286*1000+C2286</f>
        <v>38057</v>
      </c>
      <c r="B2286" s="0" t="n">
        <v>38</v>
      </c>
      <c r="C2286" s="0" t="n">
        <v>57</v>
      </c>
      <c r="D2286" s="0" t="n">
        <v>0</v>
      </c>
      <c r="E2286" s="0" t="n">
        <f aca="false">VLOOKUP(B2286,'Babblefish-APUMA'!$A$1:$B$86,2)</f>
        <v>91</v>
      </c>
      <c r="F2286" s="0" t="n">
        <f aca="false">IF(C2286&gt;1,IF(C2286&lt;99,VLOOKUP(C2286,'Babblefish-APUMA'!$A$1:$B$86,2),C2286),C2286)</f>
        <v>90</v>
      </c>
    </row>
    <row r="2287" customFormat="false" ht="12.75" hidden="false" customHeight="false" outlineLevel="0" collapsed="false">
      <c r="A2287" s="0" t="n">
        <f aca="false">B2287*1000+C2287</f>
        <v>38059</v>
      </c>
      <c r="B2287" s="0" t="n">
        <v>38</v>
      </c>
      <c r="C2287" s="0" t="n">
        <v>59</v>
      </c>
      <c r="D2287" s="0" t="n">
        <v>0</v>
      </c>
      <c r="E2287" s="0" t="n">
        <f aca="false">VLOOKUP(B2287,'Babblefish-APUMA'!$A$1:$B$86,2)</f>
        <v>91</v>
      </c>
      <c r="F2287" s="0" t="n">
        <f aca="false">IF(C2287&gt;1,IF(C2287&lt;99,VLOOKUP(C2287,'Babblefish-APUMA'!$A$1:$B$86,2),C2287),C2287)</f>
        <v>90</v>
      </c>
    </row>
    <row r="2288" customFormat="false" ht="12.75" hidden="false" customHeight="false" outlineLevel="0" collapsed="false">
      <c r="A2288" s="0" t="n">
        <f aca="false">B2288*1000+C2288</f>
        <v>38060</v>
      </c>
      <c r="B2288" s="0" t="n">
        <v>38</v>
      </c>
      <c r="C2288" s="0" t="n">
        <v>60</v>
      </c>
      <c r="D2288" s="0" t="n">
        <v>0</v>
      </c>
      <c r="E2288" s="0" t="n">
        <f aca="false">VLOOKUP(B2288,'Babblefish-APUMA'!$A$1:$B$86,2)</f>
        <v>91</v>
      </c>
      <c r="F2288" s="0" t="n">
        <f aca="false">IF(C2288&gt;1,IF(C2288&lt;99,VLOOKUP(C2288,'Babblefish-APUMA'!$A$1:$B$86,2),C2288),C2288)</f>
        <v>90</v>
      </c>
    </row>
    <row r="2289" customFormat="false" ht="12.75" hidden="false" customHeight="false" outlineLevel="0" collapsed="false">
      <c r="A2289" s="0" t="n">
        <f aca="false">B2289*1000+C2289</f>
        <v>38062</v>
      </c>
      <c r="B2289" s="0" t="n">
        <v>38</v>
      </c>
      <c r="C2289" s="0" t="n">
        <v>62</v>
      </c>
      <c r="D2289" s="0" t="n">
        <v>0</v>
      </c>
      <c r="E2289" s="0" t="n">
        <f aca="false">VLOOKUP(B2289,'Babblefish-APUMA'!$A$1:$B$86,2)</f>
        <v>91</v>
      </c>
      <c r="F2289" s="0" t="n">
        <f aca="false">IF(C2289&gt;1,IF(C2289&lt;99,VLOOKUP(C2289,'Babblefish-APUMA'!$A$1:$B$86,2),C2289),C2289)</f>
        <v>90</v>
      </c>
    </row>
    <row r="2290" customFormat="false" ht="12.75" hidden="false" customHeight="false" outlineLevel="0" collapsed="false">
      <c r="A2290" s="0" t="n">
        <f aca="false">B2290*1000+C2290</f>
        <v>38063</v>
      </c>
      <c r="B2290" s="0" t="n">
        <v>38</v>
      </c>
      <c r="C2290" s="0" t="n">
        <v>63</v>
      </c>
      <c r="D2290" s="0" t="n">
        <v>0</v>
      </c>
      <c r="E2290" s="0" t="n">
        <f aca="false">VLOOKUP(B2290,'Babblefish-APUMA'!$A$1:$B$86,2)</f>
        <v>91</v>
      </c>
      <c r="F2290" s="0" t="n">
        <f aca="false">IF(C2290&gt;1,IF(C2290&lt;99,VLOOKUP(C2290,'Babblefish-APUMA'!$A$1:$B$86,2),C2290),C2290)</f>
        <v>90</v>
      </c>
    </row>
    <row r="2291" customFormat="false" ht="12.75" hidden="false" customHeight="false" outlineLevel="0" collapsed="false">
      <c r="A2291" s="0" t="n">
        <f aca="false">B2291*1000+C2291</f>
        <v>38064</v>
      </c>
      <c r="B2291" s="0" t="n">
        <v>38</v>
      </c>
      <c r="C2291" s="0" t="n">
        <v>64</v>
      </c>
      <c r="D2291" s="0" t="n">
        <v>65</v>
      </c>
      <c r="E2291" s="0" t="n">
        <f aca="false">VLOOKUP(B2291,'Babblefish-APUMA'!$A$1:$B$86,2)</f>
        <v>91</v>
      </c>
      <c r="F2291" s="0" t="n">
        <f aca="false">IF(C2291&gt;1,IF(C2291&lt;99,VLOOKUP(C2291,'Babblefish-APUMA'!$A$1:$B$86,2),C2291),C2291)</f>
        <v>90</v>
      </c>
    </row>
    <row r="2292" customFormat="false" ht="12.75" hidden="false" customHeight="false" outlineLevel="0" collapsed="false">
      <c r="A2292" s="0" t="n">
        <f aca="false">B2292*1000+C2292</f>
        <v>38065</v>
      </c>
      <c r="B2292" s="0" t="n">
        <v>38</v>
      </c>
      <c r="C2292" s="0" t="n">
        <v>65</v>
      </c>
      <c r="D2292" s="0" t="n">
        <v>0</v>
      </c>
      <c r="E2292" s="0" t="n">
        <f aca="false">VLOOKUP(B2292,'Babblefish-APUMA'!$A$1:$B$86,2)</f>
        <v>91</v>
      </c>
      <c r="F2292" s="0" t="n">
        <f aca="false">IF(C2292&gt;1,IF(C2292&lt;99,VLOOKUP(C2292,'Babblefish-APUMA'!$A$1:$B$86,2),C2292),C2292)</f>
        <v>90</v>
      </c>
    </row>
    <row r="2293" customFormat="false" ht="12.75" hidden="false" customHeight="false" outlineLevel="0" collapsed="false">
      <c r="A2293" s="0" t="n">
        <f aca="false">B2293*1000+C2293</f>
        <v>38066</v>
      </c>
      <c r="B2293" s="0" t="n">
        <v>38</v>
      </c>
      <c r="C2293" s="0" t="n">
        <v>66</v>
      </c>
      <c r="D2293" s="0" t="n">
        <v>0</v>
      </c>
      <c r="E2293" s="0" t="n">
        <f aca="false">VLOOKUP(B2293,'Babblefish-APUMA'!$A$1:$B$86,2)</f>
        <v>91</v>
      </c>
      <c r="F2293" s="0" t="n">
        <f aca="false">IF(C2293&gt;1,IF(C2293&lt;99,VLOOKUP(C2293,'Babblefish-APUMA'!$A$1:$B$86,2),C2293),C2293)</f>
        <v>90</v>
      </c>
    </row>
    <row r="2294" customFormat="false" ht="12.75" hidden="false" customHeight="false" outlineLevel="0" collapsed="false">
      <c r="A2294" s="0" t="n">
        <f aca="false">B2294*1000+C2294</f>
        <v>38067</v>
      </c>
      <c r="B2294" s="0" t="n">
        <v>38</v>
      </c>
      <c r="C2294" s="0" t="n">
        <v>67</v>
      </c>
      <c r="D2294" s="0" t="n">
        <v>143</v>
      </c>
      <c r="E2294" s="0" t="n">
        <f aca="false">VLOOKUP(B2294,'Babblefish-APUMA'!$A$1:$B$86,2)</f>
        <v>91</v>
      </c>
      <c r="F2294" s="0" t="n">
        <f aca="false">IF(C2294&gt;1,IF(C2294&lt;99,VLOOKUP(C2294,'Babblefish-APUMA'!$A$1:$B$86,2),C2294),C2294)</f>
        <v>103</v>
      </c>
    </row>
    <row r="2295" customFormat="false" ht="12.75" hidden="false" customHeight="false" outlineLevel="0" collapsed="false">
      <c r="A2295" s="0" t="n">
        <f aca="false">B2295*1000+C2295</f>
        <v>38069</v>
      </c>
      <c r="B2295" s="0" t="n">
        <v>38</v>
      </c>
      <c r="C2295" s="0" t="n">
        <v>69</v>
      </c>
      <c r="D2295" s="0" t="n">
        <v>0</v>
      </c>
      <c r="E2295" s="0" t="n">
        <f aca="false">VLOOKUP(B2295,'Babblefish-APUMA'!$A$1:$B$86,2)</f>
        <v>91</v>
      </c>
      <c r="F2295" s="0" t="n">
        <f aca="false">IF(C2295&gt;1,IF(C2295&lt;99,VLOOKUP(C2295,'Babblefish-APUMA'!$A$1:$B$86,2),C2295),C2295)</f>
        <v>93</v>
      </c>
    </row>
    <row r="2296" customFormat="false" ht="12.75" hidden="false" customHeight="false" outlineLevel="0" collapsed="false">
      <c r="A2296" s="0" t="n">
        <f aca="false">B2296*1000+C2296</f>
        <v>38071</v>
      </c>
      <c r="B2296" s="0" t="n">
        <v>38</v>
      </c>
      <c r="C2296" s="0" t="n">
        <v>71</v>
      </c>
      <c r="D2296" s="0" t="n">
        <v>0</v>
      </c>
      <c r="E2296" s="0" t="n">
        <f aca="false">VLOOKUP(B2296,'Babblefish-APUMA'!$A$1:$B$86,2)</f>
        <v>91</v>
      </c>
      <c r="F2296" s="0" t="n">
        <f aca="false">IF(C2296&gt;1,IF(C2296&lt;99,VLOOKUP(C2296,'Babblefish-APUMA'!$A$1:$B$86,2),C2296),C2296)</f>
        <v>95</v>
      </c>
    </row>
    <row r="2297" customFormat="false" ht="12.75" hidden="false" customHeight="false" outlineLevel="0" collapsed="false">
      <c r="A2297" s="0" t="n">
        <f aca="false">B2297*1000+C2297</f>
        <v>38072</v>
      </c>
      <c r="B2297" s="0" t="n">
        <v>38</v>
      </c>
      <c r="C2297" s="0" t="n">
        <v>72</v>
      </c>
      <c r="D2297" s="0" t="n">
        <v>0</v>
      </c>
      <c r="E2297" s="0" t="n">
        <f aca="false">VLOOKUP(B2297,'Babblefish-APUMA'!$A$1:$B$86,2)</f>
        <v>91</v>
      </c>
      <c r="F2297" s="0" t="n">
        <f aca="false">IF(C2297&gt;1,IF(C2297&lt;99,VLOOKUP(C2297,'Babblefish-APUMA'!$A$1:$B$86,2),C2297),C2297)</f>
        <v>95</v>
      </c>
    </row>
    <row r="2298" customFormat="false" ht="12.75" hidden="false" customHeight="false" outlineLevel="0" collapsed="false">
      <c r="A2298" s="0" t="n">
        <f aca="false">B2298*1000+C2298</f>
        <v>38073</v>
      </c>
      <c r="B2298" s="0" t="n">
        <v>38</v>
      </c>
      <c r="C2298" s="0" t="n">
        <v>73</v>
      </c>
      <c r="D2298" s="0" t="n">
        <v>0</v>
      </c>
      <c r="E2298" s="0" t="n">
        <f aca="false">VLOOKUP(B2298,'Babblefish-APUMA'!$A$1:$B$86,2)</f>
        <v>91</v>
      </c>
      <c r="F2298" s="0" t="n">
        <f aca="false">IF(C2298&gt;1,IF(C2298&lt;99,VLOOKUP(C2298,'Babblefish-APUMA'!$A$1:$B$86,2),C2298),C2298)</f>
        <v>99</v>
      </c>
    </row>
    <row r="2299" customFormat="false" ht="12.75" hidden="false" customHeight="false" outlineLevel="0" collapsed="false">
      <c r="A2299" s="0" t="n">
        <f aca="false">B2299*1000+C2299</f>
        <v>38075</v>
      </c>
      <c r="B2299" s="0" t="n">
        <v>38</v>
      </c>
      <c r="C2299" s="0" t="n">
        <v>75</v>
      </c>
      <c r="D2299" s="0" t="n">
        <v>0</v>
      </c>
      <c r="E2299" s="0" t="n">
        <f aca="false">VLOOKUP(B2299,'Babblefish-APUMA'!$A$1:$B$86,2)</f>
        <v>91</v>
      </c>
      <c r="F2299" s="0" t="n">
        <f aca="false">IF(C2299&gt;1,IF(C2299&lt;99,VLOOKUP(C2299,'Babblefish-APUMA'!$A$1:$B$86,2),C2299),C2299)</f>
        <v>75</v>
      </c>
    </row>
    <row r="2300" customFormat="false" ht="12.75" hidden="false" customHeight="false" outlineLevel="0" collapsed="false">
      <c r="A2300" s="0" t="n">
        <f aca="false">B2300*1000+C2300</f>
        <v>38076</v>
      </c>
      <c r="B2300" s="0" t="n">
        <v>38</v>
      </c>
      <c r="C2300" s="0" t="n">
        <v>76</v>
      </c>
      <c r="D2300" s="0" t="n">
        <v>1274</v>
      </c>
      <c r="E2300" s="0" t="n">
        <f aca="false">VLOOKUP(B2300,'Babblefish-APUMA'!$A$1:$B$86,2)</f>
        <v>91</v>
      </c>
      <c r="F2300" s="0" t="n">
        <f aca="false">IF(C2300&gt;1,IF(C2300&lt;99,VLOOKUP(C2300,'Babblefish-APUMA'!$A$1:$B$86,2),C2300),C2300)</f>
        <v>76</v>
      </c>
    </row>
    <row r="2301" customFormat="false" ht="12.75" hidden="false" customHeight="false" outlineLevel="0" collapsed="false">
      <c r="A2301" s="0" t="n">
        <f aca="false">B2301*1000+C2301</f>
        <v>38077</v>
      </c>
      <c r="B2301" s="0" t="n">
        <v>38</v>
      </c>
      <c r="C2301" s="0" t="n">
        <v>77</v>
      </c>
      <c r="D2301" s="0" t="n">
        <v>91</v>
      </c>
      <c r="E2301" s="0" t="n">
        <f aca="false">VLOOKUP(B2301,'Babblefish-APUMA'!$A$1:$B$86,2)</f>
        <v>91</v>
      </c>
      <c r="F2301" s="0" t="n">
        <f aca="false">IF(C2301&gt;1,IF(C2301&lt;99,VLOOKUP(C2301,'Babblefish-APUMA'!$A$1:$B$86,2),C2301),C2301)</f>
        <v>77</v>
      </c>
    </row>
    <row r="2302" customFormat="false" ht="12.75" hidden="false" customHeight="false" outlineLevel="0" collapsed="false">
      <c r="A2302" s="0" t="n">
        <f aca="false">B2302*1000+C2302</f>
        <v>38079</v>
      </c>
      <c r="B2302" s="0" t="n">
        <v>38</v>
      </c>
      <c r="C2302" s="0" t="n">
        <v>79</v>
      </c>
      <c r="D2302" s="0" t="n">
        <v>0</v>
      </c>
      <c r="E2302" s="0" t="n">
        <f aca="false">VLOOKUP(B2302,'Babblefish-APUMA'!$A$1:$B$86,2)</f>
        <v>91</v>
      </c>
      <c r="F2302" s="0" t="n">
        <f aca="false">IF(C2302&gt;1,IF(C2302&lt;99,VLOOKUP(C2302,'Babblefish-APUMA'!$A$1:$B$86,2),C2302),C2302)</f>
        <v>89</v>
      </c>
    </row>
    <row r="2303" customFormat="false" ht="12.75" hidden="false" customHeight="false" outlineLevel="0" collapsed="false">
      <c r="A2303" s="0" t="n">
        <f aca="false">B2303*1000+C2303</f>
        <v>38080</v>
      </c>
      <c r="B2303" s="0" t="n">
        <v>38</v>
      </c>
      <c r="C2303" s="0" t="n">
        <v>80</v>
      </c>
      <c r="D2303" s="0" t="n">
        <v>0</v>
      </c>
      <c r="E2303" s="0" t="n">
        <f aca="false">VLOOKUP(B2303,'Babblefish-APUMA'!$A$1:$B$86,2)</f>
        <v>91</v>
      </c>
      <c r="F2303" s="0" t="n">
        <f aca="false">IF(C2303&gt;1,IF(C2303&lt;99,VLOOKUP(C2303,'Babblefish-APUMA'!$A$1:$B$86,2),C2303),C2303)</f>
        <v>80</v>
      </c>
    </row>
    <row r="2304" customFormat="false" ht="12.75" hidden="false" customHeight="false" outlineLevel="0" collapsed="false">
      <c r="A2304" s="0" t="n">
        <f aca="false">B2304*1000+C2304</f>
        <v>38081</v>
      </c>
      <c r="B2304" s="0" t="n">
        <v>38</v>
      </c>
      <c r="C2304" s="0" t="n">
        <v>81</v>
      </c>
      <c r="D2304" s="0" t="n">
        <v>0</v>
      </c>
      <c r="E2304" s="0" t="n">
        <f aca="false">VLOOKUP(B2304,'Babblefish-APUMA'!$A$1:$B$86,2)</f>
        <v>91</v>
      </c>
      <c r="F2304" s="0" t="n">
        <f aca="false">IF(C2304&gt;1,IF(C2304&lt;99,VLOOKUP(C2304,'Babblefish-APUMA'!$A$1:$B$86,2),C2304),C2304)</f>
        <v>93</v>
      </c>
    </row>
    <row r="2305" customFormat="false" ht="12.75" hidden="false" customHeight="false" outlineLevel="0" collapsed="false">
      <c r="A2305" s="0" t="n">
        <f aca="false">B2305*1000+C2305</f>
        <v>38082</v>
      </c>
      <c r="B2305" s="0" t="n">
        <v>38</v>
      </c>
      <c r="C2305" s="0" t="n">
        <v>82</v>
      </c>
      <c r="D2305" s="0" t="n">
        <v>0</v>
      </c>
      <c r="E2305" s="0" t="n">
        <f aca="false">VLOOKUP(B2305,'Babblefish-APUMA'!$A$1:$B$86,2)</f>
        <v>91</v>
      </c>
      <c r="F2305" s="0" t="n">
        <f aca="false">IF(C2305&gt;1,IF(C2305&lt;99,VLOOKUP(C2305,'Babblefish-APUMA'!$A$1:$B$86,2),C2305),C2305)</f>
        <v>95</v>
      </c>
    </row>
    <row r="2306" customFormat="false" ht="12.75" hidden="false" customHeight="false" outlineLevel="0" collapsed="false">
      <c r="A2306" s="0" t="n">
        <f aca="false">B2306*1000+C2306</f>
        <v>38083</v>
      </c>
      <c r="B2306" s="0" t="n">
        <v>38</v>
      </c>
      <c r="C2306" s="0" t="n">
        <v>83</v>
      </c>
      <c r="D2306" s="0" t="n">
        <v>0</v>
      </c>
      <c r="E2306" s="0" t="n">
        <f aca="false">VLOOKUP(B2306,'Babblefish-APUMA'!$A$1:$B$86,2)</f>
        <v>91</v>
      </c>
      <c r="F2306" s="0" t="n">
        <f aca="false">IF(C2306&gt;1,IF(C2306&lt;99,VLOOKUP(C2306,'Babblefish-APUMA'!$A$1:$B$86,2),C2306),C2306)</f>
        <v>103</v>
      </c>
    </row>
    <row r="2307" customFormat="false" ht="12.75" hidden="false" customHeight="false" outlineLevel="0" collapsed="false">
      <c r="A2307" s="0" t="n">
        <f aca="false">B2307*1000+C2307</f>
        <v>38084</v>
      </c>
      <c r="B2307" s="0" t="n">
        <v>38</v>
      </c>
      <c r="C2307" s="0" t="n">
        <v>84</v>
      </c>
      <c r="D2307" s="0" t="n">
        <v>0</v>
      </c>
      <c r="E2307" s="0" t="n">
        <f aca="false">VLOOKUP(B2307,'Babblefish-APUMA'!$A$1:$B$86,2)</f>
        <v>91</v>
      </c>
      <c r="F2307" s="0" t="n">
        <f aca="false">IF(C2307&gt;1,IF(C2307&lt;99,VLOOKUP(C2307,'Babblefish-APUMA'!$A$1:$B$86,2),C2307),C2307)</f>
        <v>92</v>
      </c>
    </row>
    <row r="2308" customFormat="false" ht="12.75" hidden="false" customHeight="false" outlineLevel="0" collapsed="false">
      <c r="A2308" s="0" t="n">
        <f aca="false">B2308*1000+C2308</f>
        <v>38085</v>
      </c>
      <c r="B2308" s="0" t="n">
        <v>38</v>
      </c>
      <c r="C2308" s="0" t="n">
        <v>85</v>
      </c>
      <c r="D2308" s="0" t="n">
        <v>0</v>
      </c>
      <c r="E2308" s="0" t="n">
        <f aca="false">VLOOKUP(B2308,'Babblefish-APUMA'!$A$1:$B$86,2)</f>
        <v>91</v>
      </c>
      <c r="F2308" s="0" t="n">
        <f aca="false">IF(C2308&gt;1,IF(C2308&lt;99,VLOOKUP(C2308,'Babblefish-APUMA'!$A$1:$B$86,2),C2308),C2308)</f>
        <v>97</v>
      </c>
    </row>
    <row r="2309" customFormat="false" ht="12.75" hidden="false" customHeight="false" outlineLevel="0" collapsed="false">
      <c r="A2309" s="0" t="n">
        <f aca="false">B2309*1000+C2309</f>
        <v>38858</v>
      </c>
      <c r="B2309" s="0" t="n">
        <v>38</v>
      </c>
      <c r="C2309" s="0" t="n">
        <v>858</v>
      </c>
      <c r="D2309" s="0" t="n">
        <v>0</v>
      </c>
      <c r="E2309" s="0" t="n">
        <f aca="false">VLOOKUP(B2309,'Babblefish-APUMA'!$A$1:$B$86,2)</f>
        <v>91</v>
      </c>
      <c r="F2309" s="0" t="n">
        <f aca="false">IF(C2309&gt;1,IF(C2309&lt;99,VLOOKUP(C2309,'Babblefish-APUMA'!$A$1:$B$86,2),C2309),C2309)</f>
        <v>858</v>
      </c>
    </row>
    <row r="2310" customFormat="false" ht="12.75" hidden="false" customHeight="false" outlineLevel="0" collapsed="false">
      <c r="A2310" s="0" t="n">
        <f aca="false">B2310*1000+C2310</f>
        <v>38983</v>
      </c>
      <c r="B2310" s="0" t="n">
        <v>38</v>
      </c>
      <c r="C2310" s="0" t="n">
        <v>983</v>
      </c>
      <c r="D2310" s="0" t="n">
        <v>0</v>
      </c>
      <c r="E2310" s="0" t="n">
        <f aca="false">VLOOKUP(B2310,'Babblefish-APUMA'!$A$1:$B$86,2)</f>
        <v>91</v>
      </c>
      <c r="F2310" s="0" t="n">
        <f aca="false">IF(C2310&gt;1,IF(C2310&lt;99,VLOOKUP(C2310,'Babblefish-APUMA'!$A$1:$B$86,2),C2310),C2310)</f>
        <v>983</v>
      </c>
    </row>
    <row r="2311" customFormat="false" ht="12.75" hidden="false" customHeight="false" outlineLevel="0" collapsed="false">
      <c r="A2311" s="0" t="n">
        <f aca="false">B2311*1000+C2311</f>
        <v>38999</v>
      </c>
      <c r="B2311" s="0" t="n">
        <v>38</v>
      </c>
      <c r="C2311" s="0" t="n">
        <v>999</v>
      </c>
      <c r="D2311" s="0" t="n">
        <v>0</v>
      </c>
      <c r="E2311" s="0" t="n">
        <f aca="false">VLOOKUP(B2311,'Babblefish-APUMA'!$A$1:$B$86,2)</f>
        <v>91</v>
      </c>
      <c r="F2311" s="0" t="n">
        <f aca="false">IF(C2311&gt;1,IF(C2311&lt;99,VLOOKUP(C2311,'Babblefish-APUMA'!$A$1:$B$86,2),C2311),C2311)</f>
        <v>999</v>
      </c>
    </row>
    <row r="2312" customFormat="false" ht="12.75" hidden="false" customHeight="false" outlineLevel="0" collapsed="false">
      <c r="A2312" s="0" t="n">
        <f aca="false">B2312*1000+C2312</f>
        <v>39000</v>
      </c>
      <c r="B2312" s="0" t="n">
        <v>39</v>
      </c>
      <c r="C2312" s="0" t="n">
        <v>0</v>
      </c>
      <c r="D2312" s="0" t="n">
        <v>132912</v>
      </c>
      <c r="E2312" s="0" t="n">
        <f aca="false">VLOOKUP(B2312,'Babblefish-APUMA'!$A$1:$B$86,2)</f>
        <v>91</v>
      </c>
      <c r="F2312" s="0" t="n">
        <f aca="false">IF(C2312&gt;1,IF(C2312&lt;99,VLOOKUP(C2312,'Babblefish-APUMA'!$A$1:$B$86,2),C2312),C2312)</f>
        <v>0</v>
      </c>
    </row>
    <row r="2313" customFormat="false" ht="12.75" hidden="false" customHeight="false" outlineLevel="0" collapsed="false">
      <c r="A2313" s="0" t="n">
        <f aca="false">B2313*1000+C2313</f>
        <v>39001</v>
      </c>
      <c r="B2313" s="0" t="n">
        <v>39</v>
      </c>
      <c r="C2313" s="0" t="n">
        <v>1</v>
      </c>
      <c r="D2313" s="0" t="n">
        <v>0</v>
      </c>
      <c r="E2313" s="0" t="n">
        <f aca="false">VLOOKUP(B2313,'Babblefish-APUMA'!$A$1:$B$86,2)</f>
        <v>91</v>
      </c>
      <c r="F2313" s="0" t="n">
        <f aca="false">IF(C2313&gt;1,IF(C2313&lt;99,VLOOKUP(C2313,'Babblefish-APUMA'!$A$1:$B$86,2),C2313),C2313)</f>
        <v>1</v>
      </c>
    </row>
    <row r="2314" customFormat="false" ht="12.75" hidden="false" customHeight="false" outlineLevel="0" collapsed="false">
      <c r="A2314" s="0" t="n">
        <f aca="false">B2314*1000+C2314</f>
        <v>39002</v>
      </c>
      <c r="B2314" s="0" t="n">
        <v>39</v>
      </c>
      <c r="C2314" s="0" t="n">
        <v>2</v>
      </c>
      <c r="D2314" s="0" t="n">
        <v>0</v>
      </c>
      <c r="E2314" s="0" t="n">
        <f aca="false">VLOOKUP(B2314,'Babblefish-APUMA'!$A$1:$B$86,2)</f>
        <v>91</v>
      </c>
      <c r="F2314" s="0" t="n">
        <f aca="false">IF(C2314&gt;1,IF(C2314&lt;99,VLOOKUP(C2314,'Babblefish-APUMA'!$A$1:$B$86,2),C2314),C2314)</f>
        <v>2</v>
      </c>
    </row>
    <row r="2315" customFormat="false" ht="12.75" hidden="false" customHeight="false" outlineLevel="0" collapsed="false">
      <c r="A2315" s="0" t="n">
        <f aca="false">B2315*1000+C2315</f>
        <v>39003</v>
      </c>
      <c r="B2315" s="0" t="n">
        <v>39</v>
      </c>
      <c r="C2315" s="0" t="n">
        <v>3</v>
      </c>
      <c r="D2315" s="0" t="n">
        <v>130</v>
      </c>
      <c r="E2315" s="0" t="n">
        <f aca="false">VLOOKUP(B2315,'Babblefish-APUMA'!$A$1:$B$86,2)</f>
        <v>91</v>
      </c>
      <c r="F2315" s="0" t="n">
        <f aca="false">IF(C2315&gt;1,IF(C2315&lt;99,VLOOKUP(C2315,'Babblefish-APUMA'!$A$1:$B$86,2),C2315),C2315)</f>
        <v>3</v>
      </c>
    </row>
    <row r="2316" customFormat="false" ht="12.75" hidden="false" customHeight="false" outlineLevel="0" collapsed="false">
      <c r="A2316" s="0" t="n">
        <f aca="false">B2316*1000+C2316</f>
        <v>39004</v>
      </c>
      <c r="B2316" s="0" t="n">
        <v>39</v>
      </c>
      <c r="C2316" s="0" t="n">
        <v>4</v>
      </c>
      <c r="D2316" s="0" t="n">
        <v>0</v>
      </c>
      <c r="E2316" s="0" t="n">
        <f aca="false">VLOOKUP(B2316,'Babblefish-APUMA'!$A$1:$B$86,2)</f>
        <v>91</v>
      </c>
      <c r="F2316" s="0" t="n">
        <f aca="false">IF(C2316&gt;1,IF(C2316&lt;99,VLOOKUP(C2316,'Babblefish-APUMA'!$A$1:$B$86,2),C2316),C2316)</f>
        <v>4</v>
      </c>
    </row>
    <row r="2317" customFormat="false" ht="12.75" hidden="false" customHeight="false" outlineLevel="0" collapsed="false">
      <c r="A2317" s="0" t="n">
        <f aca="false">B2317*1000+C2317</f>
        <v>39005</v>
      </c>
      <c r="B2317" s="0" t="n">
        <v>39</v>
      </c>
      <c r="C2317" s="0" t="n">
        <v>5</v>
      </c>
      <c r="D2317" s="0" t="n">
        <v>0</v>
      </c>
      <c r="E2317" s="0" t="n">
        <f aca="false">VLOOKUP(B2317,'Babblefish-APUMA'!$A$1:$B$86,2)</f>
        <v>91</v>
      </c>
      <c r="F2317" s="0" t="n">
        <f aca="false">IF(C2317&gt;1,IF(C2317&lt;99,VLOOKUP(C2317,'Babblefish-APUMA'!$A$1:$B$86,2),C2317),C2317)</f>
        <v>5</v>
      </c>
    </row>
    <row r="2318" customFormat="false" ht="12.75" hidden="false" customHeight="false" outlineLevel="0" collapsed="false">
      <c r="A2318" s="0" t="n">
        <f aca="false">B2318*1000+C2318</f>
        <v>39006</v>
      </c>
      <c r="B2318" s="0" t="n">
        <v>39</v>
      </c>
      <c r="C2318" s="0" t="n">
        <v>6</v>
      </c>
      <c r="D2318" s="0" t="n">
        <v>0</v>
      </c>
      <c r="E2318" s="0" t="n">
        <f aca="false">VLOOKUP(B2318,'Babblefish-APUMA'!$A$1:$B$86,2)</f>
        <v>91</v>
      </c>
      <c r="F2318" s="0" t="n">
        <f aca="false">IF(C2318&gt;1,IF(C2318&lt;99,VLOOKUP(C2318,'Babblefish-APUMA'!$A$1:$B$86,2),C2318),C2318)</f>
        <v>6</v>
      </c>
    </row>
    <row r="2319" customFormat="false" ht="12.75" hidden="false" customHeight="false" outlineLevel="0" collapsed="false">
      <c r="A2319" s="0" t="n">
        <f aca="false">B2319*1000+C2319</f>
        <v>39007</v>
      </c>
      <c r="B2319" s="0" t="n">
        <v>39</v>
      </c>
      <c r="C2319" s="0" t="n">
        <v>7</v>
      </c>
      <c r="D2319" s="0" t="n">
        <v>0</v>
      </c>
      <c r="E2319" s="0" t="n">
        <f aca="false">VLOOKUP(B2319,'Babblefish-APUMA'!$A$1:$B$86,2)</f>
        <v>91</v>
      </c>
      <c r="F2319" s="0" t="n">
        <f aca="false">IF(C2319&gt;1,IF(C2319&lt;99,VLOOKUP(C2319,'Babblefish-APUMA'!$A$1:$B$86,2),C2319),C2319)</f>
        <v>7</v>
      </c>
    </row>
    <row r="2320" customFormat="false" ht="12.75" hidden="false" customHeight="false" outlineLevel="0" collapsed="false">
      <c r="A2320" s="0" t="n">
        <f aca="false">B2320*1000+C2320</f>
        <v>39008</v>
      </c>
      <c r="B2320" s="0" t="n">
        <v>39</v>
      </c>
      <c r="C2320" s="0" t="n">
        <v>8</v>
      </c>
      <c r="D2320" s="0" t="n">
        <v>130</v>
      </c>
      <c r="E2320" s="0" t="n">
        <f aca="false">VLOOKUP(B2320,'Babblefish-APUMA'!$A$1:$B$86,2)</f>
        <v>91</v>
      </c>
      <c r="F2320" s="0" t="n">
        <f aca="false">IF(C2320&gt;1,IF(C2320&lt;99,VLOOKUP(C2320,'Babblefish-APUMA'!$A$1:$B$86,2),C2320),C2320)</f>
        <v>8</v>
      </c>
    </row>
    <row r="2321" customFormat="false" ht="12.75" hidden="false" customHeight="false" outlineLevel="0" collapsed="false">
      <c r="A2321" s="0" t="n">
        <f aca="false">B2321*1000+C2321</f>
        <v>39009</v>
      </c>
      <c r="B2321" s="0" t="n">
        <v>39</v>
      </c>
      <c r="C2321" s="0" t="n">
        <v>9</v>
      </c>
      <c r="D2321" s="0" t="n">
        <v>0</v>
      </c>
      <c r="E2321" s="0" t="n">
        <f aca="false">VLOOKUP(B2321,'Babblefish-APUMA'!$A$1:$B$86,2)</f>
        <v>91</v>
      </c>
      <c r="F2321" s="0" t="n">
        <f aca="false">IF(C2321&gt;1,IF(C2321&lt;99,VLOOKUP(C2321,'Babblefish-APUMA'!$A$1:$B$86,2),C2321),C2321)</f>
        <v>9</v>
      </c>
    </row>
    <row r="2322" customFormat="false" ht="12.75" hidden="false" customHeight="false" outlineLevel="0" collapsed="false">
      <c r="A2322" s="0" t="n">
        <f aca="false">B2322*1000+C2322</f>
        <v>39010</v>
      </c>
      <c r="B2322" s="0" t="n">
        <v>39</v>
      </c>
      <c r="C2322" s="0" t="n">
        <v>10</v>
      </c>
      <c r="D2322" s="0" t="n">
        <v>0</v>
      </c>
      <c r="E2322" s="0" t="n">
        <f aca="false">VLOOKUP(B2322,'Babblefish-APUMA'!$A$1:$B$86,2)</f>
        <v>91</v>
      </c>
      <c r="F2322" s="0" t="n">
        <f aca="false">IF(C2322&gt;1,IF(C2322&lt;99,VLOOKUP(C2322,'Babblefish-APUMA'!$A$1:$B$86,2),C2322),C2322)</f>
        <v>10</v>
      </c>
    </row>
    <row r="2323" customFormat="false" ht="12.75" hidden="false" customHeight="false" outlineLevel="0" collapsed="false">
      <c r="A2323" s="0" t="n">
        <f aca="false">B2323*1000+C2323</f>
        <v>39011</v>
      </c>
      <c r="B2323" s="0" t="n">
        <v>39</v>
      </c>
      <c r="C2323" s="0" t="n">
        <v>11</v>
      </c>
      <c r="D2323" s="0" t="n">
        <v>0</v>
      </c>
      <c r="E2323" s="0" t="n">
        <f aca="false">VLOOKUP(B2323,'Babblefish-APUMA'!$A$1:$B$86,2)</f>
        <v>91</v>
      </c>
      <c r="F2323" s="0" t="n">
        <f aca="false">IF(C2323&gt;1,IF(C2323&lt;99,VLOOKUP(C2323,'Babblefish-APUMA'!$A$1:$B$86,2),C2323),C2323)</f>
        <v>11</v>
      </c>
    </row>
    <row r="2324" customFormat="false" ht="12.75" hidden="false" customHeight="false" outlineLevel="0" collapsed="false">
      <c r="A2324" s="0" t="n">
        <f aca="false">B2324*1000+C2324</f>
        <v>39012</v>
      </c>
      <c r="B2324" s="0" t="n">
        <v>39</v>
      </c>
      <c r="C2324" s="0" t="n">
        <v>12</v>
      </c>
      <c r="D2324" s="0" t="n">
        <v>0</v>
      </c>
      <c r="E2324" s="0" t="n">
        <f aca="false">VLOOKUP(B2324,'Babblefish-APUMA'!$A$1:$B$86,2)</f>
        <v>91</v>
      </c>
      <c r="F2324" s="0" t="n">
        <f aca="false">IF(C2324&gt;1,IF(C2324&lt;99,VLOOKUP(C2324,'Babblefish-APUMA'!$A$1:$B$86,2),C2324),C2324)</f>
        <v>12</v>
      </c>
    </row>
    <row r="2325" customFormat="false" ht="12.75" hidden="false" customHeight="false" outlineLevel="0" collapsed="false">
      <c r="A2325" s="0" t="n">
        <f aca="false">B2325*1000+C2325</f>
        <v>39013</v>
      </c>
      <c r="B2325" s="0" t="n">
        <v>39</v>
      </c>
      <c r="C2325" s="0" t="n">
        <v>13</v>
      </c>
      <c r="D2325" s="0" t="n">
        <v>0</v>
      </c>
      <c r="E2325" s="0" t="n">
        <f aca="false">VLOOKUP(B2325,'Babblefish-APUMA'!$A$1:$B$86,2)</f>
        <v>91</v>
      </c>
      <c r="F2325" s="0" t="n">
        <f aca="false">IF(C2325&gt;1,IF(C2325&lt;99,VLOOKUP(C2325,'Babblefish-APUMA'!$A$1:$B$86,2),C2325),C2325)</f>
        <v>100</v>
      </c>
    </row>
    <row r="2326" customFormat="false" ht="12.75" hidden="false" customHeight="false" outlineLevel="0" collapsed="false">
      <c r="A2326" s="0" t="n">
        <f aca="false">B2326*1000+C2326</f>
        <v>39014</v>
      </c>
      <c r="B2326" s="0" t="n">
        <v>39</v>
      </c>
      <c r="C2326" s="0" t="n">
        <v>14</v>
      </c>
      <c r="D2326" s="0" t="n">
        <v>0</v>
      </c>
      <c r="E2326" s="0" t="n">
        <f aca="false">VLOOKUP(B2326,'Babblefish-APUMA'!$A$1:$B$86,2)</f>
        <v>91</v>
      </c>
      <c r="F2326" s="0" t="n">
        <f aca="false">IF(C2326&gt;1,IF(C2326&lt;99,VLOOKUP(C2326,'Babblefish-APUMA'!$A$1:$B$86,2),C2326),C2326)</f>
        <v>100</v>
      </c>
    </row>
    <row r="2327" customFormat="false" ht="12.75" hidden="false" customHeight="false" outlineLevel="0" collapsed="false">
      <c r="A2327" s="0" t="n">
        <f aca="false">B2327*1000+C2327</f>
        <v>39015</v>
      </c>
      <c r="B2327" s="0" t="n">
        <v>39</v>
      </c>
      <c r="C2327" s="0" t="n">
        <v>15</v>
      </c>
      <c r="D2327" s="0" t="n">
        <v>0</v>
      </c>
      <c r="E2327" s="0" t="n">
        <f aca="false">VLOOKUP(B2327,'Babblefish-APUMA'!$A$1:$B$86,2)</f>
        <v>91</v>
      </c>
      <c r="F2327" s="0" t="n">
        <f aca="false">IF(C2327&gt;1,IF(C2327&lt;99,VLOOKUP(C2327,'Babblefish-APUMA'!$A$1:$B$86,2),C2327),C2327)</f>
        <v>15</v>
      </c>
    </row>
    <row r="2328" customFormat="false" ht="12.75" hidden="false" customHeight="false" outlineLevel="0" collapsed="false">
      <c r="A2328" s="0" t="n">
        <f aca="false">B2328*1000+C2328</f>
        <v>39016</v>
      </c>
      <c r="B2328" s="0" t="n">
        <v>39</v>
      </c>
      <c r="C2328" s="0" t="n">
        <v>16</v>
      </c>
      <c r="D2328" s="0" t="n">
        <v>0</v>
      </c>
      <c r="E2328" s="0" t="n">
        <f aca="false">VLOOKUP(B2328,'Babblefish-APUMA'!$A$1:$B$86,2)</f>
        <v>91</v>
      </c>
      <c r="F2328" s="0" t="n">
        <f aca="false">IF(C2328&gt;1,IF(C2328&lt;99,VLOOKUP(C2328,'Babblefish-APUMA'!$A$1:$B$86,2),C2328),C2328)</f>
        <v>99</v>
      </c>
    </row>
    <row r="2329" customFormat="false" ht="12.75" hidden="false" customHeight="false" outlineLevel="0" collapsed="false">
      <c r="A2329" s="0" t="n">
        <f aca="false">B2329*1000+C2329</f>
        <v>39017</v>
      </c>
      <c r="B2329" s="0" t="n">
        <v>39</v>
      </c>
      <c r="C2329" s="0" t="n">
        <v>17</v>
      </c>
      <c r="D2329" s="0" t="n">
        <v>130</v>
      </c>
      <c r="E2329" s="0" t="n">
        <f aca="false">VLOOKUP(B2329,'Babblefish-APUMA'!$A$1:$B$86,2)</f>
        <v>91</v>
      </c>
      <c r="F2329" s="0" t="n">
        <f aca="false">IF(C2329&gt;1,IF(C2329&lt;99,VLOOKUP(C2329,'Babblefish-APUMA'!$A$1:$B$86,2),C2329),C2329)</f>
        <v>87</v>
      </c>
    </row>
    <row r="2330" customFormat="false" ht="12.75" hidden="false" customHeight="false" outlineLevel="0" collapsed="false">
      <c r="A2330" s="0" t="n">
        <f aca="false">B2330*1000+C2330</f>
        <v>39018</v>
      </c>
      <c r="B2330" s="0" t="n">
        <v>39</v>
      </c>
      <c r="C2330" s="0" t="n">
        <v>18</v>
      </c>
      <c r="D2330" s="0" t="n">
        <v>0</v>
      </c>
      <c r="E2330" s="0" t="n">
        <f aca="false">VLOOKUP(B2330,'Babblefish-APUMA'!$A$1:$B$86,2)</f>
        <v>91</v>
      </c>
      <c r="F2330" s="0" t="n">
        <f aca="false">IF(C2330&gt;1,IF(C2330&lt;99,VLOOKUP(C2330,'Babblefish-APUMA'!$A$1:$B$86,2),C2330),C2330)</f>
        <v>87</v>
      </c>
    </row>
    <row r="2331" customFormat="false" ht="12.75" hidden="false" customHeight="false" outlineLevel="0" collapsed="false">
      <c r="A2331" s="0" t="n">
        <f aca="false">B2331*1000+C2331</f>
        <v>39019</v>
      </c>
      <c r="B2331" s="0" t="n">
        <v>39</v>
      </c>
      <c r="C2331" s="0" t="n">
        <v>19</v>
      </c>
      <c r="D2331" s="0" t="n">
        <v>0</v>
      </c>
      <c r="E2331" s="0" t="n">
        <f aca="false">VLOOKUP(B2331,'Babblefish-APUMA'!$A$1:$B$86,2)</f>
        <v>91</v>
      </c>
      <c r="F2331" s="0" t="n">
        <f aca="false">IF(C2331&gt;1,IF(C2331&lt;99,VLOOKUP(C2331,'Babblefish-APUMA'!$A$1:$B$86,2),C2331),C2331)</f>
        <v>19</v>
      </c>
    </row>
    <row r="2332" customFormat="false" ht="12.75" hidden="false" customHeight="false" outlineLevel="0" collapsed="false">
      <c r="A2332" s="0" t="n">
        <f aca="false">B2332*1000+C2332</f>
        <v>39020</v>
      </c>
      <c r="B2332" s="0" t="n">
        <v>39</v>
      </c>
      <c r="C2332" s="0" t="n">
        <v>20</v>
      </c>
      <c r="D2332" s="0" t="n">
        <v>0</v>
      </c>
      <c r="E2332" s="0" t="n">
        <f aca="false">VLOOKUP(B2332,'Babblefish-APUMA'!$A$1:$B$86,2)</f>
        <v>91</v>
      </c>
      <c r="F2332" s="0" t="n">
        <f aca="false">IF(C2332&gt;1,IF(C2332&lt;99,VLOOKUP(C2332,'Babblefish-APUMA'!$A$1:$B$86,2),C2332),C2332)</f>
        <v>86</v>
      </c>
    </row>
    <row r="2333" customFormat="false" ht="12.75" hidden="false" customHeight="false" outlineLevel="0" collapsed="false">
      <c r="A2333" s="0" t="n">
        <f aca="false">B2333*1000+C2333</f>
        <v>39021</v>
      </c>
      <c r="B2333" s="0" t="n">
        <v>39</v>
      </c>
      <c r="C2333" s="0" t="n">
        <v>21</v>
      </c>
      <c r="D2333" s="0" t="n">
        <v>208</v>
      </c>
      <c r="E2333" s="0" t="n">
        <f aca="false">VLOOKUP(B2333,'Babblefish-APUMA'!$A$1:$B$86,2)</f>
        <v>91</v>
      </c>
      <c r="F2333" s="0" t="n">
        <f aca="false">IF(C2333&gt;1,IF(C2333&lt;99,VLOOKUP(C2333,'Babblefish-APUMA'!$A$1:$B$86,2),C2333),C2333)</f>
        <v>86</v>
      </c>
    </row>
    <row r="2334" customFormat="false" ht="12.75" hidden="false" customHeight="false" outlineLevel="0" collapsed="false">
      <c r="A2334" s="0" t="n">
        <f aca="false">B2334*1000+C2334</f>
        <v>39022</v>
      </c>
      <c r="B2334" s="0" t="n">
        <v>39</v>
      </c>
      <c r="C2334" s="0" t="n">
        <v>22</v>
      </c>
      <c r="D2334" s="0" t="n">
        <v>247</v>
      </c>
      <c r="E2334" s="0" t="n">
        <f aca="false">VLOOKUP(B2334,'Babblefish-APUMA'!$A$1:$B$86,2)</f>
        <v>91</v>
      </c>
      <c r="F2334" s="0" t="n">
        <f aca="false">IF(C2334&gt;1,IF(C2334&lt;99,VLOOKUP(C2334,'Babblefish-APUMA'!$A$1:$B$86,2),C2334),C2334)</f>
        <v>22</v>
      </c>
    </row>
    <row r="2335" customFormat="false" ht="12.75" hidden="false" customHeight="false" outlineLevel="0" collapsed="false">
      <c r="A2335" s="0" t="n">
        <f aca="false">B2335*1000+C2335</f>
        <v>39023</v>
      </c>
      <c r="B2335" s="0" t="n">
        <v>39</v>
      </c>
      <c r="C2335" s="0" t="n">
        <v>23</v>
      </c>
      <c r="D2335" s="0" t="n">
        <v>0</v>
      </c>
      <c r="E2335" s="0" t="n">
        <f aca="false">VLOOKUP(B2335,'Babblefish-APUMA'!$A$1:$B$86,2)</f>
        <v>91</v>
      </c>
      <c r="F2335" s="0" t="n">
        <f aca="false">IF(C2335&gt;1,IF(C2335&lt;99,VLOOKUP(C2335,'Babblefish-APUMA'!$A$1:$B$86,2),C2335),C2335)</f>
        <v>97</v>
      </c>
    </row>
    <row r="2336" customFormat="false" ht="12.75" hidden="false" customHeight="false" outlineLevel="0" collapsed="false">
      <c r="A2336" s="0" t="n">
        <f aca="false">B2336*1000+C2336</f>
        <v>39024</v>
      </c>
      <c r="B2336" s="0" t="n">
        <v>39</v>
      </c>
      <c r="C2336" s="0" t="n">
        <v>24</v>
      </c>
      <c r="D2336" s="0" t="n">
        <v>0</v>
      </c>
      <c r="E2336" s="0" t="n">
        <f aca="false">VLOOKUP(B2336,'Babblefish-APUMA'!$A$1:$B$86,2)</f>
        <v>91</v>
      </c>
      <c r="F2336" s="0" t="n">
        <f aca="false">IF(C2336&gt;1,IF(C2336&lt;99,VLOOKUP(C2336,'Babblefish-APUMA'!$A$1:$B$86,2),C2336),C2336)</f>
        <v>101</v>
      </c>
    </row>
    <row r="2337" customFormat="false" ht="12.75" hidden="false" customHeight="false" outlineLevel="0" collapsed="false">
      <c r="A2337" s="0" t="n">
        <f aca="false">B2337*1000+C2337</f>
        <v>39025</v>
      </c>
      <c r="B2337" s="0" t="n">
        <v>39</v>
      </c>
      <c r="C2337" s="0" t="n">
        <v>25</v>
      </c>
      <c r="D2337" s="0" t="n">
        <v>0</v>
      </c>
      <c r="E2337" s="0" t="n">
        <f aca="false">VLOOKUP(B2337,'Babblefish-APUMA'!$A$1:$B$86,2)</f>
        <v>91</v>
      </c>
      <c r="F2337" s="0" t="n">
        <f aca="false">IF(C2337&gt;1,IF(C2337&lt;99,VLOOKUP(C2337,'Babblefish-APUMA'!$A$1:$B$86,2),C2337),C2337)</f>
        <v>101</v>
      </c>
    </row>
    <row r="2338" customFormat="false" ht="12.75" hidden="false" customHeight="false" outlineLevel="0" collapsed="false">
      <c r="A2338" s="0" t="n">
        <f aca="false">B2338*1000+C2338</f>
        <v>39026</v>
      </c>
      <c r="B2338" s="0" t="n">
        <v>39</v>
      </c>
      <c r="C2338" s="0" t="n">
        <v>26</v>
      </c>
      <c r="D2338" s="0" t="n">
        <v>0</v>
      </c>
      <c r="E2338" s="0" t="n">
        <f aca="false">VLOOKUP(B2338,'Babblefish-APUMA'!$A$1:$B$86,2)</f>
        <v>91</v>
      </c>
      <c r="F2338" s="0" t="n">
        <f aca="false">IF(C2338&gt;1,IF(C2338&lt;99,VLOOKUP(C2338,'Babblefish-APUMA'!$A$1:$B$86,2),C2338),C2338)</f>
        <v>26</v>
      </c>
    </row>
    <row r="2339" customFormat="false" ht="12.75" hidden="false" customHeight="false" outlineLevel="0" collapsed="false">
      <c r="A2339" s="0" t="n">
        <f aca="false">B2339*1000+C2339</f>
        <v>39027</v>
      </c>
      <c r="B2339" s="0" t="n">
        <v>39</v>
      </c>
      <c r="C2339" s="0" t="n">
        <v>27</v>
      </c>
      <c r="D2339" s="0" t="n">
        <v>247</v>
      </c>
      <c r="E2339" s="0" t="n">
        <f aca="false">VLOOKUP(B2339,'Babblefish-APUMA'!$A$1:$B$86,2)</f>
        <v>91</v>
      </c>
      <c r="F2339" s="0" t="n">
        <f aca="false">IF(C2339&gt;1,IF(C2339&lt;99,VLOOKUP(C2339,'Babblefish-APUMA'!$A$1:$B$86,2),C2339),C2339)</f>
        <v>27</v>
      </c>
    </row>
    <row r="2340" customFormat="false" ht="12.75" hidden="false" customHeight="false" outlineLevel="0" collapsed="false">
      <c r="A2340" s="0" t="n">
        <f aca="false">B2340*1000+C2340</f>
        <v>39028</v>
      </c>
      <c r="B2340" s="0" t="n">
        <v>39</v>
      </c>
      <c r="C2340" s="0" t="n">
        <v>28</v>
      </c>
      <c r="D2340" s="0" t="n">
        <v>0</v>
      </c>
      <c r="E2340" s="0" t="n">
        <f aca="false">VLOOKUP(B2340,'Babblefish-APUMA'!$A$1:$B$86,2)</f>
        <v>91</v>
      </c>
      <c r="F2340" s="0" t="n">
        <f aca="false">IF(C2340&gt;1,IF(C2340&lt;99,VLOOKUP(C2340,'Babblefish-APUMA'!$A$1:$B$86,2),C2340),C2340)</f>
        <v>94</v>
      </c>
    </row>
    <row r="2341" customFormat="false" ht="12.75" hidden="false" customHeight="false" outlineLevel="0" collapsed="false">
      <c r="A2341" s="0" t="n">
        <f aca="false">B2341*1000+C2341</f>
        <v>39029</v>
      </c>
      <c r="B2341" s="0" t="n">
        <v>39</v>
      </c>
      <c r="C2341" s="0" t="n">
        <v>29</v>
      </c>
      <c r="D2341" s="0" t="n">
        <v>0</v>
      </c>
      <c r="E2341" s="0" t="n">
        <f aca="false">VLOOKUP(B2341,'Babblefish-APUMA'!$A$1:$B$86,2)</f>
        <v>91</v>
      </c>
      <c r="F2341" s="0" t="n">
        <f aca="false">IF(C2341&gt;1,IF(C2341&lt;99,VLOOKUP(C2341,'Babblefish-APUMA'!$A$1:$B$86,2),C2341),C2341)</f>
        <v>94</v>
      </c>
    </row>
    <row r="2342" customFormat="false" ht="12.75" hidden="false" customHeight="false" outlineLevel="0" collapsed="false">
      <c r="A2342" s="0" t="n">
        <f aca="false">B2342*1000+C2342</f>
        <v>39030</v>
      </c>
      <c r="B2342" s="0" t="n">
        <v>39</v>
      </c>
      <c r="C2342" s="0" t="n">
        <v>30</v>
      </c>
      <c r="D2342" s="0" t="n">
        <v>0</v>
      </c>
      <c r="E2342" s="0" t="n">
        <f aca="false">VLOOKUP(B2342,'Babblefish-APUMA'!$A$1:$B$86,2)</f>
        <v>91</v>
      </c>
      <c r="F2342" s="0" t="n">
        <f aca="false">IF(C2342&gt;1,IF(C2342&lt;99,VLOOKUP(C2342,'Babblefish-APUMA'!$A$1:$B$86,2),C2342),C2342)</f>
        <v>30</v>
      </c>
    </row>
    <row r="2343" customFormat="false" ht="12.75" hidden="false" customHeight="false" outlineLevel="0" collapsed="false">
      <c r="A2343" s="0" t="n">
        <f aca="false">B2343*1000+C2343</f>
        <v>39031</v>
      </c>
      <c r="B2343" s="0" t="n">
        <v>39</v>
      </c>
      <c r="C2343" s="0" t="n">
        <v>31</v>
      </c>
      <c r="D2343" s="0" t="n">
        <v>0</v>
      </c>
      <c r="E2343" s="0" t="n">
        <f aca="false">VLOOKUP(B2343,'Babblefish-APUMA'!$A$1:$B$86,2)</f>
        <v>91</v>
      </c>
      <c r="F2343" s="0" t="n">
        <f aca="false">IF(C2343&gt;1,IF(C2343&lt;99,VLOOKUP(C2343,'Babblefish-APUMA'!$A$1:$B$86,2),C2343),C2343)</f>
        <v>31</v>
      </c>
    </row>
    <row r="2344" customFormat="false" ht="12.75" hidden="false" customHeight="false" outlineLevel="0" collapsed="false">
      <c r="A2344" s="0" t="n">
        <f aca="false">B2344*1000+C2344</f>
        <v>39032</v>
      </c>
      <c r="B2344" s="0" t="n">
        <v>39</v>
      </c>
      <c r="C2344" s="0" t="n">
        <v>32</v>
      </c>
      <c r="D2344" s="0" t="n">
        <v>0</v>
      </c>
      <c r="E2344" s="0" t="n">
        <f aca="false">VLOOKUP(B2344,'Babblefish-APUMA'!$A$1:$B$86,2)</f>
        <v>91</v>
      </c>
      <c r="F2344" s="0" t="n">
        <f aca="false">IF(C2344&gt;1,IF(C2344&lt;99,VLOOKUP(C2344,'Babblefish-APUMA'!$A$1:$B$86,2),C2344),C2344)</f>
        <v>32</v>
      </c>
    </row>
    <row r="2345" customFormat="false" ht="12.75" hidden="false" customHeight="false" outlineLevel="0" collapsed="false">
      <c r="A2345" s="0" t="n">
        <f aca="false">B2345*1000+C2345</f>
        <v>39033</v>
      </c>
      <c r="B2345" s="0" t="n">
        <v>39</v>
      </c>
      <c r="C2345" s="0" t="n">
        <v>33</v>
      </c>
      <c r="D2345" s="0" t="n">
        <v>0</v>
      </c>
      <c r="E2345" s="0" t="n">
        <f aca="false">VLOOKUP(B2345,'Babblefish-APUMA'!$A$1:$B$86,2)</f>
        <v>91</v>
      </c>
      <c r="F2345" s="0" t="n">
        <f aca="false">IF(C2345&gt;1,IF(C2345&lt;99,VLOOKUP(C2345,'Babblefish-APUMA'!$A$1:$B$86,2),C2345),C2345)</f>
        <v>96</v>
      </c>
    </row>
    <row r="2346" customFormat="false" ht="12.75" hidden="false" customHeight="false" outlineLevel="0" collapsed="false">
      <c r="A2346" s="0" t="n">
        <f aca="false">B2346*1000+C2346</f>
        <v>39034</v>
      </c>
      <c r="B2346" s="0" t="n">
        <v>39</v>
      </c>
      <c r="C2346" s="0" t="n">
        <v>34</v>
      </c>
      <c r="D2346" s="0" t="n">
        <v>0</v>
      </c>
      <c r="E2346" s="0" t="n">
        <f aca="false">VLOOKUP(B2346,'Babblefish-APUMA'!$A$1:$B$86,2)</f>
        <v>91</v>
      </c>
      <c r="F2346" s="0" t="n">
        <f aca="false">IF(C2346&gt;1,IF(C2346&lt;99,VLOOKUP(C2346,'Babblefish-APUMA'!$A$1:$B$86,2),C2346),C2346)</f>
        <v>96</v>
      </c>
    </row>
    <row r="2347" customFormat="false" ht="12.75" hidden="false" customHeight="false" outlineLevel="0" collapsed="false">
      <c r="A2347" s="0" t="n">
        <f aca="false">B2347*1000+C2347</f>
        <v>39035</v>
      </c>
      <c r="B2347" s="0" t="n">
        <v>39</v>
      </c>
      <c r="C2347" s="0" t="n">
        <v>35</v>
      </c>
      <c r="D2347" s="0" t="n">
        <v>0</v>
      </c>
      <c r="E2347" s="0" t="n">
        <f aca="false">VLOOKUP(B2347,'Babblefish-APUMA'!$A$1:$B$86,2)</f>
        <v>91</v>
      </c>
      <c r="F2347" s="0" t="n">
        <f aca="false">IF(C2347&gt;1,IF(C2347&lt;99,VLOOKUP(C2347,'Babblefish-APUMA'!$A$1:$B$86,2),C2347),C2347)</f>
        <v>96</v>
      </c>
    </row>
    <row r="2348" customFormat="false" ht="12.75" hidden="false" customHeight="false" outlineLevel="0" collapsed="false">
      <c r="A2348" s="0" t="n">
        <f aca="false">B2348*1000+C2348</f>
        <v>39036</v>
      </c>
      <c r="B2348" s="0" t="n">
        <v>39</v>
      </c>
      <c r="C2348" s="0" t="n">
        <v>36</v>
      </c>
      <c r="D2348" s="0" t="n">
        <v>0</v>
      </c>
      <c r="E2348" s="0" t="n">
        <f aca="false">VLOOKUP(B2348,'Babblefish-APUMA'!$A$1:$B$86,2)</f>
        <v>91</v>
      </c>
      <c r="F2348" s="0" t="n">
        <f aca="false">IF(C2348&gt;1,IF(C2348&lt;99,VLOOKUP(C2348,'Babblefish-APUMA'!$A$1:$B$86,2),C2348),C2348)</f>
        <v>96</v>
      </c>
    </row>
    <row r="2349" customFormat="false" ht="12.75" hidden="false" customHeight="false" outlineLevel="0" collapsed="false">
      <c r="A2349" s="0" t="n">
        <f aca="false">B2349*1000+C2349</f>
        <v>39037</v>
      </c>
      <c r="B2349" s="0" t="n">
        <v>39</v>
      </c>
      <c r="C2349" s="0" t="n">
        <v>37</v>
      </c>
      <c r="D2349" s="0" t="n">
        <v>0</v>
      </c>
      <c r="E2349" s="0" t="n">
        <f aca="false">VLOOKUP(B2349,'Babblefish-APUMA'!$A$1:$B$86,2)</f>
        <v>91</v>
      </c>
      <c r="F2349" s="0" t="n">
        <f aca="false">IF(C2349&gt;1,IF(C2349&lt;99,VLOOKUP(C2349,'Babblefish-APUMA'!$A$1:$B$86,2),C2349),C2349)</f>
        <v>96</v>
      </c>
    </row>
    <row r="2350" customFormat="false" ht="12.75" hidden="false" customHeight="false" outlineLevel="0" collapsed="false">
      <c r="A2350" s="0" t="n">
        <f aca="false">B2350*1000+C2350</f>
        <v>39038</v>
      </c>
      <c r="B2350" s="0" t="n">
        <v>39</v>
      </c>
      <c r="C2350" s="0" t="n">
        <v>38</v>
      </c>
      <c r="D2350" s="0" t="n">
        <v>14235</v>
      </c>
      <c r="E2350" s="0" t="n">
        <f aca="false">VLOOKUP(B2350,'Babblefish-APUMA'!$A$1:$B$86,2)</f>
        <v>91</v>
      </c>
      <c r="F2350" s="0" t="n">
        <f aca="false">IF(C2350&gt;1,IF(C2350&lt;99,VLOOKUP(C2350,'Babblefish-APUMA'!$A$1:$B$86,2),C2350),C2350)</f>
        <v>91</v>
      </c>
    </row>
    <row r="2351" customFormat="false" ht="12.75" hidden="false" customHeight="false" outlineLevel="0" collapsed="false">
      <c r="A2351" s="0" t="n">
        <f aca="false">B2351*1000+C2351</f>
        <v>39039</v>
      </c>
      <c r="B2351" s="0" t="n">
        <v>39</v>
      </c>
      <c r="C2351" s="0" t="n">
        <v>39</v>
      </c>
      <c r="D2351" s="0" t="n">
        <v>95147</v>
      </c>
      <c r="E2351" s="0" t="n">
        <f aca="false">VLOOKUP(B2351,'Babblefish-APUMA'!$A$1:$B$86,2)</f>
        <v>91</v>
      </c>
      <c r="F2351" s="0" t="n">
        <f aca="false">IF(C2351&gt;1,IF(C2351&lt;99,VLOOKUP(C2351,'Babblefish-APUMA'!$A$1:$B$86,2),C2351),C2351)</f>
        <v>91</v>
      </c>
    </row>
    <row r="2352" customFormat="false" ht="12.75" hidden="false" customHeight="false" outlineLevel="0" collapsed="false">
      <c r="A2352" s="0" t="n">
        <f aca="false">B2352*1000+C2352</f>
        <v>39040</v>
      </c>
      <c r="B2352" s="0" t="n">
        <v>39</v>
      </c>
      <c r="C2352" s="0" t="n">
        <v>40</v>
      </c>
      <c r="D2352" s="0" t="n">
        <v>0</v>
      </c>
      <c r="E2352" s="0" t="n">
        <f aca="false">VLOOKUP(B2352,'Babblefish-APUMA'!$A$1:$B$86,2)</f>
        <v>91</v>
      </c>
      <c r="F2352" s="0" t="n">
        <f aca="false">IF(C2352&gt;1,IF(C2352&lt;99,VLOOKUP(C2352,'Babblefish-APUMA'!$A$1:$B$86,2),C2352),C2352)</f>
        <v>88</v>
      </c>
    </row>
    <row r="2353" customFormat="false" ht="12.75" hidden="false" customHeight="false" outlineLevel="0" collapsed="false">
      <c r="A2353" s="0" t="n">
        <f aca="false">B2353*1000+C2353</f>
        <v>39041</v>
      </c>
      <c r="B2353" s="0" t="n">
        <v>39</v>
      </c>
      <c r="C2353" s="0" t="n">
        <v>41</v>
      </c>
      <c r="D2353" s="0" t="n">
        <v>0</v>
      </c>
      <c r="E2353" s="0" t="n">
        <f aca="false">VLOOKUP(B2353,'Babblefish-APUMA'!$A$1:$B$86,2)</f>
        <v>91</v>
      </c>
      <c r="F2353" s="0" t="n">
        <f aca="false">IF(C2353&gt;1,IF(C2353&lt;99,VLOOKUP(C2353,'Babblefish-APUMA'!$A$1:$B$86,2),C2353),C2353)</f>
        <v>88</v>
      </c>
    </row>
    <row r="2354" customFormat="false" ht="12.75" hidden="false" customHeight="false" outlineLevel="0" collapsed="false">
      <c r="A2354" s="0" t="n">
        <f aca="false">B2354*1000+C2354</f>
        <v>39042</v>
      </c>
      <c r="B2354" s="0" t="n">
        <v>39</v>
      </c>
      <c r="C2354" s="0" t="n">
        <v>42</v>
      </c>
      <c r="D2354" s="0" t="n">
        <v>0</v>
      </c>
      <c r="E2354" s="0" t="n">
        <f aca="false">VLOOKUP(B2354,'Babblefish-APUMA'!$A$1:$B$86,2)</f>
        <v>91</v>
      </c>
      <c r="F2354" s="0" t="n">
        <f aca="false">IF(C2354&gt;1,IF(C2354&lt;99,VLOOKUP(C2354,'Babblefish-APUMA'!$A$1:$B$86,2),C2354),C2354)</f>
        <v>92</v>
      </c>
    </row>
    <row r="2355" customFormat="false" ht="12.75" hidden="false" customHeight="false" outlineLevel="0" collapsed="false">
      <c r="A2355" s="0" t="n">
        <f aca="false">B2355*1000+C2355</f>
        <v>39043</v>
      </c>
      <c r="B2355" s="0" t="n">
        <v>39</v>
      </c>
      <c r="C2355" s="0" t="n">
        <v>43</v>
      </c>
      <c r="D2355" s="0" t="n">
        <v>0</v>
      </c>
      <c r="E2355" s="0" t="n">
        <f aca="false">VLOOKUP(B2355,'Babblefish-APUMA'!$A$1:$B$86,2)</f>
        <v>91</v>
      </c>
      <c r="F2355" s="0" t="n">
        <f aca="false">IF(C2355&gt;1,IF(C2355&lt;99,VLOOKUP(C2355,'Babblefish-APUMA'!$A$1:$B$86,2),C2355),C2355)</f>
        <v>92</v>
      </c>
    </row>
    <row r="2356" customFormat="false" ht="12.75" hidden="false" customHeight="false" outlineLevel="0" collapsed="false">
      <c r="A2356" s="0" t="n">
        <f aca="false">B2356*1000+C2356</f>
        <v>39044</v>
      </c>
      <c r="B2356" s="0" t="n">
        <v>39</v>
      </c>
      <c r="C2356" s="0" t="n">
        <v>44</v>
      </c>
      <c r="D2356" s="0" t="n">
        <v>0</v>
      </c>
      <c r="E2356" s="0" t="n">
        <f aca="false">VLOOKUP(B2356,'Babblefish-APUMA'!$A$1:$B$86,2)</f>
        <v>91</v>
      </c>
      <c r="F2356" s="0" t="n">
        <f aca="false">IF(C2356&gt;1,IF(C2356&lt;99,VLOOKUP(C2356,'Babblefish-APUMA'!$A$1:$B$86,2),C2356),C2356)</f>
        <v>92</v>
      </c>
    </row>
    <row r="2357" customFormat="false" ht="12.75" hidden="false" customHeight="false" outlineLevel="0" collapsed="false">
      <c r="A2357" s="0" t="n">
        <f aca="false">B2357*1000+C2357</f>
        <v>39045</v>
      </c>
      <c r="B2357" s="0" t="n">
        <v>39</v>
      </c>
      <c r="C2357" s="0" t="n">
        <v>45</v>
      </c>
      <c r="D2357" s="0" t="n">
        <v>0</v>
      </c>
      <c r="E2357" s="0" t="n">
        <f aca="false">VLOOKUP(B2357,'Babblefish-APUMA'!$A$1:$B$86,2)</f>
        <v>91</v>
      </c>
      <c r="F2357" s="0" t="n">
        <f aca="false">IF(C2357&gt;1,IF(C2357&lt;99,VLOOKUP(C2357,'Babblefish-APUMA'!$A$1:$B$86,2),C2357),C2357)</f>
        <v>92</v>
      </c>
    </row>
    <row r="2358" customFormat="false" ht="12.75" hidden="false" customHeight="false" outlineLevel="0" collapsed="false">
      <c r="A2358" s="0" t="n">
        <f aca="false">B2358*1000+C2358</f>
        <v>39046</v>
      </c>
      <c r="B2358" s="0" t="n">
        <v>39</v>
      </c>
      <c r="C2358" s="0" t="n">
        <v>46</v>
      </c>
      <c r="D2358" s="0" t="n">
        <v>0</v>
      </c>
      <c r="E2358" s="0" t="n">
        <f aca="false">VLOOKUP(B2358,'Babblefish-APUMA'!$A$1:$B$86,2)</f>
        <v>91</v>
      </c>
      <c r="F2358" s="0" t="n">
        <f aca="false">IF(C2358&gt;1,IF(C2358&lt;99,VLOOKUP(C2358,'Babblefish-APUMA'!$A$1:$B$86,2),C2358),C2358)</f>
        <v>92</v>
      </c>
    </row>
    <row r="2359" customFormat="false" ht="12.75" hidden="false" customHeight="false" outlineLevel="0" collapsed="false">
      <c r="A2359" s="0" t="n">
        <f aca="false">B2359*1000+C2359</f>
        <v>39047</v>
      </c>
      <c r="B2359" s="0" t="n">
        <v>39</v>
      </c>
      <c r="C2359" s="0" t="n">
        <v>47</v>
      </c>
      <c r="D2359" s="0" t="n">
        <v>0</v>
      </c>
      <c r="E2359" s="0" t="n">
        <f aca="false">VLOOKUP(B2359,'Babblefish-APUMA'!$A$1:$B$86,2)</f>
        <v>91</v>
      </c>
      <c r="F2359" s="0" t="n">
        <f aca="false">IF(C2359&gt;1,IF(C2359&lt;99,VLOOKUP(C2359,'Babblefish-APUMA'!$A$1:$B$86,2),C2359),C2359)</f>
        <v>92</v>
      </c>
    </row>
    <row r="2360" customFormat="false" ht="12.75" hidden="false" customHeight="false" outlineLevel="0" collapsed="false">
      <c r="A2360" s="0" t="n">
        <f aca="false">B2360*1000+C2360</f>
        <v>39048</v>
      </c>
      <c r="B2360" s="0" t="n">
        <v>39</v>
      </c>
      <c r="C2360" s="0" t="n">
        <v>48</v>
      </c>
      <c r="D2360" s="0" t="n">
        <v>0</v>
      </c>
      <c r="E2360" s="0" t="n">
        <f aca="false">VLOOKUP(B2360,'Babblefish-APUMA'!$A$1:$B$86,2)</f>
        <v>91</v>
      </c>
      <c r="F2360" s="0" t="n">
        <f aca="false">IF(C2360&gt;1,IF(C2360&lt;99,VLOOKUP(C2360,'Babblefish-APUMA'!$A$1:$B$86,2),C2360),C2360)</f>
        <v>92</v>
      </c>
    </row>
    <row r="2361" customFormat="false" ht="12.75" hidden="false" customHeight="false" outlineLevel="0" collapsed="false">
      <c r="A2361" s="0" t="n">
        <f aca="false">B2361*1000+C2361</f>
        <v>39049</v>
      </c>
      <c r="B2361" s="0" t="n">
        <v>39</v>
      </c>
      <c r="C2361" s="0" t="n">
        <v>49</v>
      </c>
      <c r="D2361" s="0" t="n">
        <v>598</v>
      </c>
      <c r="E2361" s="0" t="n">
        <f aca="false">VLOOKUP(B2361,'Babblefish-APUMA'!$A$1:$B$86,2)</f>
        <v>91</v>
      </c>
      <c r="F2361" s="0" t="n">
        <f aca="false">IF(C2361&gt;1,IF(C2361&lt;99,VLOOKUP(C2361,'Babblefish-APUMA'!$A$1:$B$86,2),C2361),C2361)</f>
        <v>98</v>
      </c>
    </row>
    <row r="2362" customFormat="false" ht="12.75" hidden="false" customHeight="false" outlineLevel="0" collapsed="false">
      <c r="A2362" s="0" t="n">
        <f aca="false">B2362*1000+C2362</f>
        <v>39050</v>
      </c>
      <c r="B2362" s="0" t="n">
        <v>39</v>
      </c>
      <c r="C2362" s="0" t="n">
        <v>50</v>
      </c>
      <c r="D2362" s="0" t="n">
        <v>0</v>
      </c>
      <c r="E2362" s="0" t="n">
        <f aca="false">VLOOKUP(B2362,'Babblefish-APUMA'!$A$1:$B$86,2)</f>
        <v>91</v>
      </c>
      <c r="F2362" s="0" t="n">
        <f aca="false">IF(C2362&gt;1,IF(C2362&lt;99,VLOOKUP(C2362,'Babblefish-APUMA'!$A$1:$B$86,2),C2362),C2362)</f>
        <v>98</v>
      </c>
    </row>
    <row r="2363" customFormat="false" ht="12.75" hidden="false" customHeight="false" outlineLevel="0" collapsed="false">
      <c r="A2363" s="0" t="n">
        <f aca="false">B2363*1000+C2363</f>
        <v>39051</v>
      </c>
      <c r="B2363" s="0" t="n">
        <v>39</v>
      </c>
      <c r="C2363" s="0" t="n">
        <v>51</v>
      </c>
      <c r="D2363" s="0" t="n">
        <v>910</v>
      </c>
      <c r="E2363" s="0" t="n">
        <f aca="false">VLOOKUP(B2363,'Babblefish-APUMA'!$A$1:$B$86,2)</f>
        <v>91</v>
      </c>
      <c r="F2363" s="0" t="n">
        <f aca="false">IF(C2363&gt;1,IF(C2363&lt;99,VLOOKUP(C2363,'Babblefish-APUMA'!$A$1:$B$86,2),C2363),C2363)</f>
        <v>98</v>
      </c>
    </row>
    <row r="2364" customFormat="false" ht="12.75" hidden="false" customHeight="false" outlineLevel="0" collapsed="false">
      <c r="A2364" s="0" t="n">
        <f aca="false">B2364*1000+C2364</f>
        <v>39052</v>
      </c>
      <c r="B2364" s="0" t="n">
        <v>39</v>
      </c>
      <c r="C2364" s="0" t="n">
        <v>52</v>
      </c>
      <c r="D2364" s="0" t="n">
        <v>0</v>
      </c>
      <c r="E2364" s="0" t="n">
        <f aca="false">VLOOKUP(B2364,'Babblefish-APUMA'!$A$1:$B$86,2)</f>
        <v>91</v>
      </c>
      <c r="F2364" s="0" t="n">
        <f aca="false">IF(C2364&gt;1,IF(C2364&lt;99,VLOOKUP(C2364,'Babblefish-APUMA'!$A$1:$B$86,2),C2364),C2364)</f>
        <v>90</v>
      </c>
    </row>
    <row r="2365" customFormat="false" ht="12.75" hidden="false" customHeight="false" outlineLevel="0" collapsed="false">
      <c r="A2365" s="0" t="n">
        <f aca="false">B2365*1000+C2365</f>
        <v>39053</v>
      </c>
      <c r="B2365" s="0" t="n">
        <v>39</v>
      </c>
      <c r="C2365" s="0" t="n">
        <v>53</v>
      </c>
      <c r="D2365" s="0" t="n">
        <v>0</v>
      </c>
      <c r="E2365" s="0" t="n">
        <f aca="false">VLOOKUP(B2365,'Babblefish-APUMA'!$A$1:$B$86,2)</f>
        <v>91</v>
      </c>
      <c r="F2365" s="0" t="n">
        <f aca="false">IF(C2365&gt;1,IF(C2365&lt;99,VLOOKUP(C2365,'Babblefish-APUMA'!$A$1:$B$86,2),C2365),C2365)</f>
        <v>90</v>
      </c>
    </row>
    <row r="2366" customFormat="false" ht="12.75" hidden="false" customHeight="false" outlineLevel="0" collapsed="false">
      <c r="A2366" s="0" t="n">
        <f aca="false">B2366*1000+C2366</f>
        <v>39054</v>
      </c>
      <c r="B2366" s="0" t="n">
        <v>39</v>
      </c>
      <c r="C2366" s="0" t="n">
        <v>54</v>
      </c>
      <c r="D2366" s="0" t="n">
        <v>0</v>
      </c>
      <c r="E2366" s="0" t="n">
        <f aca="false">VLOOKUP(B2366,'Babblefish-APUMA'!$A$1:$B$86,2)</f>
        <v>91</v>
      </c>
      <c r="F2366" s="0" t="n">
        <f aca="false">IF(C2366&gt;1,IF(C2366&lt;99,VLOOKUP(C2366,'Babblefish-APUMA'!$A$1:$B$86,2),C2366),C2366)</f>
        <v>90</v>
      </c>
    </row>
    <row r="2367" customFormat="false" ht="12.75" hidden="false" customHeight="false" outlineLevel="0" collapsed="false">
      <c r="A2367" s="0" t="n">
        <f aca="false">B2367*1000+C2367</f>
        <v>39055</v>
      </c>
      <c r="B2367" s="0" t="n">
        <v>39</v>
      </c>
      <c r="C2367" s="0" t="n">
        <v>55</v>
      </c>
      <c r="D2367" s="0" t="n">
        <v>0</v>
      </c>
      <c r="E2367" s="0" t="n">
        <f aca="false">VLOOKUP(B2367,'Babblefish-APUMA'!$A$1:$B$86,2)</f>
        <v>91</v>
      </c>
      <c r="F2367" s="0" t="n">
        <f aca="false">IF(C2367&gt;1,IF(C2367&lt;99,VLOOKUP(C2367,'Babblefish-APUMA'!$A$1:$B$86,2),C2367),C2367)</f>
        <v>90</v>
      </c>
    </row>
    <row r="2368" customFormat="false" ht="12.75" hidden="false" customHeight="false" outlineLevel="0" collapsed="false">
      <c r="A2368" s="0" t="n">
        <f aca="false">B2368*1000+C2368</f>
        <v>39056</v>
      </c>
      <c r="B2368" s="0" t="n">
        <v>39</v>
      </c>
      <c r="C2368" s="0" t="n">
        <v>56</v>
      </c>
      <c r="D2368" s="0" t="n">
        <v>0</v>
      </c>
      <c r="E2368" s="0" t="n">
        <f aca="false">VLOOKUP(B2368,'Babblefish-APUMA'!$A$1:$B$86,2)</f>
        <v>91</v>
      </c>
      <c r="F2368" s="0" t="n">
        <f aca="false">IF(C2368&gt;1,IF(C2368&lt;99,VLOOKUP(C2368,'Babblefish-APUMA'!$A$1:$B$86,2),C2368),C2368)</f>
        <v>90</v>
      </c>
    </row>
    <row r="2369" customFormat="false" ht="12.75" hidden="false" customHeight="false" outlineLevel="0" collapsed="false">
      <c r="A2369" s="0" t="n">
        <f aca="false">B2369*1000+C2369</f>
        <v>39057</v>
      </c>
      <c r="B2369" s="0" t="n">
        <v>39</v>
      </c>
      <c r="C2369" s="0" t="n">
        <v>57</v>
      </c>
      <c r="D2369" s="0" t="n">
        <v>0</v>
      </c>
      <c r="E2369" s="0" t="n">
        <f aca="false">VLOOKUP(B2369,'Babblefish-APUMA'!$A$1:$B$86,2)</f>
        <v>91</v>
      </c>
      <c r="F2369" s="0" t="n">
        <f aca="false">IF(C2369&gt;1,IF(C2369&lt;99,VLOOKUP(C2369,'Babblefish-APUMA'!$A$1:$B$86,2),C2369),C2369)</f>
        <v>90</v>
      </c>
    </row>
    <row r="2370" customFormat="false" ht="12.75" hidden="false" customHeight="false" outlineLevel="0" collapsed="false">
      <c r="A2370" s="0" t="n">
        <f aca="false">B2370*1000+C2370</f>
        <v>39059</v>
      </c>
      <c r="B2370" s="0" t="n">
        <v>39</v>
      </c>
      <c r="C2370" s="0" t="n">
        <v>59</v>
      </c>
      <c r="D2370" s="0" t="n">
        <v>78</v>
      </c>
      <c r="E2370" s="0" t="n">
        <f aca="false">VLOOKUP(B2370,'Babblefish-APUMA'!$A$1:$B$86,2)</f>
        <v>91</v>
      </c>
      <c r="F2370" s="0" t="n">
        <f aca="false">IF(C2370&gt;1,IF(C2370&lt;99,VLOOKUP(C2370,'Babblefish-APUMA'!$A$1:$B$86,2),C2370),C2370)</f>
        <v>90</v>
      </c>
    </row>
    <row r="2371" customFormat="false" ht="12.75" hidden="false" customHeight="false" outlineLevel="0" collapsed="false">
      <c r="A2371" s="0" t="n">
        <f aca="false">B2371*1000+C2371</f>
        <v>39060</v>
      </c>
      <c r="B2371" s="0" t="n">
        <v>39</v>
      </c>
      <c r="C2371" s="0" t="n">
        <v>60</v>
      </c>
      <c r="D2371" s="0" t="n">
        <v>0</v>
      </c>
      <c r="E2371" s="0" t="n">
        <f aca="false">VLOOKUP(B2371,'Babblefish-APUMA'!$A$1:$B$86,2)</f>
        <v>91</v>
      </c>
      <c r="F2371" s="0" t="n">
        <f aca="false">IF(C2371&gt;1,IF(C2371&lt;99,VLOOKUP(C2371,'Babblefish-APUMA'!$A$1:$B$86,2),C2371),C2371)</f>
        <v>90</v>
      </c>
    </row>
    <row r="2372" customFormat="false" ht="12.75" hidden="false" customHeight="false" outlineLevel="0" collapsed="false">
      <c r="A2372" s="0" t="n">
        <f aca="false">B2372*1000+C2372</f>
        <v>39062</v>
      </c>
      <c r="B2372" s="0" t="n">
        <v>39</v>
      </c>
      <c r="C2372" s="0" t="n">
        <v>62</v>
      </c>
      <c r="D2372" s="0" t="n">
        <v>0</v>
      </c>
      <c r="E2372" s="0" t="n">
        <f aca="false">VLOOKUP(B2372,'Babblefish-APUMA'!$A$1:$B$86,2)</f>
        <v>91</v>
      </c>
      <c r="F2372" s="0" t="n">
        <f aca="false">IF(C2372&gt;1,IF(C2372&lt;99,VLOOKUP(C2372,'Babblefish-APUMA'!$A$1:$B$86,2),C2372),C2372)</f>
        <v>90</v>
      </c>
    </row>
    <row r="2373" customFormat="false" ht="12.75" hidden="false" customHeight="false" outlineLevel="0" collapsed="false">
      <c r="A2373" s="0" t="n">
        <f aca="false">B2373*1000+C2373</f>
        <v>39063</v>
      </c>
      <c r="B2373" s="0" t="n">
        <v>39</v>
      </c>
      <c r="C2373" s="0" t="n">
        <v>63</v>
      </c>
      <c r="D2373" s="0" t="n">
        <v>0</v>
      </c>
      <c r="E2373" s="0" t="n">
        <f aca="false">VLOOKUP(B2373,'Babblefish-APUMA'!$A$1:$B$86,2)</f>
        <v>91</v>
      </c>
      <c r="F2373" s="0" t="n">
        <f aca="false">IF(C2373&gt;1,IF(C2373&lt;99,VLOOKUP(C2373,'Babblefish-APUMA'!$A$1:$B$86,2),C2373),C2373)</f>
        <v>90</v>
      </c>
    </row>
    <row r="2374" customFormat="false" ht="12.75" hidden="false" customHeight="false" outlineLevel="0" collapsed="false">
      <c r="A2374" s="0" t="n">
        <f aca="false">B2374*1000+C2374</f>
        <v>39064</v>
      </c>
      <c r="B2374" s="0" t="n">
        <v>39</v>
      </c>
      <c r="C2374" s="0" t="n">
        <v>64</v>
      </c>
      <c r="D2374" s="0" t="n">
        <v>117</v>
      </c>
      <c r="E2374" s="0" t="n">
        <f aca="false">VLOOKUP(B2374,'Babblefish-APUMA'!$A$1:$B$86,2)</f>
        <v>91</v>
      </c>
      <c r="F2374" s="0" t="n">
        <f aca="false">IF(C2374&gt;1,IF(C2374&lt;99,VLOOKUP(C2374,'Babblefish-APUMA'!$A$1:$B$86,2),C2374),C2374)</f>
        <v>90</v>
      </c>
    </row>
    <row r="2375" customFormat="false" ht="12.75" hidden="false" customHeight="false" outlineLevel="0" collapsed="false">
      <c r="A2375" s="0" t="n">
        <f aca="false">B2375*1000+C2375</f>
        <v>39065</v>
      </c>
      <c r="B2375" s="0" t="n">
        <v>39</v>
      </c>
      <c r="C2375" s="0" t="n">
        <v>65</v>
      </c>
      <c r="D2375" s="0" t="n">
        <v>0</v>
      </c>
      <c r="E2375" s="0" t="n">
        <f aca="false">VLOOKUP(B2375,'Babblefish-APUMA'!$A$1:$B$86,2)</f>
        <v>91</v>
      </c>
      <c r="F2375" s="0" t="n">
        <f aca="false">IF(C2375&gt;1,IF(C2375&lt;99,VLOOKUP(C2375,'Babblefish-APUMA'!$A$1:$B$86,2),C2375),C2375)</f>
        <v>90</v>
      </c>
    </row>
    <row r="2376" customFormat="false" ht="12.75" hidden="false" customHeight="false" outlineLevel="0" collapsed="false">
      <c r="A2376" s="0" t="n">
        <f aca="false">B2376*1000+C2376</f>
        <v>39066</v>
      </c>
      <c r="B2376" s="0" t="n">
        <v>39</v>
      </c>
      <c r="C2376" s="0" t="n">
        <v>66</v>
      </c>
      <c r="D2376" s="0" t="n">
        <v>0</v>
      </c>
      <c r="E2376" s="0" t="n">
        <f aca="false">VLOOKUP(B2376,'Babblefish-APUMA'!$A$1:$B$86,2)</f>
        <v>91</v>
      </c>
      <c r="F2376" s="0" t="n">
        <f aca="false">IF(C2376&gt;1,IF(C2376&lt;99,VLOOKUP(C2376,'Babblefish-APUMA'!$A$1:$B$86,2),C2376),C2376)</f>
        <v>90</v>
      </c>
    </row>
    <row r="2377" customFormat="false" ht="12.75" hidden="false" customHeight="false" outlineLevel="0" collapsed="false">
      <c r="A2377" s="0" t="n">
        <f aca="false">B2377*1000+C2377</f>
        <v>39067</v>
      </c>
      <c r="B2377" s="0" t="n">
        <v>39</v>
      </c>
      <c r="C2377" s="0" t="n">
        <v>67</v>
      </c>
      <c r="D2377" s="0" t="n">
        <v>0</v>
      </c>
      <c r="E2377" s="0" t="n">
        <f aca="false">VLOOKUP(B2377,'Babblefish-APUMA'!$A$1:$B$86,2)</f>
        <v>91</v>
      </c>
      <c r="F2377" s="0" t="n">
        <f aca="false">IF(C2377&gt;1,IF(C2377&lt;99,VLOOKUP(C2377,'Babblefish-APUMA'!$A$1:$B$86,2),C2377),C2377)</f>
        <v>103</v>
      </c>
    </row>
    <row r="2378" customFormat="false" ht="12.75" hidden="false" customHeight="false" outlineLevel="0" collapsed="false">
      <c r="A2378" s="0" t="n">
        <f aca="false">B2378*1000+C2378</f>
        <v>39069</v>
      </c>
      <c r="B2378" s="0" t="n">
        <v>39</v>
      </c>
      <c r="C2378" s="0" t="n">
        <v>69</v>
      </c>
      <c r="D2378" s="0" t="n">
        <v>0</v>
      </c>
      <c r="E2378" s="0" t="n">
        <f aca="false">VLOOKUP(B2378,'Babblefish-APUMA'!$A$1:$B$86,2)</f>
        <v>91</v>
      </c>
      <c r="F2378" s="0" t="n">
        <f aca="false">IF(C2378&gt;1,IF(C2378&lt;99,VLOOKUP(C2378,'Babblefish-APUMA'!$A$1:$B$86,2),C2378),C2378)</f>
        <v>93</v>
      </c>
    </row>
    <row r="2379" customFormat="false" ht="12.75" hidden="false" customHeight="false" outlineLevel="0" collapsed="false">
      <c r="A2379" s="0" t="n">
        <f aca="false">B2379*1000+C2379</f>
        <v>39071</v>
      </c>
      <c r="B2379" s="0" t="n">
        <v>39</v>
      </c>
      <c r="C2379" s="0" t="n">
        <v>71</v>
      </c>
      <c r="D2379" s="0" t="n">
        <v>0</v>
      </c>
      <c r="E2379" s="0" t="n">
        <f aca="false">VLOOKUP(B2379,'Babblefish-APUMA'!$A$1:$B$86,2)</f>
        <v>91</v>
      </c>
      <c r="F2379" s="0" t="n">
        <f aca="false">IF(C2379&gt;1,IF(C2379&lt;99,VLOOKUP(C2379,'Babblefish-APUMA'!$A$1:$B$86,2),C2379),C2379)</f>
        <v>95</v>
      </c>
    </row>
    <row r="2380" customFormat="false" ht="12.75" hidden="false" customHeight="false" outlineLevel="0" collapsed="false">
      <c r="A2380" s="0" t="n">
        <f aca="false">B2380*1000+C2380</f>
        <v>39072</v>
      </c>
      <c r="B2380" s="0" t="n">
        <v>39</v>
      </c>
      <c r="C2380" s="0" t="n">
        <v>72</v>
      </c>
      <c r="D2380" s="0" t="n">
        <v>143</v>
      </c>
      <c r="E2380" s="0" t="n">
        <f aca="false">VLOOKUP(B2380,'Babblefish-APUMA'!$A$1:$B$86,2)</f>
        <v>91</v>
      </c>
      <c r="F2380" s="0" t="n">
        <f aca="false">IF(C2380&gt;1,IF(C2380&lt;99,VLOOKUP(C2380,'Babblefish-APUMA'!$A$1:$B$86,2),C2380),C2380)</f>
        <v>95</v>
      </c>
    </row>
    <row r="2381" customFormat="false" ht="12.75" hidden="false" customHeight="false" outlineLevel="0" collapsed="false">
      <c r="A2381" s="0" t="n">
        <f aca="false">B2381*1000+C2381</f>
        <v>39073</v>
      </c>
      <c r="B2381" s="0" t="n">
        <v>39</v>
      </c>
      <c r="C2381" s="0" t="n">
        <v>73</v>
      </c>
      <c r="D2381" s="0" t="n">
        <v>0</v>
      </c>
      <c r="E2381" s="0" t="n">
        <f aca="false">VLOOKUP(B2381,'Babblefish-APUMA'!$A$1:$B$86,2)</f>
        <v>91</v>
      </c>
      <c r="F2381" s="0" t="n">
        <f aca="false">IF(C2381&gt;1,IF(C2381&lt;99,VLOOKUP(C2381,'Babblefish-APUMA'!$A$1:$B$86,2),C2381),C2381)</f>
        <v>99</v>
      </c>
    </row>
    <row r="2382" customFormat="false" ht="12.75" hidden="false" customHeight="false" outlineLevel="0" collapsed="false">
      <c r="A2382" s="0" t="n">
        <f aca="false">B2382*1000+C2382</f>
        <v>39075</v>
      </c>
      <c r="B2382" s="0" t="n">
        <v>39</v>
      </c>
      <c r="C2382" s="0" t="n">
        <v>75</v>
      </c>
      <c r="D2382" s="0" t="n">
        <v>0</v>
      </c>
      <c r="E2382" s="0" t="n">
        <f aca="false">VLOOKUP(B2382,'Babblefish-APUMA'!$A$1:$B$86,2)</f>
        <v>91</v>
      </c>
      <c r="F2382" s="0" t="n">
        <f aca="false">IF(C2382&gt;1,IF(C2382&lt;99,VLOOKUP(C2382,'Babblefish-APUMA'!$A$1:$B$86,2),C2382),C2382)</f>
        <v>75</v>
      </c>
    </row>
    <row r="2383" customFormat="false" ht="12.75" hidden="false" customHeight="false" outlineLevel="0" collapsed="false">
      <c r="A2383" s="0" t="n">
        <f aca="false">B2383*1000+C2383</f>
        <v>39076</v>
      </c>
      <c r="B2383" s="0" t="n">
        <v>39</v>
      </c>
      <c r="C2383" s="0" t="n">
        <v>76</v>
      </c>
      <c r="D2383" s="0" t="n">
        <v>5369</v>
      </c>
      <c r="E2383" s="0" t="n">
        <f aca="false">VLOOKUP(B2383,'Babblefish-APUMA'!$A$1:$B$86,2)</f>
        <v>91</v>
      </c>
      <c r="F2383" s="0" t="n">
        <f aca="false">IF(C2383&gt;1,IF(C2383&lt;99,VLOOKUP(C2383,'Babblefish-APUMA'!$A$1:$B$86,2),C2383),C2383)</f>
        <v>76</v>
      </c>
    </row>
    <row r="2384" customFormat="false" ht="12.75" hidden="false" customHeight="false" outlineLevel="0" collapsed="false">
      <c r="A2384" s="0" t="n">
        <f aca="false">B2384*1000+C2384</f>
        <v>39077</v>
      </c>
      <c r="B2384" s="0" t="n">
        <v>39</v>
      </c>
      <c r="C2384" s="0" t="n">
        <v>77</v>
      </c>
      <c r="D2384" s="0" t="n">
        <v>0</v>
      </c>
      <c r="E2384" s="0" t="n">
        <f aca="false">VLOOKUP(B2384,'Babblefish-APUMA'!$A$1:$B$86,2)</f>
        <v>91</v>
      </c>
      <c r="F2384" s="0" t="n">
        <f aca="false">IF(C2384&gt;1,IF(C2384&lt;99,VLOOKUP(C2384,'Babblefish-APUMA'!$A$1:$B$86,2),C2384),C2384)</f>
        <v>77</v>
      </c>
    </row>
    <row r="2385" customFormat="false" ht="12.75" hidden="false" customHeight="false" outlineLevel="0" collapsed="false">
      <c r="A2385" s="0" t="n">
        <f aca="false">B2385*1000+C2385</f>
        <v>39079</v>
      </c>
      <c r="B2385" s="0" t="n">
        <v>39</v>
      </c>
      <c r="C2385" s="0" t="n">
        <v>79</v>
      </c>
      <c r="D2385" s="0" t="n">
        <v>0</v>
      </c>
      <c r="E2385" s="0" t="n">
        <f aca="false">VLOOKUP(B2385,'Babblefish-APUMA'!$A$1:$B$86,2)</f>
        <v>91</v>
      </c>
      <c r="F2385" s="0" t="n">
        <f aca="false">IF(C2385&gt;1,IF(C2385&lt;99,VLOOKUP(C2385,'Babblefish-APUMA'!$A$1:$B$86,2),C2385),C2385)</f>
        <v>89</v>
      </c>
    </row>
    <row r="2386" customFormat="false" ht="12.75" hidden="false" customHeight="false" outlineLevel="0" collapsed="false">
      <c r="A2386" s="0" t="n">
        <f aca="false">B2386*1000+C2386</f>
        <v>39080</v>
      </c>
      <c r="B2386" s="0" t="n">
        <v>39</v>
      </c>
      <c r="C2386" s="0" t="n">
        <v>80</v>
      </c>
      <c r="D2386" s="0" t="n">
        <v>494</v>
      </c>
      <c r="E2386" s="0" t="n">
        <f aca="false">VLOOKUP(B2386,'Babblefish-APUMA'!$A$1:$B$86,2)</f>
        <v>91</v>
      </c>
      <c r="F2386" s="0" t="n">
        <f aca="false">IF(C2386&gt;1,IF(C2386&lt;99,VLOOKUP(C2386,'Babblefish-APUMA'!$A$1:$B$86,2),C2386),C2386)</f>
        <v>80</v>
      </c>
    </row>
    <row r="2387" customFormat="false" ht="12.75" hidden="false" customHeight="false" outlineLevel="0" collapsed="false">
      <c r="A2387" s="0" t="n">
        <f aca="false">B2387*1000+C2387</f>
        <v>39081</v>
      </c>
      <c r="B2387" s="0" t="n">
        <v>39</v>
      </c>
      <c r="C2387" s="0" t="n">
        <v>81</v>
      </c>
      <c r="D2387" s="0" t="n">
        <v>0</v>
      </c>
      <c r="E2387" s="0" t="n">
        <f aca="false">VLOOKUP(B2387,'Babblefish-APUMA'!$A$1:$B$86,2)</f>
        <v>91</v>
      </c>
      <c r="F2387" s="0" t="n">
        <f aca="false">IF(C2387&gt;1,IF(C2387&lt;99,VLOOKUP(C2387,'Babblefish-APUMA'!$A$1:$B$86,2),C2387),C2387)</f>
        <v>93</v>
      </c>
    </row>
    <row r="2388" customFormat="false" ht="12.75" hidden="false" customHeight="false" outlineLevel="0" collapsed="false">
      <c r="A2388" s="0" t="n">
        <f aca="false">B2388*1000+C2388</f>
        <v>39082</v>
      </c>
      <c r="B2388" s="0" t="n">
        <v>39</v>
      </c>
      <c r="C2388" s="0" t="n">
        <v>82</v>
      </c>
      <c r="D2388" s="0" t="n">
        <v>0</v>
      </c>
      <c r="E2388" s="0" t="n">
        <f aca="false">VLOOKUP(B2388,'Babblefish-APUMA'!$A$1:$B$86,2)</f>
        <v>91</v>
      </c>
      <c r="F2388" s="0" t="n">
        <f aca="false">IF(C2388&gt;1,IF(C2388&lt;99,VLOOKUP(C2388,'Babblefish-APUMA'!$A$1:$B$86,2),C2388),C2388)</f>
        <v>95</v>
      </c>
    </row>
    <row r="2389" customFormat="false" ht="12.75" hidden="false" customHeight="false" outlineLevel="0" collapsed="false">
      <c r="A2389" s="0" t="n">
        <f aca="false">B2389*1000+C2389</f>
        <v>39083</v>
      </c>
      <c r="B2389" s="0" t="n">
        <v>39</v>
      </c>
      <c r="C2389" s="0" t="n">
        <v>83</v>
      </c>
      <c r="D2389" s="0" t="n">
        <v>0</v>
      </c>
      <c r="E2389" s="0" t="n">
        <f aca="false">VLOOKUP(B2389,'Babblefish-APUMA'!$A$1:$B$86,2)</f>
        <v>91</v>
      </c>
      <c r="F2389" s="0" t="n">
        <f aca="false">IF(C2389&gt;1,IF(C2389&lt;99,VLOOKUP(C2389,'Babblefish-APUMA'!$A$1:$B$86,2),C2389),C2389)</f>
        <v>103</v>
      </c>
    </row>
    <row r="2390" customFormat="false" ht="12.75" hidden="false" customHeight="false" outlineLevel="0" collapsed="false">
      <c r="A2390" s="0" t="n">
        <f aca="false">B2390*1000+C2390</f>
        <v>39084</v>
      </c>
      <c r="B2390" s="0" t="n">
        <v>39</v>
      </c>
      <c r="C2390" s="0" t="n">
        <v>84</v>
      </c>
      <c r="D2390" s="0" t="n">
        <v>0</v>
      </c>
      <c r="E2390" s="0" t="n">
        <f aca="false">VLOOKUP(B2390,'Babblefish-APUMA'!$A$1:$B$86,2)</f>
        <v>91</v>
      </c>
      <c r="F2390" s="0" t="n">
        <f aca="false">IF(C2390&gt;1,IF(C2390&lt;99,VLOOKUP(C2390,'Babblefish-APUMA'!$A$1:$B$86,2),C2390),C2390)</f>
        <v>92</v>
      </c>
    </row>
    <row r="2391" customFormat="false" ht="12.75" hidden="false" customHeight="false" outlineLevel="0" collapsed="false">
      <c r="A2391" s="0" t="n">
        <f aca="false">B2391*1000+C2391</f>
        <v>39085</v>
      </c>
      <c r="B2391" s="0" t="n">
        <v>39</v>
      </c>
      <c r="C2391" s="0" t="n">
        <v>85</v>
      </c>
      <c r="D2391" s="0" t="n">
        <v>0</v>
      </c>
      <c r="E2391" s="0" t="n">
        <f aca="false">VLOOKUP(B2391,'Babblefish-APUMA'!$A$1:$B$86,2)</f>
        <v>91</v>
      </c>
      <c r="F2391" s="0" t="n">
        <f aca="false">IF(C2391&gt;1,IF(C2391&lt;99,VLOOKUP(C2391,'Babblefish-APUMA'!$A$1:$B$86,2),C2391),C2391)</f>
        <v>97</v>
      </c>
    </row>
    <row r="2392" customFormat="false" ht="12.75" hidden="false" customHeight="false" outlineLevel="0" collapsed="false">
      <c r="A2392" s="0" t="n">
        <f aca="false">B2392*1000+C2392</f>
        <v>39858</v>
      </c>
      <c r="B2392" s="0" t="n">
        <v>39</v>
      </c>
      <c r="C2392" s="0" t="n">
        <v>858</v>
      </c>
      <c r="D2392" s="0" t="n">
        <v>0</v>
      </c>
      <c r="E2392" s="0" t="n">
        <f aca="false">VLOOKUP(B2392,'Babblefish-APUMA'!$A$1:$B$86,2)</f>
        <v>91</v>
      </c>
      <c r="F2392" s="0" t="n">
        <f aca="false">IF(C2392&gt;1,IF(C2392&lt;99,VLOOKUP(C2392,'Babblefish-APUMA'!$A$1:$B$86,2),C2392),C2392)</f>
        <v>858</v>
      </c>
    </row>
    <row r="2393" customFormat="false" ht="12.75" hidden="false" customHeight="false" outlineLevel="0" collapsed="false">
      <c r="A2393" s="0" t="n">
        <f aca="false">B2393*1000+C2393</f>
        <v>39983</v>
      </c>
      <c r="B2393" s="0" t="n">
        <v>39</v>
      </c>
      <c r="C2393" s="0" t="n">
        <v>983</v>
      </c>
      <c r="D2393" s="0" t="n">
        <v>0</v>
      </c>
      <c r="E2393" s="0" t="n">
        <f aca="false">VLOOKUP(B2393,'Babblefish-APUMA'!$A$1:$B$86,2)</f>
        <v>91</v>
      </c>
      <c r="F2393" s="0" t="n">
        <f aca="false">IF(C2393&gt;1,IF(C2393&lt;99,VLOOKUP(C2393,'Babblefish-APUMA'!$A$1:$B$86,2),C2393),C2393)</f>
        <v>983</v>
      </c>
    </row>
    <row r="2394" customFormat="false" ht="12.75" hidden="false" customHeight="false" outlineLevel="0" collapsed="false">
      <c r="A2394" s="0" t="n">
        <f aca="false">B2394*1000+C2394</f>
        <v>39999</v>
      </c>
      <c r="B2394" s="0" t="n">
        <v>39</v>
      </c>
      <c r="C2394" s="0" t="n">
        <v>999</v>
      </c>
      <c r="D2394" s="0" t="n">
        <v>195</v>
      </c>
      <c r="E2394" s="0" t="n">
        <f aca="false">VLOOKUP(B2394,'Babblefish-APUMA'!$A$1:$B$86,2)</f>
        <v>91</v>
      </c>
      <c r="F2394" s="0" t="n">
        <f aca="false">IF(C2394&gt;1,IF(C2394&lt;99,VLOOKUP(C2394,'Babblefish-APUMA'!$A$1:$B$86,2),C2394),C2394)</f>
        <v>999</v>
      </c>
    </row>
    <row r="2395" customFormat="false" ht="12.75" hidden="false" customHeight="false" outlineLevel="0" collapsed="false">
      <c r="A2395" s="0" t="n">
        <f aca="false">B2395*1000+C2395</f>
        <v>40000</v>
      </c>
      <c r="B2395" s="0" t="n">
        <v>40</v>
      </c>
      <c r="C2395" s="0" t="n">
        <v>0</v>
      </c>
      <c r="D2395" s="0" t="n">
        <v>215475</v>
      </c>
      <c r="E2395" s="0" t="n">
        <f aca="false">VLOOKUP(B2395,'Babblefish-APUMA'!$A$1:$B$86,2)</f>
        <v>88</v>
      </c>
      <c r="F2395" s="0" t="n">
        <f aca="false">IF(C2395&gt;1,IF(C2395&lt;99,VLOOKUP(C2395,'Babblefish-APUMA'!$A$1:$B$86,2),C2395),C2395)</f>
        <v>0</v>
      </c>
    </row>
    <row r="2396" customFormat="false" ht="12.75" hidden="false" customHeight="false" outlineLevel="0" collapsed="false">
      <c r="A2396" s="0" t="n">
        <f aca="false">B2396*1000+C2396</f>
        <v>40001</v>
      </c>
      <c r="B2396" s="0" t="n">
        <v>40</v>
      </c>
      <c r="C2396" s="0" t="n">
        <v>1</v>
      </c>
      <c r="D2396" s="0" t="n">
        <v>0</v>
      </c>
      <c r="E2396" s="0" t="n">
        <f aca="false">VLOOKUP(B2396,'Babblefish-APUMA'!$A$1:$B$86,2)</f>
        <v>88</v>
      </c>
      <c r="F2396" s="0" t="n">
        <f aca="false">IF(C2396&gt;1,IF(C2396&lt;99,VLOOKUP(C2396,'Babblefish-APUMA'!$A$1:$B$86,2),C2396),C2396)</f>
        <v>1</v>
      </c>
    </row>
    <row r="2397" customFormat="false" ht="12.75" hidden="false" customHeight="false" outlineLevel="0" collapsed="false">
      <c r="A2397" s="0" t="n">
        <f aca="false">B2397*1000+C2397</f>
        <v>40002</v>
      </c>
      <c r="B2397" s="0" t="n">
        <v>40</v>
      </c>
      <c r="C2397" s="0" t="n">
        <v>2</v>
      </c>
      <c r="D2397" s="0" t="n">
        <v>117</v>
      </c>
      <c r="E2397" s="0" t="n">
        <f aca="false">VLOOKUP(B2397,'Babblefish-APUMA'!$A$1:$B$86,2)</f>
        <v>88</v>
      </c>
      <c r="F2397" s="0" t="n">
        <f aca="false">IF(C2397&gt;1,IF(C2397&lt;99,VLOOKUP(C2397,'Babblefish-APUMA'!$A$1:$B$86,2),C2397),C2397)</f>
        <v>2</v>
      </c>
    </row>
    <row r="2398" customFormat="false" ht="12.75" hidden="false" customHeight="false" outlineLevel="0" collapsed="false">
      <c r="A2398" s="0" t="n">
        <f aca="false">B2398*1000+C2398</f>
        <v>40003</v>
      </c>
      <c r="B2398" s="0" t="n">
        <v>40</v>
      </c>
      <c r="C2398" s="0" t="n">
        <v>3</v>
      </c>
      <c r="D2398" s="0" t="n">
        <v>0</v>
      </c>
      <c r="E2398" s="0" t="n">
        <f aca="false">VLOOKUP(B2398,'Babblefish-APUMA'!$A$1:$B$86,2)</f>
        <v>88</v>
      </c>
      <c r="F2398" s="0" t="n">
        <f aca="false">IF(C2398&gt;1,IF(C2398&lt;99,VLOOKUP(C2398,'Babblefish-APUMA'!$A$1:$B$86,2),C2398),C2398)</f>
        <v>3</v>
      </c>
    </row>
    <row r="2399" customFormat="false" ht="12.75" hidden="false" customHeight="false" outlineLevel="0" collapsed="false">
      <c r="A2399" s="0" t="n">
        <f aca="false">B2399*1000+C2399</f>
        <v>40004</v>
      </c>
      <c r="B2399" s="0" t="n">
        <v>40</v>
      </c>
      <c r="C2399" s="0" t="n">
        <v>4</v>
      </c>
      <c r="D2399" s="0" t="n">
        <v>247</v>
      </c>
      <c r="E2399" s="0" t="n">
        <f aca="false">VLOOKUP(B2399,'Babblefish-APUMA'!$A$1:$B$86,2)</f>
        <v>88</v>
      </c>
      <c r="F2399" s="0" t="n">
        <f aca="false">IF(C2399&gt;1,IF(C2399&lt;99,VLOOKUP(C2399,'Babblefish-APUMA'!$A$1:$B$86,2),C2399),C2399)</f>
        <v>4</v>
      </c>
    </row>
    <row r="2400" customFormat="false" ht="12.75" hidden="false" customHeight="false" outlineLevel="0" collapsed="false">
      <c r="A2400" s="0" t="n">
        <f aca="false">B2400*1000+C2400</f>
        <v>40005</v>
      </c>
      <c r="B2400" s="0" t="n">
        <v>40</v>
      </c>
      <c r="C2400" s="0" t="n">
        <v>5</v>
      </c>
      <c r="D2400" s="0" t="n">
        <v>143</v>
      </c>
      <c r="E2400" s="0" t="n">
        <f aca="false">VLOOKUP(B2400,'Babblefish-APUMA'!$A$1:$B$86,2)</f>
        <v>88</v>
      </c>
      <c r="F2400" s="0" t="n">
        <f aca="false">IF(C2400&gt;1,IF(C2400&lt;99,VLOOKUP(C2400,'Babblefish-APUMA'!$A$1:$B$86,2),C2400),C2400)</f>
        <v>5</v>
      </c>
    </row>
    <row r="2401" customFormat="false" ht="12.75" hidden="false" customHeight="false" outlineLevel="0" collapsed="false">
      <c r="A2401" s="0" t="n">
        <f aca="false">B2401*1000+C2401</f>
        <v>40006</v>
      </c>
      <c r="B2401" s="0" t="n">
        <v>40</v>
      </c>
      <c r="C2401" s="0" t="n">
        <v>6</v>
      </c>
      <c r="D2401" s="0" t="n">
        <v>0</v>
      </c>
      <c r="E2401" s="0" t="n">
        <f aca="false">VLOOKUP(B2401,'Babblefish-APUMA'!$A$1:$B$86,2)</f>
        <v>88</v>
      </c>
      <c r="F2401" s="0" t="n">
        <f aca="false">IF(C2401&gt;1,IF(C2401&lt;99,VLOOKUP(C2401,'Babblefish-APUMA'!$A$1:$B$86,2),C2401),C2401)</f>
        <v>6</v>
      </c>
    </row>
    <row r="2402" customFormat="false" ht="12.75" hidden="false" customHeight="false" outlineLevel="0" collapsed="false">
      <c r="A2402" s="0" t="n">
        <f aca="false">B2402*1000+C2402</f>
        <v>40007</v>
      </c>
      <c r="B2402" s="0" t="n">
        <v>40</v>
      </c>
      <c r="C2402" s="0" t="n">
        <v>7</v>
      </c>
      <c r="D2402" s="0" t="n">
        <v>0</v>
      </c>
      <c r="E2402" s="0" t="n">
        <f aca="false">VLOOKUP(B2402,'Babblefish-APUMA'!$A$1:$B$86,2)</f>
        <v>88</v>
      </c>
      <c r="F2402" s="0" t="n">
        <f aca="false">IF(C2402&gt;1,IF(C2402&lt;99,VLOOKUP(C2402,'Babblefish-APUMA'!$A$1:$B$86,2),C2402),C2402)</f>
        <v>7</v>
      </c>
    </row>
    <row r="2403" customFormat="false" ht="12.75" hidden="false" customHeight="false" outlineLevel="0" collapsed="false">
      <c r="A2403" s="0" t="n">
        <f aca="false">B2403*1000+C2403</f>
        <v>40008</v>
      </c>
      <c r="B2403" s="0" t="n">
        <v>40</v>
      </c>
      <c r="C2403" s="0" t="n">
        <v>8</v>
      </c>
      <c r="D2403" s="0" t="n">
        <v>0</v>
      </c>
      <c r="E2403" s="0" t="n">
        <f aca="false">VLOOKUP(B2403,'Babblefish-APUMA'!$A$1:$B$86,2)</f>
        <v>88</v>
      </c>
      <c r="F2403" s="0" t="n">
        <f aca="false">IF(C2403&gt;1,IF(C2403&lt;99,VLOOKUP(C2403,'Babblefish-APUMA'!$A$1:$B$86,2),C2403),C2403)</f>
        <v>8</v>
      </c>
    </row>
    <row r="2404" customFormat="false" ht="12.75" hidden="false" customHeight="false" outlineLevel="0" collapsed="false">
      <c r="A2404" s="0" t="n">
        <f aca="false">B2404*1000+C2404</f>
        <v>40009</v>
      </c>
      <c r="B2404" s="0" t="n">
        <v>40</v>
      </c>
      <c r="C2404" s="0" t="n">
        <v>9</v>
      </c>
      <c r="D2404" s="0" t="n">
        <v>0</v>
      </c>
      <c r="E2404" s="0" t="n">
        <f aca="false">VLOOKUP(B2404,'Babblefish-APUMA'!$A$1:$B$86,2)</f>
        <v>88</v>
      </c>
      <c r="F2404" s="0" t="n">
        <f aca="false">IF(C2404&gt;1,IF(C2404&lt;99,VLOOKUP(C2404,'Babblefish-APUMA'!$A$1:$B$86,2),C2404),C2404)</f>
        <v>9</v>
      </c>
    </row>
    <row r="2405" customFormat="false" ht="12.75" hidden="false" customHeight="false" outlineLevel="0" collapsed="false">
      <c r="A2405" s="0" t="n">
        <f aca="false">B2405*1000+C2405</f>
        <v>40010</v>
      </c>
      <c r="B2405" s="0" t="n">
        <v>40</v>
      </c>
      <c r="C2405" s="0" t="n">
        <v>10</v>
      </c>
      <c r="D2405" s="0" t="n">
        <v>0</v>
      </c>
      <c r="E2405" s="0" t="n">
        <f aca="false">VLOOKUP(B2405,'Babblefish-APUMA'!$A$1:$B$86,2)</f>
        <v>88</v>
      </c>
      <c r="F2405" s="0" t="n">
        <f aca="false">IF(C2405&gt;1,IF(C2405&lt;99,VLOOKUP(C2405,'Babblefish-APUMA'!$A$1:$B$86,2),C2405),C2405)</f>
        <v>10</v>
      </c>
    </row>
    <row r="2406" customFormat="false" ht="12.75" hidden="false" customHeight="false" outlineLevel="0" collapsed="false">
      <c r="A2406" s="0" t="n">
        <f aca="false">B2406*1000+C2406</f>
        <v>40011</v>
      </c>
      <c r="B2406" s="0" t="n">
        <v>40</v>
      </c>
      <c r="C2406" s="0" t="n">
        <v>11</v>
      </c>
      <c r="D2406" s="0" t="n">
        <v>104</v>
      </c>
      <c r="E2406" s="0" t="n">
        <f aca="false">VLOOKUP(B2406,'Babblefish-APUMA'!$A$1:$B$86,2)</f>
        <v>88</v>
      </c>
      <c r="F2406" s="0" t="n">
        <f aca="false">IF(C2406&gt;1,IF(C2406&lt;99,VLOOKUP(C2406,'Babblefish-APUMA'!$A$1:$B$86,2),C2406),C2406)</f>
        <v>11</v>
      </c>
    </row>
    <row r="2407" customFormat="false" ht="12.75" hidden="false" customHeight="false" outlineLevel="0" collapsed="false">
      <c r="A2407" s="0" t="n">
        <f aca="false">B2407*1000+C2407</f>
        <v>40012</v>
      </c>
      <c r="B2407" s="0" t="n">
        <v>40</v>
      </c>
      <c r="C2407" s="0" t="n">
        <v>12</v>
      </c>
      <c r="D2407" s="0" t="n">
        <v>0</v>
      </c>
      <c r="E2407" s="0" t="n">
        <f aca="false">VLOOKUP(B2407,'Babblefish-APUMA'!$A$1:$B$86,2)</f>
        <v>88</v>
      </c>
      <c r="F2407" s="0" t="n">
        <f aca="false">IF(C2407&gt;1,IF(C2407&lt;99,VLOOKUP(C2407,'Babblefish-APUMA'!$A$1:$B$86,2),C2407),C2407)</f>
        <v>12</v>
      </c>
    </row>
    <row r="2408" customFormat="false" ht="12.75" hidden="false" customHeight="false" outlineLevel="0" collapsed="false">
      <c r="A2408" s="0" t="n">
        <f aca="false">B2408*1000+C2408</f>
        <v>40013</v>
      </c>
      <c r="B2408" s="0" t="n">
        <v>40</v>
      </c>
      <c r="C2408" s="0" t="n">
        <v>13</v>
      </c>
      <c r="D2408" s="0" t="n">
        <v>0</v>
      </c>
      <c r="E2408" s="0" t="n">
        <f aca="false">VLOOKUP(B2408,'Babblefish-APUMA'!$A$1:$B$86,2)</f>
        <v>88</v>
      </c>
      <c r="F2408" s="0" t="n">
        <f aca="false">IF(C2408&gt;1,IF(C2408&lt;99,VLOOKUP(C2408,'Babblefish-APUMA'!$A$1:$B$86,2),C2408),C2408)</f>
        <v>100</v>
      </c>
    </row>
    <row r="2409" customFormat="false" ht="12.75" hidden="false" customHeight="false" outlineLevel="0" collapsed="false">
      <c r="A2409" s="0" t="n">
        <f aca="false">B2409*1000+C2409</f>
        <v>40014</v>
      </c>
      <c r="B2409" s="0" t="n">
        <v>40</v>
      </c>
      <c r="C2409" s="0" t="n">
        <v>14</v>
      </c>
      <c r="D2409" s="0" t="n">
        <v>0</v>
      </c>
      <c r="E2409" s="0" t="n">
        <f aca="false">VLOOKUP(B2409,'Babblefish-APUMA'!$A$1:$B$86,2)</f>
        <v>88</v>
      </c>
      <c r="F2409" s="0" t="n">
        <f aca="false">IF(C2409&gt;1,IF(C2409&lt;99,VLOOKUP(C2409,'Babblefish-APUMA'!$A$1:$B$86,2),C2409),C2409)</f>
        <v>100</v>
      </c>
    </row>
    <row r="2410" customFormat="false" ht="12.75" hidden="false" customHeight="false" outlineLevel="0" collapsed="false">
      <c r="A2410" s="0" t="n">
        <f aca="false">B2410*1000+C2410</f>
        <v>40015</v>
      </c>
      <c r="B2410" s="0" t="n">
        <v>40</v>
      </c>
      <c r="C2410" s="0" t="n">
        <v>15</v>
      </c>
      <c r="D2410" s="0" t="n">
        <v>0</v>
      </c>
      <c r="E2410" s="0" t="n">
        <f aca="false">VLOOKUP(B2410,'Babblefish-APUMA'!$A$1:$B$86,2)</f>
        <v>88</v>
      </c>
      <c r="F2410" s="0" t="n">
        <f aca="false">IF(C2410&gt;1,IF(C2410&lt;99,VLOOKUP(C2410,'Babblefish-APUMA'!$A$1:$B$86,2),C2410),C2410)</f>
        <v>15</v>
      </c>
    </row>
    <row r="2411" customFormat="false" ht="12.75" hidden="false" customHeight="false" outlineLevel="0" collapsed="false">
      <c r="A2411" s="0" t="n">
        <f aca="false">B2411*1000+C2411</f>
        <v>40016</v>
      </c>
      <c r="B2411" s="0" t="n">
        <v>40</v>
      </c>
      <c r="C2411" s="0" t="n">
        <v>16</v>
      </c>
      <c r="D2411" s="0" t="n">
        <v>0</v>
      </c>
      <c r="E2411" s="0" t="n">
        <f aca="false">VLOOKUP(B2411,'Babblefish-APUMA'!$A$1:$B$86,2)</f>
        <v>88</v>
      </c>
      <c r="F2411" s="0" t="n">
        <f aca="false">IF(C2411&gt;1,IF(C2411&lt;99,VLOOKUP(C2411,'Babblefish-APUMA'!$A$1:$B$86,2),C2411),C2411)</f>
        <v>99</v>
      </c>
    </row>
    <row r="2412" customFormat="false" ht="12.75" hidden="false" customHeight="false" outlineLevel="0" collapsed="false">
      <c r="A2412" s="0" t="n">
        <f aca="false">B2412*1000+C2412</f>
        <v>40017</v>
      </c>
      <c r="B2412" s="0" t="n">
        <v>40</v>
      </c>
      <c r="C2412" s="0" t="n">
        <v>17</v>
      </c>
      <c r="D2412" s="0" t="n">
        <v>0</v>
      </c>
      <c r="E2412" s="0" t="n">
        <f aca="false">VLOOKUP(B2412,'Babblefish-APUMA'!$A$1:$B$86,2)</f>
        <v>88</v>
      </c>
      <c r="F2412" s="0" t="n">
        <f aca="false">IF(C2412&gt;1,IF(C2412&lt;99,VLOOKUP(C2412,'Babblefish-APUMA'!$A$1:$B$86,2),C2412),C2412)</f>
        <v>87</v>
      </c>
    </row>
    <row r="2413" customFormat="false" ht="12.75" hidden="false" customHeight="false" outlineLevel="0" collapsed="false">
      <c r="A2413" s="0" t="n">
        <f aca="false">B2413*1000+C2413</f>
        <v>40018</v>
      </c>
      <c r="B2413" s="0" t="n">
        <v>40</v>
      </c>
      <c r="C2413" s="0" t="n">
        <v>18</v>
      </c>
      <c r="D2413" s="0" t="n">
        <v>169</v>
      </c>
      <c r="E2413" s="0" t="n">
        <f aca="false">VLOOKUP(B2413,'Babblefish-APUMA'!$A$1:$B$86,2)</f>
        <v>88</v>
      </c>
      <c r="F2413" s="0" t="n">
        <f aca="false">IF(C2413&gt;1,IF(C2413&lt;99,VLOOKUP(C2413,'Babblefish-APUMA'!$A$1:$B$86,2),C2413),C2413)</f>
        <v>87</v>
      </c>
    </row>
    <row r="2414" customFormat="false" ht="12.75" hidden="false" customHeight="false" outlineLevel="0" collapsed="false">
      <c r="A2414" s="0" t="n">
        <f aca="false">B2414*1000+C2414</f>
        <v>40019</v>
      </c>
      <c r="B2414" s="0" t="n">
        <v>40</v>
      </c>
      <c r="C2414" s="0" t="n">
        <v>19</v>
      </c>
      <c r="D2414" s="0" t="n">
        <v>182</v>
      </c>
      <c r="E2414" s="0" t="n">
        <f aca="false">VLOOKUP(B2414,'Babblefish-APUMA'!$A$1:$B$86,2)</f>
        <v>88</v>
      </c>
      <c r="F2414" s="0" t="n">
        <f aca="false">IF(C2414&gt;1,IF(C2414&lt;99,VLOOKUP(C2414,'Babblefish-APUMA'!$A$1:$B$86,2),C2414),C2414)</f>
        <v>19</v>
      </c>
    </row>
    <row r="2415" customFormat="false" ht="12.75" hidden="false" customHeight="false" outlineLevel="0" collapsed="false">
      <c r="A2415" s="0" t="n">
        <f aca="false">B2415*1000+C2415</f>
        <v>40020</v>
      </c>
      <c r="B2415" s="0" t="n">
        <v>40</v>
      </c>
      <c r="C2415" s="0" t="n">
        <v>20</v>
      </c>
      <c r="D2415" s="0" t="n">
        <v>0</v>
      </c>
      <c r="E2415" s="0" t="n">
        <f aca="false">VLOOKUP(B2415,'Babblefish-APUMA'!$A$1:$B$86,2)</f>
        <v>88</v>
      </c>
      <c r="F2415" s="0" t="n">
        <f aca="false">IF(C2415&gt;1,IF(C2415&lt;99,VLOOKUP(C2415,'Babblefish-APUMA'!$A$1:$B$86,2),C2415),C2415)</f>
        <v>86</v>
      </c>
    </row>
    <row r="2416" customFormat="false" ht="12.75" hidden="false" customHeight="false" outlineLevel="0" collapsed="false">
      <c r="A2416" s="0" t="n">
        <f aca="false">B2416*1000+C2416</f>
        <v>40021</v>
      </c>
      <c r="B2416" s="0" t="n">
        <v>40</v>
      </c>
      <c r="C2416" s="0" t="n">
        <v>21</v>
      </c>
      <c r="D2416" s="0" t="n">
        <v>208</v>
      </c>
      <c r="E2416" s="0" t="n">
        <f aca="false">VLOOKUP(B2416,'Babblefish-APUMA'!$A$1:$B$86,2)</f>
        <v>88</v>
      </c>
      <c r="F2416" s="0" t="n">
        <f aca="false">IF(C2416&gt;1,IF(C2416&lt;99,VLOOKUP(C2416,'Babblefish-APUMA'!$A$1:$B$86,2),C2416),C2416)</f>
        <v>86</v>
      </c>
    </row>
    <row r="2417" customFormat="false" ht="12.75" hidden="false" customHeight="false" outlineLevel="0" collapsed="false">
      <c r="A2417" s="0" t="n">
        <f aca="false">B2417*1000+C2417</f>
        <v>40022</v>
      </c>
      <c r="B2417" s="0" t="n">
        <v>40</v>
      </c>
      <c r="C2417" s="0" t="n">
        <v>22</v>
      </c>
      <c r="D2417" s="0" t="n">
        <v>299</v>
      </c>
      <c r="E2417" s="0" t="n">
        <f aca="false">VLOOKUP(B2417,'Babblefish-APUMA'!$A$1:$B$86,2)</f>
        <v>88</v>
      </c>
      <c r="F2417" s="0" t="n">
        <f aca="false">IF(C2417&gt;1,IF(C2417&lt;99,VLOOKUP(C2417,'Babblefish-APUMA'!$A$1:$B$86,2),C2417),C2417)</f>
        <v>22</v>
      </c>
    </row>
    <row r="2418" customFormat="false" ht="12.75" hidden="false" customHeight="false" outlineLevel="0" collapsed="false">
      <c r="A2418" s="0" t="n">
        <f aca="false">B2418*1000+C2418</f>
        <v>40023</v>
      </c>
      <c r="B2418" s="0" t="n">
        <v>40</v>
      </c>
      <c r="C2418" s="0" t="n">
        <v>23</v>
      </c>
      <c r="D2418" s="0" t="n">
        <v>0</v>
      </c>
      <c r="E2418" s="0" t="n">
        <f aca="false">VLOOKUP(B2418,'Babblefish-APUMA'!$A$1:$B$86,2)</f>
        <v>88</v>
      </c>
      <c r="F2418" s="0" t="n">
        <f aca="false">IF(C2418&gt;1,IF(C2418&lt;99,VLOOKUP(C2418,'Babblefish-APUMA'!$A$1:$B$86,2),C2418),C2418)</f>
        <v>97</v>
      </c>
    </row>
    <row r="2419" customFormat="false" ht="12.75" hidden="false" customHeight="false" outlineLevel="0" collapsed="false">
      <c r="A2419" s="0" t="n">
        <f aca="false">B2419*1000+C2419</f>
        <v>40024</v>
      </c>
      <c r="B2419" s="0" t="n">
        <v>40</v>
      </c>
      <c r="C2419" s="0" t="n">
        <v>24</v>
      </c>
      <c r="D2419" s="0" t="n">
        <v>104</v>
      </c>
      <c r="E2419" s="0" t="n">
        <f aca="false">VLOOKUP(B2419,'Babblefish-APUMA'!$A$1:$B$86,2)</f>
        <v>88</v>
      </c>
      <c r="F2419" s="0" t="n">
        <f aca="false">IF(C2419&gt;1,IF(C2419&lt;99,VLOOKUP(C2419,'Babblefish-APUMA'!$A$1:$B$86,2),C2419),C2419)</f>
        <v>101</v>
      </c>
    </row>
    <row r="2420" customFormat="false" ht="12.75" hidden="false" customHeight="false" outlineLevel="0" collapsed="false">
      <c r="A2420" s="0" t="n">
        <f aca="false">B2420*1000+C2420</f>
        <v>40025</v>
      </c>
      <c r="B2420" s="0" t="n">
        <v>40</v>
      </c>
      <c r="C2420" s="0" t="n">
        <v>25</v>
      </c>
      <c r="D2420" s="0" t="n">
        <v>0</v>
      </c>
      <c r="E2420" s="0" t="n">
        <f aca="false">VLOOKUP(B2420,'Babblefish-APUMA'!$A$1:$B$86,2)</f>
        <v>88</v>
      </c>
      <c r="F2420" s="0" t="n">
        <f aca="false">IF(C2420&gt;1,IF(C2420&lt;99,VLOOKUP(C2420,'Babblefish-APUMA'!$A$1:$B$86,2),C2420),C2420)</f>
        <v>101</v>
      </c>
    </row>
    <row r="2421" customFormat="false" ht="12.75" hidden="false" customHeight="false" outlineLevel="0" collapsed="false">
      <c r="A2421" s="0" t="n">
        <f aca="false">B2421*1000+C2421</f>
        <v>40026</v>
      </c>
      <c r="B2421" s="0" t="n">
        <v>40</v>
      </c>
      <c r="C2421" s="0" t="n">
        <v>26</v>
      </c>
      <c r="D2421" s="0" t="n">
        <v>0</v>
      </c>
      <c r="E2421" s="0" t="n">
        <f aca="false">VLOOKUP(B2421,'Babblefish-APUMA'!$A$1:$B$86,2)</f>
        <v>88</v>
      </c>
      <c r="F2421" s="0" t="n">
        <f aca="false">IF(C2421&gt;1,IF(C2421&lt;99,VLOOKUP(C2421,'Babblefish-APUMA'!$A$1:$B$86,2),C2421),C2421)</f>
        <v>26</v>
      </c>
    </row>
    <row r="2422" customFormat="false" ht="12.75" hidden="false" customHeight="false" outlineLevel="0" collapsed="false">
      <c r="A2422" s="0" t="n">
        <f aca="false">B2422*1000+C2422</f>
        <v>40027</v>
      </c>
      <c r="B2422" s="0" t="n">
        <v>40</v>
      </c>
      <c r="C2422" s="0" t="n">
        <v>27</v>
      </c>
      <c r="D2422" s="0" t="n">
        <v>3536</v>
      </c>
      <c r="E2422" s="0" t="n">
        <f aca="false">VLOOKUP(B2422,'Babblefish-APUMA'!$A$1:$B$86,2)</f>
        <v>88</v>
      </c>
      <c r="F2422" s="0" t="n">
        <f aca="false">IF(C2422&gt;1,IF(C2422&lt;99,VLOOKUP(C2422,'Babblefish-APUMA'!$A$1:$B$86,2),C2422),C2422)</f>
        <v>27</v>
      </c>
    </row>
    <row r="2423" customFormat="false" ht="12.75" hidden="false" customHeight="false" outlineLevel="0" collapsed="false">
      <c r="A2423" s="0" t="n">
        <f aca="false">B2423*1000+C2423</f>
        <v>40028</v>
      </c>
      <c r="B2423" s="0" t="n">
        <v>40</v>
      </c>
      <c r="C2423" s="0" t="n">
        <v>28</v>
      </c>
      <c r="D2423" s="0" t="n">
        <v>143</v>
      </c>
      <c r="E2423" s="0" t="n">
        <f aca="false">VLOOKUP(B2423,'Babblefish-APUMA'!$A$1:$B$86,2)</f>
        <v>88</v>
      </c>
      <c r="F2423" s="0" t="n">
        <f aca="false">IF(C2423&gt;1,IF(C2423&lt;99,VLOOKUP(C2423,'Babblefish-APUMA'!$A$1:$B$86,2),C2423),C2423)</f>
        <v>94</v>
      </c>
    </row>
    <row r="2424" customFormat="false" ht="12.75" hidden="false" customHeight="false" outlineLevel="0" collapsed="false">
      <c r="A2424" s="0" t="n">
        <f aca="false">B2424*1000+C2424</f>
        <v>40029</v>
      </c>
      <c r="B2424" s="0" t="n">
        <v>40</v>
      </c>
      <c r="C2424" s="0" t="n">
        <v>29</v>
      </c>
      <c r="D2424" s="0" t="n">
        <v>0</v>
      </c>
      <c r="E2424" s="0" t="n">
        <f aca="false">VLOOKUP(B2424,'Babblefish-APUMA'!$A$1:$B$86,2)</f>
        <v>88</v>
      </c>
      <c r="F2424" s="0" t="n">
        <f aca="false">IF(C2424&gt;1,IF(C2424&lt;99,VLOOKUP(C2424,'Babblefish-APUMA'!$A$1:$B$86,2),C2424),C2424)</f>
        <v>94</v>
      </c>
    </row>
    <row r="2425" customFormat="false" ht="12.75" hidden="false" customHeight="false" outlineLevel="0" collapsed="false">
      <c r="A2425" s="0" t="n">
        <f aca="false">B2425*1000+C2425</f>
        <v>40030</v>
      </c>
      <c r="B2425" s="0" t="n">
        <v>40</v>
      </c>
      <c r="C2425" s="0" t="n">
        <v>30</v>
      </c>
      <c r="D2425" s="0" t="n">
        <v>468</v>
      </c>
      <c r="E2425" s="0" t="n">
        <f aca="false">VLOOKUP(B2425,'Babblefish-APUMA'!$A$1:$B$86,2)</f>
        <v>88</v>
      </c>
      <c r="F2425" s="0" t="n">
        <f aca="false">IF(C2425&gt;1,IF(C2425&lt;99,VLOOKUP(C2425,'Babblefish-APUMA'!$A$1:$B$86,2),C2425),C2425)</f>
        <v>30</v>
      </c>
    </row>
    <row r="2426" customFormat="false" ht="12.75" hidden="false" customHeight="false" outlineLevel="0" collapsed="false">
      <c r="A2426" s="0" t="n">
        <f aca="false">B2426*1000+C2426</f>
        <v>40031</v>
      </c>
      <c r="B2426" s="0" t="n">
        <v>40</v>
      </c>
      <c r="C2426" s="0" t="n">
        <v>31</v>
      </c>
      <c r="D2426" s="0" t="n">
        <v>1040</v>
      </c>
      <c r="E2426" s="0" t="n">
        <f aca="false">VLOOKUP(B2426,'Babblefish-APUMA'!$A$1:$B$86,2)</f>
        <v>88</v>
      </c>
      <c r="F2426" s="0" t="n">
        <f aca="false">IF(C2426&gt;1,IF(C2426&lt;99,VLOOKUP(C2426,'Babblefish-APUMA'!$A$1:$B$86,2),C2426),C2426)</f>
        <v>31</v>
      </c>
    </row>
    <row r="2427" customFormat="false" ht="12.75" hidden="false" customHeight="false" outlineLevel="0" collapsed="false">
      <c r="A2427" s="0" t="n">
        <f aca="false">B2427*1000+C2427</f>
        <v>40032</v>
      </c>
      <c r="B2427" s="0" t="n">
        <v>40</v>
      </c>
      <c r="C2427" s="0" t="n">
        <v>32</v>
      </c>
      <c r="D2427" s="0" t="n">
        <v>91</v>
      </c>
      <c r="E2427" s="0" t="n">
        <f aca="false">VLOOKUP(B2427,'Babblefish-APUMA'!$A$1:$B$86,2)</f>
        <v>88</v>
      </c>
      <c r="F2427" s="0" t="n">
        <f aca="false">IF(C2427&gt;1,IF(C2427&lt;99,VLOOKUP(C2427,'Babblefish-APUMA'!$A$1:$B$86,2),C2427),C2427)</f>
        <v>32</v>
      </c>
    </row>
    <row r="2428" customFormat="false" ht="12.75" hidden="false" customHeight="false" outlineLevel="0" collapsed="false">
      <c r="A2428" s="0" t="n">
        <f aca="false">B2428*1000+C2428</f>
        <v>40033</v>
      </c>
      <c r="B2428" s="0" t="n">
        <v>40</v>
      </c>
      <c r="C2428" s="0" t="n">
        <v>33</v>
      </c>
      <c r="D2428" s="0" t="n">
        <v>104</v>
      </c>
      <c r="E2428" s="0" t="n">
        <f aca="false">VLOOKUP(B2428,'Babblefish-APUMA'!$A$1:$B$86,2)</f>
        <v>88</v>
      </c>
      <c r="F2428" s="0" t="n">
        <f aca="false">IF(C2428&gt;1,IF(C2428&lt;99,VLOOKUP(C2428,'Babblefish-APUMA'!$A$1:$B$86,2),C2428),C2428)</f>
        <v>96</v>
      </c>
    </row>
    <row r="2429" customFormat="false" ht="12.75" hidden="false" customHeight="false" outlineLevel="0" collapsed="false">
      <c r="A2429" s="0" t="n">
        <f aca="false">B2429*1000+C2429</f>
        <v>40034</v>
      </c>
      <c r="B2429" s="0" t="n">
        <v>40</v>
      </c>
      <c r="C2429" s="0" t="n">
        <v>34</v>
      </c>
      <c r="D2429" s="0" t="n">
        <v>0</v>
      </c>
      <c r="E2429" s="0" t="n">
        <f aca="false">VLOOKUP(B2429,'Babblefish-APUMA'!$A$1:$B$86,2)</f>
        <v>88</v>
      </c>
      <c r="F2429" s="0" t="n">
        <f aca="false">IF(C2429&gt;1,IF(C2429&lt;99,VLOOKUP(C2429,'Babblefish-APUMA'!$A$1:$B$86,2),C2429),C2429)</f>
        <v>96</v>
      </c>
    </row>
    <row r="2430" customFormat="false" ht="12.75" hidden="false" customHeight="false" outlineLevel="0" collapsed="false">
      <c r="A2430" s="0" t="n">
        <f aca="false">B2430*1000+C2430</f>
        <v>40035</v>
      </c>
      <c r="B2430" s="0" t="n">
        <v>40</v>
      </c>
      <c r="C2430" s="0" t="n">
        <v>35</v>
      </c>
      <c r="D2430" s="0" t="n">
        <v>0</v>
      </c>
      <c r="E2430" s="0" t="n">
        <f aca="false">VLOOKUP(B2430,'Babblefish-APUMA'!$A$1:$B$86,2)</f>
        <v>88</v>
      </c>
      <c r="F2430" s="0" t="n">
        <f aca="false">IF(C2430&gt;1,IF(C2430&lt;99,VLOOKUP(C2430,'Babblefish-APUMA'!$A$1:$B$86,2),C2430),C2430)</f>
        <v>96</v>
      </c>
    </row>
    <row r="2431" customFormat="false" ht="12.75" hidden="false" customHeight="false" outlineLevel="0" collapsed="false">
      <c r="A2431" s="0" t="n">
        <f aca="false">B2431*1000+C2431</f>
        <v>40036</v>
      </c>
      <c r="B2431" s="0" t="n">
        <v>40</v>
      </c>
      <c r="C2431" s="0" t="n">
        <v>36</v>
      </c>
      <c r="D2431" s="0" t="n">
        <v>0</v>
      </c>
      <c r="E2431" s="0" t="n">
        <f aca="false">VLOOKUP(B2431,'Babblefish-APUMA'!$A$1:$B$86,2)</f>
        <v>88</v>
      </c>
      <c r="F2431" s="0" t="n">
        <f aca="false">IF(C2431&gt;1,IF(C2431&lt;99,VLOOKUP(C2431,'Babblefish-APUMA'!$A$1:$B$86,2),C2431),C2431)</f>
        <v>96</v>
      </c>
    </row>
    <row r="2432" customFormat="false" ht="12.75" hidden="false" customHeight="false" outlineLevel="0" collapsed="false">
      <c r="A2432" s="0" t="n">
        <f aca="false">B2432*1000+C2432</f>
        <v>40037</v>
      </c>
      <c r="B2432" s="0" t="n">
        <v>40</v>
      </c>
      <c r="C2432" s="0" t="n">
        <v>37</v>
      </c>
      <c r="D2432" s="0" t="n">
        <v>0</v>
      </c>
      <c r="E2432" s="0" t="n">
        <f aca="false">VLOOKUP(B2432,'Babblefish-APUMA'!$A$1:$B$86,2)</f>
        <v>88</v>
      </c>
      <c r="F2432" s="0" t="n">
        <f aca="false">IF(C2432&gt;1,IF(C2432&lt;99,VLOOKUP(C2432,'Babblefish-APUMA'!$A$1:$B$86,2),C2432),C2432)</f>
        <v>96</v>
      </c>
    </row>
    <row r="2433" customFormat="false" ht="12.75" hidden="false" customHeight="false" outlineLevel="0" collapsed="false">
      <c r="A2433" s="0" t="n">
        <f aca="false">B2433*1000+C2433</f>
        <v>40038</v>
      </c>
      <c r="B2433" s="0" t="n">
        <v>40</v>
      </c>
      <c r="C2433" s="0" t="n">
        <v>38</v>
      </c>
      <c r="D2433" s="0" t="n">
        <v>0</v>
      </c>
      <c r="E2433" s="0" t="n">
        <f aca="false">VLOOKUP(B2433,'Babblefish-APUMA'!$A$1:$B$86,2)</f>
        <v>88</v>
      </c>
      <c r="F2433" s="0" t="n">
        <f aca="false">IF(C2433&gt;1,IF(C2433&lt;99,VLOOKUP(C2433,'Babblefish-APUMA'!$A$1:$B$86,2),C2433),C2433)</f>
        <v>91</v>
      </c>
    </row>
    <row r="2434" customFormat="false" ht="12.75" hidden="false" customHeight="false" outlineLevel="0" collapsed="false">
      <c r="A2434" s="0" t="n">
        <f aca="false">B2434*1000+C2434</f>
        <v>40039</v>
      </c>
      <c r="B2434" s="0" t="n">
        <v>40</v>
      </c>
      <c r="C2434" s="0" t="n">
        <v>39</v>
      </c>
      <c r="D2434" s="0" t="n">
        <v>325</v>
      </c>
      <c r="E2434" s="0" t="n">
        <f aca="false">VLOOKUP(B2434,'Babblefish-APUMA'!$A$1:$B$86,2)</f>
        <v>88</v>
      </c>
      <c r="F2434" s="0" t="n">
        <f aca="false">IF(C2434&gt;1,IF(C2434&lt;99,VLOOKUP(C2434,'Babblefish-APUMA'!$A$1:$B$86,2),C2434),C2434)</f>
        <v>91</v>
      </c>
    </row>
    <row r="2435" customFormat="false" ht="12.75" hidden="false" customHeight="false" outlineLevel="0" collapsed="false">
      <c r="A2435" s="0" t="n">
        <f aca="false">B2435*1000+C2435</f>
        <v>40040</v>
      </c>
      <c r="B2435" s="0" t="n">
        <v>40</v>
      </c>
      <c r="C2435" s="0" t="n">
        <v>40</v>
      </c>
      <c r="D2435" s="0" t="n">
        <v>112021</v>
      </c>
      <c r="E2435" s="0" t="n">
        <f aca="false">VLOOKUP(B2435,'Babblefish-APUMA'!$A$1:$B$86,2)</f>
        <v>88</v>
      </c>
      <c r="F2435" s="0" t="n">
        <f aca="false">IF(C2435&gt;1,IF(C2435&lt;99,VLOOKUP(C2435,'Babblefish-APUMA'!$A$1:$B$86,2),C2435),C2435)</f>
        <v>88</v>
      </c>
    </row>
    <row r="2436" customFormat="false" ht="12.75" hidden="false" customHeight="false" outlineLevel="0" collapsed="false">
      <c r="A2436" s="0" t="n">
        <f aca="false">B2436*1000+C2436</f>
        <v>40041</v>
      </c>
      <c r="B2436" s="0" t="n">
        <v>40</v>
      </c>
      <c r="C2436" s="0" t="n">
        <v>41</v>
      </c>
      <c r="D2436" s="0" t="n">
        <v>16367</v>
      </c>
      <c r="E2436" s="0" t="n">
        <f aca="false">VLOOKUP(B2436,'Babblefish-APUMA'!$A$1:$B$86,2)</f>
        <v>88</v>
      </c>
      <c r="F2436" s="0" t="n">
        <f aca="false">IF(C2436&gt;1,IF(C2436&lt;99,VLOOKUP(C2436,'Babblefish-APUMA'!$A$1:$B$86,2),C2436),C2436)</f>
        <v>88</v>
      </c>
    </row>
    <row r="2437" customFormat="false" ht="12.75" hidden="false" customHeight="false" outlineLevel="0" collapsed="false">
      <c r="A2437" s="0" t="n">
        <f aca="false">B2437*1000+C2437</f>
        <v>40042</v>
      </c>
      <c r="B2437" s="0" t="n">
        <v>40</v>
      </c>
      <c r="C2437" s="0" t="n">
        <v>42</v>
      </c>
      <c r="D2437" s="0" t="n">
        <v>117</v>
      </c>
      <c r="E2437" s="0" t="n">
        <f aca="false">VLOOKUP(B2437,'Babblefish-APUMA'!$A$1:$B$86,2)</f>
        <v>88</v>
      </c>
      <c r="F2437" s="0" t="n">
        <f aca="false">IF(C2437&gt;1,IF(C2437&lt;99,VLOOKUP(C2437,'Babblefish-APUMA'!$A$1:$B$86,2),C2437),C2437)</f>
        <v>92</v>
      </c>
    </row>
    <row r="2438" customFormat="false" ht="12.75" hidden="false" customHeight="false" outlineLevel="0" collapsed="false">
      <c r="A2438" s="0" t="n">
        <f aca="false">B2438*1000+C2438</f>
        <v>40043</v>
      </c>
      <c r="B2438" s="0" t="n">
        <v>40</v>
      </c>
      <c r="C2438" s="0" t="n">
        <v>43</v>
      </c>
      <c r="D2438" s="0" t="n">
        <v>0</v>
      </c>
      <c r="E2438" s="0" t="n">
        <f aca="false">VLOOKUP(B2438,'Babblefish-APUMA'!$A$1:$B$86,2)</f>
        <v>88</v>
      </c>
      <c r="F2438" s="0" t="n">
        <f aca="false">IF(C2438&gt;1,IF(C2438&lt;99,VLOOKUP(C2438,'Babblefish-APUMA'!$A$1:$B$86,2),C2438),C2438)</f>
        <v>92</v>
      </c>
    </row>
    <row r="2439" customFormat="false" ht="12.75" hidden="false" customHeight="false" outlineLevel="0" collapsed="false">
      <c r="A2439" s="0" t="n">
        <f aca="false">B2439*1000+C2439</f>
        <v>40044</v>
      </c>
      <c r="B2439" s="0" t="n">
        <v>40</v>
      </c>
      <c r="C2439" s="0" t="n">
        <v>44</v>
      </c>
      <c r="D2439" s="0" t="n">
        <v>0</v>
      </c>
      <c r="E2439" s="0" t="n">
        <f aca="false">VLOOKUP(B2439,'Babblefish-APUMA'!$A$1:$B$86,2)</f>
        <v>88</v>
      </c>
      <c r="F2439" s="0" t="n">
        <f aca="false">IF(C2439&gt;1,IF(C2439&lt;99,VLOOKUP(C2439,'Babblefish-APUMA'!$A$1:$B$86,2),C2439),C2439)</f>
        <v>92</v>
      </c>
    </row>
    <row r="2440" customFormat="false" ht="12.75" hidden="false" customHeight="false" outlineLevel="0" collapsed="false">
      <c r="A2440" s="0" t="n">
        <f aca="false">B2440*1000+C2440</f>
        <v>40045</v>
      </c>
      <c r="B2440" s="0" t="n">
        <v>40</v>
      </c>
      <c r="C2440" s="0" t="n">
        <v>45</v>
      </c>
      <c r="D2440" s="0" t="n">
        <v>0</v>
      </c>
      <c r="E2440" s="0" t="n">
        <f aca="false">VLOOKUP(B2440,'Babblefish-APUMA'!$A$1:$B$86,2)</f>
        <v>88</v>
      </c>
      <c r="F2440" s="0" t="n">
        <f aca="false">IF(C2440&gt;1,IF(C2440&lt;99,VLOOKUP(C2440,'Babblefish-APUMA'!$A$1:$B$86,2),C2440),C2440)</f>
        <v>92</v>
      </c>
    </row>
    <row r="2441" customFormat="false" ht="12.75" hidden="false" customHeight="false" outlineLevel="0" collapsed="false">
      <c r="A2441" s="0" t="n">
        <f aca="false">B2441*1000+C2441</f>
        <v>40046</v>
      </c>
      <c r="B2441" s="0" t="n">
        <v>40</v>
      </c>
      <c r="C2441" s="0" t="n">
        <v>46</v>
      </c>
      <c r="D2441" s="0" t="n">
        <v>0</v>
      </c>
      <c r="E2441" s="0" t="n">
        <f aca="false">VLOOKUP(B2441,'Babblefish-APUMA'!$A$1:$B$86,2)</f>
        <v>88</v>
      </c>
      <c r="F2441" s="0" t="n">
        <f aca="false">IF(C2441&gt;1,IF(C2441&lt;99,VLOOKUP(C2441,'Babblefish-APUMA'!$A$1:$B$86,2),C2441),C2441)</f>
        <v>92</v>
      </c>
    </row>
    <row r="2442" customFormat="false" ht="12.75" hidden="false" customHeight="false" outlineLevel="0" collapsed="false">
      <c r="A2442" s="0" t="n">
        <f aca="false">B2442*1000+C2442</f>
        <v>40047</v>
      </c>
      <c r="B2442" s="0" t="n">
        <v>40</v>
      </c>
      <c r="C2442" s="0" t="n">
        <v>47</v>
      </c>
      <c r="D2442" s="0" t="n">
        <v>0</v>
      </c>
      <c r="E2442" s="0" t="n">
        <f aca="false">VLOOKUP(B2442,'Babblefish-APUMA'!$A$1:$B$86,2)</f>
        <v>88</v>
      </c>
      <c r="F2442" s="0" t="n">
        <f aca="false">IF(C2442&gt;1,IF(C2442&lt;99,VLOOKUP(C2442,'Babblefish-APUMA'!$A$1:$B$86,2),C2442),C2442)</f>
        <v>92</v>
      </c>
    </row>
    <row r="2443" customFormat="false" ht="12.75" hidden="false" customHeight="false" outlineLevel="0" collapsed="false">
      <c r="A2443" s="0" t="n">
        <f aca="false">B2443*1000+C2443</f>
        <v>40048</v>
      </c>
      <c r="B2443" s="0" t="n">
        <v>40</v>
      </c>
      <c r="C2443" s="0" t="n">
        <v>48</v>
      </c>
      <c r="D2443" s="0" t="n">
        <v>0</v>
      </c>
      <c r="E2443" s="0" t="n">
        <f aca="false">VLOOKUP(B2443,'Babblefish-APUMA'!$A$1:$B$86,2)</f>
        <v>88</v>
      </c>
      <c r="F2443" s="0" t="n">
        <f aca="false">IF(C2443&gt;1,IF(C2443&lt;99,VLOOKUP(C2443,'Babblefish-APUMA'!$A$1:$B$86,2),C2443),C2443)</f>
        <v>92</v>
      </c>
    </row>
    <row r="2444" customFormat="false" ht="12.75" hidden="false" customHeight="false" outlineLevel="0" collapsed="false">
      <c r="A2444" s="0" t="n">
        <f aca="false">B2444*1000+C2444</f>
        <v>40049</v>
      </c>
      <c r="B2444" s="0" t="n">
        <v>40</v>
      </c>
      <c r="C2444" s="0" t="n">
        <v>49</v>
      </c>
      <c r="D2444" s="0" t="n">
        <v>91</v>
      </c>
      <c r="E2444" s="0" t="n">
        <f aca="false">VLOOKUP(B2444,'Babblefish-APUMA'!$A$1:$B$86,2)</f>
        <v>88</v>
      </c>
      <c r="F2444" s="0" t="n">
        <f aca="false">IF(C2444&gt;1,IF(C2444&lt;99,VLOOKUP(C2444,'Babblefish-APUMA'!$A$1:$B$86,2),C2444),C2444)</f>
        <v>98</v>
      </c>
    </row>
    <row r="2445" customFormat="false" ht="12.75" hidden="false" customHeight="false" outlineLevel="0" collapsed="false">
      <c r="A2445" s="0" t="n">
        <f aca="false">B2445*1000+C2445</f>
        <v>40050</v>
      </c>
      <c r="B2445" s="0" t="n">
        <v>40</v>
      </c>
      <c r="C2445" s="0" t="n">
        <v>50</v>
      </c>
      <c r="D2445" s="0" t="n">
        <v>0</v>
      </c>
      <c r="E2445" s="0" t="n">
        <f aca="false">VLOOKUP(B2445,'Babblefish-APUMA'!$A$1:$B$86,2)</f>
        <v>88</v>
      </c>
      <c r="F2445" s="0" t="n">
        <f aca="false">IF(C2445&gt;1,IF(C2445&lt;99,VLOOKUP(C2445,'Babblefish-APUMA'!$A$1:$B$86,2),C2445),C2445)</f>
        <v>98</v>
      </c>
    </row>
    <row r="2446" customFormat="false" ht="12.75" hidden="false" customHeight="false" outlineLevel="0" collapsed="false">
      <c r="A2446" s="0" t="n">
        <f aca="false">B2446*1000+C2446</f>
        <v>40051</v>
      </c>
      <c r="B2446" s="0" t="n">
        <v>40</v>
      </c>
      <c r="C2446" s="0" t="n">
        <v>51</v>
      </c>
      <c r="D2446" s="0" t="n">
        <v>0</v>
      </c>
      <c r="E2446" s="0" t="n">
        <f aca="false">VLOOKUP(B2446,'Babblefish-APUMA'!$A$1:$B$86,2)</f>
        <v>88</v>
      </c>
      <c r="F2446" s="0" t="n">
        <f aca="false">IF(C2446&gt;1,IF(C2446&lt;99,VLOOKUP(C2446,'Babblefish-APUMA'!$A$1:$B$86,2),C2446),C2446)</f>
        <v>98</v>
      </c>
    </row>
    <row r="2447" customFormat="false" ht="12.75" hidden="false" customHeight="false" outlineLevel="0" collapsed="false">
      <c r="A2447" s="0" t="n">
        <f aca="false">B2447*1000+C2447</f>
        <v>40052</v>
      </c>
      <c r="B2447" s="0" t="n">
        <v>40</v>
      </c>
      <c r="C2447" s="0" t="n">
        <v>52</v>
      </c>
      <c r="D2447" s="0" t="n">
        <v>104</v>
      </c>
      <c r="E2447" s="0" t="n">
        <f aca="false">VLOOKUP(B2447,'Babblefish-APUMA'!$A$1:$B$86,2)</f>
        <v>88</v>
      </c>
      <c r="F2447" s="0" t="n">
        <f aca="false">IF(C2447&gt;1,IF(C2447&lt;99,VLOOKUP(C2447,'Babblefish-APUMA'!$A$1:$B$86,2),C2447),C2447)</f>
        <v>90</v>
      </c>
    </row>
    <row r="2448" customFormat="false" ht="12.75" hidden="false" customHeight="false" outlineLevel="0" collapsed="false">
      <c r="A2448" s="0" t="n">
        <f aca="false">B2448*1000+C2448</f>
        <v>40053</v>
      </c>
      <c r="B2448" s="0" t="n">
        <v>40</v>
      </c>
      <c r="C2448" s="0" t="n">
        <v>53</v>
      </c>
      <c r="D2448" s="0" t="n">
        <v>0</v>
      </c>
      <c r="E2448" s="0" t="n">
        <f aca="false">VLOOKUP(B2448,'Babblefish-APUMA'!$A$1:$B$86,2)</f>
        <v>88</v>
      </c>
      <c r="F2448" s="0" t="n">
        <f aca="false">IF(C2448&gt;1,IF(C2448&lt;99,VLOOKUP(C2448,'Babblefish-APUMA'!$A$1:$B$86,2),C2448),C2448)</f>
        <v>90</v>
      </c>
    </row>
    <row r="2449" customFormat="false" ht="12.75" hidden="false" customHeight="false" outlineLevel="0" collapsed="false">
      <c r="A2449" s="0" t="n">
        <f aca="false">B2449*1000+C2449</f>
        <v>40054</v>
      </c>
      <c r="B2449" s="0" t="n">
        <v>40</v>
      </c>
      <c r="C2449" s="0" t="n">
        <v>54</v>
      </c>
      <c r="D2449" s="0" t="n">
        <v>0</v>
      </c>
      <c r="E2449" s="0" t="n">
        <f aca="false">VLOOKUP(B2449,'Babblefish-APUMA'!$A$1:$B$86,2)</f>
        <v>88</v>
      </c>
      <c r="F2449" s="0" t="n">
        <f aca="false">IF(C2449&gt;1,IF(C2449&lt;99,VLOOKUP(C2449,'Babblefish-APUMA'!$A$1:$B$86,2),C2449),C2449)</f>
        <v>90</v>
      </c>
    </row>
    <row r="2450" customFormat="false" ht="12.75" hidden="false" customHeight="false" outlineLevel="0" collapsed="false">
      <c r="A2450" s="0" t="n">
        <f aca="false">B2450*1000+C2450</f>
        <v>40055</v>
      </c>
      <c r="B2450" s="0" t="n">
        <v>40</v>
      </c>
      <c r="C2450" s="0" t="n">
        <v>55</v>
      </c>
      <c r="D2450" s="0" t="n">
        <v>0</v>
      </c>
      <c r="E2450" s="0" t="n">
        <f aca="false">VLOOKUP(B2450,'Babblefish-APUMA'!$A$1:$B$86,2)</f>
        <v>88</v>
      </c>
      <c r="F2450" s="0" t="n">
        <f aca="false">IF(C2450&gt;1,IF(C2450&lt;99,VLOOKUP(C2450,'Babblefish-APUMA'!$A$1:$B$86,2),C2450),C2450)</f>
        <v>90</v>
      </c>
    </row>
    <row r="2451" customFormat="false" ht="12.75" hidden="false" customHeight="false" outlineLevel="0" collapsed="false">
      <c r="A2451" s="0" t="n">
        <f aca="false">B2451*1000+C2451</f>
        <v>40056</v>
      </c>
      <c r="B2451" s="0" t="n">
        <v>40</v>
      </c>
      <c r="C2451" s="0" t="n">
        <v>56</v>
      </c>
      <c r="D2451" s="0" t="n">
        <v>0</v>
      </c>
      <c r="E2451" s="0" t="n">
        <f aca="false">VLOOKUP(B2451,'Babblefish-APUMA'!$A$1:$B$86,2)</f>
        <v>88</v>
      </c>
      <c r="F2451" s="0" t="n">
        <f aca="false">IF(C2451&gt;1,IF(C2451&lt;99,VLOOKUP(C2451,'Babblefish-APUMA'!$A$1:$B$86,2),C2451),C2451)</f>
        <v>90</v>
      </c>
    </row>
    <row r="2452" customFormat="false" ht="12.75" hidden="false" customHeight="false" outlineLevel="0" collapsed="false">
      <c r="A2452" s="0" t="n">
        <f aca="false">B2452*1000+C2452</f>
        <v>40057</v>
      </c>
      <c r="B2452" s="0" t="n">
        <v>40</v>
      </c>
      <c r="C2452" s="0" t="n">
        <v>57</v>
      </c>
      <c r="D2452" s="0" t="n">
        <v>0</v>
      </c>
      <c r="E2452" s="0" t="n">
        <f aca="false">VLOOKUP(B2452,'Babblefish-APUMA'!$A$1:$B$86,2)</f>
        <v>88</v>
      </c>
      <c r="F2452" s="0" t="n">
        <f aca="false">IF(C2452&gt;1,IF(C2452&lt;99,VLOOKUP(C2452,'Babblefish-APUMA'!$A$1:$B$86,2),C2452),C2452)</f>
        <v>90</v>
      </c>
    </row>
    <row r="2453" customFormat="false" ht="12.75" hidden="false" customHeight="false" outlineLevel="0" collapsed="false">
      <c r="A2453" s="0" t="n">
        <f aca="false">B2453*1000+C2453</f>
        <v>40059</v>
      </c>
      <c r="B2453" s="0" t="n">
        <v>40</v>
      </c>
      <c r="C2453" s="0" t="n">
        <v>59</v>
      </c>
      <c r="D2453" s="0" t="n">
        <v>0</v>
      </c>
      <c r="E2453" s="0" t="n">
        <f aca="false">VLOOKUP(B2453,'Babblefish-APUMA'!$A$1:$B$86,2)</f>
        <v>88</v>
      </c>
      <c r="F2453" s="0" t="n">
        <f aca="false">IF(C2453&gt;1,IF(C2453&lt;99,VLOOKUP(C2453,'Babblefish-APUMA'!$A$1:$B$86,2),C2453),C2453)</f>
        <v>90</v>
      </c>
    </row>
    <row r="2454" customFormat="false" ht="12.75" hidden="false" customHeight="false" outlineLevel="0" collapsed="false">
      <c r="A2454" s="0" t="n">
        <f aca="false">B2454*1000+C2454</f>
        <v>40060</v>
      </c>
      <c r="B2454" s="0" t="n">
        <v>40</v>
      </c>
      <c r="C2454" s="0" t="n">
        <v>60</v>
      </c>
      <c r="D2454" s="0" t="n">
        <v>0</v>
      </c>
      <c r="E2454" s="0" t="n">
        <f aca="false">VLOOKUP(B2454,'Babblefish-APUMA'!$A$1:$B$86,2)</f>
        <v>88</v>
      </c>
      <c r="F2454" s="0" t="n">
        <f aca="false">IF(C2454&gt;1,IF(C2454&lt;99,VLOOKUP(C2454,'Babblefish-APUMA'!$A$1:$B$86,2),C2454),C2454)</f>
        <v>90</v>
      </c>
    </row>
    <row r="2455" customFormat="false" ht="12.75" hidden="false" customHeight="false" outlineLevel="0" collapsed="false">
      <c r="A2455" s="0" t="n">
        <f aca="false">B2455*1000+C2455</f>
        <v>40062</v>
      </c>
      <c r="B2455" s="0" t="n">
        <v>40</v>
      </c>
      <c r="C2455" s="0" t="n">
        <v>62</v>
      </c>
      <c r="D2455" s="0" t="n">
        <v>0</v>
      </c>
      <c r="E2455" s="0" t="n">
        <f aca="false">VLOOKUP(B2455,'Babblefish-APUMA'!$A$1:$B$86,2)</f>
        <v>88</v>
      </c>
      <c r="F2455" s="0" t="n">
        <f aca="false">IF(C2455&gt;1,IF(C2455&lt;99,VLOOKUP(C2455,'Babblefish-APUMA'!$A$1:$B$86,2),C2455),C2455)</f>
        <v>90</v>
      </c>
    </row>
    <row r="2456" customFormat="false" ht="12.75" hidden="false" customHeight="false" outlineLevel="0" collapsed="false">
      <c r="A2456" s="0" t="n">
        <f aca="false">B2456*1000+C2456</f>
        <v>40063</v>
      </c>
      <c r="B2456" s="0" t="n">
        <v>40</v>
      </c>
      <c r="C2456" s="0" t="n">
        <v>63</v>
      </c>
      <c r="D2456" s="0" t="n">
        <v>0</v>
      </c>
      <c r="E2456" s="0" t="n">
        <f aca="false">VLOOKUP(B2456,'Babblefish-APUMA'!$A$1:$B$86,2)</f>
        <v>88</v>
      </c>
      <c r="F2456" s="0" t="n">
        <f aca="false">IF(C2456&gt;1,IF(C2456&lt;99,VLOOKUP(C2456,'Babblefish-APUMA'!$A$1:$B$86,2),C2456),C2456)</f>
        <v>90</v>
      </c>
    </row>
    <row r="2457" customFormat="false" ht="12.75" hidden="false" customHeight="false" outlineLevel="0" collapsed="false">
      <c r="A2457" s="0" t="n">
        <f aca="false">B2457*1000+C2457</f>
        <v>40064</v>
      </c>
      <c r="B2457" s="0" t="n">
        <v>40</v>
      </c>
      <c r="C2457" s="0" t="n">
        <v>64</v>
      </c>
      <c r="D2457" s="0" t="n">
        <v>0</v>
      </c>
      <c r="E2457" s="0" t="n">
        <f aca="false">VLOOKUP(B2457,'Babblefish-APUMA'!$A$1:$B$86,2)</f>
        <v>88</v>
      </c>
      <c r="F2457" s="0" t="n">
        <f aca="false">IF(C2457&gt;1,IF(C2457&lt;99,VLOOKUP(C2457,'Babblefish-APUMA'!$A$1:$B$86,2),C2457),C2457)</f>
        <v>90</v>
      </c>
    </row>
    <row r="2458" customFormat="false" ht="12.75" hidden="false" customHeight="false" outlineLevel="0" collapsed="false">
      <c r="A2458" s="0" t="n">
        <f aca="false">B2458*1000+C2458</f>
        <v>40065</v>
      </c>
      <c r="B2458" s="0" t="n">
        <v>40</v>
      </c>
      <c r="C2458" s="0" t="n">
        <v>65</v>
      </c>
      <c r="D2458" s="0" t="n">
        <v>156</v>
      </c>
      <c r="E2458" s="0" t="n">
        <f aca="false">VLOOKUP(B2458,'Babblefish-APUMA'!$A$1:$B$86,2)</f>
        <v>88</v>
      </c>
      <c r="F2458" s="0" t="n">
        <f aca="false">IF(C2458&gt;1,IF(C2458&lt;99,VLOOKUP(C2458,'Babblefish-APUMA'!$A$1:$B$86,2),C2458),C2458)</f>
        <v>90</v>
      </c>
    </row>
    <row r="2459" customFormat="false" ht="12.75" hidden="false" customHeight="false" outlineLevel="0" collapsed="false">
      <c r="A2459" s="0" t="n">
        <f aca="false">B2459*1000+C2459</f>
        <v>40066</v>
      </c>
      <c r="B2459" s="0" t="n">
        <v>40</v>
      </c>
      <c r="C2459" s="0" t="n">
        <v>66</v>
      </c>
      <c r="D2459" s="0" t="n">
        <v>0</v>
      </c>
      <c r="E2459" s="0" t="n">
        <f aca="false">VLOOKUP(B2459,'Babblefish-APUMA'!$A$1:$B$86,2)</f>
        <v>88</v>
      </c>
      <c r="F2459" s="0" t="n">
        <f aca="false">IF(C2459&gt;1,IF(C2459&lt;99,VLOOKUP(C2459,'Babblefish-APUMA'!$A$1:$B$86,2),C2459),C2459)</f>
        <v>90</v>
      </c>
    </row>
    <row r="2460" customFormat="false" ht="12.75" hidden="false" customHeight="false" outlineLevel="0" collapsed="false">
      <c r="A2460" s="0" t="n">
        <f aca="false">B2460*1000+C2460</f>
        <v>40067</v>
      </c>
      <c r="B2460" s="0" t="n">
        <v>40</v>
      </c>
      <c r="C2460" s="0" t="n">
        <v>67</v>
      </c>
      <c r="D2460" s="0" t="n">
        <v>377</v>
      </c>
      <c r="E2460" s="0" t="n">
        <f aca="false">VLOOKUP(B2460,'Babblefish-APUMA'!$A$1:$B$86,2)</f>
        <v>88</v>
      </c>
      <c r="F2460" s="0" t="n">
        <f aca="false">IF(C2460&gt;1,IF(C2460&lt;99,VLOOKUP(C2460,'Babblefish-APUMA'!$A$1:$B$86,2),C2460),C2460)</f>
        <v>103</v>
      </c>
    </row>
    <row r="2461" customFormat="false" ht="12.75" hidden="false" customHeight="false" outlineLevel="0" collapsed="false">
      <c r="A2461" s="0" t="n">
        <f aca="false">B2461*1000+C2461</f>
        <v>40069</v>
      </c>
      <c r="B2461" s="0" t="n">
        <v>40</v>
      </c>
      <c r="C2461" s="0" t="n">
        <v>69</v>
      </c>
      <c r="D2461" s="0" t="n">
        <v>0</v>
      </c>
      <c r="E2461" s="0" t="n">
        <f aca="false">VLOOKUP(B2461,'Babblefish-APUMA'!$A$1:$B$86,2)</f>
        <v>88</v>
      </c>
      <c r="F2461" s="0" t="n">
        <f aca="false">IF(C2461&gt;1,IF(C2461&lt;99,VLOOKUP(C2461,'Babblefish-APUMA'!$A$1:$B$86,2),C2461),C2461)</f>
        <v>93</v>
      </c>
    </row>
    <row r="2462" customFormat="false" ht="12.75" hidden="false" customHeight="false" outlineLevel="0" collapsed="false">
      <c r="A2462" s="0" t="n">
        <f aca="false">B2462*1000+C2462</f>
        <v>40071</v>
      </c>
      <c r="B2462" s="0" t="n">
        <v>40</v>
      </c>
      <c r="C2462" s="0" t="n">
        <v>71</v>
      </c>
      <c r="D2462" s="0" t="n">
        <v>0</v>
      </c>
      <c r="E2462" s="0" t="n">
        <f aca="false">VLOOKUP(B2462,'Babblefish-APUMA'!$A$1:$B$86,2)</f>
        <v>88</v>
      </c>
      <c r="F2462" s="0" t="n">
        <f aca="false">IF(C2462&gt;1,IF(C2462&lt;99,VLOOKUP(C2462,'Babblefish-APUMA'!$A$1:$B$86,2),C2462),C2462)</f>
        <v>95</v>
      </c>
    </row>
    <row r="2463" customFormat="false" ht="12.75" hidden="false" customHeight="false" outlineLevel="0" collapsed="false">
      <c r="A2463" s="0" t="n">
        <f aca="false">B2463*1000+C2463</f>
        <v>40072</v>
      </c>
      <c r="B2463" s="0" t="n">
        <v>40</v>
      </c>
      <c r="C2463" s="0" t="n">
        <v>72</v>
      </c>
      <c r="D2463" s="0" t="n">
        <v>0</v>
      </c>
      <c r="E2463" s="0" t="n">
        <f aca="false">VLOOKUP(B2463,'Babblefish-APUMA'!$A$1:$B$86,2)</f>
        <v>88</v>
      </c>
      <c r="F2463" s="0" t="n">
        <f aca="false">IF(C2463&gt;1,IF(C2463&lt;99,VLOOKUP(C2463,'Babblefish-APUMA'!$A$1:$B$86,2),C2463),C2463)</f>
        <v>95</v>
      </c>
    </row>
    <row r="2464" customFormat="false" ht="12.75" hidden="false" customHeight="false" outlineLevel="0" collapsed="false">
      <c r="A2464" s="0" t="n">
        <f aca="false">B2464*1000+C2464</f>
        <v>40073</v>
      </c>
      <c r="B2464" s="0" t="n">
        <v>40</v>
      </c>
      <c r="C2464" s="0" t="n">
        <v>73</v>
      </c>
      <c r="D2464" s="0" t="n">
        <v>0</v>
      </c>
      <c r="E2464" s="0" t="n">
        <f aca="false">VLOOKUP(B2464,'Babblefish-APUMA'!$A$1:$B$86,2)</f>
        <v>88</v>
      </c>
      <c r="F2464" s="0" t="n">
        <f aca="false">IF(C2464&gt;1,IF(C2464&lt;99,VLOOKUP(C2464,'Babblefish-APUMA'!$A$1:$B$86,2),C2464),C2464)</f>
        <v>99</v>
      </c>
    </row>
    <row r="2465" customFormat="false" ht="12.75" hidden="false" customHeight="false" outlineLevel="0" collapsed="false">
      <c r="A2465" s="0" t="n">
        <f aca="false">B2465*1000+C2465</f>
        <v>40075</v>
      </c>
      <c r="B2465" s="0" t="n">
        <v>40</v>
      </c>
      <c r="C2465" s="0" t="n">
        <v>75</v>
      </c>
      <c r="D2465" s="0" t="n">
        <v>520</v>
      </c>
      <c r="E2465" s="0" t="n">
        <f aca="false">VLOOKUP(B2465,'Babblefish-APUMA'!$A$1:$B$86,2)</f>
        <v>88</v>
      </c>
      <c r="F2465" s="0" t="n">
        <f aca="false">IF(C2465&gt;1,IF(C2465&lt;99,VLOOKUP(C2465,'Babblefish-APUMA'!$A$1:$B$86,2),C2465),C2465)</f>
        <v>75</v>
      </c>
    </row>
    <row r="2466" customFormat="false" ht="12.75" hidden="false" customHeight="false" outlineLevel="0" collapsed="false">
      <c r="A2466" s="0" t="n">
        <f aca="false">B2466*1000+C2466</f>
        <v>40076</v>
      </c>
      <c r="B2466" s="0" t="n">
        <v>40</v>
      </c>
      <c r="C2466" s="0" t="n">
        <v>76</v>
      </c>
      <c r="D2466" s="0" t="n">
        <v>78</v>
      </c>
      <c r="E2466" s="0" t="n">
        <f aca="false">VLOOKUP(B2466,'Babblefish-APUMA'!$A$1:$B$86,2)</f>
        <v>88</v>
      </c>
      <c r="F2466" s="0" t="n">
        <f aca="false">IF(C2466&gt;1,IF(C2466&lt;99,VLOOKUP(C2466,'Babblefish-APUMA'!$A$1:$B$86,2),C2466),C2466)</f>
        <v>76</v>
      </c>
    </row>
    <row r="2467" customFormat="false" ht="12.75" hidden="false" customHeight="false" outlineLevel="0" collapsed="false">
      <c r="A2467" s="0" t="n">
        <f aca="false">B2467*1000+C2467</f>
        <v>40077</v>
      </c>
      <c r="B2467" s="0" t="n">
        <v>40</v>
      </c>
      <c r="C2467" s="0" t="n">
        <v>77</v>
      </c>
      <c r="D2467" s="0" t="n">
        <v>0</v>
      </c>
      <c r="E2467" s="0" t="n">
        <f aca="false">VLOOKUP(B2467,'Babblefish-APUMA'!$A$1:$B$86,2)</f>
        <v>88</v>
      </c>
      <c r="F2467" s="0" t="n">
        <f aca="false">IF(C2467&gt;1,IF(C2467&lt;99,VLOOKUP(C2467,'Babblefish-APUMA'!$A$1:$B$86,2),C2467),C2467)</f>
        <v>77</v>
      </c>
    </row>
    <row r="2468" customFormat="false" ht="12.75" hidden="false" customHeight="false" outlineLevel="0" collapsed="false">
      <c r="A2468" s="0" t="n">
        <f aca="false">B2468*1000+C2468</f>
        <v>40079</v>
      </c>
      <c r="B2468" s="0" t="n">
        <v>40</v>
      </c>
      <c r="C2468" s="0" t="n">
        <v>79</v>
      </c>
      <c r="D2468" s="0" t="n">
        <v>0</v>
      </c>
      <c r="E2468" s="0" t="n">
        <f aca="false">VLOOKUP(B2468,'Babblefish-APUMA'!$A$1:$B$86,2)</f>
        <v>88</v>
      </c>
      <c r="F2468" s="0" t="n">
        <f aca="false">IF(C2468&gt;1,IF(C2468&lt;99,VLOOKUP(C2468,'Babblefish-APUMA'!$A$1:$B$86,2),C2468),C2468)</f>
        <v>89</v>
      </c>
    </row>
    <row r="2469" customFormat="false" ht="12.75" hidden="false" customHeight="false" outlineLevel="0" collapsed="false">
      <c r="A2469" s="0" t="n">
        <f aca="false">B2469*1000+C2469</f>
        <v>40080</v>
      </c>
      <c r="B2469" s="0" t="n">
        <v>40</v>
      </c>
      <c r="C2469" s="0" t="n">
        <v>80</v>
      </c>
      <c r="D2469" s="0" t="n">
        <v>0</v>
      </c>
      <c r="E2469" s="0" t="n">
        <f aca="false">VLOOKUP(B2469,'Babblefish-APUMA'!$A$1:$B$86,2)</f>
        <v>88</v>
      </c>
      <c r="F2469" s="0" t="n">
        <f aca="false">IF(C2469&gt;1,IF(C2469&lt;99,VLOOKUP(C2469,'Babblefish-APUMA'!$A$1:$B$86,2),C2469),C2469)</f>
        <v>80</v>
      </c>
    </row>
    <row r="2470" customFormat="false" ht="12.75" hidden="false" customHeight="false" outlineLevel="0" collapsed="false">
      <c r="A2470" s="0" t="n">
        <f aca="false">B2470*1000+C2470</f>
        <v>40081</v>
      </c>
      <c r="B2470" s="0" t="n">
        <v>40</v>
      </c>
      <c r="C2470" s="0" t="n">
        <v>81</v>
      </c>
      <c r="D2470" s="0" t="n">
        <v>0</v>
      </c>
      <c r="E2470" s="0" t="n">
        <f aca="false">VLOOKUP(B2470,'Babblefish-APUMA'!$A$1:$B$86,2)</f>
        <v>88</v>
      </c>
      <c r="F2470" s="0" t="n">
        <f aca="false">IF(C2470&gt;1,IF(C2470&lt;99,VLOOKUP(C2470,'Babblefish-APUMA'!$A$1:$B$86,2),C2470),C2470)</f>
        <v>93</v>
      </c>
    </row>
    <row r="2471" customFormat="false" ht="12.75" hidden="false" customHeight="false" outlineLevel="0" collapsed="false">
      <c r="A2471" s="0" t="n">
        <f aca="false">B2471*1000+C2471</f>
        <v>40082</v>
      </c>
      <c r="B2471" s="0" t="n">
        <v>40</v>
      </c>
      <c r="C2471" s="0" t="n">
        <v>82</v>
      </c>
      <c r="D2471" s="0" t="n">
        <v>0</v>
      </c>
      <c r="E2471" s="0" t="n">
        <f aca="false">VLOOKUP(B2471,'Babblefish-APUMA'!$A$1:$B$86,2)</f>
        <v>88</v>
      </c>
      <c r="F2471" s="0" t="n">
        <f aca="false">IF(C2471&gt;1,IF(C2471&lt;99,VLOOKUP(C2471,'Babblefish-APUMA'!$A$1:$B$86,2),C2471),C2471)</f>
        <v>95</v>
      </c>
    </row>
    <row r="2472" customFormat="false" ht="12.75" hidden="false" customHeight="false" outlineLevel="0" collapsed="false">
      <c r="A2472" s="0" t="n">
        <f aca="false">B2472*1000+C2472</f>
        <v>40083</v>
      </c>
      <c r="B2472" s="0" t="n">
        <v>40</v>
      </c>
      <c r="C2472" s="0" t="n">
        <v>83</v>
      </c>
      <c r="D2472" s="0" t="n">
        <v>0</v>
      </c>
      <c r="E2472" s="0" t="n">
        <f aca="false">VLOOKUP(B2472,'Babblefish-APUMA'!$A$1:$B$86,2)</f>
        <v>88</v>
      </c>
      <c r="F2472" s="0" t="n">
        <f aca="false">IF(C2472&gt;1,IF(C2472&lt;99,VLOOKUP(C2472,'Babblefish-APUMA'!$A$1:$B$86,2),C2472),C2472)</f>
        <v>103</v>
      </c>
    </row>
    <row r="2473" customFormat="false" ht="12.75" hidden="false" customHeight="false" outlineLevel="0" collapsed="false">
      <c r="A2473" s="0" t="n">
        <f aca="false">B2473*1000+C2473</f>
        <v>40084</v>
      </c>
      <c r="B2473" s="0" t="n">
        <v>40</v>
      </c>
      <c r="C2473" s="0" t="n">
        <v>84</v>
      </c>
      <c r="D2473" s="0" t="n">
        <v>0</v>
      </c>
      <c r="E2473" s="0" t="n">
        <f aca="false">VLOOKUP(B2473,'Babblefish-APUMA'!$A$1:$B$86,2)</f>
        <v>88</v>
      </c>
      <c r="F2473" s="0" t="n">
        <f aca="false">IF(C2473&gt;1,IF(C2473&lt;99,VLOOKUP(C2473,'Babblefish-APUMA'!$A$1:$B$86,2),C2473),C2473)</f>
        <v>92</v>
      </c>
    </row>
    <row r="2474" customFormat="false" ht="12.75" hidden="false" customHeight="false" outlineLevel="0" collapsed="false">
      <c r="A2474" s="0" t="n">
        <f aca="false">B2474*1000+C2474</f>
        <v>40085</v>
      </c>
      <c r="B2474" s="0" t="n">
        <v>40</v>
      </c>
      <c r="C2474" s="0" t="n">
        <v>85</v>
      </c>
      <c r="D2474" s="0" t="n">
        <v>0</v>
      </c>
      <c r="E2474" s="0" t="n">
        <f aca="false">VLOOKUP(B2474,'Babblefish-APUMA'!$A$1:$B$86,2)</f>
        <v>88</v>
      </c>
      <c r="F2474" s="0" t="n">
        <f aca="false">IF(C2474&gt;1,IF(C2474&lt;99,VLOOKUP(C2474,'Babblefish-APUMA'!$A$1:$B$86,2),C2474),C2474)</f>
        <v>97</v>
      </c>
    </row>
    <row r="2475" customFormat="false" ht="12.75" hidden="false" customHeight="false" outlineLevel="0" collapsed="false">
      <c r="A2475" s="0" t="n">
        <f aca="false">B2475*1000+C2475</f>
        <v>40858</v>
      </c>
      <c r="B2475" s="0" t="n">
        <v>40</v>
      </c>
      <c r="C2475" s="0" t="n">
        <v>858</v>
      </c>
      <c r="D2475" s="0" t="n">
        <v>0</v>
      </c>
      <c r="E2475" s="0" t="n">
        <f aca="false">VLOOKUP(B2475,'Babblefish-APUMA'!$A$1:$B$86,2)</f>
        <v>88</v>
      </c>
      <c r="F2475" s="0" t="n">
        <f aca="false">IF(C2475&gt;1,IF(C2475&lt;99,VLOOKUP(C2475,'Babblefish-APUMA'!$A$1:$B$86,2),C2475),C2475)</f>
        <v>858</v>
      </c>
    </row>
    <row r="2476" customFormat="false" ht="12.75" hidden="false" customHeight="false" outlineLevel="0" collapsed="false">
      <c r="A2476" s="0" t="n">
        <f aca="false">B2476*1000+C2476</f>
        <v>40983</v>
      </c>
      <c r="B2476" s="0" t="n">
        <v>40</v>
      </c>
      <c r="C2476" s="0" t="n">
        <v>983</v>
      </c>
      <c r="D2476" s="0" t="n">
        <v>0</v>
      </c>
      <c r="E2476" s="0" t="n">
        <f aca="false">VLOOKUP(B2476,'Babblefish-APUMA'!$A$1:$B$86,2)</f>
        <v>88</v>
      </c>
      <c r="F2476" s="0" t="n">
        <f aca="false">IF(C2476&gt;1,IF(C2476&lt;99,VLOOKUP(C2476,'Babblefish-APUMA'!$A$1:$B$86,2),C2476),C2476)</f>
        <v>983</v>
      </c>
    </row>
    <row r="2477" customFormat="false" ht="12.75" hidden="false" customHeight="false" outlineLevel="0" collapsed="false">
      <c r="A2477" s="0" t="n">
        <f aca="false">B2477*1000+C2477</f>
        <v>40999</v>
      </c>
      <c r="B2477" s="0" t="n">
        <v>40</v>
      </c>
      <c r="C2477" s="0" t="n">
        <v>999</v>
      </c>
      <c r="D2477" s="0" t="n">
        <v>0</v>
      </c>
      <c r="E2477" s="0" t="n">
        <f aca="false">VLOOKUP(B2477,'Babblefish-APUMA'!$A$1:$B$86,2)</f>
        <v>88</v>
      </c>
      <c r="F2477" s="0" t="n">
        <f aca="false">IF(C2477&gt;1,IF(C2477&lt;99,VLOOKUP(C2477,'Babblefish-APUMA'!$A$1:$B$86,2),C2477),C2477)</f>
        <v>999</v>
      </c>
    </row>
    <row r="2478" customFormat="false" ht="12.75" hidden="false" customHeight="false" outlineLevel="0" collapsed="false">
      <c r="A2478" s="0" t="n">
        <f aca="false">B2478*1000+C2478</f>
        <v>41000</v>
      </c>
      <c r="B2478" s="0" t="n">
        <v>41</v>
      </c>
      <c r="C2478" s="0" t="n">
        <v>0</v>
      </c>
      <c r="D2478" s="0" t="n">
        <v>190333</v>
      </c>
      <c r="E2478" s="0" t="n">
        <f aca="false">VLOOKUP(B2478,'Babblefish-APUMA'!$A$1:$B$86,2)</f>
        <v>88</v>
      </c>
      <c r="F2478" s="0" t="n">
        <f aca="false">IF(C2478&gt;1,IF(C2478&lt;99,VLOOKUP(C2478,'Babblefish-APUMA'!$A$1:$B$86,2),C2478),C2478)</f>
        <v>0</v>
      </c>
    </row>
    <row r="2479" customFormat="false" ht="12.75" hidden="false" customHeight="false" outlineLevel="0" collapsed="false">
      <c r="A2479" s="0" t="n">
        <f aca="false">B2479*1000+C2479</f>
        <v>41001</v>
      </c>
      <c r="B2479" s="0" t="n">
        <v>41</v>
      </c>
      <c r="C2479" s="0" t="n">
        <v>1</v>
      </c>
      <c r="D2479" s="0" t="n">
        <v>0</v>
      </c>
      <c r="E2479" s="0" t="n">
        <f aca="false">VLOOKUP(B2479,'Babblefish-APUMA'!$A$1:$B$86,2)</f>
        <v>88</v>
      </c>
      <c r="F2479" s="0" t="n">
        <f aca="false">IF(C2479&gt;1,IF(C2479&lt;99,VLOOKUP(C2479,'Babblefish-APUMA'!$A$1:$B$86,2),C2479),C2479)</f>
        <v>1</v>
      </c>
    </row>
    <row r="2480" customFormat="false" ht="12.75" hidden="false" customHeight="false" outlineLevel="0" collapsed="false">
      <c r="A2480" s="0" t="n">
        <f aca="false">B2480*1000+C2480</f>
        <v>41002</v>
      </c>
      <c r="B2480" s="0" t="n">
        <v>41</v>
      </c>
      <c r="C2480" s="0" t="n">
        <v>2</v>
      </c>
      <c r="D2480" s="0" t="n">
        <v>0</v>
      </c>
      <c r="E2480" s="0" t="n">
        <f aca="false">VLOOKUP(B2480,'Babblefish-APUMA'!$A$1:$B$86,2)</f>
        <v>88</v>
      </c>
      <c r="F2480" s="0" t="n">
        <f aca="false">IF(C2480&gt;1,IF(C2480&lt;99,VLOOKUP(C2480,'Babblefish-APUMA'!$A$1:$B$86,2),C2480),C2480)</f>
        <v>2</v>
      </c>
    </row>
    <row r="2481" customFormat="false" ht="12.75" hidden="false" customHeight="false" outlineLevel="0" collapsed="false">
      <c r="A2481" s="0" t="n">
        <f aca="false">B2481*1000+C2481</f>
        <v>41003</v>
      </c>
      <c r="B2481" s="0" t="n">
        <v>41</v>
      </c>
      <c r="C2481" s="0" t="n">
        <v>3</v>
      </c>
      <c r="D2481" s="0" t="n">
        <v>0</v>
      </c>
      <c r="E2481" s="0" t="n">
        <f aca="false">VLOOKUP(B2481,'Babblefish-APUMA'!$A$1:$B$86,2)</f>
        <v>88</v>
      </c>
      <c r="F2481" s="0" t="n">
        <f aca="false">IF(C2481&gt;1,IF(C2481&lt;99,VLOOKUP(C2481,'Babblefish-APUMA'!$A$1:$B$86,2),C2481),C2481)</f>
        <v>3</v>
      </c>
    </row>
    <row r="2482" customFormat="false" ht="12.75" hidden="false" customHeight="false" outlineLevel="0" collapsed="false">
      <c r="A2482" s="0" t="n">
        <f aca="false">B2482*1000+C2482</f>
        <v>41004</v>
      </c>
      <c r="B2482" s="0" t="n">
        <v>41</v>
      </c>
      <c r="C2482" s="0" t="n">
        <v>4</v>
      </c>
      <c r="D2482" s="0" t="n">
        <v>104</v>
      </c>
      <c r="E2482" s="0" t="n">
        <f aca="false">VLOOKUP(B2482,'Babblefish-APUMA'!$A$1:$B$86,2)</f>
        <v>88</v>
      </c>
      <c r="F2482" s="0" t="n">
        <f aca="false">IF(C2482&gt;1,IF(C2482&lt;99,VLOOKUP(C2482,'Babblefish-APUMA'!$A$1:$B$86,2),C2482),C2482)</f>
        <v>4</v>
      </c>
    </row>
    <row r="2483" customFormat="false" ht="12.75" hidden="false" customHeight="false" outlineLevel="0" collapsed="false">
      <c r="A2483" s="0" t="n">
        <f aca="false">B2483*1000+C2483</f>
        <v>41005</v>
      </c>
      <c r="B2483" s="0" t="n">
        <v>41</v>
      </c>
      <c r="C2483" s="0" t="n">
        <v>5</v>
      </c>
      <c r="D2483" s="0" t="n">
        <v>52</v>
      </c>
      <c r="E2483" s="0" t="n">
        <f aca="false">VLOOKUP(B2483,'Babblefish-APUMA'!$A$1:$B$86,2)</f>
        <v>88</v>
      </c>
      <c r="F2483" s="0" t="n">
        <f aca="false">IF(C2483&gt;1,IF(C2483&lt;99,VLOOKUP(C2483,'Babblefish-APUMA'!$A$1:$B$86,2),C2483),C2483)</f>
        <v>5</v>
      </c>
    </row>
    <row r="2484" customFormat="false" ht="12.75" hidden="false" customHeight="false" outlineLevel="0" collapsed="false">
      <c r="A2484" s="0" t="n">
        <f aca="false">B2484*1000+C2484</f>
        <v>41006</v>
      </c>
      <c r="B2484" s="0" t="n">
        <v>41</v>
      </c>
      <c r="C2484" s="0" t="n">
        <v>6</v>
      </c>
      <c r="D2484" s="0" t="n">
        <v>182</v>
      </c>
      <c r="E2484" s="0" t="n">
        <f aca="false">VLOOKUP(B2484,'Babblefish-APUMA'!$A$1:$B$86,2)</f>
        <v>88</v>
      </c>
      <c r="F2484" s="0" t="n">
        <f aca="false">IF(C2484&gt;1,IF(C2484&lt;99,VLOOKUP(C2484,'Babblefish-APUMA'!$A$1:$B$86,2),C2484),C2484)</f>
        <v>6</v>
      </c>
    </row>
    <row r="2485" customFormat="false" ht="12.75" hidden="false" customHeight="false" outlineLevel="0" collapsed="false">
      <c r="A2485" s="0" t="n">
        <f aca="false">B2485*1000+C2485</f>
        <v>41007</v>
      </c>
      <c r="B2485" s="0" t="n">
        <v>41</v>
      </c>
      <c r="C2485" s="0" t="n">
        <v>7</v>
      </c>
      <c r="D2485" s="0" t="n">
        <v>0</v>
      </c>
      <c r="E2485" s="0" t="n">
        <f aca="false">VLOOKUP(B2485,'Babblefish-APUMA'!$A$1:$B$86,2)</f>
        <v>88</v>
      </c>
      <c r="F2485" s="0" t="n">
        <f aca="false">IF(C2485&gt;1,IF(C2485&lt;99,VLOOKUP(C2485,'Babblefish-APUMA'!$A$1:$B$86,2),C2485),C2485)</f>
        <v>7</v>
      </c>
    </row>
    <row r="2486" customFormat="false" ht="12.75" hidden="false" customHeight="false" outlineLevel="0" collapsed="false">
      <c r="A2486" s="0" t="n">
        <f aca="false">B2486*1000+C2486</f>
        <v>41008</v>
      </c>
      <c r="B2486" s="0" t="n">
        <v>41</v>
      </c>
      <c r="C2486" s="0" t="n">
        <v>8</v>
      </c>
      <c r="D2486" s="0" t="n">
        <v>91</v>
      </c>
      <c r="E2486" s="0" t="n">
        <f aca="false">VLOOKUP(B2486,'Babblefish-APUMA'!$A$1:$B$86,2)</f>
        <v>88</v>
      </c>
      <c r="F2486" s="0" t="n">
        <f aca="false">IF(C2486&gt;1,IF(C2486&lt;99,VLOOKUP(C2486,'Babblefish-APUMA'!$A$1:$B$86,2),C2486),C2486)</f>
        <v>8</v>
      </c>
    </row>
    <row r="2487" customFormat="false" ht="12.75" hidden="false" customHeight="false" outlineLevel="0" collapsed="false">
      <c r="A2487" s="0" t="n">
        <f aca="false">B2487*1000+C2487</f>
        <v>41009</v>
      </c>
      <c r="B2487" s="0" t="n">
        <v>41</v>
      </c>
      <c r="C2487" s="0" t="n">
        <v>9</v>
      </c>
      <c r="D2487" s="0" t="n">
        <v>0</v>
      </c>
      <c r="E2487" s="0" t="n">
        <f aca="false">VLOOKUP(B2487,'Babblefish-APUMA'!$A$1:$B$86,2)</f>
        <v>88</v>
      </c>
      <c r="F2487" s="0" t="n">
        <f aca="false">IF(C2487&gt;1,IF(C2487&lt;99,VLOOKUP(C2487,'Babblefish-APUMA'!$A$1:$B$86,2),C2487),C2487)</f>
        <v>9</v>
      </c>
    </row>
    <row r="2488" customFormat="false" ht="12.75" hidden="false" customHeight="false" outlineLevel="0" collapsed="false">
      <c r="A2488" s="0" t="n">
        <f aca="false">B2488*1000+C2488</f>
        <v>41010</v>
      </c>
      <c r="B2488" s="0" t="n">
        <v>41</v>
      </c>
      <c r="C2488" s="0" t="n">
        <v>10</v>
      </c>
      <c r="D2488" s="0" t="n">
        <v>0</v>
      </c>
      <c r="E2488" s="0" t="n">
        <f aca="false">VLOOKUP(B2488,'Babblefish-APUMA'!$A$1:$B$86,2)</f>
        <v>88</v>
      </c>
      <c r="F2488" s="0" t="n">
        <f aca="false">IF(C2488&gt;1,IF(C2488&lt;99,VLOOKUP(C2488,'Babblefish-APUMA'!$A$1:$B$86,2),C2488),C2488)</f>
        <v>10</v>
      </c>
    </row>
    <row r="2489" customFormat="false" ht="12.75" hidden="false" customHeight="false" outlineLevel="0" collapsed="false">
      <c r="A2489" s="0" t="n">
        <f aca="false">B2489*1000+C2489</f>
        <v>41011</v>
      </c>
      <c r="B2489" s="0" t="n">
        <v>41</v>
      </c>
      <c r="C2489" s="0" t="n">
        <v>11</v>
      </c>
      <c r="D2489" s="0" t="n">
        <v>91</v>
      </c>
      <c r="E2489" s="0" t="n">
        <f aca="false">VLOOKUP(B2489,'Babblefish-APUMA'!$A$1:$B$86,2)</f>
        <v>88</v>
      </c>
      <c r="F2489" s="0" t="n">
        <f aca="false">IF(C2489&gt;1,IF(C2489&lt;99,VLOOKUP(C2489,'Babblefish-APUMA'!$A$1:$B$86,2),C2489),C2489)</f>
        <v>11</v>
      </c>
    </row>
    <row r="2490" customFormat="false" ht="12.75" hidden="false" customHeight="false" outlineLevel="0" collapsed="false">
      <c r="A2490" s="0" t="n">
        <f aca="false">B2490*1000+C2490</f>
        <v>41012</v>
      </c>
      <c r="B2490" s="0" t="n">
        <v>41</v>
      </c>
      <c r="C2490" s="0" t="n">
        <v>12</v>
      </c>
      <c r="D2490" s="0" t="n">
        <v>0</v>
      </c>
      <c r="E2490" s="0" t="n">
        <f aca="false">VLOOKUP(B2490,'Babblefish-APUMA'!$A$1:$B$86,2)</f>
        <v>88</v>
      </c>
      <c r="F2490" s="0" t="n">
        <f aca="false">IF(C2490&gt;1,IF(C2490&lt;99,VLOOKUP(C2490,'Babblefish-APUMA'!$A$1:$B$86,2),C2490),C2490)</f>
        <v>12</v>
      </c>
    </row>
    <row r="2491" customFormat="false" ht="12.75" hidden="false" customHeight="false" outlineLevel="0" collapsed="false">
      <c r="A2491" s="0" t="n">
        <f aca="false">B2491*1000+C2491</f>
        <v>41013</v>
      </c>
      <c r="B2491" s="0" t="n">
        <v>41</v>
      </c>
      <c r="C2491" s="0" t="n">
        <v>13</v>
      </c>
      <c r="D2491" s="0" t="n">
        <v>0</v>
      </c>
      <c r="E2491" s="0" t="n">
        <f aca="false">VLOOKUP(B2491,'Babblefish-APUMA'!$A$1:$B$86,2)</f>
        <v>88</v>
      </c>
      <c r="F2491" s="0" t="n">
        <f aca="false">IF(C2491&gt;1,IF(C2491&lt;99,VLOOKUP(C2491,'Babblefish-APUMA'!$A$1:$B$86,2),C2491),C2491)</f>
        <v>100</v>
      </c>
    </row>
    <row r="2492" customFormat="false" ht="12.75" hidden="false" customHeight="false" outlineLevel="0" collapsed="false">
      <c r="A2492" s="0" t="n">
        <f aca="false">B2492*1000+C2492</f>
        <v>41014</v>
      </c>
      <c r="B2492" s="0" t="n">
        <v>41</v>
      </c>
      <c r="C2492" s="0" t="n">
        <v>14</v>
      </c>
      <c r="D2492" s="0" t="n">
        <v>0</v>
      </c>
      <c r="E2492" s="0" t="n">
        <f aca="false">VLOOKUP(B2492,'Babblefish-APUMA'!$A$1:$B$86,2)</f>
        <v>88</v>
      </c>
      <c r="F2492" s="0" t="n">
        <f aca="false">IF(C2492&gt;1,IF(C2492&lt;99,VLOOKUP(C2492,'Babblefish-APUMA'!$A$1:$B$86,2),C2492),C2492)</f>
        <v>100</v>
      </c>
    </row>
    <row r="2493" customFormat="false" ht="12.75" hidden="false" customHeight="false" outlineLevel="0" collapsed="false">
      <c r="A2493" s="0" t="n">
        <f aca="false">B2493*1000+C2493</f>
        <v>41015</v>
      </c>
      <c r="B2493" s="0" t="n">
        <v>41</v>
      </c>
      <c r="C2493" s="0" t="n">
        <v>15</v>
      </c>
      <c r="D2493" s="0" t="n">
        <v>0</v>
      </c>
      <c r="E2493" s="0" t="n">
        <f aca="false">VLOOKUP(B2493,'Babblefish-APUMA'!$A$1:$B$86,2)</f>
        <v>88</v>
      </c>
      <c r="F2493" s="0" t="n">
        <f aca="false">IF(C2493&gt;1,IF(C2493&lt;99,VLOOKUP(C2493,'Babblefish-APUMA'!$A$1:$B$86,2),C2493),C2493)</f>
        <v>15</v>
      </c>
    </row>
    <row r="2494" customFormat="false" ht="12.75" hidden="false" customHeight="false" outlineLevel="0" collapsed="false">
      <c r="A2494" s="0" t="n">
        <f aca="false">B2494*1000+C2494</f>
        <v>41016</v>
      </c>
      <c r="B2494" s="0" t="n">
        <v>41</v>
      </c>
      <c r="C2494" s="0" t="n">
        <v>16</v>
      </c>
      <c r="D2494" s="0" t="n">
        <v>0</v>
      </c>
      <c r="E2494" s="0" t="n">
        <f aca="false">VLOOKUP(B2494,'Babblefish-APUMA'!$A$1:$B$86,2)</f>
        <v>88</v>
      </c>
      <c r="F2494" s="0" t="n">
        <f aca="false">IF(C2494&gt;1,IF(C2494&lt;99,VLOOKUP(C2494,'Babblefish-APUMA'!$A$1:$B$86,2),C2494),C2494)</f>
        <v>99</v>
      </c>
    </row>
    <row r="2495" customFormat="false" ht="12.75" hidden="false" customHeight="false" outlineLevel="0" collapsed="false">
      <c r="A2495" s="0" t="n">
        <f aca="false">B2495*1000+C2495</f>
        <v>41017</v>
      </c>
      <c r="B2495" s="0" t="n">
        <v>41</v>
      </c>
      <c r="C2495" s="0" t="n">
        <v>17</v>
      </c>
      <c r="D2495" s="0" t="n">
        <v>0</v>
      </c>
      <c r="E2495" s="0" t="n">
        <f aca="false">VLOOKUP(B2495,'Babblefish-APUMA'!$A$1:$B$86,2)</f>
        <v>88</v>
      </c>
      <c r="F2495" s="0" t="n">
        <f aca="false">IF(C2495&gt;1,IF(C2495&lt;99,VLOOKUP(C2495,'Babblefish-APUMA'!$A$1:$B$86,2),C2495),C2495)</f>
        <v>87</v>
      </c>
    </row>
    <row r="2496" customFormat="false" ht="12.75" hidden="false" customHeight="false" outlineLevel="0" collapsed="false">
      <c r="A2496" s="0" t="n">
        <f aca="false">B2496*1000+C2496</f>
        <v>41018</v>
      </c>
      <c r="B2496" s="0" t="n">
        <v>41</v>
      </c>
      <c r="C2496" s="0" t="n">
        <v>18</v>
      </c>
      <c r="D2496" s="0" t="n">
        <v>0</v>
      </c>
      <c r="E2496" s="0" t="n">
        <f aca="false">VLOOKUP(B2496,'Babblefish-APUMA'!$A$1:$B$86,2)</f>
        <v>88</v>
      </c>
      <c r="F2496" s="0" t="n">
        <f aca="false">IF(C2496&gt;1,IF(C2496&lt;99,VLOOKUP(C2496,'Babblefish-APUMA'!$A$1:$B$86,2),C2496),C2496)</f>
        <v>87</v>
      </c>
    </row>
    <row r="2497" customFormat="false" ht="12.75" hidden="false" customHeight="false" outlineLevel="0" collapsed="false">
      <c r="A2497" s="0" t="n">
        <f aca="false">B2497*1000+C2497</f>
        <v>41019</v>
      </c>
      <c r="B2497" s="0" t="n">
        <v>41</v>
      </c>
      <c r="C2497" s="0" t="n">
        <v>19</v>
      </c>
      <c r="D2497" s="0" t="n">
        <v>182</v>
      </c>
      <c r="E2497" s="0" t="n">
        <f aca="false">VLOOKUP(B2497,'Babblefish-APUMA'!$A$1:$B$86,2)</f>
        <v>88</v>
      </c>
      <c r="F2497" s="0" t="n">
        <f aca="false">IF(C2497&gt;1,IF(C2497&lt;99,VLOOKUP(C2497,'Babblefish-APUMA'!$A$1:$B$86,2),C2497),C2497)</f>
        <v>19</v>
      </c>
    </row>
    <row r="2498" customFormat="false" ht="12.75" hidden="false" customHeight="false" outlineLevel="0" collapsed="false">
      <c r="A2498" s="0" t="n">
        <f aca="false">B2498*1000+C2498</f>
        <v>41020</v>
      </c>
      <c r="B2498" s="0" t="n">
        <v>41</v>
      </c>
      <c r="C2498" s="0" t="n">
        <v>20</v>
      </c>
      <c r="D2498" s="0" t="n">
        <v>0</v>
      </c>
      <c r="E2498" s="0" t="n">
        <f aca="false">VLOOKUP(B2498,'Babblefish-APUMA'!$A$1:$B$86,2)</f>
        <v>88</v>
      </c>
      <c r="F2498" s="0" t="n">
        <f aca="false">IF(C2498&gt;1,IF(C2498&lt;99,VLOOKUP(C2498,'Babblefish-APUMA'!$A$1:$B$86,2),C2498),C2498)</f>
        <v>86</v>
      </c>
    </row>
    <row r="2499" customFormat="false" ht="12.75" hidden="false" customHeight="false" outlineLevel="0" collapsed="false">
      <c r="A2499" s="0" t="n">
        <f aca="false">B2499*1000+C2499</f>
        <v>41021</v>
      </c>
      <c r="B2499" s="0" t="n">
        <v>41</v>
      </c>
      <c r="C2499" s="0" t="n">
        <v>21</v>
      </c>
      <c r="D2499" s="0" t="n">
        <v>0</v>
      </c>
      <c r="E2499" s="0" t="n">
        <f aca="false">VLOOKUP(B2499,'Babblefish-APUMA'!$A$1:$B$86,2)</f>
        <v>88</v>
      </c>
      <c r="F2499" s="0" t="n">
        <f aca="false">IF(C2499&gt;1,IF(C2499&lt;99,VLOOKUP(C2499,'Babblefish-APUMA'!$A$1:$B$86,2),C2499),C2499)</f>
        <v>86</v>
      </c>
    </row>
    <row r="2500" customFormat="false" ht="12.75" hidden="false" customHeight="false" outlineLevel="0" collapsed="false">
      <c r="A2500" s="0" t="n">
        <f aca="false">B2500*1000+C2500</f>
        <v>41022</v>
      </c>
      <c r="B2500" s="0" t="n">
        <v>41</v>
      </c>
      <c r="C2500" s="0" t="n">
        <v>22</v>
      </c>
      <c r="D2500" s="0" t="n">
        <v>78</v>
      </c>
      <c r="E2500" s="0" t="n">
        <f aca="false">VLOOKUP(B2500,'Babblefish-APUMA'!$A$1:$B$86,2)</f>
        <v>88</v>
      </c>
      <c r="F2500" s="0" t="n">
        <f aca="false">IF(C2500&gt;1,IF(C2500&lt;99,VLOOKUP(C2500,'Babblefish-APUMA'!$A$1:$B$86,2),C2500),C2500)</f>
        <v>22</v>
      </c>
    </row>
    <row r="2501" customFormat="false" ht="12.75" hidden="false" customHeight="false" outlineLevel="0" collapsed="false">
      <c r="A2501" s="0" t="n">
        <f aca="false">B2501*1000+C2501</f>
        <v>41023</v>
      </c>
      <c r="B2501" s="0" t="n">
        <v>41</v>
      </c>
      <c r="C2501" s="0" t="n">
        <v>23</v>
      </c>
      <c r="D2501" s="0" t="n">
        <v>143</v>
      </c>
      <c r="E2501" s="0" t="n">
        <f aca="false">VLOOKUP(B2501,'Babblefish-APUMA'!$A$1:$B$86,2)</f>
        <v>88</v>
      </c>
      <c r="F2501" s="0" t="n">
        <f aca="false">IF(C2501&gt;1,IF(C2501&lt;99,VLOOKUP(C2501,'Babblefish-APUMA'!$A$1:$B$86,2),C2501),C2501)</f>
        <v>97</v>
      </c>
    </row>
    <row r="2502" customFormat="false" ht="12.75" hidden="false" customHeight="false" outlineLevel="0" collapsed="false">
      <c r="A2502" s="0" t="n">
        <f aca="false">B2502*1000+C2502</f>
        <v>41024</v>
      </c>
      <c r="B2502" s="0" t="n">
        <v>41</v>
      </c>
      <c r="C2502" s="0" t="n">
        <v>24</v>
      </c>
      <c r="D2502" s="0" t="n">
        <v>0</v>
      </c>
      <c r="E2502" s="0" t="n">
        <f aca="false">VLOOKUP(B2502,'Babblefish-APUMA'!$A$1:$B$86,2)</f>
        <v>88</v>
      </c>
      <c r="F2502" s="0" t="n">
        <f aca="false">IF(C2502&gt;1,IF(C2502&lt;99,VLOOKUP(C2502,'Babblefish-APUMA'!$A$1:$B$86,2),C2502),C2502)</f>
        <v>101</v>
      </c>
    </row>
    <row r="2503" customFormat="false" ht="12.75" hidden="false" customHeight="false" outlineLevel="0" collapsed="false">
      <c r="A2503" s="0" t="n">
        <f aca="false">B2503*1000+C2503</f>
        <v>41025</v>
      </c>
      <c r="B2503" s="0" t="n">
        <v>41</v>
      </c>
      <c r="C2503" s="0" t="n">
        <v>25</v>
      </c>
      <c r="D2503" s="0" t="n">
        <v>91</v>
      </c>
      <c r="E2503" s="0" t="n">
        <f aca="false">VLOOKUP(B2503,'Babblefish-APUMA'!$A$1:$B$86,2)</f>
        <v>88</v>
      </c>
      <c r="F2503" s="0" t="n">
        <f aca="false">IF(C2503&gt;1,IF(C2503&lt;99,VLOOKUP(C2503,'Babblefish-APUMA'!$A$1:$B$86,2),C2503),C2503)</f>
        <v>101</v>
      </c>
    </row>
    <row r="2504" customFormat="false" ht="12.75" hidden="false" customHeight="false" outlineLevel="0" collapsed="false">
      <c r="A2504" s="0" t="n">
        <f aca="false">B2504*1000+C2504</f>
        <v>41026</v>
      </c>
      <c r="B2504" s="0" t="n">
        <v>41</v>
      </c>
      <c r="C2504" s="0" t="n">
        <v>26</v>
      </c>
      <c r="D2504" s="0" t="n">
        <v>0</v>
      </c>
      <c r="E2504" s="0" t="n">
        <f aca="false">VLOOKUP(B2504,'Babblefish-APUMA'!$A$1:$B$86,2)</f>
        <v>88</v>
      </c>
      <c r="F2504" s="0" t="n">
        <f aca="false">IF(C2504&gt;1,IF(C2504&lt;99,VLOOKUP(C2504,'Babblefish-APUMA'!$A$1:$B$86,2),C2504),C2504)</f>
        <v>26</v>
      </c>
    </row>
    <row r="2505" customFormat="false" ht="12.75" hidden="false" customHeight="false" outlineLevel="0" collapsed="false">
      <c r="A2505" s="0" t="n">
        <f aca="false">B2505*1000+C2505</f>
        <v>41027</v>
      </c>
      <c r="B2505" s="0" t="n">
        <v>41</v>
      </c>
      <c r="C2505" s="0" t="n">
        <v>27</v>
      </c>
      <c r="D2505" s="0" t="n">
        <v>1170</v>
      </c>
      <c r="E2505" s="0" t="n">
        <f aca="false">VLOOKUP(B2505,'Babblefish-APUMA'!$A$1:$B$86,2)</f>
        <v>88</v>
      </c>
      <c r="F2505" s="0" t="n">
        <f aca="false">IF(C2505&gt;1,IF(C2505&lt;99,VLOOKUP(C2505,'Babblefish-APUMA'!$A$1:$B$86,2),C2505),C2505)</f>
        <v>27</v>
      </c>
    </row>
    <row r="2506" customFormat="false" ht="12.75" hidden="false" customHeight="false" outlineLevel="0" collapsed="false">
      <c r="A2506" s="0" t="n">
        <f aca="false">B2506*1000+C2506</f>
        <v>41028</v>
      </c>
      <c r="B2506" s="0" t="n">
        <v>41</v>
      </c>
      <c r="C2506" s="0" t="n">
        <v>28</v>
      </c>
      <c r="D2506" s="0" t="n">
        <v>0</v>
      </c>
      <c r="E2506" s="0" t="n">
        <f aca="false">VLOOKUP(B2506,'Babblefish-APUMA'!$A$1:$B$86,2)</f>
        <v>88</v>
      </c>
      <c r="F2506" s="0" t="n">
        <f aca="false">IF(C2506&gt;1,IF(C2506&lt;99,VLOOKUP(C2506,'Babblefish-APUMA'!$A$1:$B$86,2),C2506),C2506)</f>
        <v>94</v>
      </c>
    </row>
    <row r="2507" customFormat="false" ht="12.75" hidden="false" customHeight="false" outlineLevel="0" collapsed="false">
      <c r="A2507" s="0" t="n">
        <f aca="false">B2507*1000+C2507</f>
        <v>41029</v>
      </c>
      <c r="B2507" s="0" t="n">
        <v>41</v>
      </c>
      <c r="C2507" s="0" t="n">
        <v>29</v>
      </c>
      <c r="D2507" s="0" t="n">
        <v>0</v>
      </c>
      <c r="E2507" s="0" t="n">
        <f aca="false">VLOOKUP(B2507,'Babblefish-APUMA'!$A$1:$B$86,2)</f>
        <v>88</v>
      </c>
      <c r="F2507" s="0" t="n">
        <f aca="false">IF(C2507&gt;1,IF(C2507&lt;99,VLOOKUP(C2507,'Babblefish-APUMA'!$A$1:$B$86,2),C2507),C2507)</f>
        <v>94</v>
      </c>
    </row>
    <row r="2508" customFormat="false" ht="12.75" hidden="false" customHeight="false" outlineLevel="0" collapsed="false">
      <c r="A2508" s="0" t="n">
        <f aca="false">B2508*1000+C2508</f>
        <v>41030</v>
      </c>
      <c r="B2508" s="0" t="n">
        <v>41</v>
      </c>
      <c r="C2508" s="0" t="n">
        <v>30</v>
      </c>
      <c r="D2508" s="0" t="n">
        <v>845</v>
      </c>
      <c r="E2508" s="0" t="n">
        <f aca="false">VLOOKUP(B2508,'Babblefish-APUMA'!$A$1:$B$86,2)</f>
        <v>88</v>
      </c>
      <c r="F2508" s="0" t="n">
        <f aca="false">IF(C2508&gt;1,IF(C2508&lt;99,VLOOKUP(C2508,'Babblefish-APUMA'!$A$1:$B$86,2),C2508),C2508)</f>
        <v>30</v>
      </c>
    </row>
    <row r="2509" customFormat="false" ht="12.75" hidden="false" customHeight="false" outlineLevel="0" collapsed="false">
      <c r="A2509" s="0" t="n">
        <f aca="false">B2509*1000+C2509</f>
        <v>41031</v>
      </c>
      <c r="B2509" s="0" t="n">
        <v>41</v>
      </c>
      <c r="C2509" s="0" t="n">
        <v>31</v>
      </c>
      <c r="D2509" s="0" t="n">
        <v>1911</v>
      </c>
      <c r="E2509" s="0" t="n">
        <f aca="false">VLOOKUP(B2509,'Babblefish-APUMA'!$A$1:$B$86,2)</f>
        <v>88</v>
      </c>
      <c r="F2509" s="0" t="n">
        <f aca="false">IF(C2509&gt;1,IF(C2509&lt;99,VLOOKUP(C2509,'Babblefish-APUMA'!$A$1:$B$86,2),C2509),C2509)</f>
        <v>31</v>
      </c>
    </row>
    <row r="2510" customFormat="false" ht="12.75" hidden="false" customHeight="false" outlineLevel="0" collapsed="false">
      <c r="A2510" s="0" t="n">
        <f aca="false">B2510*1000+C2510</f>
        <v>41032</v>
      </c>
      <c r="B2510" s="0" t="n">
        <v>41</v>
      </c>
      <c r="C2510" s="0" t="n">
        <v>32</v>
      </c>
      <c r="D2510" s="0" t="n">
        <v>0</v>
      </c>
      <c r="E2510" s="0" t="n">
        <f aca="false">VLOOKUP(B2510,'Babblefish-APUMA'!$A$1:$B$86,2)</f>
        <v>88</v>
      </c>
      <c r="F2510" s="0" t="n">
        <f aca="false">IF(C2510&gt;1,IF(C2510&lt;99,VLOOKUP(C2510,'Babblefish-APUMA'!$A$1:$B$86,2),C2510),C2510)</f>
        <v>32</v>
      </c>
    </row>
    <row r="2511" customFormat="false" ht="12.75" hidden="false" customHeight="false" outlineLevel="0" collapsed="false">
      <c r="A2511" s="0" t="n">
        <f aca="false">B2511*1000+C2511</f>
        <v>41033</v>
      </c>
      <c r="B2511" s="0" t="n">
        <v>41</v>
      </c>
      <c r="C2511" s="0" t="n">
        <v>33</v>
      </c>
      <c r="D2511" s="0" t="n">
        <v>0</v>
      </c>
      <c r="E2511" s="0" t="n">
        <f aca="false">VLOOKUP(B2511,'Babblefish-APUMA'!$A$1:$B$86,2)</f>
        <v>88</v>
      </c>
      <c r="F2511" s="0" t="n">
        <f aca="false">IF(C2511&gt;1,IF(C2511&lt;99,VLOOKUP(C2511,'Babblefish-APUMA'!$A$1:$B$86,2),C2511),C2511)</f>
        <v>96</v>
      </c>
    </row>
    <row r="2512" customFormat="false" ht="12.75" hidden="false" customHeight="false" outlineLevel="0" collapsed="false">
      <c r="A2512" s="0" t="n">
        <f aca="false">B2512*1000+C2512</f>
        <v>41034</v>
      </c>
      <c r="B2512" s="0" t="n">
        <v>41</v>
      </c>
      <c r="C2512" s="0" t="n">
        <v>34</v>
      </c>
      <c r="D2512" s="0" t="n">
        <v>0</v>
      </c>
      <c r="E2512" s="0" t="n">
        <f aca="false">VLOOKUP(B2512,'Babblefish-APUMA'!$A$1:$B$86,2)</f>
        <v>88</v>
      </c>
      <c r="F2512" s="0" t="n">
        <f aca="false">IF(C2512&gt;1,IF(C2512&lt;99,VLOOKUP(C2512,'Babblefish-APUMA'!$A$1:$B$86,2),C2512),C2512)</f>
        <v>96</v>
      </c>
    </row>
    <row r="2513" customFormat="false" ht="12.75" hidden="false" customHeight="false" outlineLevel="0" collapsed="false">
      <c r="A2513" s="0" t="n">
        <f aca="false">B2513*1000+C2513</f>
        <v>41035</v>
      </c>
      <c r="B2513" s="0" t="n">
        <v>41</v>
      </c>
      <c r="C2513" s="0" t="n">
        <v>35</v>
      </c>
      <c r="D2513" s="0" t="n">
        <v>0</v>
      </c>
      <c r="E2513" s="0" t="n">
        <f aca="false">VLOOKUP(B2513,'Babblefish-APUMA'!$A$1:$B$86,2)</f>
        <v>88</v>
      </c>
      <c r="F2513" s="0" t="n">
        <f aca="false">IF(C2513&gt;1,IF(C2513&lt;99,VLOOKUP(C2513,'Babblefish-APUMA'!$A$1:$B$86,2),C2513),C2513)</f>
        <v>96</v>
      </c>
    </row>
    <row r="2514" customFormat="false" ht="12.75" hidden="false" customHeight="false" outlineLevel="0" collapsed="false">
      <c r="A2514" s="0" t="n">
        <f aca="false">B2514*1000+C2514</f>
        <v>41036</v>
      </c>
      <c r="B2514" s="0" t="n">
        <v>41</v>
      </c>
      <c r="C2514" s="0" t="n">
        <v>36</v>
      </c>
      <c r="D2514" s="0" t="n">
        <v>0</v>
      </c>
      <c r="E2514" s="0" t="n">
        <f aca="false">VLOOKUP(B2514,'Babblefish-APUMA'!$A$1:$B$86,2)</f>
        <v>88</v>
      </c>
      <c r="F2514" s="0" t="n">
        <f aca="false">IF(C2514&gt;1,IF(C2514&lt;99,VLOOKUP(C2514,'Babblefish-APUMA'!$A$1:$B$86,2),C2514),C2514)</f>
        <v>96</v>
      </c>
    </row>
    <row r="2515" customFormat="false" ht="12.75" hidden="false" customHeight="false" outlineLevel="0" collapsed="false">
      <c r="A2515" s="0" t="n">
        <f aca="false">B2515*1000+C2515</f>
        <v>41037</v>
      </c>
      <c r="B2515" s="0" t="n">
        <v>41</v>
      </c>
      <c r="C2515" s="0" t="n">
        <v>37</v>
      </c>
      <c r="D2515" s="0" t="n">
        <v>0</v>
      </c>
      <c r="E2515" s="0" t="n">
        <f aca="false">VLOOKUP(B2515,'Babblefish-APUMA'!$A$1:$B$86,2)</f>
        <v>88</v>
      </c>
      <c r="F2515" s="0" t="n">
        <f aca="false">IF(C2515&gt;1,IF(C2515&lt;99,VLOOKUP(C2515,'Babblefish-APUMA'!$A$1:$B$86,2),C2515),C2515)</f>
        <v>96</v>
      </c>
    </row>
    <row r="2516" customFormat="false" ht="12.75" hidden="false" customHeight="false" outlineLevel="0" collapsed="false">
      <c r="A2516" s="0" t="n">
        <f aca="false">B2516*1000+C2516</f>
        <v>41038</v>
      </c>
      <c r="B2516" s="0" t="n">
        <v>41</v>
      </c>
      <c r="C2516" s="0" t="n">
        <v>38</v>
      </c>
      <c r="D2516" s="0" t="n">
        <v>195</v>
      </c>
      <c r="E2516" s="0" t="n">
        <f aca="false">VLOOKUP(B2516,'Babblefish-APUMA'!$A$1:$B$86,2)</f>
        <v>88</v>
      </c>
      <c r="F2516" s="0" t="n">
        <f aca="false">IF(C2516&gt;1,IF(C2516&lt;99,VLOOKUP(C2516,'Babblefish-APUMA'!$A$1:$B$86,2),C2516),C2516)</f>
        <v>91</v>
      </c>
    </row>
    <row r="2517" customFormat="false" ht="12.75" hidden="false" customHeight="false" outlineLevel="0" collapsed="false">
      <c r="A2517" s="0" t="n">
        <f aca="false">B2517*1000+C2517</f>
        <v>41039</v>
      </c>
      <c r="B2517" s="0" t="n">
        <v>41</v>
      </c>
      <c r="C2517" s="0" t="n">
        <v>39</v>
      </c>
      <c r="D2517" s="0" t="n">
        <v>0</v>
      </c>
      <c r="E2517" s="0" t="n">
        <f aca="false">VLOOKUP(B2517,'Babblefish-APUMA'!$A$1:$B$86,2)</f>
        <v>88</v>
      </c>
      <c r="F2517" s="0" t="n">
        <f aca="false">IF(C2517&gt;1,IF(C2517&lt;99,VLOOKUP(C2517,'Babblefish-APUMA'!$A$1:$B$86,2),C2517),C2517)</f>
        <v>91</v>
      </c>
    </row>
    <row r="2518" customFormat="false" ht="12.75" hidden="false" customHeight="false" outlineLevel="0" collapsed="false">
      <c r="A2518" s="0" t="n">
        <f aca="false">B2518*1000+C2518</f>
        <v>41040</v>
      </c>
      <c r="B2518" s="0" t="n">
        <v>41</v>
      </c>
      <c r="C2518" s="0" t="n">
        <v>40</v>
      </c>
      <c r="D2518" s="0" t="n">
        <v>54756</v>
      </c>
      <c r="E2518" s="0" t="n">
        <f aca="false">VLOOKUP(B2518,'Babblefish-APUMA'!$A$1:$B$86,2)</f>
        <v>88</v>
      </c>
      <c r="F2518" s="0" t="n">
        <f aca="false">IF(C2518&gt;1,IF(C2518&lt;99,VLOOKUP(C2518,'Babblefish-APUMA'!$A$1:$B$86,2),C2518),C2518)</f>
        <v>88</v>
      </c>
    </row>
    <row r="2519" customFormat="false" ht="12.75" hidden="false" customHeight="false" outlineLevel="0" collapsed="false">
      <c r="A2519" s="0" t="n">
        <f aca="false">B2519*1000+C2519</f>
        <v>41041</v>
      </c>
      <c r="B2519" s="0" t="n">
        <v>41</v>
      </c>
      <c r="C2519" s="0" t="n">
        <v>41</v>
      </c>
      <c r="D2519" s="0" t="n">
        <v>67678</v>
      </c>
      <c r="E2519" s="0" t="n">
        <f aca="false">VLOOKUP(B2519,'Babblefish-APUMA'!$A$1:$B$86,2)</f>
        <v>88</v>
      </c>
      <c r="F2519" s="0" t="n">
        <f aca="false">IF(C2519&gt;1,IF(C2519&lt;99,VLOOKUP(C2519,'Babblefish-APUMA'!$A$1:$B$86,2),C2519),C2519)</f>
        <v>88</v>
      </c>
    </row>
    <row r="2520" customFormat="false" ht="12.75" hidden="false" customHeight="false" outlineLevel="0" collapsed="false">
      <c r="A2520" s="0" t="n">
        <f aca="false">B2520*1000+C2520</f>
        <v>41042</v>
      </c>
      <c r="B2520" s="0" t="n">
        <v>41</v>
      </c>
      <c r="C2520" s="0" t="n">
        <v>42</v>
      </c>
      <c r="D2520" s="0" t="n">
        <v>0</v>
      </c>
      <c r="E2520" s="0" t="n">
        <f aca="false">VLOOKUP(B2520,'Babblefish-APUMA'!$A$1:$B$86,2)</f>
        <v>88</v>
      </c>
      <c r="F2520" s="0" t="n">
        <f aca="false">IF(C2520&gt;1,IF(C2520&lt;99,VLOOKUP(C2520,'Babblefish-APUMA'!$A$1:$B$86,2),C2520),C2520)</f>
        <v>92</v>
      </c>
    </row>
    <row r="2521" customFormat="false" ht="12.75" hidden="false" customHeight="false" outlineLevel="0" collapsed="false">
      <c r="A2521" s="0" t="n">
        <f aca="false">B2521*1000+C2521</f>
        <v>41043</v>
      </c>
      <c r="B2521" s="0" t="n">
        <v>41</v>
      </c>
      <c r="C2521" s="0" t="n">
        <v>43</v>
      </c>
      <c r="D2521" s="0" t="n">
        <v>0</v>
      </c>
      <c r="E2521" s="0" t="n">
        <f aca="false">VLOOKUP(B2521,'Babblefish-APUMA'!$A$1:$B$86,2)</f>
        <v>88</v>
      </c>
      <c r="F2521" s="0" t="n">
        <f aca="false">IF(C2521&gt;1,IF(C2521&lt;99,VLOOKUP(C2521,'Babblefish-APUMA'!$A$1:$B$86,2),C2521),C2521)</f>
        <v>92</v>
      </c>
    </row>
    <row r="2522" customFormat="false" ht="12.75" hidden="false" customHeight="false" outlineLevel="0" collapsed="false">
      <c r="A2522" s="0" t="n">
        <f aca="false">B2522*1000+C2522</f>
        <v>41044</v>
      </c>
      <c r="B2522" s="0" t="n">
        <v>41</v>
      </c>
      <c r="C2522" s="0" t="n">
        <v>44</v>
      </c>
      <c r="D2522" s="0" t="n">
        <v>0</v>
      </c>
      <c r="E2522" s="0" t="n">
        <f aca="false">VLOOKUP(B2522,'Babblefish-APUMA'!$A$1:$B$86,2)</f>
        <v>88</v>
      </c>
      <c r="F2522" s="0" t="n">
        <f aca="false">IF(C2522&gt;1,IF(C2522&lt;99,VLOOKUP(C2522,'Babblefish-APUMA'!$A$1:$B$86,2),C2522),C2522)</f>
        <v>92</v>
      </c>
    </row>
    <row r="2523" customFormat="false" ht="12.75" hidden="false" customHeight="false" outlineLevel="0" collapsed="false">
      <c r="A2523" s="0" t="n">
        <f aca="false">B2523*1000+C2523</f>
        <v>41045</v>
      </c>
      <c r="B2523" s="0" t="n">
        <v>41</v>
      </c>
      <c r="C2523" s="0" t="n">
        <v>45</v>
      </c>
      <c r="D2523" s="0" t="n">
        <v>0</v>
      </c>
      <c r="E2523" s="0" t="n">
        <f aca="false">VLOOKUP(B2523,'Babblefish-APUMA'!$A$1:$B$86,2)</f>
        <v>88</v>
      </c>
      <c r="F2523" s="0" t="n">
        <f aca="false">IF(C2523&gt;1,IF(C2523&lt;99,VLOOKUP(C2523,'Babblefish-APUMA'!$A$1:$B$86,2),C2523),C2523)</f>
        <v>92</v>
      </c>
    </row>
    <row r="2524" customFormat="false" ht="12.75" hidden="false" customHeight="false" outlineLevel="0" collapsed="false">
      <c r="A2524" s="0" t="n">
        <f aca="false">B2524*1000+C2524</f>
        <v>41046</v>
      </c>
      <c r="B2524" s="0" t="n">
        <v>41</v>
      </c>
      <c r="C2524" s="0" t="n">
        <v>46</v>
      </c>
      <c r="D2524" s="0" t="n">
        <v>0</v>
      </c>
      <c r="E2524" s="0" t="n">
        <f aca="false">VLOOKUP(B2524,'Babblefish-APUMA'!$A$1:$B$86,2)</f>
        <v>88</v>
      </c>
      <c r="F2524" s="0" t="n">
        <f aca="false">IF(C2524&gt;1,IF(C2524&lt;99,VLOOKUP(C2524,'Babblefish-APUMA'!$A$1:$B$86,2),C2524),C2524)</f>
        <v>92</v>
      </c>
    </row>
    <row r="2525" customFormat="false" ht="12.75" hidden="false" customHeight="false" outlineLevel="0" collapsed="false">
      <c r="A2525" s="0" t="n">
        <f aca="false">B2525*1000+C2525</f>
        <v>41047</v>
      </c>
      <c r="B2525" s="0" t="n">
        <v>41</v>
      </c>
      <c r="C2525" s="0" t="n">
        <v>47</v>
      </c>
      <c r="D2525" s="0" t="n">
        <v>0</v>
      </c>
      <c r="E2525" s="0" t="n">
        <f aca="false">VLOOKUP(B2525,'Babblefish-APUMA'!$A$1:$B$86,2)</f>
        <v>88</v>
      </c>
      <c r="F2525" s="0" t="n">
        <f aca="false">IF(C2525&gt;1,IF(C2525&lt;99,VLOOKUP(C2525,'Babblefish-APUMA'!$A$1:$B$86,2),C2525),C2525)</f>
        <v>92</v>
      </c>
    </row>
    <row r="2526" customFormat="false" ht="12.75" hidden="false" customHeight="false" outlineLevel="0" collapsed="false">
      <c r="A2526" s="0" t="n">
        <f aca="false">B2526*1000+C2526</f>
        <v>41048</v>
      </c>
      <c r="B2526" s="0" t="n">
        <v>41</v>
      </c>
      <c r="C2526" s="0" t="n">
        <v>48</v>
      </c>
      <c r="D2526" s="0" t="n">
        <v>0</v>
      </c>
      <c r="E2526" s="0" t="n">
        <f aca="false">VLOOKUP(B2526,'Babblefish-APUMA'!$A$1:$B$86,2)</f>
        <v>88</v>
      </c>
      <c r="F2526" s="0" t="n">
        <f aca="false">IF(C2526&gt;1,IF(C2526&lt;99,VLOOKUP(C2526,'Babblefish-APUMA'!$A$1:$B$86,2),C2526),C2526)</f>
        <v>92</v>
      </c>
    </row>
    <row r="2527" customFormat="false" ht="12.75" hidden="false" customHeight="false" outlineLevel="0" collapsed="false">
      <c r="A2527" s="0" t="n">
        <f aca="false">B2527*1000+C2527</f>
        <v>41049</v>
      </c>
      <c r="B2527" s="0" t="n">
        <v>41</v>
      </c>
      <c r="C2527" s="0" t="n">
        <v>49</v>
      </c>
      <c r="D2527" s="0" t="n">
        <v>0</v>
      </c>
      <c r="E2527" s="0" t="n">
        <f aca="false">VLOOKUP(B2527,'Babblefish-APUMA'!$A$1:$B$86,2)</f>
        <v>88</v>
      </c>
      <c r="F2527" s="0" t="n">
        <f aca="false">IF(C2527&gt;1,IF(C2527&lt;99,VLOOKUP(C2527,'Babblefish-APUMA'!$A$1:$B$86,2),C2527),C2527)</f>
        <v>98</v>
      </c>
    </row>
    <row r="2528" customFormat="false" ht="12.75" hidden="false" customHeight="false" outlineLevel="0" collapsed="false">
      <c r="A2528" s="0" t="n">
        <f aca="false">B2528*1000+C2528</f>
        <v>41050</v>
      </c>
      <c r="B2528" s="0" t="n">
        <v>41</v>
      </c>
      <c r="C2528" s="0" t="n">
        <v>50</v>
      </c>
      <c r="D2528" s="0" t="n">
        <v>0</v>
      </c>
      <c r="E2528" s="0" t="n">
        <f aca="false">VLOOKUP(B2528,'Babblefish-APUMA'!$A$1:$B$86,2)</f>
        <v>88</v>
      </c>
      <c r="F2528" s="0" t="n">
        <f aca="false">IF(C2528&gt;1,IF(C2528&lt;99,VLOOKUP(C2528,'Babblefish-APUMA'!$A$1:$B$86,2),C2528),C2528)</f>
        <v>98</v>
      </c>
    </row>
    <row r="2529" customFormat="false" ht="12.75" hidden="false" customHeight="false" outlineLevel="0" collapsed="false">
      <c r="A2529" s="0" t="n">
        <f aca="false">B2529*1000+C2529</f>
        <v>41051</v>
      </c>
      <c r="B2529" s="0" t="n">
        <v>41</v>
      </c>
      <c r="C2529" s="0" t="n">
        <v>51</v>
      </c>
      <c r="D2529" s="0" t="n">
        <v>0</v>
      </c>
      <c r="E2529" s="0" t="n">
        <f aca="false">VLOOKUP(B2529,'Babblefish-APUMA'!$A$1:$B$86,2)</f>
        <v>88</v>
      </c>
      <c r="F2529" s="0" t="n">
        <f aca="false">IF(C2529&gt;1,IF(C2529&lt;99,VLOOKUP(C2529,'Babblefish-APUMA'!$A$1:$B$86,2),C2529),C2529)</f>
        <v>98</v>
      </c>
    </row>
    <row r="2530" customFormat="false" ht="12.75" hidden="false" customHeight="false" outlineLevel="0" collapsed="false">
      <c r="A2530" s="0" t="n">
        <f aca="false">B2530*1000+C2530</f>
        <v>41052</v>
      </c>
      <c r="B2530" s="0" t="n">
        <v>41</v>
      </c>
      <c r="C2530" s="0" t="n">
        <v>52</v>
      </c>
      <c r="D2530" s="0" t="n">
        <v>0</v>
      </c>
      <c r="E2530" s="0" t="n">
        <f aca="false">VLOOKUP(B2530,'Babblefish-APUMA'!$A$1:$B$86,2)</f>
        <v>88</v>
      </c>
      <c r="F2530" s="0" t="n">
        <f aca="false">IF(C2530&gt;1,IF(C2530&lt;99,VLOOKUP(C2530,'Babblefish-APUMA'!$A$1:$B$86,2),C2530),C2530)</f>
        <v>90</v>
      </c>
    </row>
    <row r="2531" customFormat="false" ht="12.75" hidden="false" customHeight="false" outlineLevel="0" collapsed="false">
      <c r="A2531" s="0" t="n">
        <f aca="false">B2531*1000+C2531</f>
        <v>41053</v>
      </c>
      <c r="B2531" s="0" t="n">
        <v>41</v>
      </c>
      <c r="C2531" s="0" t="n">
        <v>53</v>
      </c>
      <c r="D2531" s="0" t="n">
        <v>0</v>
      </c>
      <c r="E2531" s="0" t="n">
        <f aca="false">VLOOKUP(B2531,'Babblefish-APUMA'!$A$1:$B$86,2)</f>
        <v>88</v>
      </c>
      <c r="F2531" s="0" t="n">
        <f aca="false">IF(C2531&gt;1,IF(C2531&lt;99,VLOOKUP(C2531,'Babblefish-APUMA'!$A$1:$B$86,2),C2531),C2531)</f>
        <v>90</v>
      </c>
    </row>
    <row r="2532" customFormat="false" ht="12.75" hidden="false" customHeight="false" outlineLevel="0" collapsed="false">
      <c r="A2532" s="0" t="n">
        <f aca="false">B2532*1000+C2532</f>
        <v>41054</v>
      </c>
      <c r="B2532" s="0" t="n">
        <v>41</v>
      </c>
      <c r="C2532" s="0" t="n">
        <v>54</v>
      </c>
      <c r="D2532" s="0" t="n">
        <v>0</v>
      </c>
      <c r="E2532" s="0" t="n">
        <f aca="false">VLOOKUP(B2532,'Babblefish-APUMA'!$A$1:$B$86,2)</f>
        <v>88</v>
      </c>
      <c r="F2532" s="0" t="n">
        <f aca="false">IF(C2532&gt;1,IF(C2532&lt;99,VLOOKUP(C2532,'Babblefish-APUMA'!$A$1:$B$86,2),C2532),C2532)</f>
        <v>90</v>
      </c>
    </row>
    <row r="2533" customFormat="false" ht="12.75" hidden="false" customHeight="false" outlineLevel="0" collapsed="false">
      <c r="A2533" s="0" t="n">
        <f aca="false">B2533*1000+C2533</f>
        <v>41055</v>
      </c>
      <c r="B2533" s="0" t="n">
        <v>41</v>
      </c>
      <c r="C2533" s="0" t="n">
        <v>55</v>
      </c>
      <c r="D2533" s="0" t="n">
        <v>0</v>
      </c>
      <c r="E2533" s="0" t="n">
        <f aca="false">VLOOKUP(B2533,'Babblefish-APUMA'!$A$1:$B$86,2)</f>
        <v>88</v>
      </c>
      <c r="F2533" s="0" t="n">
        <f aca="false">IF(C2533&gt;1,IF(C2533&lt;99,VLOOKUP(C2533,'Babblefish-APUMA'!$A$1:$B$86,2),C2533),C2533)</f>
        <v>90</v>
      </c>
    </row>
    <row r="2534" customFormat="false" ht="12.75" hidden="false" customHeight="false" outlineLevel="0" collapsed="false">
      <c r="A2534" s="0" t="n">
        <f aca="false">B2534*1000+C2534</f>
        <v>41056</v>
      </c>
      <c r="B2534" s="0" t="n">
        <v>41</v>
      </c>
      <c r="C2534" s="0" t="n">
        <v>56</v>
      </c>
      <c r="D2534" s="0" t="n">
        <v>0</v>
      </c>
      <c r="E2534" s="0" t="n">
        <f aca="false">VLOOKUP(B2534,'Babblefish-APUMA'!$A$1:$B$86,2)</f>
        <v>88</v>
      </c>
      <c r="F2534" s="0" t="n">
        <f aca="false">IF(C2534&gt;1,IF(C2534&lt;99,VLOOKUP(C2534,'Babblefish-APUMA'!$A$1:$B$86,2),C2534),C2534)</f>
        <v>90</v>
      </c>
    </row>
    <row r="2535" customFormat="false" ht="12.75" hidden="false" customHeight="false" outlineLevel="0" collapsed="false">
      <c r="A2535" s="0" t="n">
        <f aca="false">B2535*1000+C2535</f>
        <v>41057</v>
      </c>
      <c r="B2535" s="0" t="n">
        <v>41</v>
      </c>
      <c r="C2535" s="0" t="n">
        <v>57</v>
      </c>
      <c r="D2535" s="0" t="n">
        <v>0</v>
      </c>
      <c r="E2535" s="0" t="n">
        <f aca="false">VLOOKUP(B2535,'Babblefish-APUMA'!$A$1:$B$86,2)</f>
        <v>88</v>
      </c>
      <c r="F2535" s="0" t="n">
        <f aca="false">IF(C2535&gt;1,IF(C2535&lt;99,VLOOKUP(C2535,'Babblefish-APUMA'!$A$1:$B$86,2),C2535),C2535)</f>
        <v>90</v>
      </c>
    </row>
    <row r="2536" customFormat="false" ht="12.75" hidden="false" customHeight="false" outlineLevel="0" collapsed="false">
      <c r="A2536" s="0" t="n">
        <f aca="false">B2536*1000+C2536</f>
        <v>41059</v>
      </c>
      <c r="B2536" s="0" t="n">
        <v>41</v>
      </c>
      <c r="C2536" s="0" t="n">
        <v>59</v>
      </c>
      <c r="D2536" s="0" t="n">
        <v>0</v>
      </c>
      <c r="E2536" s="0" t="n">
        <f aca="false">VLOOKUP(B2536,'Babblefish-APUMA'!$A$1:$B$86,2)</f>
        <v>88</v>
      </c>
      <c r="F2536" s="0" t="n">
        <f aca="false">IF(C2536&gt;1,IF(C2536&lt;99,VLOOKUP(C2536,'Babblefish-APUMA'!$A$1:$B$86,2),C2536),C2536)</f>
        <v>90</v>
      </c>
    </row>
    <row r="2537" customFormat="false" ht="12.75" hidden="false" customHeight="false" outlineLevel="0" collapsed="false">
      <c r="A2537" s="0" t="n">
        <f aca="false">B2537*1000+C2537</f>
        <v>41060</v>
      </c>
      <c r="B2537" s="0" t="n">
        <v>41</v>
      </c>
      <c r="C2537" s="0" t="n">
        <v>60</v>
      </c>
      <c r="D2537" s="0" t="n">
        <v>0</v>
      </c>
      <c r="E2537" s="0" t="n">
        <f aca="false">VLOOKUP(B2537,'Babblefish-APUMA'!$A$1:$B$86,2)</f>
        <v>88</v>
      </c>
      <c r="F2537" s="0" t="n">
        <f aca="false">IF(C2537&gt;1,IF(C2537&lt;99,VLOOKUP(C2537,'Babblefish-APUMA'!$A$1:$B$86,2),C2537),C2537)</f>
        <v>90</v>
      </c>
    </row>
    <row r="2538" customFormat="false" ht="12.75" hidden="false" customHeight="false" outlineLevel="0" collapsed="false">
      <c r="A2538" s="0" t="n">
        <f aca="false">B2538*1000+C2538</f>
        <v>41062</v>
      </c>
      <c r="B2538" s="0" t="n">
        <v>41</v>
      </c>
      <c r="C2538" s="0" t="n">
        <v>62</v>
      </c>
      <c r="D2538" s="0" t="n">
        <v>0</v>
      </c>
      <c r="E2538" s="0" t="n">
        <f aca="false">VLOOKUP(B2538,'Babblefish-APUMA'!$A$1:$B$86,2)</f>
        <v>88</v>
      </c>
      <c r="F2538" s="0" t="n">
        <f aca="false">IF(C2538&gt;1,IF(C2538&lt;99,VLOOKUP(C2538,'Babblefish-APUMA'!$A$1:$B$86,2),C2538),C2538)</f>
        <v>90</v>
      </c>
    </row>
    <row r="2539" customFormat="false" ht="12.75" hidden="false" customHeight="false" outlineLevel="0" collapsed="false">
      <c r="A2539" s="0" t="n">
        <f aca="false">B2539*1000+C2539</f>
        <v>41063</v>
      </c>
      <c r="B2539" s="0" t="n">
        <v>41</v>
      </c>
      <c r="C2539" s="0" t="n">
        <v>63</v>
      </c>
      <c r="D2539" s="0" t="n">
        <v>0</v>
      </c>
      <c r="E2539" s="0" t="n">
        <f aca="false">VLOOKUP(B2539,'Babblefish-APUMA'!$A$1:$B$86,2)</f>
        <v>88</v>
      </c>
      <c r="F2539" s="0" t="n">
        <f aca="false">IF(C2539&gt;1,IF(C2539&lt;99,VLOOKUP(C2539,'Babblefish-APUMA'!$A$1:$B$86,2),C2539),C2539)</f>
        <v>90</v>
      </c>
    </row>
    <row r="2540" customFormat="false" ht="12.75" hidden="false" customHeight="false" outlineLevel="0" collapsed="false">
      <c r="A2540" s="0" t="n">
        <f aca="false">B2540*1000+C2540</f>
        <v>41064</v>
      </c>
      <c r="B2540" s="0" t="n">
        <v>41</v>
      </c>
      <c r="C2540" s="0" t="n">
        <v>64</v>
      </c>
      <c r="D2540" s="0" t="n">
        <v>299</v>
      </c>
      <c r="E2540" s="0" t="n">
        <f aca="false">VLOOKUP(B2540,'Babblefish-APUMA'!$A$1:$B$86,2)</f>
        <v>88</v>
      </c>
      <c r="F2540" s="0" t="n">
        <f aca="false">IF(C2540&gt;1,IF(C2540&lt;99,VLOOKUP(C2540,'Babblefish-APUMA'!$A$1:$B$86,2),C2540),C2540)</f>
        <v>90</v>
      </c>
    </row>
    <row r="2541" customFormat="false" ht="12.75" hidden="false" customHeight="false" outlineLevel="0" collapsed="false">
      <c r="A2541" s="0" t="n">
        <f aca="false">B2541*1000+C2541</f>
        <v>41065</v>
      </c>
      <c r="B2541" s="0" t="n">
        <v>41</v>
      </c>
      <c r="C2541" s="0" t="n">
        <v>65</v>
      </c>
      <c r="D2541" s="0" t="n">
        <v>182</v>
      </c>
      <c r="E2541" s="0" t="n">
        <f aca="false">VLOOKUP(B2541,'Babblefish-APUMA'!$A$1:$B$86,2)</f>
        <v>88</v>
      </c>
      <c r="F2541" s="0" t="n">
        <f aca="false">IF(C2541&gt;1,IF(C2541&lt;99,VLOOKUP(C2541,'Babblefish-APUMA'!$A$1:$B$86,2),C2541),C2541)</f>
        <v>90</v>
      </c>
    </row>
    <row r="2542" customFormat="false" ht="12.75" hidden="false" customHeight="false" outlineLevel="0" collapsed="false">
      <c r="A2542" s="0" t="n">
        <f aca="false">B2542*1000+C2542</f>
        <v>41066</v>
      </c>
      <c r="B2542" s="0" t="n">
        <v>41</v>
      </c>
      <c r="C2542" s="0" t="n">
        <v>66</v>
      </c>
      <c r="D2542" s="0" t="n">
        <v>0</v>
      </c>
      <c r="E2542" s="0" t="n">
        <f aca="false">VLOOKUP(B2542,'Babblefish-APUMA'!$A$1:$B$86,2)</f>
        <v>88</v>
      </c>
      <c r="F2542" s="0" t="n">
        <f aca="false">IF(C2542&gt;1,IF(C2542&lt;99,VLOOKUP(C2542,'Babblefish-APUMA'!$A$1:$B$86,2),C2542),C2542)</f>
        <v>90</v>
      </c>
    </row>
    <row r="2543" customFormat="false" ht="12.75" hidden="false" customHeight="false" outlineLevel="0" collapsed="false">
      <c r="A2543" s="0" t="n">
        <f aca="false">B2543*1000+C2543</f>
        <v>41067</v>
      </c>
      <c r="B2543" s="0" t="n">
        <v>41</v>
      </c>
      <c r="C2543" s="0" t="n">
        <v>67</v>
      </c>
      <c r="D2543" s="0" t="n">
        <v>0</v>
      </c>
      <c r="E2543" s="0" t="n">
        <f aca="false">VLOOKUP(B2543,'Babblefish-APUMA'!$A$1:$B$86,2)</f>
        <v>88</v>
      </c>
      <c r="F2543" s="0" t="n">
        <f aca="false">IF(C2543&gt;1,IF(C2543&lt;99,VLOOKUP(C2543,'Babblefish-APUMA'!$A$1:$B$86,2),C2543),C2543)</f>
        <v>103</v>
      </c>
    </row>
    <row r="2544" customFormat="false" ht="12.75" hidden="false" customHeight="false" outlineLevel="0" collapsed="false">
      <c r="A2544" s="0" t="n">
        <f aca="false">B2544*1000+C2544</f>
        <v>41069</v>
      </c>
      <c r="B2544" s="0" t="n">
        <v>41</v>
      </c>
      <c r="C2544" s="0" t="n">
        <v>69</v>
      </c>
      <c r="D2544" s="0" t="n">
        <v>130</v>
      </c>
      <c r="E2544" s="0" t="n">
        <f aca="false">VLOOKUP(B2544,'Babblefish-APUMA'!$A$1:$B$86,2)</f>
        <v>88</v>
      </c>
      <c r="F2544" s="0" t="n">
        <f aca="false">IF(C2544&gt;1,IF(C2544&lt;99,VLOOKUP(C2544,'Babblefish-APUMA'!$A$1:$B$86,2),C2544),C2544)</f>
        <v>93</v>
      </c>
    </row>
    <row r="2545" customFormat="false" ht="12.75" hidden="false" customHeight="false" outlineLevel="0" collapsed="false">
      <c r="A2545" s="0" t="n">
        <f aca="false">B2545*1000+C2545</f>
        <v>41071</v>
      </c>
      <c r="B2545" s="0" t="n">
        <v>41</v>
      </c>
      <c r="C2545" s="0" t="n">
        <v>71</v>
      </c>
      <c r="D2545" s="0" t="n">
        <v>0</v>
      </c>
      <c r="E2545" s="0" t="n">
        <f aca="false">VLOOKUP(B2545,'Babblefish-APUMA'!$A$1:$B$86,2)</f>
        <v>88</v>
      </c>
      <c r="F2545" s="0" t="n">
        <f aca="false">IF(C2545&gt;1,IF(C2545&lt;99,VLOOKUP(C2545,'Babblefish-APUMA'!$A$1:$B$86,2),C2545),C2545)</f>
        <v>95</v>
      </c>
    </row>
    <row r="2546" customFormat="false" ht="12.75" hidden="false" customHeight="false" outlineLevel="0" collapsed="false">
      <c r="A2546" s="0" t="n">
        <f aca="false">B2546*1000+C2546</f>
        <v>41072</v>
      </c>
      <c r="B2546" s="0" t="n">
        <v>41</v>
      </c>
      <c r="C2546" s="0" t="n">
        <v>72</v>
      </c>
      <c r="D2546" s="0" t="n">
        <v>0</v>
      </c>
      <c r="E2546" s="0" t="n">
        <f aca="false">VLOOKUP(B2546,'Babblefish-APUMA'!$A$1:$B$86,2)</f>
        <v>88</v>
      </c>
      <c r="F2546" s="0" t="n">
        <f aca="false">IF(C2546&gt;1,IF(C2546&lt;99,VLOOKUP(C2546,'Babblefish-APUMA'!$A$1:$B$86,2),C2546),C2546)</f>
        <v>95</v>
      </c>
    </row>
    <row r="2547" customFormat="false" ht="12.75" hidden="false" customHeight="false" outlineLevel="0" collapsed="false">
      <c r="A2547" s="0" t="n">
        <f aca="false">B2547*1000+C2547</f>
        <v>41073</v>
      </c>
      <c r="B2547" s="0" t="n">
        <v>41</v>
      </c>
      <c r="C2547" s="0" t="n">
        <v>73</v>
      </c>
      <c r="D2547" s="0" t="n">
        <v>0</v>
      </c>
      <c r="E2547" s="0" t="n">
        <f aca="false">VLOOKUP(B2547,'Babblefish-APUMA'!$A$1:$B$86,2)</f>
        <v>88</v>
      </c>
      <c r="F2547" s="0" t="n">
        <f aca="false">IF(C2547&gt;1,IF(C2547&lt;99,VLOOKUP(C2547,'Babblefish-APUMA'!$A$1:$B$86,2),C2547),C2547)</f>
        <v>99</v>
      </c>
    </row>
    <row r="2548" customFormat="false" ht="12.75" hidden="false" customHeight="false" outlineLevel="0" collapsed="false">
      <c r="A2548" s="0" t="n">
        <f aca="false">B2548*1000+C2548</f>
        <v>41075</v>
      </c>
      <c r="B2548" s="0" t="n">
        <v>41</v>
      </c>
      <c r="C2548" s="0" t="n">
        <v>75</v>
      </c>
      <c r="D2548" s="0" t="n">
        <v>2587</v>
      </c>
      <c r="E2548" s="0" t="n">
        <f aca="false">VLOOKUP(B2548,'Babblefish-APUMA'!$A$1:$B$86,2)</f>
        <v>88</v>
      </c>
      <c r="F2548" s="0" t="n">
        <f aca="false">IF(C2548&gt;1,IF(C2548&lt;99,VLOOKUP(C2548,'Babblefish-APUMA'!$A$1:$B$86,2),C2548),C2548)</f>
        <v>75</v>
      </c>
    </row>
    <row r="2549" customFormat="false" ht="12.75" hidden="false" customHeight="false" outlineLevel="0" collapsed="false">
      <c r="A2549" s="0" t="n">
        <f aca="false">B2549*1000+C2549</f>
        <v>41076</v>
      </c>
      <c r="B2549" s="0" t="n">
        <v>41</v>
      </c>
      <c r="C2549" s="0" t="n">
        <v>76</v>
      </c>
      <c r="D2549" s="0" t="n">
        <v>0</v>
      </c>
      <c r="E2549" s="0" t="n">
        <f aca="false">VLOOKUP(B2549,'Babblefish-APUMA'!$A$1:$B$86,2)</f>
        <v>88</v>
      </c>
      <c r="F2549" s="0" t="n">
        <f aca="false">IF(C2549&gt;1,IF(C2549&lt;99,VLOOKUP(C2549,'Babblefish-APUMA'!$A$1:$B$86,2),C2549),C2549)</f>
        <v>76</v>
      </c>
    </row>
    <row r="2550" customFormat="false" ht="12.75" hidden="false" customHeight="false" outlineLevel="0" collapsed="false">
      <c r="A2550" s="0" t="n">
        <f aca="false">B2550*1000+C2550</f>
        <v>41077</v>
      </c>
      <c r="B2550" s="0" t="n">
        <v>41</v>
      </c>
      <c r="C2550" s="0" t="n">
        <v>77</v>
      </c>
      <c r="D2550" s="0" t="n">
        <v>0</v>
      </c>
      <c r="E2550" s="0" t="n">
        <f aca="false">VLOOKUP(B2550,'Babblefish-APUMA'!$A$1:$B$86,2)</f>
        <v>88</v>
      </c>
      <c r="F2550" s="0" t="n">
        <f aca="false">IF(C2550&gt;1,IF(C2550&lt;99,VLOOKUP(C2550,'Babblefish-APUMA'!$A$1:$B$86,2),C2550),C2550)</f>
        <v>77</v>
      </c>
    </row>
    <row r="2551" customFormat="false" ht="12.75" hidden="false" customHeight="false" outlineLevel="0" collapsed="false">
      <c r="A2551" s="0" t="n">
        <f aca="false">B2551*1000+C2551</f>
        <v>41079</v>
      </c>
      <c r="B2551" s="0" t="n">
        <v>41</v>
      </c>
      <c r="C2551" s="0" t="n">
        <v>79</v>
      </c>
      <c r="D2551" s="0" t="n">
        <v>104</v>
      </c>
      <c r="E2551" s="0" t="n">
        <f aca="false">VLOOKUP(B2551,'Babblefish-APUMA'!$A$1:$B$86,2)</f>
        <v>88</v>
      </c>
      <c r="F2551" s="0" t="n">
        <f aca="false">IF(C2551&gt;1,IF(C2551&lt;99,VLOOKUP(C2551,'Babblefish-APUMA'!$A$1:$B$86,2),C2551),C2551)</f>
        <v>89</v>
      </c>
    </row>
    <row r="2552" customFormat="false" ht="12.75" hidden="false" customHeight="false" outlineLevel="0" collapsed="false">
      <c r="A2552" s="0" t="n">
        <f aca="false">B2552*1000+C2552</f>
        <v>41080</v>
      </c>
      <c r="B2552" s="0" t="n">
        <v>41</v>
      </c>
      <c r="C2552" s="0" t="n">
        <v>80</v>
      </c>
      <c r="D2552" s="0" t="n">
        <v>78</v>
      </c>
      <c r="E2552" s="0" t="n">
        <f aca="false">VLOOKUP(B2552,'Babblefish-APUMA'!$A$1:$B$86,2)</f>
        <v>88</v>
      </c>
      <c r="F2552" s="0" t="n">
        <f aca="false">IF(C2552&gt;1,IF(C2552&lt;99,VLOOKUP(C2552,'Babblefish-APUMA'!$A$1:$B$86,2),C2552),C2552)</f>
        <v>80</v>
      </c>
    </row>
    <row r="2553" customFormat="false" ht="12.75" hidden="false" customHeight="false" outlineLevel="0" collapsed="false">
      <c r="A2553" s="0" t="n">
        <f aca="false">B2553*1000+C2553</f>
        <v>41081</v>
      </c>
      <c r="B2553" s="0" t="n">
        <v>41</v>
      </c>
      <c r="C2553" s="0" t="n">
        <v>81</v>
      </c>
      <c r="D2553" s="0" t="n">
        <v>0</v>
      </c>
      <c r="E2553" s="0" t="n">
        <f aca="false">VLOOKUP(B2553,'Babblefish-APUMA'!$A$1:$B$86,2)</f>
        <v>88</v>
      </c>
      <c r="F2553" s="0" t="n">
        <f aca="false">IF(C2553&gt;1,IF(C2553&lt;99,VLOOKUP(C2553,'Babblefish-APUMA'!$A$1:$B$86,2),C2553),C2553)</f>
        <v>93</v>
      </c>
    </row>
    <row r="2554" customFormat="false" ht="12.75" hidden="false" customHeight="false" outlineLevel="0" collapsed="false">
      <c r="A2554" s="0" t="n">
        <f aca="false">B2554*1000+C2554</f>
        <v>41082</v>
      </c>
      <c r="B2554" s="0" t="n">
        <v>41</v>
      </c>
      <c r="C2554" s="0" t="n">
        <v>82</v>
      </c>
      <c r="D2554" s="0" t="n">
        <v>0</v>
      </c>
      <c r="E2554" s="0" t="n">
        <f aca="false">VLOOKUP(B2554,'Babblefish-APUMA'!$A$1:$B$86,2)</f>
        <v>88</v>
      </c>
      <c r="F2554" s="0" t="n">
        <f aca="false">IF(C2554&gt;1,IF(C2554&lt;99,VLOOKUP(C2554,'Babblefish-APUMA'!$A$1:$B$86,2),C2554),C2554)</f>
        <v>95</v>
      </c>
    </row>
    <row r="2555" customFormat="false" ht="12.75" hidden="false" customHeight="false" outlineLevel="0" collapsed="false">
      <c r="A2555" s="0" t="n">
        <f aca="false">B2555*1000+C2555</f>
        <v>41083</v>
      </c>
      <c r="B2555" s="0" t="n">
        <v>41</v>
      </c>
      <c r="C2555" s="0" t="n">
        <v>83</v>
      </c>
      <c r="D2555" s="0" t="n">
        <v>0</v>
      </c>
      <c r="E2555" s="0" t="n">
        <f aca="false">VLOOKUP(B2555,'Babblefish-APUMA'!$A$1:$B$86,2)</f>
        <v>88</v>
      </c>
      <c r="F2555" s="0" t="n">
        <f aca="false">IF(C2555&gt;1,IF(C2555&lt;99,VLOOKUP(C2555,'Babblefish-APUMA'!$A$1:$B$86,2),C2555),C2555)</f>
        <v>103</v>
      </c>
    </row>
    <row r="2556" customFormat="false" ht="12.75" hidden="false" customHeight="false" outlineLevel="0" collapsed="false">
      <c r="A2556" s="0" t="n">
        <f aca="false">B2556*1000+C2556</f>
        <v>41084</v>
      </c>
      <c r="B2556" s="0" t="n">
        <v>41</v>
      </c>
      <c r="C2556" s="0" t="n">
        <v>84</v>
      </c>
      <c r="D2556" s="0" t="n">
        <v>0</v>
      </c>
      <c r="E2556" s="0" t="n">
        <f aca="false">VLOOKUP(B2556,'Babblefish-APUMA'!$A$1:$B$86,2)</f>
        <v>88</v>
      </c>
      <c r="F2556" s="0" t="n">
        <f aca="false">IF(C2556&gt;1,IF(C2556&lt;99,VLOOKUP(C2556,'Babblefish-APUMA'!$A$1:$B$86,2),C2556),C2556)</f>
        <v>92</v>
      </c>
    </row>
    <row r="2557" customFormat="false" ht="12.75" hidden="false" customHeight="false" outlineLevel="0" collapsed="false">
      <c r="A2557" s="0" t="n">
        <f aca="false">B2557*1000+C2557</f>
        <v>41085</v>
      </c>
      <c r="B2557" s="0" t="n">
        <v>41</v>
      </c>
      <c r="C2557" s="0" t="n">
        <v>85</v>
      </c>
      <c r="D2557" s="0" t="n">
        <v>0</v>
      </c>
      <c r="E2557" s="0" t="n">
        <f aca="false">VLOOKUP(B2557,'Babblefish-APUMA'!$A$1:$B$86,2)</f>
        <v>88</v>
      </c>
      <c r="F2557" s="0" t="n">
        <f aca="false">IF(C2557&gt;1,IF(C2557&lt;99,VLOOKUP(C2557,'Babblefish-APUMA'!$A$1:$B$86,2),C2557),C2557)</f>
        <v>97</v>
      </c>
    </row>
    <row r="2558" customFormat="false" ht="12.75" hidden="false" customHeight="false" outlineLevel="0" collapsed="false">
      <c r="A2558" s="0" t="n">
        <f aca="false">B2558*1000+C2558</f>
        <v>41858</v>
      </c>
      <c r="B2558" s="0" t="n">
        <v>41</v>
      </c>
      <c r="C2558" s="0" t="n">
        <v>858</v>
      </c>
      <c r="D2558" s="0" t="n">
        <v>0</v>
      </c>
      <c r="E2558" s="0" t="n">
        <f aca="false">VLOOKUP(B2558,'Babblefish-APUMA'!$A$1:$B$86,2)</f>
        <v>88</v>
      </c>
      <c r="F2558" s="0" t="n">
        <f aca="false">IF(C2558&gt;1,IF(C2558&lt;99,VLOOKUP(C2558,'Babblefish-APUMA'!$A$1:$B$86,2),C2558),C2558)</f>
        <v>858</v>
      </c>
    </row>
    <row r="2559" customFormat="false" ht="12.75" hidden="false" customHeight="false" outlineLevel="0" collapsed="false">
      <c r="A2559" s="0" t="n">
        <f aca="false">B2559*1000+C2559</f>
        <v>41983</v>
      </c>
      <c r="B2559" s="0" t="n">
        <v>41</v>
      </c>
      <c r="C2559" s="0" t="n">
        <v>983</v>
      </c>
      <c r="D2559" s="0" t="n">
        <v>0</v>
      </c>
      <c r="E2559" s="0" t="n">
        <f aca="false">VLOOKUP(B2559,'Babblefish-APUMA'!$A$1:$B$86,2)</f>
        <v>88</v>
      </c>
      <c r="F2559" s="0" t="n">
        <f aca="false">IF(C2559&gt;1,IF(C2559&lt;99,VLOOKUP(C2559,'Babblefish-APUMA'!$A$1:$B$86,2),C2559),C2559)</f>
        <v>983</v>
      </c>
    </row>
    <row r="2560" customFormat="false" ht="12.75" hidden="false" customHeight="false" outlineLevel="0" collapsed="false">
      <c r="A2560" s="0" t="n">
        <f aca="false">B2560*1000+C2560</f>
        <v>41999</v>
      </c>
      <c r="B2560" s="0" t="n">
        <v>41</v>
      </c>
      <c r="C2560" s="0" t="n">
        <v>999</v>
      </c>
      <c r="D2560" s="0" t="n">
        <v>0</v>
      </c>
      <c r="E2560" s="0" t="n">
        <f aca="false">VLOOKUP(B2560,'Babblefish-APUMA'!$A$1:$B$86,2)</f>
        <v>88</v>
      </c>
      <c r="F2560" s="0" t="n">
        <f aca="false">IF(C2560&gt;1,IF(C2560&lt;99,VLOOKUP(C2560,'Babblefish-APUMA'!$A$1:$B$86,2),C2560),C2560)</f>
        <v>999</v>
      </c>
    </row>
    <row r="2561" customFormat="false" ht="12.75" hidden="false" customHeight="false" outlineLevel="0" collapsed="false">
      <c r="A2561" s="0" t="n">
        <f aca="false">B2561*1000+C2561</f>
        <v>42000</v>
      </c>
      <c r="B2561" s="0" t="n">
        <v>42</v>
      </c>
      <c r="C2561" s="0" t="n">
        <v>0</v>
      </c>
      <c r="D2561" s="0" t="n">
        <v>151931</v>
      </c>
      <c r="E2561" s="0" t="n">
        <f aca="false">VLOOKUP(B2561,'Babblefish-APUMA'!$A$1:$B$86,2)</f>
        <v>92</v>
      </c>
      <c r="F2561" s="0" t="n">
        <f aca="false">IF(C2561&gt;1,IF(C2561&lt;99,VLOOKUP(C2561,'Babblefish-APUMA'!$A$1:$B$86,2),C2561),C2561)</f>
        <v>0</v>
      </c>
    </row>
    <row r="2562" customFormat="false" ht="12.75" hidden="false" customHeight="false" outlineLevel="0" collapsed="false">
      <c r="A2562" s="0" t="n">
        <f aca="false">B2562*1000+C2562</f>
        <v>42001</v>
      </c>
      <c r="B2562" s="0" t="n">
        <v>42</v>
      </c>
      <c r="C2562" s="0" t="n">
        <v>1</v>
      </c>
      <c r="D2562" s="0" t="n">
        <v>0</v>
      </c>
      <c r="E2562" s="0" t="n">
        <f aca="false">VLOOKUP(B2562,'Babblefish-APUMA'!$A$1:$B$86,2)</f>
        <v>92</v>
      </c>
      <c r="F2562" s="0" t="n">
        <f aca="false">IF(C2562&gt;1,IF(C2562&lt;99,VLOOKUP(C2562,'Babblefish-APUMA'!$A$1:$B$86,2),C2562),C2562)</f>
        <v>1</v>
      </c>
    </row>
    <row r="2563" customFormat="false" ht="12.75" hidden="false" customHeight="false" outlineLevel="0" collapsed="false">
      <c r="A2563" s="0" t="n">
        <f aca="false">B2563*1000+C2563</f>
        <v>42002</v>
      </c>
      <c r="B2563" s="0" t="n">
        <v>42</v>
      </c>
      <c r="C2563" s="0" t="n">
        <v>2</v>
      </c>
      <c r="D2563" s="0" t="n">
        <v>0</v>
      </c>
      <c r="E2563" s="0" t="n">
        <f aca="false">VLOOKUP(B2563,'Babblefish-APUMA'!$A$1:$B$86,2)</f>
        <v>92</v>
      </c>
      <c r="F2563" s="0" t="n">
        <f aca="false">IF(C2563&gt;1,IF(C2563&lt;99,VLOOKUP(C2563,'Babblefish-APUMA'!$A$1:$B$86,2),C2563),C2563)</f>
        <v>2</v>
      </c>
    </row>
    <row r="2564" customFormat="false" ht="12.75" hidden="false" customHeight="false" outlineLevel="0" collapsed="false">
      <c r="A2564" s="0" t="n">
        <f aca="false">B2564*1000+C2564</f>
        <v>42003</v>
      </c>
      <c r="B2564" s="0" t="n">
        <v>42</v>
      </c>
      <c r="C2564" s="0" t="n">
        <v>3</v>
      </c>
      <c r="D2564" s="0" t="n">
        <v>0</v>
      </c>
      <c r="E2564" s="0" t="n">
        <f aca="false">VLOOKUP(B2564,'Babblefish-APUMA'!$A$1:$B$86,2)</f>
        <v>92</v>
      </c>
      <c r="F2564" s="0" t="n">
        <f aca="false">IF(C2564&gt;1,IF(C2564&lt;99,VLOOKUP(C2564,'Babblefish-APUMA'!$A$1:$B$86,2),C2564),C2564)</f>
        <v>3</v>
      </c>
    </row>
    <row r="2565" customFormat="false" ht="12.75" hidden="false" customHeight="false" outlineLevel="0" collapsed="false">
      <c r="A2565" s="0" t="n">
        <f aca="false">B2565*1000+C2565</f>
        <v>42004</v>
      </c>
      <c r="B2565" s="0" t="n">
        <v>42</v>
      </c>
      <c r="C2565" s="0" t="n">
        <v>4</v>
      </c>
      <c r="D2565" s="0" t="n">
        <v>0</v>
      </c>
      <c r="E2565" s="0" t="n">
        <f aca="false">VLOOKUP(B2565,'Babblefish-APUMA'!$A$1:$B$86,2)</f>
        <v>92</v>
      </c>
      <c r="F2565" s="0" t="n">
        <f aca="false">IF(C2565&gt;1,IF(C2565&lt;99,VLOOKUP(C2565,'Babblefish-APUMA'!$A$1:$B$86,2),C2565),C2565)</f>
        <v>4</v>
      </c>
    </row>
    <row r="2566" customFormat="false" ht="12.75" hidden="false" customHeight="false" outlineLevel="0" collapsed="false">
      <c r="A2566" s="0" t="n">
        <f aca="false">B2566*1000+C2566</f>
        <v>42005</v>
      </c>
      <c r="B2566" s="0" t="n">
        <v>42</v>
      </c>
      <c r="C2566" s="0" t="n">
        <v>5</v>
      </c>
      <c r="D2566" s="0" t="n">
        <v>0</v>
      </c>
      <c r="E2566" s="0" t="n">
        <f aca="false">VLOOKUP(B2566,'Babblefish-APUMA'!$A$1:$B$86,2)</f>
        <v>92</v>
      </c>
      <c r="F2566" s="0" t="n">
        <f aca="false">IF(C2566&gt;1,IF(C2566&lt;99,VLOOKUP(C2566,'Babblefish-APUMA'!$A$1:$B$86,2),C2566),C2566)</f>
        <v>5</v>
      </c>
    </row>
    <row r="2567" customFormat="false" ht="12.75" hidden="false" customHeight="false" outlineLevel="0" collapsed="false">
      <c r="A2567" s="0" t="n">
        <f aca="false">B2567*1000+C2567</f>
        <v>42006</v>
      </c>
      <c r="B2567" s="0" t="n">
        <v>42</v>
      </c>
      <c r="C2567" s="0" t="n">
        <v>6</v>
      </c>
      <c r="D2567" s="0" t="n">
        <v>78</v>
      </c>
      <c r="E2567" s="0" t="n">
        <f aca="false">VLOOKUP(B2567,'Babblefish-APUMA'!$A$1:$B$86,2)</f>
        <v>92</v>
      </c>
      <c r="F2567" s="0" t="n">
        <f aca="false">IF(C2567&gt;1,IF(C2567&lt;99,VLOOKUP(C2567,'Babblefish-APUMA'!$A$1:$B$86,2),C2567),C2567)</f>
        <v>6</v>
      </c>
    </row>
    <row r="2568" customFormat="false" ht="12.75" hidden="false" customHeight="false" outlineLevel="0" collapsed="false">
      <c r="A2568" s="0" t="n">
        <f aca="false">B2568*1000+C2568</f>
        <v>42007</v>
      </c>
      <c r="B2568" s="0" t="n">
        <v>42</v>
      </c>
      <c r="C2568" s="0" t="n">
        <v>7</v>
      </c>
      <c r="D2568" s="0" t="n">
        <v>0</v>
      </c>
      <c r="E2568" s="0" t="n">
        <f aca="false">VLOOKUP(B2568,'Babblefish-APUMA'!$A$1:$B$86,2)</f>
        <v>92</v>
      </c>
      <c r="F2568" s="0" t="n">
        <f aca="false">IF(C2568&gt;1,IF(C2568&lt;99,VLOOKUP(C2568,'Babblefish-APUMA'!$A$1:$B$86,2),C2568),C2568)</f>
        <v>7</v>
      </c>
    </row>
    <row r="2569" customFormat="false" ht="12.75" hidden="false" customHeight="false" outlineLevel="0" collapsed="false">
      <c r="A2569" s="0" t="n">
        <f aca="false">B2569*1000+C2569</f>
        <v>42008</v>
      </c>
      <c r="B2569" s="0" t="n">
        <v>42</v>
      </c>
      <c r="C2569" s="0" t="n">
        <v>8</v>
      </c>
      <c r="D2569" s="0" t="n">
        <v>0</v>
      </c>
      <c r="E2569" s="0" t="n">
        <f aca="false">VLOOKUP(B2569,'Babblefish-APUMA'!$A$1:$B$86,2)</f>
        <v>92</v>
      </c>
      <c r="F2569" s="0" t="n">
        <f aca="false">IF(C2569&gt;1,IF(C2569&lt;99,VLOOKUP(C2569,'Babblefish-APUMA'!$A$1:$B$86,2),C2569),C2569)</f>
        <v>8</v>
      </c>
    </row>
    <row r="2570" customFormat="false" ht="12.75" hidden="false" customHeight="false" outlineLevel="0" collapsed="false">
      <c r="A2570" s="0" t="n">
        <f aca="false">B2570*1000+C2570</f>
        <v>42009</v>
      </c>
      <c r="B2570" s="0" t="n">
        <v>42</v>
      </c>
      <c r="C2570" s="0" t="n">
        <v>9</v>
      </c>
      <c r="D2570" s="0" t="n">
        <v>65</v>
      </c>
      <c r="E2570" s="0" t="n">
        <f aca="false">VLOOKUP(B2570,'Babblefish-APUMA'!$A$1:$B$86,2)</f>
        <v>92</v>
      </c>
      <c r="F2570" s="0" t="n">
        <f aca="false">IF(C2570&gt;1,IF(C2570&lt;99,VLOOKUP(C2570,'Babblefish-APUMA'!$A$1:$B$86,2),C2570),C2570)</f>
        <v>9</v>
      </c>
    </row>
    <row r="2571" customFormat="false" ht="12.75" hidden="false" customHeight="false" outlineLevel="0" collapsed="false">
      <c r="A2571" s="0" t="n">
        <f aca="false">B2571*1000+C2571</f>
        <v>42010</v>
      </c>
      <c r="B2571" s="0" t="n">
        <v>42</v>
      </c>
      <c r="C2571" s="0" t="n">
        <v>10</v>
      </c>
      <c r="D2571" s="0" t="n">
        <v>0</v>
      </c>
      <c r="E2571" s="0" t="n">
        <f aca="false">VLOOKUP(B2571,'Babblefish-APUMA'!$A$1:$B$86,2)</f>
        <v>92</v>
      </c>
      <c r="F2571" s="0" t="n">
        <f aca="false">IF(C2571&gt;1,IF(C2571&lt;99,VLOOKUP(C2571,'Babblefish-APUMA'!$A$1:$B$86,2),C2571),C2571)</f>
        <v>10</v>
      </c>
    </row>
    <row r="2572" customFormat="false" ht="12.75" hidden="false" customHeight="false" outlineLevel="0" collapsed="false">
      <c r="A2572" s="0" t="n">
        <f aca="false">B2572*1000+C2572</f>
        <v>42011</v>
      </c>
      <c r="B2572" s="0" t="n">
        <v>42</v>
      </c>
      <c r="C2572" s="0" t="n">
        <v>11</v>
      </c>
      <c r="D2572" s="0" t="n">
        <v>0</v>
      </c>
      <c r="E2572" s="0" t="n">
        <f aca="false">VLOOKUP(B2572,'Babblefish-APUMA'!$A$1:$B$86,2)</f>
        <v>92</v>
      </c>
      <c r="F2572" s="0" t="n">
        <f aca="false">IF(C2572&gt;1,IF(C2572&lt;99,VLOOKUP(C2572,'Babblefish-APUMA'!$A$1:$B$86,2),C2572),C2572)</f>
        <v>11</v>
      </c>
    </row>
    <row r="2573" customFormat="false" ht="12.75" hidden="false" customHeight="false" outlineLevel="0" collapsed="false">
      <c r="A2573" s="0" t="n">
        <f aca="false">B2573*1000+C2573</f>
        <v>42012</v>
      </c>
      <c r="B2573" s="0" t="n">
        <v>42</v>
      </c>
      <c r="C2573" s="0" t="n">
        <v>12</v>
      </c>
      <c r="D2573" s="0" t="n">
        <v>0</v>
      </c>
      <c r="E2573" s="0" t="n">
        <f aca="false">VLOOKUP(B2573,'Babblefish-APUMA'!$A$1:$B$86,2)</f>
        <v>92</v>
      </c>
      <c r="F2573" s="0" t="n">
        <f aca="false">IF(C2573&gt;1,IF(C2573&lt;99,VLOOKUP(C2573,'Babblefish-APUMA'!$A$1:$B$86,2),C2573),C2573)</f>
        <v>12</v>
      </c>
    </row>
    <row r="2574" customFormat="false" ht="12.75" hidden="false" customHeight="false" outlineLevel="0" collapsed="false">
      <c r="A2574" s="0" t="n">
        <f aca="false">B2574*1000+C2574</f>
        <v>42013</v>
      </c>
      <c r="B2574" s="0" t="n">
        <v>42</v>
      </c>
      <c r="C2574" s="0" t="n">
        <v>13</v>
      </c>
      <c r="D2574" s="0" t="n">
        <v>0</v>
      </c>
      <c r="E2574" s="0" t="n">
        <f aca="false">VLOOKUP(B2574,'Babblefish-APUMA'!$A$1:$B$86,2)</f>
        <v>92</v>
      </c>
      <c r="F2574" s="0" t="n">
        <f aca="false">IF(C2574&gt;1,IF(C2574&lt;99,VLOOKUP(C2574,'Babblefish-APUMA'!$A$1:$B$86,2),C2574),C2574)</f>
        <v>100</v>
      </c>
    </row>
    <row r="2575" customFormat="false" ht="12.75" hidden="false" customHeight="false" outlineLevel="0" collapsed="false">
      <c r="A2575" s="0" t="n">
        <f aca="false">B2575*1000+C2575</f>
        <v>42014</v>
      </c>
      <c r="B2575" s="0" t="n">
        <v>42</v>
      </c>
      <c r="C2575" s="0" t="n">
        <v>14</v>
      </c>
      <c r="D2575" s="0" t="n">
        <v>0</v>
      </c>
      <c r="E2575" s="0" t="n">
        <f aca="false">VLOOKUP(B2575,'Babblefish-APUMA'!$A$1:$B$86,2)</f>
        <v>92</v>
      </c>
      <c r="F2575" s="0" t="n">
        <f aca="false">IF(C2575&gt;1,IF(C2575&lt;99,VLOOKUP(C2575,'Babblefish-APUMA'!$A$1:$B$86,2),C2575),C2575)</f>
        <v>100</v>
      </c>
    </row>
    <row r="2576" customFormat="false" ht="12.75" hidden="false" customHeight="false" outlineLevel="0" collapsed="false">
      <c r="A2576" s="0" t="n">
        <f aca="false">B2576*1000+C2576</f>
        <v>42015</v>
      </c>
      <c r="B2576" s="0" t="n">
        <v>42</v>
      </c>
      <c r="C2576" s="0" t="n">
        <v>15</v>
      </c>
      <c r="D2576" s="0" t="n">
        <v>0</v>
      </c>
      <c r="E2576" s="0" t="n">
        <f aca="false">VLOOKUP(B2576,'Babblefish-APUMA'!$A$1:$B$86,2)</f>
        <v>92</v>
      </c>
      <c r="F2576" s="0" t="n">
        <f aca="false">IF(C2576&gt;1,IF(C2576&lt;99,VLOOKUP(C2576,'Babblefish-APUMA'!$A$1:$B$86,2),C2576),C2576)</f>
        <v>15</v>
      </c>
    </row>
    <row r="2577" customFormat="false" ht="12.75" hidden="false" customHeight="false" outlineLevel="0" collapsed="false">
      <c r="A2577" s="0" t="n">
        <f aca="false">B2577*1000+C2577</f>
        <v>42016</v>
      </c>
      <c r="B2577" s="0" t="n">
        <v>42</v>
      </c>
      <c r="C2577" s="0" t="n">
        <v>16</v>
      </c>
      <c r="D2577" s="0" t="n">
        <v>0</v>
      </c>
      <c r="E2577" s="0" t="n">
        <f aca="false">VLOOKUP(B2577,'Babblefish-APUMA'!$A$1:$B$86,2)</f>
        <v>92</v>
      </c>
      <c r="F2577" s="0" t="n">
        <f aca="false">IF(C2577&gt;1,IF(C2577&lt;99,VLOOKUP(C2577,'Babblefish-APUMA'!$A$1:$B$86,2),C2577),C2577)</f>
        <v>99</v>
      </c>
    </row>
    <row r="2578" customFormat="false" ht="12.75" hidden="false" customHeight="false" outlineLevel="0" collapsed="false">
      <c r="A2578" s="0" t="n">
        <f aca="false">B2578*1000+C2578</f>
        <v>42017</v>
      </c>
      <c r="B2578" s="0" t="n">
        <v>42</v>
      </c>
      <c r="C2578" s="0" t="n">
        <v>17</v>
      </c>
      <c r="D2578" s="0" t="n">
        <v>0</v>
      </c>
      <c r="E2578" s="0" t="n">
        <f aca="false">VLOOKUP(B2578,'Babblefish-APUMA'!$A$1:$B$86,2)</f>
        <v>92</v>
      </c>
      <c r="F2578" s="0" t="n">
        <f aca="false">IF(C2578&gt;1,IF(C2578&lt;99,VLOOKUP(C2578,'Babblefish-APUMA'!$A$1:$B$86,2),C2578),C2578)</f>
        <v>87</v>
      </c>
    </row>
    <row r="2579" customFormat="false" ht="12.75" hidden="false" customHeight="false" outlineLevel="0" collapsed="false">
      <c r="A2579" s="0" t="n">
        <f aca="false">B2579*1000+C2579</f>
        <v>42018</v>
      </c>
      <c r="B2579" s="0" t="n">
        <v>42</v>
      </c>
      <c r="C2579" s="0" t="n">
        <v>18</v>
      </c>
      <c r="D2579" s="0" t="n">
        <v>0</v>
      </c>
      <c r="E2579" s="0" t="n">
        <f aca="false">VLOOKUP(B2579,'Babblefish-APUMA'!$A$1:$B$86,2)</f>
        <v>92</v>
      </c>
      <c r="F2579" s="0" t="n">
        <f aca="false">IF(C2579&gt;1,IF(C2579&lt;99,VLOOKUP(C2579,'Babblefish-APUMA'!$A$1:$B$86,2),C2579),C2579)</f>
        <v>87</v>
      </c>
    </row>
    <row r="2580" customFormat="false" ht="12.75" hidden="false" customHeight="false" outlineLevel="0" collapsed="false">
      <c r="A2580" s="0" t="n">
        <f aca="false">B2580*1000+C2580</f>
        <v>42019</v>
      </c>
      <c r="B2580" s="0" t="n">
        <v>42</v>
      </c>
      <c r="C2580" s="0" t="n">
        <v>19</v>
      </c>
      <c r="D2580" s="0" t="n">
        <v>0</v>
      </c>
      <c r="E2580" s="0" t="n">
        <f aca="false">VLOOKUP(B2580,'Babblefish-APUMA'!$A$1:$B$86,2)</f>
        <v>92</v>
      </c>
      <c r="F2580" s="0" t="n">
        <f aca="false">IF(C2580&gt;1,IF(C2580&lt;99,VLOOKUP(C2580,'Babblefish-APUMA'!$A$1:$B$86,2),C2580),C2580)</f>
        <v>19</v>
      </c>
    </row>
    <row r="2581" customFormat="false" ht="12.75" hidden="false" customHeight="false" outlineLevel="0" collapsed="false">
      <c r="A2581" s="0" t="n">
        <f aca="false">B2581*1000+C2581</f>
        <v>42020</v>
      </c>
      <c r="B2581" s="0" t="n">
        <v>42</v>
      </c>
      <c r="C2581" s="0" t="n">
        <v>20</v>
      </c>
      <c r="D2581" s="0" t="n">
        <v>0</v>
      </c>
      <c r="E2581" s="0" t="n">
        <f aca="false">VLOOKUP(B2581,'Babblefish-APUMA'!$A$1:$B$86,2)</f>
        <v>92</v>
      </c>
      <c r="F2581" s="0" t="n">
        <f aca="false">IF(C2581&gt;1,IF(C2581&lt;99,VLOOKUP(C2581,'Babblefish-APUMA'!$A$1:$B$86,2),C2581),C2581)</f>
        <v>86</v>
      </c>
    </row>
    <row r="2582" customFormat="false" ht="12.75" hidden="false" customHeight="false" outlineLevel="0" collapsed="false">
      <c r="A2582" s="0" t="n">
        <f aca="false">B2582*1000+C2582</f>
        <v>42021</v>
      </c>
      <c r="B2582" s="0" t="n">
        <v>42</v>
      </c>
      <c r="C2582" s="0" t="n">
        <v>21</v>
      </c>
      <c r="D2582" s="0" t="n">
        <v>0</v>
      </c>
      <c r="E2582" s="0" t="n">
        <f aca="false">VLOOKUP(B2582,'Babblefish-APUMA'!$A$1:$B$86,2)</f>
        <v>92</v>
      </c>
      <c r="F2582" s="0" t="n">
        <f aca="false">IF(C2582&gt;1,IF(C2582&lt;99,VLOOKUP(C2582,'Babblefish-APUMA'!$A$1:$B$86,2),C2582),C2582)</f>
        <v>86</v>
      </c>
    </row>
    <row r="2583" customFormat="false" ht="12.75" hidden="false" customHeight="false" outlineLevel="0" collapsed="false">
      <c r="A2583" s="0" t="n">
        <f aca="false">B2583*1000+C2583</f>
        <v>42022</v>
      </c>
      <c r="B2583" s="0" t="n">
        <v>42</v>
      </c>
      <c r="C2583" s="0" t="n">
        <v>22</v>
      </c>
      <c r="D2583" s="0" t="n">
        <v>0</v>
      </c>
      <c r="E2583" s="0" t="n">
        <f aca="false">VLOOKUP(B2583,'Babblefish-APUMA'!$A$1:$B$86,2)</f>
        <v>92</v>
      </c>
      <c r="F2583" s="0" t="n">
        <f aca="false">IF(C2583&gt;1,IF(C2583&lt;99,VLOOKUP(C2583,'Babblefish-APUMA'!$A$1:$B$86,2),C2583),C2583)</f>
        <v>22</v>
      </c>
    </row>
    <row r="2584" customFormat="false" ht="12.75" hidden="false" customHeight="false" outlineLevel="0" collapsed="false">
      <c r="A2584" s="0" t="n">
        <f aca="false">B2584*1000+C2584</f>
        <v>42023</v>
      </c>
      <c r="B2584" s="0" t="n">
        <v>42</v>
      </c>
      <c r="C2584" s="0" t="n">
        <v>23</v>
      </c>
      <c r="D2584" s="0" t="n">
        <v>0</v>
      </c>
      <c r="E2584" s="0" t="n">
        <f aca="false">VLOOKUP(B2584,'Babblefish-APUMA'!$A$1:$B$86,2)</f>
        <v>92</v>
      </c>
      <c r="F2584" s="0" t="n">
        <f aca="false">IF(C2584&gt;1,IF(C2584&lt;99,VLOOKUP(C2584,'Babblefish-APUMA'!$A$1:$B$86,2),C2584),C2584)</f>
        <v>97</v>
      </c>
    </row>
    <row r="2585" customFormat="false" ht="12.75" hidden="false" customHeight="false" outlineLevel="0" collapsed="false">
      <c r="A2585" s="0" t="n">
        <f aca="false">B2585*1000+C2585</f>
        <v>42024</v>
      </c>
      <c r="B2585" s="0" t="n">
        <v>42</v>
      </c>
      <c r="C2585" s="0" t="n">
        <v>24</v>
      </c>
      <c r="D2585" s="0" t="n">
        <v>0</v>
      </c>
      <c r="E2585" s="0" t="n">
        <f aca="false">VLOOKUP(B2585,'Babblefish-APUMA'!$A$1:$B$86,2)</f>
        <v>92</v>
      </c>
      <c r="F2585" s="0" t="n">
        <f aca="false">IF(C2585&gt;1,IF(C2585&lt;99,VLOOKUP(C2585,'Babblefish-APUMA'!$A$1:$B$86,2),C2585),C2585)</f>
        <v>101</v>
      </c>
    </row>
    <row r="2586" customFormat="false" ht="12.75" hidden="false" customHeight="false" outlineLevel="0" collapsed="false">
      <c r="A2586" s="0" t="n">
        <f aca="false">B2586*1000+C2586</f>
        <v>42025</v>
      </c>
      <c r="B2586" s="0" t="n">
        <v>42</v>
      </c>
      <c r="C2586" s="0" t="n">
        <v>25</v>
      </c>
      <c r="D2586" s="0" t="n">
        <v>0</v>
      </c>
      <c r="E2586" s="0" t="n">
        <f aca="false">VLOOKUP(B2586,'Babblefish-APUMA'!$A$1:$B$86,2)</f>
        <v>92</v>
      </c>
      <c r="F2586" s="0" t="n">
        <f aca="false">IF(C2586&gt;1,IF(C2586&lt;99,VLOOKUP(C2586,'Babblefish-APUMA'!$A$1:$B$86,2),C2586),C2586)</f>
        <v>101</v>
      </c>
    </row>
    <row r="2587" customFormat="false" ht="12.75" hidden="false" customHeight="false" outlineLevel="0" collapsed="false">
      <c r="A2587" s="0" t="n">
        <f aca="false">B2587*1000+C2587</f>
        <v>42026</v>
      </c>
      <c r="B2587" s="0" t="n">
        <v>42</v>
      </c>
      <c r="C2587" s="0" t="n">
        <v>26</v>
      </c>
      <c r="D2587" s="0" t="n">
        <v>0</v>
      </c>
      <c r="E2587" s="0" t="n">
        <f aca="false">VLOOKUP(B2587,'Babblefish-APUMA'!$A$1:$B$86,2)</f>
        <v>92</v>
      </c>
      <c r="F2587" s="0" t="n">
        <f aca="false">IF(C2587&gt;1,IF(C2587&lt;99,VLOOKUP(C2587,'Babblefish-APUMA'!$A$1:$B$86,2),C2587),C2587)</f>
        <v>26</v>
      </c>
    </row>
    <row r="2588" customFormat="false" ht="12.75" hidden="false" customHeight="false" outlineLevel="0" collapsed="false">
      <c r="A2588" s="0" t="n">
        <f aca="false">B2588*1000+C2588</f>
        <v>42027</v>
      </c>
      <c r="B2588" s="0" t="n">
        <v>42</v>
      </c>
      <c r="C2588" s="0" t="n">
        <v>27</v>
      </c>
      <c r="D2588" s="0" t="n">
        <v>0</v>
      </c>
      <c r="E2588" s="0" t="n">
        <f aca="false">VLOOKUP(B2588,'Babblefish-APUMA'!$A$1:$B$86,2)</f>
        <v>92</v>
      </c>
      <c r="F2588" s="0" t="n">
        <f aca="false">IF(C2588&gt;1,IF(C2588&lt;99,VLOOKUP(C2588,'Babblefish-APUMA'!$A$1:$B$86,2),C2588),C2588)</f>
        <v>27</v>
      </c>
    </row>
    <row r="2589" customFormat="false" ht="12.75" hidden="false" customHeight="false" outlineLevel="0" collapsed="false">
      <c r="A2589" s="0" t="n">
        <f aca="false">B2589*1000+C2589</f>
        <v>42028</v>
      </c>
      <c r="B2589" s="0" t="n">
        <v>42</v>
      </c>
      <c r="C2589" s="0" t="n">
        <v>28</v>
      </c>
      <c r="D2589" s="0" t="n">
        <v>0</v>
      </c>
      <c r="E2589" s="0" t="n">
        <f aca="false">VLOOKUP(B2589,'Babblefish-APUMA'!$A$1:$B$86,2)</f>
        <v>92</v>
      </c>
      <c r="F2589" s="0" t="n">
        <f aca="false">IF(C2589&gt;1,IF(C2589&lt;99,VLOOKUP(C2589,'Babblefish-APUMA'!$A$1:$B$86,2),C2589),C2589)</f>
        <v>94</v>
      </c>
    </row>
    <row r="2590" customFormat="false" ht="12.75" hidden="false" customHeight="false" outlineLevel="0" collapsed="false">
      <c r="A2590" s="0" t="n">
        <f aca="false">B2590*1000+C2590</f>
        <v>42029</v>
      </c>
      <c r="B2590" s="0" t="n">
        <v>42</v>
      </c>
      <c r="C2590" s="0" t="n">
        <v>29</v>
      </c>
      <c r="D2590" s="0" t="n">
        <v>65</v>
      </c>
      <c r="E2590" s="0" t="n">
        <f aca="false">VLOOKUP(B2590,'Babblefish-APUMA'!$A$1:$B$86,2)</f>
        <v>92</v>
      </c>
      <c r="F2590" s="0" t="n">
        <f aca="false">IF(C2590&gt;1,IF(C2590&lt;99,VLOOKUP(C2590,'Babblefish-APUMA'!$A$1:$B$86,2),C2590),C2590)</f>
        <v>94</v>
      </c>
    </row>
    <row r="2591" customFormat="false" ht="12.75" hidden="false" customHeight="false" outlineLevel="0" collapsed="false">
      <c r="A2591" s="0" t="n">
        <f aca="false">B2591*1000+C2591</f>
        <v>42030</v>
      </c>
      <c r="B2591" s="0" t="n">
        <v>42</v>
      </c>
      <c r="C2591" s="0" t="n">
        <v>30</v>
      </c>
      <c r="D2591" s="0" t="n">
        <v>0</v>
      </c>
      <c r="E2591" s="0" t="n">
        <f aca="false">VLOOKUP(B2591,'Babblefish-APUMA'!$A$1:$B$86,2)</f>
        <v>92</v>
      </c>
      <c r="F2591" s="0" t="n">
        <f aca="false">IF(C2591&gt;1,IF(C2591&lt;99,VLOOKUP(C2591,'Babblefish-APUMA'!$A$1:$B$86,2),C2591),C2591)</f>
        <v>30</v>
      </c>
    </row>
    <row r="2592" customFormat="false" ht="12.75" hidden="false" customHeight="false" outlineLevel="0" collapsed="false">
      <c r="A2592" s="0" t="n">
        <f aca="false">B2592*1000+C2592</f>
        <v>42031</v>
      </c>
      <c r="B2592" s="0" t="n">
        <v>42</v>
      </c>
      <c r="C2592" s="0" t="n">
        <v>31</v>
      </c>
      <c r="D2592" s="0" t="n">
        <v>0</v>
      </c>
      <c r="E2592" s="0" t="n">
        <f aca="false">VLOOKUP(B2592,'Babblefish-APUMA'!$A$1:$B$86,2)</f>
        <v>92</v>
      </c>
      <c r="F2592" s="0" t="n">
        <f aca="false">IF(C2592&gt;1,IF(C2592&lt;99,VLOOKUP(C2592,'Babblefish-APUMA'!$A$1:$B$86,2),C2592),C2592)</f>
        <v>31</v>
      </c>
    </row>
    <row r="2593" customFormat="false" ht="12.75" hidden="false" customHeight="false" outlineLevel="0" collapsed="false">
      <c r="A2593" s="0" t="n">
        <f aca="false">B2593*1000+C2593</f>
        <v>42032</v>
      </c>
      <c r="B2593" s="0" t="n">
        <v>42</v>
      </c>
      <c r="C2593" s="0" t="n">
        <v>32</v>
      </c>
      <c r="D2593" s="0" t="n">
        <v>0</v>
      </c>
      <c r="E2593" s="0" t="n">
        <f aca="false">VLOOKUP(B2593,'Babblefish-APUMA'!$A$1:$B$86,2)</f>
        <v>92</v>
      </c>
      <c r="F2593" s="0" t="n">
        <f aca="false">IF(C2593&gt;1,IF(C2593&lt;99,VLOOKUP(C2593,'Babblefish-APUMA'!$A$1:$B$86,2),C2593),C2593)</f>
        <v>32</v>
      </c>
    </row>
    <row r="2594" customFormat="false" ht="12.75" hidden="false" customHeight="false" outlineLevel="0" collapsed="false">
      <c r="A2594" s="0" t="n">
        <f aca="false">B2594*1000+C2594</f>
        <v>42033</v>
      </c>
      <c r="B2594" s="0" t="n">
        <v>42</v>
      </c>
      <c r="C2594" s="0" t="n">
        <v>33</v>
      </c>
      <c r="D2594" s="0" t="n">
        <v>91</v>
      </c>
      <c r="E2594" s="0" t="n">
        <f aca="false">VLOOKUP(B2594,'Babblefish-APUMA'!$A$1:$B$86,2)</f>
        <v>92</v>
      </c>
      <c r="F2594" s="0" t="n">
        <f aca="false">IF(C2594&gt;1,IF(C2594&lt;99,VLOOKUP(C2594,'Babblefish-APUMA'!$A$1:$B$86,2),C2594),C2594)</f>
        <v>96</v>
      </c>
    </row>
    <row r="2595" customFormat="false" ht="12.75" hidden="false" customHeight="false" outlineLevel="0" collapsed="false">
      <c r="A2595" s="0" t="n">
        <f aca="false">B2595*1000+C2595</f>
        <v>42034</v>
      </c>
      <c r="B2595" s="0" t="n">
        <v>42</v>
      </c>
      <c r="C2595" s="0" t="n">
        <v>34</v>
      </c>
      <c r="D2595" s="0" t="n">
        <v>0</v>
      </c>
      <c r="E2595" s="0" t="n">
        <f aca="false">VLOOKUP(B2595,'Babblefish-APUMA'!$A$1:$B$86,2)</f>
        <v>92</v>
      </c>
      <c r="F2595" s="0" t="n">
        <f aca="false">IF(C2595&gt;1,IF(C2595&lt;99,VLOOKUP(C2595,'Babblefish-APUMA'!$A$1:$B$86,2),C2595),C2595)</f>
        <v>96</v>
      </c>
    </row>
    <row r="2596" customFormat="false" ht="12.75" hidden="false" customHeight="false" outlineLevel="0" collapsed="false">
      <c r="A2596" s="0" t="n">
        <f aca="false">B2596*1000+C2596</f>
        <v>42035</v>
      </c>
      <c r="B2596" s="0" t="n">
        <v>42</v>
      </c>
      <c r="C2596" s="0" t="n">
        <v>35</v>
      </c>
      <c r="D2596" s="0" t="n">
        <v>0</v>
      </c>
      <c r="E2596" s="0" t="n">
        <f aca="false">VLOOKUP(B2596,'Babblefish-APUMA'!$A$1:$B$86,2)</f>
        <v>92</v>
      </c>
      <c r="F2596" s="0" t="n">
        <f aca="false">IF(C2596&gt;1,IF(C2596&lt;99,VLOOKUP(C2596,'Babblefish-APUMA'!$A$1:$B$86,2),C2596),C2596)</f>
        <v>96</v>
      </c>
    </row>
    <row r="2597" customFormat="false" ht="12.75" hidden="false" customHeight="false" outlineLevel="0" collapsed="false">
      <c r="A2597" s="0" t="n">
        <f aca="false">B2597*1000+C2597</f>
        <v>42036</v>
      </c>
      <c r="B2597" s="0" t="n">
        <v>42</v>
      </c>
      <c r="C2597" s="0" t="n">
        <v>36</v>
      </c>
      <c r="D2597" s="0" t="n">
        <v>0</v>
      </c>
      <c r="E2597" s="0" t="n">
        <f aca="false">VLOOKUP(B2597,'Babblefish-APUMA'!$A$1:$B$86,2)</f>
        <v>92</v>
      </c>
      <c r="F2597" s="0" t="n">
        <f aca="false">IF(C2597&gt;1,IF(C2597&lt;99,VLOOKUP(C2597,'Babblefish-APUMA'!$A$1:$B$86,2),C2597),C2597)</f>
        <v>96</v>
      </c>
    </row>
    <row r="2598" customFormat="false" ht="12.75" hidden="false" customHeight="false" outlineLevel="0" collapsed="false">
      <c r="A2598" s="0" t="n">
        <f aca="false">B2598*1000+C2598</f>
        <v>42037</v>
      </c>
      <c r="B2598" s="0" t="n">
        <v>42</v>
      </c>
      <c r="C2598" s="0" t="n">
        <v>37</v>
      </c>
      <c r="D2598" s="0" t="n">
        <v>0</v>
      </c>
      <c r="E2598" s="0" t="n">
        <f aca="false">VLOOKUP(B2598,'Babblefish-APUMA'!$A$1:$B$86,2)</f>
        <v>92</v>
      </c>
      <c r="F2598" s="0" t="n">
        <f aca="false">IF(C2598&gt;1,IF(C2598&lt;99,VLOOKUP(C2598,'Babblefish-APUMA'!$A$1:$B$86,2),C2598),C2598)</f>
        <v>96</v>
      </c>
    </row>
    <row r="2599" customFormat="false" ht="12.75" hidden="false" customHeight="false" outlineLevel="0" collapsed="false">
      <c r="A2599" s="0" t="n">
        <f aca="false">B2599*1000+C2599</f>
        <v>42038</v>
      </c>
      <c r="B2599" s="0" t="n">
        <v>42</v>
      </c>
      <c r="C2599" s="0" t="n">
        <v>38</v>
      </c>
      <c r="D2599" s="0" t="n">
        <v>0</v>
      </c>
      <c r="E2599" s="0" t="n">
        <f aca="false">VLOOKUP(B2599,'Babblefish-APUMA'!$A$1:$B$86,2)</f>
        <v>92</v>
      </c>
      <c r="F2599" s="0" t="n">
        <f aca="false">IF(C2599&gt;1,IF(C2599&lt;99,VLOOKUP(C2599,'Babblefish-APUMA'!$A$1:$B$86,2),C2599),C2599)</f>
        <v>91</v>
      </c>
    </row>
    <row r="2600" customFormat="false" ht="12.75" hidden="false" customHeight="false" outlineLevel="0" collapsed="false">
      <c r="A2600" s="0" t="n">
        <f aca="false">B2600*1000+C2600</f>
        <v>42039</v>
      </c>
      <c r="B2600" s="0" t="n">
        <v>42</v>
      </c>
      <c r="C2600" s="0" t="n">
        <v>39</v>
      </c>
      <c r="D2600" s="0" t="n">
        <v>0</v>
      </c>
      <c r="E2600" s="0" t="n">
        <f aca="false">VLOOKUP(B2600,'Babblefish-APUMA'!$A$1:$B$86,2)</f>
        <v>92</v>
      </c>
      <c r="F2600" s="0" t="n">
        <f aca="false">IF(C2600&gt;1,IF(C2600&lt;99,VLOOKUP(C2600,'Babblefish-APUMA'!$A$1:$B$86,2),C2600),C2600)</f>
        <v>91</v>
      </c>
    </row>
    <row r="2601" customFormat="false" ht="12.75" hidden="false" customHeight="false" outlineLevel="0" collapsed="false">
      <c r="A2601" s="0" t="n">
        <f aca="false">B2601*1000+C2601</f>
        <v>42040</v>
      </c>
      <c r="B2601" s="0" t="n">
        <v>42</v>
      </c>
      <c r="C2601" s="0" t="n">
        <v>40</v>
      </c>
      <c r="D2601" s="0" t="n">
        <v>65</v>
      </c>
      <c r="E2601" s="0" t="n">
        <f aca="false">VLOOKUP(B2601,'Babblefish-APUMA'!$A$1:$B$86,2)</f>
        <v>92</v>
      </c>
      <c r="F2601" s="0" t="n">
        <f aca="false">IF(C2601&gt;1,IF(C2601&lt;99,VLOOKUP(C2601,'Babblefish-APUMA'!$A$1:$B$86,2),C2601),C2601)</f>
        <v>88</v>
      </c>
    </row>
    <row r="2602" customFormat="false" ht="12.75" hidden="false" customHeight="false" outlineLevel="0" collapsed="false">
      <c r="A2602" s="0" t="n">
        <f aca="false">B2602*1000+C2602</f>
        <v>42041</v>
      </c>
      <c r="B2602" s="0" t="n">
        <v>42</v>
      </c>
      <c r="C2602" s="0" t="n">
        <v>41</v>
      </c>
      <c r="D2602" s="0" t="n">
        <v>0</v>
      </c>
      <c r="E2602" s="0" t="n">
        <f aca="false">VLOOKUP(B2602,'Babblefish-APUMA'!$A$1:$B$86,2)</f>
        <v>92</v>
      </c>
      <c r="F2602" s="0" t="n">
        <f aca="false">IF(C2602&gt;1,IF(C2602&lt;99,VLOOKUP(C2602,'Babblefish-APUMA'!$A$1:$B$86,2),C2602),C2602)</f>
        <v>88</v>
      </c>
    </row>
    <row r="2603" customFormat="false" ht="12.75" hidden="false" customHeight="false" outlineLevel="0" collapsed="false">
      <c r="A2603" s="0" t="n">
        <f aca="false">B2603*1000+C2603</f>
        <v>42042</v>
      </c>
      <c r="B2603" s="0" t="n">
        <v>42</v>
      </c>
      <c r="C2603" s="0" t="n">
        <v>42</v>
      </c>
      <c r="D2603" s="0" t="n">
        <v>43914</v>
      </c>
      <c r="E2603" s="0" t="n">
        <f aca="false">VLOOKUP(B2603,'Babblefish-APUMA'!$A$1:$B$86,2)</f>
        <v>92</v>
      </c>
      <c r="F2603" s="0" t="n">
        <f aca="false">IF(C2603&gt;1,IF(C2603&lt;99,VLOOKUP(C2603,'Babblefish-APUMA'!$A$1:$B$86,2),C2603),C2603)</f>
        <v>92</v>
      </c>
    </row>
    <row r="2604" customFormat="false" ht="12.75" hidden="false" customHeight="false" outlineLevel="0" collapsed="false">
      <c r="A2604" s="0" t="n">
        <f aca="false">B2604*1000+C2604</f>
        <v>42043</v>
      </c>
      <c r="B2604" s="0" t="n">
        <v>42</v>
      </c>
      <c r="C2604" s="0" t="n">
        <v>43</v>
      </c>
      <c r="D2604" s="0" t="n">
        <v>1937</v>
      </c>
      <c r="E2604" s="0" t="n">
        <f aca="false">VLOOKUP(B2604,'Babblefish-APUMA'!$A$1:$B$86,2)</f>
        <v>92</v>
      </c>
      <c r="F2604" s="0" t="n">
        <f aca="false">IF(C2604&gt;1,IF(C2604&lt;99,VLOOKUP(C2604,'Babblefish-APUMA'!$A$1:$B$86,2),C2604),C2604)</f>
        <v>92</v>
      </c>
    </row>
    <row r="2605" customFormat="false" ht="12.75" hidden="false" customHeight="false" outlineLevel="0" collapsed="false">
      <c r="A2605" s="0" t="n">
        <f aca="false">B2605*1000+C2605</f>
        <v>42044</v>
      </c>
      <c r="B2605" s="0" t="n">
        <v>42</v>
      </c>
      <c r="C2605" s="0" t="n">
        <v>44</v>
      </c>
      <c r="D2605" s="0" t="n">
        <v>3588</v>
      </c>
      <c r="E2605" s="0" t="n">
        <f aca="false">VLOOKUP(B2605,'Babblefish-APUMA'!$A$1:$B$86,2)</f>
        <v>92</v>
      </c>
      <c r="F2605" s="0" t="n">
        <f aca="false">IF(C2605&gt;1,IF(C2605&lt;99,VLOOKUP(C2605,'Babblefish-APUMA'!$A$1:$B$86,2),C2605),C2605)</f>
        <v>92</v>
      </c>
    </row>
    <row r="2606" customFormat="false" ht="12.75" hidden="false" customHeight="false" outlineLevel="0" collapsed="false">
      <c r="A2606" s="0" t="n">
        <f aca="false">B2606*1000+C2606</f>
        <v>42045</v>
      </c>
      <c r="B2606" s="0" t="n">
        <v>42</v>
      </c>
      <c r="C2606" s="0" t="n">
        <v>45</v>
      </c>
      <c r="D2606" s="0" t="n">
        <v>1937</v>
      </c>
      <c r="E2606" s="0" t="n">
        <f aca="false">VLOOKUP(B2606,'Babblefish-APUMA'!$A$1:$B$86,2)</f>
        <v>92</v>
      </c>
      <c r="F2606" s="0" t="n">
        <f aca="false">IF(C2606&gt;1,IF(C2606&lt;99,VLOOKUP(C2606,'Babblefish-APUMA'!$A$1:$B$86,2),C2606),C2606)</f>
        <v>92</v>
      </c>
    </row>
    <row r="2607" customFormat="false" ht="12.75" hidden="false" customHeight="false" outlineLevel="0" collapsed="false">
      <c r="A2607" s="0" t="n">
        <f aca="false">B2607*1000+C2607</f>
        <v>42046</v>
      </c>
      <c r="B2607" s="0" t="n">
        <v>42</v>
      </c>
      <c r="C2607" s="0" t="n">
        <v>46</v>
      </c>
      <c r="D2607" s="0" t="n">
        <v>4199</v>
      </c>
      <c r="E2607" s="0" t="n">
        <f aca="false">VLOOKUP(B2607,'Babblefish-APUMA'!$A$1:$B$86,2)</f>
        <v>92</v>
      </c>
      <c r="F2607" s="0" t="n">
        <f aca="false">IF(C2607&gt;1,IF(C2607&lt;99,VLOOKUP(C2607,'Babblefish-APUMA'!$A$1:$B$86,2),C2607),C2607)</f>
        <v>92</v>
      </c>
    </row>
    <row r="2608" customFormat="false" ht="12.75" hidden="false" customHeight="false" outlineLevel="0" collapsed="false">
      <c r="A2608" s="0" t="n">
        <f aca="false">B2608*1000+C2608</f>
        <v>42047</v>
      </c>
      <c r="B2608" s="0" t="n">
        <v>42</v>
      </c>
      <c r="C2608" s="0" t="n">
        <v>47</v>
      </c>
      <c r="D2608" s="0" t="n">
        <v>3653</v>
      </c>
      <c r="E2608" s="0" t="n">
        <f aca="false">VLOOKUP(B2608,'Babblefish-APUMA'!$A$1:$B$86,2)</f>
        <v>92</v>
      </c>
      <c r="F2608" s="0" t="n">
        <f aca="false">IF(C2608&gt;1,IF(C2608&lt;99,VLOOKUP(C2608,'Babblefish-APUMA'!$A$1:$B$86,2),C2608),C2608)</f>
        <v>92</v>
      </c>
    </row>
    <row r="2609" customFormat="false" ht="12.75" hidden="false" customHeight="false" outlineLevel="0" collapsed="false">
      <c r="A2609" s="0" t="n">
        <f aca="false">B2609*1000+C2609</f>
        <v>42048</v>
      </c>
      <c r="B2609" s="0" t="n">
        <v>42</v>
      </c>
      <c r="C2609" s="0" t="n">
        <v>48</v>
      </c>
      <c r="D2609" s="0" t="n">
        <v>65169</v>
      </c>
      <c r="E2609" s="0" t="n">
        <f aca="false">VLOOKUP(B2609,'Babblefish-APUMA'!$A$1:$B$86,2)</f>
        <v>92</v>
      </c>
      <c r="F2609" s="0" t="n">
        <f aca="false">IF(C2609&gt;1,IF(C2609&lt;99,VLOOKUP(C2609,'Babblefish-APUMA'!$A$1:$B$86,2),C2609),C2609)</f>
        <v>92</v>
      </c>
    </row>
    <row r="2610" customFormat="false" ht="12.75" hidden="false" customHeight="false" outlineLevel="0" collapsed="false">
      <c r="A2610" s="0" t="n">
        <f aca="false">B2610*1000+C2610</f>
        <v>42049</v>
      </c>
      <c r="B2610" s="0" t="n">
        <v>42</v>
      </c>
      <c r="C2610" s="0" t="n">
        <v>49</v>
      </c>
      <c r="D2610" s="0" t="n">
        <v>0</v>
      </c>
      <c r="E2610" s="0" t="n">
        <f aca="false">VLOOKUP(B2610,'Babblefish-APUMA'!$A$1:$B$86,2)</f>
        <v>92</v>
      </c>
      <c r="F2610" s="0" t="n">
        <f aca="false">IF(C2610&gt;1,IF(C2610&lt;99,VLOOKUP(C2610,'Babblefish-APUMA'!$A$1:$B$86,2),C2610),C2610)</f>
        <v>98</v>
      </c>
    </row>
    <row r="2611" customFormat="false" ht="12.75" hidden="false" customHeight="false" outlineLevel="0" collapsed="false">
      <c r="A2611" s="0" t="n">
        <f aca="false">B2611*1000+C2611</f>
        <v>42050</v>
      </c>
      <c r="B2611" s="0" t="n">
        <v>42</v>
      </c>
      <c r="C2611" s="0" t="n">
        <v>50</v>
      </c>
      <c r="D2611" s="0" t="n">
        <v>182</v>
      </c>
      <c r="E2611" s="0" t="n">
        <f aca="false">VLOOKUP(B2611,'Babblefish-APUMA'!$A$1:$B$86,2)</f>
        <v>92</v>
      </c>
      <c r="F2611" s="0" t="n">
        <f aca="false">IF(C2611&gt;1,IF(C2611&lt;99,VLOOKUP(C2611,'Babblefish-APUMA'!$A$1:$B$86,2),C2611),C2611)</f>
        <v>98</v>
      </c>
    </row>
    <row r="2612" customFormat="false" ht="12.75" hidden="false" customHeight="false" outlineLevel="0" collapsed="false">
      <c r="A2612" s="0" t="n">
        <f aca="false">B2612*1000+C2612</f>
        <v>42051</v>
      </c>
      <c r="B2612" s="0" t="n">
        <v>42</v>
      </c>
      <c r="C2612" s="0" t="n">
        <v>51</v>
      </c>
      <c r="D2612" s="0" t="n">
        <v>0</v>
      </c>
      <c r="E2612" s="0" t="n">
        <f aca="false">VLOOKUP(B2612,'Babblefish-APUMA'!$A$1:$B$86,2)</f>
        <v>92</v>
      </c>
      <c r="F2612" s="0" t="n">
        <f aca="false">IF(C2612&gt;1,IF(C2612&lt;99,VLOOKUP(C2612,'Babblefish-APUMA'!$A$1:$B$86,2),C2612),C2612)</f>
        <v>98</v>
      </c>
    </row>
    <row r="2613" customFormat="false" ht="12.75" hidden="false" customHeight="false" outlineLevel="0" collapsed="false">
      <c r="A2613" s="0" t="n">
        <f aca="false">B2613*1000+C2613</f>
        <v>42052</v>
      </c>
      <c r="B2613" s="0" t="n">
        <v>42</v>
      </c>
      <c r="C2613" s="0" t="n">
        <v>52</v>
      </c>
      <c r="D2613" s="0" t="n">
        <v>0</v>
      </c>
      <c r="E2613" s="0" t="n">
        <f aca="false">VLOOKUP(B2613,'Babblefish-APUMA'!$A$1:$B$86,2)</f>
        <v>92</v>
      </c>
      <c r="F2613" s="0" t="n">
        <f aca="false">IF(C2613&gt;1,IF(C2613&lt;99,VLOOKUP(C2613,'Babblefish-APUMA'!$A$1:$B$86,2),C2613),C2613)</f>
        <v>90</v>
      </c>
    </row>
    <row r="2614" customFormat="false" ht="12.75" hidden="false" customHeight="false" outlineLevel="0" collapsed="false">
      <c r="A2614" s="0" t="n">
        <f aca="false">B2614*1000+C2614</f>
        <v>42053</v>
      </c>
      <c r="B2614" s="0" t="n">
        <v>42</v>
      </c>
      <c r="C2614" s="0" t="n">
        <v>53</v>
      </c>
      <c r="D2614" s="0" t="n">
        <v>117</v>
      </c>
      <c r="E2614" s="0" t="n">
        <f aca="false">VLOOKUP(B2614,'Babblefish-APUMA'!$A$1:$B$86,2)</f>
        <v>92</v>
      </c>
      <c r="F2614" s="0" t="n">
        <f aca="false">IF(C2614&gt;1,IF(C2614&lt;99,VLOOKUP(C2614,'Babblefish-APUMA'!$A$1:$B$86,2),C2614),C2614)</f>
        <v>90</v>
      </c>
    </row>
    <row r="2615" customFormat="false" ht="12.75" hidden="false" customHeight="false" outlineLevel="0" collapsed="false">
      <c r="A2615" s="0" t="n">
        <f aca="false">B2615*1000+C2615</f>
        <v>42054</v>
      </c>
      <c r="B2615" s="0" t="n">
        <v>42</v>
      </c>
      <c r="C2615" s="0" t="n">
        <v>54</v>
      </c>
      <c r="D2615" s="0" t="n">
        <v>0</v>
      </c>
      <c r="E2615" s="0" t="n">
        <f aca="false">VLOOKUP(B2615,'Babblefish-APUMA'!$A$1:$B$86,2)</f>
        <v>92</v>
      </c>
      <c r="F2615" s="0" t="n">
        <f aca="false">IF(C2615&gt;1,IF(C2615&lt;99,VLOOKUP(C2615,'Babblefish-APUMA'!$A$1:$B$86,2),C2615),C2615)</f>
        <v>90</v>
      </c>
    </row>
    <row r="2616" customFormat="false" ht="12.75" hidden="false" customHeight="false" outlineLevel="0" collapsed="false">
      <c r="A2616" s="0" t="n">
        <f aca="false">B2616*1000+C2616</f>
        <v>42055</v>
      </c>
      <c r="B2616" s="0" t="n">
        <v>42</v>
      </c>
      <c r="C2616" s="0" t="n">
        <v>55</v>
      </c>
      <c r="D2616" s="0" t="n">
        <v>0</v>
      </c>
      <c r="E2616" s="0" t="n">
        <f aca="false">VLOOKUP(B2616,'Babblefish-APUMA'!$A$1:$B$86,2)</f>
        <v>92</v>
      </c>
      <c r="F2616" s="0" t="n">
        <f aca="false">IF(C2616&gt;1,IF(C2616&lt;99,VLOOKUP(C2616,'Babblefish-APUMA'!$A$1:$B$86,2),C2616),C2616)</f>
        <v>90</v>
      </c>
    </row>
    <row r="2617" customFormat="false" ht="12.75" hidden="false" customHeight="false" outlineLevel="0" collapsed="false">
      <c r="A2617" s="0" t="n">
        <f aca="false">B2617*1000+C2617</f>
        <v>42056</v>
      </c>
      <c r="B2617" s="0" t="n">
        <v>42</v>
      </c>
      <c r="C2617" s="0" t="n">
        <v>56</v>
      </c>
      <c r="D2617" s="0" t="n">
        <v>221</v>
      </c>
      <c r="E2617" s="0" t="n">
        <f aca="false">VLOOKUP(B2617,'Babblefish-APUMA'!$A$1:$B$86,2)</f>
        <v>92</v>
      </c>
      <c r="F2617" s="0" t="n">
        <f aca="false">IF(C2617&gt;1,IF(C2617&lt;99,VLOOKUP(C2617,'Babblefish-APUMA'!$A$1:$B$86,2),C2617),C2617)</f>
        <v>90</v>
      </c>
    </row>
    <row r="2618" customFormat="false" ht="12.75" hidden="false" customHeight="false" outlineLevel="0" collapsed="false">
      <c r="A2618" s="0" t="n">
        <f aca="false">B2618*1000+C2618</f>
        <v>42057</v>
      </c>
      <c r="B2618" s="0" t="n">
        <v>42</v>
      </c>
      <c r="C2618" s="0" t="n">
        <v>57</v>
      </c>
      <c r="D2618" s="0" t="n">
        <v>0</v>
      </c>
      <c r="E2618" s="0" t="n">
        <f aca="false">VLOOKUP(B2618,'Babblefish-APUMA'!$A$1:$B$86,2)</f>
        <v>92</v>
      </c>
      <c r="F2618" s="0" t="n">
        <f aca="false">IF(C2618&gt;1,IF(C2618&lt;99,VLOOKUP(C2618,'Babblefish-APUMA'!$A$1:$B$86,2),C2618),C2618)</f>
        <v>90</v>
      </c>
    </row>
    <row r="2619" customFormat="false" ht="12.75" hidden="false" customHeight="false" outlineLevel="0" collapsed="false">
      <c r="A2619" s="0" t="n">
        <f aca="false">B2619*1000+C2619</f>
        <v>42059</v>
      </c>
      <c r="B2619" s="0" t="n">
        <v>42</v>
      </c>
      <c r="C2619" s="0" t="n">
        <v>59</v>
      </c>
      <c r="D2619" s="0" t="n">
        <v>0</v>
      </c>
      <c r="E2619" s="0" t="n">
        <f aca="false">VLOOKUP(B2619,'Babblefish-APUMA'!$A$1:$B$86,2)</f>
        <v>92</v>
      </c>
      <c r="F2619" s="0" t="n">
        <f aca="false">IF(C2619&gt;1,IF(C2619&lt;99,VLOOKUP(C2619,'Babblefish-APUMA'!$A$1:$B$86,2),C2619),C2619)</f>
        <v>90</v>
      </c>
    </row>
    <row r="2620" customFormat="false" ht="12.75" hidden="false" customHeight="false" outlineLevel="0" collapsed="false">
      <c r="A2620" s="0" t="n">
        <f aca="false">B2620*1000+C2620</f>
        <v>42060</v>
      </c>
      <c r="B2620" s="0" t="n">
        <v>42</v>
      </c>
      <c r="C2620" s="0" t="n">
        <v>60</v>
      </c>
      <c r="D2620" s="0" t="n">
        <v>260</v>
      </c>
      <c r="E2620" s="0" t="n">
        <f aca="false">VLOOKUP(B2620,'Babblefish-APUMA'!$A$1:$B$86,2)</f>
        <v>92</v>
      </c>
      <c r="F2620" s="0" t="n">
        <f aca="false">IF(C2620&gt;1,IF(C2620&lt;99,VLOOKUP(C2620,'Babblefish-APUMA'!$A$1:$B$86,2),C2620),C2620)</f>
        <v>90</v>
      </c>
    </row>
    <row r="2621" customFormat="false" ht="12.75" hidden="false" customHeight="false" outlineLevel="0" collapsed="false">
      <c r="A2621" s="0" t="n">
        <f aca="false">B2621*1000+C2621</f>
        <v>42061</v>
      </c>
      <c r="B2621" s="0" t="n">
        <v>42</v>
      </c>
      <c r="C2621" s="0" t="n">
        <v>61</v>
      </c>
      <c r="D2621" s="0" t="n">
        <v>91</v>
      </c>
      <c r="E2621" s="0" t="n">
        <f aca="false">VLOOKUP(B2621,'Babblefish-APUMA'!$A$1:$B$86,2)</f>
        <v>92</v>
      </c>
      <c r="F2621" s="0" t="n">
        <f aca="false">IF(C2621&gt;1,IF(C2621&lt;99,VLOOKUP(C2621,'Babblefish-APUMA'!$A$1:$B$86,2),C2621),C2621)</f>
        <v>90</v>
      </c>
    </row>
    <row r="2622" customFormat="false" ht="12.75" hidden="false" customHeight="false" outlineLevel="0" collapsed="false">
      <c r="A2622" s="0" t="n">
        <f aca="false">B2622*1000+C2622</f>
        <v>42062</v>
      </c>
      <c r="B2622" s="0" t="n">
        <v>42</v>
      </c>
      <c r="C2622" s="0" t="n">
        <v>62</v>
      </c>
      <c r="D2622" s="0" t="n">
        <v>416</v>
      </c>
      <c r="E2622" s="0" t="n">
        <f aca="false">VLOOKUP(B2622,'Babblefish-APUMA'!$A$1:$B$86,2)</f>
        <v>92</v>
      </c>
      <c r="F2622" s="0" t="n">
        <f aca="false">IF(C2622&gt;1,IF(C2622&lt;99,VLOOKUP(C2622,'Babblefish-APUMA'!$A$1:$B$86,2),C2622),C2622)</f>
        <v>90</v>
      </c>
    </row>
    <row r="2623" customFormat="false" ht="12.75" hidden="false" customHeight="false" outlineLevel="0" collapsed="false">
      <c r="A2623" s="0" t="n">
        <f aca="false">B2623*1000+C2623</f>
        <v>42063</v>
      </c>
      <c r="B2623" s="0" t="n">
        <v>42</v>
      </c>
      <c r="C2623" s="0" t="n">
        <v>63</v>
      </c>
      <c r="D2623" s="0" t="n">
        <v>169</v>
      </c>
      <c r="E2623" s="0" t="n">
        <f aca="false">VLOOKUP(B2623,'Babblefish-APUMA'!$A$1:$B$86,2)</f>
        <v>92</v>
      </c>
      <c r="F2623" s="0" t="n">
        <f aca="false">IF(C2623&gt;1,IF(C2623&lt;99,VLOOKUP(C2623,'Babblefish-APUMA'!$A$1:$B$86,2),C2623),C2623)</f>
        <v>90</v>
      </c>
    </row>
    <row r="2624" customFormat="false" ht="12.75" hidden="false" customHeight="false" outlineLevel="0" collapsed="false">
      <c r="A2624" s="0" t="n">
        <f aca="false">B2624*1000+C2624</f>
        <v>42064</v>
      </c>
      <c r="B2624" s="0" t="n">
        <v>42</v>
      </c>
      <c r="C2624" s="0" t="n">
        <v>64</v>
      </c>
      <c r="D2624" s="0" t="n">
        <v>2509</v>
      </c>
      <c r="E2624" s="0" t="n">
        <f aca="false">VLOOKUP(B2624,'Babblefish-APUMA'!$A$1:$B$86,2)</f>
        <v>92</v>
      </c>
      <c r="F2624" s="0" t="n">
        <f aca="false">IF(C2624&gt;1,IF(C2624&lt;99,VLOOKUP(C2624,'Babblefish-APUMA'!$A$1:$B$86,2),C2624),C2624)</f>
        <v>90</v>
      </c>
    </row>
    <row r="2625" customFormat="false" ht="12.75" hidden="false" customHeight="false" outlineLevel="0" collapsed="false">
      <c r="A2625" s="0" t="n">
        <f aca="false">B2625*1000+C2625</f>
        <v>42065</v>
      </c>
      <c r="B2625" s="0" t="n">
        <v>42</v>
      </c>
      <c r="C2625" s="0" t="n">
        <v>65</v>
      </c>
      <c r="D2625" s="0" t="n">
        <v>975</v>
      </c>
      <c r="E2625" s="0" t="n">
        <f aca="false">VLOOKUP(B2625,'Babblefish-APUMA'!$A$1:$B$86,2)</f>
        <v>92</v>
      </c>
      <c r="F2625" s="0" t="n">
        <f aca="false">IF(C2625&gt;1,IF(C2625&lt;99,VLOOKUP(C2625,'Babblefish-APUMA'!$A$1:$B$86,2),C2625),C2625)</f>
        <v>90</v>
      </c>
    </row>
    <row r="2626" customFormat="false" ht="12.75" hidden="false" customHeight="false" outlineLevel="0" collapsed="false">
      <c r="A2626" s="0" t="n">
        <f aca="false">B2626*1000+C2626</f>
        <v>42066</v>
      </c>
      <c r="B2626" s="0" t="n">
        <v>42</v>
      </c>
      <c r="C2626" s="0" t="n">
        <v>66</v>
      </c>
      <c r="D2626" s="0" t="n">
        <v>1196</v>
      </c>
      <c r="E2626" s="0" t="n">
        <f aca="false">VLOOKUP(B2626,'Babblefish-APUMA'!$A$1:$B$86,2)</f>
        <v>92</v>
      </c>
      <c r="F2626" s="0" t="n">
        <f aca="false">IF(C2626&gt;1,IF(C2626&lt;99,VLOOKUP(C2626,'Babblefish-APUMA'!$A$1:$B$86,2),C2626),C2626)</f>
        <v>90</v>
      </c>
    </row>
    <row r="2627" customFormat="false" ht="12.75" hidden="false" customHeight="false" outlineLevel="0" collapsed="false">
      <c r="A2627" s="0" t="n">
        <f aca="false">B2627*1000+C2627</f>
        <v>42067</v>
      </c>
      <c r="B2627" s="0" t="n">
        <v>42</v>
      </c>
      <c r="C2627" s="0" t="n">
        <v>67</v>
      </c>
      <c r="D2627" s="0" t="n">
        <v>91</v>
      </c>
      <c r="E2627" s="0" t="n">
        <f aca="false">VLOOKUP(B2627,'Babblefish-APUMA'!$A$1:$B$86,2)</f>
        <v>92</v>
      </c>
      <c r="F2627" s="0" t="n">
        <f aca="false">IF(C2627&gt;1,IF(C2627&lt;99,VLOOKUP(C2627,'Babblefish-APUMA'!$A$1:$B$86,2),C2627),C2627)</f>
        <v>103</v>
      </c>
    </row>
    <row r="2628" customFormat="false" ht="12.75" hidden="false" customHeight="false" outlineLevel="0" collapsed="false">
      <c r="A2628" s="0" t="n">
        <f aca="false">B2628*1000+C2628</f>
        <v>42068</v>
      </c>
      <c r="B2628" s="0" t="n">
        <v>42</v>
      </c>
      <c r="C2628" s="0" t="n">
        <v>68</v>
      </c>
      <c r="D2628" s="0" t="n">
        <v>130</v>
      </c>
      <c r="E2628" s="0" t="n">
        <f aca="false">VLOOKUP(B2628,'Babblefish-APUMA'!$A$1:$B$86,2)</f>
        <v>92</v>
      </c>
      <c r="F2628" s="0" t="n">
        <f aca="false">IF(C2628&gt;1,IF(C2628&lt;99,VLOOKUP(C2628,'Babblefish-APUMA'!$A$1:$B$86,2),C2628),C2628)</f>
        <v>93</v>
      </c>
    </row>
    <row r="2629" customFormat="false" ht="12.75" hidden="false" customHeight="false" outlineLevel="0" collapsed="false">
      <c r="A2629" s="0" t="n">
        <f aca="false">B2629*1000+C2629</f>
        <v>42069</v>
      </c>
      <c r="B2629" s="0" t="n">
        <v>42</v>
      </c>
      <c r="C2629" s="0" t="n">
        <v>69</v>
      </c>
      <c r="D2629" s="0" t="n">
        <v>1274</v>
      </c>
      <c r="E2629" s="0" t="n">
        <f aca="false">VLOOKUP(B2629,'Babblefish-APUMA'!$A$1:$B$86,2)</f>
        <v>92</v>
      </c>
      <c r="F2629" s="0" t="n">
        <f aca="false">IF(C2629&gt;1,IF(C2629&lt;99,VLOOKUP(C2629,'Babblefish-APUMA'!$A$1:$B$86,2),C2629),C2629)</f>
        <v>93</v>
      </c>
    </row>
    <row r="2630" customFormat="false" ht="12.75" hidden="false" customHeight="false" outlineLevel="0" collapsed="false">
      <c r="A2630" s="0" t="n">
        <f aca="false">B2630*1000+C2630</f>
        <v>42071</v>
      </c>
      <c r="B2630" s="0" t="n">
        <v>42</v>
      </c>
      <c r="C2630" s="0" t="n">
        <v>71</v>
      </c>
      <c r="D2630" s="0" t="n">
        <v>0</v>
      </c>
      <c r="E2630" s="0" t="n">
        <f aca="false">VLOOKUP(B2630,'Babblefish-APUMA'!$A$1:$B$86,2)</f>
        <v>92</v>
      </c>
      <c r="F2630" s="0" t="n">
        <f aca="false">IF(C2630&gt;1,IF(C2630&lt;99,VLOOKUP(C2630,'Babblefish-APUMA'!$A$1:$B$86,2),C2630),C2630)</f>
        <v>95</v>
      </c>
    </row>
    <row r="2631" customFormat="false" ht="12.75" hidden="false" customHeight="false" outlineLevel="0" collapsed="false">
      <c r="A2631" s="0" t="n">
        <f aca="false">B2631*1000+C2631</f>
        <v>42072</v>
      </c>
      <c r="B2631" s="0" t="n">
        <v>42</v>
      </c>
      <c r="C2631" s="0" t="n">
        <v>72</v>
      </c>
      <c r="D2631" s="0" t="n">
        <v>299</v>
      </c>
      <c r="E2631" s="0" t="n">
        <f aca="false">VLOOKUP(B2631,'Babblefish-APUMA'!$A$1:$B$86,2)</f>
        <v>92</v>
      </c>
      <c r="F2631" s="0" t="n">
        <f aca="false">IF(C2631&gt;1,IF(C2631&lt;99,VLOOKUP(C2631,'Babblefish-APUMA'!$A$1:$B$86,2),C2631),C2631)</f>
        <v>95</v>
      </c>
    </row>
    <row r="2632" customFormat="false" ht="12.75" hidden="false" customHeight="false" outlineLevel="0" collapsed="false">
      <c r="A2632" s="0" t="n">
        <f aca="false">B2632*1000+C2632</f>
        <v>42073</v>
      </c>
      <c r="B2632" s="0" t="n">
        <v>42</v>
      </c>
      <c r="C2632" s="0" t="n">
        <v>73</v>
      </c>
      <c r="D2632" s="0" t="n">
        <v>0</v>
      </c>
      <c r="E2632" s="0" t="n">
        <f aca="false">VLOOKUP(B2632,'Babblefish-APUMA'!$A$1:$B$86,2)</f>
        <v>92</v>
      </c>
      <c r="F2632" s="0" t="n">
        <f aca="false">IF(C2632&gt;1,IF(C2632&lt;99,VLOOKUP(C2632,'Babblefish-APUMA'!$A$1:$B$86,2),C2632),C2632)</f>
        <v>99</v>
      </c>
    </row>
    <row r="2633" customFormat="false" ht="12.75" hidden="false" customHeight="false" outlineLevel="0" collapsed="false">
      <c r="A2633" s="0" t="n">
        <f aca="false">B2633*1000+C2633</f>
        <v>42075</v>
      </c>
      <c r="B2633" s="0" t="n">
        <v>42</v>
      </c>
      <c r="C2633" s="0" t="n">
        <v>75</v>
      </c>
      <c r="D2633" s="0" t="n">
        <v>0</v>
      </c>
      <c r="E2633" s="0" t="n">
        <f aca="false">VLOOKUP(B2633,'Babblefish-APUMA'!$A$1:$B$86,2)</f>
        <v>92</v>
      </c>
      <c r="F2633" s="0" t="n">
        <f aca="false">IF(C2633&gt;1,IF(C2633&lt;99,VLOOKUP(C2633,'Babblefish-APUMA'!$A$1:$B$86,2),C2633),C2633)</f>
        <v>75</v>
      </c>
    </row>
    <row r="2634" customFormat="false" ht="12.75" hidden="false" customHeight="false" outlineLevel="0" collapsed="false">
      <c r="A2634" s="0" t="n">
        <f aca="false">B2634*1000+C2634</f>
        <v>42076</v>
      </c>
      <c r="B2634" s="0" t="n">
        <v>42</v>
      </c>
      <c r="C2634" s="0" t="n">
        <v>76</v>
      </c>
      <c r="D2634" s="0" t="n">
        <v>0</v>
      </c>
      <c r="E2634" s="0" t="n">
        <f aca="false">VLOOKUP(B2634,'Babblefish-APUMA'!$A$1:$B$86,2)</f>
        <v>92</v>
      </c>
      <c r="F2634" s="0" t="n">
        <f aca="false">IF(C2634&gt;1,IF(C2634&lt;99,VLOOKUP(C2634,'Babblefish-APUMA'!$A$1:$B$86,2),C2634),C2634)</f>
        <v>76</v>
      </c>
    </row>
    <row r="2635" customFormat="false" ht="12.75" hidden="false" customHeight="false" outlineLevel="0" collapsed="false">
      <c r="A2635" s="0" t="n">
        <f aca="false">B2635*1000+C2635</f>
        <v>42077</v>
      </c>
      <c r="B2635" s="0" t="n">
        <v>42</v>
      </c>
      <c r="C2635" s="0" t="n">
        <v>77</v>
      </c>
      <c r="D2635" s="0" t="n">
        <v>104</v>
      </c>
      <c r="E2635" s="0" t="n">
        <f aca="false">VLOOKUP(B2635,'Babblefish-APUMA'!$A$1:$B$86,2)</f>
        <v>92</v>
      </c>
      <c r="F2635" s="0" t="n">
        <f aca="false">IF(C2635&gt;1,IF(C2635&lt;99,VLOOKUP(C2635,'Babblefish-APUMA'!$A$1:$B$86,2),C2635),C2635)</f>
        <v>77</v>
      </c>
    </row>
    <row r="2636" customFormat="false" ht="12.75" hidden="false" customHeight="false" outlineLevel="0" collapsed="false">
      <c r="A2636" s="0" t="n">
        <f aca="false">B2636*1000+C2636</f>
        <v>42079</v>
      </c>
      <c r="B2636" s="0" t="n">
        <v>42</v>
      </c>
      <c r="C2636" s="0" t="n">
        <v>79</v>
      </c>
      <c r="D2636" s="0" t="n">
        <v>0</v>
      </c>
      <c r="E2636" s="0" t="n">
        <f aca="false">VLOOKUP(B2636,'Babblefish-APUMA'!$A$1:$B$86,2)</f>
        <v>92</v>
      </c>
      <c r="F2636" s="0" t="n">
        <f aca="false">IF(C2636&gt;1,IF(C2636&lt;99,VLOOKUP(C2636,'Babblefish-APUMA'!$A$1:$B$86,2),C2636),C2636)</f>
        <v>89</v>
      </c>
    </row>
    <row r="2637" customFormat="false" ht="12.75" hidden="false" customHeight="false" outlineLevel="0" collapsed="false">
      <c r="A2637" s="0" t="n">
        <f aca="false">B2637*1000+C2637</f>
        <v>42080</v>
      </c>
      <c r="B2637" s="0" t="n">
        <v>42</v>
      </c>
      <c r="C2637" s="0" t="n">
        <v>80</v>
      </c>
      <c r="D2637" s="0" t="n">
        <v>195</v>
      </c>
      <c r="E2637" s="0" t="n">
        <f aca="false">VLOOKUP(B2637,'Babblefish-APUMA'!$A$1:$B$86,2)</f>
        <v>92</v>
      </c>
      <c r="F2637" s="0" t="n">
        <f aca="false">IF(C2637&gt;1,IF(C2637&lt;99,VLOOKUP(C2637,'Babblefish-APUMA'!$A$1:$B$86,2),C2637),C2637)</f>
        <v>80</v>
      </c>
    </row>
    <row r="2638" customFormat="false" ht="12.75" hidden="false" customHeight="false" outlineLevel="0" collapsed="false">
      <c r="A2638" s="0" t="n">
        <f aca="false">B2638*1000+C2638</f>
        <v>42081</v>
      </c>
      <c r="B2638" s="0" t="n">
        <v>42</v>
      </c>
      <c r="C2638" s="0" t="n">
        <v>81</v>
      </c>
      <c r="D2638" s="0" t="n">
        <v>481</v>
      </c>
      <c r="E2638" s="0" t="n">
        <f aca="false">VLOOKUP(B2638,'Babblefish-APUMA'!$A$1:$B$86,2)</f>
        <v>92</v>
      </c>
      <c r="F2638" s="0" t="n">
        <f aca="false">IF(C2638&gt;1,IF(C2638&lt;99,VLOOKUP(C2638,'Babblefish-APUMA'!$A$1:$B$86,2),C2638),C2638)</f>
        <v>93</v>
      </c>
    </row>
    <row r="2639" customFormat="false" ht="12.75" hidden="false" customHeight="false" outlineLevel="0" collapsed="false">
      <c r="A2639" s="0" t="n">
        <f aca="false">B2639*1000+C2639</f>
        <v>42082</v>
      </c>
      <c r="B2639" s="0" t="n">
        <v>42</v>
      </c>
      <c r="C2639" s="0" t="n">
        <v>82</v>
      </c>
      <c r="D2639" s="0" t="n">
        <v>0</v>
      </c>
      <c r="E2639" s="0" t="n">
        <f aca="false">VLOOKUP(B2639,'Babblefish-APUMA'!$A$1:$B$86,2)</f>
        <v>92</v>
      </c>
      <c r="F2639" s="0" t="n">
        <f aca="false">IF(C2639&gt;1,IF(C2639&lt;99,VLOOKUP(C2639,'Babblefish-APUMA'!$A$1:$B$86,2),C2639),C2639)</f>
        <v>95</v>
      </c>
    </row>
    <row r="2640" customFormat="false" ht="12.75" hidden="false" customHeight="false" outlineLevel="0" collapsed="false">
      <c r="A2640" s="0" t="n">
        <f aca="false">B2640*1000+C2640</f>
        <v>42083</v>
      </c>
      <c r="B2640" s="0" t="n">
        <v>42</v>
      </c>
      <c r="C2640" s="0" t="n">
        <v>83</v>
      </c>
      <c r="D2640" s="0" t="n">
        <v>0</v>
      </c>
      <c r="E2640" s="0" t="n">
        <f aca="false">VLOOKUP(B2640,'Babblefish-APUMA'!$A$1:$B$86,2)</f>
        <v>92</v>
      </c>
      <c r="F2640" s="0" t="n">
        <f aca="false">IF(C2640&gt;1,IF(C2640&lt;99,VLOOKUP(C2640,'Babblefish-APUMA'!$A$1:$B$86,2),C2640),C2640)</f>
        <v>103</v>
      </c>
    </row>
    <row r="2641" customFormat="false" ht="12.75" hidden="false" customHeight="false" outlineLevel="0" collapsed="false">
      <c r="A2641" s="0" t="n">
        <f aca="false">B2641*1000+C2641</f>
        <v>42084</v>
      </c>
      <c r="B2641" s="0" t="n">
        <v>42</v>
      </c>
      <c r="C2641" s="0" t="n">
        <v>84</v>
      </c>
      <c r="D2641" s="0" t="n">
        <v>6890</v>
      </c>
      <c r="E2641" s="0" t="n">
        <f aca="false">VLOOKUP(B2641,'Babblefish-APUMA'!$A$1:$B$86,2)</f>
        <v>92</v>
      </c>
      <c r="F2641" s="0" t="n">
        <f aca="false">IF(C2641&gt;1,IF(C2641&lt;99,VLOOKUP(C2641,'Babblefish-APUMA'!$A$1:$B$86,2),C2641),C2641)</f>
        <v>92</v>
      </c>
    </row>
    <row r="2642" customFormat="false" ht="12.75" hidden="false" customHeight="false" outlineLevel="0" collapsed="false">
      <c r="A2642" s="0" t="n">
        <f aca="false">B2642*1000+C2642</f>
        <v>42085</v>
      </c>
      <c r="B2642" s="0" t="n">
        <v>42</v>
      </c>
      <c r="C2642" s="0" t="n">
        <v>85</v>
      </c>
      <c r="D2642" s="0" t="n">
        <v>0</v>
      </c>
      <c r="E2642" s="0" t="n">
        <f aca="false">VLOOKUP(B2642,'Babblefish-APUMA'!$A$1:$B$86,2)</f>
        <v>92</v>
      </c>
      <c r="F2642" s="0" t="n">
        <f aca="false">IF(C2642&gt;1,IF(C2642&lt;99,VLOOKUP(C2642,'Babblefish-APUMA'!$A$1:$B$86,2),C2642),C2642)</f>
        <v>97</v>
      </c>
    </row>
    <row r="2643" customFormat="false" ht="12.75" hidden="false" customHeight="false" outlineLevel="0" collapsed="false">
      <c r="A2643" s="0" t="n">
        <f aca="false">B2643*1000+C2643</f>
        <v>42858</v>
      </c>
      <c r="B2643" s="0" t="n">
        <v>42</v>
      </c>
      <c r="C2643" s="0" t="n">
        <v>858</v>
      </c>
      <c r="D2643" s="0" t="n">
        <v>0</v>
      </c>
      <c r="E2643" s="0" t="n">
        <f aca="false">VLOOKUP(B2643,'Babblefish-APUMA'!$A$1:$B$86,2)</f>
        <v>92</v>
      </c>
      <c r="F2643" s="0" t="n">
        <f aca="false">IF(C2643&gt;1,IF(C2643&lt;99,VLOOKUP(C2643,'Babblefish-APUMA'!$A$1:$B$86,2),C2643),C2643)</f>
        <v>858</v>
      </c>
    </row>
    <row r="2644" customFormat="false" ht="12.75" hidden="false" customHeight="false" outlineLevel="0" collapsed="false">
      <c r="A2644" s="0" t="n">
        <f aca="false">B2644*1000+C2644</f>
        <v>42983</v>
      </c>
      <c r="B2644" s="0" t="n">
        <v>42</v>
      </c>
      <c r="C2644" s="0" t="n">
        <v>983</v>
      </c>
      <c r="D2644" s="0" t="n">
        <v>0</v>
      </c>
      <c r="E2644" s="0" t="n">
        <f aca="false">VLOOKUP(B2644,'Babblefish-APUMA'!$A$1:$B$86,2)</f>
        <v>92</v>
      </c>
      <c r="F2644" s="0" t="n">
        <f aca="false">IF(C2644&gt;1,IF(C2644&lt;99,VLOOKUP(C2644,'Babblefish-APUMA'!$A$1:$B$86,2),C2644),C2644)</f>
        <v>983</v>
      </c>
    </row>
    <row r="2645" customFormat="false" ht="12.75" hidden="false" customHeight="false" outlineLevel="0" collapsed="false">
      <c r="A2645" s="0" t="n">
        <f aca="false">B2645*1000+C2645</f>
        <v>42999</v>
      </c>
      <c r="B2645" s="0" t="n">
        <v>42</v>
      </c>
      <c r="C2645" s="0" t="n">
        <v>999</v>
      </c>
      <c r="D2645" s="0" t="n">
        <v>0</v>
      </c>
      <c r="E2645" s="0" t="n">
        <f aca="false">VLOOKUP(B2645,'Babblefish-APUMA'!$A$1:$B$86,2)</f>
        <v>92</v>
      </c>
      <c r="F2645" s="0" t="n">
        <f aca="false">IF(C2645&gt;1,IF(C2645&lt;99,VLOOKUP(C2645,'Babblefish-APUMA'!$A$1:$B$86,2),C2645),C2645)</f>
        <v>999</v>
      </c>
    </row>
    <row r="2646" customFormat="false" ht="12.75" hidden="false" customHeight="false" outlineLevel="0" collapsed="false">
      <c r="A2646" s="0" t="n">
        <f aca="false">B2646*1000+C2646</f>
        <v>43000</v>
      </c>
      <c r="B2646" s="0" t="n">
        <v>43</v>
      </c>
      <c r="C2646" s="0" t="n">
        <v>0</v>
      </c>
      <c r="D2646" s="0" t="n">
        <v>60866</v>
      </c>
      <c r="E2646" s="0" t="n">
        <f aca="false">VLOOKUP(B2646,'Babblefish-APUMA'!$A$1:$B$86,2)</f>
        <v>92</v>
      </c>
      <c r="F2646" s="0" t="n">
        <f aca="false">IF(C2646&gt;1,IF(C2646&lt;99,VLOOKUP(C2646,'Babblefish-APUMA'!$A$1:$B$86,2),C2646),C2646)</f>
        <v>0</v>
      </c>
    </row>
    <row r="2647" customFormat="false" ht="12.75" hidden="false" customHeight="false" outlineLevel="0" collapsed="false">
      <c r="A2647" s="0" t="n">
        <f aca="false">B2647*1000+C2647</f>
        <v>43001</v>
      </c>
      <c r="B2647" s="0" t="n">
        <v>43</v>
      </c>
      <c r="C2647" s="0" t="n">
        <v>1</v>
      </c>
      <c r="D2647" s="0" t="n">
        <v>0</v>
      </c>
      <c r="E2647" s="0" t="n">
        <f aca="false">VLOOKUP(B2647,'Babblefish-APUMA'!$A$1:$B$86,2)</f>
        <v>92</v>
      </c>
      <c r="F2647" s="0" t="n">
        <f aca="false">IF(C2647&gt;1,IF(C2647&lt;99,VLOOKUP(C2647,'Babblefish-APUMA'!$A$1:$B$86,2),C2647),C2647)</f>
        <v>1</v>
      </c>
    </row>
    <row r="2648" customFormat="false" ht="12.75" hidden="false" customHeight="false" outlineLevel="0" collapsed="false">
      <c r="A2648" s="0" t="n">
        <f aca="false">B2648*1000+C2648</f>
        <v>43002</v>
      </c>
      <c r="B2648" s="0" t="n">
        <v>43</v>
      </c>
      <c r="C2648" s="0" t="n">
        <v>2</v>
      </c>
      <c r="D2648" s="0" t="n">
        <v>0</v>
      </c>
      <c r="E2648" s="0" t="n">
        <f aca="false">VLOOKUP(B2648,'Babblefish-APUMA'!$A$1:$B$86,2)</f>
        <v>92</v>
      </c>
      <c r="F2648" s="0" t="n">
        <f aca="false">IF(C2648&gt;1,IF(C2648&lt;99,VLOOKUP(C2648,'Babblefish-APUMA'!$A$1:$B$86,2),C2648),C2648)</f>
        <v>2</v>
      </c>
    </row>
    <row r="2649" customFormat="false" ht="12.75" hidden="false" customHeight="false" outlineLevel="0" collapsed="false">
      <c r="A2649" s="0" t="n">
        <f aca="false">B2649*1000+C2649</f>
        <v>43003</v>
      </c>
      <c r="B2649" s="0" t="n">
        <v>43</v>
      </c>
      <c r="C2649" s="0" t="n">
        <v>3</v>
      </c>
      <c r="D2649" s="0" t="n">
        <v>169</v>
      </c>
      <c r="E2649" s="0" t="n">
        <f aca="false">VLOOKUP(B2649,'Babblefish-APUMA'!$A$1:$B$86,2)</f>
        <v>92</v>
      </c>
      <c r="F2649" s="0" t="n">
        <f aca="false">IF(C2649&gt;1,IF(C2649&lt;99,VLOOKUP(C2649,'Babblefish-APUMA'!$A$1:$B$86,2),C2649),C2649)</f>
        <v>3</v>
      </c>
    </row>
    <row r="2650" customFormat="false" ht="12.75" hidden="false" customHeight="false" outlineLevel="0" collapsed="false">
      <c r="A2650" s="0" t="n">
        <f aca="false">B2650*1000+C2650</f>
        <v>43004</v>
      </c>
      <c r="B2650" s="0" t="n">
        <v>43</v>
      </c>
      <c r="C2650" s="0" t="n">
        <v>4</v>
      </c>
      <c r="D2650" s="0" t="n">
        <v>0</v>
      </c>
      <c r="E2650" s="0" t="n">
        <f aca="false">VLOOKUP(B2650,'Babblefish-APUMA'!$A$1:$B$86,2)</f>
        <v>92</v>
      </c>
      <c r="F2650" s="0" t="n">
        <f aca="false">IF(C2650&gt;1,IF(C2650&lt;99,VLOOKUP(C2650,'Babblefish-APUMA'!$A$1:$B$86,2),C2650),C2650)</f>
        <v>4</v>
      </c>
    </row>
    <row r="2651" customFormat="false" ht="12.75" hidden="false" customHeight="false" outlineLevel="0" collapsed="false">
      <c r="A2651" s="0" t="n">
        <f aca="false">B2651*1000+C2651</f>
        <v>43005</v>
      </c>
      <c r="B2651" s="0" t="n">
        <v>43</v>
      </c>
      <c r="C2651" s="0" t="n">
        <v>5</v>
      </c>
      <c r="D2651" s="0" t="n">
        <v>0</v>
      </c>
      <c r="E2651" s="0" t="n">
        <f aca="false">VLOOKUP(B2651,'Babblefish-APUMA'!$A$1:$B$86,2)</f>
        <v>92</v>
      </c>
      <c r="F2651" s="0" t="n">
        <f aca="false">IF(C2651&gt;1,IF(C2651&lt;99,VLOOKUP(C2651,'Babblefish-APUMA'!$A$1:$B$86,2),C2651),C2651)</f>
        <v>5</v>
      </c>
    </row>
    <row r="2652" customFormat="false" ht="12.75" hidden="false" customHeight="false" outlineLevel="0" collapsed="false">
      <c r="A2652" s="0" t="n">
        <f aca="false">B2652*1000+C2652</f>
        <v>43006</v>
      </c>
      <c r="B2652" s="0" t="n">
        <v>43</v>
      </c>
      <c r="C2652" s="0" t="n">
        <v>6</v>
      </c>
      <c r="D2652" s="0" t="n">
        <v>0</v>
      </c>
      <c r="E2652" s="0" t="n">
        <f aca="false">VLOOKUP(B2652,'Babblefish-APUMA'!$A$1:$B$86,2)</f>
        <v>92</v>
      </c>
      <c r="F2652" s="0" t="n">
        <f aca="false">IF(C2652&gt;1,IF(C2652&lt;99,VLOOKUP(C2652,'Babblefish-APUMA'!$A$1:$B$86,2),C2652),C2652)</f>
        <v>6</v>
      </c>
    </row>
    <row r="2653" customFormat="false" ht="12.75" hidden="false" customHeight="false" outlineLevel="0" collapsed="false">
      <c r="A2653" s="0" t="n">
        <f aca="false">B2653*1000+C2653</f>
        <v>43007</v>
      </c>
      <c r="B2653" s="0" t="n">
        <v>43</v>
      </c>
      <c r="C2653" s="0" t="n">
        <v>7</v>
      </c>
      <c r="D2653" s="0" t="n">
        <v>0</v>
      </c>
      <c r="E2653" s="0" t="n">
        <f aca="false">VLOOKUP(B2653,'Babblefish-APUMA'!$A$1:$B$86,2)</f>
        <v>92</v>
      </c>
      <c r="F2653" s="0" t="n">
        <f aca="false">IF(C2653&gt;1,IF(C2653&lt;99,VLOOKUP(C2653,'Babblefish-APUMA'!$A$1:$B$86,2),C2653),C2653)</f>
        <v>7</v>
      </c>
    </row>
    <row r="2654" customFormat="false" ht="12.75" hidden="false" customHeight="false" outlineLevel="0" collapsed="false">
      <c r="A2654" s="0" t="n">
        <f aca="false">B2654*1000+C2654</f>
        <v>43008</v>
      </c>
      <c r="B2654" s="0" t="n">
        <v>43</v>
      </c>
      <c r="C2654" s="0" t="n">
        <v>8</v>
      </c>
      <c r="D2654" s="0" t="n">
        <v>0</v>
      </c>
      <c r="E2654" s="0" t="n">
        <f aca="false">VLOOKUP(B2654,'Babblefish-APUMA'!$A$1:$B$86,2)</f>
        <v>92</v>
      </c>
      <c r="F2654" s="0" t="n">
        <f aca="false">IF(C2654&gt;1,IF(C2654&lt;99,VLOOKUP(C2654,'Babblefish-APUMA'!$A$1:$B$86,2),C2654),C2654)</f>
        <v>8</v>
      </c>
    </row>
    <row r="2655" customFormat="false" ht="12.75" hidden="false" customHeight="false" outlineLevel="0" collapsed="false">
      <c r="A2655" s="0" t="n">
        <f aca="false">B2655*1000+C2655</f>
        <v>43009</v>
      </c>
      <c r="B2655" s="0" t="n">
        <v>43</v>
      </c>
      <c r="C2655" s="0" t="n">
        <v>9</v>
      </c>
      <c r="D2655" s="0" t="n">
        <v>0</v>
      </c>
      <c r="E2655" s="0" t="n">
        <f aca="false">VLOOKUP(B2655,'Babblefish-APUMA'!$A$1:$B$86,2)</f>
        <v>92</v>
      </c>
      <c r="F2655" s="0" t="n">
        <f aca="false">IF(C2655&gt;1,IF(C2655&lt;99,VLOOKUP(C2655,'Babblefish-APUMA'!$A$1:$B$86,2),C2655),C2655)</f>
        <v>9</v>
      </c>
    </row>
    <row r="2656" customFormat="false" ht="12.75" hidden="false" customHeight="false" outlineLevel="0" collapsed="false">
      <c r="A2656" s="0" t="n">
        <f aca="false">B2656*1000+C2656</f>
        <v>43010</v>
      </c>
      <c r="B2656" s="0" t="n">
        <v>43</v>
      </c>
      <c r="C2656" s="0" t="n">
        <v>10</v>
      </c>
      <c r="D2656" s="0" t="n">
        <v>104</v>
      </c>
      <c r="E2656" s="0" t="n">
        <f aca="false">VLOOKUP(B2656,'Babblefish-APUMA'!$A$1:$B$86,2)</f>
        <v>92</v>
      </c>
      <c r="F2656" s="0" t="n">
        <f aca="false">IF(C2656&gt;1,IF(C2656&lt;99,VLOOKUP(C2656,'Babblefish-APUMA'!$A$1:$B$86,2),C2656),C2656)</f>
        <v>10</v>
      </c>
    </row>
    <row r="2657" customFormat="false" ht="12.75" hidden="false" customHeight="false" outlineLevel="0" collapsed="false">
      <c r="A2657" s="0" t="n">
        <f aca="false">B2657*1000+C2657</f>
        <v>43011</v>
      </c>
      <c r="B2657" s="0" t="n">
        <v>43</v>
      </c>
      <c r="C2657" s="0" t="n">
        <v>11</v>
      </c>
      <c r="D2657" s="0" t="n">
        <v>0</v>
      </c>
      <c r="E2657" s="0" t="n">
        <f aca="false">VLOOKUP(B2657,'Babblefish-APUMA'!$A$1:$B$86,2)</f>
        <v>92</v>
      </c>
      <c r="F2657" s="0" t="n">
        <f aca="false">IF(C2657&gt;1,IF(C2657&lt;99,VLOOKUP(C2657,'Babblefish-APUMA'!$A$1:$B$86,2),C2657),C2657)</f>
        <v>11</v>
      </c>
    </row>
    <row r="2658" customFormat="false" ht="12.75" hidden="false" customHeight="false" outlineLevel="0" collapsed="false">
      <c r="A2658" s="0" t="n">
        <f aca="false">B2658*1000+C2658</f>
        <v>43012</v>
      </c>
      <c r="B2658" s="0" t="n">
        <v>43</v>
      </c>
      <c r="C2658" s="0" t="n">
        <v>12</v>
      </c>
      <c r="D2658" s="0" t="n">
        <v>0</v>
      </c>
      <c r="E2658" s="0" t="n">
        <f aca="false">VLOOKUP(B2658,'Babblefish-APUMA'!$A$1:$B$86,2)</f>
        <v>92</v>
      </c>
      <c r="F2658" s="0" t="n">
        <f aca="false">IF(C2658&gt;1,IF(C2658&lt;99,VLOOKUP(C2658,'Babblefish-APUMA'!$A$1:$B$86,2),C2658),C2658)</f>
        <v>12</v>
      </c>
    </row>
    <row r="2659" customFormat="false" ht="12.75" hidden="false" customHeight="false" outlineLevel="0" collapsed="false">
      <c r="A2659" s="0" t="n">
        <f aca="false">B2659*1000+C2659</f>
        <v>43013</v>
      </c>
      <c r="B2659" s="0" t="n">
        <v>43</v>
      </c>
      <c r="C2659" s="0" t="n">
        <v>13</v>
      </c>
      <c r="D2659" s="0" t="n">
        <v>0</v>
      </c>
      <c r="E2659" s="0" t="n">
        <f aca="false">VLOOKUP(B2659,'Babblefish-APUMA'!$A$1:$B$86,2)</f>
        <v>92</v>
      </c>
      <c r="F2659" s="0" t="n">
        <f aca="false">IF(C2659&gt;1,IF(C2659&lt;99,VLOOKUP(C2659,'Babblefish-APUMA'!$A$1:$B$86,2),C2659),C2659)</f>
        <v>100</v>
      </c>
    </row>
    <row r="2660" customFormat="false" ht="12.75" hidden="false" customHeight="false" outlineLevel="0" collapsed="false">
      <c r="A2660" s="0" t="n">
        <f aca="false">B2660*1000+C2660</f>
        <v>43014</v>
      </c>
      <c r="B2660" s="0" t="n">
        <v>43</v>
      </c>
      <c r="C2660" s="0" t="n">
        <v>14</v>
      </c>
      <c r="D2660" s="0" t="n">
        <v>0</v>
      </c>
      <c r="E2660" s="0" t="n">
        <f aca="false">VLOOKUP(B2660,'Babblefish-APUMA'!$A$1:$B$86,2)</f>
        <v>92</v>
      </c>
      <c r="F2660" s="0" t="n">
        <f aca="false">IF(C2660&gt;1,IF(C2660&lt;99,VLOOKUP(C2660,'Babblefish-APUMA'!$A$1:$B$86,2),C2660),C2660)</f>
        <v>100</v>
      </c>
    </row>
    <row r="2661" customFormat="false" ht="12.75" hidden="false" customHeight="false" outlineLevel="0" collapsed="false">
      <c r="A2661" s="0" t="n">
        <f aca="false">B2661*1000+C2661</f>
        <v>43015</v>
      </c>
      <c r="B2661" s="0" t="n">
        <v>43</v>
      </c>
      <c r="C2661" s="0" t="n">
        <v>15</v>
      </c>
      <c r="D2661" s="0" t="n">
        <v>0</v>
      </c>
      <c r="E2661" s="0" t="n">
        <f aca="false">VLOOKUP(B2661,'Babblefish-APUMA'!$A$1:$B$86,2)</f>
        <v>92</v>
      </c>
      <c r="F2661" s="0" t="n">
        <f aca="false">IF(C2661&gt;1,IF(C2661&lt;99,VLOOKUP(C2661,'Babblefish-APUMA'!$A$1:$B$86,2),C2661),C2661)</f>
        <v>15</v>
      </c>
    </row>
    <row r="2662" customFormat="false" ht="12.75" hidden="false" customHeight="false" outlineLevel="0" collapsed="false">
      <c r="A2662" s="0" t="n">
        <f aca="false">B2662*1000+C2662</f>
        <v>43016</v>
      </c>
      <c r="B2662" s="0" t="n">
        <v>43</v>
      </c>
      <c r="C2662" s="0" t="n">
        <v>16</v>
      </c>
      <c r="D2662" s="0" t="n">
        <v>0</v>
      </c>
      <c r="E2662" s="0" t="n">
        <f aca="false">VLOOKUP(B2662,'Babblefish-APUMA'!$A$1:$B$86,2)</f>
        <v>92</v>
      </c>
      <c r="F2662" s="0" t="n">
        <f aca="false">IF(C2662&gt;1,IF(C2662&lt;99,VLOOKUP(C2662,'Babblefish-APUMA'!$A$1:$B$86,2),C2662),C2662)</f>
        <v>99</v>
      </c>
    </row>
    <row r="2663" customFormat="false" ht="12.75" hidden="false" customHeight="false" outlineLevel="0" collapsed="false">
      <c r="A2663" s="0" t="n">
        <f aca="false">B2663*1000+C2663</f>
        <v>43017</v>
      </c>
      <c r="B2663" s="0" t="n">
        <v>43</v>
      </c>
      <c r="C2663" s="0" t="n">
        <v>17</v>
      </c>
      <c r="D2663" s="0" t="n">
        <v>0</v>
      </c>
      <c r="E2663" s="0" t="n">
        <f aca="false">VLOOKUP(B2663,'Babblefish-APUMA'!$A$1:$B$86,2)</f>
        <v>92</v>
      </c>
      <c r="F2663" s="0" t="n">
        <f aca="false">IF(C2663&gt;1,IF(C2663&lt;99,VLOOKUP(C2663,'Babblefish-APUMA'!$A$1:$B$86,2),C2663),C2663)</f>
        <v>87</v>
      </c>
    </row>
    <row r="2664" customFormat="false" ht="12.75" hidden="false" customHeight="false" outlineLevel="0" collapsed="false">
      <c r="A2664" s="0" t="n">
        <f aca="false">B2664*1000+C2664</f>
        <v>43018</v>
      </c>
      <c r="B2664" s="0" t="n">
        <v>43</v>
      </c>
      <c r="C2664" s="0" t="n">
        <v>18</v>
      </c>
      <c r="D2664" s="0" t="n">
        <v>130</v>
      </c>
      <c r="E2664" s="0" t="n">
        <f aca="false">VLOOKUP(B2664,'Babblefish-APUMA'!$A$1:$B$86,2)</f>
        <v>92</v>
      </c>
      <c r="F2664" s="0" t="n">
        <f aca="false">IF(C2664&gt;1,IF(C2664&lt;99,VLOOKUP(C2664,'Babblefish-APUMA'!$A$1:$B$86,2),C2664),C2664)</f>
        <v>87</v>
      </c>
    </row>
    <row r="2665" customFormat="false" ht="12.75" hidden="false" customHeight="false" outlineLevel="0" collapsed="false">
      <c r="A2665" s="0" t="n">
        <f aca="false">B2665*1000+C2665</f>
        <v>43019</v>
      </c>
      <c r="B2665" s="0" t="n">
        <v>43</v>
      </c>
      <c r="C2665" s="0" t="n">
        <v>19</v>
      </c>
      <c r="D2665" s="0" t="n">
        <v>91</v>
      </c>
      <c r="E2665" s="0" t="n">
        <f aca="false">VLOOKUP(B2665,'Babblefish-APUMA'!$A$1:$B$86,2)</f>
        <v>92</v>
      </c>
      <c r="F2665" s="0" t="n">
        <f aca="false">IF(C2665&gt;1,IF(C2665&lt;99,VLOOKUP(C2665,'Babblefish-APUMA'!$A$1:$B$86,2),C2665),C2665)</f>
        <v>19</v>
      </c>
    </row>
    <row r="2666" customFormat="false" ht="12.75" hidden="false" customHeight="false" outlineLevel="0" collapsed="false">
      <c r="A2666" s="0" t="n">
        <f aca="false">B2666*1000+C2666</f>
        <v>43020</v>
      </c>
      <c r="B2666" s="0" t="n">
        <v>43</v>
      </c>
      <c r="C2666" s="0" t="n">
        <v>20</v>
      </c>
      <c r="D2666" s="0" t="n">
        <v>0</v>
      </c>
      <c r="E2666" s="0" t="n">
        <f aca="false">VLOOKUP(B2666,'Babblefish-APUMA'!$A$1:$B$86,2)</f>
        <v>92</v>
      </c>
      <c r="F2666" s="0" t="n">
        <f aca="false">IF(C2666&gt;1,IF(C2666&lt;99,VLOOKUP(C2666,'Babblefish-APUMA'!$A$1:$B$86,2),C2666),C2666)</f>
        <v>86</v>
      </c>
    </row>
    <row r="2667" customFormat="false" ht="12.75" hidden="false" customHeight="false" outlineLevel="0" collapsed="false">
      <c r="A2667" s="0" t="n">
        <f aca="false">B2667*1000+C2667</f>
        <v>43021</v>
      </c>
      <c r="B2667" s="0" t="n">
        <v>43</v>
      </c>
      <c r="C2667" s="0" t="n">
        <v>21</v>
      </c>
      <c r="D2667" s="0" t="n">
        <v>0</v>
      </c>
      <c r="E2667" s="0" t="n">
        <f aca="false">VLOOKUP(B2667,'Babblefish-APUMA'!$A$1:$B$86,2)</f>
        <v>92</v>
      </c>
      <c r="F2667" s="0" t="n">
        <f aca="false">IF(C2667&gt;1,IF(C2667&lt;99,VLOOKUP(C2667,'Babblefish-APUMA'!$A$1:$B$86,2),C2667),C2667)</f>
        <v>86</v>
      </c>
    </row>
    <row r="2668" customFormat="false" ht="12.75" hidden="false" customHeight="false" outlineLevel="0" collapsed="false">
      <c r="A2668" s="0" t="n">
        <f aca="false">B2668*1000+C2668</f>
        <v>43022</v>
      </c>
      <c r="B2668" s="0" t="n">
        <v>43</v>
      </c>
      <c r="C2668" s="0" t="n">
        <v>22</v>
      </c>
      <c r="D2668" s="0" t="n">
        <v>0</v>
      </c>
      <c r="E2668" s="0" t="n">
        <f aca="false">VLOOKUP(B2668,'Babblefish-APUMA'!$A$1:$B$86,2)</f>
        <v>92</v>
      </c>
      <c r="F2668" s="0" t="n">
        <f aca="false">IF(C2668&gt;1,IF(C2668&lt;99,VLOOKUP(C2668,'Babblefish-APUMA'!$A$1:$B$86,2),C2668),C2668)</f>
        <v>22</v>
      </c>
    </row>
    <row r="2669" customFormat="false" ht="12.75" hidden="false" customHeight="false" outlineLevel="0" collapsed="false">
      <c r="A2669" s="0" t="n">
        <f aca="false">B2669*1000+C2669</f>
        <v>43023</v>
      </c>
      <c r="B2669" s="0" t="n">
        <v>43</v>
      </c>
      <c r="C2669" s="0" t="n">
        <v>23</v>
      </c>
      <c r="D2669" s="0" t="n">
        <v>0</v>
      </c>
      <c r="E2669" s="0" t="n">
        <f aca="false">VLOOKUP(B2669,'Babblefish-APUMA'!$A$1:$B$86,2)</f>
        <v>92</v>
      </c>
      <c r="F2669" s="0" t="n">
        <f aca="false">IF(C2669&gt;1,IF(C2669&lt;99,VLOOKUP(C2669,'Babblefish-APUMA'!$A$1:$B$86,2),C2669),C2669)</f>
        <v>97</v>
      </c>
    </row>
    <row r="2670" customFormat="false" ht="12.75" hidden="false" customHeight="false" outlineLevel="0" collapsed="false">
      <c r="A2670" s="0" t="n">
        <f aca="false">B2670*1000+C2670</f>
        <v>43024</v>
      </c>
      <c r="B2670" s="0" t="n">
        <v>43</v>
      </c>
      <c r="C2670" s="0" t="n">
        <v>24</v>
      </c>
      <c r="D2670" s="0" t="n">
        <v>0</v>
      </c>
      <c r="E2670" s="0" t="n">
        <f aca="false">VLOOKUP(B2670,'Babblefish-APUMA'!$A$1:$B$86,2)</f>
        <v>92</v>
      </c>
      <c r="F2670" s="0" t="n">
        <f aca="false">IF(C2670&gt;1,IF(C2670&lt;99,VLOOKUP(C2670,'Babblefish-APUMA'!$A$1:$B$86,2),C2670),C2670)</f>
        <v>101</v>
      </c>
    </row>
    <row r="2671" customFormat="false" ht="12.75" hidden="false" customHeight="false" outlineLevel="0" collapsed="false">
      <c r="A2671" s="0" t="n">
        <f aca="false">B2671*1000+C2671</f>
        <v>43025</v>
      </c>
      <c r="B2671" s="0" t="n">
        <v>43</v>
      </c>
      <c r="C2671" s="0" t="n">
        <v>25</v>
      </c>
      <c r="D2671" s="0" t="n">
        <v>0</v>
      </c>
      <c r="E2671" s="0" t="n">
        <f aca="false">VLOOKUP(B2671,'Babblefish-APUMA'!$A$1:$B$86,2)</f>
        <v>92</v>
      </c>
      <c r="F2671" s="0" t="n">
        <f aca="false">IF(C2671&gt;1,IF(C2671&lt;99,VLOOKUP(C2671,'Babblefish-APUMA'!$A$1:$B$86,2),C2671),C2671)</f>
        <v>101</v>
      </c>
    </row>
    <row r="2672" customFormat="false" ht="12.75" hidden="false" customHeight="false" outlineLevel="0" collapsed="false">
      <c r="A2672" s="0" t="n">
        <f aca="false">B2672*1000+C2672</f>
        <v>43026</v>
      </c>
      <c r="B2672" s="0" t="n">
        <v>43</v>
      </c>
      <c r="C2672" s="0" t="n">
        <v>26</v>
      </c>
      <c r="D2672" s="0" t="n">
        <v>0</v>
      </c>
      <c r="E2672" s="0" t="n">
        <f aca="false">VLOOKUP(B2672,'Babblefish-APUMA'!$A$1:$B$86,2)</f>
        <v>92</v>
      </c>
      <c r="F2672" s="0" t="n">
        <f aca="false">IF(C2672&gt;1,IF(C2672&lt;99,VLOOKUP(C2672,'Babblefish-APUMA'!$A$1:$B$86,2),C2672),C2672)</f>
        <v>26</v>
      </c>
    </row>
    <row r="2673" customFormat="false" ht="12.75" hidden="false" customHeight="false" outlineLevel="0" collapsed="false">
      <c r="A2673" s="0" t="n">
        <f aca="false">B2673*1000+C2673</f>
        <v>43027</v>
      </c>
      <c r="B2673" s="0" t="n">
        <v>43</v>
      </c>
      <c r="C2673" s="0" t="n">
        <v>27</v>
      </c>
      <c r="D2673" s="0" t="n">
        <v>0</v>
      </c>
      <c r="E2673" s="0" t="n">
        <f aca="false">VLOOKUP(B2673,'Babblefish-APUMA'!$A$1:$B$86,2)</f>
        <v>92</v>
      </c>
      <c r="F2673" s="0" t="n">
        <f aca="false">IF(C2673&gt;1,IF(C2673&lt;99,VLOOKUP(C2673,'Babblefish-APUMA'!$A$1:$B$86,2),C2673),C2673)</f>
        <v>27</v>
      </c>
    </row>
    <row r="2674" customFormat="false" ht="12.75" hidden="false" customHeight="false" outlineLevel="0" collapsed="false">
      <c r="A2674" s="0" t="n">
        <f aca="false">B2674*1000+C2674</f>
        <v>43028</v>
      </c>
      <c r="B2674" s="0" t="n">
        <v>43</v>
      </c>
      <c r="C2674" s="0" t="n">
        <v>28</v>
      </c>
      <c r="D2674" s="0" t="n">
        <v>0</v>
      </c>
      <c r="E2674" s="0" t="n">
        <f aca="false">VLOOKUP(B2674,'Babblefish-APUMA'!$A$1:$B$86,2)</f>
        <v>92</v>
      </c>
      <c r="F2674" s="0" t="n">
        <f aca="false">IF(C2674&gt;1,IF(C2674&lt;99,VLOOKUP(C2674,'Babblefish-APUMA'!$A$1:$B$86,2),C2674),C2674)</f>
        <v>94</v>
      </c>
    </row>
    <row r="2675" customFormat="false" ht="12.75" hidden="false" customHeight="false" outlineLevel="0" collapsed="false">
      <c r="A2675" s="0" t="n">
        <f aca="false">B2675*1000+C2675</f>
        <v>43029</v>
      </c>
      <c r="B2675" s="0" t="n">
        <v>43</v>
      </c>
      <c r="C2675" s="0" t="n">
        <v>29</v>
      </c>
      <c r="D2675" s="0" t="n">
        <v>0</v>
      </c>
      <c r="E2675" s="0" t="n">
        <f aca="false">VLOOKUP(B2675,'Babblefish-APUMA'!$A$1:$B$86,2)</f>
        <v>92</v>
      </c>
      <c r="F2675" s="0" t="n">
        <f aca="false">IF(C2675&gt;1,IF(C2675&lt;99,VLOOKUP(C2675,'Babblefish-APUMA'!$A$1:$B$86,2),C2675),C2675)</f>
        <v>94</v>
      </c>
    </row>
    <row r="2676" customFormat="false" ht="12.75" hidden="false" customHeight="false" outlineLevel="0" collapsed="false">
      <c r="A2676" s="0" t="n">
        <f aca="false">B2676*1000+C2676</f>
        <v>43030</v>
      </c>
      <c r="B2676" s="0" t="n">
        <v>43</v>
      </c>
      <c r="C2676" s="0" t="n">
        <v>30</v>
      </c>
      <c r="D2676" s="0" t="n">
        <v>0</v>
      </c>
      <c r="E2676" s="0" t="n">
        <f aca="false">VLOOKUP(B2676,'Babblefish-APUMA'!$A$1:$B$86,2)</f>
        <v>92</v>
      </c>
      <c r="F2676" s="0" t="n">
        <f aca="false">IF(C2676&gt;1,IF(C2676&lt;99,VLOOKUP(C2676,'Babblefish-APUMA'!$A$1:$B$86,2),C2676),C2676)</f>
        <v>30</v>
      </c>
    </row>
    <row r="2677" customFormat="false" ht="12.75" hidden="false" customHeight="false" outlineLevel="0" collapsed="false">
      <c r="A2677" s="0" t="n">
        <f aca="false">B2677*1000+C2677</f>
        <v>43031</v>
      </c>
      <c r="B2677" s="0" t="n">
        <v>43</v>
      </c>
      <c r="C2677" s="0" t="n">
        <v>31</v>
      </c>
      <c r="D2677" s="0" t="n">
        <v>0</v>
      </c>
      <c r="E2677" s="0" t="n">
        <f aca="false">VLOOKUP(B2677,'Babblefish-APUMA'!$A$1:$B$86,2)</f>
        <v>92</v>
      </c>
      <c r="F2677" s="0" t="n">
        <f aca="false">IF(C2677&gt;1,IF(C2677&lt;99,VLOOKUP(C2677,'Babblefish-APUMA'!$A$1:$B$86,2),C2677),C2677)</f>
        <v>31</v>
      </c>
    </row>
    <row r="2678" customFormat="false" ht="12.75" hidden="false" customHeight="false" outlineLevel="0" collapsed="false">
      <c r="A2678" s="0" t="n">
        <f aca="false">B2678*1000+C2678</f>
        <v>43032</v>
      </c>
      <c r="B2678" s="0" t="n">
        <v>43</v>
      </c>
      <c r="C2678" s="0" t="n">
        <v>32</v>
      </c>
      <c r="D2678" s="0" t="n">
        <v>0</v>
      </c>
      <c r="E2678" s="0" t="n">
        <f aca="false">VLOOKUP(B2678,'Babblefish-APUMA'!$A$1:$B$86,2)</f>
        <v>92</v>
      </c>
      <c r="F2678" s="0" t="n">
        <f aca="false">IF(C2678&gt;1,IF(C2678&lt;99,VLOOKUP(C2678,'Babblefish-APUMA'!$A$1:$B$86,2),C2678),C2678)</f>
        <v>32</v>
      </c>
    </row>
    <row r="2679" customFormat="false" ht="12.75" hidden="false" customHeight="false" outlineLevel="0" collapsed="false">
      <c r="A2679" s="0" t="n">
        <f aca="false">B2679*1000+C2679</f>
        <v>43033</v>
      </c>
      <c r="B2679" s="0" t="n">
        <v>43</v>
      </c>
      <c r="C2679" s="0" t="n">
        <v>33</v>
      </c>
      <c r="D2679" s="0" t="n">
        <v>78</v>
      </c>
      <c r="E2679" s="0" t="n">
        <f aca="false">VLOOKUP(B2679,'Babblefish-APUMA'!$A$1:$B$86,2)</f>
        <v>92</v>
      </c>
      <c r="F2679" s="0" t="n">
        <f aca="false">IF(C2679&gt;1,IF(C2679&lt;99,VLOOKUP(C2679,'Babblefish-APUMA'!$A$1:$B$86,2),C2679),C2679)</f>
        <v>96</v>
      </c>
    </row>
    <row r="2680" customFormat="false" ht="12.75" hidden="false" customHeight="false" outlineLevel="0" collapsed="false">
      <c r="A2680" s="0" t="n">
        <f aca="false">B2680*1000+C2680</f>
        <v>43034</v>
      </c>
      <c r="B2680" s="0" t="n">
        <v>43</v>
      </c>
      <c r="C2680" s="0" t="n">
        <v>34</v>
      </c>
      <c r="D2680" s="0" t="n">
        <v>637</v>
      </c>
      <c r="E2680" s="0" t="n">
        <f aca="false">VLOOKUP(B2680,'Babblefish-APUMA'!$A$1:$B$86,2)</f>
        <v>92</v>
      </c>
      <c r="F2680" s="0" t="n">
        <f aca="false">IF(C2680&gt;1,IF(C2680&lt;99,VLOOKUP(C2680,'Babblefish-APUMA'!$A$1:$B$86,2),C2680),C2680)</f>
        <v>96</v>
      </c>
    </row>
    <row r="2681" customFormat="false" ht="12.75" hidden="false" customHeight="false" outlineLevel="0" collapsed="false">
      <c r="A2681" s="0" t="n">
        <f aca="false">B2681*1000+C2681</f>
        <v>43035</v>
      </c>
      <c r="B2681" s="0" t="n">
        <v>43</v>
      </c>
      <c r="C2681" s="0" t="n">
        <v>35</v>
      </c>
      <c r="D2681" s="0" t="n">
        <v>390</v>
      </c>
      <c r="E2681" s="0" t="n">
        <f aca="false">VLOOKUP(B2681,'Babblefish-APUMA'!$A$1:$B$86,2)</f>
        <v>92</v>
      </c>
      <c r="F2681" s="0" t="n">
        <f aca="false">IF(C2681&gt;1,IF(C2681&lt;99,VLOOKUP(C2681,'Babblefish-APUMA'!$A$1:$B$86,2),C2681),C2681)</f>
        <v>96</v>
      </c>
    </row>
    <row r="2682" customFormat="false" ht="12.75" hidden="false" customHeight="false" outlineLevel="0" collapsed="false">
      <c r="A2682" s="0" t="n">
        <f aca="false">B2682*1000+C2682</f>
        <v>43036</v>
      </c>
      <c r="B2682" s="0" t="n">
        <v>43</v>
      </c>
      <c r="C2682" s="0" t="n">
        <v>36</v>
      </c>
      <c r="D2682" s="0" t="n">
        <v>0</v>
      </c>
      <c r="E2682" s="0" t="n">
        <f aca="false">VLOOKUP(B2682,'Babblefish-APUMA'!$A$1:$B$86,2)</f>
        <v>92</v>
      </c>
      <c r="F2682" s="0" t="n">
        <f aca="false">IF(C2682&gt;1,IF(C2682&lt;99,VLOOKUP(C2682,'Babblefish-APUMA'!$A$1:$B$86,2),C2682),C2682)</f>
        <v>96</v>
      </c>
    </row>
    <row r="2683" customFormat="false" ht="12.75" hidden="false" customHeight="false" outlineLevel="0" collapsed="false">
      <c r="A2683" s="0" t="n">
        <f aca="false">B2683*1000+C2683</f>
        <v>43037</v>
      </c>
      <c r="B2683" s="0" t="n">
        <v>43</v>
      </c>
      <c r="C2683" s="0" t="n">
        <v>37</v>
      </c>
      <c r="D2683" s="0" t="n">
        <v>1105</v>
      </c>
      <c r="E2683" s="0" t="n">
        <f aca="false">VLOOKUP(B2683,'Babblefish-APUMA'!$A$1:$B$86,2)</f>
        <v>92</v>
      </c>
      <c r="F2683" s="0" t="n">
        <f aca="false">IF(C2683&gt;1,IF(C2683&lt;99,VLOOKUP(C2683,'Babblefish-APUMA'!$A$1:$B$86,2),C2683),C2683)</f>
        <v>96</v>
      </c>
    </row>
    <row r="2684" customFormat="false" ht="12.75" hidden="false" customHeight="false" outlineLevel="0" collapsed="false">
      <c r="A2684" s="0" t="n">
        <f aca="false">B2684*1000+C2684</f>
        <v>43038</v>
      </c>
      <c r="B2684" s="0" t="n">
        <v>43</v>
      </c>
      <c r="C2684" s="0" t="n">
        <v>38</v>
      </c>
      <c r="D2684" s="0" t="n">
        <v>0</v>
      </c>
      <c r="E2684" s="0" t="n">
        <f aca="false">VLOOKUP(B2684,'Babblefish-APUMA'!$A$1:$B$86,2)</f>
        <v>92</v>
      </c>
      <c r="F2684" s="0" t="n">
        <f aca="false">IF(C2684&gt;1,IF(C2684&lt;99,VLOOKUP(C2684,'Babblefish-APUMA'!$A$1:$B$86,2),C2684),C2684)</f>
        <v>91</v>
      </c>
    </row>
    <row r="2685" customFormat="false" ht="12.75" hidden="false" customHeight="false" outlineLevel="0" collapsed="false">
      <c r="A2685" s="0" t="n">
        <f aca="false">B2685*1000+C2685</f>
        <v>43039</v>
      </c>
      <c r="B2685" s="0" t="n">
        <v>43</v>
      </c>
      <c r="C2685" s="0" t="n">
        <v>39</v>
      </c>
      <c r="D2685" s="0" t="n">
        <v>0</v>
      </c>
      <c r="E2685" s="0" t="n">
        <f aca="false">VLOOKUP(B2685,'Babblefish-APUMA'!$A$1:$B$86,2)</f>
        <v>92</v>
      </c>
      <c r="F2685" s="0" t="n">
        <f aca="false">IF(C2685&gt;1,IF(C2685&lt;99,VLOOKUP(C2685,'Babblefish-APUMA'!$A$1:$B$86,2),C2685),C2685)</f>
        <v>91</v>
      </c>
    </row>
    <row r="2686" customFormat="false" ht="12.75" hidden="false" customHeight="false" outlineLevel="0" collapsed="false">
      <c r="A2686" s="0" t="n">
        <f aca="false">B2686*1000+C2686</f>
        <v>43040</v>
      </c>
      <c r="B2686" s="0" t="n">
        <v>43</v>
      </c>
      <c r="C2686" s="0" t="n">
        <v>40</v>
      </c>
      <c r="D2686" s="0" t="n">
        <v>0</v>
      </c>
      <c r="E2686" s="0" t="n">
        <f aca="false">VLOOKUP(B2686,'Babblefish-APUMA'!$A$1:$B$86,2)</f>
        <v>92</v>
      </c>
      <c r="F2686" s="0" t="n">
        <f aca="false">IF(C2686&gt;1,IF(C2686&lt;99,VLOOKUP(C2686,'Babblefish-APUMA'!$A$1:$B$86,2),C2686),C2686)</f>
        <v>88</v>
      </c>
    </row>
    <row r="2687" customFormat="false" ht="12.75" hidden="false" customHeight="false" outlineLevel="0" collapsed="false">
      <c r="A2687" s="0" t="n">
        <f aca="false">B2687*1000+C2687</f>
        <v>43041</v>
      </c>
      <c r="B2687" s="0" t="n">
        <v>43</v>
      </c>
      <c r="C2687" s="0" t="n">
        <v>41</v>
      </c>
      <c r="D2687" s="0" t="n">
        <v>0</v>
      </c>
      <c r="E2687" s="0" t="n">
        <f aca="false">VLOOKUP(B2687,'Babblefish-APUMA'!$A$1:$B$86,2)</f>
        <v>92</v>
      </c>
      <c r="F2687" s="0" t="n">
        <f aca="false">IF(C2687&gt;1,IF(C2687&lt;99,VLOOKUP(C2687,'Babblefish-APUMA'!$A$1:$B$86,2),C2687),C2687)</f>
        <v>88</v>
      </c>
    </row>
    <row r="2688" customFormat="false" ht="12.75" hidden="false" customHeight="false" outlineLevel="0" collapsed="false">
      <c r="A2688" s="0" t="n">
        <f aca="false">B2688*1000+C2688</f>
        <v>43042</v>
      </c>
      <c r="B2688" s="0" t="n">
        <v>43</v>
      </c>
      <c r="C2688" s="0" t="n">
        <v>42</v>
      </c>
      <c r="D2688" s="0" t="n">
        <v>3627</v>
      </c>
      <c r="E2688" s="0" t="n">
        <f aca="false">VLOOKUP(B2688,'Babblefish-APUMA'!$A$1:$B$86,2)</f>
        <v>92</v>
      </c>
      <c r="F2688" s="0" t="n">
        <f aca="false">IF(C2688&gt;1,IF(C2688&lt;99,VLOOKUP(C2688,'Babblefish-APUMA'!$A$1:$B$86,2),C2688),C2688)</f>
        <v>92</v>
      </c>
    </row>
    <row r="2689" customFormat="false" ht="12.75" hidden="false" customHeight="false" outlineLevel="0" collapsed="false">
      <c r="A2689" s="0" t="n">
        <f aca="false">B2689*1000+C2689</f>
        <v>43043</v>
      </c>
      <c r="B2689" s="0" t="n">
        <v>43</v>
      </c>
      <c r="C2689" s="0" t="n">
        <v>43</v>
      </c>
      <c r="D2689" s="0" t="n">
        <v>25129</v>
      </c>
      <c r="E2689" s="0" t="n">
        <f aca="false">VLOOKUP(B2689,'Babblefish-APUMA'!$A$1:$B$86,2)</f>
        <v>92</v>
      </c>
      <c r="F2689" s="0" t="n">
        <f aca="false">IF(C2689&gt;1,IF(C2689&lt;99,VLOOKUP(C2689,'Babblefish-APUMA'!$A$1:$B$86,2),C2689),C2689)</f>
        <v>92</v>
      </c>
    </row>
    <row r="2690" customFormat="false" ht="12.75" hidden="false" customHeight="false" outlineLevel="0" collapsed="false">
      <c r="A2690" s="0" t="n">
        <f aca="false">B2690*1000+C2690</f>
        <v>43044</v>
      </c>
      <c r="B2690" s="0" t="n">
        <v>43</v>
      </c>
      <c r="C2690" s="0" t="n">
        <v>44</v>
      </c>
      <c r="D2690" s="0" t="n">
        <v>6331</v>
      </c>
      <c r="E2690" s="0" t="n">
        <f aca="false">VLOOKUP(B2690,'Babblefish-APUMA'!$A$1:$B$86,2)</f>
        <v>92</v>
      </c>
      <c r="F2690" s="0" t="n">
        <f aca="false">IF(C2690&gt;1,IF(C2690&lt;99,VLOOKUP(C2690,'Babblefish-APUMA'!$A$1:$B$86,2),C2690),C2690)</f>
        <v>92</v>
      </c>
    </row>
    <row r="2691" customFormat="false" ht="12.75" hidden="false" customHeight="false" outlineLevel="0" collapsed="false">
      <c r="A2691" s="0" t="n">
        <f aca="false">B2691*1000+C2691</f>
        <v>43045</v>
      </c>
      <c r="B2691" s="0" t="n">
        <v>43</v>
      </c>
      <c r="C2691" s="0" t="n">
        <v>45</v>
      </c>
      <c r="D2691" s="0" t="n">
        <v>9256</v>
      </c>
      <c r="E2691" s="0" t="n">
        <f aca="false">VLOOKUP(B2691,'Babblefish-APUMA'!$A$1:$B$86,2)</f>
        <v>92</v>
      </c>
      <c r="F2691" s="0" t="n">
        <f aca="false">IF(C2691&gt;1,IF(C2691&lt;99,VLOOKUP(C2691,'Babblefish-APUMA'!$A$1:$B$86,2),C2691),C2691)</f>
        <v>92</v>
      </c>
    </row>
    <row r="2692" customFormat="false" ht="12.75" hidden="false" customHeight="false" outlineLevel="0" collapsed="false">
      <c r="A2692" s="0" t="n">
        <f aca="false">B2692*1000+C2692</f>
        <v>43046</v>
      </c>
      <c r="B2692" s="0" t="n">
        <v>43</v>
      </c>
      <c r="C2692" s="0" t="n">
        <v>46</v>
      </c>
      <c r="D2692" s="0" t="n">
        <v>689</v>
      </c>
      <c r="E2692" s="0" t="n">
        <f aca="false">VLOOKUP(B2692,'Babblefish-APUMA'!$A$1:$B$86,2)</f>
        <v>92</v>
      </c>
      <c r="F2692" s="0" t="n">
        <f aca="false">IF(C2692&gt;1,IF(C2692&lt;99,VLOOKUP(C2692,'Babblefish-APUMA'!$A$1:$B$86,2),C2692),C2692)</f>
        <v>92</v>
      </c>
    </row>
    <row r="2693" customFormat="false" ht="12.75" hidden="false" customHeight="false" outlineLevel="0" collapsed="false">
      <c r="A2693" s="0" t="n">
        <f aca="false">B2693*1000+C2693</f>
        <v>43047</v>
      </c>
      <c r="B2693" s="0" t="n">
        <v>43</v>
      </c>
      <c r="C2693" s="0" t="n">
        <v>47</v>
      </c>
      <c r="D2693" s="0" t="n">
        <v>221</v>
      </c>
      <c r="E2693" s="0" t="n">
        <f aca="false">VLOOKUP(B2693,'Babblefish-APUMA'!$A$1:$B$86,2)</f>
        <v>92</v>
      </c>
      <c r="F2693" s="0" t="n">
        <f aca="false">IF(C2693&gt;1,IF(C2693&lt;99,VLOOKUP(C2693,'Babblefish-APUMA'!$A$1:$B$86,2),C2693),C2693)</f>
        <v>92</v>
      </c>
    </row>
    <row r="2694" customFormat="false" ht="12.75" hidden="false" customHeight="false" outlineLevel="0" collapsed="false">
      <c r="A2694" s="0" t="n">
        <f aca="false">B2694*1000+C2694</f>
        <v>43048</v>
      </c>
      <c r="B2694" s="0" t="n">
        <v>43</v>
      </c>
      <c r="C2694" s="0" t="n">
        <v>48</v>
      </c>
      <c r="D2694" s="0" t="n">
        <v>22555</v>
      </c>
      <c r="E2694" s="0" t="n">
        <f aca="false">VLOOKUP(B2694,'Babblefish-APUMA'!$A$1:$B$86,2)</f>
        <v>92</v>
      </c>
      <c r="F2694" s="0" t="n">
        <f aca="false">IF(C2694&gt;1,IF(C2694&lt;99,VLOOKUP(C2694,'Babblefish-APUMA'!$A$1:$B$86,2),C2694),C2694)</f>
        <v>92</v>
      </c>
    </row>
    <row r="2695" customFormat="false" ht="12.75" hidden="false" customHeight="false" outlineLevel="0" collapsed="false">
      <c r="A2695" s="0" t="n">
        <f aca="false">B2695*1000+C2695</f>
        <v>43049</v>
      </c>
      <c r="B2695" s="0" t="n">
        <v>43</v>
      </c>
      <c r="C2695" s="0" t="n">
        <v>49</v>
      </c>
      <c r="D2695" s="0" t="n">
        <v>0</v>
      </c>
      <c r="E2695" s="0" t="n">
        <f aca="false">VLOOKUP(B2695,'Babblefish-APUMA'!$A$1:$B$86,2)</f>
        <v>92</v>
      </c>
      <c r="F2695" s="0" t="n">
        <f aca="false">IF(C2695&gt;1,IF(C2695&lt;99,VLOOKUP(C2695,'Babblefish-APUMA'!$A$1:$B$86,2),C2695),C2695)</f>
        <v>98</v>
      </c>
    </row>
    <row r="2696" customFormat="false" ht="12.75" hidden="false" customHeight="false" outlineLevel="0" collapsed="false">
      <c r="A2696" s="0" t="n">
        <f aca="false">B2696*1000+C2696</f>
        <v>43050</v>
      </c>
      <c r="B2696" s="0" t="n">
        <v>43</v>
      </c>
      <c r="C2696" s="0" t="n">
        <v>50</v>
      </c>
      <c r="D2696" s="0" t="n">
        <v>0</v>
      </c>
      <c r="E2696" s="0" t="n">
        <f aca="false">VLOOKUP(B2696,'Babblefish-APUMA'!$A$1:$B$86,2)</f>
        <v>92</v>
      </c>
      <c r="F2696" s="0" t="n">
        <f aca="false">IF(C2696&gt;1,IF(C2696&lt;99,VLOOKUP(C2696,'Babblefish-APUMA'!$A$1:$B$86,2),C2696),C2696)</f>
        <v>98</v>
      </c>
    </row>
    <row r="2697" customFormat="false" ht="12.75" hidden="false" customHeight="false" outlineLevel="0" collapsed="false">
      <c r="A2697" s="0" t="n">
        <f aca="false">B2697*1000+C2697</f>
        <v>43051</v>
      </c>
      <c r="B2697" s="0" t="n">
        <v>43</v>
      </c>
      <c r="C2697" s="0" t="n">
        <v>51</v>
      </c>
      <c r="D2697" s="0" t="n">
        <v>0</v>
      </c>
      <c r="E2697" s="0" t="n">
        <f aca="false">VLOOKUP(B2697,'Babblefish-APUMA'!$A$1:$B$86,2)</f>
        <v>92</v>
      </c>
      <c r="F2697" s="0" t="n">
        <f aca="false">IF(C2697&gt;1,IF(C2697&lt;99,VLOOKUP(C2697,'Babblefish-APUMA'!$A$1:$B$86,2),C2697),C2697)</f>
        <v>98</v>
      </c>
    </row>
    <row r="2698" customFormat="false" ht="12.75" hidden="false" customHeight="false" outlineLevel="0" collapsed="false">
      <c r="A2698" s="0" t="n">
        <f aca="false">B2698*1000+C2698</f>
        <v>43052</v>
      </c>
      <c r="B2698" s="0" t="n">
        <v>43</v>
      </c>
      <c r="C2698" s="0" t="n">
        <v>52</v>
      </c>
      <c r="D2698" s="0" t="n">
        <v>0</v>
      </c>
      <c r="E2698" s="0" t="n">
        <f aca="false">VLOOKUP(B2698,'Babblefish-APUMA'!$A$1:$B$86,2)</f>
        <v>92</v>
      </c>
      <c r="F2698" s="0" t="n">
        <f aca="false">IF(C2698&gt;1,IF(C2698&lt;99,VLOOKUP(C2698,'Babblefish-APUMA'!$A$1:$B$86,2),C2698),C2698)</f>
        <v>90</v>
      </c>
    </row>
    <row r="2699" customFormat="false" ht="12.75" hidden="false" customHeight="false" outlineLevel="0" collapsed="false">
      <c r="A2699" s="0" t="n">
        <f aca="false">B2699*1000+C2699</f>
        <v>43053</v>
      </c>
      <c r="B2699" s="0" t="n">
        <v>43</v>
      </c>
      <c r="C2699" s="0" t="n">
        <v>53</v>
      </c>
      <c r="D2699" s="0" t="n">
        <v>0</v>
      </c>
      <c r="E2699" s="0" t="n">
        <f aca="false">VLOOKUP(B2699,'Babblefish-APUMA'!$A$1:$B$86,2)</f>
        <v>92</v>
      </c>
      <c r="F2699" s="0" t="n">
        <f aca="false">IF(C2699&gt;1,IF(C2699&lt;99,VLOOKUP(C2699,'Babblefish-APUMA'!$A$1:$B$86,2),C2699),C2699)</f>
        <v>90</v>
      </c>
    </row>
    <row r="2700" customFormat="false" ht="12.75" hidden="false" customHeight="false" outlineLevel="0" collapsed="false">
      <c r="A2700" s="0" t="n">
        <f aca="false">B2700*1000+C2700</f>
        <v>43054</v>
      </c>
      <c r="B2700" s="0" t="n">
        <v>43</v>
      </c>
      <c r="C2700" s="0" t="n">
        <v>54</v>
      </c>
      <c r="D2700" s="0" t="n">
        <v>0</v>
      </c>
      <c r="E2700" s="0" t="n">
        <f aca="false">VLOOKUP(B2700,'Babblefish-APUMA'!$A$1:$B$86,2)</f>
        <v>92</v>
      </c>
      <c r="F2700" s="0" t="n">
        <f aca="false">IF(C2700&gt;1,IF(C2700&lt;99,VLOOKUP(C2700,'Babblefish-APUMA'!$A$1:$B$86,2),C2700),C2700)</f>
        <v>90</v>
      </c>
    </row>
    <row r="2701" customFormat="false" ht="12.75" hidden="false" customHeight="false" outlineLevel="0" collapsed="false">
      <c r="A2701" s="0" t="n">
        <f aca="false">B2701*1000+C2701</f>
        <v>43055</v>
      </c>
      <c r="B2701" s="0" t="n">
        <v>43</v>
      </c>
      <c r="C2701" s="0" t="n">
        <v>55</v>
      </c>
      <c r="D2701" s="0" t="n">
        <v>442</v>
      </c>
      <c r="E2701" s="0" t="n">
        <f aca="false">VLOOKUP(B2701,'Babblefish-APUMA'!$A$1:$B$86,2)</f>
        <v>92</v>
      </c>
      <c r="F2701" s="0" t="n">
        <f aca="false">IF(C2701&gt;1,IF(C2701&lt;99,VLOOKUP(C2701,'Babblefish-APUMA'!$A$1:$B$86,2),C2701),C2701)</f>
        <v>90</v>
      </c>
    </row>
    <row r="2702" customFormat="false" ht="12.75" hidden="false" customHeight="false" outlineLevel="0" collapsed="false">
      <c r="A2702" s="0" t="n">
        <f aca="false">B2702*1000+C2702</f>
        <v>43056</v>
      </c>
      <c r="B2702" s="0" t="n">
        <v>43</v>
      </c>
      <c r="C2702" s="0" t="n">
        <v>56</v>
      </c>
      <c r="D2702" s="0" t="n">
        <v>0</v>
      </c>
      <c r="E2702" s="0" t="n">
        <f aca="false">VLOOKUP(B2702,'Babblefish-APUMA'!$A$1:$B$86,2)</f>
        <v>92</v>
      </c>
      <c r="F2702" s="0" t="n">
        <f aca="false">IF(C2702&gt;1,IF(C2702&lt;99,VLOOKUP(C2702,'Babblefish-APUMA'!$A$1:$B$86,2),C2702),C2702)</f>
        <v>90</v>
      </c>
    </row>
    <row r="2703" customFormat="false" ht="12.75" hidden="false" customHeight="false" outlineLevel="0" collapsed="false">
      <c r="A2703" s="0" t="n">
        <f aca="false">B2703*1000+C2703</f>
        <v>43057</v>
      </c>
      <c r="B2703" s="0" t="n">
        <v>43</v>
      </c>
      <c r="C2703" s="0" t="n">
        <v>57</v>
      </c>
      <c r="D2703" s="0" t="n">
        <v>0</v>
      </c>
      <c r="E2703" s="0" t="n">
        <f aca="false">VLOOKUP(B2703,'Babblefish-APUMA'!$A$1:$B$86,2)</f>
        <v>92</v>
      </c>
      <c r="F2703" s="0" t="n">
        <f aca="false">IF(C2703&gt;1,IF(C2703&lt;99,VLOOKUP(C2703,'Babblefish-APUMA'!$A$1:$B$86,2),C2703),C2703)</f>
        <v>90</v>
      </c>
    </row>
    <row r="2704" customFormat="false" ht="12.75" hidden="false" customHeight="false" outlineLevel="0" collapsed="false">
      <c r="A2704" s="0" t="n">
        <f aca="false">B2704*1000+C2704</f>
        <v>43058</v>
      </c>
      <c r="B2704" s="0" t="n">
        <v>43</v>
      </c>
      <c r="C2704" s="0" t="n">
        <v>58</v>
      </c>
      <c r="D2704" s="0" t="n">
        <v>117</v>
      </c>
      <c r="E2704" s="0" t="n">
        <f aca="false">VLOOKUP(B2704,'Babblefish-APUMA'!$A$1:$B$86,2)</f>
        <v>92</v>
      </c>
      <c r="F2704" s="0" t="n">
        <f aca="false">IF(C2704&gt;1,IF(C2704&lt;99,VLOOKUP(C2704,'Babblefish-APUMA'!$A$1:$B$86,2),C2704),C2704)</f>
        <v>90</v>
      </c>
    </row>
    <row r="2705" customFormat="false" ht="12.75" hidden="false" customHeight="false" outlineLevel="0" collapsed="false">
      <c r="A2705" s="0" t="n">
        <f aca="false">B2705*1000+C2705</f>
        <v>43059</v>
      </c>
      <c r="B2705" s="0" t="n">
        <v>43</v>
      </c>
      <c r="C2705" s="0" t="n">
        <v>59</v>
      </c>
      <c r="D2705" s="0" t="n">
        <v>0</v>
      </c>
      <c r="E2705" s="0" t="n">
        <f aca="false">VLOOKUP(B2705,'Babblefish-APUMA'!$A$1:$B$86,2)</f>
        <v>92</v>
      </c>
      <c r="F2705" s="0" t="n">
        <f aca="false">IF(C2705&gt;1,IF(C2705&lt;99,VLOOKUP(C2705,'Babblefish-APUMA'!$A$1:$B$86,2),C2705),C2705)</f>
        <v>90</v>
      </c>
    </row>
    <row r="2706" customFormat="false" ht="12.75" hidden="false" customHeight="false" outlineLevel="0" collapsed="false">
      <c r="A2706" s="0" t="n">
        <f aca="false">B2706*1000+C2706</f>
        <v>43060</v>
      </c>
      <c r="B2706" s="0" t="n">
        <v>43</v>
      </c>
      <c r="C2706" s="0" t="n">
        <v>60</v>
      </c>
      <c r="D2706" s="0" t="n">
        <v>143</v>
      </c>
      <c r="E2706" s="0" t="n">
        <f aca="false">VLOOKUP(B2706,'Babblefish-APUMA'!$A$1:$B$86,2)</f>
        <v>92</v>
      </c>
      <c r="F2706" s="0" t="n">
        <f aca="false">IF(C2706&gt;1,IF(C2706&lt;99,VLOOKUP(C2706,'Babblefish-APUMA'!$A$1:$B$86,2),C2706),C2706)</f>
        <v>90</v>
      </c>
    </row>
    <row r="2707" customFormat="false" ht="12.75" hidden="false" customHeight="false" outlineLevel="0" collapsed="false">
      <c r="A2707" s="0" t="n">
        <f aca="false">B2707*1000+C2707</f>
        <v>43061</v>
      </c>
      <c r="B2707" s="0" t="n">
        <v>43</v>
      </c>
      <c r="C2707" s="0" t="n">
        <v>61</v>
      </c>
      <c r="D2707" s="0" t="n">
        <v>0</v>
      </c>
      <c r="E2707" s="0" t="n">
        <f aca="false">VLOOKUP(B2707,'Babblefish-APUMA'!$A$1:$B$86,2)</f>
        <v>92</v>
      </c>
      <c r="F2707" s="0" t="n">
        <f aca="false">IF(C2707&gt;1,IF(C2707&lt;99,VLOOKUP(C2707,'Babblefish-APUMA'!$A$1:$B$86,2),C2707),C2707)</f>
        <v>90</v>
      </c>
    </row>
    <row r="2708" customFormat="false" ht="12.75" hidden="false" customHeight="false" outlineLevel="0" collapsed="false">
      <c r="A2708" s="0" t="n">
        <f aca="false">B2708*1000+C2708</f>
        <v>43062</v>
      </c>
      <c r="B2708" s="0" t="n">
        <v>43</v>
      </c>
      <c r="C2708" s="0" t="n">
        <v>62</v>
      </c>
      <c r="D2708" s="0" t="n">
        <v>0</v>
      </c>
      <c r="E2708" s="0" t="n">
        <f aca="false">VLOOKUP(B2708,'Babblefish-APUMA'!$A$1:$B$86,2)</f>
        <v>92</v>
      </c>
      <c r="F2708" s="0" t="n">
        <f aca="false">IF(C2708&gt;1,IF(C2708&lt;99,VLOOKUP(C2708,'Babblefish-APUMA'!$A$1:$B$86,2),C2708),C2708)</f>
        <v>90</v>
      </c>
    </row>
    <row r="2709" customFormat="false" ht="12.75" hidden="false" customHeight="false" outlineLevel="0" collapsed="false">
      <c r="A2709" s="0" t="n">
        <f aca="false">B2709*1000+C2709</f>
        <v>43063</v>
      </c>
      <c r="B2709" s="0" t="n">
        <v>43</v>
      </c>
      <c r="C2709" s="0" t="n">
        <v>63</v>
      </c>
      <c r="D2709" s="0" t="n">
        <v>403</v>
      </c>
      <c r="E2709" s="0" t="n">
        <f aca="false">VLOOKUP(B2709,'Babblefish-APUMA'!$A$1:$B$86,2)</f>
        <v>92</v>
      </c>
      <c r="F2709" s="0" t="n">
        <f aca="false">IF(C2709&gt;1,IF(C2709&lt;99,VLOOKUP(C2709,'Babblefish-APUMA'!$A$1:$B$86,2),C2709),C2709)</f>
        <v>90</v>
      </c>
    </row>
    <row r="2710" customFormat="false" ht="12.75" hidden="false" customHeight="false" outlineLevel="0" collapsed="false">
      <c r="A2710" s="0" t="n">
        <f aca="false">B2710*1000+C2710</f>
        <v>43064</v>
      </c>
      <c r="B2710" s="0" t="n">
        <v>43</v>
      </c>
      <c r="C2710" s="0" t="n">
        <v>64</v>
      </c>
      <c r="D2710" s="0" t="n">
        <v>1963</v>
      </c>
      <c r="E2710" s="0" t="n">
        <f aca="false">VLOOKUP(B2710,'Babblefish-APUMA'!$A$1:$B$86,2)</f>
        <v>92</v>
      </c>
      <c r="F2710" s="0" t="n">
        <f aca="false">IF(C2710&gt;1,IF(C2710&lt;99,VLOOKUP(C2710,'Babblefish-APUMA'!$A$1:$B$86,2),C2710),C2710)</f>
        <v>90</v>
      </c>
    </row>
    <row r="2711" customFormat="false" ht="12.75" hidden="false" customHeight="false" outlineLevel="0" collapsed="false">
      <c r="A2711" s="0" t="n">
        <f aca="false">B2711*1000+C2711</f>
        <v>43065</v>
      </c>
      <c r="B2711" s="0" t="n">
        <v>43</v>
      </c>
      <c r="C2711" s="0" t="n">
        <v>65</v>
      </c>
      <c r="D2711" s="0" t="n">
        <v>1482</v>
      </c>
      <c r="E2711" s="0" t="n">
        <f aca="false">VLOOKUP(B2711,'Babblefish-APUMA'!$A$1:$B$86,2)</f>
        <v>92</v>
      </c>
      <c r="F2711" s="0" t="n">
        <f aca="false">IF(C2711&gt;1,IF(C2711&lt;99,VLOOKUP(C2711,'Babblefish-APUMA'!$A$1:$B$86,2),C2711),C2711)</f>
        <v>90</v>
      </c>
    </row>
    <row r="2712" customFormat="false" ht="12.75" hidden="false" customHeight="false" outlineLevel="0" collapsed="false">
      <c r="A2712" s="0" t="n">
        <f aca="false">B2712*1000+C2712</f>
        <v>43066</v>
      </c>
      <c r="B2712" s="0" t="n">
        <v>43</v>
      </c>
      <c r="C2712" s="0" t="n">
        <v>66</v>
      </c>
      <c r="D2712" s="0" t="n">
        <v>507</v>
      </c>
      <c r="E2712" s="0" t="n">
        <f aca="false">VLOOKUP(B2712,'Babblefish-APUMA'!$A$1:$B$86,2)</f>
        <v>92</v>
      </c>
      <c r="F2712" s="0" t="n">
        <f aca="false">IF(C2712&gt;1,IF(C2712&lt;99,VLOOKUP(C2712,'Babblefish-APUMA'!$A$1:$B$86,2),C2712),C2712)</f>
        <v>90</v>
      </c>
    </row>
    <row r="2713" customFormat="false" ht="12.75" hidden="false" customHeight="false" outlineLevel="0" collapsed="false">
      <c r="A2713" s="0" t="n">
        <f aca="false">B2713*1000+C2713</f>
        <v>43067</v>
      </c>
      <c r="B2713" s="0" t="n">
        <v>43</v>
      </c>
      <c r="C2713" s="0" t="n">
        <v>67</v>
      </c>
      <c r="D2713" s="0" t="n">
        <v>0</v>
      </c>
      <c r="E2713" s="0" t="n">
        <f aca="false">VLOOKUP(B2713,'Babblefish-APUMA'!$A$1:$B$86,2)</f>
        <v>92</v>
      </c>
      <c r="F2713" s="0" t="n">
        <f aca="false">IF(C2713&gt;1,IF(C2713&lt;99,VLOOKUP(C2713,'Babblefish-APUMA'!$A$1:$B$86,2),C2713),C2713)</f>
        <v>103</v>
      </c>
    </row>
    <row r="2714" customFormat="false" ht="12.75" hidden="false" customHeight="false" outlineLevel="0" collapsed="false">
      <c r="A2714" s="0" t="n">
        <f aca="false">B2714*1000+C2714</f>
        <v>43068</v>
      </c>
      <c r="B2714" s="0" t="n">
        <v>43</v>
      </c>
      <c r="C2714" s="0" t="n">
        <v>68</v>
      </c>
      <c r="D2714" s="0" t="n">
        <v>0</v>
      </c>
      <c r="E2714" s="0" t="n">
        <f aca="false">VLOOKUP(B2714,'Babblefish-APUMA'!$A$1:$B$86,2)</f>
        <v>92</v>
      </c>
      <c r="F2714" s="0" t="n">
        <f aca="false">IF(C2714&gt;1,IF(C2714&lt;99,VLOOKUP(C2714,'Babblefish-APUMA'!$A$1:$B$86,2),C2714),C2714)</f>
        <v>93</v>
      </c>
    </row>
    <row r="2715" customFormat="false" ht="12.75" hidden="false" customHeight="false" outlineLevel="0" collapsed="false">
      <c r="A2715" s="0" t="n">
        <f aca="false">B2715*1000+C2715</f>
        <v>43069</v>
      </c>
      <c r="B2715" s="0" t="n">
        <v>43</v>
      </c>
      <c r="C2715" s="0" t="n">
        <v>69</v>
      </c>
      <c r="D2715" s="0" t="n">
        <v>325</v>
      </c>
      <c r="E2715" s="0" t="n">
        <f aca="false">VLOOKUP(B2715,'Babblefish-APUMA'!$A$1:$B$86,2)</f>
        <v>92</v>
      </c>
      <c r="F2715" s="0" t="n">
        <f aca="false">IF(C2715&gt;1,IF(C2715&lt;99,VLOOKUP(C2715,'Babblefish-APUMA'!$A$1:$B$86,2),C2715),C2715)</f>
        <v>93</v>
      </c>
    </row>
    <row r="2716" customFormat="false" ht="12.75" hidden="false" customHeight="false" outlineLevel="0" collapsed="false">
      <c r="A2716" s="0" t="n">
        <f aca="false">B2716*1000+C2716</f>
        <v>43071</v>
      </c>
      <c r="B2716" s="0" t="n">
        <v>43</v>
      </c>
      <c r="C2716" s="0" t="n">
        <v>71</v>
      </c>
      <c r="D2716" s="0" t="n">
        <v>104</v>
      </c>
      <c r="E2716" s="0" t="n">
        <f aca="false">VLOOKUP(B2716,'Babblefish-APUMA'!$A$1:$B$86,2)</f>
        <v>92</v>
      </c>
      <c r="F2716" s="0" t="n">
        <f aca="false">IF(C2716&gt;1,IF(C2716&lt;99,VLOOKUP(C2716,'Babblefish-APUMA'!$A$1:$B$86,2),C2716),C2716)</f>
        <v>95</v>
      </c>
    </row>
    <row r="2717" customFormat="false" ht="12.75" hidden="false" customHeight="false" outlineLevel="0" collapsed="false">
      <c r="A2717" s="0" t="n">
        <f aca="false">B2717*1000+C2717</f>
        <v>43072</v>
      </c>
      <c r="B2717" s="0" t="n">
        <v>43</v>
      </c>
      <c r="C2717" s="0" t="n">
        <v>72</v>
      </c>
      <c r="D2717" s="0" t="n">
        <v>481</v>
      </c>
      <c r="E2717" s="0" t="n">
        <f aca="false">VLOOKUP(B2717,'Babblefish-APUMA'!$A$1:$B$86,2)</f>
        <v>92</v>
      </c>
      <c r="F2717" s="0" t="n">
        <f aca="false">IF(C2717&gt;1,IF(C2717&lt;99,VLOOKUP(C2717,'Babblefish-APUMA'!$A$1:$B$86,2),C2717),C2717)</f>
        <v>95</v>
      </c>
    </row>
    <row r="2718" customFormat="false" ht="12.75" hidden="false" customHeight="false" outlineLevel="0" collapsed="false">
      <c r="A2718" s="0" t="n">
        <f aca="false">B2718*1000+C2718</f>
        <v>43073</v>
      </c>
      <c r="B2718" s="0" t="n">
        <v>43</v>
      </c>
      <c r="C2718" s="0" t="n">
        <v>73</v>
      </c>
      <c r="D2718" s="0" t="n">
        <v>0</v>
      </c>
      <c r="E2718" s="0" t="n">
        <f aca="false">VLOOKUP(B2718,'Babblefish-APUMA'!$A$1:$B$86,2)</f>
        <v>92</v>
      </c>
      <c r="F2718" s="0" t="n">
        <f aca="false">IF(C2718&gt;1,IF(C2718&lt;99,VLOOKUP(C2718,'Babblefish-APUMA'!$A$1:$B$86,2),C2718),C2718)</f>
        <v>99</v>
      </c>
    </row>
    <row r="2719" customFormat="false" ht="12.75" hidden="false" customHeight="false" outlineLevel="0" collapsed="false">
      <c r="A2719" s="0" t="n">
        <f aca="false">B2719*1000+C2719</f>
        <v>43075</v>
      </c>
      <c r="B2719" s="0" t="n">
        <v>43</v>
      </c>
      <c r="C2719" s="0" t="n">
        <v>75</v>
      </c>
      <c r="D2719" s="0" t="n">
        <v>0</v>
      </c>
      <c r="E2719" s="0" t="n">
        <f aca="false">VLOOKUP(B2719,'Babblefish-APUMA'!$A$1:$B$86,2)</f>
        <v>92</v>
      </c>
      <c r="F2719" s="0" t="n">
        <f aca="false">IF(C2719&gt;1,IF(C2719&lt;99,VLOOKUP(C2719,'Babblefish-APUMA'!$A$1:$B$86,2),C2719),C2719)</f>
        <v>75</v>
      </c>
    </row>
    <row r="2720" customFormat="false" ht="12.75" hidden="false" customHeight="false" outlineLevel="0" collapsed="false">
      <c r="A2720" s="0" t="n">
        <f aca="false">B2720*1000+C2720</f>
        <v>43076</v>
      </c>
      <c r="B2720" s="0" t="n">
        <v>43</v>
      </c>
      <c r="C2720" s="0" t="n">
        <v>76</v>
      </c>
      <c r="D2720" s="0" t="n">
        <v>0</v>
      </c>
      <c r="E2720" s="0" t="n">
        <f aca="false">VLOOKUP(B2720,'Babblefish-APUMA'!$A$1:$B$86,2)</f>
        <v>92</v>
      </c>
      <c r="F2720" s="0" t="n">
        <f aca="false">IF(C2720&gt;1,IF(C2720&lt;99,VLOOKUP(C2720,'Babblefish-APUMA'!$A$1:$B$86,2),C2720),C2720)</f>
        <v>76</v>
      </c>
    </row>
    <row r="2721" customFormat="false" ht="12.75" hidden="false" customHeight="false" outlineLevel="0" collapsed="false">
      <c r="A2721" s="0" t="n">
        <f aca="false">B2721*1000+C2721</f>
        <v>43077</v>
      </c>
      <c r="B2721" s="0" t="n">
        <v>43</v>
      </c>
      <c r="C2721" s="0" t="n">
        <v>77</v>
      </c>
      <c r="D2721" s="0" t="n">
        <v>0</v>
      </c>
      <c r="E2721" s="0" t="n">
        <f aca="false">VLOOKUP(B2721,'Babblefish-APUMA'!$A$1:$B$86,2)</f>
        <v>92</v>
      </c>
      <c r="F2721" s="0" t="n">
        <f aca="false">IF(C2721&gt;1,IF(C2721&lt;99,VLOOKUP(C2721,'Babblefish-APUMA'!$A$1:$B$86,2),C2721),C2721)</f>
        <v>77</v>
      </c>
    </row>
    <row r="2722" customFormat="false" ht="12.75" hidden="false" customHeight="false" outlineLevel="0" collapsed="false">
      <c r="A2722" s="0" t="n">
        <f aca="false">B2722*1000+C2722</f>
        <v>43079</v>
      </c>
      <c r="B2722" s="0" t="n">
        <v>43</v>
      </c>
      <c r="C2722" s="0" t="n">
        <v>79</v>
      </c>
      <c r="D2722" s="0" t="n">
        <v>0</v>
      </c>
      <c r="E2722" s="0" t="n">
        <f aca="false">VLOOKUP(B2722,'Babblefish-APUMA'!$A$1:$B$86,2)</f>
        <v>92</v>
      </c>
      <c r="F2722" s="0" t="n">
        <f aca="false">IF(C2722&gt;1,IF(C2722&lt;99,VLOOKUP(C2722,'Babblefish-APUMA'!$A$1:$B$86,2),C2722),C2722)</f>
        <v>89</v>
      </c>
    </row>
    <row r="2723" customFormat="false" ht="12.75" hidden="false" customHeight="false" outlineLevel="0" collapsed="false">
      <c r="A2723" s="0" t="n">
        <f aca="false">B2723*1000+C2723</f>
        <v>43080</v>
      </c>
      <c r="B2723" s="0" t="n">
        <v>43</v>
      </c>
      <c r="C2723" s="0" t="n">
        <v>80</v>
      </c>
      <c r="D2723" s="0" t="n">
        <v>0</v>
      </c>
      <c r="E2723" s="0" t="n">
        <f aca="false">VLOOKUP(B2723,'Babblefish-APUMA'!$A$1:$B$86,2)</f>
        <v>92</v>
      </c>
      <c r="F2723" s="0" t="n">
        <f aca="false">IF(C2723&gt;1,IF(C2723&lt;99,VLOOKUP(C2723,'Babblefish-APUMA'!$A$1:$B$86,2),C2723),C2723)</f>
        <v>80</v>
      </c>
    </row>
    <row r="2724" customFormat="false" ht="12.75" hidden="false" customHeight="false" outlineLevel="0" collapsed="false">
      <c r="A2724" s="0" t="n">
        <f aca="false">B2724*1000+C2724</f>
        <v>43081</v>
      </c>
      <c r="B2724" s="0" t="n">
        <v>43</v>
      </c>
      <c r="C2724" s="0" t="n">
        <v>81</v>
      </c>
      <c r="D2724" s="0" t="n">
        <v>0</v>
      </c>
      <c r="E2724" s="0" t="n">
        <f aca="false">VLOOKUP(B2724,'Babblefish-APUMA'!$A$1:$B$86,2)</f>
        <v>92</v>
      </c>
      <c r="F2724" s="0" t="n">
        <f aca="false">IF(C2724&gt;1,IF(C2724&lt;99,VLOOKUP(C2724,'Babblefish-APUMA'!$A$1:$B$86,2),C2724),C2724)</f>
        <v>93</v>
      </c>
    </row>
    <row r="2725" customFormat="false" ht="12.75" hidden="false" customHeight="false" outlineLevel="0" collapsed="false">
      <c r="A2725" s="0" t="n">
        <f aca="false">B2725*1000+C2725</f>
        <v>43082</v>
      </c>
      <c r="B2725" s="0" t="n">
        <v>43</v>
      </c>
      <c r="C2725" s="0" t="n">
        <v>82</v>
      </c>
      <c r="D2725" s="0" t="n">
        <v>0</v>
      </c>
      <c r="E2725" s="0" t="n">
        <f aca="false">VLOOKUP(B2725,'Babblefish-APUMA'!$A$1:$B$86,2)</f>
        <v>92</v>
      </c>
      <c r="F2725" s="0" t="n">
        <f aca="false">IF(C2725&gt;1,IF(C2725&lt;99,VLOOKUP(C2725,'Babblefish-APUMA'!$A$1:$B$86,2),C2725),C2725)</f>
        <v>95</v>
      </c>
    </row>
    <row r="2726" customFormat="false" ht="12.75" hidden="false" customHeight="false" outlineLevel="0" collapsed="false">
      <c r="A2726" s="0" t="n">
        <f aca="false">B2726*1000+C2726</f>
        <v>43083</v>
      </c>
      <c r="B2726" s="0" t="n">
        <v>43</v>
      </c>
      <c r="C2726" s="0" t="n">
        <v>83</v>
      </c>
      <c r="D2726" s="0" t="n">
        <v>0</v>
      </c>
      <c r="E2726" s="0" t="n">
        <f aca="false">VLOOKUP(B2726,'Babblefish-APUMA'!$A$1:$B$86,2)</f>
        <v>92</v>
      </c>
      <c r="F2726" s="0" t="n">
        <f aca="false">IF(C2726&gt;1,IF(C2726&lt;99,VLOOKUP(C2726,'Babblefish-APUMA'!$A$1:$B$86,2),C2726),C2726)</f>
        <v>103</v>
      </c>
    </row>
    <row r="2727" customFormat="false" ht="12.75" hidden="false" customHeight="false" outlineLevel="0" collapsed="false">
      <c r="A2727" s="0" t="n">
        <f aca="false">B2727*1000+C2727</f>
        <v>43084</v>
      </c>
      <c r="B2727" s="0" t="n">
        <v>43</v>
      </c>
      <c r="C2727" s="0" t="n">
        <v>84</v>
      </c>
      <c r="D2727" s="0" t="n">
        <v>1209</v>
      </c>
      <c r="E2727" s="0" t="n">
        <f aca="false">VLOOKUP(B2727,'Babblefish-APUMA'!$A$1:$B$86,2)</f>
        <v>92</v>
      </c>
      <c r="F2727" s="0" t="n">
        <f aca="false">IF(C2727&gt;1,IF(C2727&lt;99,VLOOKUP(C2727,'Babblefish-APUMA'!$A$1:$B$86,2),C2727),C2727)</f>
        <v>92</v>
      </c>
    </row>
    <row r="2728" customFormat="false" ht="12.75" hidden="false" customHeight="false" outlineLevel="0" collapsed="false">
      <c r="A2728" s="0" t="n">
        <f aca="false">B2728*1000+C2728</f>
        <v>43085</v>
      </c>
      <c r="B2728" s="0" t="n">
        <v>43</v>
      </c>
      <c r="C2728" s="0" t="n">
        <v>85</v>
      </c>
      <c r="D2728" s="0" t="n">
        <v>0</v>
      </c>
      <c r="E2728" s="0" t="n">
        <f aca="false">VLOOKUP(B2728,'Babblefish-APUMA'!$A$1:$B$86,2)</f>
        <v>92</v>
      </c>
      <c r="F2728" s="0" t="n">
        <f aca="false">IF(C2728&gt;1,IF(C2728&lt;99,VLOOKUP(C2728,'Babblefish-APUMA'!$A$1:$B$86,2),C2728),C2728)</f>
        <v>97</v>
      </c>
    </row>
    <row r="2729" customFormat="false" ht="12.75" hidden="false" customHeight="false" outlineLevel="0" collapsed="false">
      <c r="A2729" s="0" t="n">
        <f aca="false">B2729*1000+C2729</f>
        <v>43858</v>
      </c>
      <c r="B2729" s="0" t="n">
        <v>43</v>
      </c>
      <c r="C2729" s="0" t="n">
        <v>858</v>
      </c>
      <c r="D2729" s="0" t="n">
        <v>0</v>
      </c>
      <c r="E2729" s="0" t="n">
        <f aca="false">VLOOKUP(B2729,'Babblefish-APUMA'!$A$1:$B$86,2)</f>
        <v>92</v>
      </c>
      <c r="F2729" s="0" t="n">
        <f aca="false">IF(C2729&gt;1,IF(C2729&lt;99,VLOOKUP(C2729,'Babblefish-APUMA'!$A$1:$B$86,2),C2729),C2729)</f>
        <v>858</v>
      </c>
    </row>
    <row r="2730" customFormat="false" ht="12.75" hidden="false" customHeight="false" outlineLevel="0" collapsed="false">
      <c r="A2730" s="0" t="n">
        <f aca="false">B2730*1000+C2730</f>
        <v>43983</v>
      </c>
      <c r="B2730" s="0" t="n">
        <v>43</v>
      </c>
      <c r="C2730" s="0" t="n">
        <v>983</v>
      </c>
      <c r="D2730" s="0" t="n">
        <v>0</v>
      </c>
      <c r="E2730" s="0" t="n">
        <f aca="false">VLOOKUP(B2730,'Babblefish-APUMA'!$A$1:$B$86,2)</f>
        <v>92</v>
      </c>
      <c r="F2730" s="0" t="n">
        <f aca="false">IF(C2730&gt;1,IF(C2730&lt;99,VLOOKUP(C2730,'Babblefish-APUMA'!$A$1:$B$86,2),C2730),C2730)</f>
        <v>983</v>
      </c>
    </row>
    <row r="2731" customFormat="false" ht="12.75" hidden="false" customHeight="false" outlineLevel="0" collapsed="false">
      <c r="A2731" s="0" t="n">
        <f aca="false">B2731*1000+C2731</f>
        <v>43999</v>
      </c>
      <c r="B2731" s="0" t="n">
        <v>43</v>
      </c>
      <c r="C2731" s="0" t="n">
        <v>999</v>
      </c>
      <c r="D2731" s="0" t="n">
        <v>104</v>
      </c>
      <c r="E2731" s="0" t="n">
        <f aca="false">VLOOKUP(B2731,'Babblefish-APUMA'!$A$1:$B$86,2)</f>
        <v>92</v>
      </c>
      <c r="F2731" s="0" t="n">
        <f aca="false">IF(C2731&gt;1,IF(C2731&lt;99,VLOOKUP(C2731,'Babblefish-APUMA'!$A$1:$B$86,2),C2731),C2731)</f>
        <v>999</v>
      </c>
    </row>
    <row r="2732" customFormat="false" ht="12.75" hidden="false" customHeight="false" outlineLevel="0" collapsed="false">
      <c r="A2732" s="0" t="n">
        <f aca="false">B2732*1000+C2732</f>
        <v>44000</v>
      </c>
      <c r="B2732" s="0" t="n">
        <v>44</v>
      </c>
      <c r="C2732" s="0" t="n">
        <v>0</v>
      </c>
      <c r="D2732" s="0" t="n">
        <v>60294</v>
      </c>
      <c r="E2732" s="0" t="n">
        <f aca="false">VLOOKUP(B2732,'Babblefish-APUMA'!$A$1:$B$86,2)</f>
        <v>92</v>
      </c>
      <c r="F2732" s="0" t="n">
        <f aca="false">IF(C2732&gt;1,IF(C2732&lt;99,VLOOKUP(C2732,'Babblefish-APUMA'!$A$1:$B$86,2),C2732),C2732)</f>
        <v>0</v>
      </c>
    </row>
    <row r="2733" customFormat="false" ht="12.75" hidden="false" customHeight="false" outlineLevel="0" collapsed="false">
      <c r="A2733" s="0" t="n">
        <f aca="false">B2733*1000+C2733</f>
        <v>44001</v>
      </c>
      <c r="B2733" s="0" t="n">
        <v>44</v>
      </c>
      <c r="C2733" s="0" t="n">
        <v>1</v>
      </c>
      <c r="D2733" s="0" t="n">
        <v>0</v>
      </c>
      <c r="E2733" s="0" t="n">
        <f aca="false">VLOOKUP(B2733,'Babblefish-APUMA'!$A$1:$B$86,2)</f>
        <v>92</v>
      </c>
      <c r="F2733" s="0" t="n">
        <f aca="false">IF(C2733&gt;1,IF(C2733&lt;99,VLOOKUP(C2733,'Babblefish-APUMA'!$A$1:$B$86,2),C2733),C2733)</f>
        <v>1</v>
      </c>
    </row>
    <row r="2734" customFormat="false" ht="12.75" hidden="false" customHeight="false" outlineLevel="0" collapsed="false">
      <c r="A2734" s="0" t="n">
        <f aca="false">B2734*1000+C2734</f>
        <v>44002</v>
      </c>
      <c r="B2734" s="0" t="n">
        <v>44</v>
      </c>
      <c r="C2734" s="0" t="n">
        <v>2</v>
      </c>
      <c r="D2734" s="0" t="n">
        <v>0</v>
      </c>
      <c r="E2734" s="0" t="n">
        <f aca="false">VLOOKUP(B2734,'Babblefish-APUMA'!$A$1:$B$86,2)</f>
        <v>92</v>
      </c>
      <c r="F2734" s="0" t="n">
        <f aca="false">IF(C2734&gt;1,IF(C2734&lt;99,VLOOKUP(C2734,'Babblefish-APUMA'!$A$1:$B$86,2),C2734),C2734)</f>
        <v>2</v>
      </c>
    </row>
    <row r="2735" customFormat="false" ht="12.75" hidden="false" customHeight="false" outlineLevel="0" collapsed="false">
      <c r="A2735" s="0" t="n">
        <f aca="false">B2735*1000+C2735</f>
        <v>44003</v>
      </c>
      <c r="B2735" s="0" t="n">
        <v>44</v>
      </c>
      <c r="C2735" s="0" t="n">
        <v>3</v>
      </c>
      <c r="D2735" s="0" t="n">
        <v>0</v>
      </c>
      <c r="E2735" s="0" t="n">
        <f aca="false">VLOOKUP(B2735,'Babblefish-APUMA'!$A$1:$B$86,2)</f>
        <v>92</v>
      </c>
      <c r="F2735" s="0" t="n">
        <f aca="false">IF(C2735&gt;1,IF(C2735&lt;99,VLOOKUP(C2735,'Babblefish-APUMA'!$A$1:$B$86,2),C2735),C2735)</f>
        <v>3</v>
      </c>
    </row>
    <row r="2736" customFormat="false" ht="12.75" hidden="false" customHeight="false" outlineLevel="0" collapsed="false">
      <c r="A2736" s="0" t="n">
        <f aca="false">B2736*1000+C2736</f>
        <v>44004</v>
      </c>
      <c r="B2736" s="0" t="n">
        <v>44</v>
      </c>
      <c r="C2736" s="0" t="n">
        <v>4</v>
      </c>
      <c r="D2736" s="0" t="n">
        <v>0</v>
      </c>
      <c r="E2736" s="0" t="n">
        <f aca="false">VLOOKUP(B2736,'Babblefish-APUMA'!$A$1:$B$86,2)</f>
        <v>92</v>
      </c>
      <c r="F2736" s="0" t="n">
        <f aca="false">IF(C2736&gt;1,IF(C2736&lt;99,VLOOKUP(C2736,'Babblefish-APUMA'!$A$1:$B$86,2),C2736),C2736)</f>
        <v>4</v>
      </c>
    </row>
    <row r="2737" customFormat="false" ht="12.75" hidden="false" customHeight="false" outlineLevel="0" collapsed="false">
      <c r="A2737" s="0" t="n">
        <f aca="false">B2737*1000+C2737</f>
        <v>44005</v>
      </c>
      <c r="B2737" s="0" t="n">
        <v>44</v>
      </c>
      <c r="C2737" s="0" t="n">
        <v>5</v>
      </c>
      <c r="D2737" s="0" t="n">
        <v>0</v>
      </c>
      <c r="E2737" s="0" t="n">
        <f aca="false">VLOOKUP(B2737,'Babblefish-APUMA'!$A$1:$B$86,2)</f>
        <v>92</v>
      </c>
      <c r="F2737" s="0" t="n">
        <f aca="false">IF(C2737&gt;1,IF(C2737&lt;99,VLOOKUP(C2737,'Babblefish-APUMA'!$A$1:$B$86,2),C2737),C2737)</f>
        <v>5</v>
      </c>
    </row>
    <row r="2738" customFormat="false" ht="12.75" hidden="false" customHeight="false" outlineLevel="0" collapsed="false">
      <c r="A2738" s="0" t="n">
        <f aca="false">B2738*1000+C2738</f>
        <v>44006</v>
      </c>
      <c r="B2738" s="0" t="n">
        <v>44</v>
      </c>
      <c r="C2738" s="0" t="n">
        <v>6</v>
      </c>
      <c r="D2738" s="0" t="n">
        <v>0</v>
      </c>
      <c r="E2738" s="0" t="n">
        <f aca="false">VLOOKUP(B2738,'Babblefish-APUMA'!$A$1:$B$86,2)</f>
        <v>92</v>
      </c>
      <c r="F2738" s="0" t="n">
        <f aca="false">IF(C2738&gt;1,IF(C2738&lt;99,VLOOKUP(C2738,'Babblefish-APUMA'!$A$1:$B$86,2),C2738),C2738)</f>
        <v>6</v>
      </c>
    </row>
    <row r="2739" customFormat="false" ht="12.75" hidden="false" customHeight="false" outlineLevel="0" collapsed="false">
      <c r="A2739" s="0" t="n">
        <f aca="false">B2739*1000+C2739</f>
        <v>44007</v>
      </c>
      <c r="B2739" s="0" t="n">
        <v>44</v>
      </c>
      <c r="C2739" s="0" t="n">
        <v>7</v>
      </c>
      <c r="D2739" s="0" t="n">
        <v>0</v>
      </c>
      <c r="E2739" s="0" t="n">
        <f aca="false">VLOOKUP(B2739,'Babblefish-APUMA'!$A$1:$B$86,2)</f>
        <v>92</v>
      </c>
      <c r="F2739" s="0" t="n">
        <f aca="false">IF(C2739&gt;1,IF(C2739&lt;99,VLOOKUP(C2739,'Babblefish-APUMA'!$A$1:$B$86,2),C2739),C2739)</f>
        <v>7</v>
      </c>
    </row>
    <row r="2740" customFormat="false" ht="12.75" hidden="false" customHeight="false" outlineLevel="0" collapsed="false">
      <c r="A2740" s="0" t="n">
        <f aca="false">B2740*1000+C2740</f>
        <v>44008</v>
      </c>
      <c r="B2740" s="0" t="n">
        <v>44</v>
      </c>
      <c r="C2740" s="0" t="n">
        <v>8</v>
      </c>
      <c r="D2740" s="0" t="n">
        <v>0</v>
      </c>
      <c r="E2740" s="0" t="n">
        <f aca="false">VLOOKUP(B2740,'Babblefish-APUMA'!$A$1:$B$86,2)</f>
        <v>92</v>
      </c>
      <c r="F2740" s="0" t="n">
        <f aca="false">IF(C2740&gt;1,IF(C2740&lt;99,VLOOKUP(C2740,'Babblefish-APUMA'!$A$1:$B$86,2),C2740),C2740)</f>
        <v>8</v>
      </c>
    </row>
    <row r="2741" customFormat="false" ht="12.75" hidden="false" customHeight="false" outlineLevel="0" collapsed="false">
      <c r="A2741" s="0" t="n">
        <f aca="false">B2741*1000+C2741</f>
        <v>44009</v>
      </c>
      <c r="B2741" s="0" t="n">
        <v>44</v>
      </c>
      <c r="C2741" s="0" t="n">
        <v>9</v>
      </c>
      <c r="D2741" s="0" t="n">
        <v>0</v>
      </c>
      <c r="E2741" s="0" t="n">
        <f aca="false">VLOOKUP(B2741,'Babblefish-APUMA'!$A$1:$B$86,2)</f>
        <v>92</v>
      </c>
      <c r="F2741" s="0" t="n">
        <f aca="false">IF(C2741&gt;1,IF(C2741&lt;99,VLOOKUP(C2741,'Babblefish-APUMA'!$A$1:$B$86,2),C2741),C2741)</f>
        <v>9</v>
      </c>
    </row>
    <row r="2742" customFormat="false" ht="12.75" hidden="false" customHeight="false" outlineLevel="0" collapsed="false">
      <c r="A2742" s="0" t="n">
        <f aca="false">B2742*1000+C2742</f>
        <v>44010</v>
      </c>
      <c r="B2742" s="0" t="n">
        <v>44</v>
      </c>
      <c r="C2742" s="0" t="n">
        <v>10</v>
      </c>
      <c r="D2742" s="0" t="n">
        <v>0</v>
      </c>
      <c r="E2742" s="0" t="n">
        <f aca="false">VLOOKUP(B2742,'Babblefish-APUMA'!$A$1:$B$86,2)</f>
        <v>92</v>
      </c>
      <c r="F2742" s="0" t="n">
        <f aca="false">IF(C2742&gt;1,IF(C2742&lt;99,VLOOKUP(C2742,'Babblefish-APUMA'!$A$1:$B$86,2),C2742),C2742)</f>
        <v>10</v>
      </c>
    </row>
    <row r="2743" customFormat="false" ht="12.75" hidden="false" customHeight="false" outlineLevel="0" collapsed="false">
      <c r="A2743" s="0" t="n">
        <f aca="false">B2743*1000+C2743</f>
        <v>44011</v>
      </c>
      <c r="B2743" s="0" t="n">
        <v>44</v>
      </c>
      <c r="C2743" s="0" t="n">
        <v>11</v>
      </c>
      <c r="D2743" s="0" t="n">
        <v>169</v>
      </c>
      <c r="E2743" s="0" t="n">
        <f aca="false">VLOOKUP(B2743,'Babblefish-APUMA'!$A$1:$B$86,2)</f>
        <v>92</v>
      </c>
      <c r="F2743" s="0" t="n">
        <f aca="false">IF(C2743&gt;1,IF(C2743&lt;99,VLOOKUP(C2743,'Babblefish-APUMA'!$A$1:$B$86,2),C2743),C2743)</f>
        <v>11</v>
      </c>
    </row>
    <row r="2744" customFormat="false" ht="12.75" hidden="false" customHeight="false" outlineLevel="0" collapsed="false">
      <c r="A2744" s="0" t="n">
        <f aca="false">B2744*1000+C2744</f>
        <v>44012</v>
      </c>
      <c r="B2744" s="0" t="n">
        <v>44</v>
      </c>
      <c r="C2744" s="0" t="n">
        <v>12</v>
      </c>
      <c r="D2744" s="0" t="n">
        <v>0</v>
      </c>
      <c r="E2744" s="0" t="n">
        <f aca="false">VLOOKUP(B2744,'Babblefish-APUMA'!$A$1:$B$86,2)</f>
        <v>92</v>
      </c>
      <c r="F2744" s="0" t="n">
        <f aca="false">IF(C2744&gt;1,IF(C2744&lt;99,VLOOKUP(C2744,'Babblefish-APUMA'!$A$1:$B$86,2),C2744),C2744)</f>
        <v>12</v>
      </c>
    </row>
    <row r="2745" customFormat="false" ht="12.75" hidden="false" customHeight="false" outlineLevel="0" collapsed="false">
      <c r="A2745" s="0" t="n">
        <f aca="false">B2745*1000+C2745</f>
        <v>44013</v>
      </c>
      <c r="B2745" s="0" t="n">
        <v>44</v>
      </c>
      <c r="C2745" s="0" t="n">
        <v>13</v>
      </c>
      <c r="D2745" s="0" t="n">
        <v>0</v>
      </c>
      <c r="E2745" s="0" t="n">
        <f aca="false">VLOOKUP(B2745,'Babblefish-APUMA'!$A$1:$B$86,2)</f>
        <v>92</v>
      </c>
      <c r="F2745" s="0" t="n">
        <f aca="false">IF(C2745&gt;1,IF(C2745&lt;99,VLOOKUP(C2745,'Babblefish-APUMA'!$A$1:$B$86,2),C2745),C2745)</f>
        <v>100</v>
      </c>
    </row>
    <row r="2746" customFormat="false" ht="12.75" hidden="false" customHeight="false" outlineLevel="0" collapsed="false">
      <c r="A2746" s="0" t="n">
        <f aca="false">B2746*1000+C2746</f>
        <v>44014</v>
      </c>
      <c r="B2746" s="0" t="n">
        <v>44</v>
      </c>
      <c r="C2746" s="0" t="n">
        <v>14</v>
      </c>
      <c r="D2746" s="0" t="n">
        <v>0</v>
      </c>
      <c r="E2746" s="0" t="n">
        <f aca="false">VLOOKUP(B2746,'Babblefish-APUMA'!$A$1:$B$86,2)</f>
        <v>92</v>
      </c>
      <c r="F2746" s="0" t="n">
        <f aca="false">IF(C2746&gt;1,IF(C2746&lt;99,VLOOKUP(C2746,'Babblefish-APUMA'!$A$1:$B$86,2),C2746),C2746)</f>
        <v>100</v>
      </c>
    </row>
    <row r="2747" customFormat="false" ht="12.75" hidden="false" customHeight="false" outlineLevel="0" collapsed="false">
      <c r="A2747" s="0" t="n">
        <f aca="false">B2747*1000+C2747</f>
        <v>44015</v>
      </c>
      <c r="B2747" s="0" t="n">
        <v>44</v>
      </c>
      <c r="C2747" s="0" t="n">
        <v>15</v>
      </c>
      <c r="D2747" s="0" t="n">
        <v>0</v>
      </c>
      <c r="E2747" s="0" t="n">
        <f aca="false">VLOOKUP(B2747,'Babblefish-APUMA'!$A$1:$B$86,2)</f>
        <v>92</v>
      </c>
      <c r="F2747" s="0" t="n">
        <f aca="false">IF(C2747&gt;1,IF(C2747&lt;99,VLOOKUP(C2747,'Babblefish-APUMA'!$A$1:$B$86,2),C2747),C2747)</f>
        <v>15</v>
      </c>
    </row>
    <row r="2748" customFormat="false" ht="12.75" hidden="false" customHeight="false" outlineLevel="0" collapsed="false">
      <c r="A2748" s="0" t="n">
        <f aca="false">B2748*1000+C2748</f>
        <v>44016</v>
      </c>
      <c r="B2748" s="0" t="n">
        <v>44</v>
      </c>
      <c r="C2748" s="0" t="n">
        <v>16</v>
      </c>
      <c r="D2748" s="0" t="n">
        <v>0</v>
      </c>
      <c r="E2748" s="0" t="n">
        <f aca="false">VLOOKUP(B2748,'Babblefish-APUMA'!$A$1:$B$86,2)</f>
        <v>92</v>
      </c>
      <c r="F2748" s="0" t="n">
        <f aca="false">IF(C2748&gt;1,IF(C2748&lt;99,VLOOKUP(C2748,'Babblefish-APUMA'!$A$1:$B$86,2),C2748),C2748)</f>
        <v>99</v>
      </c>
    </row>
    <row r="2749" customFormat="false" ht="12.75" hidden="false" customHeight="false" outlineLevel="0" collapsed="false">
      <c r="A2749" s="0" t="n">
        <f aca="false">B2749*1000+C2749</f>
        <v>44017</v>
      </c>
      <c r="B2749" s="0" t="n">
        <v>44</v>
      </c>
      <c r="C2749" s="0" t="n">
        <v>17</v>
      </c>
      <c r="D2749" s="0" t="n">
        <v>0</v>
      </c>
      <c r="E2749" s="0" t="n">
        <f aca="false">VLOOKUP(B2749,'Babblefish-APUMA'!$A$1:$B$86,2)</f>
        <v>92</v>
      </c>
      <c r="F2749" s="0" t="n">
        <f aca="false">IF(C2749&gt;1,IF(C2749&lt;99,VLOOKUP(C2749,'Babblefish-APUMA'!$A$1:$B$86,2),C2749),C2749)</f>
        <v>87</v>
      </c>
    </row>
    <row r="2750" customFormat="false" ht="12.75" hidden="false" customHeight="false" outlineLevel="0" collapsed="false">
      <c r="A2750" s="0" t="n">
        <f aca="false">B2750*1000+C2750</f>
        <v>44018</v>
      </c>
      <c r="B2750" s="0" t="n">
        <v>44</v>
      </c>
      <c r="C2750" s="0" t="n">
        <v>18</v>
      </c>
      <c r="D2750" s="0" t="n">
        <v>0</v>
      </c>
      <c r="E2750" s="0" t="n">
        <f aca="false">VLOOKUP(B2750,'Babblefish-APUMA'!$A$1:$B$86,2)</f>
        <v>92</v>
      </c>
      <c r="F2750" s="0" t="n">
        <f aca="false">IF(C2750&gt;1,IF(C2750&lt;99,VLOOKUP(C2750,'Babblefish-APUMA'!$A$1:$B$86,2),C2750),C2750)</f>
        <v>87</v>
      </c>
    </row>
    <row r="2751" customFormat="false" ht="12.75" hidden="false" customHeight="false" outlineLevel="0" collapsed="false">
      <c r="A2751" s="0" t="n">
        <f aca="false">B2751*1000+C2751</f>
        <v>44019</v>
      </c>
      <c r="B2751" s="0" t="n">
        <v>44</v>
      </c>
      <c r="C2751" s="0" t="n">
        <v>19</v>
      </c>
      <c r="D2751" s="0" t="n">
        <v>0</v>
      </c>
      <c r="E2751" s="0" t="n">
        <f aca="false">VLOOKUP(B2751,'Babblefish-APUMA'!$A$1:$B$86,2)</f>
        <v>92</v>
      </c>
      <c r="F2751" s="0" t="n">
        <f aca="false">IF(C2751&gt;1,IF(C2751&lt;99,VLOOKUP(C2751,'Babblefish-APUMA'!$A$1:$B$86,2),C2751),C2751)</f>
        <v>19</v>
      </c>
    </row>
    <row r="2752" customFormat="false" ht="12.75" hidden="false" customHeight="false" outlineLevel="0" collapsed="false">
      <c r="A2752" s="0" t="n">
        <f aca="false">B2752*1000+C2752</f>
        <v>44020</v>
      </c>
      <c r="B2752" s="0" t="n">
        <v>44</v>
      </c>
      <c r="C2752" s="0" t="n">
        <v>20</v>
      </c>
      <c r="D2752" s="0" t="n">
        <v>0</v>
      </c>
      <c r="E2752" s="0" t="n">
        <f aca="false">VLOOKUP(B2752,'Babblefish-APUMA'!$A$1:$B$86,2)</f>
        <v>92</v>
      </c>
      <c r="F2752" s="0" t="n">
        <f aca="false">IF(C2752&gt;1,IF(C2752&lt;99,VLOOKUP(C2752,'Babblefish-APUMA'!$A$1:$B$86,2),C2752),C2752)</f>
        <v>86</v>
      </c>
    </row>
    <row r="2753" customFormat="false" ht="12.75" hidden="false" customHeight="false" outlineLevel="0" collapsed="false">
      <c r="A2753" s="0" t="n">
        <f aca="false">B2753*1000+C2753</f>
        <v>44021</v>
      </c>
      <c r="B2753" s="0" t="n">
        <v>44</v>
      </c>
      <c r="C2753" s="0" t="n">
        <v>21</v>
      </c>
      <c r="D2753" s="0" t="n">
        <v>0</v>
      </c>
      <c r="E2753" s="0" t="n">
        <f aca="false">VLOOKUP(B2753,'Babblefish-APUMA'!$A$1:$B$86,2)</f>
        <v>92</v>
      </c>
      <c r="F2753" s="0" t="n">
        <f aca="false">IF(C2753&gt;1,IF(C2753&lt;99,VLOOKUP(C2753,'Babblefish-APUMA'!$A$1:$B$86,2),C2753),C2753)</f>
        <v>86</v>
      </c>
    </row>
    <row r="2754" customFormat="false" ht="12.75" hidden="false" customHeight="false" outlineLevel="0" collapsed="false">
      <c r="A2754" s="0" t="n">
        <f aca="false">B2754*1000+C2754</f>
        <v>44022</v>
      </c>
      <c r="B2754" s="0" t="n">
        <v>44</v>
      </c>
      <c r="C2754" s="0" t="n">
        <v>22</v>
      </c>
      <c r="D2754" s="0" t="n">
        <v>0</v>
      </c>
      <c r="E2754" s="0" t="n">
        <f aca="false">VLOOKUP(B2754,'Babblefish-APUMA'!$A$1:$B$86,2)</f>
        <v>92</v>
      </c>
      <c r="F2754" s="0" t="n">
        <f aca="false">IF(C2754&gt;1,IF(C2754&lt;99,VLOOKUP(C2754,'Babblefish-APUMA'!$A$1:$B$86,2),C2754),C2754)</f>
        <v>22</v>
      </c>
    </row>
    <row r="2755" customFormat="false" ht="12.75" hidden="false" customHeight="false" outlineLevel="0" collapsed="false">
      <c r="A2755" s="0" t="n">
        <f aca="false">B2755*1000+C2755</f>
        <v>44023</v>
      </c>
      <c r="B2755" s="0" t="n">
        <v>44</v>
      </c>
      <c r="C2755" s="0" t="n">
        <v>23</v>
      </c>
      <c r="D2755" s="0" t="n">
        <v>0</v>
      </c>
      <c r="E2755" s="0" t="n">
        <f aca="false">VLOOKUP(B2755,'Babblefish-APUMA'!$A$1:$B$86,2)</f>
        <v>92</v>
      </c>
      <c r="F2755" s="0" t="n">
        <f aca="false">IF(C2755&gt;1,IF(C2755&lt;99,VLOOKUP(C2755,'Babblefish-APUMA'!$A$1:$B$86,2),C2755),C2755)</f>
        <v>97</v>
      </c>
    </row>
    <row r="2756" customFormat="false" ht="12.75" hidden="false" customHeight="false" outlineLevel="0" collapsed="false">
      <c r="A2756" s="0" t="n">
        <f aca="false">B2756*1000+C2756</f>
        <v>44024</v>
      </c>
      <c r="B2756" s="0" t="n">
        <v>44</v>
      </c>
      <c r="C2756" s="0" t="n">
        <v>24</v>
      </c>
      <c r="D2756" s="0" t="n">
        <v>0</v>
      </c>
      <c r="E2756" s="0" t="n">
        <f aca="false">VLOOKUP(B2756,'Babblefish-APUMA'!$A$1:$B$86,2)</f>
        <v>92</v>
      </c>
      <c r="F2756" s="0" t="n">
        <f aca="false">IF(C2756&gt;1,IF(C2756&lt;99,VLOOKUP(C2756,'Babblefish-APUMA'!$A$1:$B$86,2),C2756),C2756)</f>
        <v>101</v>
      </c>
    </row>
    <row r="2757" customFormat="false" ht="12.75" hidden="false" customHeight="false" outlineLevel="0" collapsed="false">
      <c r="A2757" s="0" t="n">
        <f aca="false">B2757*1000+C2757</f>
        <v>44025</v>
      </c>
      <c r="B2757" s="0" t="n">
        <v>44</v>
      </c>
      <c r="C2757" s="0" t="n">
        <v>25</v>
      </c>
      <c r="D2757" s="0" t="n">
        <v>0</v>
      </c>
      <c r="E2757" s="0" t="n">
        <f aca="false">VLOOKUP(B2757,'Babblefish-APUMA'!$A$1:$B$86,2)</f>
        <v>92</v>
      </c>
      <c r="F2757" s="0" t="n">
        <f aca="false">IF(C2757&gt;1,IF(C2757&lt;99,VLOOKUP(C2757,'Babblefish-APUMA'!$A$1:$B$86,2),C2757),C2757)</f>
        <v>101</v>
      </c>
    </row>
    <row r="2758" customFormat="false" ht="12.75" hidden="false" customHeight="false" outlineLevel="0" collapsed="false">
      <c r="A2758" s="0" t="n">
        <f aca="false">B2758*1000+C2758</f>
        <v>44026</v>
      </c>
      <c r="B2758" s="0" t="n">
        <v>44</v>
      </c>
      <c r="C2758" s="0" t="n">
        <v>26</v>
      </c>
      <c r="D2758" s="0" t="n">
        <v>0</v>
      </c>
      <c r="E2758" s="0" t="n">
        <f aca="false">VLOOKUP(B2758,'Babblefish-APUMA'!$A$1:$B$86,2)</f>
        <v>92</v>
      </c>
      <c r="F2758" s="0" t="n">
        <f aca="false">IF(C2758&gt;1,IF(C2758&lt;99,VLOOKUP(C2758,'Babblefish-APUMA'!$A$1:$B$86,2),C2758),C2758)</f>
        <v>26</v>
      </c>
    </row>
    <row r="2759" customFormat="false" ht="12.75" hidden="false" customHeight="false" outlineLevel="0" collapsed="false">
      <c r="A2759" s="0" t="n">
        <f aca="false">B2759*1000+C2759</f>
        <v>44027</v>
      </c>
      <c r="B2759" s="0" t="n">
        <v>44</v>
      </c>
      <c r="C2759" s="0" t="n">
        <v>27</v>
      </c>
      <c r="D2759" s="0" t="n">
        <v>0</v>
      </c>
      <c r="E2759" s="0" t="n">
        <f aca="false">VLOOKUP(B2759,'Babblefish-APUMA'!$A$1:$B$86,2)</f>
        <v>92</v>
      </c>
      <c r="F2759" s="0" t="n">
        <f aca="false">IF(C2759&gt;1,IF(C2759&lt;99,VLOOKUP(C2759,'Babblefish-APUMA'!$A$1:$B$86,2),C2759),C2759)</f>
        <v>27</v>
      </c>
    </row>
    <row r="2760" customFormat="false" ht="12.75" hidden="false" customHeight="false" outlineLevel="0" collapsed="false">
      <c r="A2760" s="0" t="n">
        <f aca="false">B2760*1000+C2760</f>
        <v>44028</v>
      </c>
      <c r="B2760" s="0" t="n">
        <v>44</v>
      </c>
      <c r="C2760" s="0" t="n">
        <v>28</v>
      </c>
      <c r="D2760" s="0" t="n">
        <v>0</v>
      </c>
      <c r="E2760" s="0" t="n">
        <f aca="false">VLOOKUP(B2760,'Babblefish-APUMA'!$A$1:$B$86,2)</f>
        <v>92</v>
      </c>
      <c r="F2760" s="0" t="n">
        <f aca="false">IF(C2760&gt;1,IF(C2760&lt;99,VLOOKUP(C2760,'Babblefish-APUMA'!$A$1:$B$86,2),C2760),C2760)</f>
        <v>94</v>
      </c>
    </row>
    <row r="2761" customFormat="false" ht="12.75" hidden="false" customHeight="false" outlineLevel="0" collapsed="false">
      <c r="A2761" s="0" t="n">
        <f aca="false">B2761*1000+C2761</f>
        <v>44029</v>
      </c>
      <c r="B2761" s="0" t="n">
        <v>44</v>
      </c>
      <c r="C2761" s="0" t="n">
        <v>29</v>
      </c>
      <c r="D2761" s="0" t="n">
        <v>0</v>
      </c>
      <c r="E2761" s="0" t="n">
        <f aca="false">VLOOKUP(B2761,'Babblefish-APUMA'!$A$1:$B$86,2)</f>
        <v>92</v>
      </c>
      <c r="F2761" s="0" t="n">
        <f aca="false">IF(C2761&gt;1,IF(C2761&lt;99,VLOOKUP(C2761,'Babblefish-APUMA'!$A$1:$B$86,2),C2761),C2761)</f>
        <v>94</v>
      </c>
    </row>
    <row r="2762" customFormat="false" ht="12.75" hidden="false" customHeight="false" outlineLevel="0" collapsed="false">
      <c r="A2762" s="0" t="n">
        <f aca="false">B2762*1000+C2762</f>
        <v>44030</v>
      </c>
      <c r="B2762" s="0" t="n">
        <v>44</v>
      </c>
      <c r="C2762" s="0" t="n">
        <v>30</v>
      </c>
      <c r="D2762" s="0" t="n">
        <v>0</v>
      </c>
      <c r="E2762" s="0" t="n">
        <f aca="false">VLOOKUP(B2762,'Babblefish-APUMA'!$A$1:$B$86,2)</f>
        <v>92</v>
      </c>
      <c r="F2762" s="0" t="n">
        <f aca="false">IF(C2762&gt;1,IF(C2762&lt;99,VLOOKUP(C2762,'Babblefish-APUMA'!$A$1:$B$86,2),C2762),C2762)</f>
        <v>30</v>
      </c>
    </row>
    <row r="2763" customFormat="false" ht="12.75" hidden="false" customHeight="false" outlineLevel="0" collapsed="false">
      <c r="A2763" s="0" t="n">
        <f aca="false">B2763*1000+C2763</f>
        <v>44031</v>
      </c>
      <c r="B2763" s="0" t="n">
        <v>44</v>
      </c>
      <c r="C2763" s="0" t="n">
        <v>31</v>
      </c>
      <c r="D2763" s="0" t="n">
        <v>0</v>
      </c>
      <c r="E2763" s="0" t="n">
        <f aca="false">VLOOKUP(B2763,'Babblefish-APUMA'!$A$1:$B$86,2)</f>
        <v>92</v>
      </c>
      <c r="F2763" s="0" t="n">
        <f aca="false">IF(C2763&gt;1,IF(C2763&lt;99,VLOOKUP(C2763,'Babblefish-APUMA'!$A$1:$B$86,2),C2763),C2763)</f>
        <v>31</v>
      </c>
    </row>
    <row r="2764" customFormat="false" ht="12.75" hidden="false" customHeight="false" outlineLevel="0" collapsed="false">
      <c r="A2764" s="0" t="n">
        <f aca="false">B2764*1000+C2764</f>
        <v>44032</v>
      </c>
      <c r="B2764" s="0" t="n">
        <v>44</v>
      </c>
      <c r="C2764" s="0" t="n">
        <v>32</v>
      </c>
      <c r="D2764" s="0" t="n">
        <v>0</v>
      </c>
      <c r="E2764" s="0" t="n">
        <f aca="false">VLOOKUP(B2764,'Babblefish-APUMA'!$A$1:$B$86,2)</f>
        <v>92</v>
      </c>
      <c r="F2764" s="0" t="n">
        <f aca="false">IF(C2764&gt;1,IF(C2764&lt;99,VLOOKUP(C2764,'Babblefish-APUMA'!$A$1:$B$86,2),C2764),C2764)</f>
        <v>32</v>
      </c>
    </row>
    <row r="2765" customFormat="false" ht="12.75" hidden="false" customHeight="false" outlineLevel="0" collapsed="false">
      <c r="A2765" s="0" t="n">
        <f aca="false">B2765*1000+C2765</f>
        <v>44033</v>
      </c>
      <c r="B2765" s="0" t="n">
        <v>44</v>
      </c>
      <c r="C2765" s="0" t="n">
        <v>33</v>
      </c>
      <c r="D2765" s="0" t="n">
        <v>208</v>
      </c>
      <c r="E2765" s="0" t="n">
        <f aca="false">VLOOKUP(B2765,'Babblefish-APUMA'!$A$1:$B$86,2)</f>
        <v>92</v>
      </c>
      <c r="F2765" s="0" t="n">
        <f aca="false">IF(C2765&gt;1,IF(C2765&lt;99,VLOOKUP(C2765,'Babblefish-APUMA'!$A$1:$B$86,2),C2765),C2765)</f>
        <v>96</v>
      </c>
    </row>
    <row r="2766" customFormat="false" ht="12.75" hidden="false" customHeight="false" outlineLevel="0" collapsed="false">
      <c r="A2766" s="0" t="n">
        <f aca="false">B2766*1000+C2766</f>
        <v>44034</v>
      </c>
      <c r="B2766" s="0" t="n">
        <v>44</v>
      </c>
      <c r="C2766" s="0" t="n">
        <v>34</v>
      </c>
      <c r="D2766" s="0" t="n">
        <v>0</v>
      </c>
      <c r="E2766" s="0" t="n">
        <f aca="false">VLOOKUP(B2766,'Babblefish-APUMA'!$A$1:$B$86,2)</f>
        <v>92</v>
      </c>
      <c r="F2766" s="0" t="n">
        <f aca="false">IF(C2766&gt;1,IF(C2766&lt;99,VLOOKUP(C2766,'Babblefish-APUMA'!$A$1:$B$86,2),C2766),C2766)</f>
        <v>96</v>
      </c>
    </row>
    <row r="2767" customFormat="false" ht="12.75" hidden="false" customHeight="false" outlineLevel="0" collapsed="false">
      <c r="A2767" s="0" t="n">
        <f aca="false">B2767*1000+C2767</f>
        <v>44035</v>
      </c>
      <c r="B2767" s="0" t="n">
        <v>44</v>
      </c>
      <c r="C2767" s="0" t="n">
        <v>35</v>
      </c>
      <c r="D2767" s="0" t="n">
        <v>0</v>
      </c>
      <c r="E2767" s="0" t="n">
        <f aca="false">VLOOKUP(B2767,'Babblefish-APUMA'!$A$1:$B$86,2)</f>
        <v>92</v>
      </c>
      <c r="F2767" s="0" t="n">
        <f aca="false">IF(C2767&gt;1,IF(C2767&lt;99,VLOOKUP(C2767,'Babblefish-APUMA'!$A$1:$B$86,2),C2767),C2767)</f>
        <v>96</v>
      </c>
    </row>
    <row r="2768" customFormat="false" ht="12.75" hidden="false" customHeight="false" outlineLevel="0" collapsed="false">
      <c r="A2768" s="0" t="n">
        <f aca="false">B2768*1000+C2768</f>
        <v>44036</v>
      </c>
      <c r="B2768" s="0" t="n">
        <v>44</v>
      </c>
      <c r="C2768" s="0" t="n">
        <v>36</v>
      </c>
      <c r="D2768" s="0" t="n">
        <v>0</v>
      </c>
      <c r="E2768" s="0" t="n">
        <f aca="false">VLOOKUP(B2768,'Babblefish-APUMA'!$A$1:$B$86,2)</f>
        <v>92</v>
      </c>
      <c r="F2768" s="0" t="n">
        <f aca="false">IF(C2768&gt;1,IF(C2768&lt;99,VLOOKUP(C2768,'Babblefish-APUMA'!$A$1:$B$86,2),C2768),C2768)</f>
        <v>96</v>
      </c>
    </row>
    <row r="2769" customFormat="false" ht="12.75" hidden="false" customHeight="false" outlineLevel="0" collapsed="false">
      <c r="A2769" s="0" t="n">
        <f aca="false">B2769*1000+C2769</f>
        <v>44037</v>
      </c>
      <c r="B2769" s="0" t="n">
        <v>44</v>
      </c>
      <c r="C2769" s="0" t="n">
        <v>37</v>
      </c>
      <c r="D2769" s="0" t="n">
        <v>273</v>
      </c>
      <c r="E2769" s="0" t="n">
        <f aca="false">VLOOKUP(B2769,'Babblefish-APUMA'!$A$1:$B$86,2)</f>
        <v>92</v>
      </c>
      <c r="F2769" s="0" t="n">
        <f aca="false">IF(C2769&gt;1,IF(C2769&lt;99,VLOOKUP(C2769,'Babblefish-APUMA'!$A$1:$B$86,2),C2769),C2769)</f>
        <v>96</v>
      </c>
    </row>
    <row r="2770" customFormat="false" ht="12.75" hidden="false" customHeight="false" outlineLevel="0" collapsed="false">
      <c r="A2770" s="0" t="n">
        <f aca="false">B2770*1000+C2770</f>
        <v>44038</v>
      </c>
      <c r="B2770" s="0" t="n">
        <v>44</v>
      </c>
      <c r="C2770" s="0" t="n">
        <v>38</v>
      </c>
      <c r="D2770" s="0" t="n">
        <v>0</v>
      </c>
      <c r="E2770" s="0" t="n">
        <f aca="false">VLOOKUP(B2770,'Babblefish-APUMA'!$A$1:$B$86,2)</f>
        <v>92</v>
      </c>
      <c r="F2770" s="0" t="n">
        <f aca="false">IF(C2770&gt;1,IF(C2770&lt;99,VLOOKUP(C2770,'Babblefish-APUMA'!$A$1:$B$86,2),C2770),C2770)</f>
        <v>91</v>
      </c>
    </row>
    <row r="2771" customFormat="false" ht="12.75" hidden="false" customHeight="false" outlineLevel="0" collapsed="false">
      <c r="A2771" s="0" t="n">
        <f aca="false">B2771*1000+C2771</f>
        <v>44039</v>
      </c>
      <c r="B2771" s="0" t="n">
        <v>44</v>
      </c>
      <c r="C2771" s="0" t="n">
        <v>39</v>
      </c>
      <c r="D2771" s="0" t="n">
        <v>0</v>
      </c>
      <c r="E2771" s="0" t="n">
        <f aca="false">VLOOKUP(B2771,'Babblefish-APUMA'!$A$1:$B$86,2)</f>
        <v>92</v>
      </c>
      <c r="F2771" s="0" t="n">
        <f aca="false">IF(C2771&gt;1,IF(C2771&lt;99,VLOOKUP(C2771,'Babblefish-APUMA'!$A$1:$B$86,2),C2771),C2771)</f>
        <v>91</v>
      </c>
    </row>
    <row r="2772" customFormat="false" ht="12.75" hidden="false" customHeight="false" outlineLevel="0" collapsed="false">
      <c r="A2772" s="0" t="n">
        <f aca="false">B2772*1000+C2772</f>
        <v>44040</v>
      </c>
      <c r="B2772" s="0" t="n">
        <v>44</v>
      </c>
      <c r="C2772" s="0" t="n">
        <v>40</v>
      </c>
      <c r="D2772" s="0" t="n">
        <v>0</v>
      </c>
      <c r="E2772" s="0" t="n">
        <f aca="false">VLOOKUP(B2772,'Babblefish-APUMA'!$A$1:$B$86,2)</f>
        <v>92</v>
      </c>
      <c r="F2772" s="0" t="n">
        <f aca="false">IF(C2772&gt;1,IF(C2772&lt;99,VLOOKUP(C2772,'Babblefish-APUMA'!$A$1:$B$86,2),C2772),C2772)</f>
        <v>88</v>
      </c>
    </row>
    <row r="2773" customFormat="false" ht="12.75" hidden="false" customHeight="false" outlineLevel="0" collapsed="false">
      <c r="A2773" s="0" t="n">
        <f aca="false">B2773*1000+C2773</f>
        <v>44041</v>
      </c>
      <c r="B2773" s="0" t="n">
        <v>44</v>
      </c>
      <c r="C2773" s="0" t="n">
        <v>41</v>
      </c>
      <c r="D2773" s="0" t="n">
        <v>0</v>
      </c>
      <c r="E2773" s="0" t="n">
        <f aca="false">VLOOKUP(B2773,'Babblefish-APUMA'!$A$1:$B$86,2)</f>
        <v>92</v>
      </c>
      <c r="F2773" s="0" t="n">
        <f aca="false">IF(C2773&gt;1,IF(C2773&lt;99,VLOOKUP(C2773,'Babblefish-APUMA'!$A$1:$B$86,2),C2773),C2773)</f>
        <v>88</v>
      </c>
    </row>
    <row r="2774" customFormat="false" ht="12.75" hidden="false" customHeight="false" outlineLevel="0" collapsed="false">
      <c r="A2774" s="0" t="n">
        <f aca="false">B2774*1000+C2774</f>
        <v>44042</v>
      </c>
      <c r="B2774" s="0" t="n">
        <v>44</v>
      </c>
      <c r="C2774" s="0" t="n">
        <v>42</v>
      </c>
      <c r="D2774" s="0" t="n">
        <v>5161</v>
      </c>
      <c r="E2774" s="0" t="n">
        <f aca="false">VLOOKUP(B2774,'Babblefish-APUMA'!$A$1:$B$86,2)</f>
        <v>92</v>
      </c>
      <c r="F2774" s="0" t="n">
        <f aca="false">IF(C2774&gt;1,IF(C2774&lt;99,VLOOKUP(C2774,'Babblefish-APUMA'!$A$1:$B$86,2),C2774),C2774)</f>
        <v>92</v>
      </c>
    </row>
    <row r="2775" customFormat="false" ht="12.75" hidden="false" customHeight="false" outlineLevel="0" collapsed="false">
      <c r="A2775" s="0" t="n">
        <f aca="false">B2775*1000+C2775</f>
        <v>44043</v>
      </c>
      <c r="B2775" s="0" t="n">
        <v>44</v>
      </c>
      <c r="C2775" s="0" t="n">
        <v>43</v>
      </c>
      <c r="D2775" s="0" t="n">
        <v>1287</v>
      </c>
      <c r="E2775" s="0" t="n">
        <f aca="false">VLOOKUP(B2775,'Babblefish-APUMA'!$A$1:$B$86,2)</f>
        <v>92</v>
      </c>
      <c r="F2775" s="0" t="n">
        <f aca="false">IF(C2775&gt;1,IF(C2775&lt;99,VLOOKUP(C2775,'Babblefish-APUMA'!$A$1:$B$86,2),C2775),C2775)</f>
        <v>92</v>
      </c>
    </row>
    <row r="2776" customFormat="false" ht="12.75" hidden="false" customHeight="false" outlineLevel="0" collapsed="false">
      <c r="A2776" s="0" t="n">
        <f aca="false">B2776*1000+C2776</f>
        <v>44044</v>
      </c>
      <c r="B2776" s="0" t="n">
        <v>44</v>
      </c>
      <c r="C2776" s="0" t="n">
        <v>44</v>
      </c>
      <c r="D2776" s="0" t="n">
        <v>11856</v>
      </c>
      <c r="E2776" s="0" t="n">
        <f aca="false">VLOOKUP(B2776,'Babblefish-APUMA'!$A$1:$B$86,2)</f>
        <v>92</v>
      </c>
      <c r="F2776" s="0" t="n">
        <f aca="false">IF(C2776&gt;1,IF(C2776&lt;99,VLOOKUP(C2776,'Babblefish-APUMA'!$A$1:$B$86,2),C2776),C2776)</f>
        <v>92</v>
      </c>
    </row>
    <row r="2777" customFormat="false" ht="12.75" hidden="false" customHeight="false" outlineLevel="0" collapsed="false">
      <c r="A2777" s="0" t="n">
        <f aca="false">B2777*1000+C2777</f>
        <v>44045</v>
      </c>
      <c r="B2777" s="0" t="n">
        <v>44</v>
      </c>
      <c r="C2777" s="0" t="n">
        <v>45</v>
      </c>
      <c r="D2777" s="0" t="n">
        <v>4719</v>
      </c>
      <c r="E2777" s="0" t="n">
        <f aca="false">VLOOKUP(B2777,'Babblefish-APUMA'!$A$1:$B$86,2)</f>
        <v>92</v>
      </c>
      <c r="F2777" s="0" t="n">
        <f aca="false">IF(C2777&gt;1,IF(C2777&lt;99,VLOOKUP(C2777,'Babblefish-APUMA'!$A$1:$B$86,2),C2777),C2777)</f>
        <v>92</v>
      </c>
    </row>
    <row r="2778" customFormat="false" ht="12.75" hidden="false" customHeight="false" outlineLevel="0" collapsed="false">
      <c r="A2778" s="0" t="n">
        <f aca="false">B2778*1000+C2778</f>
        <v>44046</v>
      </c>
      <c r="B2778" s="0" t="n">
        <v>44</v>
      </c>
      <c r="C2778" s="0" t="n">
        <v>46</v>
      </c>
      <c r="D2778" s="0" t="n">
        <v>845</v>
      </c>
      <c r="E2778" s="0" t="n">
        <f aca="false">VLOOKUP(B2778,'Babblefish-APUMA'!$A$1:$B$86,2)</f>
        <v>92</v>
      </c>
      <c r="F2778" s="0" t="n">
        <f aca="false">IF(C2778&gt;1,IF(C2778&lt;99,VLOOKUP(C2778,'Babblefish-APUMA'!$A$1:$B$86,2),C2778),C2778)</f>
        <v>92</v>
      </c>
    </row>
    <row r="2779" customFormat="false" ht="12.75" hidden="false" customHeight="false" outlineLevel="0" collapsed="false">
      <c r="A2779" s="0" t="n">
        <f aca="false">B2779*1000+C2779</f>
        <v>44047</v>
      </c>
      <c r="B2779" s="0" t="n">
        <v>44</v>
      </c>
      <c r="C2779" s="0" t="n">
        <v>47</v>
      </c>
      <c r="D2779" s="0" t="n">
        <v>494</v>
      </c>
      <c r="E2779" s="0" t="n">
        <f aca="false">VLOOKUP(B2779,'Babblefish-APUMA'!$A$1:$B$86,2)</f>
        <v>92</v>
      </c>
      <c r="F2779" s="0" t="n">
        <f aca="false">IF(C2779&gt;1,IF(C2779&lt;99,VLOOKUP(C2779,'Babblefish-APUMA'!$A$1:$B$86,2),C2779),C2779)</f>
        <v>92</v>
      </c>
    </row>
    <row r="2780" customFormat="false" ht="12.75" hidden="false" customHeight="false" outlineLevel="0" collapsed="false">
      <c r="A2780" s="0" t="n">
        <f aca="false">B2780*1000+C2780</f>
        <v>44048</v>
      </c>
      <c r="B2780" s="0" t="n">
        <v>44</v>
      </c>
      <c r="C2780" s="0" t="n">
        <v>48</v>
      </c>
      <c r="D2780" s="0" t="n">
        <v>23699</v>
      </c>
      <c r="E2780" s="0" t="n">
        <f aca="false">VLOOKUP(B2780,'Babblefish-APUMA'!$A$1:$B$86,2)</f>
        <v>92</v>
      </c>
      <c r="F2780" s="0" t="n">
        <f aca="false">IF(C2780&gt;1,IF(C2780&lt;99,VLOOKUP(C2780,'Babblefish-APUMA'!$A$1:$B$86,2),C2780),C2780)</f>
        <v>92</v>
      </c>
    </row>
    <row r="2781" customFormat="false" ht="12.75" hidden="false" customHeight="false" outlineLevel="0" collapsed="false">
      <c r="A2781" s="0" t="n">
        <f aca="false">B2781*1000+C2781</f>
        <v>44049</v>
      </c>
      <c r="B2781" s="0" t="n">
        <v>44</v>
      </c>
      <c r="C2781" s="0" t="n">
        <v>49</v>
      </c>
      <c r="D2781" s="0" t="n">
        <v>0</v>
      </c>
      <c r="E2781" s="0" t="n">
        <f aca="false">VLOOKUP(B2781,'Babblefish-APUMA'!$A$1:$B$86,2)</f>
        <v>92</v>
      </c>
      <c r="F2781" s="0" t="n">
        <f aca="false">IF(C2781&gt;1,IF(C2781&lt;99,VLOOKUP(C2781,'Babblefish-APUMA'!$A$1:$B$86,2),C2781),C2781)</f>
        <v>98</v>
      </c>
    </row>
    <row r="2782" customFormat="false" ht="12.75" hidden="false" customHeight="false" outlineLevel="0" collapsed="false">
      <c r="A2782" s="0" t="n">
        <f aca="false">B2782*1000+C2782</f>
        <v>44050</v>
      </c>
      <c r="B2782" s="0" t="n">
        <v>44</v>
      </c>
      <c r="C2782" s="0" t="n">
        <v>50</v>
      </c>
      <c r="D2782" s="0" t="n">
        <v>0</v>
      </c>
      <c r="E2782" s="0" t="n">
        <f aca="false">VLOOKUP(B2782,'Babblefish-APUMA'!$A$1:$B$86,2)</f>
        <v>92</v>
      </c>
      <c r="F2782" s="0" t="n">
        <f aca="false">IF(C2782&gt;1,IF(C2782&lt;99,VLOOKUP(C2782,'Babblefish-APUMA'!$A$1:$B$86,2),C2782),C2782)</f>
        <v>98</v>
      </c>
    </row>
    <row r="2783" customFormat="false" ht="12.75" hidden="false" customHeight="false" outlineLevel="0" collapsed="false">
      <c r="A2783" s="0" t="n">
        <f aca="false">B2783*1000+C2783</f>
        <v>44051</v>
      </c>
      <c r="B2783" s="0" t="n">
        <v>44</v>
      </c>
      <c r="C2783" s="0" t="n">
        <v>51</v>
      </c>
      <c r="D2783" s="0" t="n">
        <v>0</v>
      </c>
      <c r="E2783" s="0" t="n">
        <f aca="false">VLOOKUP(B2783,'Babblefish-APUMA'!$A$1:$B$86,2)</f>
        <v>92</v>
      </c>
      <c r="F2783" s="0" t="n">
        <f aca="false">IF(C2783&gt;1,IF(C2783&lt;99,VLOOKUP(C2783,'Babblefish-APUMA'!$A$1:$B$86,2),C2783),C2783)</f>
        <v>98</v>
      </c>
    </row>
    <row r="2784" customFormat="false" ht="12.75" hidden="false" customHeight="false" outlineLevel="0" collapsed="false">
      <c r="A2784" s="0" t="n">
        <f aca="false">B2784*1000+C2784</f>
        <v>44052</v>
      </c>
      <c r="B2784" s="0" t="n">
        <v>44</v>
      </c>
      <c r="C2784" s="0" t="n">
        <v>52</v>
      </c>
      <c r="D2784" s="0" t="n">
        <v>0</v>
      </c>
      <c r="E2784" s="0" t="n">
        <f aca="false">VLOOKUP(B2784,'Babblefish-APUMA'!$A$1:$B$86,2)</f>
        <v>92</v>
      </c>
      <c r="F2784" s="0" t="n">
        <f aca="false">IF(C2784&gt;1,IF(C2784&lt;99,VLOOKUP(C2784,'Babblefish-APUMA'!$A$1:$B$86,2),C2784),C2784)</f>
        <v>90</v>
      </c>
    </row>
    <row r="2785" customFormat="false" ht="12.75" hidden="false" customHeight="false" outlineLevel="0" collapsed="false">
      <c r="A2785" s="0" t="n">
        <f aca="false">B2785*1000+C2785</f>
        <v>44053</v>
      </c>
      <c r="B2785" s="0" t="n">
        <v>44</v>
      </c>
      <c r="C2785" s="0" t="n">
        <v>53</v>
      </c>
      <c r="D2785" s="0" t="n">
        <v>0</v>
      </c>
      <c r="E2785" s="0" t="n">
        <f aca="false">VLOOKUP(B2785,'Babblefish-APUMA'!$A$1:$B$86,2)</f>
        <v>92</v>
      </c>
      <c r="F2785" s="0" t="n">
        <f aca="false">IF(C2785&gt;1,IF(C2785&lt;99,VLOOKUP(C2785,'Babblefish-APUMA'!$A$1:$B$86,2),C2785),C2785)</f>
        <v>90</v>
      </c>
    </row>
    <row r="2786" customFormat="false" ht="12.75" hidden="false" customHeight="false" outlineLevel="0" collapsed="false">
      <c r="A2786" s="0" t="n">
        <f aca="false">B2786*1000+C2786</f>
        <v>44054</v>
      </c>
      <c r="B2786" s="0" t="n">
        <v>44</v>
      </c>
      <c r="C2786" s="0" t="n">
        <v>54</v>
      </c>
      <c r="D2786" s="0" t="n">
        <v>143</v>
      </c>
      <c r="E2786" s="0" t="n">
        <f aca="false">VLOOKUP(B2786,'Babblefish-APUMA'!$A$1:$B$86,2)</f>
        <v>92</v>
      </c>
      <c r="F2786" s="0" t="n">
        <f aca="false">IF(C2786&gt;1,IF(C2786&lt;99,VLOOKUP(C2786,'Babblefish-APUMA'!$A$1:$B$86,2),C2786),C2786)</f>
        <v>90</v>
      </c>
    </row>
    <row r="2787" customFormat="false" ht="12.75" hidden="false" customHeight="false" outlineLevel="0" collapsed="false">
      <c r="A2787" s="0" t="n">
        <f aca="false">B2787*1000+C2787</f>
        <v>44055</v>
      </c>
      <c r="B2787" s="0" t="n">
        <v>44</v>
      </c>
      <c r="C2787" s="0" t="n">
        <v>55</v>
      </c>
      <c r="D2787" s="0" t="n">
        <v>0</v>
      </c>
      <c r="E2787" s="0" t="n">
        <f aca="false">VLOOKUP(B2787,'Babblefish-APUMA'!$A$1:$B$86,2)</f>
        <v>92</v>
      </c>
      <c r="F2787" s="0" t="n">
        <f aca="false">IF(C2787&gt;1,IF(C2787&lt;99,VLOOKUP(C2787,'Babblefish-APUMA'!$A$1:$B$86,2),C2787),C2787)</f>
        <v>90</v>
      </c>
    </row>
    <row r="2788" customFormat="false" ht="12.75" hidden="false" customHeight="false" outlineLevel="0" collapsed="false">
      <c r="A2788" s="0" t="n">
        <f aca="false">B2788*1000+C2788</f>
        <v>44056</v>
      </c>
      <c r="B2788" s="0" t="n">
        <v>44</v>
      </c>
      <c r="C2788" s="0" t="n">
        <v>56</v>
      </c>
      <c r="D2788" s="0" t="n">
        <v>0</v>
      </c>
      <c r="E2788" s="0" t="n">
        <f aca="false">VLOOKUP(B2788,'Babblefish-APUMA'!$A$1:$B$86,2)</f>
        <v>92</v>
      </c>
      <c r="F2788" s="0" t="n">
        <f aca="false">IF(C2788&gt;1,IF(C2788&lt;99,VLOOKUP(C2788,'Babblefish-APUMA'!$A$1:$B$86,2),C2788),C2788)</f>
        <v>90</v>
      </c>
    </row>
    <row r="2789" customFormat="false" ht="12.75" hidden="false" customHeight="false" outlineLevel="0" collapsed="false">
      <c r="A2789" s="0" t="n">
        <f aca="false">B2789*1000+C2789</f>
        <v>44057</v>
      </c>
      <c r="B2789" s="0" t="n">
        <v>44</v>
      </c>
      <c r="C2789" s="0" t="n">
        <v>57</v>
      </c>
      <c r="D2789" s="0" t="n">
        <v>0</v>
      </c>
      <c r="E2789" s="0" t="n">
        <f aca="false">VLOOKUP(B2789,'Babblefish-APUMA'!$A$1:$B$86,2)</f>
        <v>92</v>
      </c>
      <c r="F2789" s="0" t="n">
        <f aca="false">IF(C2789&gt;1,IF(C2789&lt;99,VLOOKUP(C2789,'Babblefish-APUMA'!$A$1:$B$86,2),C2789),C2789)</f>
        <v>90</v>
      </c>
    </row>
    <row r="2790" customFormat="false" ht="12.75" hidden="false" customHeight="false" outlineLevel="0" collapsed="false">
      <c r="A2790" s="0" t="n">
        <f aca="false">B2790*1000+C2790</f>
        <v>44058</v>
      </c>
      <c r="B2790" s="0" t="n">
        <v>44</v>
      </c>
      <c r="C2790" s="0" t="n">
        <v>58</v>
      </c>
      <c r="D2790" s="0" t="n">
        <v>0</v>
      </c>
      <c r="E2790" s="0" t="n">
        <f aca="false">VLOOKUP(B2790,'Babblefish-APUMA'!$A$1:$B$86,2)</f>
        <v>92</v>
      </c>
      <c r="F2790" s="0" t="n">
        <f aca="false">IF(C2790&gt;1,IF(C2790&lt;99,VLOOKUP(C2790,'Babblefish-APUMA'!$A$1:$B$86,2),C2790),C2790)</f>
        <v>90</v>
      </c>
    </row>
    <row r="2791" customFormat="false" ht="12.75" hidden="false" customHeight="false" outlineLevel="0" collapsed="false">
      <c r="A2791" s="0" t="n">
        <f aca="false">B2791*1000+C2791</f>
        <v>44059</v>
      </c>
      <c r="B2791" s="0" t="n">
        <v>44</v>
      </c>
      <c r="C2791" s="0" t="n">
        <v>59</v>
      </c>
      <c r="D2791" s="0" t="n">
        <v>0</v>
      </c>
      <c r="E2791" s="0" t="n">
        <f aca="false">VLOOKUP(B2791,'Babblefish-APUMA'!$A$1:$B$86,2)</f>
        <v>92</v>
      </c>
      <c r="F2791" s="0" t="n">
        <f aca="false">IF(C2791&gt;1,IF(C2791&lt;99,VLOOKUP(C2791,'Babblefish-APUMA'!$A$1:$B$86,2),C2791),C2791)</f>
        <v>90</v>
      </c>
    </row>
    <row r="2792" customFormat="false" ht="12.75" hidden="false" customHeight="false" outlineLevel="0" collapsed="false">
      <c r="A2792" s="0" t="n">
        <f aca="false">B2792*1000+C2792</f>
        <v>44060</v>
      </c>
      <c r="B2792" s="0" t="n">
        <v>44</v>
      </c>
      <c r="C2792" s="0" t="n">
        <v>60</v>
      </c>
      <c r="D2792" s="0" t="n">
        <v>221</v>
      </c>
      <c r="E2792" s="0" t="n">
        <f aca="false">VLOOKUP(B2792,'Babblefish-APUMA'!$A$1:$B$86,2)</f>
        <v>92</v>
      </c>
      <c r="F2792" s="0" t="n">
        <f aca="false">IF(C2792&gt;1,IF(C2792&lt;99,VLOOKUP(C2792,'Babblefish-APUMA'!$A$1:$B$86,2),C2792),C2792)</f>
        <v>90</v>
      </c>
    </row>
    <row r="2793" customFormat="false" ht="12.75" hidden="false" customHeight="false" outlineLevel="0" collapsed="false">
      <c r="A2793" s="0" t="n">
        <f aca="false">B2793*1000+C2793</f>
        <v>44061</v>
      </c>
      <c r="B2793" s="0" t="n">
        <v>44</v>
      </c>
      <c r="C2793" s="0" t="n">
        <v>61</v>
      </c>
      <c r="D2793" s="0" t="n">
        <v>0</v>
      </c>
      <c r="E2793" s="0" t="n">
        <f aca="false">VLOOKUP(B2793,'Babblefish-APUMA'!$A$1:$B$86,2)</f>
        <v>92</v>
      </c>
      <c r="F2793" s="0" t="n">
        <f aca="false">IF(C2793&gt;1,IF(C2793&lt;99,VLOOKUP(C2793,'Babblefish-APUMA'!$A$1:$B$86,2),C2793),C2793)</f>
        <v>90</v>
      </c>
    </row>
    <row r="2794" customFormat="false" ht="12.75" hidden="false" customHeight="false" outlineLevel="0" collapsed="false">
      <c r="A2794" s="0" t="n">
        <f aca="false">B2794*1000+C2794</f>
        <v>44062</v>
      </c>
      <c r="B2794" s="0" t="n">
        <v>44</v>
      </c>
      <c r="C2794" s="0" t="n">
        <v>62</v>
      </c>
      <c r="D2794" s="0" t="n">
        <v>0</v>
      </c>
      <c r="E2794" s="0" t="n">
        <f aca="false">VLOOKUP(B2794,'Babblefish-APUMA'!$A$1:$B$86,2)</f>
        <v>92</v>
      </c>
      <c r="F2794" s="0" t="n">
        <f aca="false">IF(C2794&gt;1,IF(C2794&lt;99,VLOOKUP(C2794,'Babblefish-APUMA'!$A$1:$B$86,2),C2794),C2794)</f>
        <v>90</v>
      </c>
    </row>
    <row r="2795" customFormat="false" ht="12.75" hidden="false" customHeight="false" outlineLevel="0" collapsed="false">
      <c r="A2795" s="0" t="n">
        <f aca="false">B2795*1000+C2795</f>
        <v>44063</v>
      </c>
      <c r="B2795" s="0" t="n">
        <v>44</v>
      </c>
      <c r="C2795" s="0" t="n">
        <v>63</v>
      </c>
      <c r="D2795" s="0" t="n">
        <v>0</v>
      </c>
      <c r="E2795" s="0" t="n">
        <f aca="false">VLOOKUP(B2795,'Babblefish-APUMA'!$A$1:$B$86,2)</f>
        <v>92</v>
      </c>
      <c r="F2795" s="0" t="n">
        <f aca="false">IF(C2795&gt;1,IF(C2795&lt;99,VLOOKUP(C2795,'Babblefish-APUMA'!$A$1:$B$86,2),C2795),C2795)</f>
        <v>90</v>
      </c>
    </row>
    <row r="2796" customFormat="false" ht="12.75" hidden="false" customHeight="false" outlineLevel="0" collapsed="false">
      <c r="A2796" s="0" t="n">
        <f aca="false">B2796*1000+C2796</f>
        <v>44064</v>
      </c>
      <c r="B2796" s="0" t="n">
        <v>44</v>
      </c>
      <c r="C2796" s="0" t="n">
        <v>64</v>
      </c>
      <c r="D2796" s="0" t="n">
        <v>2444</v>
      </c>
      <c r="E2796" s="0" t="n">
        <f aca="false">VLOOKUP(B2796,'Babblefish-APUMA'!$A$1:$B$86,2)</f>
        <v>92</v>
      </c>
      <c r="F2796" s="0" t="n">
        <f aca="false">IF(C2796&gt;1,IF(C2796&lt;99,VLOOKUP(C2796,'Babblefish-APUMA'!$A$1:$B$86,2),C2796),C2796)</f>
        <v>90</v>
      </c>
    </row>
    <row r="2797" customFormat="false" ht="12.75" hidden="false" customHeight="false" outlineLevel="0" collapsed="false">
      <c r="A2797" s="0" t="n">
        <f aca="false">B2797*1000+C2797</f>
        <v>44065</v>
      </c>
      <c r="B2797" s="0" t="n">
        <v>44</v>
      </c>
      <c r="C2797" s="0" t="n">
        <v>65</v>
      </c>
      <c r="D2797" s="0" t="n">
        <v>1365</v>
      </c>
      <c r="E2797" s="0" t="n">
        <f aca="false">VLOOKUP(B2797,'Babblefish-APUMA'!$A$1:$B$86,2)</f>
        <v>92</v>
      </c>
      <c r="F2797" s="0" t="n">
        <f aca="false">IF(C2797&gt;1,IF(C2797&lt;99,VLOOKUP(C2797,'Babblefish-APUMA'!$A$1:$B$86,2),C2797),C2797)</f>
        <v>90</v>
      </c>
    </row>
    <row r="2798" customFormat="false" ht="12.75" hidden="false" customHeight="false" outlineLevel="0" collapsed="false">
      <c r="A2798" s="0" t="n">
        <f aca="false">B2798*1000+C2798</f>
        <v>44066</v>
      </c>
      <c r="B2798" s="0" t="n">
        <v>44</v>
      </c>
      <c r="C2798" s="0" t="n">
        <v>66</v>
      </c>
      <c r="D2798" s="0" t="n">
        <v>1469</v>
      </c>
      <c r="E2798" s="0" t="n">
        <f aca="false">VLOOKUP(B2798,'Babblefish-APUMA'!$A$1:$B$86,2)</f>
        <v>92</v>
      </c>
      <c r="F2798" s="0" t="n">
        <f aca="false">IF(C2798&gt;1,IF(C2798&lt;99,VLOOKUP(C2798,'Babblefish-APUMA'!$A$1:$B$86,2),C2798),C2798)</f>
        <v>90</v>
      </c>
    </row>
    <row r="2799" customFormat="false" ht="12.75" hidden="false" customHeight="false" outlineLevel="0" collapsed="false">
      <c r="A2799" s="0" t="n">
        <f aca="false">B2799*1000+C2799</f>
        <v>44067</v>
      </c>
      <c r="B2799" s="0" t="n">
        <v>44</v>
      </c>
      <c r="C2799" s="0" t="n">
        <v>67</v>
      </c>
      <c r="D2799" s="0" t="n">
        <v>0</v>
      </c>
      <c r="E2799" s="0" t="n">
        <f aca="false">VLOOKUP(B2799,'Babblefish-APUMA'!$A$1:$B$86,2)</f>
        <v>92</v>
      </c>
      <c r="F2799" s="0" t="n">
        <f aca="false">IF(C2799&gt;1,IF(C2799&lt;99,VLOOKUP(C2799,'Babblefish-APUMA'!$A$1:$B$86,2),C2799),C2799)</f>
        <v>103</v>
      </c>
    </row>
    <row r="2800" customFormat="false" ht="12.75" hidden="false" customHeight="false" outlineLevel="0" collapsed="false">
      <c r="A2800" s="0" t="n">
        <f aca="false">B2800*1000+C2800</f>
        <v>44068</v>
      </c>
      <c r="B2800" s="0" t="n">
        <v>44</v>
      </c>
      <c r="C2800" s="0" t="n">
        <v>68</v>
      </c>
      <c r="D2800" s="0" t="n">
        <v>0</v>
      </c>
      <c r="E2800" s="0" t="n">
        <f aca="false">VLOOKUP(B2800,'Babblefish-APUMA'!$A$1:$B$86,2)</f>
        <v>92</v>
      </c>
      <c r="F2800" s="0" t="n">
        <f aca="false">IF(C2800&gt;1,IF(C2800&lt;99,VLOOKUP(C2800,'Babblefish-APUMA'!$A$1:$B$86,2),C2800),C2800)</f>
        <v>93</v>
      </c>
    </row>
    <row r="2801" customFormat="false" ht="12.75" hidden="false" customHeight="false" outlineLevel="0" collapsed="false">
      <c r="A2801" s="0" t="n">
        <f aca="false">B2801*1000+C2801</f>
        <v>44069</v>
      </c>
      <c r="B2801" s="0" t="n">
        <v>44</v>
      </c>
      <c r="C2801" s="0" t="n">
        <v>69</v>
      </c>
      <c r="D2801" s="0" t="n">
        <v>182</v>
      </c>
      <c r="E2801" s="0" t="n">
        <f aca="false">VLOOKUP(B2801,'Babblefish-APUMA'!$A$1:$B$86,2)</f>
        <v>92</v>
      </c>
      <c r="F2801" s="0" t="n">
        <f aca="false">IF(C2801&gt;1,IF(C2801&lt;99,VLOOKUP(C2801,'Babblefish-APUMA'!$A$1:$B$86,2),C2801),C2801)</f>
        <v>93</v>
      </c>
    </row>
    <row r="2802" customFormat="false" ht="12.75" hidden="false" customHeight="false" outlineLevel="0" collapsed="false">
      <c r="A2802" s="0" t="n">
        <f aca="false">B2802*1000+C2802</f>
        <v>44071</v>
      </c>
      <c r="B2802" s="0" t="n">
        <v>44</v>
      </c>
      <c r="C2802" s="0" t="n">
        <v>71</v>
      </c>
      <c r="D2802" s="0" t="n">
        <v>0</v>
      </c>
      <c r="E2802" s="0" t="n">
        <f aca="false">VLOOKUP(B2802,'Babblefish-APUMA'!$A$1:$B$86,2)</f>
        <v>92</v>
      </c>
      <c r="F2802" s="0" t="n">
        <f aca="false">IF(C2802&gt;1,IF(C2802&lt;99,VLOOKUP(C2802,'Babblefish-APUMA'!$A$1:$B$86,2),C2802),C2802)</f>
        <v>95</v>
      </c>
    </row>
    <row r="2803" customFormat="false" ht="12.75" hidden="false" customHeight="false" outlineLevel="0" collapsed="false">
      <c r="A2803" s="0" t="n">
        <f aca="false">B2803*1000+C2803</f>
        <v>44072</v>
      </c>
      <c r="B2803" s="0" t="n">
        <v>44</v>
      </c>
      <c r="C2803" s="0" t="n">
        <v>72</v>
      </c>
      <c r="D2803" s="0" t="n">
        <v>494</v>
      </c>
      <c r="E2803" s="0" t="n">
        <f aca="false">VLOOKUP(B2803,'Babblefish-APUMA'!$A$1:$B$86,2)</f>
        <v>92</v>
      </c>
      <c r="F2803" s="0" t="n">
        <f aca="false">IF(C2803&gt;1,IF(C2803&lt;99,VLOOKUP(C2803,'Babblefish-APUMA'!$A$1:$B$86,2),C2803),C2803)</f>
        <v>95</v>
      </c>
    </row>
    <row r="2804" customFormat="false" ht="12.75" hidden="false" customHeight="false" outlineLevel="0" collapsed="false">
      <c r="A2804" s="0" t="n">
        <f aca="false">B2804*1000+C2804</f>
        <v>44073</v>
      </c>
      <c r="B2804" s="0" t="n">
        <v>44</v>
      </c>
      <c r="C2804" s="0" t="n">
        <v>73</v>
      </c>
      <c r="D2804" s="0" t="n">
        <v>0</v>
      </c>
      <c r="E2804" s="0" t="n">
        <f aca="false">VLOOKUP(B2804,'Babblefish-APUMA'!$A$1:$B$86,2)</f>
        <v>92</v>
      </c>
      <c r="F2804" s="0" t="n">
        <f aca="false">IF(C2804&gt;1,IF(C2804&lt;99,VLOOKUP(C2804,'Babblefish-APUMA'!$A$1:$B$86,2),C2804),C2804)</f>
        <v>99</v>
      </c>
    </row>
    <row r="2805" customFormat="false" ht="12.75" hidden="false" customHeight="false" outlineLevel="0" collapsed="false">
      <c r="A2805" s="0" t="n">
        <f aca="false">B2805*1000+C2805</f>
        <v>44075</v>
      </c>
      <c r="B2805" s="0" t="n">
        <v>44</v>
      </c>
      <c r="C2805" s="0" t="n">
        <v>75</v>
      </c>
      <c r="D2805" s="0" t="n">
        <v>0</v>
      </c>
      <c r="E2805" s="0" t="n">
        <f aca="false">VLOOKUP(B2805,'Babblefish-APUMA'!$A$1:$B$86,2)</f>
        <v>92</v>
      </c>
      <c r="F2805" s="0" t="n">
        <f aca="false">IF(C2805&gt;1,IF(C2805&lt;99,VLOOKUP(C2805,'Babblefish-APUMA'!$A$1:$B$86,2),C2805),C2805)</f>
        <v>75</v>
      </c>
    </row>
    <row r="2806" customFormat="false" ht="12.75" hidden="false" customHeight="false" outlineLevel="0" collapsed="false">
      <c r="A2806" s="0" t="n">
        <f aca="false">B2806*1000+C2806</f>
        <v>44076</v>
      </c>
      <c r="B2806" s="0" t="n">
        <v>44</v>
      </c>
      <c r="C2806" s="0" t="n">
        <v>76</v>
      </c>
      <c r="D2806" s="0" t="n">
        <v>0</v>
      </c>
      <c r="E2806" s="0" t="n">
        <f aca="false">VLOOKUP(B2806,'Babblefish-APUMA'!$A$1:$B$86,2)</f>
        <v>92</v>
      </c>
      <c r="F2806" s="0" t="n">
        <f aca="false">IF(C2806&gt;1,IF(C2806&lt;99,VLOOKUP(C2806,'Babblefish-APUMA'!$A$1:$B$86,2),C2806),C2806)</f>
        <v>76</v>
      </c>
    </row>
    <row r="2807" customFormat="false" ht="12.75" hidden="false" customHeight="false" outlineLevel="0" collapsed="false">
      <c r="A2807" s="0" t="n">
        <f aca="false">B2807*1000+C2807</f>
        <v>44077</v>
      </c>
      <c r="B2807" s="0" t="n">
        <v>44</v>
      </c>
      <c r="C2807" s="0" t="n">
        <v>77</v>
      </c>
      <c r="D2807" s="0" t="n">
        <v>0</v>
      </c>
      <c r="E2807" s="0" t="n">
        <f aca="false">VLOOKUP(B2807,'Babblefish-APUMA'!$A$1:$B$86,2)</f>
        <v>92</v>
      </c>
      <c r="F2807" s="0" t="n">
        <f aca="false">IF(C2807&gt;1,IF(C2807&lt;99,VLOOKUP(C2807,'Babblefish-APUMA'!$A$1:$B$86,2),C2807),C2807)</f>
        <v>77</v>
      </c>
    </row>
    <row r="2808" customFormat="false" ht="12.75" hidden="false" customHeight="false" outlineLevel="0" collapsed="false">
      <c r="A2808" s="0" t="n">
        <f aca="false">B2808*1000+C2808</f>
        <v>44079</v>
      </c>
      <c r="B2808" s="0" t="n">
        <v>44</v>
      </c>
      <c r="C2808" s="0" t="n">
        <v>79</v>
      </c>
      <c r="D2808" s="0" t="n">
        <v>0</v>
      </c>
      <c r="E2808" s="0" t="n">
        <f aca="false">VLOOKUP(B2808,'Babblefish-APUMA'!$A$1:$B$86,2)</f>
        <v>92</v>
      </c>
      <c r="F2808" s="0" t="n">
        <f aca="false">IF(C2808&gt;1,IF(C2808&lt;99,VLOOKUP(C2808,'Babblefish-APUMA'!$A$1:$B$86,2),C2808),C2808)</f>
        <v>89</v>
      </c>
    </row>
    <row r="2809" customFormat="false" ht="12.75" hidden="false" customHeight="false" outlineLevel="0" collapsed="false">
      <c r="A2809" s="0" t="n">
        <f aca="false">B2809*1000+C2809</f>
        <v>44080</v>
      </c>
      <c r="B2809" s="0" t="n">
        <v>44</v>
      </c>
      <c r="C2809" s="0" t="n">
        <v>80</v>
      </c>
      <c r="D2809" s="0" t="n">
        <v>104</v>
      </c>
      <c r="E2809" s="0" t="n">
        <f aca="false">VLOOKUP(B2809,'Babblefish-APUMA'!$A$1:$B$86,2)</f>
        <v>92</v>
      </c>
      <c r="F2809" s="0" t="n">
        <f aca="false">IF(C2809&gt;1,IF(C2809&lt;99,VLOOKUP(C2809,'Babblefish-APUMA'!$A$1:$B$86,2),C2809),C2809)</f>
        <v>80</v>
      </c>
    </row>
    <row r="2810" customFormat="false" ht="12.75" hidden="false" customHeight="false" outlineLevel="0" collapsed="false">
      <c r="A2810" s="0" t="n">
        <f aca="false">B2810*1000+C2810</f>
        <v>44081</v>
      </c>
      <c r="B2810" s="0" t="n">
        <v>44</v>
      </c>
      <c r="C2810" s="0" t="n">
        <v>81</v>
      </c>
      <c r="D2810" s="0" t="n">
        <v>104</v>
      </c>
      <c r="E2810" s="0" t="n">
        <f aca="false">VLOOKUP(B2810,'Babblefish-APUMA'!$A$1:$B$86,2)</f>
        <v>92</v>
      </c>
      <c r="F2810" s="0" t="n">
        <f aca="false">IF(C2810&gt;1,IF(C2810&lt;99,VLOOKUP(C2810,'Babblefish-APUMA'!$A$1:$B$86,2),C2810),C2810)</f>
        <v>93</v>
      </c>
    </row>
    <row r="2811" customFormat="false" ht="12.75" hidden="false" customHeight="false" outlineLevel="0" collapsed="false">
      <c r="A2811" s="0" t="n">
        <f aca="false">B2811*1000+C2811</f>
        <v>44082</v>
      </c>
      <c r="B2811" s="0" t="n">
        <v>44</v>
      </c>
      <c r="C2811" s="0" t="n">
        <v>82</v>
      </c>
      <c r="D2811" s="0" t="n">
        <v>0</v>
      </c>
      <c r="E2811" s="0" t="n">
        <f aca="false">VLOOKUP(B2811,'Babblefish-APUMA'!$A$1:$B$86,2)</f>
        <v>92</v>
      </c>
      <c r="F2811" s="0" t="n">
        <f aca="false">IF(C2811&gt;1,IF(C2811&lt;99,VLOOKUP(C2811,'Babblefish-APUMA'!$A$1:$B$86,2),C2811),C2811)</f>
        <v>95</v>
      </c>
    </row>
    <row r="2812" customFormat="false" ht="12.75" hidden="false" customHeight="false" outlineLevel="0" collapsed="false">
      <c r="A2812" s="0" t="n">
        <f aca="false">B2812*1000+C2812</f>
        <v>44083</v>
      </c>
      <c r="B2812" s="0" t="n">
        <v>44</v>
      </c>
      <c r="C2812" s="0" t="n">
        <v>83</v>
      </c>
      <c r="D2812" s="0" t="n">
        <v>0</v>
      </c>
      <c r="E2812" s="0" t="n">
        <f aca="false">VLOOKUP(B2812,'Babblefish-APUMA'!$A$1:$B$86,2)</f>
        <v>92</v>
      </c>
      <c r="F2812" s="0" t="n">
        <f aca="false">IF(C2812&gt;1,IF(C2812&lt;99,VLOOKUP(C2812,'Babblefish-APUMA'!$A$1:$B$86,2),C2812),C2812)</f>
        <v>103</v>
      </c>
    </row>
    <row r="2813" customFormat="false" ht="12.75" hidden="false" customHeight="false" outlineLevel="0" collapsed="false">
      <c r="A2813" s="0" t="n">
        <f aca="false">B2813*1000+C2813</f>
        <v>44084</v>
      </c>
      <c r="B2813" s="0" t="n">
        <v>44</v>
      </c>
      <c r="C2813" s="0" t="n">
        <v>84</v>
      </c>
      <c r="D2813" s="0" t="n">
        <v>1066</v>
      </c>
      <c r="E2813" s="0" t="n">
        <f aca="false">VLOOKUP(B2813,'Babblefish-APUMA'!$A$1:$B$86,2)</f>
        <v>92</v>
      </c>
      <c r="F2813" s="0" t="n">
        <f aca="false">IF(C2813&gt;1,IF(C2813&lt;99,VLOOKUP(C2813,'Babblefish-APUMA'!$A$1:$B$86,2),C2813),C2813)</f>
        <v>92</v>
      </c>
    </row>
    <row r="2814" customFormat="false" ht="12.75" hidden="false" customHeight="false" outlineLevel="0" collapsed="false">
      <c r="A2814" s="0" t="n">
        <f aca="false">B2814*1000+C2814</f>
        <v>44085</v>
      </c>
      <c r="B2814" s="0" t="n">
        <v>44</v>
      </c>
      <c r="C2814" s="0" t="n">
        <v>85</v>
      </c>
      <c r="D2814" s="0" t="n">
        <v>0</v>
      </c>
      <c r="E2814" s="0" t="n">
        <f aca="false">VLOOKUP(B2814,'Babblefish-APUMA'!$A$1:$B$86,2)</f>
        <v>92</v>
      </c>
      <c r="F2814" s="0" t="n">
        <f aca="false">IF(C2814&gt;1,IF(C2814&lt;99,VLOOKUP(C2814,'Babblefish-APUMA'!$A$1:$B$86,2),C2814),C2814)</f>
        <v>97</v>
      </c>
    </row>
    <row r="2815" customFormat="false" ht="12.75" hidden="false" customHeight="false" outlineLevel="0" collapsed="false">
      <c r="A2815" s="0" t="n">
        <f aca="false">B2815*1000+C2815</f>
        <v>44858</v>
      </c>
      <c r="B2815" s="0" t="n">
        <v>44</v>
      </c>
      <c r="C2815" s="0" t="n">
        <v>858</v>
      </c>
      <c r="D2815" s="0" t="n">
        <v>0</v>
      </c>
      <c r="E2815" s="0" t="n">
        <f aca="false">VLOOKUP(B2815,'Babblefish-APUMA'!$A$1:$B$86,2)</f>
        <v>92</v>
      </c>
      <c r="F2815" s="0" t="n">
        <f aca="false">IF(C2815&gt;1,IF(C2815&lt;99,VLOOKUP(C2815,'Babblefish-APUMA'!$A$1:$B$86,2),C2815),C2815)</f>
        <v>858</v>
      </c>
    </row>
    <row r="2816" customFormat="false" ht="12.75" hidden="false" customHeight="false" outlineLevel="0" collapsed="false">
      <c r="A2816" s="0" t="n">
        <f aca="false">B2816*1000+C2816</f>
        <v>44983</v>
      </c>
      <c r="B2816" s="0" t="n">
        <v>44</v>
      </c>
      <c r="C2816" s="0" t="n">
        <v>983</v>
      </c>
      <c r="D2816" s="0" t="n">
        <v>0</v>
      </c>
      <c r="E2816" s="0" t="n">
        <f aca="false">VLOOKUP(B2816,'Babblefish-APUMA'!$A$1:$B$86,2)</f>
        <v>92</v>
      </c>
      <c r="F2816" s="0" t="n">
        <f aca="false">IF(C2816&gt;1,IF(C2816&lt;99,VLOOKUP(C2816,'Babblefish-APUMA'!$A$1:$B$86,2),C2816),C2816)</f>
        <v>983</v>
      </c>
    </row>
    <row r="2817" customFormat="false" ht="12.75" hidden="false" customHeight="false" outlineLevel="0" collapsed="false">
      <c r="A2817" s="0" t="n">
        <f aca="false">B2817*1000+C2817</f>
        <v>44999</v>
      </c>
      <c r="B2817" s="0" t="n">
        <v>44</v>
      </c>
      <c r="C2817" s="0" t="n">
        <v>999</v>
      </c>
      <c r="D2817" s="0" t="n">
        <v>0</v>
      </c>
      <c r="E2817" s="0" t="n">
        <f aca="false">VLOOKUP(B2817,'Babblefish-APUMA'!$A$1:$B$86,2)</f>
        <v>92</v>
      </c>
      <c r="F2817" s="0" t="n">
        <f aca="false">IF(C2817&gt;1,IF(C2817&lt;99,VLOOKUP(C2817,'Babblefish-APUMA'!$A$1:$B$86,2),C2817),C2817)</f>
        <v>999</v>
      </c>
    </row>
    <row r="2818" customFormat="false" ht="12.75" hidden="false" customHeight="false" outlineLevel="0" collapsed="false">
      <c r="A2818" s="0" t="n">
        <f aca="false">B2818*1000+C2818</f>
        <v>45000</v>
      </c>
      <c r="B2818" s="0" t="n">
        <v>45</v>
      </c>
      <c r="C2818" s="0" t="n">
        <v>0</v>
      </c>
      <c r="D2818" s="0" t="n">
        <v>54691</v>
      </c>
      <c r="E2818" s="0" t="n">
        <f aca="false">VLOOKUP(B2818,'Babblefish-APUMA'!$A$1:$B$86,2)</f>
        <v>92</v>
      </c>
      <c r="F2818" s="0" t="n">
        <f aca="false">IF(C2818&gt;1,IF(C2818&lt;99,VLOOKUP(C2818,'Babblefish-APUMA'!$A$1:$B$86,2),C2818),C2818)</f>
        <v>0</v>
      </c>
    </row>
    <row r="2819" customFormat="false" ht="12.75" hidden="false" customHeight="false" outlineLevel="0" collapsed="false">
      <c r="A2819" s="0" t="n">
        <f aca="false">B2819*1000+C2819</f>
        <v>45001</v>
      </c>
      <c r="B2819" s="0" t="n">
        <v>45</v>
      </c>
      <c r="C2819" s="0" t="n">
        <v>1</v>
      </c>
      <c r="D2819" s="0" t="n">
        <v>78</v>
      </c>
      <c r="E2819" s="0" t="n">
        <f aca="false">VLOOKUP(B2819,'Babblefish-APUMA'!$A$1:$B$86,2)</f>
        <v>92</v>
      </c>
      <c r="F2819" s="0" t="n">
        <f aca="false">IF(C2819&gt;1,IF(C2819&lt;99,VLOOKUP(C2819,'Babblefish-APUMA'!$A$1:$B$86,2),C2819),C2819)</f>
        <v>1</v>
      </c>
    </row>
    <row r="2820" customFormat="false" ht="12.75" hidden="false" customHeight="false" outlineLevel="0" collapsed="false">
      <c r="A2820" s="0" t="n">
        <f aca="false">B2820*1000+C2820</f>
        <v>45002</v>
      </c>
      <c r="B2820" s="0" t="n">
        <v>45</v>
      </c>
      <c r="C2820" s="0" t="n">
        <v>2</v>
      </c>
      <c r="D2820" s="0" t="n">
        <v>0</v>
      </c>
      <c r="E2820" s="0" t="n">
        <f aca="false">VLOOKUP(B2820,'Babblefish-APUMA'!$A$1:$B$86,2)</f>
        <v>92</v>
      </c>
      <c r="F2820" s="0" t="n">
        <f aca="false">IF(C2820&gt;1,IF(C2820&lt;99,VLOOKUP(C2820,'Babblefish-APUMA'!$A$1:$B$86,2),C2820),C2820)</f>
        <v>2</v>
      </c>
    </row>
    <row r="2821" customFormat="false" ht="12.75" hidden="false" customHeight="false" outlineLevel="0" collapsed="false">
      <c r="A2821" s="0" t="n">
        <f aca="false">B2821*1000+C2821</f>
        <v>45003</v>
      </c>
      <c r="B2821" s="0" t="n">
        <v>45</v>
      </c>
      <c r="C2821" s="0" t="n">
        <v>3</v>
      </c>
      <c r="D2821" s="0" t="n">
        <v>65</v>
      </c>
      <c r="E2821" s="0" t="n">
        <f aca="false">VLOOKUP(B2821,'Babblefish-APUMA'!$A$1:$B$86,2)</f>
        <v>92</v>
      </c>
      <c r="F2821" s="0" t="n">
        <f aca="false">IF(C2821&gt;1,IF(C2821&lt;99,VLOOKUP(C2821,'Babblefish-APUMA'!$A$1:$B$86,2),C2821),C2821)</f>
        <v>3</v>
      </c>
    </row>
    <row r="2822" customFormat="false" ht="12.75" hidden="false" customHeight="false" outlineLevel="0" collapsed="false">
      <c r="A2822" s="0" t="n">
        <f aca="false">B2822*1000+C2822</f>
        <v>45004</v>
      </c>
      <c r="B2822" s="0" t="n">
        <v>45</v>
      </c>
      <c r="C2822" s="0" t="n">
        <v>4</v>
      </c>
      <c r="D2822" s="0" t="n">
        <v>0</v>
      </c>
      <c r="E2822" s="0" t="n">
        <f aca="false">VLOOKUP(B2822,'Babblefish-APUMA'!$A$1:$B$86,2)</f>
        <v>92</v>
      </c>
      <c r="F2822" s="0" t="n">
        <f aca="false">IF(C2822&gt;1,IF(C2822&lt;99,VLOOKUP(C2822,'Babblefish-APUMA'!$A$1:$B$86,2),C2822),C2822)</f>
        <v>4</v>
      </c>
    </row>
    <row r="2823" customFormat="false" ht="12.75" hidden="false" customHeight="false" outlineLevel="0" collapsed="false">
      <c r="A2823" s="0" t="n">
        <f aca="false">B2823*1000+C2823</f>
        <v>45005</v>
      </c>
      <c r="B2823" s="0" t="n">
        <v>45</v>
      </c>
      <c r="C2823" s="0" t="n">
        <v>5</v>
      </c>
      <c r="D2823" s="0" t="n">
        <v>0</v>
      </c>
      <c r="E2823" s="0" t="n">
        <f aca="false">VLOOKUP(B2823,'Babblefish-APUMA'!$A$1:$B$86,2)</f>
        <v>92</v>
      </c>
      <c r="F2823" s="0" t="n">
        <f aca="false">IF(C2823&gt;1,IF(C2823&lt;99,VLOOKUP(C2823,'Babblefish-APUMA'!$A$1:$B$86,2),C2823),C2823)</f>
        <v>5</v>
      </c>
    </row>
    <row r="2824" customFormat="false" ht="12.75" hidden="false" customHeight="false" outlineLevel="0" collapsed="false">
      <c r="A2824" s="0" t="n">
        <f aca="false">B2824*1000+C2824</f>
        <v>45006</v>
      </c>
      <c r="B2824" s="0" t="n">
        <v>45</v>
      </c>
      <c r="C2824" s="0" t="n">
        <v>6</v>
      </c>
      <c r="D2824" s="0" t="n">
        <v>0</v>
      </c>
      <c r="E2824" s="0" t="n">
        <f aca="false">VLOOKUP(B2824,'Babblefish-APUMA'!$A$1:$B$86,2)</f>
        <v>92</v>
      </c>
      <c r="F2824" s="0" t="n">
        <f aca="false">IF(C2824&gt;1,IF(C2824&lt;99,VLOOKUP(C2824,'Babblefish-APUMA'!$A$1:$B$86,2),C2824),C2824)</f>
        <v>6</v>
      </c>
    </row>
    <row r="2825" customFormat="false" ht="12.75" hidden="false" customHeight="false" outlineLevel="0" collapsed="false">
      <c r="A2825" s="0" t="n">
        <f aca="false">B2825*1000+C2825</f>
        <v>45007</v>
      </c>
      <c r="B2825" s="0" t="n">
        <v>45</v>
      </c>
      <c r="C2825" s="0" t="n">
        <v>7</v>
      </c>
      <c r="D2825" s="0" t="n">
        <v>78</v>
      </c>
      <c r="E2825" s="0" t="n">
        <f aca="false">VLOOKUP(B2825,'Babblefish-APUMA'!$A$1:$B$86,2)</f>
        <v>92</v>
      </c>
      <c r="F2825" s="0" t="n">
        <f aca="false">IF(C2825&gt;1,IF(C2825&lt;99,VLOOKUP(C2825,'Babblefish-APUMA'!$A$1:$B$86,2),C2825),C2825)</f>
        <v>7</v>
      </c>
    </row>
    <row r="2826" customFormat="false" ht="12.75" hidden="false" customHeight="false" outlineLevel="0" collapsed="false">
      <c r="A2826" s="0" t="n">
        <f aca="false">B2826*1000+C2826</f>
        <v>45008</v>
      </c>
      <c r="B2826" s="0" t="n">
        <v>45</v>
      </c>
      <c r="C2826" s="0" t="n">
        <v>8</v>
      </c>
      <c r="D2826" s="0" t="n">
        <v>0</v>
      </c>
      <c r="E2826" s="0" t="n">
        <f aca="false">VLOOKUP(B2826,'Babblefish-APUMA'!$A$1:$B$86,2)</f>
        <v>92</v>
      </c>
      <c r="F2826" s="0" t="n">
        <f aca="false">IF(C2826&gt;1,IF(C2826&lt;99,VLOOKUP(C2826,'Babblefish-APUMA'!$A$1:$B$86,2),C2826),C2826)</f>
        <v>8</v>
      </c>
    </row>
    <row r="2827" customFormat="false" ht="12.75" hidden="false" customHeight="false" outlineLevel="0" collapsed="false">
      <c r="A2827" s="0" t="n">
        <f aca="false">B2827*1000+C2827</f>
        <v>45009</v>
      </c>
      <c r="B2827" s="0" t="n">
        <v>45</v>
      </c>
      <c r="C2827" s="0" t="n">
        <v>9</v>
      </c>
      <c r="D2827" s="0" t="n">
        <v>0</v>
      </c>
      <c r="E2827" s="0" t="n">
        <f aca="false">VLOOKUP(B2827,'Babblefish-APUMA'!$A$1:$B$86,2)</f>
        <v>92</v>
      </c>
      <c r="F2827" s="0" t="n">
        <f aca="false">IF(C2827&gt;1,IF(C2827&lt;99,VLOOKUP(C2827,'Babblefish-APUMA'!$A$1:$B$86,2),C2827),C2827)</f>
        <v>9</v>
      </c>
    </row>
    <row r="2828" customFormat="false" ht="12.75" hidden="false" customHeight="false" outlineLevel="0" collapsed="false">
      <c r="A2828" s="0" t="n">
        <f aca="false">B2828*1000+C2828</f>
        <v>45010</v>
      </c>
      <c r="B2828" s="0" t="n">
        <v>45</v>
      </c>
      <c r="C2828" s="0" t="n">
        <v>10</v>
      </c>
      <c r="D2828" s="0" t="n">
        <v>0</v>
      </c>
      <c r="E2828" s="0" t="n">
        <f aca="false">VLOOKUP(B2828,'Babblefish-APUMA'!$A$1:$B$86,2)</f>
        <v>92</v>
      </c>
      <c r="F2828" s="0" t="n">
        <f aca="false">IF(C2828&gt;1,IF(C2828&lt;99,VLOOKUP(C2828,'Babblefish-APUMA'!$A$1:$B$86,2),C2828),C2828)</f>
        <v>10</v>
      </c>
    </row>
    <row r="2829" customFormat="false" ht="12.75" hidden="false" customHeight="false" outlineLevel="0" collapsed="false">
      <c r="A2829" s="0" t="n">
        <f aca="false">B2829*1000+C2829</f>
        <v>45011</v>
      </c>
      <c r="B2829" s="0" t="n">
        <v>45</v>
      </c>
      <c r="C2829" s="0" t="n">
        <v>11</v>
      </c>
      <c r="D2829" s="0" t="n">
        <v>169</v>
      </c>
      <c r="E2829" s="0" t="n">
        <f aca="false">VLOOKUP(B2829,'Babblefish-APUMA'!$A$1:$B$86,2)</f>
        <v>92</v>
      </c>
      <c r="F2829" s="0" t="n">
        <f aca="false">IF(C2829&gt;1,IF(C2829&lt;99,VLOOKUP(C2829,'Babblefish-APUMA'!$A$1:$B$86,2),C2829),C2829)</f>
        <v>11</v>
      </c>
    </row>
    <row r="2830" customFormat="false" ht="12.75" hidden="false" customHeight="false" outlineLevel="0" collapsed="false">
      <c r="A2830" s="0" t="n">
        <f aca="false">B2830*1000+C2830</f>
        <v>45012</v>
      </c>
      <c r="B2830" s="0" t="n">
        <v>45</v>
      </c>
      <c r="C2830" s="0" t="n">
        <v>12</v>
      </c>
      <c r="D2830" s="0" t="n">
        <v>0</v>
      </c>
      <c r="E2830" s="0" t="n">
        <f aca="false">VLOOKUP(B2830,'Babblefish-APUMA'!$A$1:$B$86,2)</f>
        <v>92</v>
      </c>
      <c r="F2830" s="0" t="n">
        <f aca="false">IF(C2830&gt;1,IF(C2830&lt;99,VLOOKUP(C2830,'Babblefish-APUMA'!$A$1:$B$86,2),C2830),C2830)</f>
        <v>12</v>
      </c>
    </row>
    <row r="2831" customFormat="false" ht="12.75" hidden="false" customHeight="false" outlineLevel="0" collapsed="false">
      <c r="A2831" s="0" t="n">
        <f aca="false">B2831*1000+C2831</f>
        <v>45013</v>
      </c>
      <c r="B2831" s="0" t="n">
        <v>45</v>
      </c>
      <c r="C2831" s="0" t="n">
        <v>13</v>
      </c>
      <c r="D2831" s="0" t="n">
        <v>0</v>
      </c>
      <c r="E2831" s="0" t="n">
        <f aca="false">VLOOKUP(B2831,'Babblefish-APUMA'!$A$1:$B$86,2)</f>
        <v>92</v>
      </c>
      <c r="F2831" s="0" t="n">
        <f aca="false">IF(C2831&gt;1,IF(C2831&lt;99,VLOOKUP(C2831,'Babblefish-APUMA'!$A$1:$B$86,2),C2831),C2831)</f>
        <v>100</v>
      </c>
    </row>
    <row r="2832" customFormat="false" ht="12.75" hidden="false" customHeight="false" outlineLevel="0" collapsed="false">
      <c r="A2832" s="0" t="n">
        <f aca="false">B2832*1000+C2832</f>
        <v>45014</v>
      </c>
      <c r="B2832" s="0" t="n">
        <v>45</v>
      </c>
      <c r="C2832" s="0" t="n">
        <v>14</v>
      </c>
      <c r="D2832" s="0" t="n">
        <v>0</v>
      </c>
      <c r="E2832" s="0" t="n">
        <f aca="false">VLOOKUP(B2832,'Babblefish-APUMA'!$A$1:$B$86,2)</f>
        <v>92</v>
      </c>
      <c r="F2832" s="0" t="n">
        <f aca="false">IF(C2832&gt;1,IF(C2832&lt;99,VLOOKUP(C2832,'Babblefish-APUMA'!$A$1:$B$86,2),C2832),C2832)</f>
        <v>100</v>
      </c>
    </row>
    <row r="2833" customFormat="false" ht="12.75" hidden="false" customHeight="false" outlineLevel="0" collapsed="false">
      <c r="A2833" s="0" t="n">
        <f aca="false">B2833*1000+C2833</f>
        <v>45015</v>
      </c>
      <c r="B2833" s="0" t="n">
        <v>45</v>
      </c>
      <c r="C2833" s="0" t="n">
        <v>15</v>
      </c>
      <c r="D2833" s="0" t="n">
        <v>0</v>
      </c>
      <c r="E2833" s="0" t="n">
        <f aca="false">VLOOKUP(B2833,'Babblefish-APUMA'!$A$1:$B$86,2)</f>
        <v>92</v>
      </c>
      <c r="F2833" s="0" t="n">
        <f aca="false">IF(C2833&gt;1,IF(C2833&lt;99,VLOOKUP(C2833,'Babblefish-APUMA'!$A$1:$B$86,2),C2833),C2833)</f>
        <v>15</v>
      </c>
    </row>
    <row r="2834" customFormat="false" ht="12.75" hidden="false" customHeight="false" outlineLevel="0" collapsed="false">
      <c r="A2834" s="0" t="n">
        <f aca="false">B2834*1000+C2834</f>
        <v>45016</v>
      </c>
      <c r="B2834" s="0" t="n">
        <v>45</v>
      </c>
      <c r="C2834" s="0" t="n">
        <v>16</v>
      </c>
      <c r="D2834" s="0" t="n">
        <v>0</v>
      </c>
      <c r="E2834" s="0" t="n">
        <f aca="false">VLOOKUP(B2834,'Babblefish-APUMA'!$A$1:$B$86,2)</f>
        <v>92</v>
      </c>
      <c r="F2834" s="0" t="n">
        <f aca="false">IF(C2834&gt;1,IF(C2834&lt;99,VLOOKUP(C2834,'Babblefish-APUMA'!$A$1:$B$86,2),C2834),C2834)</f>
        <v>99</v>
      </c>
    </row>
    <row r="2835" customFormat="false" ht="12.75" hidden="false" customHeight="false" outlineLevel="0" collapsed="false">
      <c r="A2835" s="0" t="n">
        <f aca="false">B2835*1000+C2835</f>
        <v>45017</v>
      </c>
      <c r="B2835" s="0" t="n">
        <v>45</v>
      </c>
      <c r="C2835" s="0" t="n">
        <v>17</v>
      </c>
      <c r="D2835" s="0" t="n">
        <v>104</v>
      </c>
      <c r="E2835" s="0" t="n">
        <f aca="false">VLOOKUP(B2835,'Babblefish-APUMA'!$A$1:$B$86,2)</f>
        <v>92</v>
      </c>
      <c r="F2835" s="0" t="n">
        <f aca="false">IF(C2835&gt;1,IF(C2835&lt;99,VLOOKUP(C2835,'Babblefish-APUMA'!$A$1:$B$86,2),C2835),C2835)</f>
        <v>87</v>
      </c>
    </row>
    <row r="2836" customFormat="false" ht="12.75" hidden="false" customHeight="false" outlineLevel="0" collapsed="false">
      <c r="A2836" s="0" t="n">
        <f aca="false">B2836*1000+C2836</f>
        <v>45018</v>
      </c>
      <c r="B2836" s="0" t="n">
        <v>45</v>
      </c>
      <c r="C2836" s="0" t="n">
        <v>18</v>
      </c>
      <c r="D2836" s="0" t="n">
        <v>0</v>
      </c>
      <c r="E2836" s="0" t="n">
        <f aca="false">VLOOKUP(B2836,'Babblefish-APUMA'!$A$1:$B$86,2)</f>
        <v>92</v>
      </c>
      <c r="F2836" s="0" t="n">
        <f aca="false">IF(C2836&gt;1,IF(C2836&lt;99,VLOOKUP(C2836,'Babblefish-APUMA'!$A$1:$B$86,2),C2836),C2836)</f>
        <v>87</v>
      </c>
    </row>
    <row r="2837" customFormat="false" ht="12.75" hidden="false" customHeight="false" outlineLevel="0" collapsed="false">
      <c r="A2837" s="0" t="n">
        <f aca="false">B2837*1000+C2837</f>
        <v>45019</v>
      </c>
      <c r="B2837" s="0" t="n">
        <v>45</v>
      </c>
      <c r="C2837" s="0" t="n">
        <v>19</v>
      </c>
      <c r="D2837" s="0" t="n">
        <v>0</v>
      </c>
      <c r="E2837" s="0" t="n">
        <f aca="false">VLOOKUP(B2837,'Babblefish-APUMA'!$A$1:$B$86,2)</f>
        <v>92</v>
      </c>
      <c r="F2837" s="0" t="n">
        <f aca="false">IF(C2837&gt;1,IF(C2837&lt;99,VLOOKUP(C2837,'Babblefish-APUMA'!$A$1:$B$86,2),C2837),C2837)</f>
        <v>19</v>
      </c>
    </row>
    <row r="2838" customFormat="false" ht="12.75" hidden="false" customHeight="false" outlineLevel="0" collapsed="false">
      <c r="A2838" s="0" t="n">
        <f aca="false">B2838*1000+C2838</f>
        <v>45020</v>
      </c>
      <c r="B2838" s="0" t="n">
        <v>45</v>
      </c>
      <c r="C2838" s="0" t="n">
        <v>20</v>
      </c>
      <c r="D2838" s="0" t="n">
        <v>0</v>
      </c>
      <c r="E2838" s="0" t="n">
        <f aca="false">VLOOKUP(B2838,'Babblefish-APUMA'!$A$1:$B$86,2)</f>
        <v>92</v>
      </c>
      <c r="F2838" s="0" t="n">
        <f aca="false">IF(C2838&gt;1,IF(C2838&lt;99,VLOOKUP(C2838,'Babblefish-APUMA'!$A$1:$B$86,2),C2838),C2838)</f>
        <v>86</v>
      </c>
    </row>
    <row r="2839" customFormat="false" ht="12.75" hidden="false" customHeight="false" outlineLevel="0" collapsed="false">
      <c r="A2839" s="0" t="n">
        <f aca="false">B2839*1000+C2839</f>
        <v>45021</v>
      </c>
      <c r="B2839" s="0" t="n">
        <v>45</v>
      </c>
      <c r="C2839" s="0" t="n">
        <v>21</v>
      </c>
      <c r="D2839" s="0" t="n">
        <v>169</v>
      </c>
      <c r="E2839" s="0" t="n">
        <f aca="false">VLOOKUP(B2839,'Babblefish-APUMA'!$A$1:$B$86,2)</f>
        <v>92</v>
      </c>
      <c r="F2839" s="0" t="n">
        <f aca="false">IF(C2839&gt;1,IF(C2839&lt;99,VLOOKUP(C2839,'Babblefish-APUMA'!$A$1:$B$86,2),C2839),C2839)</f>
        <v>86</v>
      </c>
    </row>
    <row r="2840" customFormat="false" ht="12.75" hidden="false" customHeight="false" outlineLevel="0" collapsed="false">
      <c r="A2840" s="0" t="n">
        <f aca="false">B2840*1000+C2840</f>
        <v>45022</v>
      </c>
      <c r="B2840" s="0" t="n">
        <v>45</v>
      </c>
      <c r="C2840" s="0" t="n">
        <v>22</v>
      </c>
      <c r="D2840" s="0" t="n">
        <v>78</v>
      </c>
      <c r="E2840" s="0" t="n">
        <f aca="false">VLOOKUP(B2840,'Babblefish-APUMA'!$A$1:$B$86,2)</f>
        <v>92</v>
      </c>
      <c r="F2840" s="0" t="n">
        <f aca="false">IF(C2840&gt;1,IF(C2840&lt;99,VLOOKUP(C2840,'Babblefish-APUMA'!$A$1:$B$86,2),C2840),C2840)</f>
        <v>22</v>
      </c>
    </row>
    <row r="2841" customFormat="false" ht="12.75" hidden="false" customHeight="false" outlineLevel="0" collapsed="false">
      <c r="A2841" s="0" t="n">
        <f aca="false">B2841*1000+C2841</f>
        <v>45023</v>
      </c>
      <c r="B2841" s="0" t="n">
        <v>45</v>
      </c>
      <c r="C2841" s="0" t="n">
        <v>23</v>
      </c>
      <c r="D2841" s="0" t="n">
        <v>78</v>
      </c>
      <c r="E2841" s="0" t="n">
        <f aca="false">VLOOKUP(B2841,'Babblefish-APUMA'!$A$1:$B$86,2)</f>
        <v>92</v>
      </c>
      <c r="F2841" s="0" t="n">
        <f aca="false">IF(C2841&gt;1,IF(C2841&lt;99,VLOOKUP(C2841,'Babblefish-APUMA'!$A$1:$B$86,2),C2841),C2841)</f>
        <v>97</v>
      </c>
    </row>
    <row r="2842" customFormat="false" ht="12.75" hidden="false" customHeight="false" outlineLevel="0" collapsed="false">
      <c r="A2842" s="0" t="n">
        <f aca="false">B2842*1000+C2842</f>
        <v>45024</v>
      </c>
      <c r="B2842" s="0" t="n">
        <v>45</v>
      </c>
      <c r="C2842" s="0" t="n">
        <v>24</v>
      </c>
      <c r="D2842" s="0" t="n">
        <v>0</v>
      </c>
      <c r="E2842" s="0" t="n">
        <f aca="false">VLOOKUP(B2842,'Babblefish-APUMA'!$A$1:$B$86,2)</f>
        <v>92</v>
      </c>
      <c r="F2842" s="0" t="n">
        <f aca="false">IF(C2842&gt;1,IF(C2842&lt;99,VLOOKUP(C2842,'Babblefish-APUMA'!$A$1:$B$86,2),C2842),C2842)</f>
        <v>101</v>
      </c>
    </row>
    <row r="2843" customFormat="false" ht="12.75" hidden="false" customHeight="false" outlineLevel="0" collapsed="false">
      <c r="A2843" s="0" t="n">
        <f aca="false">B2843*1000+C2843</f>
        <v>45025</v>
      </c>
      <c r="B2843" s="0" t="n">
        <v>45</v>
      </c>
      <c r="C2843" s="0" t="n">
        <v>25</v>
      </c>
      <c r="D2843" s="0" t="n">
        <v>0</v>
      </c>
      <c r="E2843" s="0" t="n">
        <f aca="false">VLOOKUP(B2843,'Babblefish-APUMA'!$A$1:$B$86,2)</f>
        <v>92</v>
      </c>
      <c r="F2843" s="0" t="n">
        <f aca="false">IF(C2843&gt;1,IF(C2843&lt;99,VLOOKUP(C2843,'Babblefish-APUMA'!$A$1:$B$86,2),C2843),C2843)</f>
        <v>101</v>
      </c>
    </row>
    <row r="2844" customFormat="false" ht="12.75" hidden="false" customHeight="false" outlineLevel="0" collapsed="false">
      <c r="A2844" s="0" t="n">
        <f aca="false">B2844*1000+C2844</f>
        <v>45026</v>
      </c>
      <c r="B2844" s="0" t="n">
        <v>45</v>
      </c>
      <c r="C2844" s="0" t="n">
        <v>26</v>
      </c>
      <c r="D2844" s="0" t="n">
        <v>0</v>
      </c>
      <c r="E2844" s="0" t="n">
        <f aca="false">VLOOKUP(B2844,'Babblefish-APUMA'!$A$1:$B$86,2)</f>
        <v>92</v>
      </c>
      <c r="F2844" s="0" t="n">
        <f aca="false">IF(C2844&gt;1,IF(C2844&lt;99,VLOOKUP(C2844,'Babblefish-APUMA'!$A$1:$B$86,2),C2844),C2844)</f>
        <v>26</v>
      </c>
    </row>
    <row r="2845" customFormat="false" ht="12.75" hidden="false" customHeight="false" outlineLevel="0" collapsed="false">
      <c r="A2845" s="0" t="n">
        <f aca="false">B2845*1000+C2845</f>
        <v>45027</v>
      </c>
      <c r="B2845" s="0" t="n">
        <v>45</v>
      </c>
      <c r="C2845" s="0" t="n">
        <v>27</v>
      </c>
      <c r="D2845" s="0" t="n">
        <v>0</v>
      </c>
      <c r="E2845" s="0" t="n">
        <f aca="false">VLOOKUP(B2845,'Babblefish-APUMA'!$A$1:$B$86,2)</f>
        <v>92</v>
      </c>
      <c r="F2845" s="0" t="n">
        <f aca="false">IF(C2845&gt;1,IF(C2845&lt;99,VLOOKUP(C2845,'Babblefish-APUMA'!$A$1:$B$86,2),C2845),C2845)</f>
        <v>27</v>
      </c>
    </row>
    <row r="2846" customFormat="false" ht="12.75" hidden="false" customHeight="false" outlineLevel="0" collapsed="false">
      <c r="A2846" s="0" t="n">
        <f aca="false">B2846*1000+C2846</f>
        <v>45028</v>
      </c>
      <c r="B2846" s="0" t="n">
        <v>45</v>
      </c>
      <c r="C2846" s="0" t="n">
        <v>28</v>
      </c>
      <c r="D2846" s="0" t="n">
        <v>0</v>
      </c>
      <c r="E2846" s="0" t="n">
        <f aca="false">VLOOKUP(B2846,'Babblefish-APUMA'!$A$1:$B$86,2)</f>
        <v>92</v>
      </c>
      <c r="F2846" s="0" t="n">
        <f aca="false">IF(C2846&gt;1,IF(C2846&lt;99,VLOOKUP(C2846,'Babblefish-APUMA'!$A$1:$B$86,2),C2846),C2846)</f>
        <v>94</v>
      </c>
    </row>
    <row r="2847" customFormat="false" ht="12.75" hidden="false" customHeight="false" outlineLevel="0" collapsed="false">
      <c r="A2847" s="0" t="n">
        <f aca="false">B2847*1000+C2847</f>
        <v>45029</v>
      </c>
      <c r="B2847" s="0" t="n">
        <v>45</v>
      </c>
      <c r="C2847" s="0" t="n">
        <v>29</v>
      </c>
      <c r="D2847" s="0" t="n">
        <v>0</v>
      </c>
      <c r="E2847" s="0" t="n">
        <f aca="false">VLOOKUP(B2847,'Babblefish-APUMA'!$A$1:$B$86,2)</f>
        <v>92</v>
      </c>
      <c r="F2847" s="0" t="n">
        <f aca="false">IF(C2847&gt;1,IF(C2847&lt;99,VLOOKUP(C2847,'Babblefish-APUMA'!$A$1:$B$86,2),C2847),C2847)</f>
        <v>94</v>
      </c>
    </row>
    <row r="2848" customFormat="false" ht="12.75" hidden="false" customHeight="false" outlineLevel="0" collapsed="false">
      <c r="A2848" s="0" t="n">
        <f aca="false">B2848*1000+C2848</f>
        <v>45030</v>
      </c>
      <c r="B2848" s="0" t="n">
        <v>45</v>
      </c>
      <c r="C2848" s="0" t="n">
        <v>30</v>
      </c>
      <c r="D2848" s="0" t="n">
        <v>0</v>
      </c>
      <c r="E2848" s="0" t="n">
        <f aca="false">VLOOKUP(B2848,'Babblefish-APUMA'!$A$1:$B$86,2)</f>
        <v>92</v>
      </c>
      <c r="F2848" s="0" t="n">
        <f aca="false">IF(C2848&gt;1,IF(C2848&lt;99,VLOOKUP(C2848,'Babblefish-APUMA'!$A$1:$B$86,2),C2848),C2848)</f>
        <v>30</v>
      </c>
    </row>
    <row r="2849" customFormat="false" ht="12.75" hidden="false" customHeight="false" outlineLevel="0" collapsed="false">
      <c r="A2849" s="0" t="n">
        <f aca="false">B2849*1000+C2849</f>
        <v>45031</v>
      </c>
      <c r="B2849" s="0" t="n">
        <v>45</v>
      </c>
      <c r="C2849" s="0" t="n">
        <v>31</v>
      </c>
      <c r="D2849" s="0" t="n">
        <v>0</v>
      </c>
      <c r="E2849" s="0" t="n">
        <f aca="false">VLOOKUP(B2849,'Babblefish-APUMA'!$A$1:$B$86,2)</f>
        <v>92</v>
      </c>
      <c r="F2849" s="0" t="n">
        <f aca="false">IF(C2849&gt;1,IF(C2849&lt;99,VLOOKUP(C2849,'Babblefish-APUMA'!$A$1:$B$86,2),C2849),C2849)</f>
        <v>31</v>
      </c>
    </row>
    <row r="2850" customFormat="false" ht="12.75" hidden="false" customHeight="false" outlineLevel="0" collapsed="false">
      <c r="A2850" s="0" t="n">
        <f aca="false">B2850*1000+C2850</f>
        <v>45032</v>
      </c>
      <c r="B2850" s="0" t="n">
        <v>45</v>
      </c>
      <c r="C2850" s="0" t="n">
        <v>32</v>
      </c>
      <c r="D2850" s="0" t="n">
        <v>0</v>
      </c>
      <c r="E2850" s="0" t="n">
        <f aca="false">VLOOKUP(B2850,'Babblefish-APUMA'!$A$1:$B$86,2)</f>
        <v>92</v>
      </c>
      <c r="F2850" s="0" t="n">
        <f aca="false">IF(C2850&gt;1,IF(C2850&lt;99,VLOOKUP(C2850,'Babblefish-APUMA'!$A$1:$B$86,2),C2850),C2850)</f>
        <v>32</v>
      </c>
    </row>
    <row r="2851" customFormat="false" ht="12.75" hidden="false" customHeight="false" outlineLevel="0" collapsed="false">
      <c r="A2851" s="0" t="n">
        <f aca="false">B2851*1000+C2851</f>
        <v>45033</v>
      </c>
      <c r="B2851" s="0" t="n">
        <v>45</v>
      </c>
      <c r="C2851" s="0" t="n">
        <v>33</v>
      </c>
      <c r="D2851" s="0" t="n">
        <v>520</v>
      </c>
      <c r="E2851" s="0" t="n">
        <f aca="false">VLOOKUP(B2851,'Babblefish-APUMA'!$A$1:$B$86,2)</f>
        <v>92</v>
      </c>
      <c r="F2851" s="0" t="n">
        <f aca="false">IF(C2851&gt;1,IF(C2851&lt;99,VLOOKUP(C2851,'Babblefish-APUMA'!$A$1:$B$86,2),C2851),C2851)</f>
        <v>96</v>
      </c>
    </row>
    <row r="2852" customFormat="false" ht="12.75" hidden="false" customHeight="false" outlineLevel="0" collapsed="false">
      <c r="A2852" s="0" t="n">
        <f aca="false">B2852*1000+C2852</f>
        <v>45034</v>
      </c>
      <c r="B2852" s="0" t="n">
        <v>45</v>
      </c>
      <c r="C2852" s="0" t="n">
        <v>34</v>
      </c>
      <c r="D2852" s="0" t="n">
        <v>221</v>
      </c>
      <c r="E2852" s="0" t="n">
        <f aca="false">VLOOKUP(B2852,'Babblefish-APUMA'!$A$1:$B$86,2)</f>
        <v>92</v>
      </c>
      <c r="F2852" s="0" t="n">
        <f aca="false">IF(C2852&gt;1,IF(C2852&lt;99,VLOOKUP(C2852,'Babblefish-APUMA'!$A$1:$B$86,2),C2852),C2852)</f>
        <v>96</v>
      </c>
    </row>
    <row r="2853" customFormat="false" ht="12.75" hidden="false" customHeight="false" outlineLevel="0" collapsed="false">
      <c r="A2853" s="0" t="n">
        <f aca="false">B2853*1000+C2853</f>
        <v>45035</v>
      </c>
      <c r="B2853" s="0" t="n">
        <v>45</v>
      </c>
      <c r="C2853" s="0" t="n">
        <v>35</v>
      </c>
      <c r="D2853" s="0" t="n">
        <v>0</v>
      </c>
      <c r="E2853" s="0" t="n">
        <f aca="false">VLOOKUP(B2853,'Babblefish-APUMA'!$A$1:$B$86,2)</f>
        <v>92</v>
      </c>
      <c r="F2853" s="0" t="n">
        <f aca="false">IF(C2853&gt;1,IF(C2853&lt;99,VLOOKUP(C2853,'Babblefish-APUMA'!$A$1:$B$86,2),C2853),C2853)</f>
        <v>96</v>
      </c>
    </row>
    <row r="2854" customFormat="false" ht="12.75" hidden="false" customHeight="false" outlineLevel="0" collapsed="false">
      <c r="A2854" s="0" t="n">
        <f aca="false">B2854*1000+C2854</f>
        <v>45036</v>
      </c>
      <c r="B2854" s="0" t="n">
        <v>45</v>
      </c>
      <c r="C2854" s="0" t="n">
        <v>36</v>
      </c>
      <c r="D2854" s="0" t="n">
        <v>0</v>
      </c>
      <c r="E2854" s="0" t="n">
        <f aca="false">VLOOKUP(B2854,'Babblefish-APUMA'!$A$1:$B$86,2)</f>
        <v>92</v>
      </c>
      <c r="F2854" s="0" t="n">
        <f aca="false">IF(C2854&gt;1,IF(C2854&lt;99,VLOOKUP(C2854,'Babblefish-APUMA'!$A$1:$B$86,2),C2854),C2854)</f>
        <v>96</v>
      </c>
    </row>
    <row r="2855" customFormat="false" ht="12.75" hidden="false" customHeight="false" outlineLevel="0" collapsed="false">
      <c r="A2855" s="0" t="n">
        <f aca="false">B2855*1000+C2855</f>
        <v>45037</v>
      </c>
      <c r="B2855" s="0" t="n">
        <v>45</v>
      </c>
      <c r="C2855" s="0" t="n">
        <v>37</v>
      </c>
      <c r="D2855" s="0" t="n">
        <v>481</v>
      </c>
      <c r="E2855" s="0" t="n">
        <f aca="false">VLOOKUP(B2855,'Babblefish-APUMA'!$A$1:$B$86,2)</f>
        <v>92</v>
      </c>
      <c r="F2855" s="0" t="n">
        <f aca="false">IF(C2855&gt;1,IF(C2855&lt;99,VLOOKUP(C2855,'Babblefish-APUMA'!$A$1:$B$86,2),C2855),C2855)</f>
        <v>96</v>
      </c>
    </row>
    <row r="2856" customFormat="false" ht="12.75" hidden="false" customHeight="false" outlineLevel="0" collapsed="false">
      <c r="A2856" s="0" t="n">
        <f aca="false">B2856*1000+C2856</f>
        <v>45038</v>
      </c>
      <c r="B2856" s="0" t="n">
        <v>45</v>
      </c>
      <c r="C2856" s="0" t="n">
        <v>38</v>
      </c>
      <c r="D2856" s="0" t="n">
        <v>0</v>
      </c>
      <c r="E2856" s="0" t="n">
        <f aca="false">VLOOKUP(B2856,'Babblefish-APUMA'!$A$1:$B$86,2)</f>
        <v>92</v>
      </c>
      <c r="F2856" s="0" t="n">
        <f aca="false">IF(C2856&gt;1,IF(C2856&lt;99,VLOOKUP(C2856,'Babblefish-APUMA'!$A$1:$B$86,2),C2856),C2856)</f>
        <v>91</v>
      </c>
    </row>
    <row r="2857" customFormat="false" ht="12.75" hidden="false" customHeight="false" outlineLevel="0" collapsed="false">
      <c r="A2857" s="0" t="n">
        <f aca="false">B2857*1000+C2857</f>
        <v>45039</v>
      </c>
      <c r="B2857" s="0" t="n">
        <v>45</v>
      </c>
      <c r="C2857" s="0" t="n">
        <v>39</v>
      </c>
      <c r="D2857" s="0" t="n">
        <v>0</v>
      </c>
      <c r="E2857" s="0" t="n">
        <f aca="false">VLOOKUP(B2857,'Babblefish-APUMA'!$A$1:$B$86,2)</f>
        <v>92</v>
      </c>
      <c r="F2857" s="0" t="n">
        <f aca="false">IF(C2857&gt;1,IF(C2857&lt;99,VLOOKUP(C2857,'Babblefish-APUMA'!$A$1:$B$86,2),C2857),C2857)</f>
        <v>91</v>
      </c>
    </row>
    <row r="2858" customFormat="false" ht="12.75" hidden="false" customHeight="false" outlineLevel="0" collapsed="false">
      <c r="A2858" s="0" t="n">
        <f aca="false">B2858*1000+C2858</f>
        <v>45040</v>
      </c>
      <c r="B2858" s="0" t="n">
        <v>45</v>
      </c>
      <c r="C2858" s="0" t="n">
        <v>40</v>
      </c>
      <c r="D2858" s="0" t="n">
        <v>0</v>
      </c>
      <c r="E2858" s="0" t="n">
        <f aca="false">VLOOKUP(B2858,'Babblefish-APUMA'!$A$1:$B$86,2)</f>
        <v>92</v>
      </c>
      <c r="F2858" s="0" t="n">
        <f aca="false">IF(C2858&gt;1,IF(C2858&lt;99,VLOOKUP(C2858,'Babblefish-APUMA'!$A$1:$B$86,2),C2858),C2858)</f>
        <v>88</v>
      </c>
    </row>
    <row r="2859" customFormat="false" ht="12.75" hidden="false" customHeight="false" outlineLevel="0" collapsed="false">
      <c r="A2859" s="0" t="n">
        <f aca="false">B2859*1000+C2859</f>
        <v>45041</v>
      </c>
      <c r="B2859" s="0" t="n">
        <v>45</v>
      </c>
      <c r="C2859" s="0" t="n">
        <v>41</v>
      </c>
      <c r="D2859" s="0" t="n">
        <v>0</v>
      </c>
      <c r="E2859" s="0" t="n">
        <f aca="false">VLOOKUP(B2859,'Babblefish-APUMA'!$A$1:$B$86,2)</f>
        <v>92</v>
      </c>
      <c r="F2859" s="0" t="n">
        <f aca="false">IF(C2859&gt;1,IF(C2859&lt;99,VLOOKUP(C2859,'Babblefish-APUMA'!$A$1:$B$86,2),C2859),C2859)</f>
        <v>88</v>
      </c>
    </row>
    <row r="2860" customFormat="false" ht="12.75" hidden="false" customHeight="false" outlineLevel="0" collapsed="false">
      <c r="A2860" s="0" t="n">
        <f aca="false">B2860*1000+C2860</f>
        <v>45042</v>
      </c>
      <c r="B2860" s="0" t="n">
        <v>45</v>
      </c>
      <c r="C2860" s="0" t="n">
        <v>42</v>
      </c>
      <c r="D2860" s="0" t="n">
        <v>4615</v>
      </c>
      <c r="E2860" s="0" t="n">
        <f aca="false">VLOOKUP(B2860,'Babblefish-APUMA'!$A$1:$B$86,2)</f>
        <v>92</v>
      </c>
      <c r="F2860" s="0" t="n">
        <f aca="false">IF(C2860&gt;1,IF(C2860&lt;99,VLOOKUP(C2860,'Babblefish-APUMA'!$A$1:$B$86,2),C2860),C2860)</f>
        <v>92</v>
      </c>
    </row>
    <row r="2861" customFormat="false" ht="12.75" hidden="false" customHeight="false" outlineLevel="0" collapsed="false">
      <c r="A2861" s="0" t="n">
        <f aca="false">B2861*1000+C2861</f>
        <v>45043</v>
      </c>
      <c r="B2861" s="0" t="n">
        <v>45</v>
      </c>
      <c r="C2861" s="0" t="n">
        <v>43</v>
      </c>
      <c r="D2861" s="0" t="n">
        <v>4940</v>
      </c>
      <c r="E2861" s="0" t="n">
        <f aca="false">VLOOKUP(B2861,'Babblefish-APUMA'!$A$1:$B$86,2)</f>
        <v>92</v>
      </c>
      <c r="F2861" s="0" t="n">
        <f aca="false">IF(C2861&gt;1,IF(C2861&lt;99,VLOOKUP(C2861,'Babblefish-APUMA'!$A$1:$B$86,2),C2861),C2861)</f>
        <v>92</v>
      </c>
    </row>
    <row r="2862" customFormat="false" ht="12.75" hidden="false" customHeight="false" outlineLevel="0" collapsed="false">
      <c r="A2862" s="0" t="n">
        <f aca="false">B2862*1000+C2862</f>
        <v>45044</v>
      </c>
      <c r="B2862" s="0" t="n">
        <v>45</v>
      </c>
      <c r="C2862" s="0" t="n">
        <v>44</v>
      </c>
      <c r="D2862" s="0" t="n">
        <v>8801</v>
      </c>
      <c r="E2862" s="0" t="n">
        <f aca="false">VLOOKUP(B2862,'Babblefish-APUMA'!$A$1:$B$86,2)</f>
        <v>92</v>
      </c>
      <c r="F2862" s="0" t="n">
        <f aca="false">IF(C2862&gt;1,IF(C2862&lt;99,VLOOKUP(C2862,'Babblefish-APUMA'!$A$1:$B$86,2),C2862),C2862)</f>
        <v>92</v>
      </c>
    </row>
    <row r="2863" customFormat="false" ht="12.75" hidden="false" customHeight="false" outlineLevel="0" collapsed="false">
      <c r="A2863" s="0" t="n">
        <f aca="false">B2863*1000+C2863</f>
        <v>45045</v>
      </c>
      <c r="B2863" s="0" t="n">
        <v>45</v>
      </c>
      <c r="C2863" s="0" t="n">
        <v>45</v>
      </c>
      <c r="D2863" s="0" t="n">
        <v>15288</v>
      </c>
      <c r="E2863" s="0" t="n">
        <f aca="false">VLOOKUP(B2863,'Babblefish-APUMA'!$A$1:$B$86,2)</f>
        <v>92</v>
      </c>
      <c r="F2863" s="0" t="n">
        <f aca="false">IF(C2863&gt;1,IF(C2863&lt;99,VLOOKUP(C2863,'Babblefish-APUMA'!$A$1:$B$86,2),C2863),C2863)</f>
        <v>92</v>
      </c>
    </row>
    <row r="2864" customFormat="false" ht="12.75" hidden="false" customHeight="false" outlineLevel="0" collapsed="false">
      <c r="A2864" s="0" t="n">
        <f aca="false">B2864*1000+C2864</f>
        <v>45046</v>
      </c>
      <c r="B2864" s="0" t="n">
        <v>45</v>
      </c>
      <c r="C2864" s="0" t="n">
        <v>46</v>
      </c>
      <c r="D2864" s="0" t="n">
        <v>1092</v>
      </c>
      <c r="E2864" s="0" t="n">
        <f aca="false">VLOOKUP(B2864,'Babblefish-APUMA'!$A$1:$B$86,2)</f>
        <v>92</v>
      </c>
      <c r="F2864" s="0" t="n">
        <f aca="false">IF(C2864&gt;1,IF(C2864&lt;99,VLOOKUP(C2864,'Babblefish-APUMA'!$A$1:$B$86,2),C2864),C2864)</f>
        <v>92</v>
      </c>
    </row>
    <row r="2865" customFormat="false" ht="12.75" hidden="false" customHeight="false" outlineLevel="0" collapsed="false">
      <c r="A2865" s="0" t="n">
        <f aca="false">B2865*1000+C2865</f>
        <v>45047</v>
      </c>
      <c r="B2865" s="0" t="n">
        <v>45</v>
      </c>
      <c r="C2865" s="0" t="n">
        <v>47</v>
      </c>
      <c r="D2865" s="0" t="n">
        <v>416</v>
      </c>
      <c r="E2865" s="0" t="n">
        <f aca="false">VLOOKUP(B2865,'Babblefish-APUMA'!$A$1:$B$86,2)</f>
        <v>92</v>
      </c>
      <c r="F2865" s="0" t="n">
        <f aca="false">IF(C2865&gt;1,IF(C2865&lt;99,VLOOKUP(C2865,'Babblefish-APUMA'!$A$1:$B$86,2),C2865),C2865)</f>
        <v>92</v>
      </c>
    </row>
    <row r="2866" customFormat="false" ht="12.75" hidden="false" customHeight="false" outlineLevel="0" collapsed="false">
      <c r="A2866" s="0" t="n">
        <f aca="false">B2866*1000+C2866</f>
        <v>45048</v>
      </c>
      <c r="B2866" s="0" t="n">
        <v>45</v>
      </c>
      <c r="C2866" s="0" t="n">
        <v>48</v>
      </c>
      <c r="D2866" s="0" t="n">
        <v>21775</v>
      </c>
      <c r="E2866" s="0" t="n">
        <f aca="false">VLOOKUP(B2866,'Babblefish-APUMA'!$A$1:$B$86,2)</f>
        <v>92</v>
      </c>
      <c r="F2866" s="0" t="n">
        <f aca="false">IF(C2866&gt;1,IF(C2866&lt;99,VLOOKUP(C2866,'Babblefish-APUMA'!$A$1:$B$86,2),C2866),C2866)</f>
        <v>92</v>
      </c>
    </row>
    <row r="2867" customFormat="false" ht="12.75" hidden="false" customHeight="false" outlineLevel="0" collapsed="false">
      <c r="A2867" s="0" t="n">
        <f aca="false">B2867*1000+C2867</f>
        <v>45049</v>
      </c>
      <c r="B2867" s="0" t="n">
        <v>45</v>
      </c>
      <c r="C2867" s="0" t="n">
        <v>49</v>
      </c>
      <c r="D2867" s="0" t="n">
        <v>0</v>
      </c>
      <c r="E2867" s="0" t="n">
        <f aca="false">VLOOKUP(B2867,'Babblefish-APUMA'!$A$1:$B$86,2)</f>
        <v>92</v>
      </c>
      <c r="F2867" s="0" t="n">
        <f aca="false">IF(C2867&gt;1,IF(C2867&lt;99,VLOOKUP(C2867,'Babblefish-APUMA'!$A$1:$B$86,2),C2867),C2867)</f>
        <v>98</v>
      </c>
    </row>
    <row r="2868" customFormat="false" ht="12.75" hidden="false" customHeight="false" outlineLevel="0" collapsed="false">
      <c r="A2868" s="0" t="n">
        <f aca="false">B2868*1000+C2868</f>
        <v>45050</v>
      </c>
      <c r="B2868" s="0" t="n">
        <v>45</v>
      </c>
      <c r="C2868" s="0" t="n">
        <v>50</v>
      </c>
      <c r="D2868" s="0" t="n">
        <v>0</v>
      </c>
      <c r="E2868" s="0" t="n">
        <f aca="false">VLOOKUP(B2868,'Babblefish-APUMA'!$A$1:$B$86,2)</f>
        <v>92</v>
      </c>
      <c r="F2868" s="0" t="n">
        <f aca="false">IF(C2868&gt;1,IF(C2868&lt;99,VLOOKUP(C2868,'Babblefish-APUMA'!$A$1:$B$86,2),C2868),C2868)</f>
        <v>98</v>
      </c>
    </row>
    <row r="2869" customFormat="false" ht="12.75" hidden="false" customHeight="false" outlineLevel="0" collapsed="false">
      <c r="A2869" s="0" t="n">
        <f aca="false">B2869*1000+C2869</f>
        <v>45051</v>
      </c>
      <c r="B2869" s="0" t="n">
        <v>45</v>
      </c>
      <c r="C2869" s="0" t="n">
        <v>51</v>
      </c>
      <c r="D2869" s="0" t="n">
        <v>0</v>
      </c>
      <c r="E2869" s="0" t="n">
        <f aca="false">VLOOKUP(B2869,'Babblefish-APUMA'!$A$1:$B$86,2)</f>
        <v>92</v>
      </c>
      <c r="F2869" s="0" t="n">
        <f aca="false">IF(C2869&gt;1,IF(C2869&lt;99,VLOOKUP(C2869,'Babblefish-APUMA'!$A$1:$B$86,2),C2869),C2869)</f>
        <v>98</v>
      </c>
    </row>
    <row r="2870" customFormat="false" ht="12.75" hidden="false" customHeight="false" outlineLevel="0" collapsed="false">
      <c r="A2870" s="0" t="n">
        <f aca="false">B2870*1000+C2870</f>
        <v>45052</v>
      </c>
      <c r="B2870" s="0" t="n">
        <v>45</v>
      </c>
      <c r="C2870" s="0" t="n">
        <v>52</v>
      </c>
      <c r="D2870" s="0" t="n">
        <v>0</v>
      </c>
      <c r="E2870" s="0" t="n">
        <f aca="false">VLOOKUP(B2870,'Babblefish-APUMA'!$A$1:$B$86,2)</f>
        <v>92</v>
      </c>
      <c r="F2870" s="0" t="n">
        <f aca="false">IF(C2870&gt;1,IF(C2870&lt;99,VLOOKUP(C2870,'Babblefish-APUMA'!$A$1:$B$86,2),C2870),C2870)</f>
        <v>90</v>
      </c>
    </row>
    <row r="2871" customFormat="false" ht="12.75" hidden="false" customHeight="false" outlineLevel="0" collapsed="false">
      <c r="A2871" s="0" t="n">
        <f aca="false">B2871*1000+C2871</f>
        <v>45053</v>
      </c>
      <c r="B2871" s="0" t="n">
        <v>45</v>
      </c>
      <c r="C2871" s="0" t="n">
        <v>53</v>
      </c>
      <c r="D2871" s="0" t="n">
        <v>117</v>
      </c>
      <c r="E2871" s="0" t="n">
        <f aca="false">VLOOKUP(B2871,'Babblefish-APUMA'!$A$1:$B$86,2)</f>
        <v>92</v>
      </c>
      <c r="F2871" s="0" t="n">
        <f aca="false">IF(C2871&gt;1,IF(C2871&lt;99,VLOOKUP(C2871,'Babblefish-APUMA'!$A$1:$B$86,2),C2871),C2871)</f>
        <v>90</v>
      </c>
    </row>
    <row r="2872" customFormat="false" ht="12.75" hidden="false" customHeight="false" outlineLevel="0" collapsed="false">
      <c r="A2872" s="0" t="n">
        <f aca="false">B2872*1000+C2872</f>
        <v>45054</v>
      </c>
      <c r="B2872" s="0" t="n">
        <v>45</v>
      </c>
      <c r="C2872" s="0" t="n">
        <v>54</v>
      </c>
      <c r="D2872" s="0" t="n">
        <v>0</v>
      </c>
      <c r="E2872" s="0" t="n">
        <f aca="false">VLOOKUP(B2872,'Babblefish-APUMA'!$A$1:$B$86,2)</f>
        <v>92</v>
      </c>
      <c r="F2872" s="0" t="n">
        <f aca="false">IF(C2872&gt;1,IF(C2872&lt;99,VLOOKUP(C2872,'Babblefish-APUMA'!$A$1:$B$86,2),C2872),C2872)</f>
        <v>90</v>
      </c>
    </row>
    <row r="2873" customFormat="false" ht="12.75" hidden="false" customHeight="false" outlineLevel="0" collapsed="false">
      <c r="A2873" s="0" t="n">
        <f aca="false">B2873*1000+C2873</f>
        <v>45055</v>
      </c>
      <c r="B2873" s="0" t="n">
        <v>45</v>
      </c>
      <c r="C2873" s="0" t="n">
        <v>55</v>
      </c>
      <c r="D2873" s="0" t="n">
        <v>0</v>
      </c>
      <c r="E2873" s="0" t="n">
        <f aca="false">VLOOKUP(B2873,'Babblefish-APUMA'!$A$1:$B$86,2)</f>
        <v>92</v>
      </c>
      <c r="F2873" s="0" t="n">
        <f aca="false">IF(C2873&gt;1,IF(C2873&lt;99,VLOOKUP(C2873,'Babblefish-APUMA'!$A$1:$B$86,2),C2873),C2873)</f>
        <v>90</v>
      </c>
    </row>
    <row r="2874" customFormat="false" ht="12.75" hidden="false" customHeight="false" outlineLevel="0" collapsed="false">
      <c r="A2874" s="0" t="n">
        <f aca="false">B2874*1000+C2874</f>
        <v>45056</v>
      </c>
      <c r="B2874" s="0" t="n">
        <v>45</v>
      </c>
      <c r="C2874" s="0" t="n">
        <v>56</v>
      </c>
      <c r="D2874" s="0" t="n">
        <v>0</v>
      </c>
      <c r="E2874" s="0" t="n">
        <f aca="false">VLOOKUP(B2874,'Babblefish-APUMA'!$A$1:$B$86,2)</f>
        <v>92</v>
      </c>
      <c r="F2874" s="0" t="n">
        <f aca="false">IF(C2874&gt;1,IF(C2874&lt;99,VLOOKUP(C2874,'Babblefish-APUMA'!$A$1:$B$86,2),C2874),C2874)</f>
        <v>90</v>
      </c>
    </row>
    <row r="2875" customFormat="false" ht="12.75" hidden="false" customHeight="false" outlineLevel="0" collapsed="false">
      <c r="A2875" s="0" t="n">
        <f aca="false">B2875*1000+C2875</f>
        <v>45057</v>
      </c>
      <c r="B2875" s="0" t="n">
        <v>45</v>
      </c>
      <c r="C2875" s="0" t="n">
        <v>57</v>
      </c>
      <c r="D2875" s="0" t="n">
        <v>0</v>
      </c>
      <c r="E2875" s="0" t="n">
        <f aca="false">VLOOKUP(B2875,'Babblefish-APUMA'!$A$1:$B$86,2)</f>
        <v>92</v>
      </c>
      <c r="F2875" s="0" t="n">
        <f aca="false">IF(C2875&gt;1,IF(C2875&lt;99,VLOOKUP(C2875,'Babblefish-APUMA'!$A$1:$B$86,2),C2875),C2875)</f>
        <v>90</v>
      </c>
    </row>
    <row r="2876" customFormat="false" ht="12.75" hidden="false" customHeight="false" outlineLevel="0" collapsed="false">
      <c r="A2876" s="0" t="n">
        <f aca="false">B2876*1000+C2876</f>
        <v>45058</v>
      </c>
      <c r="B2876" s="0" t="n">
        <v>45</v>
      </c>
      <c r="C2876" s="0" t="n">
        <v>58</v>
      </c>
      <c r="D2876" s="0" t="n">
        <v>182</v>
      </c>
      <c r="E2876" s="0" t="n">
        <f aca="false">VLOOKUP(B2876,'Babblefish-APUMA'!$A$1:$B$86,2)</f>
        <v>92</v>
      </c>
      <c r="F2876" s="0" t="n">
        <f aca="false">IF(C2876&gt;1,IF(C2876&lt;99,VLOOKUP(C2876,'Babblefish-APUMA'!$A$1:$B$86,2),C2876),C2876)</f>
        <v>90</v>
      </c>
    </row>
    <row r="2877" customFormat="false" ht="12.75" hidden="false" customHeight="false" outlineLevel="0" collapsed="false">
      <c r="A2877" s="0" t="n">
        <f aca="false">B2877*1000+C2877</f>
        <v>45059</v>
      </c>
      <c r="B2877" s="0" t="n">
        <v>45</v>
      </c>
      <c r="C2877" s="0" t="n">
        <v>59</v>
      </c>
      <c r="D2877" s="0" t="n">
        <v>0</v>
      </c>
      <c r="E2877" s="0" t="n">
        <f aca="false">VLOOKUP(B2877,'Babblefish-APUMA'!$A$1:$B$86,2)</f>
        <v>92</v>
      </c>
      <c r="F2877" s="0" t="n">
        <f aca="false">IF(C2877&gt;1,IF(C2877&lt;99,VLOOKUP(C2877,'Babblefish-APUMA'!$A$1:$B$86,2),C2877),C2877)</f>
        <v>90</v>
      </c>
    </row>
    <row r="2878" customFormat="false" ht="12.75" hidden="false" customHeight="false" outlineLevel="0" collapsed="false">
      <c r="A2878" s="0" t="n">
        <f aca="false">B2878*1000+C2878</f>
        <v>45060</v>
      </c>
      <c r="B2878" s="0" t="n">
        <v>45</v>
      </c>
      <c r="C2878" s="0" t="n">
        <v>60</v>
      </c>
      <c r="D2878" s="0" t="n">
        <v>117</v>
      </c>
      <c r="E2878" s="0" t="n">
        <f aca="false">VLOOKUP(B2878,'Babblefish-APUMA'!$A$1:$B$86,2)</f>
        <v>92</v>
      </c>
      <c r="F2878" s="0" t="n">
        <f aca="false">IF(C2878&gt;1,IF(C2878&lt;99,VLOOKUP(C2878,'Babblefish-APUMA'!$A$1:$B$86,2),C2878),C2878)</f>
        <v>90</v>
      </c>
    </row>
    <row r="2879" customFormat="false" ht="12.75" hidden="false" customHeight="false" outlineLevel="0" collapsed="false">
      <c r="A2879" s="0" t="n">
        <f aca="false">B2879*1000+C2879</f>
        <v>45061</v>
      </c>
      <c r="B2879" s="0" t="n">
        <v>45</v>
      </c>
      <c r="C2879" s="0" t="n">
        <v>61</v>
      </c>
      <c r="D2879" s="0" t="n">
        <v>78</v>
      </c>
      <c r="E2879" s="0" t="n">
        <f aca="false">VLOOKUP(B2879,'Babblefish-APUMA'!$A$1:$B$86,2)</f>
        <v>92</v>
      </c>
      <c r="F2879" s="0" t="n">
        <f aca="false">IF(C2879&gt;1,IF(C2879&lt;99,VLOOKUP(C2879,'Babblefish-APUMA'!$A$1:$B$86,2),C2879),C2879)</f>
        <v>90</v>
      </c>
    </row>
    <row r="2880" customFormat="false" ht="12.75" hidden="false" customHeight="false" outlineLevel="0" collapsed="false">
      <c r="A2880" s="0" t="n">
        <f aca="false">B2880*1000+C2880</f>
        <v>45062</v>
      </c>
      <c r="B2880" s="0" t="n">
        <v>45</v>
      </c>
      <c r="C2880" s="0" t="n">
        <v>62</v>
      </c>
      <c r="D2880" s="0" t="n">
        <v>117</v>
      </c>
      <c r="E2880" s="0" t="n">
        <f aca="false">VLOOKUP(B2880,'Babblefish-APUMA'!$A$1:$B$86,2)</f>
        <v>92</v>
      </c>
      <c r="F2880" s="0" t="n">
        <f aca="false">IF(C2880&gt;1,IF(C2880&lt;99,VLOOKUP(C2880,'Babblefish-APUMA'!$A$1:$B$86,2),C2880),C2880)</f>
        <v>90</v>
      </c>
    </row>
    <row r="2881" customFormat="false" ht="12.75" hidden="false" customHeight="false" outlineLevel="0" collapsed="false">
      <c r="A2881" s="0" t="n">
        <f aca="false">B2881*1000+C2881</f>
        <v>45063</v>
      </c>
      <c r="B2881" s="0" t="n">
        <v>45</v>
      </c>
      <c r="C2881" s="0" t="n">
        <v>63</v>
      </c>
      <c r="D2881" s="0" t="n">
        <v>78</v>
      </c>
      <c r="E2881" s="0" t="n">
        <f aca="false">VLOOKUP(B2881,'Babblefish-APUMA'!$A$1:$B$86,2)</f>
        <v>92</v>
      </c>
      <c r="F2881" s="0" t="n">
        <f aca="false">IF(C2881&gt;1,IF(C2881&lt;99,VLOOKUP(C2881,'Babblefish-APUMA'!$A$1:$B$86,2),C2881),C2881)</f>
        <v>90</v>
      </c>
    </row>
    <row r="2882" customFormat="false" ht="12.75" hidden="false" customHeight="false" outlineLevel="0" collapsed="false">
      <c r="A2882" s="0" t="n">
        <f aca="false">B2882*1000+C2882</f>
        <v>45064</v>
      </c>
      <c r="B2882" s="0" t="n">
        <v>45</v>
      </c>
      <c r="C2882" s="0" t="n">
        <v>64</v>
      </c>
      <c r="D2882" s="0" t="n">
        <v>2236</v>
      </c>
      <c r="E2882" s="0" t="n">
        <f aca="false">VLOOKUP(B2882,'Babblefish-APUMA'!$A$1:$B$86,2)</f>
        <v>92</v>
      </c>
      <c r="F2882" s="0" t="n">
        <f aca="false">IF(C2882&gt;1,IF(C2882&lt;99,VLOOKUP(C2882,'Babblefish-APUMA'!$A$1:$B$86,2),C2882),C2882)</f>
        <v>90</v>
      </c>
    </row>
    <row r="2883" customFormat="false" ht="12.75" hidden="false" customHeight="false" outlineLevel="0" collapsed="false">
      <c r="A2883" s="0" t="n">
        <f aca="false">B2883*1000+C2883</f>
        <v>45065</v>
      </c>
      <c r="B2883" s="0" t="n">
        <v>45</v>
      </c>
      <c r="C2883" s="0" t="n">
        <v>65</v>
      </c>
      <c r="D2883" s="0" t="n">
        <v>767</v>
      </c>
      <c r="E2883" s="0" t="n">
        <f aca="false">VLOOKUP(B2883,'Babblefish-APUMA'!$A$1:$B$86,2)</f>
        <v>92</v>
      </c>
      <c r="F2883" s="0" t="n">
        <f aca="false">IF(C2883&gt;1,IF(C2883&lt;99,VLOOKUP(C2883,'Babblefish-APUMA'!$A$1:$B$86,2),C2883),C2883)</f>
        <v>90</v>
      </c>
    </row>
    <row r="2884" customFormat="false" ht="12.75" hidden="false" customHeight="false" outlineLevel="0" collapsed="false">
      <c r="A2884" s="0" t="n">
        <f aca="false">B2884*1000+C2884</f>
        <v>45066</v>
      </c>
      <c r="B2884" s="0" t="n">
        <v>45</v>
      </c>
      <c r="C2884" s="0" t="n">
        <v>66</v>
      </c>
      <c r="D2884" s="0" t="n">
        <v>988</v>
      </c>
      <c r="E2884" s="0" t="n">
        <f aca="false">VLOOKUP(B2884,'Babblefish-APUMA'!$A$1:$B$86,2)</f>
        <v>92</v>
      </c>
      <c r="F2884" s="0" t="n">
        <f aca="false">IF(C2884&gt;1,IF(C2884&lt;99,VLOOKUP(C2884,'Babblefish-APUMA'!$A$1:$B$86,2),C2884),C2884)</f>
        <v>90</v>
      </c>
    </row>
    <row r="2885" customFormat="false" ht="12.75" hidden="false" customHeight="false" outlineLevel="0" collapsed="false">
      <c r="A2885" s="0" t="n">
        <f aca="false">B2885*1000+C2885</f>
        <v>45067</v>
      </c>
      <c r="B2885" s="0" t="n">
        <v>45</v>
      </c>
      <c r="C2885" s="0" t="n">
        <v>67</v>
      </c>
      <c r="D2885" s="0" t="n">
        <v>0</v>
      </c>
      <c r="E2885" s="0" t="n">
        <f aca="false">VLOOKUP(B2885,'Babblefish-APUMA'!$A$1:$B$86,2)</f>
        <v>92</v>
      </c>
      <c r="F2885" s="0" t="n">
        <f aca="false">IF(C2885&gt;1,IF(C2885&lt;99,VLOOKUP(C2885,'Babblefish-APUMA'!$A$1:$B$86,2),C2885),C2885)</f>
        <v>103</v>
      </c>
    </row>
    <row r="2886" customFormat="false" ht="12.75" hidden="false" customHeight="false" outlineLevel="0" collapsed="false">
      <c r="A2886" s="0" t="n">
        <f aca="false">B2886*1000+C2886</f>
        <v>45068</v>
      </c>
      <c r="B2886" s="0" t="n">
        <v>45</v>
      </c>
      <c r="C2886" s="0" t="n">
        <v>68</v>
      </c>
      <c r="D2886" s="0" t="n">
        <v>0</v>
      </c>
      <c r="E2886" s="0" t="n">
        <f aca="false">VLOOKUP(B2886,'Babblefish-APUMA'!$A$1:$B$86,2)</f>
        <v>92</v>
      </c>
      <c r="F2886" s="0" t="n">
        <f aca="false">IF(C2886&gt;1,IF(C2886&lt;99,VLOOKUP(C2886,'Babblefish-APUMA'!$A$1:$B$86,2),C2886),C2886)</f>
        <v>93</v>
      </c>
    </row>
    <row r="2887" customFormat="false" ht="12.75" hidden="false" customHeight="false" outlineLevel="0" collapsed="false">
      <c r="A2887" s="0" t="n">
        <f aca="false">B2887*1000+C2887</f>
        <v>45069</v>
      </c>
      <c r="B2887" s="0" t="n">
        <v>45</v>
      </c>
      <c r="C2887" s="0" t="n">
        <v>69</v>
      </c>
      <c r="D2887" s="0" t="n">
        <v>0</v>
      </c>
      <c r="E2887" s="0" t="n">
        <f aca="false">VLOOKUP(B2887,'Babblefish-APUMA'!$A$1:$B$86,2)</f>
        <v>92</v>
      </c>
      <c r="F2887" s="0" t="n">
        <f aca="false">IF(C2887&gt;1,IF(C2887&lt;99,VLOOKUP(C2887,'Babblefish-APUMA'!$A$1:$B$86,2),C2887),C2887)</f>
        <v>93</v>
      </c>
    </row>
    <row r="2888" customFormat="false" ht="12.75" hidden="false" customHeight="false" outlineLevel="0" collapsed="false">
      <c r="A2888" s="0" t="n">
        <f aca="false">B2888*1000+C2888</f>
        <v>45070</v>
      </c>
      <c r="B2888" s="0" t="n">
        <v>45</v>
      </c>
      <c r="C2888" s="0" t="n">
        <v>70</v>
      </c>
      <c r="D2888" s="0" t="n">
        <v>130</v>
      </c>
      <c r="E2888" s="0" t="n">
        <f aca="false">VLOOKUP(B2888,'Babblefish-APUMA'!$A$1:$B$86,2)</f>
        <v>92</v>
      </c>
      <c r="F2888" s="0" t="n">
        <f aca="false">IF(C2888&gt;1,IF(C2888&lt;99,VLOOKUP(C2888,'Babblefish-APUMA'!$A$1:$B$86,2),C2888),C2888)</f>
        <v>95</v>
      </c>
    </row>
    <row r="2889" customFormat="false" ht="12.75" hidden="false" customHeight="false" outlineLevel="0" collapsed="false">
      <c r="A2889" s="0" t="n">
        <f aca="false">B2889*1000+C2889</f>
        <v>45071</v>
      </c>
      <c r="B2889" s="0" t="n">
        <v>45</v>
      </c>
      <c r="C2889" s="0" t="n">
        <v>71</v>
      </c>
      <c r="D2889" s="0" t="n">
        <v>117</v>
      </c>
      <c r="E2889" s="0" t="n">
        <f aca="false">VLOOKUP(B2889,'Babblefish-APUMA'!$A$1:$B$86,2)</f>
        <v>92</v>
      </c>
      <c r="F2889" s="0" t="n">
        <f aca="false">IF(C2889&gt;1,IF(C2889&lt;99,VLOOKUP(C2889,'Babblefish-APUMA'!$A$1:$B$86,2),C2889),C2889)</f>
        <v>95</v>
      </c>
    </row>
    <row r="2890" customFormat="false" ht="12.75" hidden="false" customHeight="false" outlineLevel="0" collapsed="false">
      <c r="A2890" s="0" t="n">
        <f aca="false">B2890*1000+C2890</f>
        <v>45072</v>
      </c>
      <c r="B2890" s="0" t="n">
        <v>45</v>
      </c>
      <c r="C2890" s="0" t="n">
        <v>72</v>
      </c>
      <c r="D2890" s="0" t="n">
        <v>208</v>
      </c>
      <c r="E2890" s="0" t="n">
        <f aca="false">VLOOKUP(B2890,'Babblefish-APUMA'!$A$1:$B$86,2)</f>
        <v>92</v>
      </c>
      <c r="F2890" s="0" t="n">
        <f aca="false">IF(C2890&gt;1,IF(C2890&lt;99,VLOOKUP(C2890,'Babblefish-APUMA'!$A$1:$B$86,2),C2890),C2890)</f>
        <v>95</v>
      </c>
    </row>
    <row r="2891" customFormat="false" ht="12.75" hidden="false" customHeight="false" outlineLevel="0" collapsed="false">
      <c r="A2891" s="0" t="n">
        <f aca="false">B2891*1000+C2891</f>
        <v>45073</v>
      </c>
      <c r="B2891" s="0" t="n">
        <v>45</v>
      </c>
      <c r="C2891" s="0" t="n">
        <v>73</v>
      </c>
      <c r="D2891" s="0" t="n">
        <v>0</v>
      </c>
      <c r="E2891" s="0" t="n">
        <f aca="false">VLOOKUP(B2891,'Babblefish-APUMA'!$A$1:$B$86,2)</f>
        <v>92</v>
      </c>
      <c r="F2891" s="0" t="n">
        <f aca="false">IF(C2891&gt;1,IF(C2891&lt;99,VLOOKUP(C2891,'Babblefish-APUMA'!$A$1:$B$86,2),C2891),C2891)</f>
        <v>99</v>
      </c>
    </row>
    <row r="2892" customFormat="false" ht="12.75" hidden="false" customHeight="false" outlineLevel="0" collapsed="false">
      <c r="A2892" s="0" t="n">
        <f aca="false">B2892*1000+C2892</f>
        <v>45075</v>
      </c>
      <c r="B2892" s="0" t="n">
        <v>45</v>
      </c>
      <c r="C2892" s="0" t="n">
        <v>75</v>
      </c>
      <c r="D2892" s="0" t="n">
        <v>0</v>
      </c>
      <c r="E2892" s="0" t="n">
        <f aca="false">VLOOKUP(B2892,'Babblefish-APUMA'!$A$1:$B$86,2)</f>
        <v>92</v>
      </c>
      <c r="F2892" s="0" t="n">
        <f aca="false">IF(C2892&gt;1,IF(C2892&lt;99,VLOOKUP(C2892,'Babblefish-APUMA'!$A$1:$B$86,2),C2892),C2892)</f>
        <v>75</v>
      </c>
    </row>
    <row r="2893" customFormat="false" ht="12.75" hidden="false" customHeight="false" outlineLevel="0" collapsed="false">
      <c r="A2893" s="0" t="n">
        <f aca="false">B2893*1000+C2893</f>
        <v>45076</v>
      </c>
      <c r="B2893" s="0" t="n">
        <v>45</v>
      </c>
      <c r="C2893" s="0" t="n">
        <v>76</v>
      </c>
      <c r="D2893" s="0" t="n">
        <v>0</v>
      </c>
      <c r="E2893" s="0" t="n">
        <f aca="false">VLOOKUP(B2893,'Babblefish-APUMA'!$A$1:$B$86,2)</f>
        <v>92</v>
      </c>
      <c r="F2893" s="0" t="n">
        <f aca="false">IF(C2893&gt;1,IF(C2893&lt;99,VLOOKUP(C2893,'Babblefish-APUMA'!$A$1:$B$86,2),C2893),C2893)</f>
        <v>76</v>
      </c>
    </row>
    <row r="2894" customFormat="false" ht="12.75" hidden="false" customHeight="false" outlineLevel="0" collapsed="false">
      <c r="A2894" s="0" t="n">
        <f aca="false">B2894*1000+C2894</f>
        <v>45077</v>
      </c>
      <c r="B2894" s="0" t="n">
        <v>45</v>
      </c>
      <c r="C2894" s="0" t="n">
        <v>77</v>
      </c>
      <c r="D2894" s="0" t="n">
        <v>0</v>
      </c>
      <c r="E2894" s="0" t="n">
        <f aca="false">VLOOKUP(B2894,'Babblefish-APUMA'!$A$1:$B$86,2)</f>
        <v>92</v>
      </c>
      <c r="F2894" s="0" t="n">
        <f aca="false">IF(C2894&gt;1,IF(C2894&lt;99,VLOOKUP(C2894,'Babblefish-APUMA'!$A$1:$B$86,2),C2894),C2894)</f>
        <v>77</v>
      </c>
    </row>
    <row r="2895" customFormat="false" ht="12.75" hidden="false" customHeight="false" outlineLevel="0" collapsed="false">
      <c r="A2895" s="0" t="n">
        <f aca="false">B2895*1000+C2895</f>
        <v>45079</v>
      </c>
      <c r="B2895" s="0" t="n">
        <v>45</v>
      </c>
      <c r="C2895" s="0" t="n">
        <v>79</v>
      </c>
      <c r="D2895" s="0" t="n">
        <v>0</v>
      </c>
      <c r="E2895" s="0" t="n">
        <f aca="false">VLOOKUP(B2895,'Babblefish-APUMA'!$A$1:$B$86,2)</f>
        <v>92</v>
      </c>
      <c r="F2895" s="0" t="n">
        <f aca="false">IF(C2895&gt;1,IF(C2895&lt;99,VLOOKUP(C2895,'Babblefish-APUMA'!$A$1:$B$86,2),C2895),C2895)</f>
        <v>89</v>
      </c>
    </row>
    <row r="2896" customFormat="false" ht="12.75" hidden="false" customHeight="false" outlineLevel="0" collapsed="false">
      <c r="A2896" s="0" t="n">
        <f aca="false">B2896*1000+C2896</f>
        <v>45080</v>
      </c>
      <c r="B2896" s="0" t="n">
        <v>45</v>
      </c>
      <c r="C2896" s="0" t="n">
        <v>80</v>
      </c>
      <c r="D2896" s="0" t="n">
        <v>91</v>
      </c>
      <c r="E2896" s="0" t="n">
        <f aca="false">VLOOKUP(B2896,'Babblefish-APUMA'!$A$1:$B$86,2)</f>
        <v>92</v>
      </c>
      <c r="F2896" s="0" t="n">
        <f aca="false">IF(C2896&gt;1,IF(C2896&lt;99,VLOOKUP(C2896,'Babblefish-APUMA'!$A$1:$B$86,2),C2896),C2896)</f>
        <v>80</v>
      </c>
    </row>
    <row r="2897" customFormat="false" ht="12.75" hidden="false" customHeight="false" outlineLevel="0" collapsed="false">
      <c r="A2897" s="0" t="n">
        <f aca="false">B2897*1000+C2897</f>
        <v>45081</v>
      </c>
      <c r="B2897" s="0" t="n">
        <v>45</v>
      </c>
      <c r="C2897" s="0" t="n">
        <v>81</v>
      </c>
      <c r="D2897" s="0" t="n">
        <v>0</v>
      </c>
      <c r="E2897" s="0" t="n">
        <f aca="false">VLOOKUP(B2897,'Babblefish-APUMA'!$A$1:$B$86,2)</f>
        <v>92</v>
      </c>
      <c r="F2897" s="0" t="n">
        <f aca="false">IF(C2897&gt;1,IF(C2897&lt;99,VLOOKUP(C2897,'Babblefish-APUMA'!$A$1:$B$86,2),C2897),C2897)</f>
        <v>93</v>
      </c>
    </row>
    <row r="2898" customFormat="false" ht="12.75" hidden="false" customHeight="false" outlineLevel="0" collapsed="false">
      <c r="A2898" s="0" t="n">
        <f aca="false">B2898*1000+C2898</f>
        <v>45082</v>
      </c>
      <c r="B2898" s="0" t="n">
        <v>45</v>
      </c>
      <c r="C2898" s="0" t="n">
        <v>82</v>
      </c>
      <c r="D2898" s="0" t="n">
        <v>0</v>
      </c>
      <c r="E2898" s="0" t="n">
        <f aca="false">VLOOKUP(B2898,'Babblefish-APUMA'!$A$1:$B$86,2)</f>
        <v>92</v>
      </c>
      <c r="F2898" s="0" t="n">
        <f aca="false">IF(C2898&gt;1,IF(C2898&lt;99,VLOOKUP(C2898,'Babblefish-APUMA'!$A$1:$B$86,2),C2898),C2898)</f>
        <v>95</v>
      </c>
    </row>
    <row r="2899" customFormat="false" ht="12.75" hidden="false" customHeight="false" outlineLevel="0" collapsed="false">
      <c r="A2899" s="0" t="n">
        <f aca="false">B2899*1000+C2899</f>
        <v>45083</v>
      </c>
      <c r="B2899" s="0" t="n">
        <v>45</v>
      </c>
      <c r="C2899" s="0" t="n">
        <v>83</v>
      </c>
      <c r="D2899" s="0" t="n">
        <v>0</v>
      </c>
      <c r="E2899" s="0" t="n">
        <f aca="false">VLOOKUP(B2899,'Babblefish-APUMA'!$A$1:$B$86,2)</f>
        <v>92</v>
      </c>
      <c r="F2899" s="0" t="n">
        <f aca="false">IF(C2899&gt;1,IF(C2899&lt;99,VLOOKUP(C2899,'Babblefish-APUMA'!$A$1:$B$86,2),C2899),C2899)</f>
        <v>103</v>
      </c>
    </row>
    <row r="2900" customFormat="false" ht="12.75" hidden="false" customHeight="false" outlineLevel="0" collapsed="false">
      <c r="A2900" s="0" t="n">
        <f aca="false">B2900*1000+C2900</f>
        <v>45084</v>
      </c>
      <c r="B2900" s="0" t="n">
        <v>45</v>
      </c>
      <c r="C2900" s="0" t="n">
        <v>84</v>
      </c>
      <c r="D2900" s="0" t="n">
        <v>1430</v>
      </c>
      <c r="E2900" s="0" t="n">
        <f aca="false">VLOOKUP(B2900,'Babblefish-APUMA'!$A$1:$B$86,2)</f>
        <v>92</v>
      </c>
      <c r="F2900" s="0" t="n">
        <f aca="false">IF(C2900&gt;1,IF(C2900&lt;99,VLOOKUP(C2900,'Babblefish-APUMA'!$A$1:$B$86,2),C2900),C2900)</f>
        <v>92</v>
      </c>
    </row>
    <row r="2901" customFormat="false" ht="12.75" hidden="false" customHeight="false" outlineLevel="0" collapsed="false">
      <c r="A2901" s="0" t="n">
        <f aca="false">B2901*1000+C2901</f>
        <v>45085</v>
      </c>
      <c r="B2901" s="0" t="n">
        <v>45</v>
      </c>
      <c r="C2901" s="0" t="n">
        <v>85</v>
      </c>
      <c r="D2901" s="0" t="n">
        <v>0</v>
      </c>
      <c r="E2901" s="0" t="n">
        <f aca="false">VLOOKUP(B2901,'Babblefish-APUMA'!$A$1:$B$86,2)</f>
        <v>92</v>
      </c>
      <c r="F2901" s="0" t="n">
        <f aca="false">IF(C2901&gt;1,IF(C2901&lt;99,VLOOKUP(C2901,'Babblefish-APUMA'!$A$1:$B$86,2),C2901),C2901)</f>
        <v>97</v>
      </c>
    </row>
    <row r="2902" customFormat="false" ht="12.75" hidden="false" customHeight="false" outlineLevel="0" collapsed="false">
      <c r="A2902" s="0" t="n">
        <f aca="false">B2902*1000+C2902</f>
        <v>45858</v>
      </c>
      <c r="B2902" s="0" t="n">
        <v>45</v>
      </c>
      <c r="C2902" s="0" t="n">
        <v>858</v>
      </c>
      <c r="D2902" s="0" t="n">
        <v>0</v>
      </c>
      <c r="E2902" s="0" t="n">
        <f aca="false">VLOOKUP(B2902,'Babblefish-APUMA'!$A$1:$B$86,2)</f>
        <v>92</v>
      </c>
      <c r="F2902" s="0" t="n">
        <f aca="false">IF(C2902&gt;1,IF(C2902&lt;99,VLOOKUP(C2902,'Babblefish-APUMA'!$A$1:$B$86,2),C2902),C2902)</f>
        <v>858</v>
      </c>
    </row>
    <row r="2903" customFormat="false" ht="12.75" hidden="false" customHeight="false" outlineLevel="0" collapsed="false">
      <c r="A2903" s="0" t="n">
        <f aca="false">B2903*1000+C2903</f>
        <v>45983</v>
      </c>
      <c r="B2903" s="0" t="n">
        <v>45</v>
      </c>
      <c r="C2903" s="0" t="n">
        <v>983</v>
      </c>
      <c r="D2903" s="0" t="n">
        <v>0</v>
      </c>
      <c r="E2903" s="0" t="n">
        <f aca="false">VLOOKUP(B2903,'Babblefish-APUMA'!$A$1:$B$86,2)</f>
        <v>92</v>
      </c>
      <c r="F2903" s="0" t="n">
        <f aca="false">IF(C2903&gt;1,IF(C2903&lt;99,VLOOKUP(C2903,'Babblefish-APUMA'!$A$1:$B$86,2),C2903),C2903)</f>
        <v>983</v>
      </c>
    </row>
    <row r="2904" customFormat="false" ht="12.75" hidden="false" customHeight="false" outlineLevel="0" collapsed="false">
      <c r="A2904" s="0" t="n">
        <f aca="false">B2904*1000+C2904</f>
        <v>45999</v>
      </c>
      <c r="B2904" s="0" t="n">
        <v>45</v>
      </c>
      <c r="C2904" s="0" t="n">
        <v>999</v>
      </c>
      <c r="D2904" s="0" t="n">
        <v>78</v>
      </c>
      <c r="E2904" s="0" t="n">
        <f aca="false">VLOOKUP(B2904,'Babblefish-APUMA'!$A$1:$B$86,2)</f>
        <v>92</v>
      </c>
      <c r="F2904" s="0" t="n">
        <f aca="false">IF(C2904&gt;1,IF(C2904&lt;99,VLOOKUP(C2904,'Babblefish-APUMA'!$A$1:$B$86,2),C2904),C2904)</f>
        <v>999</v>
      </c>
    </row>
    <row r="2905" customFormat="false" ht="12.75" hidden="false" customHeight="false" outlineLevel="0" collapsed="false">
      <c r="A2905" s="0" t="n">
        <f aca="false">B2905*1000+C2905</f>
        <v>46000</v>
      </c>
      <c r="B2905" s="0" t="n">
        <v>46</v>
      </c>
      <c r="C2905" s="0" t="n">
        <v>0</v>
      </c>
      <c r="D2905" s="0" t="n">
        <v>66196</v>
      </c>
      <c r="E2905" s="0" t="n">
        <f aca="false">VLOOKUP(B2905,'Babblefish-APUMA'!$A$1:$B$86,2)</f>
        <v>92</v>
      </c>
      <c r="F2905" s="0" t="n">
        <f aca="false">IF(C2905&gt;1,IF(C2905&lt;99,VLOOKUP(C2905,'Babblefish-APUMA'!$A$1:$B$86,2),C2905),C2905)</f>
        <v>0</v>
      </c>
    </row>
    <row r="2906" customFormat="false" ht="12.75" hidden="false" customHeight="false" outlineLevel="0" collapsed="false">
      <c r="A2906" s="0" t="n">
        <f aca="false">B2906*1000+C2906</f>
        <v>46001</v>
      </c>
      <c r="B2906" s="0" t="n">
        <v>46</v>
      </c>
      <c r="C2906" s="0" t="n">
        <v>1</v>
      </c>
      <c r="D2906" s="0" t="n">
        <v>0</v>
      </c>
      <c r="E2906" s="0" t="n">
        <f aca="false">VLOOKUP(B2906,'Babblefish-APUMA'!$A$1:$B$86,2)</f>
        <v>92</v>
      </c>
      <c r="F2906" s="0" t="n">
        <f aca="false">IF(C2906&gt;1,IF(C2906&lt;99,VLOOKUP(C2906,'Babblefish-APUMA'!$A$1:$B$86,2),C2906),C2906)</f>
        <v>1</v>
      </c>
    </row>
    <row r="2907" customFormat="false" ht="12.75" hidden="false" customHeight="false" outlineLevel="0" collapsed="false">
      <c r="A2907" s="0" t="n">
        <f aca="false">B2907*1000+C2907</f>
        <v>46002</v>
      </c>
      <c r="B2907" s="0" t="n">
        <v>46</v>
      </c>
      <c r="C2907" s="0" t="n">
        <v>2</v>
      </c>
      <c r="D2907" s="0" t="n">
        <v>0</v>
      </c>
      <c r="E2907" s="0" t="n">
        <f aca="false">VLOOKUP(B2907,'Babblefish-APUMA'!$A$1:$B$86,2)</f>
        <v>92</v>
      </c>
      <c r="F2907" s="0" t="n">
        <f aca="false">IF(C2907&gt;1,IF(C2907&lt;99,VLOOKUP(C2907,'Babblefish-APUMA'!$A$1:$B$86,2),C2907),C2907)</f>
        <v>2</v>
      </c>
    </row>
    <row r="2908" customFormat="false" ht="12.75" hidden="false" customHeight="false" outlineLevel="0" collapsed="false">
      <c r="A2908" s="0" t="n">
        <f aca="false">B2908*1000+C2908</f>
        <v>46003</v>
      </c>
      <c r="B2908" s="0" t="n">
        <v>46</v>
      </c>
      <c r="C2908" s="0" t="n">
        <v>3</v>
      </c>
      <c r="D2908" s="0" t="n">
        <v>0</v>
      </c>
      <c r="E2908" s="0" t="n">
        <f aca="false">VLOOKUP(B2908,'Babblefish-APUMA'!$A$1:$B$86,2)</f>
        <v>92</v>
      </c>
      <c r="F2908" s="0" t="n">
        <f aca="false">IF(C2908&gt;1,IF(C2908&lt;99,VLOOKUP(C2908,'Babblefish-APUMA'!$A$1:$B$86,2),C2908),C2908)</f>
        <v>3</v>
      </c>
    </row>
    <row r="2909" customFormat="false" ht="12.75" hidden="false" customHeight="false" outlineLevel="0" collapsed="false">
      <c r="A2909" s="0" t="n">
        <f aca="false">B2909*1000+C2909</f>
        <v>46004</v>
      </c>
      <c r="B2909" s="0" t="n">
        <v>46</v>
      </c>
      <c r="C2909" s="0" t="n">
        <v>4</v>
      </c>
      <c r="D2909" s="0" t="n">
        <v>0</v>
      </c>
      <c r="E2909" s="0" t="n">
        <f aca="false">VLOOKUP(B2909,'Babblefish-APUMA'!$A$1:$B$86,2)</f>
        <v>92</v>
      </c>
      <c r="F2909" s="0" t="n">
        <f aca="false">IF(C2909&gt;1,IF(C2909&lt;99,VLOOKUP(C2909,'Babblefish-APUMA'!$A$1:$B$86,2),C2909),C2909)</f>
        <v>4</v>
      </c>
    </row>
    <row r="2910" customFormat="false" ht="12.75" hidden="false" customHeight="false" outlineLevel="0" collapsed="false">
      <c r="A2910" s="0" t="n">
        <f aca="false">B2910*1000+C2910</f>
        <v>46005</v>
      </c>
      <c r="B2910" s="0" t="n">
        <v>46</v>
      </c>
      <c r="C2910" s="0" t="n">
        <v>5</v>
      </c>
      <c r="D2910" s="0" t="n">
        <v>0</v>
      </c>
      <c r="E2910" s="0" t="n">
        <f aca="false">VLOOKUP(B2910,'Babblefish-APUMA'!$A$1:$B$86,2)</f>
        <v>92</v>
      </c>
      <c r="F2910" s="0" t="n">
        <f aca="false">IF(C2910&gt;1,IF(C2910&lt;99,VLOOKUP(C2910,'Babblefish-APUMA'!$A$1:$B$86,2),C2910),C2910)</f>
        <v>5</v>
      </c>
    </row>
    <row r="2911" customFormat="false" ht="12.75" hidden="false" customHeight="false" outlineLevel="0" collapsed="false">
      <c r="A2911" s="0" t="n">
        <f aca="false">B2911*1000+C2911</f>
        <v>46006</v>
      </c>
      <c r="B2911" s="0" t="n">
        <v>46</v>
      </c>
      <c r="C2911" s="0" t="n">
        <v>6</v>
      </c>
      <c r="D2911" s="0" t="n">
        <v>0</v>
      </c>
      <c r="E2911" s="0" t="n">
        <f aca="false">VLOOKUP(B2911,'Babblefish-APUMA'!$A$1:$B$86,2)</f>
        <v>92</v>
      </c>
      <c r="F2911" s="0" t="n">
        <f aca="false">IF(C2911&gt;1,IF(C2911&lt;99,VLOOKUP(C2911,'Babblefish-APUMA'!$A$1:$B$86,2),C2911),C2911)</f>
        <v>6</v>
      </c>
    </row>
    <row r="2912" customFormat="false" ht="12.75" hidden="false" customHeight="false" outlineLevel="0" collapsed="false">
      <c r="A2912" s="0" t="n">
        <f aca="false">B2912*1000+C2912</f>
        <v>46007</v>
      </c>
      <c r="B2912" s="0" t="n">
        <v>46</v>
      </c>
      <c r="C2912" s="0" t="n">
        <v>7</v>
      </c>
      <c r="D2912" s="0" t="n">
        <v>0</v>
      </c>
      <c r="E2912" s="0" t="n">
        <f aca="false">VLOOKUP(B2912,'Babblefish-APUMA'!$A$1:$B$86,2)</f>
        <v>92</v>
      </c>
      <c r="F2912" s="0" t="n">
        <f aca="false">IF(C2912&gt;1,IF(C2912&lt;99,VLOOKUP(C2912,'Babblefish-APUMA'!$A$1:$B$86,2),C2912),C2912)</f>
        <v>7</v>
      </c>
    </row>
    <row r="2913" customFormat="false" ht="12.75" hidden="false" customHeight="false" outlineLevel="0" collapsed="false">
      <c r="A2913" s="0" t="n">
        <f aca="false">B2913*1000+C2913</f>
        <v>46008</v>
      </c>
      <c r="B2913" s="0" t="n">
        <v>46</v>
      </c>
      <c r="C2913" s="0" t="n">
        <v>8</v>
      </c>
      <c r="D2913" s="0" t="n">
        <v>0</v>
      </c>
      <c r="E2913" s="0" t="n">
        <f aca="false">VLOOKUP(B2913,'Babblefish-APUMA'!$A$1:$B$86,2)</f>
        <v>92</v>
      </c>
      <c r="F2913" s="0" t="n">
        <f aca="false">IF(C2913&gt;1,IF(C2913&lt;99,VLOOKUP(C2913,'Babblefish-APUMA'!$A$1:$B$86,2),C2913),C2913)</f>
        <v>8</v>
      </c>
    </row>
    <row r="2914" customFormat="false" ht="12.75" hidden="false" customHeight="false" outlineLevel="0" collapsed="false">
      <c r="A2914" s="0" t="n">
        <f aca="false">B2914*1000+C2914</f>
        <v>46009</v>
      </c>
      <c r="B2914" s="0" t="n">
        <v>46</v>
      </c>
      <c r="C2914" s="0" t="n">
        <v>9</v>
      </c>
      <c r="D2914" s="0" t="n">
        <v>0</v>
      </c>
      <c r="E2914" s="0" t="n">
        <f aca="false">VLOOKUP(B2914,'Babblefish-APUMA'!$A$1:$B$86,2)</f>
        <v>92</v>
      </c>
      <c r="F2914" s="0" t="n">
        <f aca="false">IF(C2914&gt;1,IF(C2914&lt;99,VLOOKUP(C2914,'Babblefish-APUMA'!$A$1:$B$86,2),C2914),C2914)</f>
        <v>9</v>
      </c>
    </row>
    <row r="2915" customFormat="false" ht="12.75" hidden="false" customHeight="false" outlineLevel="0" collapsed="false">
      <c r="A2915" s="0" t="n">
        <f aca="false">B2915*1000+C2915</f>
        <v>46010</v>
      </c>
      <c r="B2915" s="0" t="n">
        <v>46</v>
      </c>
      <c r="C2915" s="0" t="n">
        <v>10</v>
      </c>
      <c r="D2915" s="0" t="n">
        <v>0</v>
      </c>
      <c r="E2915" s="0" t="n">
        <f aca="false">VLOOKUP(B2915,'Babblefish-APUMA'!$A$1:$B$86,2)</f>
        <v>92</v>
      </c>
      <c r="F2915" s="0" t="n">
        <f aca="false">IF(C2915&gt;1,IF(C2915&lt;99,VLOOKUP(C2915,'Babblefish-APUMA'!$A$1:$B$86,2),C2915),C2915)</f>
        <v>10</v>
      </c>
    </row>
    <row r="2916" customFormat="false" ht="12.75" hidden="false" customHeight="false" outlineLevel="0" collapsed="false">
      <c r="A2916" s="0" t="n">
        <f aca="false">B2916*1000+C2916</f>
        <v>46011</v>
      </c>
      <c r="B2916" s="0" t="n">
        <v>46</v>
      </c>
      <c r="C2916" s="0" t="n">
        <v>11</v>
      </c>
      <c r="D2916" s="0" t="n">
        <v>0</v>
      </c>
      <c r="E2916" s="0" t="n">
        <f aca="false">VLOOKUP(B2916,'Babblefish-APUMA'!$A$1:$B$86,2)</f>
        <v>92</v>
      </c>
      <c r="F2916" s="0" t="n">
        <f aca="false">IF(C2916&gt;1,IF(C2916&lt;99,VLOOKUP(C2916,'Babblefish-APUMA'!$A$1:$B$86,2),C2916),C2916)</f>
        <v>11</v>
      </c>
    </row>
    <row r="2917" customFormat="false" ht="12.75" hidden="false" customHeight="false" outlineLevel="0" collapsed="false">
      <c r="A2917" s="0" t="n">
        <f aca="false">B2917*1000+C2917</f>
        <v>46012</v>
      </c>
      <c r="B2917" s="0" t="n">
        <v>46</v>
      </c>
      <c r="C2917" s="0" t="n">
        <v>12</v>
      </c>
      <c r="D2917" s="0" t="n">
        <v>0</v>
      </c>
      <c r="E2917" s="0" t="n">
        <f aca="false">VLOOKUP(B2917,'Babblefish-APUMA'!$A$1:$B$86,2)</f>
        <v>92</v>
      </c>
      <c r="F2917" s="0" t="n">
        <f aca="false">IF(C2917&gt;1,IF(C2917&lt;99,VLOOKUP(C2917,'Babblefish-APUMA'!$A$1:$B$86,2),C2917),C2917)</f>
        <v>12</v>
      </c>
    </row>
    <row r="2918" customFormat="false" ht="12.75" hidden="false" customHeight="false" outlineLevel="0" collapsed="false">
      <c r="A2918" s="0" t="n">
        <f aca="false">B2918*1000+C2918</f>
        <v>46013</v>
      </c>
      <c r="B2918" s="0" t="n">
        <v>46</v>
      </c>
      <c r="C2918" s="0" t="n">
        <v>13</v>
      </c>
      <c r="D2918" s="0" t="n">
        <v>0</v>
      </c>
      <c r="E2918" s="0" t="n">
        <f aca="false">VLOOKUP(B2918,'Babblefish-APUMA'!$A$1:$B$86,2)</f>
        <v>92</v>
      </c>
      <c r="F2918" s="0" t="n">
        <f aca="false">IF(C2918&gt;1,IF(C2918&lt;99,VLOOKUP(C2918,'Babblefish-APUMA'!$A$1:$B$86,2),C2918),C2918)</f>
        <v>100</v>
      </c>
    </row>
    <row r="2919" customFormat="false" ht="12.75" hidden="false" customHeight="false" outlineLevel="0" collapsed="false">
      <c r="A2919" s="0" t="n">
        <f aca="false">B2919*1000+C2919</f>
        <v>46014</v>
      </c>
      <c r="B2919" s="0" t="n">
        <v>46</v>
      </c>
      <c r="C2919" s="0" t="n">
        <v>14</v>
      </c>
      <c r="D2919" s="0" t="n">
        <v>0</v>
      </c>
      <c r="E2919" s="0" t="n">
        <f aca="false">VLOOKUP(B2919,'Babblefish-APUMA'!$A$1:$B$86,2)</f>
        <v>92</v>
      </c>
      <c r="F2919" s="0" t="n">
        <f aca="false">IF(C2919&gt;1,IF(C2919&lt;99,VLOOKUP(C2919,'Babblefish-APUMA'!$A$1:$B$86,2),C2919),C2919)</f>
        <v>100</v>
      </c>
    </row>
    <row r="2920" customFormat="false" ht="12.75" hidden="false" customHeight="false" outlineLevel="0" collapsed="false">
      <c r="A2920" s="0" t="n">
        <f aca="false">B2920*1000+C2920</f>
        <v>46015</v>
      </c>
      <c r="B2920" s="0" t="n">
        <v>46</v>
      </c>
      <c r="C2920" s="0" t="n">
        <v>15</v>
      </c>
      <c r="D2920" s="0" t="n">
        <v>0</v>
      </c>
      <c r="E2920" s="0" t="n">
        <f aca="false">VLOOKUP(B2920,'Babblefish-APUMA'!$A$1:$B$86,2)</f>
        <v>92</v>
      </c>
      <c r="F2920" s="0" t="n">
        <f aca="false">IF(C2920&gt;1,IF(C2920&lt;99,VLOOKUP(C2920,'Babblefish-APUMA'!$A$1:$B$86,2),C2920),C2920)</f>
        <v>15</v>
      </c>
    </row>
    <row r="2921" customFormat="false" ht="12.75" hidden="false" customHeight="false" outlineLevel="0" collapsed="false">
      <c r="A2921" s="0" t="n">
        <f aca="false">B2921*1000+C2921</f>
        <v>46016</v>
      </c>
      <c r="B2921" s="0" t="n">
        <v>46</v>
      </c>
      <c r="C2921" s="0" t="n">
        <v>16</v>
      </c>
      <c r="D2921" s="0" t="n">
        <v>0</v>
      </c>
      <c r="E2921" s="0" t="n">
        <f aca="false">VLOOKUP(B2921,'Babblefish-APUMA'!$A$1:$B$86,2)</f>
        <v>92</v>
      </c>
      <c r="F2921" s="0" t="n">
        <f aca="false">IF(C2921&gt;1,IF(C2921&lt;99,VLOOKUP(C2921,'Babblefish-APUMA'!$A$1:$B$86,2),C2921),C2921)</f>
        <v>99</v>
      </c>
    </row>
    <row r="2922" customFormat="false" ht="12.75" hidden="false" customHeight="false" outlineLevel="0" collapsed="false">
      <c r="A2922" s="0" t="n">
        <f aca="false">B2922*1000+C2922</f>
        <v>46017</v>
      </c>
      <c r="B2922" s="0" t="n">
        <v>46</v>
      </c>
      <c r="C2922" s="0" t="n">
        <v>17</v>
      </c>
      <c r="D2922" s="0" t="n">
        <v>0</v>
      </c>
      <c r="E2922" s="0" t="n">
        <f aca="false">VLOOKUP(B2922,'Babblefish-APUMA'!$A$1:$B$86,2)</f>
        <v>92</v>
      </c>
      <c r="F2922" s="0" t="n">
        <f aca="false">IF(C2922&gt;1,IF(C2922&lt;99,VLOOKUP(C2922,'Babblefish-APUMA'!$A$1:$B$86,2),C2922),C2922)</f>
        <v>87</v>
      </c>
    </row>
    <row r="2923" customFormat="false" ht="12.75" hidden="false" customHeight="false" outlineLevel="0" collapsed="false">
      <c r="A2923" s="0" t="n">
        <f aca="false">B2923*1000+C2923</f>
        <v>46018</v>
      </c>
      <c r="B2923" s="0" t="n">
        <v>46</v>
      </c>
      <c r="C2923" s="0" t="n">
        <v>18</v>
      </c>
      <c r="D2923" s="0" t="n">
        <v>0</v>
      </c>
      <c r="E2923" s="0" t="n">
        <f aca="false">VLOOKUP(B2923,'Babblefish-APUMA'!$A$1:$B$86,2)</f>
        <v>92</v>
      </c>
      <c r="F2923" s="0" t="n">
        <f aca="false">IF(C2923&gt;1,IF(C2923&lt;99,VLOOKUP(C2923,'Babblefish-APUMA'!$A$1:$B$86,2),C2923),C2923)</f>
        <v>87</v>
      </c>
    </row>
    <row r="2924" customFormat="false" ht="12.75" hidden="false" customHeight="false" outlineLevel="0" collapsed="false">
      <c r="A2924" s="0" t="n">
        <f aca="false">B2924*1000+C2924</f>
        <v>46019</v>
      </c>
      <c r="B2924" s="0" t="n">
        <v>46</v>
      </c>
      <c r="C2924" s="0" t="n">
        <v>19</v>
      </c>
      <c r="D2924" s="0" t="n">
        <v>0</v>
      </c>
      <c r="E2924" s="0" t="n">
        <f aca="false">VLOOKUP(B2924,'Babblefish-APUMA'!$A$1:$B$86,2)</f>
        <v>92</v>
      </c>
      <c r="F2924" s="0" t="n">
        <f aca="false">IF(C2924&gt;1,IF(C2924&lt;99,VLOOKUP(C2924,'Babblefish-APUMA'!$A$1:$B$86,2),C2924),C2924)</f>
        <v>19</v>
      </c>
    </row>
    <row r="2925" customFormat="false" ht="12.75" hidden="false" customHeight="false" outlineLevel="0" collapsed="false">
      <c r="A2925" s="0" t="n">
        <f aca="false">B2925*1000+C2925</f>
        <v>46020</v>
      </c>
      <c r="B2925" s="0" t="n">
        <v>46</v>
      </c>
      <c r="C2925" s="0" t="n">
        <v>20</v>
      </c>
      <c r="D2925" s="0" t="n">
        <v>0</v>
      </c>
      <c r="E2925" s="0" t="n">
        <f aca="false">VLOOKUP(B2925,'Babblefish-APUMA'!$A$1:$B$86,2)</f>
        <v>92</v>
      </c>
      <c r="F2925" s="0" t="n">
        <f aca="false">IF(C2925&gt;1,IF(C2925&lt;99,VLOOKUP(C2925,'Babblefish-APUMA'!$A$1:$B$86,2),C2925),C2925)</f>
        <v>86</v>
      </c>
    </row>
    <row r="2926" customFormat="false" ht="12.75" hidden="false" customHeight="false" outlineLevel="0" collapsed="false">
      <c r="A2926" s="0" t="n">
        <f aca="false">B2926*1000+C2926</f>
        <v>46021</v>
      </c>
      <c r="B2926" s="0" t="n">
        <v>46</v>
      </c>
      <c r="C2926" s="0" t="n">
        <v>21</v>
      </c>
      <c r="D2926" s="0" t="n">
        <v>0</v>
      </c>
      <c r="E2926" s="0" t="n">
        <f aca="false">VLOOKUP(B2926,'Babblefish-APUMA'!$A$1:$B$86,2)</f>
        <v>92</v>
      </c>
      <c r="F2926" s="0" t="n">
        <f aca="false">IF(C2926&gt;1,IF(C2926&lt;99,VLOOKUP(C2926,'Babblefish-APUMA'!$A$1:$B$86,2),C2926),C2926)</f>
        <v>86</v>
      </c>
    </row>
    <row r="2927" customFormat="false" ht="12.75" hidden="false" customHeight="false" outlineLevel="0" collapsed="false">
      <c r="A2927" s="0" t="n">
        <f aca="false">B2927*1000+C2927</f>
        <v>46022</v>
      </c>
      <c r="B2927" s="0" t="n">
        <v>46</v>
      </c>
      <c r="C2927" s="0" t="n">
        <v>22</v>
      </c>
      <c r="D2927" s="0" t="n">
        <v>0</v>
      </c>
      <c r="E2927" s="0" t="n">
        <f aca="false">VLOOKUP(B2927,'Babblefish-APUMA'!$A$1:$B$86,2)</f>
        <v>92</v>
      </c>
      <c r="F2927" s="0" t="n">
        <f aca="false">IF(C2927&gt;1,IF(C2927&lt;99,VLOOKUP(C2927,'Babblefish-APUMA'!$A$1:$B$86,2),C2927),C2927)</f>
        <v>22</v>
      </c>
    </row>
    <row r="2928" customFormat="false" ht="12.75" hidden="false" customHeight="false" outlineLevel="0" collapsed="false">
      <c r="A2928" s="0" t="n">
        <f aca="false">B2928*1000+C2928</f>
        <v>46023</v>
      </c>
      <c r="B2928" s="0" t="n">
        <v>46</v>
      </c>
      <c r="C2928" s="0" t="n">
        <v>23</v>
      </c>
      <c r="D2928" s="0" t="n">
        <v>0</v>
      </c>
      <c r="E2928" s="0" t="n">
        <f aca="false">VLOOKUP(B2928,'Babblefish-APUMA'!$A$1:$B$86,2)</f>
        <v>92</v>
      </c>
      <c r="F2928" s="0" t="n">
        <f aca="false">IF(C2928&gt;1,IF(C2928&lt;99,VLOOKUP(C2928,'Babblefish-APUMA'!$A$1:$B$86,2),C2928),C2928)</f>
        <v>97</v>
      </c>
    </row>
    <row r="2929" customFormat="false" ht="12.75" hidden="false" customHeight="false" outlineLevel="0" collapsed="false">
      <c r="A2929" s="0" t="n">
        <f aca="false">B2929*1000+C2929</f>
        <v>46024</v>
      </c>
      <c r="B2929" s="0" t="n">
        <v>46</v>
      </c>
      <c r="C2929" s="0" t="n">
        <v>24</v>
      </c>
      <c r="D2929" s="0" t="n">
        <v>0</v>
      </c>
      <c r="E2929" s="0" t="n">
        <f aca="false">VLOOKUP(B2929,'Babblefish-APUMA'!$A$1:$B$86,2)</f>
        <v>92</v>
      </c>
      <c r="F2929" s="0" t="n">
        <f aca="false">IF(C2929&gt;1,IF(C2929&lt;99,VLOOKUP(C2929,'Babblefish-APUMA'!$A$1:$B$86,2),C2929),C2929)</f>
        <v>101</v>
      </c>
    </row>
    <row r="2930" customFormat="false" ht="12.75" hidden="false" customHeight="false" outlineLevel="0" collapsed="false">
      <c r="A2930" s="0" t="n">
        <f aca="false">B2930*1000+C2930</f>
        <v>46025</v>
      </c>
      <c r="B2930" s="0" t="n">
        <v>46</v>
      </c>
      <c r="C2930" s="0" t="n">
        <v>25</v>
      </c>
      <c r="D2930" s="0" t="n">
        <v>0</v>
      </c>
      <c r="E2930" s="0" t="n">
        <f aca="false">VLOOKUP(B2930,'Babblefish-APUMA'!$A$1:$B$86,2)</f>
        <v>92</v>
      </c>
      <c r="F2930" s="0" t="n">
        <f aca="false">IF(C2930&gt;1,IF(C2930&lt;99,VLOOKUP(C2930,'Babblefish-APUMA'!$A$1:$B$86,2),C2930),C2930)</f>
        <v>101</v>
      </c>
    </row>
    <row r="2931" customFormat="false" ht="12.75" hidden="false" customHeight="false" outlineLevel="0" collapsed="false">
      <c r="A2931" s="0" t="n">
        <f aca="false">B2931*1000+C2931</f>
        <v>46026</v>
      </c>
      <c r="B2931" s="0" t="n">
        <v>46</v>
      </c>
      <c r="C2931" s="0" t="n">
        <v>26</v>
      </c>
      <c r="D2931" s="0" t="n">
        <v>0</v>
      </c>
      <c r="E2931" s="0" t="n">
        <f aca="false">VLOOKUP(B2931,'Babblefish-APUMA'!$A$1:$B$86,2)</f>
        <v>92</v>
      </c>
      <c r="F2931" s="0" t="n">
        <f aca="false">IF(C2931&gt;1,IF(C2931&lt;99,VLOOKUP(C2931,'Babblefish-APUMA'!$A$1:$B$86,2),C2931),C2931)</f>
        <v>26</v>
      </c>
    </row>
    <row r="2932" customFormat="false" ht="12.75" hidden="false" customHeight="false" outlineLevel="0" collapsed="false">
      <c r="A2932" s="0" t="n">
        <f aca="false">B2932*1000+C2932</f>
        <v>46027</v>
      </c>
      <c r="B2932" s="0" t="n">
        <v>46</v>
      </c>
      <c r="C2932" s="0" t="n">
        <v>27</v>
      </c>
      <c r="D2932" s="0" t="n">
        <v>0</v>
      </c>
      <c r="E2932" s="0" t="n">
        <f aca="false">VLOOKUP(B2932,'Babblefish-APUMA'!$A$1:$B$86,2)</f>
        <v>92</v>
      </c>
      <c r="F2932" s="0" t="n">
        <f aca="false">IF(C2932&gt;1,IF(C2932&lt;99,VLOOKUP(C2932,'Babblefish-APUMA'!$A$1:$B$86,2),C2932),C2932)</f>
        <v>27</v>
      </c>
    </row>
    <row r="2933" customFormat="false" ht="12.75" hidden="false" customHeight="false" outlineLevel="0" collapsed="false">
      <c r="A2933" s="0" t="n">
        <f aca="false">B2933*1000+C2933</f>
        <v>46028</v>
      </c>
      <c r="B2933" s="0" t="n">
        <v>46</v>
      </c>
      <c r="C2933" s="0" t="n">
        <v>28</v>
      </c>
      <c r="D2933" s="0" t="n">
        <v>0</v>
      </c>
      <c r="E2933" s="0" t="n">
        <f aca="false">VLOOKUP(B2933,'Babblefish-APUMA'!$A$1:$B$86,2)</f>
        <v>92</v>
      </c>
      <c r="F2933" s="0" t="n">
        <f aca="false">IF(C2933&gt;1,IF(C2933&lt;99,VLOOKUP(C2933,'Babblefish-APUMA'!$A$1:$B$86,2),C2933),C2933)</f>
        <v>94</v>
      </c>
    </row>
    <row r="2934" customFormat="false" ht="12.75" hidden="false" customHeight="false" outlineLevel="0" collapsed="false">
      <c r="A2934" s="0" t="n">
        <f aca="false">B2934*1000+C2934</f>
        <v>46029</v>
      </c>
      <c r="B2934" s="0" t="n">
        <v>46</v>
      </c>
      <c r="C2934" s="0" t="n">
        <v>29</v>
      </c>
      <c r="D2934" s="0" t="n">
        <v>0</v>
      </c>
      <c r="E2934" s="0" t="n">
        <f aca="false">VLOOKUP(B2934,'Babblefish-APUMA'!$A$1:$B$86,2)</f>
        <v>92</v>
      </c>
      <c r="F2934" s="0" t="n">
        <f aca="false">IF(C2934&gt;1,IF(C2934&lt;99,VLOOKUP(C2934,'Babblefish-APUMA'!$A$1:$B$86,2),C2934),C2934)</f>
        <v>94</v>
      </c>
    </row>
    <row r="2935" customFormat="false" ht="12.75" hidden="false" customHeight="false" outlineLevel="0" collapsed="false">
      <c r="A2935" s="0" t="n">
        <f aca="false">B2935*1000+C2935</f>
        <v>46030</v>
      </c>
      <c r="B2935" s="0" t="n">
        <v>46</v>
      </c>
      <c r="C2935" s="0" t="n">
        <v>30</v>
      </c>
      <c r="D2935" s="0" t="n">
        <v>0</v>
      </c>
      <c r="E2935" s="0" t="n">
        <f aca="false">VLOOKUP(B2935,'Babblefish-APUMA'!$A$1:$B$86,2)</f>
        <v>92</v>
      </c>
      <c r="F2935" s="0" t="n">
        <f aca="false">IF(C2935&gt;1,IF(C2935&lt;99,VLOOKUP(C2935,'Babblefish-APUMA'!$A$1:$B$86,2),C2935),C2935)</f>
        <v>30</v>
      </c>
    </row>
    <row r="2936" customFormat="false" ht="12.75" hidden="false" customHeight="false" outlineLevel="0" collapsed="false">
      <c r="A2936" s="0" t="n">
        <f aca="false">B2936*1000+C2936</f>
        <v>46031</v>
      </c>
      <c r="B2936" s="0" t="n">
        <v>46</v>
      </c>
      <c r="C2936" s="0" t="n">
        <v>31</v>
      </c>
      <c r="D2936" s="0" t="n">
        <v>0</v>
      </c>
      <c r="E2936" s="0" t="n">
        <f aca="false">VLOOKUP(B2936,'Babblefish-APUMA'!$A$1:$B$86,2)</f>
        <v>92</v>
      </c>
      <c r="F2936" s="0" t="n">
        <f aca="false">IF(C2936&gt;1,IF(C2936&lt;99,VLOOKUP(C2936,'Babblefish-APUMA'!$A$1:$B$86,2),C2936),C2936)</f>
        <v>31</v>
      </c>
    </row>
    <row r="2937" customFormat="false" ht="12.75" hidden="false" customHeight="false" outlineLevel="0" collapsed="false">
      <c r="A2937" s="0" t="n">
        <f aca="false">B2937*1000+C2937</f>
        <v>46032</v>
      </c>
      <c r="B2937" s="0" t="n">
        <v>46</v>
      </c>
      <c r="C2937" s="0" t="n">
        <v>32</v>
      </c>
      <c r="D2937" s="0" t="n">
        <v>0</v>
      </c>
      <c r="E2937" s="0" t="n">
        <f aca="false">VLOOKUP(B2937,'Babblefish-APUMA'!$A$1:$B$86,2)</f>
        <v>92</v>
      </c>
      <c r="F2937" s="0" t="n">
        <f aca="false">IF(C2937&gt;1,IF(C2937&lt;99,VLOOKUP(C2937,'Babblefish-APUMA'!$A$1:$B$86,2),C2937),C2937)</f>
        <v>32</v>
      </c>
    </row>
    <row r="2938" customFormat="false" ht="12.75" hidden="false" customHeight="false" outlineLevel="0" collapsed="false">
      <c r="A2938" s="0" t="n">
        <f aca="false">B2938*1000+C2938</f>
        <v>46033</v>
      </c>
      <c r="B2938" s="0" t="n">
        <v>46</v>
      </c>
      <c r="C2938" s="0" t="n">
        <v>33</v>
      </c>
      <c r="D2938" s="0" t="n">
        <v>0</v>
      </c>
      <c r="E2938" s="0" t="n">
        <f aca="false">VLOOKUP(B2938,'Babblefish-APUMA'!$A$1:$B$86,2)</f>
        <v>92</v>
      </c>
      <c r="F2938" s="0" t="n">
        <f aca="false">IF(C2938&gt;1,IF(C2938&lt;99,VLOOKUP(C2938,'Babblefish-APUMA'!$A$1:$B$86,2),C2938),C2938)</f>
        <v>96</v>
      </c>
    </row>
    <row r="2939" customFormat="false" ht="12.75" hidden="false" customHeight="false" outlineLevel="0" collapsed="false">
      <c r="A2939" s="0" t="n">
        <f aca="false">B2939*1000+C2939</f>
        <v>46034</v>
      </c>
      <c r="B2939" s="0" t="n">
        <v>46</v>
      </c>
      <c r="C2939" s="0" t="n">
        <v>34</v>
      </c>
      <c r="D2939" s="0" t="n">
        <v>0</v>
      </c>
      <c r="E2939" s="0" t="n">
        <f aca="false">VLOOKUP(B2939,'Babblefish-APUMA'!$A$1:$B$86,2)</f>
        <v>92</v>
      </c>
      <c r="F2939" s="0" t="n">
        <f aca="false">IF(C2939&gt;1,IF(C2939&lt;99,VLOOKUP(C2939,'Babblefish-APUMA'!$A$1:$B$86,2),C2939),C2939)</f>
        <v>96</v>
      </c>
    </row>
    <row r="2940" customFormat="false" ht="12.75" hidden="false" customHeight="false" outlineLevel="0" collapsed="false">
      <c r="A2940" s="0" t="n">
        <f aca="false">B2940*1000+C2940</f>
        <v>46035</v>
      </c>
      <c r="B2940" s="0" t="n">
        <v>46</v>
      </c>
      <c r="C2940" s="0" t="n">
        <v>35</v>
      </c>
      <c r="D2940" s="0" t="n">
        <v>0</v>
      </c>
      <c r="E2940" s="0" t="n">
        <f aca="false">VLOOKUP(B2940,'Babblefish-APUMA'!$A$1:$B$86,2)</f>
        <v>92</v>
      </c>
      <c r="F2940" s="0" t="n">
        <f aca="false">IF(C2940&gt;1,IF(C2940&lt;99,VLOOKUP(C2940,'Babblefish-APUMA'!$A$1:$B$86,2),C2940),C2940)</f>
        <v>96</v>
      </c>
    </row>
    <row r="2941" customFormat="false" ht="12.75" hidden="false" customHeight="false" outlineLevel="0" collapsed="false">
      <c r="A2941" s="0" t="n">
        <f aca="false">B2941*1000+C2941</f>
        <v>46036</v>
      </c>
      <c r="B2941" s="0" t="n">
        <v>46</v>
      </c>
      <c r="C2941" s="0" t="n">
        <v>36</v>
      </c>
      <c r="D2941" s="0" t="n">
        <v>0</v>
      </c>
      <c r="E2941" s="0" t="n">
        <f aca="false">VLOOKUP(B2941,'Babblefish-APUMA'!$A$1:$B$86,2)</f>
        <v>92</v>
      </c>
      <c r="F2941" s="0" t="n">
        <f aca="false">IF(C2941&gt;1,IF(C2941&lt;99,VLOOKUP(C2941,'Babblefish-APUMA'!$A$1:$B$86,2),C2941),C2941)</f>
        <v>96</v>
      </c>
    </row>
    <row r="2942" customFormat="false" ht="12.75" hidden="false" customHeight="false" outlineLevel="0" collapsed="false">
      <c r="A2942" s="0" t="n">
        <f aca="false">B2942*1000+C2942</f>
        <v>46037</v>
      </c>
      <c r="B2942" s="0" t="n">
        <v>46</v>
      </c>
      <c r="C2942" s="0" t="n">
        <v>37</v>
      </c>
      <c r="D2942" s="0" t="n">
        <v>91</v>
      </c>
      <c r="E2942" s="0" t="n">
        <f aca="false">VLOOKUP(B2942,'Babblefish-APUMA'!$A$1:$B$86,2)</f>
        <v>92</v>
      </c>
      <c r="F2942" s="0" t="n">
        <f aca="false">IF(C2942&gt;1,IF(C2942&lt;99,VLOOKUP(C2942,'Babblefish-APUMA'!$A$1:$B$86,2),C2942),C2942)</f>
        <v>96</v>
      </c>
    </row>
    <row r="2943" customFormat="false" ht="12.75" hidden="false" customHeight="false" outlineLevel="0" collapsed="false">
      <c r="A2943" s="0" t="n">
        <f aca="false">B2943*1000+C2943</f>
        <v>46038</v>
      </c>
      <c r="B2943" s="0" t="n">
        <v>46</v>
      </c>
      <c r="C2943" s="0" t="n">
        <v>38</v>
      </c>
      <c r="D2943" s="0" t="n">
        <v>0</v>
      </c>
      <c r="E2943" s="0" t="n">
        <f aca="false">VLOOKUP(B2943,'Babblefish-APUMA'!$A$1:$B$86,2)</f>
        <v>92</v>
      </c>
      <c r="F2943" s="0" t="n">
        <f aca="false">IF(C2943&gt;1,IF(C2943&lt;99,VLOOKUP(C2943,'Babblefish-APUMA'!$A$1:$B$86,2),C2943),C2943)</f>
        <v>91</v>
      </c>
    </row>
    <row r="2944" customFormat="false" ht="12.75" hidden="false" customHeight="false" outlineLevel="0" collapsed="false">
      <c r="A2944" s="0" t="n">
        <f aca="false">B2944*1000+C2944</f>
        <v>46039</v>
      </c>
      <c r="B2944" s="0" t="n">
        <v>46</v>
      </c>
      <c r="C2944" s="0" t="n">
        <v>39</v>
      </c>
      <c r="D2944" s="0" t="n">
        <v>0</v>
      </c>
      <c r="E2944" s="0" t="n">
        <f aca="false">VLOOKUP(B2944,'Babblefish-APUMA'!$A$1:$B$86,2)</f>
        <v>92</v>
      </c>
      <c r="F2944" s="0" t="n">
        <f aca="false">IF(C2944&gt;1,IF(C2944&lt;99,VLOOKUP(C2944,'Babblefish-APUMA'!$A$1:$B$86,2),C2944),C2944)</f>
        <v>91</v>
      </c>
    </row>
    <row r="2945" customFormat="false" ht="12.75" hidden="false" customHeight="false" outlineLevel="0" collapsed="false">
      <c r="A2945" s="0" t="n">
        <f aca="false">B2945*1000+C2945</f>
        <v>46040</v>
      </c>
      <c r="B2945" s="0" t="n">
        <v>46</v>
      </c>
      <c r="C2945" s="0" t="n">
        <v>40</v>
      </c>
      <c r="D2945" s="0" t="n">
        <v>0</v>
      </c>
      <c r="E2945" s="0" t="n">
        <f aca="false">VLOOKUP(B2945,'Babblefish-APUMA'!$A$1:$B$86,2)</f>
        <v>92</v>
      </c>
      <c r="F2945" s="0" t="n">
        <f aca="false">IF(C2945&gt;1,IF(C2945&lt;99,VLOOKUP(C2945,'Babblefish-APUMA'!$A$1:$B$86,2),C2945),C2945)</f>
        <v>88</v>
      </c>
    </row>
    <row r="2946" customFormat="false" ht="12.75" hidden="false" customHeight="false" outlineLevel="0" collapsed="false">
      <c r="A2946" s="0" t="n">
        <f aca="false">B2946*1000+C2946</f>
        <v>46041</v>
      </c>
      <c r="B2946" s="0" t="n">
        <v>46</v>
      </c>
      <c r="C2946" s="0" t="n">
        <v>41</v>
      </c>
      <c r="D2946" s="0" t="n">
        <v>0</v>
      </c>
      <c r="E2946" s="0" t="n">
        <f aca="false">VLOOKUP(B2946,'Babblefish-APUMA'!$A$1:$B$86,2)</f>
        <v>92</v>
      </c>
      <c r="F2946" s="0" t="n">
        <f aca="false">IF(C2946&gt;1,IF(C2946&lt;99,VLOOKUP(C2946,'Babblefish-APUMA'!$A$1:$B$86,2),C2946),C2946)</f>
        <v>88</v>
      </c>
    </row>
    <row r="2947" customFormat="false" ht="12.75" hidden="false" customHeight="false" outlineLevel="0" collapsed="false">
      <c r="A2947" s="0" t="n">
        <f aca="false">B2947*1000+C2947</f>
        <v>46042</v>
      </c>
      <c r="B2947" s="0" t="n">
        <v>46</v>
      </c>
      <c r="C2947" s="0" t="n">
        <v>42</v>
      </c>
      <c r="D2947" s="0" t="n">
        <v>4706</v>
      </c>
      <c r="E2947" s="0" t="n">
        <f aca="false">VLOOKUP(B2947,'Babblefish-APUMA'!$A$1:$B$86,2)</f>
        <v>92</v>
      </c>
      <c r="F2947" s="0" t="n">
        <f aca="false">IF(C2947&gt;1,IF(C2947&lt;99,VLOOKUP(C2947,'Babblefish-APUMA'!$A$1:$B$86,2),C2947),C2947)</f>
        <v>92</v>
      </c>
    </row>
    <row r="2948" customFormat="false" ht="12.75" hidden="false" customHeight="false" outlineLevel="0" collapsed="false">
      <c r="A2948" s="0" t="n">
        <f aca="false">B2948*1000+C2948</f>
        <v>46043</v>
      </c>
      <c r="B2948" s="0" t="n">
        <v>46</v>
      </c>
      <c r="C2948" s="0" t="n">
        <v>43</v>
      </c>
      <c r="D2948" s="0" t="n">
        <v>169</v>
      </c>
      <c r="E2948" s="0" t="n">
        <f aca="false">VLOOKUP(B2948,'Babblefish-APUMA'!$A$1:$B$86,2)</f>
        <v>92</v>
      </c>
      <c r="F2948" s="0" t="n">
        <f aca="false">IF(C2948&gt;1,IF(C2948&lt;99,VLOOKUP(C2948,'Babblefish-APUMA'!$A$1:$B$86,2),C2948),C2948)</f>
        <v>92</v>
      </c>
    </row>
    <row r="2949" customFormat="false" ht="12.75" hidden="false" customHeight="false" outlineLevel="0" collapsed="false">
      <c r="A2949" s="0" t="n">
        <f aca="false">B2949*1000+C2949</f>
        <v>46044</v>
      </c>
      <c r="B2949" s="0" t="n">
        <v>46</v>
      </c>
      <c r="C2949" s="0" t="n">
        <v>44</v>
      </c>
      <c r="D2949" s="0" t="n">
        <v>234</v>
      </c>
      <c r="E2949" s="0" t="n">
        <f aca="false">VLOOKUP(B2949,'Babblefish-APUMA'!$A$1:$B$86,2)</f>
        <v>92</v>
      </c>
      <c r="F2949" s="0" t="n">
        <f aca="false">IF(C2949&gt;1,IF(C2949&lt;99,VLOOKUP(C2949,'Babblefish-APUMA'!$A$1:$B$86,2),C2949),C2949)</f>
        <v>92</v>
      </c>
    </row>
    <row r="2950" customFormat="false" ht="12.75" hidden="false" customHeight="false" outlineLevel="0" collapsed="false">
      <c r="A2950" s="0" t="n">
        <f aca="false">B2950*1000+C2950</f>
        <v>46045</v>
      </c>
      <c r="B2950" s="0" t="n">
        <v>46</v>
      </c>
      <c r="C2950" s="0" t="n">
        <v>45</v>
      </c>
      <c r="D2950" s="0" t="n">
        <v>351</v>
      </c>
      <c r="E2950" s="0" t="n">
        <f aca="false">VLOOKUP(B2950,'Babblefish-APUMA'!$A$1:$B$86,2)</f>
        <v>92</v>
      </c>
      <c r="F2950" s="0" t="n">
        <f aca="false">IF(C2950&gt;1,IF(C2950&lt;99,VLOOKUP(C2950,'Babblefish-APUMA'!$A$1:$B$86,2),C2950),C2950)</f>
        <v>92</v>
      </c>
    </row>
    <row r="2951" customFormat="false" ht="12.75" hidden="false" customHeight="false" outlineLevel="0" collapsed="false">
      <c r="A2951" s="0" t="n">
        <f aca="false">B2951*1000+C2951</f>
        <v>46046</v>
      </c>
      <c r="B2951" s="0" t="n">
        <v>46</v>
      </c>
      <c r="C2951" s="0" t="n">
        <v>46</v>
      </c>
      <c r="D2951" s="0" t="n">
        <v>12506</v>
      </c>
      <c r="E2951" s="0" t="n">
        <f aca="false">VLOOKUP(B2951,'Babblefish-APUMA'!$A$1:$B$86,2)</f>
        <v>92</v>
      </c>
      <c r="F2951" s="0" t="n">
        <f aca="false">IF(C2951&gt;1,IF(C2951&lt;99,VLOOKUP(C2951,'Babblefish-APUMA'!$A$1:$B$86,2),C2951),C2951)</f>
        <v>92</v>
      </c>
    </row>
    <row r="2952" customFormat="false" ht="12.75" hidden="false" customHeight="false" outlineLevel="0" collapsed="false">
      <c r="A2952" s="0" t="n">
        <f aca="false">B2952*1000+C2952</f>
        <v>46047</v>
      </c>
      <c r="B2952" s="0" t="n">
        <v>46</v>
      </c>
      <c r="C2952" s="0" t="n">
        <v>47</v>
      </c>
      <c r="D2952" s="0" t="n">
        <v>4810</v>
      </c>
      <c r="E2952" s="0" t="n">
        <f aca="false">VLOOKUP(B2952,'Babblefish-APUMA'!$A$1:$B$86,2)</f>
        <v>92</v>
      </c>
      <c r="F2952" s="0" t="n">
        <f aca="false">IF(C2952&gt;1,IF(C2952&lt;99,VLOOKUP(C2952,'Babblefish-APUMA'!$A$1:$B$86,2),C2952),C2952)</f>
        <v>92</v>
      </c>
    </row>
    <row r="2953" customFormat="false" ht="12.75" hidden="false" customHeight="false" outlineLevel="0" collapsed="false">
      <c r="A2953" s="0" t="n">
        <f aca="false">B2953*1000+C2953</f>
        <v>46048</v>
      </c>
      <c r="B2953" s="0" t="n">
        <v>46</v>
      </c>
      <c r="C2953" s="0" t="n">
        <v>48</v>
      </c>
      <c r="D2953" s="0" t="n">
        <v>25506</v>
      </c>
      <c r="E2953" s="0" t="n">
        <f aca="false">VLOOKUP(B2953,'Babblefish-APUMA'!$A$1:$B$86,2)</f>
        <v>92</v>
      </c>
      <c r="F2953" s="0" t="n">
        <f aca="false">IF(C2953&gt;1,IF(C2953&lt;99,VLOOKUP(C2953,'Babblefish-APUMA'!$A$1:$B$86,2),C2953),C2953)</f>
        <v>92</v>
      </c>
    </row>
    <row r="2954" customFormat="false" ht="12.75" hidden="false" customHeight="false" outlineLevel="0" collapsed="false">
      <c r="A2954" s="0" t="n">
        <f aca="false">B2954*1000+C2954</f>
        <v>46049</v>
      </c>
      <c r="B2954" s="0" t="n">
        <v>46</v>
      </c>
      <c r="C2954" s="0" t="n">
        <v>49</v>
      </c>
      <c r="D2954" s="0" t="n">
        <v>0</v>
      </c>
      <c r="E2954" s="0" t="n">
        <f aca="false">VLOOKUP(B2954,'Babblefish-APUMA'!$A$1:$B$86,2)</f>
        <v>92</v>
      </c>
      <c r="F2954" s="0" t="n">
        <f aca="false">IF(C2954&gt;1,IF(C2954&lt;99,VLOOKUP(C2954,'Babblefish-APUMA'!$A$1:$B$86,2),C2954),C2954)</f>
        <v>98</v>
      </c>
    </row>
    <row r="2955" customFormat="false" ht="12.75" hidden="false" customHeight="false" outlineLevel="0" collapsed="false">
      <c r="A2955" s="0" t="n">
        <f aca="false">B2955*1000+C2955</f>
        <v>46050</v>
      </c>
      <c r="B2955" s="0" t="n">
        <v>46</v>
      </c>
      <c r="C2955" s="0" t="n">
        <v>50</v>
      </c>
      <c r="D2955" s="0" t="n">
        <v>0</v>
      </c>
      <c r="E2955" s="0" t="n">
        <f aca="false">VLOOKUP(B2955,'Babblefish-APUMA'!$A$1:$B$86,2)</f>
        <v>92</v>
      </c>
      <c r="F2955" s="0" t="n">
        <f aca="false">IF(C2955&gt;1,IF(C2955&lt;99,VLOOKUP(C2955,'Babblefish-APUMA'!$A$1:$B$86,2),C2955),C2955)</f>
        <v>98</v>
      </c>
    </row>
    <row r="2956" customFormat="false" ht="12.75" hidden="false" customHeight="false" outlineLevel="0" collapsed="false">
      <c r="A2956" s="0" t="n">
        <f aca="false">B2956*1000+C2956</f>
        <v>46051</v>
      </c>
      <c r="B2956" s="0" t="n">
        <v>46</v>
      </c>
      <c r="C2956" s="0" t="n">
        <v>51</v>
      </c>
      <c r="D2956" s="0" t="n">
        <v>0</v>
      </c>
      <c r="E2956" s="0" t="n">
        <f aca="false">VLOOKUP(B2956,'Babblefish-APUMA'!$A$1:$B$86,2)</f>
        <v>92</v>
      </c>
      <c r="F2956" s="0" t="n">
        <f aca="false">IF(C2956&gt;1,IF(C2956&lt;99,VLOOKUP(C2956,'Babblefish-APUMA'!$A$1:$B$86,2),C2956),C2956)</f>
        <v>98</v>
      </c>
    </row>
    <row r="2957" customFormat="false" ht="12.75" hidden="false" customHeight="false" outlineLevel="0" collapsed="false">
      <c r="A2957" s="0" t="n">
        <f aca="false">B2957*1000+C2957</f>
        <v>46052</v>
      </c>
      <c r="B2957" s="0" t="n">
        <v>46</v>
      </c>
      <c r="C2957" s="0" t="n">
        <v>52</v>
      </c>
      <c r="D2957" s="0" t="n">
        <v>91</v>
      </c>
      <c r="E2957" s="0" t="n">
        <f aca="false">VLOOKUP(B2957,'Babblefish-APUMA'!$A$1:$B$86,2)</f>
        <v>92</v>
      </c>
      <c r="F2957" s="0" t="n">
        <f aca="false">IF(C2957&gt;1,IF(C2957&lt;99,VLOOKUP(C2957,'Babblefish-APUMA'!$A$1:$B$86,2),C2957),C2957)</f>
        <v>90</v>
      </c>
    </row>
    <row r="2958" customFormat="false" ht="12.75" hidden="false" customHeight="false" outlineLevel="0" collapsed="false">
      <c r="A2958" s="0" t="n">
        <f aca="false">B2958*1000+C2958</f>
        <v>46053</v>
      </c>
      <c r="B2958" s="0" t="n">
        <v>46</v>
      </c>
      <c r="C2958" s="0" t="n">
        <v>53</v>
      </c>
      <c r="D2958" s="0" t="n">
        <v>65</v>
      </c>
      <c r="E2958" s="0" t="n">
        <f aca="false">VLOOKUP(B2958,'Babblefish-APUMA'!$A$1:$B$86,2)</f>
        <v>92</v>
      </c>
      <c r="F2958" s="0" t="n">
        <f aca="false">IF(C2958&gt;1,IF(C2958&lt;99,VLOOKUP(C2958,'Babblefish-APUMA'!$A$1:$B$86,2),C2958),C2958)</f>
        <v>90</v>
      </c>
    </row>
    <row r="2959" customFormat="false" ht="12.75" hidden="false" customHeight="false" outlineLevel="0" collapsed="false">
      <c r="A2959" s="0" t="n">
        <f aca="false">B2959*1000+C2959</f>
        <v>46054</v>
      </c>
      <c r="B2959" s="0" t="n">
        <v>46</v>
      </c>
      <c r="C2959" s="0" t="n">
        <v>54</v>
      </c>
      <c r="D2959" s="0" t="n">
        <v>91</v>
      </c>
      <c r="E2959" s="0" t="n">
        <f aca="false">VLOOKUP(B2959,'Babblefish-APUMA'!$A$1:$B$86,2)</f>
        <v>92</v>
      </c>
      <c r="F2959" s="0" t="n">
        <f aca="false">IF(C2959&gt;1,IF(C2959&lt;99,VLOOKUP(C2959,'Babblefish-APUMA'!$A$1:$B$86,2),C2959),C2959)</f>
        <v>90</v>
      </c>
    </row>
    <row r="2960" customFormat="false" ht="12.75" hidden="false" customHeight="false" outlineLevel="0" collapsed="false">
      <c r="A2960" s="0" t="n">
        <f aca="false">B2960*1000+C2960</f>
        <v>46055</v>
      </c>
      <c r="B2960" s="0" t="n">
        <v>46</v>
      </c>
      <c r="C2960" s="0" t="n">
        <v>55</v>
      </c>
      <c r="D2960" s="0" t="n">
        <v>234</v>
      </c>
      <c r="E2960" s="0" t="n">
        <f aca="false">VLOOKUP(B2960,'Babblefish-APUMA'!$A$1:$B$86,2)</f>
        <v>92</v>
      </c>
      <c r="F2960" s="0" t="n">
        <f aca="false">IF(C2960&gt;1,IF(C2960&lt;99,VLOOKUP(C2960,'Babblefish-APUMA'!$A$1:$B$86,2),C2960),C2960)</f>
        <v>90</v>
      </c>
    </row>
    <row r="2961" customFormat="false" ht="12.75" hidden="false" customHeight="false" outlineLevel="0" collapsed="false">
      <c r="A2961" s="0" t="n">
        <f aca="false">B2961*1000+C2961</f>
        <v>46056</v>
      </c>
      <c r="B2961" s="0" t="n">
        <v>46</v>
      </c>
      <c r="C2961" s="0" t="n">
        <v>56</v>
      </c>
      <c r="D2961" s="0" t="n">
        <v>0</v>
      </c>
      <c r="E2961" s="0" t="n">
        <f aca="false">VLOOKUP(B2961,'Babblefish-APUMA'!$A$1:$B$86,2)</f>
        <v>92</v>
      </c>
      <c r="F2961" s="0" t="n">
        <f aca="false">IF(C2961&gt;1,IF(C2961&lt;99,VLOOKUP(C2961,'Babblefish-APUMA'!$A$1:$B$86,2),C2961),C2961)</f>
        <v>90</v>
      </c>
    </row>
    <row r="2962" customFormat="false" ht="12.75" hidden="false" customHeight="false" outlineLevel="0" collapsed="false">
      <c r="A2962" s="0" t="n">
        <f aca="false">B2962*1000+C2962</f>
        <v>46057</v>
      </c>
      <c r="B2962" s="0" t="n">
        <v>46</v>
      </c>
      <c r="C2962" s="0" t="n">
        <v>57</v>
      </c>
      <c r="D2962" s="0" t="n">
        <v>169</v>
      </c>
      <c r="E2962" s="0" t="n">
        <f aca="false">VLOOKUP(B2962,'Babblefish-APUMA'!$A$1:$B$86,2)</f>
        <v>92</v>
      </c>
      <c r="F2962" s="0" t="n">
        <f aca="false">IF(C2962&gt;1,IF(C2962&lt;99,VLOOKUP(C2962,'Babblefish-APUMA'!$A$1:$B$86,2),C2962),C2962)</f>
        <v>90</v>
      </c>
    </row>
    <row r="2963" customFormat="false" ht="12.75" hidden="false" customHeight="false" outlineLevel="0" collapsed="false">
      <c r="A2963" s="0" t="n">
        <f aca="false">B2963*1000+C2963</f>
        <v>46058</v>
      </c>
      <c r="B2963" s="0" t="n">
        <v>46</v>
      </c>
      <c r="C2963" s="0" t="n">
        <v>58</v>
      </c>
      <c r="D2963" s="0" t="n">
        <v>260</v>
      </c>
      <c r="E2963" s="0" t="n">
        <f aca="false">VLOOKUP(B2963,'Babblefish-APUMA'!$A$1:$B$86,2)</f>
        <v>92</v>
      </c>
      <c r="F2963" s="0" t="n">
        <f aca="false">IF(C2963&gt;1,IF(C2963&lt;99,VLOOKUP(C2963,'Babblefish-APUMA'!$A$1:$B$86,2),C2963),C2963)</f>
        <v>90</v>
      </c>
    </row>
    <row r="2964" customFormat="false" ht="12.75" hidden="false" customHeight="false" outlineLevel="0" collapsed="false">
      <c r="A2964" s="0" t="n">
        <f aca="false">B2964*1000+C2964</f>
        <v>46059</v>
      </c>
      <c r="B2964" s="0" t="n">
        <v>46</v>
      </c>
      <c r="C2964" s="0" t="n">
        <v>59</v>
      </c>
      <c r="D2964" s="0" t="n">
        <v>0</v>
      </c>
      <c r="E2964" s="0" t="n">
        <f aca="false">VLOOKUP(B2964,'Babblefish-APUMA'!$A$1:$B$86,2)</f>
        <v>92</v>
      </c>
      <c r="F2964" s="0" t="n">
        <f aca="false">IF(C2964&gt;1,IF(C2964&lt;99,VLOOKUP(C2964,'Babblefish-APUMA'!$A$1:$B$86,2),C2964),C2964)</f>
        <v>90</v>
      </c>
    </row>
    <row r="2965" customFormat="false" ht="12.75" hidden="false" customHeight="false" outlineLevel="0" collapsed="false">
      <c r="A2965" s="0" t="n">
        <f aca="false">B2965*1000+C2965</f>
        <v>46060</v>
      </c>
      <c r="B2965" s="0" t="n">
        <v>46</v>
      </c>
      <c r="C2965" s="0" t="n">
        <v>60</v>
      </c>
      <c r="D2965" s="0" t="n">
        <v>676</v>
      </c>
      <c r="E2965" s="0" t="n">
        <f aca="false">VLOOKUP(B2965,'Babblefish-APUMA'!$A$1:$B$86,2)</f>
        <v>92</v>
      </c>
      <c r="F2965" s="0" t="n">
        <f aca="false">IF(C2965&gt;1,IF(C2965&lt;99,VLOOKUP(C2965,'Babblefish-APUMA'!$A$1:$B$86,2),C2965),C2965)</f>
        <v>90</v>
      </c>
    </row>
    <row r="2966" customFormat="false" ht="12.75" hidden="false" customHeight="false" outlineLevel="0" collapsed="false">
      <c r="A2966" s="0" t="n">
        <f aca="false">B2966*1000+C2966</f>
        <v>46061</v>
      </c>
      <c r="B2966" s="0" t="n">
        <v>46</v>
      </c>
      <c r="C2966" s="0" t="n">
        <v>61</v>
      </c>
      <c r="D2966" s="0" t="n">
        <v>156</v>
      </c>
      <c r="E2966" s="0" t="n">
        <f aca="false">VLOOKUP(B2966,'Babblefish-APUMA'!$A$1:$B$86,2)</f>
        <v>92</v>
      </c>
      <c r="F2966" s="0" t="n">
        <f aca="false">IF(C2966&gt;1,IF(C2966&lt;99,VLOOKUP(C2966,'Babblefish-APUMA'!$A$1:$B$86,2),C2966),C2966)</f>
        <v>90</v>
      </c>
    </row>
    <row r="2967" customFormat="false" ht="12.75" hidden="false" customHeight="false" outlineLevel="0" collapsed="false">
      <c r="A2967" s="0" t="n">
        <f aca="false">B2967*1000+C2967</f>
        <v>46062</v>
      </c>
      <c r="B2967" s="0" t="n">
        <v>46</v>
      </c>
      <c r="C2967" s="0" t="n">
        <v>62</v>
      </c>
      <c r="D2967" s="0" t="n">
        <v>221</v>
      </c>
      <c r="E2967" s="0" t="n">
        <f aca="false">VLOOKUP(B2967,'Babblefish-APUMA'!$A$1:$B$86,2)</f>
        <v>92</v>
      </c>
      <c r="F2967" s="0" t="n">
        <f aca="false">IF(C2967&gt;1,IF(C2967&lt;99,VLOOKUP(C2967,'Babblefish-APUMA'!$A$1:$B$86,2),C2967),C2967)</f>
        <v>90</v>
      </c>
    </row>
    <row r="2968" customFormat="false" ht="12.75" hidden="false" customHeight="false" outlineLevel="0" collapsed="false">
      <c r="A2968" s="0" t="n">
        <f aca="false">B2968*1000+C2968</f>
        <v>46063</v>
      </c>
      <c r="B2968" s="0" t="n">
        <v>46</v>
      </c>
      <c r="C2968" s="0" t="n">
        <v>63</v>
      </c>
      <c r="D2968" s="0" t="n">
        <v>208</v>
      </c>
      <c r="E2968" s="0" t="n">
        <f aca="false">VLOOKUP(B2968,'Babblefish-APUMA'!$A$1:$B$86,2)</f>
        <v>92</v>
      </c>
      <c r="F2968" s="0" t="n">
        <f aca="false">IF(C2968&gt;1,IF(C2968&lt;99,VLOOKUP(C2968,'Babblefish-APUMA'!$A$1:$B$86,2),C2968),C2968)</f>
        <v>90</v>
      </c>
    </row>
    <row r="2969" customFormat="false" ht="12.75" hidden="false" customHeight="false" outlineLevel="0" collapsed="false">
      <c r="A2969" s="0" t="n">
        <f aca="false">B2969*1000+C2969</f>
        <v>46064</v>
      </c>
      <c r="B2969" s="0" t="n">
        <v>46</v>
      </c>
      <c r="C2969" s="0" t="n">
        <v>64</v>
      </c>
      <c r="D2969" s="0" t="n">
        <v>5642</v>
      </c>
      <c r="E2969" s="0" t="n">
        <f aca="false">VLOOKUP(B2969,'Babblefish-APUMA'!$A$1:$B$86,2)</f>
        <v>92</v>
      </c>
      <c r="F2969" s="0" t="n">
        <f aca="false">IF(C2969&gt;1,IF(C2969&lt;99,VLOOKUP(C2969,'Babblefish-APUMA'!$A$1:$B$86,2),C2969),C2969)</f>
        <v>90</v>
      </c>
    </row>
    <row r="2970" customFormat="false" ht="12.75" hidden="false" customHeight="false" outlineLevel="0" collapsed="false">
      <c r="A2970" s="0" t="n">
        <f aca="false">B2970*1000+C2970</f>
        <v>46065</v>
      </c>
      <c r="B2970" s="0" t="n">
        <v>46</v>
      </c>
      <c r="C2970" s="0" t="n">
        <v>65</v>
      </c>
      <c r="D2970" s="0" t="n">
        <v>2314</v>
      </c>
      <c r="E2970" s="0" t="n">
        <f aca="false">VLOOKUP(B2970,'Babblefish-APUMA'!$A$1:$B$86,2)</f>
        <v>92</v>
      </c>
      <c r="F2970" s="0" t="n">
        <f aca="false">IF(C2970&gt;1,IF(C2970&lt;99,VLOOKUP(C2970,'Babblefish-APUMA'!$A$1:$B$86,2),C2970),C2970)</f>
        <v>90</v>
      </c>
    </row>
    <row r="2971" customFormat="false" ht="12.75" hidden="false" customHeight="false" outlineLevel="0" collapsed="false">
      <c r="A2971" s="0" t="n">
        <f aca="false">B2971*1000+C2971</f>
        <v>46066</v>
      </c>
      <c r="B2971" s="0" t="n">
        <v>46</v>
      </c>
      <c r="C2971" s="0" t="n">
        <v>66</v>
      </c>
      <c r="D2971" s="0" t="n">
        <v>4368</v>
      </c>
      <c r="E2971" s="0" t="n">
        <f aca="false">VLOOKUP(B2971,'Babblefish-APUMA'!$A$1:$B$86,2)</f>
        <v>92</v>
      </c>
      <c r="F2971" s="0" t="n">
        <f aca="false">IF(C2971&gt;1,IF(C2971&lt;99,VLOOKUP(C2971,'Babblefish-APUMA'!$A$1:$B$86,2),C2971),C2971)</f>
        <v>90</v>
      </c>
    </row>
    <row r="2972" customFormat="false" ht="12.75" hidden="false" customHeight="false" outlineLevel="0" collapsed="false">
      <c r="A2972" s="0" t="n">
        <f aca="false">B2972*1000+C2972</f>
        <v>46067</v>
      </c>
      <c r="B2972" s="0" t="n">
        <v>46</v>
      </c>
      <c r="C2972" s="0" t="n">
        <v>67</v>
      </c>
      <c r="D2972" s="0" t="n">
        <v>78</v>
      </c>
      <c r="E2972" s="0" t="n">
        <f aca="false">VLOOKUP(B2972,'Babblefish-APUMA'!$A$1:$B$86,2)</f>
        <v>92</v>
      </c>
      <c r="F2972" s="0" t="n">
        <f aca="false">IF(C2972&gt;1,IF(C2972&lt;99,VLOOKUP(C2972,'Babblefish-APUMA'!$A$1:$B$86,2),C2972),C2972)</f>
        <v>103</v>
      </c>
    </row>
    <row r="2973" customFormat="false" ht="12.75" hidden="false" customHeight="false" outlineLevel="0" collapsed="false">
      <c r="A2973" s="0" t="n">
        <f aca="false">B2973*1000+C2973</f>
        <v>46068</v>
      </c>
      <c r="B2973" s="0" t="n">
        <v>46</v>
      </c>
      <c r="C2973" s="0" t="n">
        <v>68</v>
      </c>
      <c r="D2973" s="0" t="n">
        <v>0</v>
      </c>
      <c r="E2973" s="0" t="n">
        <f aca="false">VLOOKUP(B2973,'Babblefish-APUMA'!$A$1:$B$86,2)</f>
        <v>92</v>
      </c>
      <c r="F2973" s="0" t="n">
        <f aca="false">IF(C2973&gt;1,IF(C2973&lt;99,VLOOKUP(C2973,'Babblefish-APUMA'!$A$1:$B$86,2),C2973),C2973)</f>
        <v>93</v>
      </c>
    </row>
    <row r="2974" customFormat="false" ht="12.75" hidden="false" customHeight="false" outlineLevel="0" collapsed="false">
      <c r="A2974" s="0" t="n">
        <f aca="false">B2974*1000+C2974</f>
        <v>46069</v>
      </c>
      <c r="B2974" s="0" t="n">
        <v>46</v>
      </c>
      <c r="C2974" s="0" t="n">
        <v>69</v>
      </c>
      <c r="D2974" s="0" t="n">
        <v>338</v>
      </c>
      <c r="E2974" s="0" t="n">
        <f aca="false">VLOOKUP(B2974,'Babblefish-APUMA'!$A$1:$B$86,2)</f>
        <v>92</v>
      </c>
      <c r="F2974" s="0" t="n">
        <f aca="false">IF(C2974&gt;1,IF(C2974&lt;99,VLOOKUP(C2974,'Babblefish-APUMA'!$A$1:$B$86,2),C2974),C2974)</f>
        <v>93</v>
      </c>
    </row>
    <row r="2975" customFormat="false" ht="12.75" hidden="false" customHeight="false" outlineLevel="0" collapsed="false">
      <c r="A2975" s="0" t="n">
        <f aca="false">B2975*1000+C2975</f>
        <v>46070</v>
      </c>
      <c r="B2975" s="0" t="n">
        <v>46</v>
      </c>
      <c r="C2975" s="0" t="n">
        <v>70</v>
      </c>
      <c r="D2975" s="0" t="n">
        <v>0</v>
      </c>
      <c r="E2975" s="0" t="n">
        <f aca="false">VLOOKUP(B2975,'Babblefish-APUMA'!$A$1:$B$86,2)</f>
        <v>92</v>
      </c>
      <c r="F2975" s="0" t="n">
        <f aca="false">IF(C2975&gt;1,IF(C2975&lt;99,VLOOKUP(C2975,'Babblefish-APUMA'!$A$1:$B$86,2),C2975),C2975)</f>
        <v>95</v>
      </c>
    </row>
    <row r="2976" customFormat="false" ht="12.75" hidden="false" customHeight="false" outlineLevel="0" collapsed="false">
      <c r="A2976" s="0" t="n">
        <f aca="false">B2976*1000+C2976</f>
        <v>46071</v>
      </c>
      <c r="B2976" s="0" t="n">
        <v>46</v>
      </c>
      <c r="C2976" s="0" t="n">
        <v>71</v>
      </c>
      <c r="D2976" s="0" t="n">
        <v>117</v>
      </c>
      <c r="E2976" s="0" t="n">
        <f aca="false">VLOOKUP(B2976,'Babblefish-APUMA'!$A$1:$B$86,2)</f>
        <v>92</v>
      </c>
      <c r="F2976" s="0" t="n">
        <f aca="false">IF(C2976&gt;1,IF(C2976&lt;99,VLOOKUP(C2976,'Babblefish-APUMA'!$A$1:$B$86,2),C2976),C2976)</f>
        <v>95</v>
      </c>
    </row>
    <row r="2977" customFormat="false" ht="12.75" hidden="false" customHeight="false" outlineLevel="0" collapsed="false">
      <c r="A2977" s="0" t="n">
        <f aca="false">B2977*1000+C2977</f>
        <v>46072</v>
      </c>
      <c r="B2977" s="0" t="n">
        <v>46</v>
      </c>
      <c r="C2977" s="0" t="n">
        <v>72</v>
      </c>
      <c r="D2977" s="0" t="n">
        <v>390</v>
      </c>
      <c r="E2977" s="0" t="n">
        <f aca="false">VLOOKUP(B2977,'Babblefish-APUMA'!$A$1:$B$86,2)</f>
        <v>92</v>
      </c>
      <c r="F2977" s="0" t="n">
        <f aca="false">IF(C2977&gt;1,IF(C2977&lt;99,VLOOKUP(C2977,'Babblefish-APUMA'!$A$1:$B$86,2),C2977),C2977)</f>
        <v>95</v>
      </c>
    </row>
    <row r="2978" customFormat="false" ht="12.75" hidden="false" customHeight="false" outlineLevel="0" collapsed="false">
      <c r="A2978" s="0" t="n">
        <f aca="false">B2978*1000+C2978</f>
        <v>46073</v>
      </c>
      <c r="B2978" s="0" t="n">
        <v>46</v>
      </c>
      <c r="C2978" s="0" t="n">
        <v>73</v>
      </c>
      <c r="D2978" s="0" t="n">
        <v>0</v>
      </c>
      <c r="E2978" s="0" t="n">
        <f aca="false">VLOOKUP(B2978,'Babblefish-APUMA'!$A$1:$B$86,2)</f>
        <v>92</v>
      </c>
      <c r="F2978" s="0" t="n">
        <f aca="false">IF(C2978&gt;1,IF(C2978&lt;99,VLOOKUP(C2978,'Babblefish-APUMA'!$A$1:$B$86,2),C2978),C2978)</f>
        <v>99</v>
      </c>
    </row>
    <row r="2979" customFormat="false" ht="12.75" hidden="false" customHeight="false" outlineLevel="0" collapsed="false">
      <c r="A2979" s="0" t="n">
        <f aca="false">B2979*1000+C2979</f>
        <v>46075</v>
      </c>
      <c r="B2979" s="0" t="n">
        <v>46</v>
      </c>
      <c r="C2979" s="0" t="n">
        <v>75</v>
      </c>
      <c r="D2979" s="0" t="n">
        <v>0</v>
      </c>
      <c r="E2979" s="0" t="n">
        <f aca="false">VLOOKUP(B2979,'Babblefish-APUMA'!$A$1:$B$86,2)</f>
        <v>92</v>
      </c>
      <c r="F2979" s="0" t="n">
        <f aca="false">IF(C2979&gt;1,IF(C2979&lt;99,VLOOKUP(C2979,'Babblefish-APUMA'!$A$1:$B$86,2),C2979),C2979)</f>
        <v>75</v>
      </c>
    </row>
    <row r="2980" customFormat="false" ht="12.75" hidden="false" customHeight="false" outlineLevel="0" collapsed="false">
      <c r="A2980" s="0" t="n">
        <f aca="false">B2980*1000+C2980</f>
        <v>46076</v>
      </c>
      <c r="B2980" s="0" t="n">
        <v>46</v>
      </c>
      <c r="C2980" s="0" t="n">
        <v>76</v>
      </c>
      <c r="D2980" s="0" t="n">
        <v>0</v>
      </c>
      <c r="E2980" s="0" t="n">
        <f aca="false">VLOOKUP(B2980,'Babblefish-APUMA'!$A$1:$B$86,2)</f>
        <v>92</v>
      </c>
      <c r="F2980" s="0" t="n">
        <f aca="false">IF(C2980&gt;1,IF(C2980&lt;99,VLOOKUP(C2980,'Babblefish-APUMA'!$A$1:$B$86,2),C2980),C2980)</f>
        <v>76</v>
      </c>
    </row>
    <row r="2981" customFormat="false" ht="12.75" hidden="false" customHeight="false" outlineLevel="0" collapsed="false">
      <c r="A2981" s="0" t="n">
        <f aca="false">B2981*1000+C2981</f>
        <v>46077</v>
      </c>
      <c r="B2981" s="0" t="n">
        <v>46</v>
      </c>
      <c r="C2981" s="0" t="n">
        <v>77</v>
      </c>
      <c r="D2981" s="0" t="n">
        <v>0</v>
      </c>
      <c r="E2981" s="0" t="n">
        <f aca="false">VLOOKUP(B2981,'Babblefish-APUMA'!$A$1:$B$86,2)</f>
        <v>92</v>
      </c>
      <c r="F2981" s="0" t="n">
        <f aca="false">IF(C2981&gt;1,IF(C2981&lt;99,VLOOKUP(C2981,'Babblefish-APUMA'!$A$1:$B$86,2),C2981),C2981)</f>
        <v>77</v>
      </c>
    </row>
    <row r="2982" customFormat="false" ht="12.75" hidden="false" customHeight="false" outlineLevel="0" collapsed="false">
      <c r="A2982" s="0" t="n">
        <f aca="false">B2982*1000+C2982</f>
        <v>46079</v>
      </c>
      <c r="B2982" s="0" t="n">
        <v>46</v>
      </c>
      <c r="C2982" s="0" t="n">
        <v>79</v>
      </c>
      <c r="D2982" s="0" t="n">
        <v>0</v>
      </c>
      <c r="E2982" s="0" t="n">
        <f aca="false">VLOOKUP(B2982,'Babblefish-APUMA'!$A$1:$B$86,2)</f>
        <v>92</v>
      </c>
      <c r="F2982" s="0" t="n">
        <f aca="false">IF(C2982&gt;1,IF(C2982&lt;99,VLOOKUP(C2982,'Babblefish-APUMA'!$A$1:$B$86,2),C2982),C2982)</f>
        <v>89</v>
      </c>
    </row>
    <row r="2983" customFormat="false" ht="12.75" hidden="false" customHeight="false" outlineLevel="0" collapsed="false">
      <c r="A2983" s="0" t="n">
        <f aca="false">B2983*1000+C2983</f>
        <v>46080</v>
      </c>
      <c r="B2983" s="0" t="n">
        <v>46</v>
      </c>
      <c r="C2983" s="0" t="n">
        <v>80</v>
      </c>
      <c r="D2983" s="0" t="n">
        <v>0</v>
      </c>
      <c r="E2983" s="0" t="n">
        <f aca="false">VLOOKUP(B2983,'Babblefish-APUMA'!$A$1:$B$86,2)</f>
        <v>92</v>
      </c>
      <c r="F2983" s="0" t="n">
        <f aca="false">IF(C2983&gt;1,IF(C2983&lt;99,VLOOKUP(C2983,'Babblefish-APUMA'!$A$1:$B$86,2),C2983),C2983)</f>
        <v>80</v>
      </c>
    </row>
    <row r="2984" customFormat="false" ht="12.75" hidden="false" customHeight="false" outlineLevel="0" collapsed="false">
      <c r="A2984" s="0" t="n">
        <f aca="false">B2984*1000+C2984</f>
        <v>46081</v>
      </c>
      <c r="B2984" s="0" t="n">
        <v>46</v>
      </c>
      <c r="C2984" s="0" t="n">
        <v>81</v>
      </c>
      <c r="D2984" s="0" t="n">
        <v>0</v>
      </c>
      <c r="E2984" s="0" t="n">
        <f aca="false">VLOOKUP(B2984,'Babblefish-APUMA'!$A$1:$B$86,2)</f>
        <v>92</v>
      </c>
      <c r="F2984" s="0" t="n">
        <f aca="false">IF(C2984&gt;1,IF(C2984&lt;99,VLOOKUP(C2984,'Babblefish-APUMA'!$A$1:$B$86,2),C2984),C2984)</f>
        <v>93</v>
      </c>
    </row>
    <row r="2985" customFormat="false" ht="12.75" hidden="false" customHeight="false" outlineLevel="0" collapsed="false">
      <c r="A2985" s="0" t="n">
        <f aca="false">B2985*1000+C2985</f>
        <v>46082</v>
      </c>
      <c r="B2985" s="0" t="n">
        <v>46</v>
      </c>
      <c r="C2985" s="0" t="n">
        <v>82</v>
      </c>
      <c r="D2985" s="0" t="n">
        <v>0</v>
      </c>
      <c r="E2985" s="0" t="n">
        <f aca="false">VLOOKUP(B2985,'Babblefish-APUMA'!$A$1:$B$86,2)</f>
        <v>92</v>
      </c>
      <c r="F2985" s="0" t="n">
        <f aca="false">IF(C2985&gt;1,IF(C2985&lt;99,VLOOKUP(C2985,'Babblefish-APUMA'!$A$1:$B$86,2),C2985),C2985)</f>
        <v>95</v>
      </c>
    </row>
    <row r="2986" customFormat="false" ht="12.75" hidden="false" customHeight="false" outlineLevel="0" collapsed="false">
      <c r="A2986" s="0" t="n">
        <f aca="false">B2986*1000+C2986</f>
        <v>46083</v>
      </c>
      <c r="B2986" s="0" t="n">
        <v>46</v>
      </c>
      <c r="C2986" s="0" t="n">
        <v>83</v>
      </c>
      <c r="D2986" s="0" t="n">
        <v>0</v>
      </c>
      <c r="E2986" s="0" t="n">
        <f aca="false">VLOOKUP(B2986,'Babblefish-APUMA'!$A$1:$B$86,2)</f>
        <v>92</v>
      </c>
      <c r="F2986" s="0" t="n">
        <f aca="false">IF(C2986&gt;1,IF(C2986&lt;99,VLOOKUP(C2986,'Babblefish-APUMA'!$A$1:$B$86,2),C2986),C2986)</f>
        <v>103</v>
      </c>
    </row>
    <row r="2987" customFormat="false" ht="12.75" hidden="false" customHeight="false" outlineLevel="0" collapsed="false">
      <c r="A2987" s="0" t="n">
        <f aca="false">B2987*1000+C2987</f>
        <v>46084</v>
      </c>
      <c r="B2987" s="0" t="n">
        <v>46</v>
      </c>
      <c r="C2987" s="0" t="n">
        <v>84</v>
      </c>
      <c r="D2987" s="0" t="n">
        <v>3926</v>
      </c>
      <c r="E2987" s="0" t="n">
        <f aca="false">VLOOKUP(B2987,'Babblefish-APUMA'!$A$1:$B$86,2)</f>
        <v>92</v>
      </c>
      <c r="F2987" s="0" t="n">
        <f aca="false">IF(C2987&gt;1,IF(C2987&lt;99,VLOOKUP(C2987,'Babblefish-APUMA'!$A$1:$B$86,2),C2987),C2987)</f>
        <v>92</v>
      </c>
    </row>
    <row r="2988" customFormat="false" ht="12.75" hidden="false" customHeight="false" outlineLevel="0" collapsed="false">
      <c r="A2988" s="0" t="n">
        <f aca="false">B2988*1000+C2988</f>
        <v>46085</v>
      </c>
      <c r="B2988" s="0" t="n">
        <v>46</v>
      </c>
      <c r="C2988" s="0" t="n">
        <v>85</v>
      </c>
      <c r="D2988" s="0" t="n">
        <v>0</v>
      </c>
      <c r="E2988" s="0" t="n">
        <f aca="false">VLOOKUP(B2988,'Babblefish-APUMA'!$A$1:$B$86,2)</f>
        <v>92</v>
      </c>
      <c r="F2988" s="0" t="n">
        <f aca="false">IF(C2988&gt;1,IF(C2988&lt;99,VLOOKUP(C2988,'Babblefish-APUMA'!$A$1:$B$86,2),C2988),C2988)</f>
        <v>97</v>
      </c>
    </row>
    <row r="2989" customFormat="false" ht="12.75" hidden="false" customHeight="false" outlineLevel="0" collapsed="false">
      <c r="A2989" s="0" t="n">
        <f aca="false">B2989*1000+C2989</f>
        <v>46858</v>
      </c>
      <c r="B2989" s="0" t="n">
        <v>46</v>
      </c>
      <c r="C2989" s="0" t="n">
        <v>858</v>
      </c>
      <c r="D2989" s="0" t="n">
        <v>0</v>
      </c>
      <c r="E2989" s="0" t="n">
        <f aca="false">VLOOKUP(B2989,'Babblefish-APUMA'!$A$1:$B$86,2)</f>
        <v>92</v>
      </c>
      <c r="F2989" s="0" t="n">
        <f aca="false">IF(C2989&gt;1,IF(C2989&lt;99,VLOOKUP(C2989,'Babblefish-APUMA'!$A$1:$B$86,2),C2989),C2989)</f>
        <v>858</v>
      </c>
    </row>
    <row r="2990" customFormat="false" ht="12.75" hidden="false" customHeight="false" outlineLevel="0" collapsed="false">
      <c r="A2990" s="0" t="n">
        <f aca="false">B2990*1000+C2990</f>
        <v>46983</v>
      </c>
      <c r="B2990" s="0" t="n">
        <v>46</v>
      </c>
      <c r="C2990" s="0" t="n">
        <v>983</v>
      </c>
      <c r="D2990" s="0" t="n">
        <v>0</v>
      </c>
      <c r="E2990" s="0" t="n">
        <f aca="false">VLOOKUP(B2990,'Babblefish-APUMA'!$A$1:$B$86,2)</f>
        <v>92</v>
      </c>
      <c r="F2990" s="0" t="n">
        <f aca="false">IF(C2990&gt;1,IF(C2990&lt;99,VLOOKUP(C2990,'Babblefish-APUMA'!$A$1:$B$86,2),C2990),C2990)</f>
        <v>983</v>
      </c>
    </row>
    <row r="2991" customFormat="false" ht="12.75" hidden="false" customHeight="false" outlineLevel="0" collapsed="false">
      <c r="A2991" s="0" t="n">
        <f aca="false">B2991*1000+C2991</f>
        <v>46999</v>
      </c>
      <c r="B2991" s="0" t="n">
        <v>46</v>
      </c>
      <c r="C2991" s="0" t="n">
        <v>999</v>
      </c>
      <c r="D2991" s="0" t="n">
        <v>0</v>
      </c>
      <c r="E2991" s="0" t="n">
        <f aca="false">VLOOKUP(B2991,'Babblefish-APUMA'!$A$1:$B$86,2)</f>
        <v>92</v>
      </c>
      <c r="F2991" s="0" t="n">
        <f aca="false">IF(C2991&gt;1,IF(C2991&lt;99,VLOOKUP(C2991,'Babblefish-APUMA'!$A$1:$B$86,2),C2991),C2991)</f>
        <v>999</v>
      </c>
    </row>
    <row r="2992" customFormat="false" ht="12.75" hidden="false" customHeight="false" outlineLevel="0" collapsed="false">
      <c r="A2992" s="0" t="n">
        <f aca="false">B2992*1000+C2992</f>
        <v>47000</v>
      </c>
      <c r="B2992" s="0" t="n">
        <v>47</v>
      </c>
      <c r="C2992" s="0" t="n">
        <v>0</v>
      </c>
      <c r="D2992" s="0" t="n">
        <v>73580</v>
      </c>
      <c r="E2992" s="0" t="n">
        <f aca="false">VLOOKUP(B2992,'Babblefish-APUMA'!$A$1:$B$86,2)</f>
        <v>92</v>
      </c>
      <c r="F2992" s="0" t="n">
        <f aca="false">IF(C2992&gt;1,IF(C2992&lt;99,VLOOKUP(C2992,'Babblefish-APUMA'!$A$1:$B$86,2),C2992),C2992)</f>
        <v>0</v>
      </c>
    </row>
    <row r="2993" customFormat="false" ht="12.75" hidden="false" customHeight="false" outlineLevel="0" collapsed="false">
      <c r="A2993" s="0" t="n">
        <f aca="false">B2993*1000+C2993</f>
        <v>47001</v>
      </c>
      <c r="B2993" s="0" t="n">
        <v>47</v>
      </c>
      <c r="C2993" s="0" t="n">
        <v>1</v>
      </c>
      <c r="D2993" s="0" t="n">
        <v>0</v>
      </c>
      <c r="E2993" s="0" t="n">
        <f aca="false">VLOOKUP(B2993,'Babblefish-APUMA'!$A$1:$B$86,2)</f>
        <v>92</v>
      </c>
      <c r="F2993" s="0" t="n">
        <f aca="false">IF(C2993&gt;1,IF(C2993&lt;99,VLOOKUP(C2993,'Babblefish-APUMA'!$A$1:$B$86,2),C2993),C2993)</f>
        <v>1</v>
      </c>
    </row>
    <row r="2994" customFormat="false" ht="12.75" hidden="false" customHeight="false" outlineLevel="0" collapsed="false">
      <c r="A2994" s="0" t="n">
        <f aca="false">B2994*1000+C2994</f>
        <v>47002</v>
      </c>
      <c r="B2994" s="0" t="n">
        <v>47</v>
      </c>
      <c r="C2994" s="0" t="n">
        <v>2</v>
      </c>
      <c r="D2994" s="0" t="n">
        <v>0</v>
      </c>
      <c r="E2994" s="0" t="n">
        <f aca="false">VLOOKUP(B2994,'Babblefish-APUMA'!$A$1:$B$86,2)</f>
        <v>92</v>
      </c>
      <c r="F2994" s="0" t="n">
        <f aca="false">IF(C2994&gt;1,IF(C2994&lt;99,VLOOKUP(C2994,'Babblefish-APUMA'!$A$1:$B$86,2),C2994),C2994)</f>
        <v>2</v>
      </c>
    </row>
    <row r="2995" customFormat="false" ht="12.75" hidden="false" customHeight="false" outlineLevel="0" collapsed="false">
      <c r="A2995" s="0" t="n">
        <f aca="false">B2995*1000+C2995</f>
        <v>47003</v>
      </c>
      <c r="B2995" s="0" t="n">
        <v>47</v>
      </c>
      <c r="C2995" s="0" t="n">
        <v>3</v>
      </c>
      <c r="D2995" s="0" t="n">
        <v>0</v>
      </c>
      <c r="E2995" s="0" t="n">
        <f aca="false">VLOOKUP(B2995,'Babblefish-APUMA'!$A$1:$B$86,2)</f>
        <v>92</v>
      </c>
      <c r="F2995" s="0" t="n">
        <f aca="false">IF(C2995&gt;1,IF(C2995&lt;99,VLOOKUP(C2995,'Babblefish-APUMA'!$A$1:$B$86,2),C2995),C2995)</f>
        <v>3</v>
      </c>
    </row>
    <row r="2996" customFormat="false" ht="12.75" hidden="false" customHeight="false" outlineLevel="0" collapsed="false">
      <c r="A2996" s="0" t="n">
        <f aca="false">B2996*1000+C2996</f>
        <v>47004</v>
      </c>
      <c r="B2996" s="0" t="n">
        <v>47</v>
      </c>
      <c r="C2996" s="0" t="n">
        <v>4</v>
      </c>
      <c r="D2996" s="0" t="n">
        <v>0</v>
      </c>
      <c r="E2996" s="0" t="n">
        <f aca="false">VLOOKUP(B2996,'Babblefish-APUMA'!$A$1:$B$86,2)</f>
        <v>92</v>
      </c>
      <c r="F2996" s="0" t="n">
        <f aca="false">IF(C2996&gt;1,IF(C2996&lt;99,VLOOKUP(C2996,'Babblefish-APUMA'!$A$1:$B$86,2),C2996),C2996)</f>
        <v>4</v>
      </c>
    </row>
    <row r="2997" customFormat="false" ht="12.75" hidden="false" customHeight="false" outlineLevel="0" collapsed="false">
      <c r="A2997" s="0" t="n">
        <f aca="false">B2997*1000+C2997</f>
        <v>47005</v>
      </c>
      <c r="B2997" s="0" t="n">
        <v>47</v>
      </c>
      <c r="C2997" s="0" t="n">
        <v>5</v>
      </c>
      <c r="D2997" s="0" t="n">
        <v>0</v>
      </c>
      <c r="E2997" s="0" t="n">
        <f aca="false">VLOOKUP(B2997,'Babblefish-APUMA'!$A$1:$B$86,2)</f>
        <v>92</v>
      </c>
      <c r="F2997" s="0" t="n">
        <f aca="false">IF(C2997&gt;1,IF(C2997&lt;99,VLOOKUP(C2997,'Babblefish-APUMA'!$A$1:$B$86,2),C2997),C2997)</f>
        <v>5</v>
      </c>
    </row>
    <row r="2998" customFormat="false" ht="12.75" hidden="false" customHeight="false" outlineLevel="0" collapsed="false">
      <c r="A2998" s="0" t="n">
        <f aca="false">B2998*1000+C2998</f>
        <v>47006</v>
      </c>
      <c r="B2998" s="0" t="n">
        <v>47</v>
      </c>
      <c r="C2998" s="0" t="n">
        <v>6</v>
      </c>
      <c r="D2998" s="0" t="n">
        <v>0</v>
      </c>
      <c r="E2998" s="0" t="n">
        <f aca="false">VLOOKUP(B2998,'Babblefish-APUMA'!$A$1:$B$86,2)</f>
        <v>92</v>
      </c>
      <c r="F2998" s="0" t="n">
        <f aca="false">IF(C2998&gt;1,IF(C2998&lt;99,VLOOKUP(C2998,'Babblefish-APUMA'!$A$1:$B$86,2),C2998),C2998)</f>
        <v>6</v>
      </c>
    </row>
    <row r="2999" customFormat="false" ht="12.75" hidden="false" customHeight="false" outlineLevel="0" collapsed="false">
      <c r="A2999" s="0" t="n">
        <f aca="false">B2999*1000+C2999</f>
        <v>47007</v>
      </c>
      <c r="B2999" s="0" t="n">
        <v>47</v>
      </c>
      <c r="C2999" s="0" t="n">
        <v>7</v>
      </c>
      <c r="D2999" s="0" t="n">
        <v>0</v>
      </c>
      <c r="E2999" s="0" t="n">
        <f aca="false">VLOOKUP(B2999,'Babblefish-APUMA'!$A$1:$B$86,2)</f>
        <v>92</v>
      </c>
      <c r="F2999" s="0" t="n">
        <f aca="false">IF(C2999&gt;1,IF(C2999&lt;99,VLOOKUP(C2999,'Babblefish-APUMA'!$A$1:$B$86,2),C2999),C2999)</f>
        <v>7</v>
      </c>
    </row>
    <row r="3000" customFormat="false" ht="12.75" hidden="false" customHeight="false" outlineLevel="0" collapsed="false">
      <c r="A3000" s="0" t="n">
        <f aca="false">B3000*1000+C3000</f>
        <v>47008</v>
      </c>
      <c r="B3000" s="0" t="n">
        <v>47</v>
      </c>
      <c r="C3000" s="0" t="n">
        <v>8</v>
      </c>
      <c r="D3000" s="0" t="n">
        <v>0</v>
      </c>
      <c r="E3000" s="0" t="n">
        <f aca="false">VLOOKUP(B3000,'Babblefish-APUMA'!$A$1:$B$86,2)</f>
        <v>92</v>
      </c>
      <c r="F3000" s="0" t="n">
        <f aca="false">IF(C3000&gt;1,IF(C3000&lt;99,VLOOKUP(C3000,'Babblefish-APUMA'!$A$1:$B$86,2),C3000),C3000)</f>
        <v>8</v>
      </c>
    </row>
    <row r="3001" customFormat="false" ht="12.75" hidden="false" customHeight="false" outlineLevel="0" collapsed="false">
      <c r="A3001" s="0" t="n">
        <f aca="false">B3001*1000+C3001</f>
        <v>47009</v>
      </c>
      <c r="B3001" s="0" t="n">
        <v>47</v>
      </c>
      <c r="C3001" s="0" t="n">
        <v>9</v>
      </c>
      <c r="D3001" s="0" t="n">
        <v>0</v>
      </c>
      <c r="E3001" s="0" t="n">
        <f aca="false">VLOOKUP(B3001,'Babblefish-APUMA'!$A$1:$B$86,2)</f>
        <v>92</v>
      </c>
      <c r="F3001" s="0" t="n">
        <f aca="false">IF(C3001&gt;1,IF(C3001&lt;99,VLOOKUP(C3001,'Babblefish-APUMA'!$A$1:$B$86,2),C3001),C3001)</f>
        <v>9</v>
      </c>
    </row>
    <row r="3002" customFormat="false" ht="12.75" hidden="false" customHeight="false" outlineLevel="0" collapsed="false">
      <c r="A3002" s="0" t="n">
        <f aca="false">B3002*1000+C3002</f>
        <v>47010</v>
      </c>
      <c r="B3002" s="0" t="n">
        <v>47</v>
      </c>
      <c r="C3002" s="0" t="n">
        <v>10</v>
      </c>
      <c r="D3002" s="0" t="n">
        <v>0</v>
      </c>
      <c r="E3002" s="0" t="n">
        <f aca="false">VLOOKUP(B3002,'Babblefish-APUMA'!$A$1:$B$86,2)</f>
        <v>92</v>
      </c>
      <c r="F3002" s="0" t="n">
        <f aca="false">IF(C3002&gt;1,IF(C3002&lt;99,VLOOKUP(C3002,'Babblefish-APUMA'!$A$1:$B$86,2),C3002),C3002)</f>
        <v>10</v>
      </c>
    </row>
    <row r="3003" customFormat="false" ht="12.75" hidden="false" customHeight="false" outlineLevel="0" collapsed="false">
      <c r="A3003" s="0" t="n">
        <f aca="false">B3003*1000+C3003</f>
        <v>47011</v>
      </c>
      <c r="B3003" s="0" t="n">
        <v>47</v>
      </c>
      <c r="C3003" s="0" t="n">
        <v>11</v>
      </c>
      <c r="D3003" s="0" t="n">
        <v>0</v>
      </c>
      <c r="E3003" s="0" t="n">
        <f aca="false">VLOOKUP(B3003,'Babblefish-APUMA'!$A$1:$B$86,2)</f>
        <v>92</v>
      </c>
      <c r="F3003" s="0" t="n">
        <f aca="false">IF(C3003&gt;1,IF(C3003&lt;99,VLOOKUP(C3003,'Babblefish-APUMA'!$A$1:$B$86,2),C3003),C3003)</f>
        <v>11</v>
      </c>
    </row>
    <row r="3004" customFormat="false" ht="12.75" hidden="false" customHeight="false" outlineLevel="0" collapsed="false">
      <c r="A3004" s="0" t="n">
        <f aca="false">B3004*1000+C3004</f>
        <v>47012</v>
      </c>
      <c r="B3004" s="0" t="n">
        <v>47</v>
      </c>
      <c r="C3004" s="0" t="n">
        <v>12</v>
      </c>
      <c r="D3004" s="0" t="n">
        <v>0</v>
      </c>
      <c r="E3004" s="0" t="n">
        <f aca="false">VLOOKUP(B3004,'Babblefish-APUMA'!$A$1:$B$86,2)</f>
        <v>92</v>
      </c>
      <c r="F3004" s="0" t="n">
        <f aca="false">IF(C3004&gt;1,IF(C3004&lt;99,VLOOKUP(C3004,'Babblefish-APUMA'!$A$1:$B$86,2),C3004),C3004)</f>
        <v>12</v>
      </c>
    </row>
    <row r="3005" customFormat="false" ht="12.75" hidden="false" customHeight="false" outlineLevel="0" collapsed="false">
      <c r="A3005" s="0" t="n">
        <f aca="false">B3005*1000+C3005</f>
        <v>47013</v>
      </c>
      <c r="B3005" s="0" t="n">
        <v>47</v>
      </c>
      <c r="C3005" s="0" t="n">
        <v>13</v>
      </c>
      <c r="D3005" s="0" t="n">
        <v>0</v>
      </c>
      <c r="E3005" s="0" t="n">
        <f aca="false">VLOOKUP(B3005,'Babblefish-APUMA'!$A$1:$B$86,2)</f>
        <v>92</v>
      </c>
      <c r="F3005" s="0" t="n">
        <f aca="false">IF(C3005&gt;1,IF(C3005&lt;99,VLOOKUP(C3005,'Babblefish-APUMA'!$A$1:$B$86,2),C3005),C3005)</f>
        <v>100</v>
      </c>
    </row>
    <row r="3006" customFormat="false" ht="12.75" hidden="false" customHeight="false" outlineLevel="0" collapsed="false">
      <c r="A3006" s="0" t="n">
        <f aca="false">B3006*1000+C3006</f>
        <v>47014</v>
      </c>
      <c r="B3006" s="0" t="n">
        <v>47</v>
      </c>
      <c r="C3006" s="0" t="n">
        <v>14</v>
      </c>
      <c r="D3006" s="0" t="n">
        <v>0</v>
      </c>
      <c r="E3006" s="0" t="n">
        <f aca="false">VLOOKUP(B3006,'Babblefish-APUMA'!$A$1:$B$86,2)</f>
        <v>92</v>
      </c>
      <c r="F3006" s="0" t="n">
        <f aca="false">IF(C3006&gt;1,IF(C3006&lt;99,VLOOKUP(C3006,'Babblefish-APUMA'!$A$1:$B$86,2),C3006),C3006)</f>
        <v>100</v>
      </c>
    </row>
    <row r="3007" customFormat="false" ht="12.75" hidden="false" customHeight="false" outlineLevel="0" collapsed="false">
      <c r="A3007" s="0" t="n">
        <f aca="false">B3007*1000+C3007</f>
        <v>47015</v>
      </c>
      <c r="B3007" s="0" t="n">
        <v>47</v>
      </c>
      <c r="C3007" s="0" t="n">
        <v>15</v>
      </c>
      <c r="D3007" s="0" t="n">
        <v>0</v>
      </c>
      <c r="E3007" s="0" t="n">
        <f aca="false">VLOOKUP(B3007,'Babblefish-APUMA'!$A$1:$B$86,2)</f>
        <v>92</v>
      </c>
      <c r="F3007" s="0" t="n">
        <f aca="false">IF(C3007&gt;1,IF(C3007&lt;99,VLOOKUP(C3007,'Babblefish-APUMA'!$A$1:$B$86,2),C3007),C3007)</f>
        <v>15</v>
      </c>
    </row>
    <row r="3008" customFormat="false" ht="12.75" hidden="false" customHeight="false" outlineLevel="0" collapsed="false">
      <c r="A3008" s="0" t="n">
        <f aca="false">B3008*1000+C3008</f>
        <v>47016</v>
      </c>
      <c r="B3008" s="0" t="n">
        <v>47</v>
      </c>
      <c r="C3008" s="0" t="n">
        <v>16</v>
      </c>
      <c r="D3008" s="0" t="n">
        <v>0</v>
      </c>
      <c r="E3008" s="0" t="n">
        <f aca="false">VLOOKUP(B3008,'Babblefish-APUMA'!$A$1:$B$86,2)</f>
        <v>92</v>
      </c>
      <c r="F3008" s="0" t="n">
        <f aca="false">IF(C3008&gt;1,IF(C3008&lt;99,VLOOKUP(C3008,'Babblefish-APUMA'!$A$1:$B$86,2),C3008),C3008)</f>
        <v>99</v>
      </c>
    </row>
    <row r="3009" customFormat="false" ht="12.75" hidden="false" customHeight="false" outlineLevel="0" collapsed="false">
      <c r="A3009" s="0" t="n">
        <f aca="false">B3009*1000+C3009</f>
        <v>47017</v>
      </c>
      <c r="B3009" s="0" t="n">
        <v>47</v>
      </c>
      <c r="C3009" s="0" t="n">
        <v>17</v>
      </c>
      <c r="D3009" s="0" t="n">
        <v>0</v>
      </c>
      <c r="E3009" s="0" t="n">
        <f aca="false">VLOOKUP(B3009,'Babblefish-APUMA'!$A$1:$B$86,2)</f>
        <v>92</v>
      </c>
      <c r="F3009" s="0" t="n">
        <f aca="false">IF(C3009&gt;1,IF(C3009&lt;99,VLOOKUP(C3009,'Babblefish-APUMA'!$A$1:$B$86,2),C3009),C3009)</f>
        <v>87</v>
      </c>
    </row>
    <row r="3010" customFormat="false" ht="12.75" hidden="false" customHeight="false" outlineLevel="0" collapsed="false">
      <c r="A3010" s="0" t="n">
        <f aca="false">B3010*1000+C3010</f>
        <v>47018</v>
      </c>
      <c r="B3010" s="0" t="n">
        <v>47</v>
      </c>
      <c r="C3010" s="0" t="n">
        <v>18</v>
      </c>
      <c r="D3010" s="0" t="n">
        <v>0</v>
      </c>
      <c r="E3010" s="0" t="n">
        <f aca="false">VLOOKUP(B3010,'Babblefish-APUMA'!$A$1:$B$86,2)</f>
        <v>92</v>
      </c>
      <c r="F3010" s="0" t="n">
        <f aca="false">IF(C3010&gt;1,IF(C3010&lt;99,VLOOKUP(C3010,'Babblefish-APUMA'!$A$1:$B$86,2),C3010),C3010)</f>
        <v>87</v>
      </c>
    </row>
    <row r="3011" customFormat="false" ht="12.75" hidden="false" customHeight="false" outlineLevel="0" collapsed="false">
      <c r="A3011" s="0" t="n">
        <f aca="false">B3011*1000+C3011</f>
        <v>47019</v>
      </c>
      <c r="B3011" s="0" t="n">
        <v>47</v>
      </c>
      <c r="C3011" s="0" t="n">
        <v>19</v>
      </c>
      <c r="D3011" s="0" t="n">
        <v>0</v>
      </c>
      <c r="E3011" s="0" t="n">
        <f aca="false">VLOOKUP(B3011,'Babblefish-APUMA'!$A$1:$B$86,2)</f>
        <v>92</v>
      </c>
      <c r="F3011" s="0" t="n">
        <f aca="false">IF(C3011&gt;1,IF(C3011&lt;99,VLOOKUP(C3011,'Babblefish-APUMA'!$A$1:$B$86,2),C3011),C3011)</f>
        <v>19</v>
      </c>
    </row>
    <row r="3012" customFormat="false" ht="12.75" hidden="false" customHeight="false" outlineLevel="0" collapsed="false">
      <c r="A3012" s="0" t="n">
        <f aca="false">B3012*1000+C3012</f>
        <v>47020</v>
      </c>
      <c r="B3012" s="0" t="n">
        <v>47</v>
      </c>
      <c r="C3012" s="0" t="n">
        <v>20</v>
      </c>
      <c r="D3012" s="0" t="n">
        <v>0</v>
      </c>
      <c r="E3012" s="0" t="n">
        <f aca="false">VLOOKUP(B3012,'Babblefish-APUMA'!$A$1:$B$86,2)</f>
        <v>92</v>
      </c>
      <c r="F3012" s="0" t="n">
        <f aca="false">IF(C3012&gt;1,IF(C3012&lt;99,VLOOKUP(C3012,'Babblefish-APUMA'!$A$1:$B$86,2),C3012),C3012)</f>
        <v>86</v>
      </c>
    </row>
    <row r="3013" customFormat="false" ht="12.75" hidden="false" customHeight="false" outlineLevel="0" collapsed="false">
      <c r="A3013" s="0" t="n">
        <f aca="false">B3013*1000+C3013</f>
        <v>47021</v>
      </c>
      <c r="B3013" s="0" t="n">
        <v>47</v>
      </c>
      <c r="C3013" s="0" t="n">
        <v>21</v>
      </c>
      <c r="D3013" s="0" t="n">
        <v>0</v>
      </c>
      <c r="E3013" s="0" t="n">
        <f aca="false">VLOOKUP(B3013,'Babblefish-APUMA'!$A$1:$B$86,2)</f>
        <v>92</v>
      </c>
      <c r="F3013" s="0" t="n">
        <f aca="false">IF(C3013&gt;1,IF(C3013&lt;99,VLOOKUP(C3013,'Babblefish-APUMA'!$A$1:$B$86,2),C3013),C3013)</f>
        <v>86</v>
      </c>
    </row>
    <row r="3014" customFormat="false" ht="12.75" hidden="false" customHeight="false" outlineLevel="0" collapsed="false">
      <c r="A3014" s="0" t="n">
        <f aca="false">B3014*1000+C3014</f>
        <v>47022</v>
      </c>
      <c r="B3014" s="0" t="n">
        <v>47</v>
      </c>
      <c r="C3014" s="0" t="n">
        <v>22</v>
      </c>
      <c r="D3014" s="0" t="n">
        <v>0</v>
      </c>
      <c r="E3014" s="0" t="n">
        <f aca="false">VLOOKUP(B3014,'Babblefish-APUMA'!$A$1:$B$86,2)</f>
        <v>92</v>
      </c>
      <c r="F3014" s="0" t="n">
        <f aca="false">IF(C3014&gt;1,IF(C3014&lt;99,VLOOKUP(C3014,'Babblefish-APUMA'!$A$1:$B$86,2),C3014),C3014)</f>
        <v>22</v>
      </c>
    </row>
    <row r="3015" customFormat="false" ht="12.75" hidden="false" customHeight="false" outlineLevel="0" collapsed="false">
      <c r="A3015" s="0" t="n">
        <f aca="false">B3015*1000+C3015</f>
        <v>47023</v>
      </c>
      <c r="B3015" s="0" t="n">
        <v>47</v>
      </c>
      <c r="C3015" s="0" t="n">
        <v>23</v>
      </c>
      <c r="D3015" s="0" t="n">
        <v>0</v>
      </c>
      <c r="E3015" s="0" t="n">
        <f aca="false">VLOOKUP(B3015,'Babblefish-APUMA'!$A$1:$B$86,2)</f>
        <v>92</v>
      </c>
      <c r="F3015" s="0" t="n">
        <f aca="false">IF(C3015&gt;1,IF(C3015&lt;99,VLOOKUP(C3015,'Babblefish-APUMA'!$A$1:$B$86,2),C3015),C3015)</f>
        <v>97</v>
      </c>
    </row>
    <row r="3016" customFormat="false" ht="12.75" hidden="false" customHeight="false" outlineLevel="0" collapsed="false">
      <c r="A3016" s="0" t="n">
        <f aca="false">B3016*1000+C3016</f>
        <v>47024</v>
      </c>
      <c r="B3016" s="0" t="n">
        <v>47</v>
      </c>
      <c r="C3016" s="0" t="n">
        <v>24</v>
      </c>
      <c r="D3016" s="0" t="n">
        <v>0</v>
      </c>
      <c r="E3016" s="0" t="n">
        <f aca="false">VLOOKUP(B3016,'Babblefish-APUMA'!$A$1:$B$86,2)</f>
        <v>92</v>
      </c>
      <c r="F3016" s="0" t="n">
        <f aca="false">IF(C3016&gt;1,IF(C3016&lt;99,VLOOKUP(C3016,'Babblefish-APUMA'!$A$1:$B$86,2),C3016),C3016)</f>
        <v>101</v>
      </c>
    </row>
    <row r="3017" customFormat="false" ht="12.75" hidden="false" customHeight="false" outlineLevel="0" collapsed="false">
      <c r="A3017" s="0" t="n">
        <f aca="false">B3017*1000+C3017</f>
        <v>47025</v>
      </c>
      <c r="B3017" s="0" t="n">
        <v>47</v>
      </c>
      <c r="C3017" s="0" t="n">
        <v>25</v>
      </c>
      <c r="D3017" s="0" t="n">
        <v>0</v>
      </c>
      <c r="E3017" s="0" t="n">
        <f aca="false">VLOOKUP(B3017,'Babblefish-APUMA'!$A$1:$B$86,2)</f>
        <v>92</v>
      </c>
      <c r="F3017" s="0" t="n">
        <f aca="false">IF(C3017&gt;1,IF(C3017&lt;99,VLOOKUP(C3017,'Babblefish-APUMA'!$A$1:$B$86,2),C3017),C3017)</f>
        <v>101</v>
      </c>
    </row>
    <row r="3018" customFormat="false" ht="12.75" hidden="false" customHeight="false" outlineLevel="0" collapsed="false">
      <c r="A3018" s="0" t="n">
        <f aca="false">B3018*1000+C3018</f>
        <v>47026</v>
      </c>
      <c r="B3018" s="0" t="n">
        <v>47</v>
      </c>
      <c r="C3018" s="0" t="n">
        <v>26</v>
      </c>
      <c r="D3018" s="0" t="n">
        <v>0</v>
      </c>
      <c r="E3018" s="0" t="n">
        <f aca="false">VLOOKUP(B3018,'Babblefish-APUMA'!$A$1:$B$86,2)</f>
        <v>92</v>
      </c>
      <c r="F3018" s="0" t="n">
        <f aca="false">IF(C3018&gt;1,IF(C3018&lt;99,VLOOKUP(C3018,'Babblefish-APUMA'!$A$1:$B$86,2),C3018),C3018)</f>
        <v>26</v>
      </c>
    </row>
    <row r="3019" customFormat="false" ht="12.75" hidden="false" customHeight="false" outlineLevel="0" collapsed="false">
      <c r="A3019" s="0" t="n">
        <f aca="false">B3019*1000+C3019</f>
        <v>47027</v>
      </c>
      <c r="B3019" s="0" t="n">
        <v>47</v>
      </c>
      <c r="C3019" s="0" t="n">
        <v>27</v>
      </c>
      <c r="D3019" s="0" t="n">
        <v>0</v>
      </c>
      <c r="E3019" s="0" t="n">
        <f aca="false">VLOOKUP(B3019,'Babblefish-APUMA'!$A$1:$B$86,2)</f>
        <v>92</v>
      </c>
      <c r="F3019" s="0" t="n">
        <f aca="false">IF(C3019&gt;1,IF(C3019&lt;99,VLOOKUP(C3019,'Babblefish-APUMA'!$A$1:$B$86,2),C3019),C3019)</f>
        <v>27</v>
      </c>
    </row>
    <row r="3020" customFormat="false" ht="12.75" hidden="false" customHeight="false" outlineLevel="0" collapsed="false">
      <c r="A3020" s="0" t="n">
        <f aca="false">B3020*1000+C3020</f>
        <v>47028</v>
      </c>
      <c r="B3020" s="0" t="n">
        <v>47</v>
      </c>
      <c r="C3020" s="0" t="n">
        <v>28</v>
      </c>
      <c r="D3020" s="0" t="n">
        <v>0</v>
      </c>
      <c r="E3020" s="0" t="n">
        <f aca="false">VLOOKUP(B3020,'Babblefish-APUMA'!$A$1:$B$86,2)</f>
        <v>92</v>
      </c>
      <c r="F3020" s="0" t="n">
        <f aca="false">IF(C3020&gt;1,IF(C3020&lt;99,VLOOKUP(C3020,'Babblefish-APUMA'!$A$1:$B$86,2),C3020),C3020)</f>
        <v>94</v>
      </c>
    </row>
    <row r="3021" customFormat="false" ht="12.75" hidden="false" customHeight="false" outlineLevel="0" collapsed="false">
      <c r="A3021" s="0" t="n">
        <f aca="false">B3021*1000+C3021</f>
        <v>47029</v>
      </c>
      <c r="B3021" s="0" t="n">
        <v>47</v>
      </c>
      <c r="C3021" s="0" t="n">
        <v>29</v>
      </c>
      <c r="D3021" s="0" t="n">
        <v>0</v>
      </c>
      <c r="E3021" s="0" t="n">
        <f aca="false">VLOOKUP(B3021,'Babblefish-APUMA'!$A$1:$B$86,2)</f>
        <v>92</v>
      </c>
      <c r="F3021" s="0" t="n">
        <f aca="false">IF(C3021&gt;1,IF(C3021&lt;99,VLOOKUP(C3021,'Babblefish-APUMA'!$A$1:$B$86,2),C3021),C3021)</f>
        <v>94</v>
      </c>
    </row>
    <row r="3022" customFormat="false" ht="12.75" hidden="false" customHeight="false" outlineLevel="0" collapsed="false">
      <c r="A3022" s="0" t="n">
        <f aca="false">B3022*1000+C3022</f>
        <v>47030</v>
      </c>
      <c r="B3022" s="0" t="n">
        <v>47</v>
      </c>
      <c r="C3022" s="0" t="n">
        <v>30</v>
      </c>
      <c r="D3022" s="0" t="n">
        <v>0</v>
      </c>
      <c r="E3022" s="0" t="n">
        <f aca="false">VLOOKUP(B3022,'Babblefish-APUMA'!$A$1:$B$86,2)</f>
        <v>92</v>
      </c>
      <c r="F3022" s="0" t="n">
        <f aca="false">IF(C3022&gt;1,IF(C3022&lt;99,VLOOKUP(C3022,'Babblefish-APUMA'!$A$1:$B$86,2),C3022),C3022)</f>
        <v>30</v>
      </c>
    </row>
    <row r="3023" customFormat="false" ht="12.75" hidden="false" customHeight="false" outlineLevel="0" collapsed="false">
      <c r="A3023" s="0" t="n">
        <f aca="false">B3023*1000+C3023</f>
        <v>47031</v>
      </c>
      <c r="B3023" s="0" t="n">
        <v>47</v>
      </c>
      <c r="C3023" s="0" t="n">
        <v>31</v>
      </c>
      <c r="D3023" s="0" t="n">
        <v>91</v>
      </c>
      <c r="E3023" s="0" t="n">
        <f aca="false">VLOOKUP(B3023,'Babblefish-APUMA'!$A$1:$B$86,2)</f>
        <v>92</v>
      </c>
      <c r="F3023" s="0" t="n">
        <f aca="false">IF(C3023&gt;1,IF(C3023&lt;99,VLOOKUP(C3023,'Babblefish-APUMA'!$A$1:$B$86,2),C3023),C3023)</f>
        <v>31</v>
      </c>
    </row>
    <row r="3024" customFormat="false" ht="12.75" hidden="false" customHeight="false" outlineLevel="0" collapsed="false">
      <c r="A3024" s="0" t="n">
        <f aca="false">B3024*1000+C3024</f>
        <v>47032</v>
      </c>
      <c r="B3024" s="0" t="n">
        <v>47</v>
      </c>
      <c r="C3024" s="0" t="n">
        <v>32</v>
      </c>
      <c r="D3024" s="0" t="n">
        <v>78</v>
      </c>
      <c r="E3024" s="0" t="n">
        <f aca="false">VLOOKUP(B3024,'Babblefish-APUMA'!$A$1:$B$86,2)</f>
        <v>92</v>
      </c>
      <c r="F3024" s="0" t="n">
        <f aca="false">IF(C3024&gt;1,IF(C3024&lt;99,VLOOKUP(C3024,'Babblefish-APUMA'!$A$1:$B$86,2),C3024),C3024)</f>
        <v>32</v>
      </c>
    </row>
    <row r="3025" customFormat="false" ht="12.75" hidden="false" customHeight="false" outlineLevel="0" collapsed="false">
      <c r="A3025" s="0" t="n">
        <f aca="false">B3025*1000+C3025</f>
        <v>47033</v>
      </c>
      <c r="B3025" s="0" t="n">
        <v>47</v>
      </c>
      <c r="C3025" s="0" t="n">
        <v>33</v>
      </c>
      <c r="D3025" s="0" t="n">
        <v>0</v>
      </c>
      <c r="E3025" s="0" t="n">
        <f aca="false">VLOOKUP(B3025,'Babblefish-APUMA'!$A$1:$B$86,2)</f>
        <v>92</v>
      </c>
      <c r="F3025" s="0" t="n">
        <f aca="false">IF(C3025&gt;1,IF(C3025&lt;99,VLOOKUP(C3025,'Babblefish-APUMA'!$A$1:$B$86,2),C3025),C3025)</f>
        <v>96</v>
      </c>
    </row>
    <row r="3026" customFormat="false" ht="12.75" hidden="false" customHeight="false" outlineLevel="0" collapsed="false">
      <c r="A3026" s="0" t="n">
        <f aca="false">B3026*1000+C3026</f>
        <v>47034</v>
      </c>
      <c r="B3026" s="0" t="n">
        <v>47</v>
      </c>
      <c r="C3026" s="0" t="n">
        <v>34</v>
      </c>
      <c r="D3026" s="0" t="n">
        <v>0</v>
      </c>
      <c r="E3026" s="0" t="n">
        <f aca="false">VLOOKUP(B3026,'Babblefish-APUMA'!$A$1:$B$86,2)</f>
        <v>92</v>
      </c>
      <c r="F3026" s="0" t="n">
        <f aca="false">IF(C3026&gt;1,IF(C3026&lt;99,VLOOKUP(C3026,'Babblefish-APUMA'!$A$1:$B$86,2),C3026),C3026)</f>
        <v>96</v>
      </c>
    </row>
    <row r="3027" customFormat="false" ht="12.75" hidden="false" customHeight="false" outlineLevel="0" collapsed="false">
      <c r="A3027" s="0" t="n">
        <f aca="false">B3027*1000+C3027</f>
        <v>47035</v>
      </c>
      <c r="B3027" s="0" t="n">
        <v>47</v>
      </c>
      <c r="C3027" s="0" t="n">
        <v>35</v>
      </c>
      <c r="D3027" s="0" t="n">
        <v>0</v>
      </c>
      <c r="E3027" s="0" t="n">
        <f aca="false">VLOOKUP(B3027,'Babblefish-APUMA'!$A$1:$B$86,2)</f>
        <v>92</v>
      </c>
      <c r="F3027" s="0" t="n">
        <f aca="false">IF(C3027&gt;1,IF(C3027&lt;99,VLOOKUP(C3027,'Babblefish-APUMA'!$A$1:$B$86,2),C3027),C3027)</f>
        <v>96</v>
      </c>
    </row>
    <row r="3028" customFormat="false" ht="12.75" hidden="false" customHeight="false" outlineLevel="0" collapsed="false">
      <c r="A3028" s="0" t="n">
        <f aca="false">B3028*1000+C3028</f>
        <v>47036</v>
      </c>
      <c r="B3028" s="0" t="n">
        <v>47</v>
      </c>
      <c r="C3028" s="0" t="n">
        <v>36</v>
      </c>
      <c r="D3028" s="0" t="n">
        <v>0</v>
      </c>
      <c r="E3028" s="0" t="n">
        <f aca="false">VLOOKUP(B3028,'Babblefish-APUMA'!$A$1:$B$86,2)</f>
        <v>92</v>
      </c>
      <c r="F3028" s="0" t="n">
        <f aca="false">IF(C3028&gt;1,IF(C3028&lt;99,VLOOKUP(C3028,'Babblefish-APUMA'!$A$1:$B$86,2),C3028),C3028)</f>
        <v>96</v>
      </c>
    </row>
    <row r="3029" customFormat="false" ht="12.75" hidden="false" customHeight="false" outlineLevel="0" collapsed="false">
      <c r="A3029" s="0" t="n">
        <f aca="false">B3029*1000+C3029</f>
        <v>47037</v>
      </c>
      <c r="B3029" s="0" t="n">
        <v>47</v>
      </c>
      <c r="C3029" s="0" t="n">
        <v>37</v>
      </c>
      <c r="D3029" s="0" t="n">
        <v>78</v>
      </c>
      <c r="E3029" s="0" t="n">
        <f aca="false">VLOOKUP(B3029,'Babblefish-APUMA'!$A$1:$B$86,2)</f>
        <v>92</v>
      </c>
      <c r="F3029" s="0" t="n">
        <f aca="false">IF(C3029&gt;1,IF(C3029&lt;99,VLOOKUP(C3029,'Babblefish-APUMA'!$A$1:$B$86,2),C3029),C3029)</f>
        <v>96</v>
      </c>
    </row>
    <row r="3030" customFormat="false" ht="12.75" hidden="false" customHeight="false" outlineLevel="0" collapsed="false">
      <c r="A3030" s="0" t="n">
        <f aca="false">B3030*1000+C3030</f>
        <v>47038</v>
      </c>
      <c r="B3030" s="0" t="n">
        <v>47</v>
      </c>
      <c r="C3030" s="0" t="n">
        <v>38</v>
      </c>
      <c r="D3030" s="0" t="n">
        <v>0</v>
      </c>
      <c r="E3030" s="0" t="n">
        <f aca="false">VLOOKUP(B3030,'Babblefish-APUMA'!$A$1:$B$86,2)</f>
        <v>92</v>
      </c>
      <c r="F3030" s="0" t="n">
        <f aca="false">IF(C3030&gt;1,IF(C3030&lt;99,VLOOKUP(C3030,'Babblefish-APUMA'!$A$1:$B$86,2),C3030),C3030)</f>
        <v>91</v>
      </c>
    </row>
    <row r="3031" customFormat="false" ht="12.75" hidden="false" customHeight="false" outlineLevel="0" collapsed="false">
      <c r="A3031" s="0" t="n">
        <f aca="false">B3031*1000+C3031</f>
        <v>47039</v>
      </c>
      <c r="B3031" s="0" t="n">
        <v>47</v>
      </c>
      <c r="C3031" s="0" t="n">
        <v>39</v>
      </c>
      <c r="D3031" s="0" t="n">
        <v>0</v>
      </c>
      <c r="E3031" s="0" t="n">
        <f aca="false">VLOOKUP(B3031,'Babblefish-APUMA'!$A$1:$B$86,2)</f>
        <v>92</v>
      </c>
      <c r="F3031" s="0" t="n">
        <f aca="false">IF(C3031&gt;1,IF(C3031&lt;99,VLOOKUP(C3031,'Babblefish-APUMA'!$A$1:$B$86,2),C3031),C3031)</f>
        <v>91</v>
      </c>
    </row>
    <row r="3032" customFormat="false" ht="12.75" hidden="false" customHeight="false" outlineLevel="0" collapsed="false">
      <c r="A3032" s="0" t="n">
        <f aca="false">B3032*1000+C3032</f>
        <v>47040</v>
      </c>
      <c r="B3032" s="0" t="n">
        <v>47</v>
      </c>
      <c r="C3032" s="0" t="n">
        <v>40</v>
      </c>
      <c r="D3032" s="0" t="n">
        <v>0</v>
      </c>
      <c r="E3032" s="0" t="n">
        <f aca="false">VLOOKUP(B3032,'Babblefish-APUMA'!$A$1:$B$86,2)</f>
        <v>92</v>
      </c>
      <c r="F3032" s="0" t="n">
        <f aca="false">IF(C3032&gt;1,IF(C3032&lt;99,VLOOKUP(C3032,'Babblefish-APUMA'!$A$1:$B$86,2),C3032),C3032)</f>
        <v>88</v>
      </c>
    </row>
    <row r="3033" customFormat="false" ht="12.75" hidden="false" customHeight="false" outlineLevel="0" collapsed="false">
      <c r="A3033" s="0" t="n">
        <f aca="false">B3033*1000+C3033</f>
        <v>47041</v>
      </c>
      <c r="B3033" s="0" t="n">
        <v>47</v>
      </c>
      <c r="C3033" s="0" t="n">
        <v>41</v>
      </c>
      <c r="D3033" s="0" t="n">
        <v>0</v>
      </c>
      <c r="E3033" s="0" t="n">
        <f aca="false">VLOOKUP(B3033,'Babblefish-APUMA'!$A$1:$B$86,2)</f>
        <v>92</v>
      </c>
      <c r="F3033" s="0" t="n">
        <f aca="false">IF(C3033&gt;1,IF(C3033&lt;99,VLOOKUP(C3033,'Babblefish-APUMA'!$A$1:$B$86,2),C3033),C3033)</f>
        <v>88</v>
      </c>
    </row>
    <row r="3034" customFormat="false" ht="12.75" hidden="false" customHeight="false" outlineLevel="0" collapsed="false">
      <c r="A3034" s="0" t="n">
        <f aca="false">B3034*1000+C3034</f>
        <v>47042</v>
      </c>
      <c r="B3034" s="0" t="n">
        <v>47</v>
      </c>
      <c r="C3034" s="0" t="n">
        <v>42</v>
      </c>
      <c r="D3034" s="0" t="n">
        <v>7189</v>
      </c>
      <c r="E3034" s="0" t="n">
        <f aca="false">VLOOKUP(B3034,'Babblefish-APUMA'!$A$1:$B$86,2)</f>
        <v>92</v>
      </c>
      <c r="F3034" s="0" t="n">
        <f aca="false">IF(C3034&gt;1,IF(C3034&lt;99,VLOOKUP(C3034,'Babblefish-APUMA'!$A$1:$B$86,2),C3034),C3034)</f>
        <v>92</v>
      </c>
    </row>
    <row r="3035" customFormat="false" ht="12.75" hidden="false" customHeight="false" outlineLevel="0" collapsed="false">
      <c r="A3035" s="0" t="n">
        <f aca="false">B3035*1000+C3035</f>
        <v>47043</v>
      </c>
      <c r="B3035" s="0" t="n">
        <v>47</v>
      </c>
      <c r="C3035" s="0" t="n">
        <v>43</v>
      </c>
      <c r="D3035" s="0" t="n">
        <v>221</v>
      </c>
      <c r="E3035" s="0" t="n">
        <f aca="false">VLOOKUP(B3035,'Babblefish-APUMA'!$A$1:$B$86,2)</f>
        <v>92</v>
      </c>
      <c r="F3035" s="0" t="n">
        <f aca="false">IF(C3035&gt;1,IF(C3035&lt;99,VLOOKUP(C3035,'Babblefish-APUMA'!$A$1:$B$86,2),C3035),C3035)</f>
        <v>92</v>
      </c>
    </row>
    <row r="3036" customFormat="false" ht="12.75" hidden="false" customHeight="false" outlineLevel="0" collapsed="false">
      <c r="A3036" s="0" t="n">
        <f aca="false">B3036*1000+C3036</f>
        <v>47044</v>
      </c>
      <c r="B3036" s="0" t="n">
        <v>47</v>
      </c>
      <c r="C3036" s="0" t="n">
        <v>44</v>
      </c>
      <c r="D3036" s="0" t="n">
        <v>767</v>
      </c>
      <c r="E3036" s="0" t="n">
        <f aca="false">VLOOKUP(B3036,'Babblefish-APUMA'!$A$1:$B$86,2)</f>
        <v>92</v>
      </c>
      <c r="F3036" s="0" t="n">
        <f aca="false">IF(C3036&gt;1,IF(C3036&lt;99,VLOOKUP(C3036,'Babblefish-APUMA'!$A$1:$B$86,2),C3036),C3036)</f>
        <v>92</v>
      </c>
    </row>
    <row r="3037" customFormat="false" ht="12.75" hidden="false" customHeight="false" outlineLevel="0" collapsed="false">
      <c r="A3037" s="0" t="n">
        <f aca="false">B3037*1000+C3037</f>
        <v>47045</v>
      </c>
      <c r="B3037" s="0" t="n">
        <v>47</v>
      </c>
      <c r="C3037" s="0" t="n">
        <v>45</v>
      </c>
      <c r="D3037" s="0" t="n">
        <v>494</v>
      </c>
      <c r="E3037" s="0" t="n">
        <f aca="false">VLOOKUP(B3037,'Babblefish-APUMA'!$A$1:$B$86,2)</f>
        <v>92</v>
      </c>
      <c r="F3037" s="0" t="n">
        <f aca="false">IF(C3037&gt;1,IF(C3037&lt;99,VLOOKUP(C3037,'Babblefish-APUMA'!$A$1:$B$86,2),C3037),C3037)</f>
        <v>92</v>
      </c>
    </row>
    <row r="3038" customFormat="false" ht="12.75" hidden="false" customHeight="false" outlineLevel="0" collapsed="false">
      <c r="A3038" s="0" t="n">
        <f aca="false">B3038*1000+C3038</f>
        <v>47046</v>
      </c>
      <c r="B3038" s="0" t="n">
        <v>47</v>
      </c>
      <c r="C3038" s="0" t="n">
        <v>46</v>
      </c>
      <c r="D3038" s="0" t="n">
        <v>3978</v>
      </c>
      <c r="E3038" s="0" t="n">
        <f aca="false">VLOOKUP(B3038,'Babblefish-APUMA'!$A$1:$B$86,2)</f>
        <v>92</v>
      </c>
      <c r="F3038" s="0" t="n">
        <f aca="false">IF(C3038&gt;1,IF(C3038&lt;99,VLOOKUP(C3038,'Babblefish-APUMA'!$A$1:$B$86,2),C3038),C3038)</f>
        <v>92</v>
      </c>
    </row>
    <row r="3039" customFormat="false" ht="12.75" hidden="false" customHeight="false" outlineLevel="0" collapsed="false">
      <c r="A3039" s="0" t="n">
        <f aca="false">B3039*1000+C3039</f>
        <v>47047</v>
      </c>
      <c r="B3039" s="0" t="n">
        <v>47</v>
      </c>
      <c r="C3039" s="0" t="n">
        <v>47</v>
      </c>
      <c r="D3039" s="0" t="n">
        <v>14885</v>
      </c>
      <c r="E3039" s="0" t="n">
        <f aca="false">VLOOKUP(B3039,'Babblefish-APUMA'!$A$1:$B$86,2)</f>
        <v>92</v>
      </c>
      <c r="F3039" s="0" t="n">
        <f aca="false">IF(C3039&gt;1,IF(C3039&lt;99,VLOOKUP(C3039,'Babblefish-APUMA'!$A$1:$B$86,2),C3039),C3039)</f>
        <v>92</v>
      </c>
    </row>
    <row r="3040" customFormat="false" ht="12.75" hidden="false" customHeight="false" outlineLevel="0" collapsed="false">
      <c r="A3040" s="0" t="n">
        <f aca="false">B3040*1000+C3040</f>
        <v>47048</v>
      </c>
      <c r="B3040" s="0" t="n">
        <v>47</v>
      </c>
      <c r="C3040" s="0" t="n">
        <v>48</v>
      </c>
      <c r="D3040" s="0" t="n">
        <v>24388</v>
      </c>
      <c r="E3040" s="0" t="n">
        <f aca="false">VLOOKUP(B3040,'Babblefish-APUMA'!$A$1:$B$86,2)</f>
        <v>92</v>
      </c>
      <c r="F3040" s="0" t="n">
        <f aca="false">IF(C3040&gt;1,IF(C3040&lt;99,VLOOKUP(C3040,'Babblefish-APUMA'!$A$1:$B$86,2),C3040),C3040)</f>
        <v>92</v>
      </c>
    </row>
    <row r="3041" customFormat="false" ht="12.75" hidden="false" customHeight="false" outlineLevel="0" collapsed="false">
      <c r="A3041" s="0" t="n">
        <f aca="false">B3041*1000+C3041</f>
        <v>47049</v>
      </c>
      <c r="B3041" s="0" t="n">
        <v>47</v>
      </c>
      <c r="C3041" s="0" t="n">
        <v>49</v>
      </c>
      <c r="D3041" s="0" t="n">
        <v>0</v>
      </c>
      <c r="E3041" s="0" t="n">
        <f aca="false">VLOOKUP(B3041,'Babblefish-APUMA'!$A$1:$B$86,2)</f>
        <v>92</v>
      </c>
      <c r="F3041" s="0" t="n">
        <f aca="false">IF(C3041&gt;1,IF(C3041&lt;99,VLOOKUP(C3041,'Babblefish-APUMA'!$A$1:$B$86,2),C3041),C3041)</f>
        <v>98</v>
      </c>
    </row>
    <row r="3042" customFormat="false" ht="12.75" hidden="false" customHeight="false" outlineLevel="0" collapsed="false">
      <c r="A3042" s="0" t="n">
        <f aca="false">B3042*1000+C3042</f>
        <v>47050</v>
      </c>
      <c r="B3042" s="0" t="n">
        <v>47</v>
      </c>
      <c r="C3042" s="0" t="n">
        <v>50</v>
      </c>
      <c r="D3042" s="0" t="n">
        <v>0</v>
      </c>
      <c r="E3042" s="0" t="n">
        <f aca="false">VLOOKUP(B3042,'Babblefish-APUMA'!$A$1:$B$86,2)</f>
        <v>92</v>
      </c>
      <c r="F3042" s="0" t="n">
        <f aca="false">IF(C3042&gt;1,IF(C3042&lt;99,VLOOKUP(C3042,'Babblefish-APUMA'!$A$1:$B$86,2),C3042),C3042)</f>
        <v>98</v>
      </c>
    </row>
    <row r="3043" customFormat="false" ht="12.75" hidden="false" customHeight="false" outlineLevel="0" collapsed="false">
      <c r="A3043" s="0" t="n">
        <f aca="false">B3043*1000+C3043</f>
        <v>47051</v>
      </c>
      <c r="B3043" s="0" t="n">
        <v>47</v>
      </c>
      <c r="C3043" s="0" t="n">
        <v>51</v>
      </c>
      <c r="D3043" s="0" t="n">
        <v>0</v>
      </c>
      <c r="E3043" s="0" t="n">
        <f aca="false">VLOOKUP(B3043,'Babblefish-APUMA'!$A$1:$B$86,2)</f>
        <v>92</v>
      </c>
      <c r="F3043" s="0" t="n">
        <f aca="false">IF(C3043&gt;1,IF(C3043&lt;99,VLOOKUP(C3043,'Babblefish-APUMA'!$A$1:$B$86,2),C3043),C3043)</f>
        <v>98</v>
      </c>
    </row>
    <row r="3044" customFormat="false" ht="12.75" hidden="false" customHeight="false" outlineLevel="0" collapsed="false">
      <c r="A3044" s="0" t="n">
        <f aca="false">B3044*1000+C3044</f>
        <v>47052</v>
      </c>
      <c r="B3044" s="0" t="n">
        <v>47</v>
      </c>
      <c r="C3044" s="0" t="n">
        <v>52</v>
      </c>
      <c r="D3044" s="0" t="n">
        <v>0</v>
      </c>
      <c r="E3044" s="0" t="n">
        <f aca="false">VLOOKUP(B3044,'Babblefish-APUMA'!$A$1:$B$86,2)</f>
        <v>92</v>
      </c>
      <c r="F3044" s="0" t="n">
        <f aca="false">IF(C3044&gt;1,IF(C3044&lt;99,VLOOKUP(C3044,'Babblefish-APUMA'!$A$1:$B$86,2),C3044),C3044)</f>
        <v>90</v>
      </c>
    </row>
    <row r="3045" customFormat="false" ht="12.75" hidden="false" customHeight="false" outlineLevel="0" collapsed="false">
      <c r="A3045" s="0" t="n">
        <f aca="false">B3045*1000+C3045</f>
        <v>47053</v>
      </c>
      <c r="B3045" s="0" t="n">
        <v>47</v>
      </c>
      <c r="C3045" s="0" t="n">
        <v>53</v>
      </c>
      <c r="D3045" s="0" t="n">
        <v>182</v>
      </c>
      <c r="E3045" s="0" t="n">
        <f aca="false">VLOOKUP(B3045,'Babblefish-APUMA'!$A$1:$B$86,2)</f>
        <v>92</v>
      </c>
      <c r="F3045" s="0" t="n">
        <f aca="false">IF(C3045&gt;1,IF(C3045&lt;99,VLOOKUP(C3045,'Babblefish-APUMA'!$A$1:$B$86,2),C3045),C3045)</f>
        <v>90</v>
      </c>
    </row>
    <row r="3046" customFormat="false" ht="12.75" hidden="false" customHeight="false" outlineLevel="0" collapsed="false">
      <c r="A3046" s="0" t="n">
        <f aca="false">B3046*1000+C3046</f>
        <v>47054</v>
      </c>
      <c r="B3046" s="0" t="n">
        <v>47</v>
      </c>
      <c r="C3046" s="0" t="n">
        <v>54</v>
      </c>
      <c r="D3046" s="0" t="n">
        <v>91</v>
      </c>
      <c r="E3046" s="0" t="n">
        <f aca="false">VLOOKUP(B3046,'Babblefish-APUMA'!$A$1:$B$86,2)</f>
        <v>92</v>
      </c>
      <c r="F3046" s="0" t="n">
        <f aca="false">IF(C3046&gt;1,IF(C3046&lt;99,VLOOKUP(C3046,'Babblefish-APUMA'!$A$1:$B$86,2),C3046),C3046)</f>
        <v>90</v>
      </c>
    </row>
    <row r="3047" customFormat="false" ht="12.75" hidden="false" customHeight="false" outlineLevel="0" collapsed="false">
      <c r="A3047" s="0" t="n">
        <f aca="false">B3047*1000+C3047</f>
        <v>47055</v>
      </c>
      <c r="B3047" s="0" t="n">
        <v>47</v>
      </c>
      <c r="C3047" s="0" t="n">
        <v>55</v>
      </c>
      <c r="D3047" s="0" t="n">
        <v>0</v>
      </c>
      <c r="E3047" s="0" t="n">
        <f aca="false">VLOOKUP(B3047,'Babblefish-APUMA'!$A$1:$B$86,2)</f>
        <v>92</v>
      </c>
      <c r="F3047" s="0" t="n">
        <f aca="false">IF(C3047&gt;1,IF(C3047&lt;99,VLOOKUP(C3047,'Babblefish-APUMA'!$A$1:$B$86,2),C3047),C3047)</f>
        <v>90</v>
      </c>
    </row>
    <row r="3048" customFormat="false" ht="12.75" hidden="false" customHeight="false" outlineLevel="0" collapsed="false">
      <c r="A3048" s="0" t="n">
        <f aca="false">B3048*1000+C3048</f>
        <v>47056</v>
      </c>
      <c r="B3048" s="0" t="n">
        <v>47</v>
      </c>
      <c r="C3048" s="0" t="n">
        <v>56</v>
      </c>
      <c r="D3048" s="0" t="n">
        <v>0</v>
      </c>
      <c r="E3048" s="0" t="n">
        <f aca="false">VLOOKUP(B3048,'Babblefish-APUMA'!$A$1:$B$86,2)</f>
        <v>92</v>
      </c>
      <c r="F3048" s="0" t="n">
        <f aca="false">IF(C3048&gt;1,IF(C3048&lt;99,VLOOKUP(C3048,'Babblefish-APUMA'!$A$1:$B$86,2),C3048),C3048)</f>
        <v>90</v>
      </c>
    </row>
    <row r="3049" customFormat="false" ht="12.75" hidden="false" customHeight="false" outlineLevel="0" collapsed="false">
      <c r="A3049" s="0" t="n">
        <f aca="false">B3049*1000+C3049</f>
        <v>47057</v>
      </c>
      <c r="B3049" s="0" t="n">
        <v>47</v>
      </c>
      <c r="C3049" s="0" t="n">
        <v>57</v>
      </c>
      <c r="D3049" s="0" t="n">
        <v>91</v>
      </c>
      <c r="E3049" s="0" t="n">
        <f aca="false">VLOOKUP(B3049,'Babblefish-APUMA'!$A$1:$B$86,2)</f>
        <v>92</v>
      </c>
      <c r="F3049" s="0" t="n">
        <f aca="false">IF(C3049&gt;1,IF(C3049&lt;99,VLOOKUP(C3049,'Babblefish-APUMA'!$A$1:$B$86,2),C3049),C3049)</f>
        <v>90</v>
      </c>
    </row>
    <row r="3050" customFormat="false" ht="12.75" hidden="false" customHeight="false" outlineLevel="0" collapsed="false">
      <c r="A3050" s="0" t="n">
        <f aca="false">B3050*1000+C3050</f>
        <v>47058</v>
      </c>
      <c r="B3050" s="0" t="n">
        <v>47</v>
      </c>
      <c r="C3050" s="0" t="n">
        <v>58</v>
      </c>
      <c r="D3050" s="0" t="n">
        <v>0</v>
      </c>
      <c r="E3050" s="0" t="n">
        <f aca="false">VLOOKUP(B3050,'Babblefish-APUMA'!$A$1:$B$86,2)</f>
        <v>92</v>
      </c>
      <c r="F3050" s="0" t="n">
        <f aca="false">IF(C3050&gt;1,IF(C3050&lt;99,VLOOKUP(C3050,'Babblefish-APUMA'!$A$1:$B$86,2),C3050),C3050)</f>
        <v>90</v>
      </c>
    </row>
    <row r="3051" customFormat="false" ht="12.75" hidden="false" customHeight="false" outlineLevel="0" collapsed="false">
      <c r="A3051" s="0" t="n">
        <f aca="false">B3051*1000+C3051</f>
        <v>47059</v>
      </c>
      <c r="B3051" s="0" t="n">
        <v>47</v>
      </c>
      <c r="C3051" s="0" t="n">
        <v>59</v>
      </c>
      <c r="D3051" s="0" t="n">
        <v>91</v>
      </c>
      <c r="E3051" s="0" t="n">
        <f aca="false">VLOOKUP(B3051,'Babblefish-APUMA'!$A$1:$B$86,2)</f>
        <v>92</v>
      </c>
      <c r="F3051" s="0" t="n">
        <f aca="false">IF(C3051&gt;1,IF(C3051&lt;99,VLOOKUP(C3051,'Babblefish-APUMA'!$A$1:$B$86,2),C3051),C3051)</f>
        <v>90</v>
      </c>
    </row>
    <row r="3052" customFormat="false" ht="12.75" hidden="false" customHeight="false" outlineLevel="0" collapsed="false">
      <c r="A3052" s="0" t="n">
        <f aca="false">B3052*1000+C3052</f>
        <v>47060</v>
      </c>
      <c r="B3052" s="0" t="n">
        <v>47</v>
      </c>
      <c r="C3052" s="0" t="n">
        <v>60</v>
      </c>
      <c r="D3052" s="0" t="n">
        <v>403</v>
      </c>
      <c r="E3052" s="0" t="n">
        <f aca="false">VLOOKUP(B3052,'Babblefish-APUMA'!$A$1:$B$86,2)</f>
        <v>92</v>
      </c>
      <c r="F3052" s="0" t="n">
        <f aca="false">IF(C3052&gt;1,IF(C3052&lt;99,VLOOKUP(C3052,'Babblefish-APUMA'!$A$1:$B$86,2),C3052),C3052)</f>
        <v>90</v>
      </c>
    </row>
    <row r="3053" customFormat="false" ht="12.75" hidden="false" customHeight="false" outlineLevel="0" collapsed="false">
      <c r="A3053" s="0" t="n">
        <f aca="false">B3053*1000+C3053</f>
        <v>47061</v>
      </c>
      <c r="B3053" s="0" t="n">
        <v>47</v>
      </c>
      <c r="C3053" s="0" t="n">
        <v>61</v>
      </c>
      <c r="D3053" s="0" t="n">
        <v>143</v>
      </c>
      <c r="E3053" s="0" t="n">
        <f aca="false">VLOOKUP(B3053,'Babblefish-APUMA'!$A$1:$B$86,2)</f>
        <v>92</v>
      </c>
      <c r="F3053" s="0" t="n">
        <f aca="false">IF(C3053&gt;1,IF(C3053&lt;99,VLOOKUP(C3053,'Babblefish-APUMA'!$A$1:$B$86,2),C3053),C3053)</f>
        <v>90</v>
      </c>
    </row>
    <row r="3054" customFormat="false" ht="12.75" hidden="false" customHeight="false" outlineLevel="0" collapsed="false">
      <c r="A3054" s="0" t="n">
        <f aca="false">B3054*1000+C3054</f>
        <v>47062</v>
      </c>
      <c r="B3054" s="0" t="n">
        <v>47</v>
      </c>
      <c r="C3054" s="0" t="n">
        <v>62</v>
      </c>
      <c r="D3054" s="0" t="n">
        <v>117</v>
      </c>
      <c r="E3054" s="0" t="n">
        <f aca="false">VLOOKUP(B3054,'Babblefish-APUMA'!$A$1:$B$86,2)</f>
        <v>92</v>
      </c>
      <c r="F3054" s="0" t="n">
        <f aca="false">IF(C3054&gt;1,IF(C3054&lt;99,VLOOKUP(C3054,'Babblefish-APUMA'!$A$1:$B$86,2),C3054),C3054)</f>
        <v>90</v>
      </c>
    </row>
    <row r="3055" customFormat="false" ht="12.75" hidden="false" customHeight="false" outlineLevel="0" collapsed="false">
      <c r="A3055" s="0" t="n">
        <f aca="false">B3055*1000+C3055</f>
        <v>47063</v>
      </c>
      <c r="B3055" s="0" t="n">
        <v>47</v>
      </c>
      <c r="C3055" s="0" t="n">
        <v>63</v>
      </c>
      <c r="D3055" s="0" t="n">
        <v>104</v>
      </c>
      <c r="E3055" s="0" t="n">
        <f aca="false">VLOOKUP(B3055,'Babblefish-APUMA'!$A$1:$B$86,2)</f>
        <v>92</v>
      </c>
      <c r="F3055" s="0" t="n">
        <f aca="false">IF(C3055&gt;1,IF(C3055&lt;99,VLOOKUP(C3055,'Babblefish-APUMA'!$A$1:$B$86,2),C3055),C3055)</f>
        <v>90</v>
      </c>
    </row>
    <row r="3056" customFormat="false" ht="12.75" hidden="false" customHeight="false" outlineLevel="0" collapsed="false">
      <c r="A3056" s="0" t="n">
        <f aca="false">B3056*1000+C3056</f>
        <v>47064</v>
      </c>
      <c r="B3056" s="0" t="n">
        <v>47</v>
      </c>
      <c r="C3056" s="0" t="n">
        <v>64</v>
      </c>
      <c r="D3056" s="0" t="n">
        <v>4667</v>
      </c>
      <c r="E3056" s="0" t="n">
        <f aca="false">VLOOKUP(B3056,'Babblefish-APUMA'!$A$1:$B$86,2)</f>
        <v>92</v>
      </c>
      <c r="F3056" s="0" t="n">
        <f aca="false">IF(C3056&gt;1,IF(C3056&lt;99,VLOOKUP(C3056,'Babblefish-APUMA'!$A$1:$B$86,2),C3056),C3056)</f>
        <v>90</v>
      </c>
    </row>
    <row r="3057" customFormat="false" ht="12.75" hidden="false" customHeight="false" outlineLevel="0" collapsed="false">
      <c r="A3057" s="0" t="n">
        <f aca="false">B3057*1000+C3057</f>
        <v>47065</v>
      </c>
      <c r="B3057" s="0" t="n">
        <v>47</v>
      </c>
      <c r="C3057" s="0" t="n">
        <v>65</v>
      </c>
      <c r="D3057" s="0" t="n">
        <v>2964</v>
      </c>
      <c r="E3057" s="0" t="n">
        <f aca="false">VLOOKUP(B3057,'Babblefish-APUMA'!$A$1:$B$86,2)</f>
        <v>92</v>
      </c>
      <c r="F3057" s="0" t="n">
        <f aca="false">IF(C3057&gt;1,IF(C3057&lt;99,VLOOKUP(C3057,'Babblefish-APUMA'!$A$1:$B$86,2),C3057),C3057)</f>
        <v>90</v>
      </c>
    </row>
    <row r="3058" customFormat="false" ht="12.75" hidden="false" customHeight="false" outlineLevel="0" collapsed="false">
      <c r="A3058" s="0" t="n">
        <f aca="false">B3058*1000+C3058</f>
        <v>47066</v>
      </c>
      <c r="B3058" s="0" t="n">
        <v>47</v>
      </c>
      <c r="C3058" s="0" t="n">
        <v>66</v>
      </c>
      <c r="D3058" s="0" t="n">
        <v>3809</v>
      </c>
      <c r="E3058" s="0" t="n">
        <f aca="false">VLOOKUP(B3058,'Babblefish-APUMA'!$A$1:$B$86,2)</f>
        <v>92</v>
      </c>
      <c r="F3058" s="0" t="n">
        <f aca="false">IF(C3058&gt;1,IF(C3058&lt;99,VLOOKUP(C3058,'Babblefish-APUMA'!$A$1:$B$86,2),C3058),C3058)</f>
        <v>90</v>
      </c>
    </row>
    <row r="3059" customFormat="false" ht="12.75" hidden="false" customHeight="false" outlineLevel="0" collapsed="false">
      <c r="A3059" s="0" t="n">
        <f aca="false">B3059*1000+C3059</f>
        <v>47067</v>
      </c>
      <c r="B3059" s="0" t="n">
        <v>47</v>
      </c>
      <c r="C3059" s="0" t="n">
        <v>67</v>
      </c>
      <c r="D3059" s="0" t="n">
        <v>0</v>
      </c>
      <c r="E3059" s="0" t="n">
        <f aca="false">VLOOKUP(B3059,'Babblefish-APUMA'!$A$1:$B$86,2)</f>
        <v>92</v>
      </c>
      <c r="F3059" s="0" t="n">
        <f aca="false">IF(C3059&gt;1,IF(C3059&lt;99,VLOOKUP(C3059,'Babblefish-APUMA'!$A$1:$B$86,2),C3059),C3059)</f>
        <v>103</v>
      </c>
    </row>
    <row r="3060" customFormat="false" ht="12.75" hidden="false" customHeight="false" outlineLevel="0" collapsed="false">
      <c r="A3060" s="0" t="n">
        <f aca="false">B3060*1000+C3060</f>
        <v>47068</v>
      </c>
      <c r="B3060" s="0" t="n">
        <v>47</v>
      </c>
      <c r="C3060" s="0" t="n">
        <v>68</v>
      </c>
      <c r="D3060" s="0" t="n">
        <v>0</v>
      </c>
      <c r="E3060" s="0" t="n">
        <f aca="false">VLOOKUP(B3060,'Babblefish-APUMA'!$A$1:$B$86,2)</f>
        <v>92</v>
      </c>
      <c r="F3060" s="0" t="n">
        <f aca="false">IF(C3060&gt;1,IF(C3060&lt;99,VLOOKUP(C3060,'Babblefish-APUMA'!$A$1:$B$86,2),C3060),C3060)</f>
        <v>93</v>
      </c>
    </row>
    <row r="3061" customFormat="false" ht="12.75" hidden="false" customHeight="false" outlineLevel="0" collapsed="false">
      <c r="A3061" s="0" t="n">
        <f aca="false">B3061*1000+C3061</f>
        <v>47069</v>
      </c>
      <c r="B3061" s="0" t="n">
        <v>47</v>
      </c>
      <c r="C3061" s="0" t="n">
        <v>69</v>
      </c>
      <c r="D3061" s="0" t="n">
        <v>182</v>
      </c>
      <c r="E3061" s="0" t="n">
        <f aca="false">VLOOKUP(B3061,'Babblefish-APUMA'!$A$1:$B$86,2)</f>
        <v>92</v>
      </c>
      <c r="F3061" s="0" t="n">
        <f aca="false">IF(C3061&gt;1,IF(C3061&lt;99,VLOOKUP(C3061,'Babblefish-APUMA'!$A$1:$B$86,2),C3061),C3061)</f>
        <v>93</v>
      </c>
    </row>
    <row r="3062" customFormat="false" ht="12.75" hidden="false" customHeight="false" outlineLevel="0" collapsed="false">
      <c r="A3062" s="0" t="n">
        <f aca="false">B3062*1000+C3062</f>
        <v>47070</v>
      </c>
      <c r="B3062" s="0" t="n">
        <v>47</v>
      </c>
      <c r="C3062" s="0" t="n">
        <v>70</v>
      </c>
      <c r="D3062" s="0" t="n">
        <v>156</v>
      </c>
      <c r="E3062" s="0" t="n">
        <f aca="false">VLOOKUP(B3062,'Babblefish-APUMA'!$A$1:$B$86,2)</f>
        <v>92</v>
      </c>
      <c r="F3062" s="0" t="n">
        <f aca="false">IF(C3062&gt;1,IF(C3062&lt;99,VLOOKUP(C3062,'Babblefish-APUMA'!$A$1:$B$86,2),C3062),C3062)</f>
        <v>95</v>
      </c>
    </row>
    <row r="3063" customFormat="false" ht="12.75" hidden="false" customHeight="false" outlineLevel="0" collapsed="false">
      <c r="A3063" s="0" t="n">
        <f aca="false">B3063*1000+C3063</f>
        <v>47071</v>
      </c>
      <c r="B3063" s="0" t="n">
        <v>47</v>
      </c>
      <c r="C3063" s="0" t="n">
        <v>71</v>
      </c>
      <c r="D3063" s="0" t="n">
        <v>91</v>
      </c>
      <c r="E3063" s="0" t="n">
        <f aca="false">VLOOKUP(B3063,'Babblefish-APUMA'!$A$1:$B$86,2)</f>
        <v>92</v>
      </c>
      <c r="F3063" s="0" t="n">
        <f aca="false">IF(C3063&gt;1,IF(C3063&lt;99,VLOOKUP(C3063,'Babblefish-APUMA'!$A$1:$B$86,2),C3063),C3063)</f>
        <v>95</v>
      </c>
    </row>
    <row r="3064" customFormat="false" ht="12.75" hidden="false" customHeight="false" outlineLevel="0" collapsed="false">
      <c r="A3064" s="0" t="n">
        <f aca="false">B3064*1000+C3064</f>
        <v>47072</v>
      </c>
      <c r="B3064" s="0" t="n">
        <v>47</v>
      </c>
      <c r="C3064" s="0" t="n">
        <v>72</v>
      </c>
      <c r="D3064" s="0" t="n">
        <v>806</v>
      </c>
      <c r="E3064" s="0" t="n">
        <f aca="false">VLOOKUP(B3064,'Babblefish-APUMA'!$A$1:$B$86,2)</f>
        <v>92</v>
      </c>
      <c r="F3064" s="0" t="n">
        <f aca="false">IF(C3064&gt;1,IF(C3064&lt;99,VLOOKUP(C3064,'Babblefish-APUMA'!$A$1:$B$86,2),C3064),C3064)</f>
        <v>95</v>
      </c>
    </row>
    <row r="3065" customFormat="false" ht="12.75" hidden="false" customHeight="false" outlineLevel="0" collapsed="false">
      <c r="A3065" s="0" t="n">
        <f aca="false">B3065*1000+C3065</f>
        <v>47073</v>
      </c>
      <c r="B3065" s="0" t="n">
        <v>47</v>
      </c>
      <c r="C3065" s="0" t="n">
        <v>73</v>
      </c>
      <c r="D3065" s="0" t="n">
        <v>0</v>
      </c>
      <c r="E3065" s="0" t="n">
        <f aca="false">VLOOKUP(B3065,'Babblefish-APUMA'!$A$1:$B$86,2)</f>
        <v>92</v>
      </c>
      <c r="F3065" s="0" t="n">
        <f aca="false">IF(C3065&gt;1,IF(C3065&lt;99,VLOOKUP(C3065,'Babblefish-APUMA'!$A$1:$B$86,2),C3065),C3065)</f>
        <v>99</v>
      </c>
    </row>
    <row r="3066" customFormat="false" ht="12.75" hidden="false" customHeight="false" outlineLevel="0" collapsed="false">
      <c r="A3066" s="0" t="n">
        <f aca="false">B3066*1000+C3066</f>
        <v>47075</v>
      </c>
      <c r="B3066" s="0" t="n">
        <v>47</v>
      </c>
      <c r="C3066" s="0" t="n">
        <v>75</v>
      </c>
      <c r="D3066" s="0" t="n">
        <v>0</v>
      </c>
      <c r="E3066" s="0" t="n">
        <f aca="false">VLOOKUP(B3066,'Babblefish-APUMA'!$A$1:$B$86,2)</f>
        <v>92</v>
      </c>
      <c r="F3066" s="0" t="n">
        <f aca="false">IF(C3066&gt;1,IF(C3066&lt;99,VLOOKUP(C3066,'Babblefish-APUMA'!$A$1:$B$86,2),C3066),C3066)</f>
        <v>75</v>
      </c>
    </row>
    <row r="3067" customFormat="false" ht="12.75" hidden="false" customHeight="false" outlineLevel="0" collapsed="false">
      <c r="A3067" s="0" t="n">
        <f aca="false">B3067*1000+C3067</f>
        <v>47076</v>
      </c>
      <c r="B3067" s="0" t="n">
        <v>47</v>
      </c>
      <c r="C3067" s="0" t="n">
        <v>76</v>
      </c>
      <c r="D3067" s="0" t="n">
        <v>0</v>
      </c>
      <c r="E3067" s="0" t="n">
        <f aca="false">VLOOKUP(B3067,'Babblefish-APUMA'!$A$1:$B$86,2)</f>
        <v>92</v>
      </c>
      <c r="F3067" s="0" t="n">
        <f aca="false">IF(C3067&gt;1,IF(C3067&lt;99,VLOOKUP(C3067,'Babblefish-APUMA'!$A$1:$B$86,2),C3067),C3067)</f>
        <v>76</v>
      </c>
    </row>
    <row r="3068" customFormat="false" ht="12.75" hidden="false" customHeight="false" outlineLevel="0" collapsed="false">
      <c r="A3068" s="0" t="n">
        <f aca="false">B3068*1000+C3068</f>
        <v>47077</v>
      </c>
      <c r="B3068" s="0" t="n">
        <v>47</v>
      </c>
      <c r="C3068" s="0" t="n">
        <v>77</v>
      </c>
      <c r="D3068" s="0" t="n">
        <v>0</v>
      </c>
      <c r="E3068" s="0" t="n">
        <f aca="false">VLOOKUP(B3068,'Babblefish-APUMA'!$A$1:$B$86,2)</f>
        <v>92</v>
      </c>
      <c r="F3068" s="0" t="n">
        <f aca="false">IF(C3068&gt;1,IF(C3068&lt;99,VLOOKUP(C3068,'Babblefish-APUMA'!$A$1:$B$86,2),C3068),C3068)</f>
        <v>77</v>
      </c>
    </row>
    <row r="3069" customFormat="false" ht="12.75" hidden="false" customHeight="false" outlineLevel="0" collapsed="false">
      <c r="A3069" s="0" t="n">
        <f aca="false">B3069*1000+C3069</f>
        <v>47079</v>
      </c>
      <c r="B3069" s="0" t="n">
        <v>47</v>
      </c>
      <c r="C3069" s="0" t="n">
        <v>79</v>
      </c>
      <c r="D3069" s="0" t="n">
        <v>0</v>
      </c>
      <c r="E3069" s="0" t="n">
        <f aca="false">VLOOKUP(B3069,'Babblefish-APUMA'!$A$1:$B$86,2)</f>
        <v>92</v>
      </c>
      <c r="F3069" s="0" t="n">
        <f aca="false">IF(C3069&gt;1,IF(C3069&lt;99,VLOOKUP(C3069,'Babblefish-APUMA'!$A$1:$B$86,2),C3069),C3069)</f>
        <v>89</v>
      </c>
    </row>
    <row r="3070" customFormat="false" ht="12.75" hidden="false" customHeight="false" outlineLevel="0" collapsed="false">
      <c r="A3070" s="0" t="n">
        <f aca="false">B3070*1000+C3070</f>
        <v>47080</v>
      </c>
      <c r="B3070" s="0" t="n">
        <v>47</v>
      </c>
      <c r="C3070" s="0" t="n">
        <v>80</v>
      </c>
      <c r="D3070" s="0" t="n">
        <v>0</v>
      </c>
      <c r="E3070" s="0" t="n">
        <f aca="false">VLOOKUP(B3070,'Babblefish-APUMA'!$A$1:$B$86,2)</f>
        <v>92</v>
      </c>
      <c r="F3070" s="0" t="n">
        <f aca="false">IF(C3070&gt;1,IF(C3070&lt;99,VLOOKUP(C3070,'Babblefish-APUMA'!$A$1:$B$86,2),C3070),C3070)</f>
        <v>80</v>
      </c>
    </row>
    <row r="3071" customFormat="false" ht="12.75" hidden="false" customHeight="false" outlineLevel="0" collapsed="false">
      <c r="A3071" s="0" t="n">
        <f aca="false">B3071*1000+C3071</f>
        <v>47081</v>
      </c>
      <c r="B3071" s="0" t="n">
        <v>47</v>
      </c>
      <c r="C3071" s="0" t="n">
        <v>81</v>
      </c>
      <c r="D3071" s="0" t="n">
        <v>0</v>
      </c>
      <c r="E3071" s="0" t="n">
        <f aca="false">VLOOKUP(B3071,'Babblefish-APUMA'!$A$1:$B$86,2)</f>
        <v>92</v>
      </c>
      <c r="F3071" s="0" t="n">
        <f aca="false">IF(C3071&gt;1,IF(C3071&lt;99,VLOOKUP(C3071,'Babblefish-APUMA'!$A$1:$B$86,2),C3071),C3071)</f>
        <v>93</v>
      </c>
    </row>
    <row r="3072" customFormat="false" ht="12.75" hidden="false" customHeight="false" outlineLevel="0" collapsed="false">
      <c r="A3072" s="0" t="n">
        <f aca="false">B3072*1000+C3072</f>
        <v>47082</v>
      </c>
      <c r="B3072" s="0" t="n">
        <v>47</v>
      </c>
      <c r="C3072" s="0" t="n">
        <v>82</v>
      </c>
      <c r="D3072" s="0" t="n">
        <v>0</v>
      </c>
      <c r="E3072" s="0" t="n">
        <f aca="false">VLOOKUP(B3072,'Babblefish-APUMA'!$A$1:$B$86,2)</f>
        <v>92</v>
      </c>
      <c r="F3072" s="0" t="n">
        <f aca="false">IF(C3072&gt;1,IF(C3072&lt;99,VLOOKUP(C3072,'Babblefish-APUMA'!$A$1:$B$86,2),C3072),C3072)</f>
        <v>95</v>
      </c>
    </row>
    <row r="3073" customFormat="false" ht="12.75" hidden="false" customHeight="false" outlineLevel="0" collapsed="false">
      <c r="A3073" s="0" t="n">
        <f aca="false">B3073*1000+C3073</f>
        <v>47083</v>
      </c>
      <c r="B3073" s="0" t="n">
        <v>47</v>
      </c>
      <c r="C3073" s="0" t="n">
        <v>83</v>
      </c>
      <c r="D3073" s="0" t="n">
        <v>0</v>
      </c>
      <c r="E3073" s="0" t="n">
        <f aca="false">VLOOKUP(B3073,'Babblefish-APUMA'!$A$1:$B$86,2)</f>
        <v>92</v>
      </c>
      <c r="F3073" s="0" t="n">
        <f aca="false">IF(C3073&gt;1,IF(C3073&lt;99,VLOOKUP(C3073,'Babblefish-APUMA'!$A$1:$B$86,2),C3073),C3073)</f>
        <v>103</v>
      </c>
    </row>
    <row r="3074" customFormat="false" ht="12.75" hidden="false" customHeight="false" outlineLevel="0" collapsed="false">
      <c r="A3074" s="0" t="n">
        <f aca="false">B3074*1000+C3074</f>
        <v>47084</v>
      </c>
      <c r="B3074" s="0" t="n">
        <v>47</v>
      </c>
      <c r="C3074" s="0" t="n">
        <v>84</v>
      </c>
      <c r="D3074" s="0" t="n">
        <v>6214</v>
      </c>
      <c r="E3074" s="0" t="n">
        <f aca="false">VLOOKUP(B3074,'Babblefish-APUMA'!$A$1:$B$86,2)</f>
        <v>92</v>
      </c>
      <c r="F3074" s="0" t="n">
        <f aca="false">IF(C3074&gt;1,IF(C3074&lt;99,VLOOKUP(C3074,'Babblefish-APUMA'!$A$1:$B$86,2),C3074),C3074)</f>
        <v>92</v>
      </c>
    </row>
    <row r="3075" customFormat="false" ht="12.75" hidden="false" customHeight="false" outlineLevel="0" collapsed="false">
      <c r="A3075" s="0" t="n">
        <f aca="false">B3075*1000+C3075</f>
        <v>47085</v>
      </c>
      <c r="B3075" s="0" t="n">
        <v>47</v>
      </c>
      <c r="C3075" s="0" t="n">
        <v>85</v>
      </c>
      <c r="D3075" s="0" t="n">
        <v>0</v>
      </c>
      <c r="E3075" s="0" t="n">
        <f aca="false">VLOOKUP(B3075,'Babblefish-APUMA'!$A$1:$B$86,2)</f>
        <v>92</v>
      </c>
      <c r="F3075" s="0" t="n">
        <f aca="false">IF(C3075&gt;1,IF(C3075&lt;99,VLOOKUP(C3075,'Babblefish-APUMA'!$A$1:$B$86,2),C3075),C3075)</f>
        <v>97</v>
      </c>
    </row>
    <row r="3076" customFormat="false" ht="12.75" hidden="false" customHeight="false" outlineLevel="0" collapsed="false">
      <c r="A3076" s="0" t="n">
        <f aca="false">B3076*1000+C3076</f>
        <v>47858</v>
      </c>
      <c r="B3076" s="0" t="n">
        <v>47</v>
      </c>
      <c r="C3076" s="0" t="n">
        <v>858</v>
      </c>
      <c r="D3076" s="0" t="n">
        <v>0</v>
      </c>
      <c r="E3076" s="0" t="n">
        <f aca="false">VLOOKUP(B3076,'Babblefish-APUMA'!$A$1:$B$86,2)</f>
        <v>92</v>
      </c>
      <c r="F3076" s="0" t="n">
        <f aca="false">IF(C3076&gt;1,IF(C3076&lt;99,VLOOKUP(C3076,'Babblefish-APUMA'!$A$1:$B$86,2),C3076),C3076)</f>
        <v>858</v>
      </c>
    </row>
    <row r="3077" customFormat="false" ht="12.75" hidden="false" customHeight="false" outlineLevel="0" collapsed="false">
      <c r="A3077" s="0" t="n">
        <f aca="false">B3077*1000+C3077</f>
        <v>47983</v>
      </c>
      <c r="B3077" s="0" t="n">
        <v>47</v>
      </c>
      <c r="C3077" s="0" t="n">
        <v>983</v>
      </c>
      <c r="D3077" s="0" t="n">
        <v>0</v>
      </c>
      <c r="E3077" s="0" t="n">
        <f aca="false">VLOOKUP(B3077,'Babblefish-APUMA'!$A$1:$B$86,2)</f>
        <v>92</v>
      </c>
      <c r="F3077" s="0" t="n">
        <f aca="false">IF(C3077&gt;1,IF(C3077&lt;99,VLOOKUP(C3077,'Babblefish-APUMA'!$A$1:$B$86,2),C3077),C3077)</f>
        <v>983</v>
      </c>
    </row>
    <row r="3078" customFormat="false" ht="12.75" hidden="false" customHeight="false" outlineLevel="0" collapsed="false">
      <c r="A3078" s="0" t="n">
        <f aca="false">B3078*1000+C3078</f>
        <v>47999</v>
      </c>
      <c r="B3078" s="0" t="n">
        <v>47</v>
      </c>
      <c r="C3078" s="0" t="n">
        <v>999</v>
      </c>
      <c r="D3078" s="0" t="n">
        <v>143</v>
      </c>
      <c r="E3078" s="0" t="n">
        <f aca="false">VLOOKUP(B3078,'Babblefish-APUMA'!$A$1:$B$86,2)</f>
        <v>92</v>
      </c>
      <c r="F3078" s="0" t="n">
        <f aca="false">IF(C3078&gt;1,IF(C3078&lt;99,VLOOKUP(C3078,'Babblefish-APUMA'!$A$1:$B$86,2),C3078),C3078)</f>
        <v>999</v>
      </c>
    </row>
    <row r="3079" customFormat="false" ht="12.75" hidden="false" customHeight="false" outlineLevel="0" collapsed="false">
      <c r="A3079" s="0" t="n">
        <f aca="false">B3079*1000+C3079</f>
        <v>48000</v>
      </c>
      <c r="B3079" s="0" t="n">
        <v>48</v>
      </c>
      <c r="C3079" s="0" t="n">
        <v>0</v>
      </c>
      <c r="D3079" s="0" t="n">
        <v>542152</v>
      </c>
      <c r="E3079" s="0" t="n">
        <f aca="false">VLOOKUP(B3079,'Babblefish-APUMA'!$A$1:$B$86,2)</f>
        <v>92</v>
      </c>
      <c r="F3079" s="0" t="n">
        <f aca="false">IF(C3079&gt;1,IF(C3079&lt;99,VLOOKUP(C3079,'Babblefish-APUMA'!$A$1:$B$86,2),C3079),C3079)</f>
        <v>0</v>
      </c>
    </row>
    <row r="3080" customFormat="false" ht="12.75" hidden="false" customHeight="false" outlineLevel="0" collapsed="false">
      <c r="A3080" s="0" t="n">
        <f aca="false">B3080*1000+C3080</f>
        <v>48001</v>
      </c>
      <c r="B3080" s="0" t="n">
        <v>48</v>
      </c>
      <c r="C3080" s="0" t="n">
        <v>1</v>
      </c>
      <c r="D3080" s="0" t="n">
        <v>234</v>
      </c>
      <c r="E3080" s="0" t="n">
        <f aca="false">VLOOKUP(B3080,'Babblefish-APUMA'!$A$1:$B$86,2)</f>
        <v>92</v>
      </c>
      <c r="F3080" s="0" t="n">
        <f aca="false">IF(C3080&gt;1,IF(C3080&lt;99,VLOOKUP(C3080,'Babblefish-APUMA'!$A$1:$B$86,2),C3080),C3080)</f>
        <v>1</v>
      </c>
    </row>
    <row r="3081" customFormat="false" ht="12.75" hidden="false" customHeight="false" outlineLevel="0" collapsed="false">
      <c r="A3081" s="0" t="n">
        <f aca="false">B3081*1000+C3081</f>
        <v>48002</v>
      </c>
      <c r="B3081" s="0" t="n">
        <v>48</v>
      </c>
      <c r="C3081" s="0" t="n">
        <v>2</v>
      </c>
      <c r="D3081" s="0" t="n">
        <v>104</v>
      </c>
      <c r="E3081" s="0" t="n">
        <f aca="false">VLOOKUP(B3081,'Babblefish-APUMA'!$A$1:$B$86,2)</f>
        <v>92</v>
      </c>
      <c r="F3081" s="0" t="n">
        <f aca="false">IF(C3081&gt;1,IF(C3081&lt;99,VLOOKUP(C3081,'Babblefish-APUMA'!$A$1:$B$86,2),C3081),C3081)</f>
        <v>2</v>
      </c>
    </row>
    <row r="3082" customFormat="false" ht="12.75" hidden="false" customHeight="false" outlineLevel="0" collapsed="false">
      <c r="A3082" s="0" t="n">
        <f aca="false">B3082*1000+C3082</f>
        <v>48003</v>
      </c>
      <c r="B3082" s="0" t="n">
        <v>48</v>
      </c>
      <c r="C3082" s="0" t="n">
        <v>3</v>
      </c>
      <c r="D3082" s="0" t="n">
        <v>130</v>
      </c>
      <c r="E3082" s="0" t="n">
        <f aca="false">VLOOKUP(B3082,'Babblefish-APUMA'!$A$1:$B$86,2)</f>
        <v>92</v>
      </c>
      <c r="F3082" s="0" t="n">
        <f aca="false">IF(C3082&gt;1,IF(C3082&lt;99,VLOOKUP(C3082,'Babblefish-APUMA'!$A$1:$B$86,2),C3082),C3082)</f>
        <v>3</v>
      </c>
    </row>
    <row r="3083" customFormat="false" ht="12.75" hidden="false" customHeight="false" outlineLevel="0" collapsed="false">
      <c r="A3083" s="0" t="n">
        <f aca="false">B3083*1000+C3083</f>
        <v>48004</v>
      </c>
      <c r="B3083" s="0" t="n">
        <v>48</v>
      </c>
      <c r="C3083" s="0" t="n">
        <v>4</v>
      </c>
      <c r="D3083" s="0" t="n">
        <v>182</v>
      </c>
      <c r="E3083" s="0" t="n">
        <f aca="false">VLOOKUP(B3083,'Babblefish-APUMA'!$A$1:$B$86,2)</f>
        <v>92</v>
      </c>
      <c r="F3083" s="0" t="n">
        <f aca="false">IF(C3083&gt;1,IF(C3083&lt;99,VLOOKUP(C3083,'Babblefish-APUMA'!$A$1:$B$86,2),C3083),C3083)</f>
        <v>4</v>
      </c>
    </row>
    <row r="3084" customFormat="false" ht="12.75" hidden="false" customHeight="false" outlineLevel="0" collapsed="false">
      <c r="A3084" s="0" t="n">
        <f aca="false">B3084*1000+C3084</f>
        <v>48005</v>
      </c>
      <c r="B3084" s="0" t="n">
        <v>48</v>
      </c>
      <c r="C3084" s="0" t="n">
        <v>5</v>
      </c>
      <c r="D3084" s="0" t="n">
        <v>65</v>
      </c>
      <c r="E3084" s="0" t="n">
        <f aca="false">VLOOKUP(B3084,'Babblefish-APUMA'!$A$1:$B$86,2)</f>
        <v>92</v>
      </c>
      <c r="F3084" s="0" t="n">
        <f aca="false">IF(C3084&gt;1,IF(C3084&lt;99,VLOOKUP(C3084,'Babblefish-APUMA'!$A$1:$B$86,2),C3084),C3084)</f>
        <v>5</v>
      </c>
    </row>
    <row r="3085" customFormat="false" ht="12.75" hidden="false" customHeight="false" outlineLevel="0" collapsed="false">
      <c r="A3085" s="0" t="n">
        <f aca="false">B3085*1000+C3085</f>
        <v>48006</v>
      </c>
      <c r="B3085" s="0" t="n">
        <v>48</v>
      </c>
      <c r="C3085" s="0" t="n">
        <v>6</v>
      </c>
      <c r="D3085" s="0" t="n">
        <v>0</v>
      </c>
      <c r="E3085" s="0" t="n">
        <f aca="false">VLOOKUP(B3085,'Babblefish-APUMA'!$A$1:$B$86,2)</f>
        <v>92</v>
      </c>
      <c r="F3085" s="0" t="n">
        <f aca="false">IF(C3085&gt;1,IF(C3085&lt;99,VLOOKUP(C3085,'Babblefish-APUMA'!$A$1:$B$86,2),C3085),C3085)</f>
        <v>6</v>
      </c>
    </row>
    <row r="3086" customFormat="false" ht="12.75" hidden="false" customHeight="false" outlineLevel="0" collapsed="false">
      <c r="A3086" s="0" t="n">
        <f aca="false">B3086*1000+C3086</f>
        <v>48007</v>
      </c>
      <c r="B3086" s="0" t="n">
        <v>48</v>
      </c>
      <c r="C3086" s="0" t="n">
        <v>7</v>
      </c>
      <c r="D3086" s="0" t="n">
        <v>0</v>
      </c>
      <c r="E3086" s="0" t="n">
        <f aca="false">VLOOKUP(B3086,'Babblefish-APUMA'!$A$1:$B$86,2)</f>
        <v>92</v>
      </c>
      <c r="F3086" s="0" t="n">
        <f aca="false">IF(C3086&gt;1,IF(C3086&lt;99,VLOOKUP(C3086,'Babblefish-APUMA'!$A$1:$B$86,2),C3086),C3086)</f>
        <v>7</v>
      </c>
    </row>
    <row r="3087" customFormat="false" ht="12.75" hidden="false" customHeight="false" outlineLevel="0" collapsed="false">
      <c r="A3087" s="0" t="n">
        <f aca="false">B3087*1000+C3087</f>
        <v>48008</v>
      </c>
      <c r="B3087" s="0" t="n">
        <v>48</v>
      </c>
      <c r="C3087" s="0" t="n">
        <v>8</v>
      </c>
      <c r="D3087" s="0" t="n">
        <v>0</v>
      </c>
      <c r="E3087" s="0" t="n">
        <f aca="false">VLOOKUP(B3087,'Babblefish-APUMA'!$A$1:$B$86,2)</f>
        <v>92</v>
      </c>
      <c r="F3087" s="0" t="n">
        <f aca="false">IF(C3087&gt;1,IF(C3087&lt;99,VLOOKUP(C3087,'Babblefish-APUMA'!$A$1:$B$86,2),C3087),C3087)</f>
        <v>8</v>
      </c>
    </row>
    <row r="3088" customFormat="false" ht="12.75" hidden="false" customHeight="false" outlineLevel="0" collapsed="false">
      <c r="A3088" s="0" t="n">
        <f aca="false">B3088*1000+C3088</f>
        <v>48009</v>
      </c>
      <c r="B3088" s="0" t="n">
        <v>48</v>
      </c>
      <c r="C3088" s="0" t="n">
        <v>9</v>
      </c>
      <c r="D3088" s="0" t="n">
        <v>221</v>
      </c>
      <c r="E3088" s="0" t="n">
        <f aca="false">VLOOKUP(B3088,'Babblefish-APUMA'!$A$1:$B$86,2)</f>
        <v>92</v>
      </c>
      <c r="F3088" s="0" t="n">
        <f aca="false">IF(C3088&gt;1,IF(C3088&lt;99,VLOOKUP(C3088,'Babblefish-APUMA'!$A$1:$B$86,2),C3088),C3088)</f>
        <v>9</v>
      </c>
    </row>
    <row r="3089" customFormat="false" ht="12.75" hidden="false" customHeight="false" outlineLevel="0" collapsed="false">
      <c r="A3089" s="0" t="n">
        <f aca="false">B3089*1000+C3089</f>
        <v>48010</v>
      </c>
      <c r="B3089" s="0" t="n">
        <v>48</v>
      </c>
      <c r="C3089" s="0" t="n">
        <v>10</v>
      </c>
      <c r="D3089" s="0" t="n">
        <v>221</v>
      </c>
      <c r="E3089" s="0" t="n">
        <f aca="false">VLOOKUP(B3089,'Babblefish-APUMA'!$A$1:$B$86,2)</f>
        <v>92</v>
      </c>
      <c r="F3089" s="0" t="n">
        <f aca="false">IF(C3089&gt;1,IF(C3089&lt;99,VLOOKUP(C3089,'Babblefish-APUMA'!$A$1:$B$86,2),C3089),C3089)</f>
        <v>10</v>
      </c>
    </row>
    <row r="3090" customFormat="false" ht="12.75" hidden="false" customHeight="false" outlineLevel="0" collapsed="false">
      <c r="A3090" s="0" t="n">
        <f aca="false">B3090*1000+C3090</f>
        <v>48011</v>
      </c>
      <c r="B3090" s="0" t="n">
        <v>48</v>
      </c>
      <c r="C3090" s="0" t="n">
        <v>11</v>
      </c>
      <c r="D3090" s="0" t="n">
        <v>182</v>
      </c>
      <c r="E3090" s="0" t="n">
        <f aca="false">VLOOKUP(B3090,'Babblefish-APUMA'!$A$1:$B$86,2)</f>
        <v>92</v>
      </c>
      <c r="F3090" s="0" t="n">
        <f aca="false">IF(C3090&gt;1,IF(C3090&lt;99,VLOOKUP(C3090,'Babblefish-APUMA'!$A$1:$B$86,2),C3090),C3090)</f>
        <v>11</v>
      </c>
    </row>
    <row r="3091" customFormat="false" ht="12.75" hidden="false" customHeight="false" outlineLevel="0" collapsed="false">
      <c r="A3091" s="0" t="n">
        <f aca="false">B3091*1000+C3091</f>
        <v>48012</v>
      </c>
      <c r="B3091" s="0" t="n">
        <v>48</v>
      </c>
      <c r="C3091" s="0" t="n">
        <v>12</v>
      </c>
      <c r="D3091" s="0" t="n">
        <v>78</v>
      </c>
      <c r="E3091" s="0" t="n">
        <f aca="false">VLOOKUP(B3091,'Babblefish-APUMA'!$A$1:$B$86,2)</f>
        <v>92</v>
      </c>
      <c r="F3091" s="0" t="n">
        <f aca="false">IF(C3091&gt;1,IF(C3091&lt;99,VLOOKUP(C3091,'Babblefish-APUMA'!$A$1:$B$86,2),C3091),C3091)</f>
        <v>12</v>
      </c>
    </row>
    <row r="3092" customFormat="false" ht="12.75" hidden="false" customHeight="false" outlineLevel="0" collapsed="false">
      <c r="A3092" s="0" t="n">
        <f aca="false">B3092*1000+C3092</f>
        <v>48013</v>
      </c>
      <c r="B3092" s="0" t="n">
        <v>48</v>
      </c>
      <c r="C3092" s="0" t="n">
        <v>13</v>
      </c>
      <c r="D3092" s="0" t="n">
        <v>0</v>
      </c>
      <c r="E3092" s="0" t="n">
        <f aca="false">VLOOKUP(B3092,'Babblefish-APUMA'!$A$1:$B$86,2)</f>
        <v>92</v>
      </c>
      <c r="F3092" s="0" t="n">
        <f aca="false">IF(C3092&gt;1,IF(C3092&lt;99,VLOOKUP(C3092,'Babblefish-APUMA'!$A$1:$B$86,2),C3092),C3092)</f>
        <v>100</v>
      </c>
    </row>
    <row r="3093" customFormat="false" ht="12.75" hidden="false" customHeight="false" outlineLevel="0" collapsed="false">
      <c r="A3093" s="0" t="n">
        <f aca="false">B3093*1000+C3093</f>
        <v>48014</v>
      </c>
      <c r="B3093" s="0" t="n">
        <v>48</v>
      </c>
      <c r="C3093" s="0" t="n">
        <v>14</v>
      </c>
      <c r="D3093" s="0" t="n">
        <v>78</v>
      </c>
      <c r="E3093" s="0" t="n">
        <f aca="false">VLOOKUP(B3093,'Babblefish-APUMA'!$A$1:$B$86,2)</f>
        <v>92</v>
      </c>
      <c r="F3093" s="0" t="n">
        <f aca="false">IF(C3093&gt;1,IF(C3093&lt;99,VLOOKUP(C3093,'Babblefish-APUMA'!$A$1:$B$86,2),C3093),C3093)</f>
        <v>100</v>
      </c>
    </row>
    <row r="3094" customFormat="false" ht="12.75" hidden="false" customHeight="false" outlineLevel="0" collapsed="false">
      <c r="A3094" s="0" t="n">
        <f aca="false">B3094*1000+C3094</f>
        <v>48015</v>
      </c>
      <c r="B3094" s="0" t="n">
        <v>48</v>
      </c>
      <c r="C3094" s="0" t="n">
        <v>15</v>
      </c>
      <c r="D3094" s="0" t="n">
        <v>0</v>
      </c>
      <c r="E3094" s="0" t="n">
        <f aca="false">VLOOKUP(B3094,'Babblefish-APUMA'!$A$1:$B$86,2)</f>
        <v>92</v>
      </c>
      <c r="F3094" s="0" t="n">
        <f aca="false">IF(C3094&gt;1,IF(C3094&lt;99,VLOOKUP(C3094,'Babblefish-APUMA'!$A$1:$B$86,2),C3094),C3094)</f>
        <v>15</v>
      </c>
    </row>
    <row r="3095" customFormat="false" ht="12.75" hidden="false" customHeight="false" outlineLevel="0" collapsed="false">
      <c r="A3095" s="0" t="n">
        <f aca="false">B3095*1000+C3095</f>
        <v>48016</v>
      </c>
      <c r="B3095" s="0" t="n">
        <v>48</v>
      </c>
      <c r="C3095" s="0" t="n">
        <v>16</v>
      </c>
      <c r="D3095" s="0" t="n">
        <v>0</v>
      </c>
      <c r="E3095" s="0" t="n">
        <f aca="false">VLOOKUP(B3095,'Babblefish-APUMA'!$A$1:$B$86,2)</f>
        <v>92</v>
      </c>
      <c r="F3095" s="0" t="n">
        <f aca="false">IF(C3095&gt;1,IF(C3095&lt;99,VLOOKUP(C3095,'Babblefish-APUMA'!$A$1:$B$86,2),C3095),C3095)</f>
        <v>99</v>
      </c>
    </row>
    <row r="3096" customFormat="false" ht="12.75" hidden="false" customHeight="false" outlineLevel="0" collapsed="false">
      <c r="A3096" s="0" t="n">
        <f aca="false">B3096*1000+C3096</f>
        <v>48017</v>
      </c>
      <c r="B3096" s="0" t="n">
        <v>48</v>
      </c>
      <c r="C3096" s="0" t="n">
        <v>17</v>
      </c>
      <c r="D3096" s="0" t="n">
        <v>0</v>
      </c>
      <c r="E3096" s="0" t="n">
        <f aca="false">VLOOKUP(B3096,'Babblefish-APUMA'!$A$1:$B$86,2)</f>
        <v>92</v>
      </c>
      <c r="F3096" s="0" t="n">
        <f aca="false">IF(C3096&gt;1,IF(C3096&lt;99,VLOOKUP(C3096,'Babblefish-APUMA'!$A$1:$B$86,2),C3096),C3096)</f>
        <v>87</v>
      </c>
    </row>
    <row r="3097" customFormat="false" ht="12.75" hidden="false" customHeight="false" outlineLevel="0" collapsed="false">
      <c r="A3097" s="0" t="n">
        <f aca="false">B3097*1000+C3097</f>
        <v>48018</v>
      </c>
      <c r="B3097" s="0" t="n">
        <v>48</v>
      </c>
      <c r="C3097" s="0" t="n">
        <v>18</v>
      </c>
      <c r="D3097" s="0" t="n">
        <v>65</v>
      </c>
      <c r="E3097" s="0" t="n">
        <f aca="false">VLOOKUP(B3097,'Babblefish-APUMA'!$A$1:$B$86,2)</f>
        <v>92</v>
      </c>
      <c r="F3097" s="0" t="n">
        <f aca="false">IF(C3097&gt;1,IF(C3097&lt;99,VLOOKUP(C3097,'Babblefish-APUMA'!$A$1:$B$86,2),C3097),C3097)</f>
        <v>87</v>
      </c>
    </row>
    <row r="3098" customFormat="false" ht="12.75" hidden="false" customHeight="false" outlineLevel="0" collapsed="false">
      <c r="A3098" s="0" t="n">
        <f aca="false">B3098*1000+C3098</f>
        <v>48019</v>
      </c>
      <c r="B3098" s="0" t="n">
        <v>48</v>
      </c>
      <c r="C3098" s="0" t="n">
        <v>19</v>
      </c>
      <c r="D3098" s="0" t="n">
        <v>390</v>
      </c>
      <c r="E3098" s="0" t="n">
        <f aca="false">VLOOKUP(B3098,'Babblefish-APUMA'!$A$1:$B$86,2)</f>
        <v>92</v>
      </c>
      <c r="F3098" s="0" t="n">
        <f aca="false">IF(C3098&gt;1,IF(C3098&lt;99,VLOOKUP(C3098,'Babblefish-APUMA'!$A$1:$B$86,2),C3098),C3098)</f>
        <v>19</v>
      </c>
    </row>
    <row r="3099" customFormat="false" ht="12.75" hidden="false" customHeight="false" outlineLevel="0" collapsed="false">
      <c r="A3099" s="0" t="n">
        <f aca="false">B3099*1000+C3099</f>
        <v>48020</v>
      </c>
      <c r="B3099" s="0" t="n">
        <v>48</v>
      </c>
      <c r="C3099" s="0" t="n">
        <v>20</v>
      </c>
      <c r="D3099" s="0" t="n">
        <v>130</v>
      </c>
      <c r="E3099" s="0" t="n">
        <f aca="false">VLOOKUP(B3099,'Babblefish-APUMA'!$A$1:$B$86,2)</f>
        <v>92</v>
      </c>
      <c r="F3099" s="0" t="n">
        <f aca="false">IF(C3099&gt;1,IF(C3099&lt;99,VLOOKUP(C3099,'Babblefish-APUMA'!$A$1:$B$86,2),C3099),C3099)</f>
        <v>86</v>
      </c>
    </row>
    <row r="3100" customFormat="false" ht="12.75" hidden="false" customHeight="false" outlineLevel="0" collapsed="false">
      <c r="A3100" s="0" t="n">
        <f aca="false">B3100*1000+C3100</f>
        <v>48021</v>
      </c>
      <c r="B3100" s="0" t="n">
        <v>48</v>
      </c>
      <c r="C3100" s="0" t="n">
        <v>21</v>
      </c>
      <c r="D3100" s="0" t="n">
        <v>104</v>
      </c>
      <c r="E3100" s="0" t="n">
        <f aca="false">VLOOKUP(B3100,'Babblefish-APUMA'!$A$1:$B$86,2)</f>
        <v>92</v>
      </c>
      <c r="F3100" s="0" t="n">
        <f aca="false">IF(C3100&gt;1,IF(C3100&lt;99,VLOOKUP(C3100,'Babblefish-APUMA'!$A$1:$B$86,2),C3100),C3100)</f>
        <v>86</v>
      </c>
    </row>
    <row r="3101" customFormat="false" ht="12.75" hidden="false" customHeight="false" outlineLevel="0" collapsed="false">
      <c r="A3101" s="0" t="n">
        <f aca="false">B3101*1000+C3101</f>
        <v>48022</v>
      </c>
      <c r="B3101" s="0" t="n">
        <v>48</v>
      </c>
      <c r="C3101" s="0" t="n">
        <v>22</v>
      </c>
      <c r="D3101" s="0" t="n">
        <v>65</v>
      </c>
      <c r="E3101" s="0" t="n">
        <f aca="false">VLOOKUP(B3101,'Babblefish-APUMA'!$A$1:$B$86,2)</f>
        <v>92</v>
      </c>
      <c r="F3101" s="0" t="n">
        <f aca="false">IF(C3101&gt;1,IF(C3101&lt;99,VLOOKUP(C3101,'Babblefish-APUMA'!$A$1:$B$86,2),C3101),C3101)</f>
        <v>22</v>
      </c>
    </row>
    <row r="3102" customFormat="false" ht="12.75" hidden="false" customHeight="false" outlineLevel="0" collapsed="false">
      <c r="A3102" s="0" t="n">
        <f aca="false">B3102*1000+C3102</f>
        <v>48023</v>
      </c>
      <c r="B3102" s="0" t="n">
        <v>48</v>
      </c>
      <c r="C3102" s="0" t="n">
        <v>23</v>
      </c>
      <c r="D3102" s="0" t="n">
        <v>0</v>
      </c>
      <c r="E3102" s="0" t="n">
        <f aca="false">VLOOKUP(B3102,'Babblefish-APUMA'!$A$1:$B$86,2)</f>
        <v>92</v>
      </c>
      <c r="F3102" s="0" t="n">
        <f aca="false">IF(C3102&gt;1,IF(C3102&lt;99,VLOOKUP(C3102,'Babblefish-APUMA'!$A$1:$B$86,2),C3102),C3102)</f>
        <v>97</v>
      </c>
    </row>
    <row r="3103" customFormat="false" ht="12.75" hidden="false" customHeight="false" outlineLevel="0" collapsed="false">
      <c r="A3103" s="0" t="n">
        <f aca="false">B3103*1000+C3103</f>
        <v>48024</v>
      </c>
      <c r="B3103" s="0" t="n">
        <v>48</v>
      </c>
      <c r="C3103" s="0" t="n">
        <v>24</v>
      </c>
      <c r="D3103" s="0" t="n">
        <v>0</v>
      </c>
      <c r="E3103" s="0" t="n">
        <f aca="false">VLOOKUP(B3103,'Babblefish-APUMA'!$A$1:$B$86,2)</f>
        <v>92</v>
      </c>
      <c r="F3103" s="0" t="n">
        <f aca="false">IF(C3103&gt;1,IF(C3103&lt;99,VLOOKUP(C3103,'Babblefish-APUMA'!$A$1:$B$86,2),C3103),C3103)</f>
        <v>101</v>
      </c>
    </row>
    <row r="3104" customFormat="false" ht="12.75" hidden="false" customHeight="false" outlineLevel="0" collapsed="false">
      <c r="A3104" s="0" t="n">
        <f aca="false">B3104*1000+C3104</f>
        <v>48025</v>
      </c>
      <c r="B3104" s="0" t="n">
        <v>48</v>
      </c>
      <c r="C3104" s="0" t="n">
        <v>25</v>
      </c>
      <c r="D3104" s="0" t="n">
        <v>0</v>
      </c>
      <c r="E3104" s="0" t="n">
        <f aca="false">VLOOKUP(B3104,'Babblefish-APUMA'!$A$1:$B$86,2)</f>
        <v>92</v>
      </c>
      <c r="F3104" s="0" t="n">
        <f aca="false">IF(C3104&gt;1,IF(C3104&lt;99,VLOOKUP(C3104,'Babblefish-APUMA'!$A$1:$B$86,2),C3104),C3104)</f>
        <v>101</v>
      </c>
    </row>
    <row r="3105" customFormat="false" ht="12.75" hidden="false" customHeight="false" outlineLevel="0" collapsed="false">
      <c r="A3105" s="0" t="n">
        <f aca="false">B3105*1000+C3105</f>
        <v>48026</v>
      </c>
      <c r="B3105" s="0" t="n">
        <v>48</v>
      </c>
      <c r="C3105" s="0" t="n">
        <v>26</v>
      </c>
      <c r="D3105" s="0" t="n">
        <v>0</v>
      </c>
      <c r="E3105" s="0" t="n">
        <f aca="false">VLOOKUP(B3105,'Babblefish-APUMA'!$A$1:$B$86,2)</f>
        <v>92</v>
      </c>
      <c r="F3105" s="0" t="n">
        <f aca="false">IF(C3105&gt;1,IF(C3105&lt;99,VLOOKUP(C3105,'Babblefish-APUMA'!$A$1:$B$86,2),C3105),C3105)</f>
        <v>26</v>
      </c>
    </row>
    <row r="3106" customFormat="false" ht="12.75" hidden="false" customHeight="false" outlineLevel="0" collapsed="false">
      <c r="A3106" s="0" t="n">
        <f aca="false">B3106*1000+C3106</f>
        <v>48027</v>
      </c>
      <c r="B3106" s="0" t="n">
        <v>48</v>
      </c>
      <c r="C3106" s="0" t="n">
        <v>27</v>
      </c>
      <c r="D3106" s="0" t="n">
        <v>0</v>
      </c>
      <c r="E3106" s="0" t="n">
        <f aca="false">VLOOKUP(B3106,'Babblefish-APUMA'!$A$1:$B$86,2)</f>
        <v>92</v>
      </c>
      <c r="F3106" s="0" t="n">
        <f aca="false">IF(C3106&gt;1,IF(C3106&lt;99,VLOOKUP(C3106,'Babblefish-APUMA'!$A$1:$B$86,2),C3106),C3106)</f>
        <v>27</v>
      </c>
    </row>
    <row r="3107" customFormat="false" ht="12.75" hidden="false" customHeight="false" outlineLevel="0" collapsed="false">
      <c r="A3107" s="0" t="n">
        <f aca="false">B3107*1000+C3107</f>
        <v>48028</v>
      </c>
      <c r="B3107" s="0" t="n">
        <v>48</v>
      </c>
      <c r="C3107" s="0" t="n">
        <v>28</v>
      </c>
      <c r="D3107" s="0" t="n">
        <v>0</v>
      </c>
      <c r="E3107" s="0" t="n">
        <f aca="false">VLOOKUP(B3107,'Babblefish-APUMA'!$A$1:$B$86,2)</f>
        <v>92</v>
      </c>
      <c r="F3107" s="0" t="n">
        <f aca="false">IF(C3107&gt;1,IF(C3107&lt;99,VLOOKUP(C3107,'Babblefish-APUMA'!$A$1:$B$86,2),C3107),C3107)</f>
        <v>94</v>
      </c>
    </row>
    <row r="3108" customFormat="false" ht="12.75" hidden="false" customHeight="false" outlineLevel="0" collapsed="false">
      <c r="A3108" s="0" t="n">
        <f aca="false">B3108*1000+C3108</f>
        <v>48029</v>
      </c>
      <c r="B3108" s="0" t="n">
        <v>48</v>
      </c>
      <c r="C3108" s="0" t="n">
        <v>29</v>
      </c>
      <c r="D3108" s="0" t="n">
        <v>78</v>
      </c>
      <c r="E3108" s="0" t="n">
        <f aca="false">VLOOKUP(B3108,'Babblefish-APUMA'!$A$1:$B$86,2)</f>
        <v>92</v>
      </c>
      <c r="F3108" s="0" t="n">
        <f aca="false">IF(C3108&gt;1,IF(C3108&lt;99,VLOOKUP(C3108,'Babblefish-APUMA'!$A$1:$B$86,2),C3108),C3108)</f>
        <v>94</v>
      </c>
    </row>
    <row r="3109" customFormat="false" ht="12.75" hidden="false" customHeight="false" outlineLevel="0" collapsed="false">
      <c r="A3109" s="0" t="n">
        <f aca="false">B3109*1000+C3109</f>
        <v>48030</v>
      </c>
      <c r="B3109" s="0" t="n">
        <v>48</v>
      </c>
      <c r="C3109" s="0" t="n">
        <v>30</v>
      </c>
      <c r="D3109" s="0" t="n">
        <v>0</v>
      </c>
      <c r="E3109" s="0" t="n">
        <f aca="false">VLOOKUP(B3109,'Babblefish-APUMA'!$A$1:$B$86,2)</f>
        <v>92</v>
      </c>
      <c r="F3109" s="0" t="n">
        <f aca="false">IF(C3109&gt;1,IF(C3109&lt;99,VLOOKUP(C3109,'Babblefish-APUMA'!$A$1:$B$86,2),C3109),C3109)</f>
        <v>30</v>
      </c>
    </row>
    <row r="3110" customFormat="false" ht="12.75" hidden="false" customHeight="false" outlineLevel="0" collapsed="false">
      <c r="A3110" s="0" t="n">
        <f aca="false">B3110*1000+C3110</f>
        <v>48031</v>
      </c>
      <c r="B3110" s="0" t="n">
        <v>48</v>
      </c>
      <c r="C3110" s="0" t="n">
        <v>31</v>
      </c>
      <c r="D3110" s="0" t="n">
        <v>104</v>
      </c>
      <c r="E3110" s="0" t="n">
        <f aca="false">VLOOKUP(B3110,'Babblefish-APUMA'!$A$1:$B$86,2)</f>
        <v>92</v>
      </c>
      <c r="F3110" s="0" t="n">
        <f aca="false">IF(C3110&gt;1,IF(C3110&lt;99,VLOOKUP(C3110,'Babblefish-APUMA'!$A$1:$B$86,2),C3110),C3110)</f>
        <v>31</v>
      </c>
    </row>
    <row r="3111" customFormat="false" ht="12.75" hidden="false" customHeight="false" outlineLevel="0" collapsed="false">
      <c r="A3111" s="0" t="n">
        <f aca="false">B3111*1000+C3111</f>
        <v>48032</v>
      </c>
      <c r="B3111" s="0" t="n">
        <v>48</v>
      </c>
      <c r="C3111" s="0" t="n">
        <v>32</v>
      </c>
      <c r="D3111" s="0" t="n">
        <v>533</v>
      </c>
      <c r="E3111" s="0" t="n">
        <f aca="false">VLOOKUP(B3111,'Babblefish-APUMA'!$A$1:$B$86,2)</f>
        <v>92</v>
      </c>
      <c r="F3111" s="0" t="n">
        <f aca="false">IF(C3111&gt;1,IF(C3111&lt;99,VLOOKUP(C3111,'Babblefish-APUMA'!$A$1:$B$86,2),C3111),C3111)</f>
        <v>32</v>
      </c>
    </row>
    <row r="3112" customFormat="false" ht="12.75" hidden="false" customHeight="false" outlineLevel="0" collapsed="false">
      <c r="A3112" s="0" t="n">
        <f aca="false">B3112*1000+C3112</f>
        <v>48033</v>
      </c>
      <c r="B3112" s="0" t="n">
        <v>48</v>
      </c>
      <c r="C3112" s="0" t="n">
        <v>33</v>
      </c>
      <c r="D3112" s="0" t="n">
        <v>1547</v>
      </c>
      <c r="E3112" s="0" t="n">
        <f aca="false">VLOOKUP(B3112,'Babblefish-APUMA'!$A$1:$B$86,2)</f>
        <v>92</v>
      </c>
      <c r="F3112" s="0" t="n">
        <f aca="false">IF(C3112&gt;1,IF(C3112&lt;99,VLOOKUP(C3112,'Babblefish-APUMA'!$A$1:$B$86,2),C3112),C3112)</f>
        <v>96</v>
      </c>
    </row>
    <row r="3113" customFormat="false" ht="12.75" hidden="false" customHeight="false" outlineLevel="0" collapsed="false">
      <c r="A3113" s="0" t="n">
        <f aca="false">B3113*1000+C3113</f>
        <v>48034</v>
      </c>
      <c r="B3113" s="0" t="n">
        <v>48</v>
      </c>
      <c r="C3113" s="0" t="n">
        <v>34</v>
      </c>
      <c r="D3113" s="0" t="n">
        <v>364</v>
      </c>
      <c r="E3113" s="0" t="n">
        <f aca="false">VLOOKUP(B3113,'Babblefish-APUMA'!$A$1:$B$86,2)</f>
        <v>92</v>
      </c>
      <c r="F3113" s="0" t="n">
        <f aca="false">IF(C3113&gt;1,IF(C3113&lt;99,VLOOKUP(C3113,'Babblefish-APUMA'!$A$1:$B$86,2),C3113),C3113)</f>
        <v>96</v>
      </c>
    </row>
    <row r="3114" customFormat="false" ht="12.75" hidden="false" customHeight="false" outlineLevel="0" collapsed="false">
      <c r="A3114" s="0" t="n">
        <f aca="false">B3114*1000+C3114</f>
        <v>48035</v>
      </c>
      <c r="B3114" s="0" t="n">
        <v>48</v>
      </c>
      <c r="C3114" s="0" t="n">
        <v>35</v>
      </c>
      <c r="D3114" s="0" t="n">
        <v>182</v>
      </c>
      <c r="E3114" s="0" t="n">
        <f aca="false">VLOOKUP(B3114,'Babblefish-APUMA'!$A$1:$B$86,2)</f>
        <v>92</v>
      </c>
      <c r="F3114" s="0" t="n">
        <f aca="false">IF(C3114&gt;1,IF(C3114&lt;99,VLOOKUP(C3114,'Babblefish-APUMA'!$A$1:$B$86,2),C3114),C3114)</f>
        <v>96</v>
      </c>
    </row>
    <row r="3115" customFormat="false" ht="12.75" hidden="false" customHeight="false" outlineLevel="0" collapsed="false">
      <c r="A3115" s="0" t="n">
        <f aca="false">B3115*1000+C3115</f>
        <v>48036</v>
      </c>
      <c r="B3115" s="0" t="n">
        <v>48</v>
      </c>
      <c r="C3115" s="0" t="n">
        <v>36</v>
      </c>
      <c r="D3115" s="0" t="n">
        <v>0</v>
      </c>
      <c r="E3115" s="0" t="n">
        <f aca="false">VLOOKUP(B3115,'Babblefish-APUMA'!$A$1:$B$86,2)</f>
        <v>92</v>
      </c>
      <c r="F3115" s="0" t="n">
        <f aca="false">IF(C3115&gt;1,IF(C3115&lt;99,VLOOKUP(C3115,'Babblefish-APUMA'!$A$1:$B$86,2),C3115),C3115)</f>
        <v>96</v>
      </c>
    </row>
    <row r="3116" customFormat="false" ht="12.75" hidden="false" customHeight="false" outlineLevel="0" collapsed="false">
      <c r="A3116" s="0" t="n">
        <f aca="false">B3116*1000+C3116</f>
        <v>48037</v>
      </c>
      <c r="B3116" s="0" t="n">
        <v>48</v>
      </c>
      <c r="C3116" s="0" t="n">
        <v>37</v>
      </c>
      <c r="D3116" s="0" t="n">
        <v>520</v>
      </c>
      <c r="E3116" s="0" t="n">
        <f aca="false">VLOOKUP(B3116,'Babblefish-APUMA'!$A$1:$B$86,2)</f>
        <v>92</v>
      </c>
      <c r="F3116" s="0" t="n">
        <f aca="false">IF(C3116&gt;1,IF(C3116&lt;99,VLOOKUP(C3116,'Babblefish-APUMA'!$A$1:$B$86,2),C3116),C3116)</f>
        <v>96</v>
      </c>
    </row>
    <row r="3117" customFormat="false" ht="12.75" hidden="false" customHeight="false" outlineLevel="0" collapsed="false">
      <c r="A3117" s="0" t="n">
        <f aca="false">B3117*1000+C3117</f>
        <v>48038</v>
      </c>
      <c r="B3117" s="0" t="n">
        <v>48</v>
      </c>
      <c r="C3117" s="0" t="n">
        <v>38</v>
      </c>
      <c r="D3117" s="0" t="n">
        <v>0</v>
      </c>
      <c r="E3117" s="0" t="n">
        <f aca="false">VLOOKUP(B3117,'Babblefish-APUMA'!$A$1:$B$86,2)</f>
        <v>92</v>
      </c>
      <c r="F3117" s="0" t="n">
        <f aca="false">IF(C3117&gt;1,IF(C3117&lt;99,VLOOKUP(C3117,'Babblefish-APUMA'!$A$1:$B$86,2),C3117),C3117)</f>
        <v>91</v>
      </c>
    </row>
    <row r="3118" customFormat="false" ht="12.75" hidden="false" customHeight="false" outlineLevel="0" collapsed="false">
      <c r="A3118" s="0" t="n">
        <f aca="false">B3118*1000+C3118</f>
        <v>48039</v>
      </c>
      <c r="B3118" s="0" t="n">
        <v>48</v>
      </c>
      <c r="C3118" s="0" t="n">
        <v>39</v>
      </c>
      <c r="D3118" s="0" t="n">
        <v>0</v>
      </c>
      <c r="E3118" s="0" t="n">
        <f aca="false">VLOOKUP(B3118,'Babblefish-APUMA'!$A$1:$B$86,2)</f>
        <v>92</v>
      </c>
      <c r="F3118" s="0" t="n">
        <f aca="false">IF(C3118&gt;1,IF(C3118&lt;99,VLOOKUP(C3118,'Babblefish-APUMA'!$A$1:$B$86,2),C3118),C3118)</f>
        <v>91</v>
      </c>
    </row>
    <row r="3119" customFormat="false" ht="12.75" hidden="false" customHeight="false" outlineLevel="0" collapsed="false">
      <c r="A3119" s="0" t="n">
        <f aca="false">B3119*1000+C3119</f>
        <v>48040</v>
      </c>
      <c r="B3119" s="0" t="n">
        <v>48</v>
      </c>
      <c r="C3119" s="0" t="n">
        <v>40</v>
      </c>
      <c r="D3119" s="0" t="n">
        <v>0</v>
      </c>
      <c r="E3119" s="0" t="n">
        <f aca="false">VLOOKUP(B3119,'Babblefish-APUMA'!$A$1:$B$86,2)</f>
        <v>92</v>
      </c>
      <c r="F3119" s="0" t="n">
        <f aca="false">IF(C3119&gt;1,IF(C3119&lt;99,VLOOKUP(C3119,'Babblefish-APUMA'!$A$1:$B$86,2),C3119),C3119)</f>
        <v>88</v>
      </c>
    </row>
    <row r="3120" customFormat="false" ht="12.75" hidden="false" customHeight="false" outlineLevel="0" collapsed="false">
      <c r="A3120" s="0" t="n">
        <f aca="false">B3120*1000+C3120</f>
        <v>48041</v>
      </c>
      <c r="B3120" s="0" t="n">
        <v>48</v>
      </c>
      <c r="C3120" s="0" t="n">
        <v>41</v>
      </c>
      <c r="D3120" s="0" t="n">
        <v>143</v>
      </c>
      <c r="E3120" s="0" t="n">
        <f aca="false">VLOOKUP(B3120,'Babblefish-APUMA'!$A$1:$B$86,2)</f>
        <v>92</v>
      </c>
      <c r="F3120" s="0" t="n">
        <f aca="false">IF(C3120&gt;1,IF(C3120&lt;99,VLOOKUP(C3120,'Babblefish-APUMA'!$A$1:$B$86,2),C3120),C3120)</f>
        <v>88</v>
      </c>
    </row>
    <row r="3121" customFormat="false" ht="12.75" hidden="false" customHeight="false" outlineLevel="0" collapsed="false">
      <c r="A3121" s="0" t="n">
        <f aca="false">B3121*1000+C3121</f>
        <v>48042</v>
      </c>
      <c r="B3121" s="0" t="n">
        <v>48</v>
      </c>
      <c r="C3121" s="0" t="n">
        <v>42</v>
      </c>
      <c r="D3121" s="0" t="n">
        <v>47411</v>
      </c>
      <c r="E3121" s="0" t="n">
        <f aca="false">VLOOKUP(B3121,'Babblefish-APUMA'!$A$1:$B$86,2)</f>
        <v>92</v>
      </c>
      <c r="F3121" s="0" t="n">
        <f aca="false">IF(C3121&gt;1,IF(C3121&lt;99,VLOOKUP(C3121,'Babblefish-APUMA'!$A$1:$B$86,2),C3121),C3121)</f>
        <v>92</v>
      </c>
    </row>
    <row r="3122" customFormat="false" ht="12.75" hidden="false" customHeight="false" outlineLevel="0" collapsed="false">
      <c r="A3122" s="0" t="n">
        <f aca="false">B3122*1000+C3122</f>
        <v>48043</v>
      </c>
      <c r="B3122" s="0" t="n">
        <v>48</v>
      </c>
      <c r="C3122" s="0" t="n">
        <v>43</v>
      </c>
      <c r="D3122" s="0" t="n">
        <v>5577</v>
      </c>
      <c r="E3122" s="0" t="n">
        <f aca="false">VLOOKUP(B3122,'Babblefish-APUMA'!$A$1:$B$86,2)</f>
        <v>92</v>
      </c>
      <c r="F3122" s="0" t="n">
        <f aca="false">IF(C3122&gt;1,IF(C3122&lt;99,VLOOKUP(C3122,'Babblefish-APUMA'!$A$1:$B$86,2),C3122),C3122)</f>
        <v>92</v>
      </c>
    </row>
    <row r="3123" customFormat="false" ht="12.75" hidden="false" customHeight="false" outlineLevel="0" collapsed="false">
      <c r="A3123" s="0" t="n">
        <f aca="false">B3123*1000+C3123</f>
        <v>48044</v>
      </c>
      <c r="B3123" s="0" t="n">
        <v>48</v>
      </c>
      <c r="C3123" s="0" t="n">
        <v>44</v>
      </c>
      <c r="D3123" s="0" t="n">
        <v>7254</v>
      </c>
      <c r="E3123" s="0" t="n">
        <f aca="false">VLOOKUP(B3123,'Babblefish-APUMA'!$A$1:$B$86,2)</f>
        <v>92</v>
      </c>
      <c r="F3123" s="0" t="n">
        <f aca="false">IF(C3123&gt;1,IF(C3123&lt;99,VLOOKUP(C3123,'Babblefish-APUMA'!$A$1:$B$86,2),C3123),C3123)</f>
        <v>92</v>
      </c>
    </row>
    <row r="3124" customFormat="false" ht="12.75" hidden="false" customHeight="false" outlineLevel="0" collapsed="false">
      <c r="A3124" s="0" t="n">
        <f aca="false">B3124*1000+C3124</f>
        <v>48045</v>
      </c>
      <c r="B3124" s="0" t="n">
        <v>48</v>
      </c>
      <c r="C3124" s="0" t="n">
        <v>45</v>
      </c>
      <c r="D3124" s="0" t="n">
        <v>2795</v>
      </c>
      <c r="E3124" s="0" t="n">
        <f aca="false">VLOOKUP(B3124,'Babblefish-APUMA'!$A$1:$B$86,2)</f>
        <v>92</v>
      </c>
      <c r="F3124" s="0" t="n">
        <f aca="false">IF(C3124&gt;1,IF(C3124&lt;99,VLOOKUP(C3124,'Babblefish-APUMA'!$A$1:$B$86,2),C3124),C3124)</f>
        <v>92</v>
      </c>
    </row>
    <row r="3125" customFormat="false" ht="12.75" hidden="false" customHeight="false" outlineLevel="0" collapsed="false">
      <c r="A3125" s="0" t="n">
        <f aca="false">B3125*1000+C3125</f>
        <v>48046</v>
      </c>
      <c r="B3125" s="0" t="n">
        <v>48</v>
      </c>
      <c r="C3125" s="0" t="n">
        <v>46</v>
      </c>
      <c r="D3125" s="0" t="n">
        <v>15912</v>
      </c>
      <c r="E3125" s="0" t="n">
        <f aca="false">VLOOKUP(B3125,'Babblefish-APUMA'!$A$1:$B$86,2)</f>
        <v>92</v>
      </c>
      <c r="F3125" s="0" t="n">
        <f aca="false">IF(C3125&gt;1,IF(C3125&lt;99,VLOOKUP(C3125,'Babblefish-APUMA'!$A$1:$B$86,2),C3125),C3125)</f>
        <v>92</v>
      </c>
    </row>
    <row r="3126" customFormat="false" ht="12.75" hidden="false" customHeight="false" outlineLevel="0" collapsed="false">
      <c r="A3126" s="0" t="n">
        <f aca="false">B3126*1000+C3126</f>
        <v>48047</v>
      </c>
      <c r="B3126" s="0" t="n">
        <v>48</v>
      </c>
      <c r="C3126" s="0" t="n">
        <v>47</v>
      </c>
      <c r="D3126" s="0" t="n">
        <v>18044</v>
      </c>
      <c r="E3126" s="0" t="n">
        <f aca="false">VLOOKUP(B3126,'Babblefish-APUMA'!$A$1:$B$86,2)</f>
        <v>92</v>
      </c>
      <c r="F3126" s="0" t="n">
        <f aca="false">IF(C3126&gt;1,IF(C3126&lt;99,VLOOKUP(C3126,'Babblefish-APUMA'!$A$1:$B$86,2),C3126),C3126)</f>
        <v>92</v>
      </c>
    </row>
    <row r="3127" customFormat="false" ht="12.75" hidden="false" customHeight="false" outlineLevel="0" collapsed="false">
      <c r="A3127" s="0" t="n">
        <f aca="false">B3127*1000+C3127</f>
        <v>48048</v>
      </c>
      <c r="B3127" s="0" t="n">
        <v>48</v>
      </c>
      <c r="C3127" s="0" t="n">
        <v>48</v>
      </c>
      <c r="D3127" s="0" t="n">
        <v>361075</v>
      </c>
      <c r="E3127" s="0" t="n">
        <f aca="false">VLOOKUP(B3127,'Babblefish-APUMA'!$A$1:$B$86,2)</f>
        <v>92</v>
      </c>
      <c r="F3127" s="0" t="n">
        <f aca="false">IF(C3127&gt;1,IF(C3127&lt;99,VLOOKUP(C3127,'Babblefish-APUMA'!$A$1:$B$86,2),C3127),C3127)</f>
        <v>92</v>
      </c>
    </row>
    <row r="3128" customFormat="false" ht="12.75" hidden="false" customHeight="false" outlineLevel="0" collapsed="false">
      <c r="A3128" s="0" t="n">
        <f aca="false">B3128*1000+C3128</f>
        <v>48049</v>
      </c>
      <c r="B3128" s="0" t="n">
        <v>48</v>
      </c>
      <c r="C3128" s="0" t="n">
        <v>49</v>
      </c>
      <c r="D3128" s="0" t="n">
        <v>0</v>
      </c>
      <c r="E3128" s="0" t="n">
        <f aca="false">VLOOKUP(B3128,'Babblefish-APUMA'!$A$1:$B$86,2)</f>
        <v>92</v>
      </c>
      <c r="F3128" s="0" t="n">
        <f aca="false">IF(C3128&gt;1,IF(C3128&lt;99,VLOOKUP(C3128,'Babblefish-APUMA'!$A$1:$B$86,2),C3128),C3128)</f>
        <v>98</v>
      </c>
    </row>
    <row r="3129" customFormat="false" ht="12.75" hidden="false" customHeight="false" outlineLevel="0" collapsed="false">
      <c r="A3129" s="0" t="n">
        <f aca="false">B3129*1000+C3129</f>
        <v>48050</v>
      </c>
      <c r="B3129" s="0" t="n">
        <v>48</v>
      </c>
      <c r="C3129" s="0" t="n">
        <v>50</v>
      </c>
      <c r="D3129" s="0" t="n">
        <v>130</v>
      </c>
      <c r="E3129" s="0" t="n">
        <f aca="false">VLOOKUP(B3129,'Babblefish-APUMA'!$A$1:$B$86,2)</f>
        <v>92</v>
      </c>
      <c r="F3129" s="0" t="n">
        <f aca="false">IF(C3129&gt;1,IF(C3129&lt;99,VLOOKUP(C3129,'Babblefish-APUMA'!$A$1:$B$86,2),C3129),C3129)</f>
        <v>98</v>
      </c>
    </row>
    <row r="3130" customFormat="false" ht="12.75" hidden="false" customHeight="false" outlineLevel="0" collapsed="false">
      <c r="A3130" s="0" t="n">
        <f aca="false">B3130*1000+C3130</f>
        <v>48051</v>
      </c>
      <c r="B3130" s="0" t="n">
        <v>48</v>
      </c>
      <c r="C3130" s="0" t="n">
        <v>51</v>
      </c>
      <c r="D3130" s="0" t="n">
        <v>104</v>
      </c>
      <c r="E3130" s="0" t="n">
        <f aca="false">VLOOKUP(B3130,'Babblefish-APUMA'!$A$1:$B$86,2)</f>
        <v>92</v>
      </c>
      <c r="F3130" s="0" t="n">
        <f aca="false">IF(C3130&gt;1,IF(C3130&lt;99,VLOOKUP(C3130,'Babblefish-APUMA'!$A$1:$B$86,2),C3130),C3130)</f>
        <v>98</v>
      </c>
    </row>
    <row r="3131" customFormat="false" ht="12.75" hidden="false" customHeight="false" outlineLevel="0" collapsed="false">
      <c r="A3131" s="0" t="n">
        <f aca="false">B3131*1000+C3131</f>
        <v>48052</v>
      </c>
      <c r="B3131" s="0" t="n">
        <v>48</v>
      </c>
      <c r="C3131" s="0" t="n">
        <v>52</v>
      </c>
      <c r="D3131" s="0" t="n">
        <v>780</v>
      </c>
      <c r="E3131" s="0" t="n">
        <f aca="false">VLOOKUP(B3131,'Babblefish-APUMA'!$A$1:$B$86,2)</f>
        <v>92</v>
      </c>
      <c r="F3131" s="0" t="n">
        <f aca="false">IF(C3131&gt;1,IF(C3131&lt;99,VLOOKUP(C3131,'Babblefish-APUMA'!$A$1:$B$86,2),C3131),C3131)</f>
        <v>90</v>
      </c>
    </row>
    <row r="3132" customFormat="false" ht="12.75" hidden="false" customHeight="false" outlineLevel="0" collapsed="false">
      <c r="A3132" s="0" t="n">
        <f aca="false">B3132*1000+C3132</f>
        <v>48053</v>
      </c>
      <c r="B3132" s="0" t="n">
        <v>48</v>
      </c>
      <c r="C3132" s="0" t="n">
        <v>53</v>
      </c>
      <c r="D3132" s="0" t="n">
        <v>754</v>
      </c>
      <c r="E3132" s="0" t="n">
        <f aca="false">VLOOKUP(B3132,'Babblefish-APUMA'!$A$1:$B$86,2)</f>
        <v>92</v>
      </c>
      <c r="F3132" s="0" t="n">
        <f aca="false">IF(C3132&gt;1,IF(C3132&lt;99,VLOOKUP(C3132,'Babblefish-APUMA'!$A$1:$B$86,2),C3132),C3132)</f>
        <v>90</v>
      </c>
    </row>
    <row r="3133" customFormat="false" ht="12.75" hidden="false" customHeight="false" outlineLevel="0" collapsed="false">
      <c r="A3133" s="0" t="n">
        <f aca="false">B3133*1000+C3133</f>
        <v>48054</v>
      </c>
      <c r="B3133" s="0" t="n">
        <v>48</v>
      </c>
      <c r="C3133" s="0" t="n">
        <v>54</v>
      </c>
      <c r="D3133" s="0" t="n">
        <v>1105</v>
      </c>
      <c r="E3133" s="0" t="n">
        <f aca="false">VLOOKUP(B3133,'Babblefish-APUMA'!$A$1:$B$86,2)</f>
        <v>92</v>
      </c>
      <c r="F3133" s="0" t="n">
        <f aca="false">IF(C3133&gt;1,IF(C3133&lt;99,VLOOKUP(C3133,'Babblefish-APUMA'!$A$1:$B$86,2),C3133),C3133)</f>
        <v>90</v>
      </c>
    </row>
    <row r="3134" customFormat="false" ht="12.75" hidden="false" customHeight="false" outlineLevel="0" collapsed="false">
      <c r="A3134" s="0" t="n">
        <f aca="false">B3134*1000+C3134</f>
        <v>48055</v>
      </c>
      <c r="B3134" s="0" t="n">
        <v>48</v>
      </c>
      <c r="C3134" s="0" t="n">
        <v>55</v>
      </c>
      <c r="D3134" s="0" t="n">
        <v>494</v>
      </c>
      <c r="E3134" s="0" t="n">
        <f aca="false">VLOOKUP(B3134,'Babblefish-APUMA'!$A$1:$B$86,2)</f>
        <v>92</v>
      </c>
      <c r="F3134" s="0" t="n">
        <f aca="false">IF(C3134&gt;1,IF(C3134&lt;99,VLOOKUP(C3134,'Babblefish-APUMA'!$A$1:$B$86,2),C3134),C3134)</f>
        <v>90</v>
      </c>
    </row>
    <row r="3135" customFormat="false" ht="12.75" hidden="false" customHeight="false" outlineLevel="0" collapsed="false">
      <c r="A3135" s="0" t="n">
        <f aca="false">B3135*1000+C3135</f>
        <v>48056</v>
      </c>
      <c r="B3135" s="0" t="n">
        <v>48</v>
      </c>
      <c r="C3135" s="0" t="n">
        <v>56</v>
      </c>
      <c r="D3135" s="0" t="n">
        <v>884</v>
      </c>
      <c r="E3135" s="0" t="n">
        <f aca="false">VLOOKUP(B3135,'Babblefish-APUMA'!$A$1:$B$86,2)</f>
        <v>92</v>
      </c>
      <c r="F3135" s="0" t="n">
        <f aca="false">IF(C3135&gt;1,IF(C3135&lt;99,VLOOKUP(C3135,'Babblefish-APUMA'!$A$1:$B$86,2),C3135),C3135)</f>
        <v>90</v>
      </c>
    </row>
    <row r="3136" customFormat="false" ht="12.75" hidden="false" customHeight="false" outlineLevel="0" collapsed="false">
      <c r="A3136" s="0" t="n">
        <f aca="false">B3136*1000+C3136</f>
        <v>48057</v>
      </c>
      <c r="B3136" s="0" t="n">
        <v>48</v>
      </c>
      <c r="C3136" s="0" t="n">
        <v>57</v>
      </c>
      <c r="D3136" s="0" t="n">
        <v>1924</v>
      </c>
      <c r="E3136" s="0" t="n">
        <f aca="false">VLOOKUP(B3136,'Babblefish-APUMA'!$A$1:$B$86,2)</f>
        <v>92</v>
      </c>
      <c r="F3136" s="0" t="n">
        <f aca="false">IF(C3136&gt;1,IF(C3136&lt;99,VLOOKUP(C3136,'Babblefish-APUMA'!$A$1:$B$86,2),C3136),C3136)</f>
        <v>90</v>
      </c>
    </row>
    <row r="3137" customFormat="false" ht="12.75" hidden="false" customHeight="false" outlineLevel="0" collapsed="false">
      <c r="A3137" s="0" t="n">
        <f aca="false">B3137*1000+C3137</f>
        <v>48058</v>
      </c>
      <c r="B3137" s="0" t="n">
        <v>48</v>
      </c>
      <c r="C3137" s="0" t="n">
        <v>58</v>
      </c>
      <c r="D3137" s="0" t="n">
        <v>624</v>
      </c>
      <c r="E3137" s="0" t="n">
        <f aca="false">VLOOKUP(B3137,'Babblefish-APUMA'!$A$1:$B$86,2)</f>
        <v>92</v>
      </c>
      <c r="F3137" s="0" t="n">
        <f aca="false">IF(C3137&gt;1,IF(C3137&lt;99,VLOOKUP(C3137,'Babblefish-APUMA'!$A$1:$B$86,2),C3137),C3137)</f>
        <v>90</v>
      </c>
    </row>
    <row r="3138" customFormat="false" ht="12.75" hidden="false" customHeight="false" outlineLevel="0" collapsed="false">
      <c r="A3138" s="0" t="n">
        <f aca="false">B3138*1000+C3138</f>
        <v>48059</v>
      </c>
      <c r="B3138" s="0" t="n">
        <v>48</v>
      </c>
      <c r="C3138" s="0" t="n">
        <v>59</v>
      </c>
      <c r="D3138" s="0" t="n">
        <v>988</v>
      </c>
      <c r="E3138" s="0" t="n">
        <f aca="false">VLOOKUP(B3138,'Babblefish-APUMA'!$A$1:$B$86,2)</f>
        <v>92</v>
      </c>
      <c r="F3138" s="0" t="n">
        <f aca="false">IF(C3138&gt;1,IF(C3138&lt;99,VLOOKUP(C3138,'Babblefish-APUMA'!$A$1:$B$86,2),C3138),C3138)</f>
        <v>90</v>
      </c>
    </row>
    <row r="3139" customFormat="false" ht="12.75" hidden="false" customHeight="false" outlineLevel="0" collapsed="false">
      <c r="A3139" s="0" t="n">
        <f aca="false">B3139*1000+C3139</f>
        <v>48060</v>
      </c>
      <c r="B3139" s="0" t="n">
        <v>48</v>
      </c>
      <c r="C3139" s="0" t="n">
        <v>60</v>
      </c>
      <c r="D3139" s="0" t="n">
        <v>3796</v>
      </c>
      <c r="E3139" s="0" t="n">
        <f aca="false">VLOOKUP(B3139,'Babblefish-APUMA'!$A$1:$B$86,2)</f>
        <v>92</v>
      </c>
      <c r="F3139" s="0" t="n">
        <f aca="false">IF(C3139&gt;1,IF(C3139&lt;99,VLOOKUP(C3139,'Babblefish-APUMA'!$A$1:$B$86,2),C3139),C3139)</f>
        <v>90</v>
      </c>
    </row>
    <row r="3140" customFormat="false" ht="12.75" hidden="false" customHeight="false" outlineLevel="0" collapsed="false">
      <c r="A3140" s="0" t="n">
        <f aca="false">B3140*1000+C3140</f>
        <v>48061</v>
      </c>
      <c r="B3140" s="0" t="n">
        <v>48</v>
      </c>
      <c r="C3140" s="0" t="n">
        <v>61</v>
      </c>
      <c r="D3140" s="0" t="n">
        <v>312</v>
      </c>
      <c r="E3140" s="0" t="n">
        <f aca="false">VLOOKUP(B3140,'Babblefish-APUMA'!$A$1:$B$86,2)</f>
        <v>92</v>
      </c>
      <c r="F3140" s="0" t="n">
        <f aca="false">IF(C3140&gt;1,IF(C3140&lt;99,VLOOKUP(C3140,'Babblefish-APUMA'!$A$1:$B$86,2),C3140),C3140)</f>
        <v>90</v>
      </c>
    </row>
    <row r="3141" customFormat="false" ht="12.75" hidden="false" customHeight="false" outlineLevel="0" collapsed="false">
      <c r="A3141" s="0" t="n">
        <f aca="false">B3141*1000+C3141</f>
        <v>48062</v>
      </c>
      <c r="B3141" s="0" t="n">
        <v>48</v>
      </c>
      <c r="C3141" s="0" t="n">
        <v>62</v>
      </c>
      <c r="D3141" s="0" t="n">
        <v>1066</v>
      </c>
      <c r="E3141" s="0" t="n">
        <f aca="false">VLOOKUP(B3141,'Babblefish-APUMA'!$A$1:$B$86,2)</f>
        <v>92</v>
      </c>
      <c r="F3141" s="0" t="n">
        <f aca="false">IF(C3141&gt;1,IF(C3141&lt;99,VLOOKUP(C3141,'Babblefish-APUMA'!$A$1:$B$86,2),C3141),C3141)</f>
        <v>90</v>
      </c>
    </row>
    <row r="3142" customFormat="false" ht="12.75" hidden="false" customHeight="false" outlineLevel="0" collapsed="false">
      <c r="A3142" s="0" t="n">
        <f aca="false">B3142*1000+C3142</f>
        <v>48063</v>
      </c>
      <c r="B3142" s="0" t="n">
        <v>48</v>
      </c>
      <c r="C3142" s="0" t="n">
        <v>63</v>
      </c>
      <c r="D3142" s="0" t="n">
        <v>949</v>
      </c>
      <c r="E3142" s="0" t="n">
        <f aca="false">VLOOKUP(B3142,'Babblefish-APUMA'!$A$1:$B$86,2)</f>
        <v>92</v>
      </c>
      <c r="F3142" s="0" t="n">
        <f aca="false">IF(C3142&gt;1,IF(C3142&lt;99,VLOOKUP(C3142,'Babblefish-APUMA'!$A$1:$B$86,2),C3142),C3142)</f>
        <v>90</v>
      </c>
    </row>
    <row r="3143" customFormat="false" ht="12.75" hidden="false" customHeight="false" outlineLevel="0" collapsed="false">
      <c r="A3143" s="0" t="n">
        <f aca="false">B3143*1000+C3143</f>
        <v>48064</v>
      </c>
      <c r="B3143" s="0" t="n">
        <v>48</v>
      </c>
      <c r="C3143" s="0" t="n">
        <v>64</v>
      </c>
      <c r="D3143" s="0" t="n">
        <v>67912</v>
      </c>
      <c r="E3143" s="0" t="n">
        <f aca="false">VLOOKUP(B3143,'Babblefish-APUMA'!$A$1:$B$86,2)</f>
        <v>92</v>
      </c>
      <c r="F3143" s="0" t="n">
        <f aca="false">IF(C3143&gt;1,IF(C3143&lt;99,VLOOKUP(C3143,'Babblefish-APUMA'!$A$1:$B$86,2),C3143),C3143)</f>
        <v>90</v>
      </c>
    </row>
    <row r="3144" customFormat="false" ht="12.75" hidden="false" customHeight="false" outlineLevel="0" collapsed="false">
      <c r="A3144" s="0" t="n">
        <f aca="false">B3144*1000+C3144</f>
        <v>48065</v>
      </c>
      <c r="B3144" s="0" t="n">
        <v>48</v>
      </c>
      <c r="C3144" s="0" t="n">
        <v>65</v>
      </c>
      <c r="D3144" s="0" t="n">
        <v>21957</v>
      </c>
      <c r="E3144" s="0" t="n">
        <f aca="false">VLOOKUP(B3144,'Babblefish-APUMA'!$A$1:$B$86,2)</f>
        <v>92</v>
      </c>
      <c r="F3144" s="0" t="n">
        <f aca="false">IF(C3144&gt;1,IF(C3144&lt;99,VLOOKUP(C3144,'Babblefish-APUMA'!$A$1:$B$86,2),C3144),C3144)</f>
        <v>90</v>
      </c>
    </row>
    <row r="3145" customFormat="false" ht="12.75" hidden="false" customHeight="false" outlineLevel="0" collapsed="false">
      <c r="A3145" s="0" t="n">
        <f aca="false">B3145*1000+C3145</f>
        <v>48066</v>
      </c>
      <c r="B3145" s="0" t="n">
        <v>48</v>
      </c>
      <c r="C3145" s="0" t="n">
        <v>66</v>
      </c>
      <c r="D3145" s="0" t="n">
        <v>25610</v>
      </c>
      <c r="E3145" s="0" t="n">
        <f aca="false">VLOOKUP(B3145,'Babblefish-APUMA'!$A$1:$B$86,2)</f>
        <v>92</v>
      </c>
      <c r="F3145" s="0" t="n">
        <f aca="false">IF(C3145&gt;1,IF(C3145&lt;99,VLOOKUP(C3145,'Babblefish-APUMA'!$A$1:$B$86,2),C3145),C3145)</f>
        <v>90</v>
      </c>
    </row>
    <row r="3146" customFormat="false" ht="12.75" hidden="false" customHeight="false" outlineLevel="0" collapsed="false">
      <c r="A3146" s="0" t="n">
        <f aca="false">B3146*1000+C3146</f>
        <v>48067</v>
      </c>
      <c r="B3146" s="0" t="n">
        <v>48</v>
      </c>
      <c r="C3146" s="0" t="n">
        <v>67</v>
      </c>
      <c r="D3146" s="0" t="n">
        <v>156</v>
      </c>
      <c r="E3146" s="0" t="n">
        <f aca="false">VLOOKUP(B3146,'Babblefish-APUMA'!$A$1:$B$86,2)</f>
        <v>92</v>
      </c>
      <c r="F3146" s="0" t="n">
        <f aca="false">IF(C3146&gt;1,IF(C3146&lt;99,VLOOKUP(C3146,'Babblefish-APUMA'!$A$1:$B$86,2),C3146),C3146)</f>
        <v>103</v>
      </c>
    </row>
    <row r="3147" customFormat="false" ht="12.75" hidden="false" customHeight="false" outlineLevel="0" collapsed="false">
      <c r="A3147" s="0" t="n">
        <f aca="false">B3147*1000+C3147</f>
        <v>48068</v>
      </c>
      <c r="B3147" s="0" t="n">
        <v>48</v>
      </c>
      <c r="C3147" s="0" t="n">
        <v>68</v>
      </c>
      <c r="D3147" s="0" t="n">
        <v>0</v>
      </c>
      <c r="E3147" s="0" t="n">
        <f aca="false">VLOOKUP(B3147,'Babblefish-APUMA'!$A$1:$B$86,2)</f>
        <v>92</v>
      </c>
      <c r="F3147" s="0" t="n">
        <f aca="false">IF(C3147&gt;1,IF(C3147&lt;99,VLOOKUP(C3147,'Babblefish-APUMA'!$A$1:$B$86,2),C3147),C3147)</f>
        <v>93</v>
      </c>
    </row>
    <row r="3148" customFormat="false" ht="12.75" hidden="false" customHeight="false" outlineLevel="0" collapsed="false">
      <c r="A3148" s="0" t="n">
        <f aca="false">B3148*1000+C3148</f>
        <v>48069</v>
      </c>
      <c r="B3148" s="0" t="n">
        <v>48</v>
      </c>
      <c r="C3148" s="0" t="n">
        <v>69</v>
      </c>
      <c r="D3148" s="0" t="n">
        <v>3510</v>
      </c>
      <c r="E3148" s="0" t="n">
        <f aca="false">VLOOKUP(B3148,'Babblefish-APUMA'!$A$1:$B$86,2)</f>
        <v>92</v>
      </c>
      <c r="F3148" s="0" t="n">
        <f aca="false">IF(C3148&gt;1,IF(C3148&lt;99,VLOOKUP(C3148,'Babblefish-APUMA'!$A$1:$B$86,2),C3148),C3148)</f>
        <v>93</v>
      </c>
    </row>
    <row r="3149" customFormat="false" ht="12.75" hidden="false" customHeight="false" outlineLevel="0" collapsed="false">
      <c r="A3149" s="0" t="n">
        <f aca="false">B3149*1000+C3149</f>
        <v>48070</v>
      </c>
      <c r="B3149" s="0" t="n">
        <v>48</v>
      </c>
      <c r="C3149" s="0" t="n">
        <v>70</v>
      </c>
      <c r="D3149" s="0" t="n">
        <v>260</v>
      </c>
      <c r="E3149" s="0" t="n">
        <f aca="false">VLOOKUP(B3149,'Babblefish-APUMA'!$A$1:$B$86,2)</f>
        <v>92</v>
      </c>
      <c r="F3149" s="0" t="n">
        <f aca="false">IF(C3149&gt;1,IF(C3149&lt;99,VLOOKUP(C3149,'Babblefish-APUMA'!$A$1:$B$86,2),C3149),C3149)</f>
        <v>95</v>
      </c>
    </row>
    <row r="3150" customFormat="false" ht="12.75" hidden="false" customHeight="false" outlineLevel="0" collapsed="false">
      <c r="A3150" s="0" t="n">
        <f aca="false">B3150*1000+C3150</f>
        <v>48071</v>
      </c>
      <c r="B3150" s="0" t="n">
        <v>48</v>
      </c>
      <c r="C3150" s="0" t="n">
        <v>71</v>
      </c>
      <c r="D3150" s="0" t="n">
        <v>1157</v>
      </c>
      <c r="E3150" s="0" t="n">
        <f aca="false">VLOOKUP(B3150,'Babblefish-APUMA'!$A$1:$B$86,2)</f>
        <v>92</v>
      </c>
      <c r="F3150" s="0" t="n">
        <f aca="false">IF(C3150&gt;1,IF(C3150&lt;99,VLOOKUP(C3150,'Babblefish-APUMA'!$A$1:$B$86,2),C3150),C3150)</f>
        <v>95</v>
      </c>
    </row>
    <row r="3151" customFormat="false" ht="12.75" hidden="false" customHeight="false" outlineLevel="0" collapsed="false">
      <c r="A3151" s="0" t="n">
        <f aca="false">B3151*1000+C3151</f>
        <v>48072</v>
      </c>
      <c r="B3151" s="0" t="n">
        <v>48</v>
      </c>
      <c r="C3151" s="0" t="n">
        <v>72</v>
      </c>
      <c r="D3151" s="0" t="n">
        <v>2990</v>
      </c>
      <c r="E3151" s="0" t="n">
        <f aca="false">VLOOKUP(B3151,'Babblefish-APUMA'!$A$1:$B$86,2)</f>
        <v>92</v>
      </c>
      <c r="F3151" s="0" t="n">
        <f aca="false">IF(C3151&gt;1,IF(C3151&lt;99,VLOOKUP(C3151,'Babblefish-APUMA'!$A$1:$B$86,2),C3151),C3151)</f>
        <v>95</v>
      </c>
    </row>
    <row r="3152" customFormat="false" ht="12.75" hidden="false" customHeight="false" outlineLevel="0" collapsed="false">
      <c r="A3152" s="0" t="n">
        <f aca="false">B3152*1000+C3152</f>
        <v>48073</v>
      </c>
      <c r="B3152" s="0" t="n">
        <v>48</v>
      </c>
      <c r="C3152" s="0" t="n">
        <v>73</v>
      </c>
      <c r="D3152" s="0" t="n">
        <v>0</v>
      </c>
      <c r="E3152" s="0" t="n">
        <f aca="false">VLOOKUP(B3152,'Babblefish-APUMA'!$A$1:$B$86,2)</f>
        <v>92</v>
      </c>
      <c r="F3152" s="0" t="n">
        <f aca="false">IF(C3152&gt;1,IF(C3152&lt;99,VLOOKUP(C3152,'Babblefish-APUMA'!$A$1:$B$86,2),C3152),C3152)</f>
        <v>99</v>
      </c>
    </row>
    <row r="3153" customFormat="false" ht="12.75" hidden="false" customHeight="false" outlineLevel="0" collapsed="false">
      <c r="A3153" s="0" t="n">
        <f aca="false">B3153*1000+C3153</f>
        <v>48075</v>
      </c>
      <c r="B3153" s="0" t="n">
        <v>48</v>
      </c>
      <c r="C3153" s="0" t="n">
        <v>75</v>
      </c>
      <c r="D3153" s="0" t="n">
        <v>0</v>
      </c>
      <c r="E3153" s="0" t="n">
        <f aca="false">VLOOKUP(B3153,'Babblefish-APUMA'!$A$1:$B$86,2)</f>
        <v>92</v>
      </c>
      <c r="F3153" s="0" t="n">
        <f aca="false">IF(C3153&gt;1,IF(C3153&lt;99,VLOOKUP(C3153,'Babblefish-APUMA'!$A$1:$B$86,2),C3153),C3153)</f>
        <v>75</v>
      </c>
    </row>
    <row r="3154" customFormat="false" ht="12.75" hidden="false" customHeight="false" outlineLevel="0" collapsed="false">
      <c r="A3154" s="0" t="n">
        <f aca="false">B3154*1000+C3154</f>
        <v>48076</v>
      </c>
      <c r="B3154" s="0" t="n">
        <v>48</v>
      </c>
      <c r="C3154" s="0" t="n">
        <v>76</v>
      </c>
      <c r="D3154" s="0" t="n">
        <v>0</v>
      </c>
      <c r="E3154" s="0" t="n">
        <f aca="false">VLOOKUP(B3154,'Babblefish-APUMA'!$A$1:$B$86,2)</f>
        <v>92</v>
      </c>
      <c r="F3154" s="0" t="n">
        <f aca="false">IF(C3154&gt;1,IF(C3154&lt;99,VLOOKUP(C3154,'Babblefish-APUMA'!$A$1:$B$86,2),C3154),C3154)</f>
        <v>76</v>
      </c>
    </row>
    <row r="3155" customFormat="false" ht="12.75" hidden="false" customHeight="false" outlineLevel="0" collapsed="false">
      <c r="A3155" s="0" t="n">
        <f aca="false">B3155*1000+C3155</f>
        <v>48077</v>
      </c>
      <c r="B3155" s="0" t="n">
        <v>48</v>
      </c>
      <c r="C3155" s="0" t="n">
        <v>77</v>
      </c>
      <c r="D3155" s="0" t="n">
        <v>247</v>
      </c>
      <c r="E3155" s="0" t="n">
        <f aca="false">VLOOKUP(B3155,'Babblefish-APUMA'!$A$1:$B$86,2)</f>
        <v>92</v>
      </c>
      <c r="F3155" s="0" t="n">
        <f aca="false">IF(C3155&gt;1,IF(C3155&lt;99,VLOOKUP(C3155,'Babblefish-APUMA'!$A$1:$B$86,2),C3155),C3155)</f>
        <v>77</v>
      </c>
    </row>
    <row r="3156" customFormat="false" ht="12.75" hidden="false" customHeight="false" outlineLevel="0" collapsed="false">
      <c r="A3156" s="0" t="n">
        <f aca="false">B3156*1000+C3156</f>
        <v>48078</v>
      </c>
      <c r="B3156" s="0" t="n">
        <v>48</v>
      </c>
      <c r="C3156" s="0" t="n">
        <v>78</v>
      </c>
      <c r="D3156" s="0" t="n">
        <v>156</v>
      </c>
      <c r="E3156" s="0" t="n">
        <f aca="false">VLOOKUP(B3156,'Babblefish-APUMA'!$A$1:$B$86,2)</f>
        <v>92</v>
      </c>
      <c r="F3156" s="0" t="n">
        <f aca="false">IF(C3156&gt;1,IF(C3156&lt;99,VLOOKUP(C3156,'Babblefish-APUMA'!$A$1:$B$86,2),C3156),C3156)</f>
        <v>89</v>
      </c>
    </row>
    <row r="3157" customFormat="false" ht="12.75" hidden="false" customHeight="false" outlineLevel="0" collapsed="false">
      <c r="A3157" s="0" t="n">
        <f aca="false">B3157*1000+C3157</f>
        <v>48079</v>
      </c>
      <c r="B3157" s="0" t="n">
        <v>48</v>
      </c>
      <c r="C3157" s="0" t="n">
        <v>79</v>
      </c>
      <c r="D3157" s="0" t="n">
        <v>65</v>
      </c>
      <c r="E3157" s="0" t="n">
        <f aca="false">VLOOKUP(B3157,'Babblefish-APUMA'!$A$1:$B$86,2)</f>
        <v>92</v>
      </c>
      <c r="F3157" s="0" t="n">
        <f aca="false">IF(C3157&gt;1,IF(C3157&lt;99,VLOOKUP(C3157,'Babblefish-APUMA'!$A$1:$B$86,2),C3157),C3157)</f>
        <v>89</v>
      </c>
    </row>
    <row r="3158" customFormat="false" ht="12.75" hidden="false" customHeight="false" outlineLevel="0" collapsed="false">
      <c r="A3158" s="0" t="n">
        <f aca="false">B3158*1000+C3158</f>
        <v>48080</v>
      </c>
      <c r="B3158" s="0" t="n">
        <v>48</v>
      </c>
      <c r="C3158" s="0" t="n">
        <v>80</v>
      </c>
      <c r="D3158" s="0" t="n">
        <v>39</v>
      </c>
      <c r="E3158" s="0" t="n">
        <f aca="false">VLOOKUP(B3158,'Babblefish-APUMA'!$A$1:$B$86,2)</f>
        <v>92</v>
      </c>
      <c r="F3158" s="0" t="n">
        <f aca="false">IF(C3158&gt;1,IF(C3158&lt;99,VLOOKUP(C3158,'Babblefish-APUMA'!$A$1:$B$86,2),C3158),C3158)</f>
        <v>80</v>
      </c>
    </row>
    <row r="3159" customFormat="false" ht="12.75" hidden="false" customHeight="false" outlineLevel="0" collapsed="false">
      <c r="A3159" s="0" t="n">
        <f aca="false">B3159*1000+C3159</f>
        <v>48081</v>
      </c>
      <c r="B3159" s="0" t="n">
        <v>48</v>
      </c>
      <c r="C3159" s="0" t="n">
        <v>81</v>
      </c>
      <c r="D3159" s="0" t="n">
        <v>1612</v>
      </c>
      <c r="E3159" s="0" t="n">
        <f aca="false">VLOOKUP(B3159,'Babblefish-APUMA'!$A$1:$B$86,2)</f>
        <v>92</v>
      </c>
      <c r="F3159" s="0" t="n">
        <f aca="false">IF(C3159&gt;1,IF(C3159&lt;99,VLOOKUP(C3159,'Babblefish-APUMA'!$A$1:$B$86,2),C3159),C3159)</f>
        <v>93</v>
      </c>
    </row>
    <row r="3160" customFormat="false" ht="12.75" hidden="false" customHeight="false" outlineLevel="0" collapsed="false">
      <c r="A3160" s="0" t="n">
        <f aca="false">B3160*1000+C3160</f>
        <v>48082</v>
      </c>
      <c r="B3160" s="0" t="n">
        <v>48</v>
      </c>
      <c r="C3160" s="0" t="n">
        <v>82</v>
      </c>
      <c r="D3160" s="0" t="n">
        <v>377</v>
      </c>
      <c r="E3160" s="0" t="n">
        <f aca="false">VLOOKUP(B3160,'Babblefish-APUMA'!$A$1:$B$86,2)</f>
        <v>92</v>
      </c>
      <c r="F3160" s="0" t="n">
        <f aca="false">IF(C3160&gt;1,IF(C3160&lt;99,VLOOKUP(C3160,'Babblefish-APUMA'!$A$1:$B$86,2),C3160),C3160)</f>
        <v>95</v>
      </c>
    </row>
    <row r="3161" customFormat="false" ht="12.75" hidden="false" customHeight="false" outlineLevel="0" collapsed="false">
      <c r="A3161" s="0" t="n">
        <f aca="false">B3161*1000+C3161</f>
        <v>48083</v>
      </c>
      <c r="B3161" s="0" t="n">
        <v>48</v>
      </c>
      <c r="C3161" s="0" t="n">
        <v>83</v>
      </c>
      <c r="D3161" s="0" t="n">
        <v>0</v>
      </c>
      <c r="E3161" s="0" t="n">
        <f aca="false">VLOOKUP(B3161,'Babblefish-APUMA'!$A$1:$B$86,2)</f>
        <v>92</v>
      </c>
      <c r="F3161" s="0" t="n">
        <f aca="false">IF(C3161&gt;1,IF(C3161&lt;99,VLOOKUP(C3161,'Babblefish-APUMA'!$A$1:$B$86,2),C3161),C3161)</f>
        <v>103</v>
      </c>
    </row>
    <row r="3162" customFormat="false" ht="12.75" hidden="false" customHeight="false" outlineLevel="0" collapsed="false">
      <c r="A3162" s="0" t="n">
        <f aca="false">B3162*1000+C3162</f>
        <v>48084</v>
      </c>
      <c r="B3162" s="0" t="n">
        <v>48</v>
      </c>
      <c r="C3162" s="0" t="n">
        <v>84</v>
      </c>
      <c r="D3162" s="0" t="n">
        <v>54197</v>
      </c>
      <c r="E3162" s="0" t="n">
        <f aca="false">VLOOKUP(B3162,'Babblefish-APUMA'!$A$1:$B$86,2)</f>
        <v>92</v>
      </c>
      <c r="F3162" s="0" t="n">
        <f aca="false">IF(C3162&gt;1,IF(C3162&lt;99,VLOOKUP(C3162,'Babblefish-APUMA'!$A$1:$B$86,2),C3162),C3162)</f>
        <v>92</v>
      </c>
    </row>
    <row r="3163" customFormat="false" ht="12.75" hidden="false" customHeight="false" outlineLevel="0" collapsed="false">
      <c r="A3163" s="0" t="n">
        <f aca="false">B3163*1000+C3163</f>
        <v>48085</v>
      </c>
      <c r="B3163" s="0" t="n">
        <v>48</v>
      </c>
      <c r="C3163" s="0" t="n">
        <v>85</v>
      </c>
      <c r="D3163" s="0" t="n">
        <v>0</v>
      </c>
      <c r="E3163" s="0" t="n">
        <f aca="false">VLOOKUP(B3163,'Babblefish-APUMA'!$A$1:$B$86,2)</f>
        <v>92</v>
      </c>
      <c r="F3163" s="0" t="n">
        <f aca="false">IF(C3163&gt;1,IF(C3163&lt;99,VLOOKUP(C3163,'Babblefish-APUMA'!$A$1:$B$86,2),C3163),C3163)</f>
        <v>97</v>
      </c>
    </row>
    <row r="3164" customFormat="false" ht="12.75" hidden="false" customHeight="false" outlineLevel="0" collapsed="false">
      <c r="A3164" s="0" t="n">
        <f aca="false">B3164*1000+C3164</f>
        <v>48858</v>
      </c>
      <c r="B3164" s="0" t="n">
        <v>48</v>
      </c>
      <c r="C3164" s="0" t="n">
        <v>858</v>
      </c>
      <c r="D3164" s="0" t="n">
        <v>0</v>
      </c>
      <c r="E3164" s="0" t="n">
        <f aca="false">VLOOKUP(B3164,'Babblefish-APUMA'!$A$1:$B$86,2)</f>
        <v>92</v>
      </c>
      <c r="F3164" s="0" t="n">
        <f aca="false">IF(C3164&gt;1,IF(C3164&lt;99,VLOOKUP(C3164,'Babblefish-APUMA'!$A$1:$B$86,2),C3164),C3164)</f>
        <v>858</v>
      </c>
    </row>
    <row r="3165" customFormat="false" ht="12.75" hidden="false" customHeight="false" outlineLevel="0" collapsed="false">
      <c r="A3165" s="0" t="n">
        <f aca="false">B3165*1000+C3165</f>
        <v>48983</v>
      </c>
      <c r="B3165" s="0" t="n">
        <v>48</v>
      </c>
      <c r="C3165" s="0" t="n">
        <v>983</v>
      </c>
      <c r="D3165" s="0" t="n">
        <v>0</v>
      </c>
      <c r="E3165" s="0" t="n">
        <f aca="false">VLOOKUP(B3165,'Babblefish-APUMA'!$A$1:$B$86,2)</f>
        <v>92</v>
      </c>
      <c r="F3165" s="0" t="n">
        <f aca="false">IF(C3165&gt;1,IF(C3165&lt;99,VLOOKUP(C3165,'Babblefish-APUMA'!$A$1:$B$86,2),C3165),C3165)</f>
        <v>983</v>
      </c>
    </row>
    <row r="3166" customFormat="false" ht="12.75" hidden="false" customHeight="false" outlineLevel="0" collapsed="false">
      <c r="A3166" s="0" t="n">
        <f aca="false">B3166*1000+C3166</f>
        <v>48999</v>
      </c>
      <c r="B3166" s="0" t="n">
        <v>48</v>
      </c>
      <c r="C3166" s="0" t="n">
        <v>999</v>
      </c>
      <c r="D3166" s="0" t="n">
        <v>169</v>
      </c>
      <c r="E3166" s="0" t="n">
        <f aca="false">VLOOKUP(B3166,'Babblefish-APUMA'!$A$1:$B$86,2)</f>
        <v>92</v>
      </c>
      <c r="F3166" s="0" t="n">
        <f aca="false">IF(C3166&gt;1,IF(C3166&lt;99,VLOOKUP(C3166,'Babblefish-APUMA'!$A$1:$B$86,2),C3166),C3166)</f>
        <v>999</v>
      </c>
    </row>
    <row r="3167" customFormat="false" ht="12.75" hidden="false" customHeight="false" outlineLevel="0" collapsed="false">
      <c r="A3167" s="0" t="n">
        <f aca="false">B3167*1000+C3167</f>
        <v>49000</v>
      </c>
      <c r="B3167" s="0" t="n">
        <v>49</v>
      </c>
      <c r="C3167" s="0" t="n">
        <v>0</v>
      </c>
      <c r="D3167" s="0" t="n">
        <v>269724</v>
      </c>
      <c r="E3167" s="0" t="n">
        <f aca="false">VLOOKUP(B3167,'Babblefish-APUMA'!$A$1:$B$86,2)</f>
        <v>98</v>
      </c>
      <c r="F3167" s="0" t="n">
        <f aca="false">IF(C3167&gt;1,IF(C3167&lt;99,VLOOKUP(C3167,'Babblefish-APUMA'!$A$1:$B$86,2),C3167),C3167)</f>
        <v>0</v>
      </c>
    </row>
    <row r="3168" customFormat="false" ht="12.75" hidden="false" customHeight="false" outlineLevel="0" collapsed="false">
      <c r="A3168" s="0" t="n">
        <f aca="false">B3168*1000+C3168</f>
        <v>49001</v>
      </c>
      <c r="B3168" s="0" t="n">
        <v>49</v>
      </c>
      <c r="C3168" s="0" t="n">
        <v>1</v>
      </c>
      <c r="D3168" s="0" t="n">
        <v>91</v>
      </c>
      <c r="E3168" s="0" t="n">
        <f aca="false">VLOOKUP(B3168,'Babblefish-APUMA'!$A$1:$B$86,2)</f>
        <v>98</v>
      </c>
      <c r="F3168" s="0" t="n">
        <f aca="false">IF(C3168&gt;1,IF(C3168&lt;99,VLOOKUP(C3168,'Babblefish-APUMA'!$A$1:$B$86,2),C3168),C3168)</f>
        <v>1</v>
      </c>
    </row>
    <row r="3169" customFormat="false" ht="12.75" hidden="false" customHeight="false" outlineLevel="0" collapsed="false">
      <c r="A3169" s="0" t="n">
        <f aca="false">B3169*1000+C3169</f>
        <v>49002</v>
      </c>
      <c r="B3169" s="0" t="n">
        <v>49</v>
      </c>
      <c r="C3169" s="0" t="n">
        <v>2</v>
      </c>
      <c r="D3169" s="0" t="n">
        <v>143</v>
      </c>
      <c r="E3169" s="0" t="n">
        <f aca="false">VLOOKUP(B3169,'Babblefish-APUMA'!$A$1:$B$86,2)</f>
        <v>98</v>
      </c>
      <c r="F3169" s="0" t="n">
        <f aca="false">IF(C3169&gt;1,IF(C3169&lt;99,VLOOKUP(C3169,'Babblefish-APUMA'!$A$1:$B$86,2),C3169),C3169)</f>
        <v>2</v>
      </c>
    </row>
    <row r="3170" customFormat="false" ht="12.75" hidden="false" customHeight="false" outlineLevel="0" collapsed="false">
      <c r="A3170" s="0" t="n">
        <f aca="false">B3170*1000+C3170</f>
        <v>49003</v>
      </c>
      <c r="B3170" s="0" t="n">
        <v>49</v>
      </c>
      <c r="C3170" s="0" t="n">
        <v>3</v>
      </c>
      <c r="D3170" s="0" t="n">
        <v>234</v>
      </c>
      <c r="E3170" s="0" t="n">
        <f aca="false">VLOOKUP(B3170,'Babblefish-APUMA'!$A$1:$B$86,2)</f>
        <v>98</v>
      </c>
      <c r="F3170" s="0" t="n">
        <f aca="false">IF(C3170&gt;1,IF(C3170&lt;99,VLOOKUP(C3170,'Babblefish-APUMA'!$A$1:$B$86,2),C3170),C3170)</f>
        <v>3</v>
      </c>
    </row>
    <row r="3171" customFormat="false" ht="12.75" hidden="false" customHeight="false" outlineLevel="0" collapsed="false">
      <c r="A3171" s="0" t="n">
        <f aca="false">B3171*1000+C3171</f>
        <v>49004</v>
      </c>
      <c r="B3171" s="0" t="n">
        <v>49</v>
      </c>
      <c r="C3171" s="0" t="n">
        <v>4</v>
      </c>
      <c r="D3171" s="0" t="n">
        <v>182</v>
      </c>
      <c r="E3171" s="0" t="n">
        <f aca="false">VLOOKUP(B3171,'Babblefish-APUMA'!$A$1:$B$86,2)</f>
        <v>98</v>
      </c>
      <c r="F3171" s="0" t="n">
        <f aca="false">IF(C3171&gt;1,IF(C3171&lt;99,VLOOKUP(C3171,'Babblefish-APUMA'!$A$1:$B$86,2),C3171),C3171)</f>
        <v>4</v>
      </c>
    </row>
    <row r="3172" customFormat="false" ht="12.75" hidden="false" customHeight="false" outlineLevel="0" collapsed="false">
      <c r="A3172" s="0" t="n">
        <f aca="false">B3172*1000+C3172</f>
        <v>49005</v>
      </c>
      <c r="B3172" s="0" t="n">
        <v>49</v>
      </c>
      <c r="C3172" s="0" t="n">
        <v>5</v>
      </c>
      <c r="D3172" s="0" t="n">
        <v>0</v>
      </c>
      <c r="E3172" s="0" t="n">
        <f aca="false">VLOOKUP(B3172,'Babblefish-APUMA'!$A$1:$B$86,2)</f>
        <v>98</v>
      </c>
      <c r="F3172" s="0" t="n">
        <f aca="false">IF(C3172&gt;1,IF(C3172&lt;99,VLOOKUP(C3172,'Babblefish-APUMA'!$A$1:$B$86,2),C3172),C3172)</f>
        <v>5</v>
      </c>
    </row>
    <row r="3173" customFormat="false" ht="12.75" hidden="false" customHeight="false" outlineLevel="0" collapsed="false">
      <c r="A3173" s="0" t="n">
        <f aca="false">B3173*1000+C3173</f>
        <v>49006</v>
      </c>
      <c r="B3173" s="0" t="n">
        <v>49</v>
      </c>
      <c r="C3173" s="0" t="n">
        <v>6</v>
      </c>
      <c r="D3173" s="0" t="n">
        <v>0</v>
      </c>
      <c r="E3173" s="0" t="n">
        <f aca="false">VLOOKUP(B3173,'Babblefish-APUMA'!$A$1:$B$86,2)</f>
        <v>98</v>
      </c>
      <c r="F3173" s="0" t="n">
        <f aca="false">IF(C3173&gt;1,IF(C3173&lt;99,VLOOKUP(C3173,'Babblefish-APUMA'!$A$1:$B$86,2),C3173),C3173)</f>
        <v>6</v>
      </c>
    </row>
    <row r="3174" customFormat="false" ht="12.75" hidden="false" customHeight="false" outlineLevel="0" collapsed="false">
      <c r="A3174" s="0" t="n">
        <f aca="false">B3174*1000+C3174</f>
        <v>49007</v>
      </c>
      <c r="B3174" s="0" t="n">
        <v>49</v>
      </c>
      <c r="C3174" s="0" t="n">
        <v>7</v>
      </c>
      <c r="D3174" s="0" t="n">
        <v>0</v>
      </c>
      <c r="E3174" s="0" t="n">
        <f aca="false">VLOOKUP(B3174,'Babblefish-APUMA'!$A$1:$B$86,2)</f>
        <v>98</v>
      </c>
      <c r="F3174" s="0" t="n">
        <f aca="false">IF(C3174&gt;1,IF(C3174&lt;99,VLOOKUP(C3174,'Babblefish-APUMA'!$A$1:$B$86,2),C3174),C3174)</f>
        <v>7</v>
      </c>
    </row>
    <row r="3175" customFormat="false" ht="12.75" hidden="false" customHeight="false" outlineLevel="0" collapsed="false">
      <c r="A3175" s="0" t="n">
        <f aca="false">B3175*1000+C3175</f>
        <v>49008</v>
      </c>
      <c r="B3175" s="0" t="n">
        <v>49</v>
      </c>
      <c r="C3175" s="0" t="n">
        <v>8</v>
      </c>
      <c r="D3175" s="0" t="n">
        <v>0</v>
      </c>
      <c r="E3175" s="0" t="n">
        <f aca="false">VLOOKUP(B3175,'Babblefish-APUMA'!$A$1:$B$86,2)</f>
        <v>98</v>
      </c>
      <c r="F3175" s="0" t="n">
        <f aca="false">IF(C3175&gt;1,IF(C3175&lt;99,VLOOKUP(C3175,'Babblefish-APUMA'!$A$1:$B$86,2),C3175),C3175)</f>
        <v>8</v>
      </c>
    </row>
    <row r="3176" customFormat="false" ht="12.75" hidden="false" customHeight="false" outlineLevel="0" collapsed="false">
      <c r="A3176" s="0" t="n">
        <f aca="false">B3176*1000+C3176</f>
        <v>49009</v>
      </c>
      <c r="B3176" s="0" t="n">
        <v>49</v>
      </c>
      <c r="C3176" s="0" t="n">
        <v>9</v>
      </c>
      <c r="D3176" s="0" t="n">
        <v>0</v>
      </c>
      <c r="E3176" s="0" t="n">
        <f aca="false">VLOOKUP(B3176,'Babblefish-APUMA'!$A$1:$B$86,2)</f>
        <v>98</v>
      </c>
      <c r="F3176" s="0" t="n">
        <f aca="false">IF(C3176&gt;1,IF(C3176&lt;99,VLOOKUP(C3176,'Babblefish-APUMA'!$A$1:$B$86,2),C3176),C3176)</f>
        <v>9</v>
      </c>
    </row>
    <row r="3177" customFormat="false" ht="12.75" hidden="false" customHeight="false" outlineLevel="0" collapsed="false">
      <c r="A3177" s="0" t="n">
        <f aca="false">B3177*1000+C3177</f>
        <v>49010</v>
      </c>
      <c r="B3177" s="0" t="n">
        <v>49</v>
      </c>
      <c r="C3177" s="0" t="n">
        <v>10</v>
      </c>
      <c r="D3177" s="0" t="n">
        <v>0</v>
      </c>
      <c r="E3177" s="0" t="n">
        <f aca="false">VLOOKUP(B3177,'Babblefish-APUMA'!$A$1:$B$86,2)</f>
        <v>98</v>
      </c>
      <c r="F3177" s="0" t="n">
        <f aca="false">IF(C3177&gt;1,IF(C3177&lt;99,VLOOKUP(C3177,'Babblefish-APUMA'!$A$1:$B$86,2),C3177),C3177)</f>
        <v>10</v>
      </c>
    </row>
    <row r="3178" customFormat="false" ht="12.75" hidden="false" customHeight="false" outlineLevel="0" collapsed="false">
      <c r="A3178" s="0" t="n">
        <f aca="false">B3178*1000+C3178</f>
        <v>49011</v>
      </c>
      <c r="B3178" s="0" t="n">
        <v>49</v>
      </c>
      <c r="C3178" s="0" t="n">
        <v>11</v>
      </c>
      <c r="D3178" s="0" t="n">
        <v>78</v>
      </c>
      <c r="E3178" s="0" t="n">
        <f aca="false">VLOOKUP(B3178,'Babblefish-APUMA'!$A$1:$B$86,2)</f>
        <v>98</v>
      </c>
      <c r="F3178" s="0" t="n">
        <f aca="false">IF(C3178&gt;1,IF(C3178&lt;99,VLOOKUP(C3178,'Babblefish-APUMA'!$A$1:$B$86,2),C3178),C3178)</f>
        <v>11</v>
      </c>
    </row>
    <row r="3179" customFormat="false" ht="12.75" hidden="false" customHeight="false" outlineLevel="0" collapsed="false">
      <c r="A3179" s="0" t="n">
        <f aca="false">B3179*1000+C3179</f>
        <v>49012</v>
      </c>
      <c r="B3179" s="0" t="n">
        <v>49</v>
      </c>
      <c r="C3179" s="0" t="n">
        <v>12</v>
      </c>
      <c r="D3179" s="0" t="n">
        <v>52</v>
      </c>
      <c r="E3179" s="0" t="n">
        <f aca="false">VLOOKUP(B3179,'Babblefish-APUMA'!$A$1:$B$86,2)</f>
        <v>98</v>
      </c>
      <c r="F3179" s="0" t="n">
        <f aca="false">IF(C3179&gt;1,IF(C3179&lt;99,VLOOKUP(C3179,'Babblefish-APUMA'!$A$1:$B$86,2),C3179),C3179)</f>
        <v>12</v>
      </c>
    </row>
    <row r="3180" customFormat="false" ht="12.75" hidden="false" customHeight="false" outlineLevel="0" collapsed="false">
      <c r="A3180" s="0" t="n">
        <f aca="false">B3180*1000+C3180</f>
        <v>49013</v>
      </c>
      <c r="B3180" s="0" t="n">
        <v>49</v>
      </c>
      <c r="C3180" s="0" t="n">
        <v>13</v>
      </c>
      <c r="D3180" s="0" t="n">
        <v>273</v>
      </c>
      <c r="E3180" s="0" t="n">
        <f aca="false">VLOOKUP(B3180,'Babblefish-APUMA'!$A$1:$B$86,2)</f>
        <v>98</v>
      </c>
      <c r="F3180" s="0" t="n">
        <f aca="false">IF(C3180&gt;1,IF(C3180&lt;99,VLOOKUP(C3180,'Babblefish-APUMA'!$A$1:$B$86,2),C3180),C3180)</f>
        <v>100</v>
      </c>
    </row>
    <row r="3181" customFormat="false" ht="12.75" hidden="false" customHeight="false" outlineLevel="0" collapsed="false">
      <c r="A3181" s="0" t="n">
        <f aca="false">B3181*1000+C3181</f>
        <v>49014</v>
      </c>
      <c r="B3181" s="0" t="n">
        <v>49</v>
      </c>
      <c r="C3181" s="0" t="n">
        <v>14</v>
      </c>
      <c r="D3181" s="0" t="n">
        <v>0</v>
      </c>
      <c r="E3181" s="0" t="n">
        <f aca="false">VLOOKUP(B3181,'Babblefish-APUMA'!$A$1:$B$86,2)</f>
        <v>98</v>
      </c>
      <c r="F3181" s="0" t="n">
        <f aca="false">IF(C3181&gt;1,IF(C3181&lt;99,VLOOKUP(C3181,'Babblefish-APUMA'!$A$1:$B$86,2),C3181),C3181)</f>
        <v>100</v>
      </c>
    </row>
    <row r="3182" customFormat="false" ht="12.75" hidden="false" customHeight="false" outlineLevel="0" collapsed="false">
      <c r="A3182" s="0" t="n">
        <f aca="false">B3182*1000+C3182</f>
        <v>49015</v>
      </c>
      <c r="B3182" s="0" t="n">
        <v>49</v>
      </c>
      <c r="C3182" s="0" t="n">
        <v>15</v>
      </c>
      <c r="D3182" s="0" t="n">
        <v>390</v>
      </c>
      <c r="E3182" s="0" t="n">
        <f aca="false">VLOOKUP(B3182,'Babblefish-APUMA'!$A$1:$B$86,2)</f>
        <v>98</v>
      </c>
      <c r="F3182" s="0" t="n">
        <f aca="false">IF(C3182&gt;1,IF(C3182&lt;99,VLOOKUP(C3182,'Babblefish-APUMA'!$A$1:$B$86,2),C3182),C3182)</f>
        <v>15</v>
      </c>
    </row>
    <row r="3183" customFormat="false" ht="12.75" hidden="false" customHeight="false" outlineLevel="0" collapsed="false">
      <c r="A3183" s="0" t="n">
        <f aca="false">B3183*1000+C3183</f>
        <v>49016</v>
      </c>
      <c r="B3183" s="0" t="n">
        <v>49</v>
      </c>
      <c r="C3183" s="0" t="n">
        <v>16</v>
      </c>
      <c r="D3183" s="0" t="n">
        <v>0</v>
      </c>
      <c r="E3183" s="0" t="n">
        <f aca="false">VLOOKUP(B3183,'Babblefish-APUMA'!$A$1:$B$86,2)</f>
        <v>98</v>
      </c>
      <c r="F3183" s="0" t="n">
        <f aca="false">IF(C3183&gt;1,IF(C3183&lt;99,VLOOKUP(C3183,'Babblefish-APUMA'!$A$1:$B$86,2),C3183),C3183)</f>
        <v>99</v>
      </c>
    </row>
    <row r="3184" customFormat="false" ht="12.75" hidden="false" customHeight="false" outlineLevel="0" collapsed="false">
      <c r="A3184" s="0" t="n">
        <f aca="false">B3184*1000+C3184</f>
        <v>49017</v>
      </c>
      <c r="B3184" s="0" t="n">
        <v>49</v>
      </c>
      <c r="C3184" s="0" t="n">
        <v>17</v>
      </c>
      <c r="D3184" s="0" t="n">
        <v>78</v>
      </c>
      <c r="E3184" s="0" t="n">
        <f aca="false">VLOOKUP(B3184,'Babblefish-APUMA'!$A$1:$B$86,2)</f>
        <v>98</v>
      </c>
      <c r="F3184" s="0" t="n">
        <f aca="false">IF(C3184&gt;1,IF(C3184&lt;99,VLOOKUP(C3184,'Babblefish-APUMA'!$A$1:$B$86,2),C3184),C3184)</f>
        <v>87</v>
      </c>
    </row>
    <row r="3185" customFormat="false" ht="12.75" hidden="false" customHeight="false" outlineLevel="0" collapsed="false">
      <c r="A3185" s="0" t="n">
        <f aca="false">B3185*1000+C3185</f>
        <v>49018</v>
      </c>
      <c r="B3185" s="0" t="n">
        <v>49</v>
      </c>
      <c r="C3185" s="0" t="n">
        <v>18</v>
      </c>
      <c r="D3185" s="0" t="n">
        <v>6253</v>
      </c>
      <c r="E3185" s="0" t="n">
        <f aca="false">VLOOKUP(B3185,'Babblefish-APUMA'!$A$1:$B$86,2)</f>
        <v>98</v>
      </c>
      <c r="F3185" s="0" t="n">
        <f aca="false">IF(C3185&gt;1,IF(C3185&lt;99,VLOOKUP(C3185,'Babblefish-APUMA'!$A$1:$B$86,2),C3185),C3185)</f>
        <v>87</v>
      </c>
    </row>
    <row r="3186" customFormat="false" ht="12.75" hidden="false" customHeight="false" outlineLevel="0" collapsed="false">
      <c r="A3186" s="0" t="n">
        <f aca="false">B3186*1000+C3186</f>
        <v>49019</v>
      </c>
      <c r="B3186" s="0" t="n">
        <v>49</v>
      </c>
      <c r="C3186" s="0" t="n">
        <v>19</v>
      </c>
      <c r="D3186" s="0" t="n">
        <v>3237</v>
      </c>
      <c r="E3186" s="0" t="n">
        <f aca="false">VLOOKUP(B3186,'Babblefish-APUMA'!$A$1:$B$86,2)</f>
        <v>98</v>
      </c>
      <c r="F3186" s="0" t="n">
        <f aca="false">IF(C3186&gt;1,IF(C3186&lt;99,VLOOKUP(C3186,'Babblefish-APUMA'!$A$1:$B$86,2),C3186),C3186)</f>
        <v>19</v>
      </c>
    </row>
    <row r="3187" customFormat="false" ht="12.75" hidden="false" customHeight="false" outlineLevel="0" collapsed="false">
      <c r="A3187" s="0" t="n">
        <f aca="false">B3187*1000+C3187</f>
        <v>49020</v>
      </c>
      <c r="B3187" s="0" t="n">
        <v>49</v>
      </c>
      <c r="C3187" s="0" t="n">
        <v>20</v>
      </c>
      <c r="D3187" s="0" t="n">
        <v>572</v>
      </c>
      <c r="E3187" s="0" t="n">
        <f aca="false">VLOOKUP(B3187,'Babblefish-APUMA'!$A$1:$B$86,2)</f>
        <v>98</v>
      </c>
      <c r="F3187" s="0" t="n">
        <f aca="false">IF(C3187&gt;1,IF(C3187&lt;99,VLOOKUP(C3187,'Babblefish-APUMA'!$A$1:$B$86,2),C3187),C3187)</f>
        <v>86</v>
      </c>
    </row>
    <row r="3188" customFormat="false" ht="12.75" hidden="false" customHeight="false" outlineLevel="0" collapsed="false">
      <c r="A3188" s="0" t="n">
        <f aca="false">B3188*1000+C3188</f>
        <v>49021</v>
      </c>
      <c r="B3188" s="0" t="n">
        <v>49</v>
      </c>
      <c r="C3188" s="0" t="n">
        <v>21</v>
      </c>
      <c r="D3188" s="0" t="n">
        <v>8151</v>
      </c>
      <c r="E3188" s="0" t="n">
        <f aca="false">VLOOKUP(B3188,'Babblefish-APUMA'!$A$1:$B$86,2)</f>
        <v>98</v>
      </c>
      <c r="F3188" s="0" t="n">
        <f aca="false">IF(C3188&gt;1,IF(C3188&lt;99,VLOOKUP(C3188,'Babblefish-APUMA'!$A$1:$B$86,2),C3188),C3188)</f>
        <v>86</v>
      </c>
    </row>
    <row r="3189" customFormat="false" ht="12.75" hidden="false" customHeight="false" outlineLevel="0" collapsed="false">
      <c r="A3189" s="0" t="n">
        <f aca="false">B3189*1000+C3189</f>
        <v>49022</v>
      </c>
      <c r="B3189" s="0" t="n">
        <v>49</v>
      </c>
      <c r="C3189" s="0" t="n">
        <v>22</v>
      </c>
      <c r="D3189" s="0" t="n">
        <v>18473</v>
      </c>
      <c r="E3189" s="0" t="n">
        <f aca="false">VLOOKUP(B3189,'Babblefish-APUMA'!$A$1:$B$86,2)</f>
        <v>98</v>
      </c>
      <c r="F3189" s="0" t="n">
        <f aca="false">IF(C3189&gt;1,IF(C3189&lt;99,VLOOKUP(C3189,'Babblefish-APUMA'!$A$1:$B$86,2),C3189),C3189)</f>
        <v>22</v>
      </c>
    </row>
    <row r="3190" customFormat="false" ht="12.75" hidden="false" customHeight="false" outlineLevel="0" collapsed="false">
      <c r="A3190" s="0" t="n">
        <f aca="false">B3190*1000+C3190</f>
        <v>49023</v>
      </c>
      <c r="B3190" s="0" t="n">
        <v>49</v>
      </c>
      <c r="C3190" s="0" t="n">
        <v>23</v>
      </c>
      <c r="D3190" s="0" t="n">
        <v>130</v>
      </c>
      <c r="E3190" s="0" t="n">
        <f aca="false">VLOOKUP(B3190,'Babblefish-APUMA'!$A$1:$B$86,2)</f>
        <v>98</v>
      </c>
      <c r="F3190" s="0" t="n">
        <f aca="false">IF(C3190&gt;1,IF(C3190&lt;99,VLOOKUP(C3190,'Babblefish-APUMA'!$A$1:$B$86,2),C3190),C3190)</f>
        <v>97</v>
      </c>
    </row>
    <row r="3191" customFormat="false" ht="12.75" hidden="false" customHeight="false" outlineLevel="0" collapsed="false">
      <c r="A3191" s="0" t="n">
        <f aca="false">B3191*1000+C3191</f>
        <v>49024</v>
      </c>
      <c r="B3191" s="0" t="n">
        <v>49</v>
      </c>
      <c r="C3191" s="0" t="n">
        <v>24</v>
      </c>
      <c r="D3191" s="0" t="n">
        <v>0</v>
      </c>
      <c r="E3191" s="0" t="n">
        <f aca="false">VLOOKUP(B3191,'Babblefish-APUMA'!$A$1:$B$86,2)</f>
        <v>98</v>
      </c>
      <c r="F3191" s="0" t="n">
        <f aca="false">IF(C3191&gt;1,IF(C3191&lt;99,VLOOKUP(C3191,'Babblefish-APUMA'!$A$1:$B$86,2),C3191),C3191)</f>
        <v>101</v>
      </c>
    </row>
    <row r="3192" customFormat="false" ht="12.75" hidden="false" customHeight="false" outlineLevel="0" collapsed="false">
      <c r="A3192" s="0" t="n">
        <f aca="false">B3192*1000+C3192</f>
        <v>49025</v>
      </c>
      <c r="B3192" s="0" t="n">
        <v>49</v>
      </c>
      <c r="C3192" s="0" t="n">
        <v>25</v>
      </c>
      <c r="D3192" s="0" t="n">
        <v>156</v>
      </c>
      <c r="E3192" s="0" t="n">
        <f aca="false">VLOOKUP(B3192,'Babblefish-APUMA'!$A$1:$B$86,2)</f>
        <v>98</v>
      </c>
      <c r="F3192" s="0" t="n">
        <f aca="false">IF(C3192&gt;1,IF(C3192&lt;99,VLOOKUP(C3192,'Babblefish-APUMA'!$A$1:$B$86,2),C3192),C3192)</f>
        <v>101</v>
      </c>
    </row>
    <row r="3193" customFormat="false" ht="12.75" hidden="false" customHeight="false" outlineLevel="0" collapsed="false">
      <c r="A3193" s="0" t="n">
        <f aca="false">B3193*1000+C3193</f>
        <v>49026</v>
      </c>
      <c r="B3193" s="0" t="n">
        <v>49</v>
      </c>
      <c r="C3193" s="0" t="n">
        <v>26</v>
      </c>
      <c r="D3193" s="0" t="n">
        <v>0</v>
      </c>
      <c r="E3193" s="0" t="n">
        <f aca="false">VLOOKUP(B3193,'Babblefish-APUMA'!$A$1:$B$86,2)</f>
        <v>98</v>
      </c>
      <c r="F3193" s="0" t="n">
        <f aca="false">IF(C3193&gt;1,IF(C3193&lt;99,VLOOKUP(C3193,'Babblefish-APUMA'!$A$1:$B$86,2),C3193),C3193)</f>
        <v>26</v>
      </c>
    </row>
    <row r="3194" customFormat="false" ht="12.75" hidden="false" customHeight="false" outlineLevel="0" collapsed="false">
      <c r="A3194" s="0" t="n">
        <f aca="false">B3194*1000+C3194</f>
        <v>49027</v>
      </c>
      <c r="B3194" s="0" t="n">
        <v>49</v>
      </c>
      <c r="C3194" s="0" t="n">
        <v>27</v>
      </c>
      <c r="D3194" s="0" t="n">
        <v>1079</v>
      </c>
      <c r="E3194" s="0" t="n">
        <f aca="false">VLOOKUP(B3194,'Babblefish-APUMA'!$A$1:$B$86,2)</f>
        <v>98</v>
      </c>
      <c r="F3194" s="0" t="n">
        <f aca="false">IF(C3194&gt;1,IF(C3194&lt;99,VLOOKUP(C3194,'Babblefish-APUMA'!$A$1:$B$86,2),C3194),C3194)</f>
        <v>27</v>
      </c>
    </row>
    <row r="3195" customFormat="false" ht="12.75" hidden="false" customHeight="false" outlineLevel="0" collapsed="false">
      <c r="A3195" s="0" t="n">
        <f aca="false">B3195*1000+C3195</f>
        <v>49028</v>
      </c>
      <c r="B3195" s="0" t="n">
        <v>49</v>
      </c>
      <c r="C3195" s="0" t="n">
        <v>28</v>
      </c>
      <c r="D3195" s="0" t="n">
        <v>143</v>
      </c>
      <c r="E3195" s="0" t="n">
        <f aca="false">VLOOKUP(B3195,'Babblefish-APUMA'!$A$1:$B$86,2)</f>
        <v>98</v>
      </c>
      <c r="F3195" s="0" t="n">
        <f aca="false">IF(C3195&gt;1,IF(C3195&lt;99,VLOOKUP(C3195,'Babblefish-APUMA'!$A$1:$B$86,2),C3195),C3195)</f>
        <v>94</v>
      </c>
    </row>
    <row r="3196" customFormat="false" ht="12.75" hidden="false" customHeight="false" outlineLevel="0" collapsed="false">
      <c r="A3196" s="0" t="n">
        <f aca="false">B3196*1000+C3196</f>
        <v>49029</v>
      </c>
      <c r="B3196" s="0" t="n">
        <v>49</v>
      </c>
      <c r="C3196" s="0" t="n">
        <v>29</v>
      </c>
      <c r="D3196" s="0" t="n">
        <v>0</v>
      </c>
      <c r="E3196" s="0" t="n">
        <f aca="false">VLOOKUP(B3196,'Babblefish-APUMA'!$A$1:$B$86,2)</f>
        <v>98</v>
      </c>
      <c r="F3196" s="0" t="n">
        <f aca="false">IF(C3196&gt;1,IF(C3196&lt;99,VLOOKUP(C3196,'Babblefish-APUMA'!$A$1:$B$86,2),C3196),C3196)</f>
        <v>94</v>
      </c>
    </row>
    <row r="3197" customFormat="false" ht="12.75" hidden="false" customHeight="false" outlineLevel="0" collapsed="false">
      <c r="A3197" s="0" t="n">
        <f aca="false">B3197*1000+C3197</f>
        <v>49030</v>
      </c>
      <c r="B3197" s="0" t="n">
        <v>49</v>
      </c>
      <c r="C3197" s="0" t="n">
        <v>30</v>
      </c>
      <c r="D3197" s="0" t="n">
        <v>0</v>
      </c>
      <c r="E3197" s="0" t="n">
        <f aca="false">VLOOKUP(B3197,'Babblefish-APUMA'!$A$1:$B$86,2)</f>
        <v>98</v>
      </c>
      <c r="F3197" s="0" t="n">
        <f aca="false">IF(C3197&gt;1,IF(C3197&lt;99,VLOOKUP(C3197,'Babblefish-APUMA'!$A$1:$B$86,2),C3197),C3197)</f>
        <v>30</v>
      </c>
    </row>
    <row r="3198" customFormat="false" ht="12.75" hidden="false" customHeight="false" outlineLevel="0" collapsed="false">
      <c r="A3198" s="0" t="n">
        <f aca="false">B3198*1000+C3198</f>
        <v>49031</v>
      </c>
      <c r="B3198" s="0" t="n">
        <v>49</v>
      </c>
      <c r="C3198" s="0" t="n">
        <v>31</v>
      </c>
      <c r="D3198" s="0" t="n">
        <v>0</v>
      </c>
      <c r="E3198" s="0" t="n">
        <f aca="false">VLOOKUP(B3198,'Babblefish-APUMA'!$A$1:$B$86,2)</f>
        <v>98</v>
      </c>
      <c r="F3198" s="0" t="n">
        <f aca="false">IF(C3198&gt;1,IF(C3198&lt;99,VLOOKUP(C3198,'Babblefish-APUMA'!$A$1:$B$86,2),C3198),C3198)</f>
        <v>31</v>
      </c>
    </row>
    <row r="3199" customFormat="false" ht="12.75" hidden="false" customHeight="false" outlineLevel="0" collapsed="false">
      <c r="A3199" s="0" t="n">
        <f aca="false">B3199*1000+C3199</f>
        <v>49032</v>
      </c>
      <c r="B3199" s="0" t="n">
        <v>49</v>
      </c>
      <c r="C3199" s="0" t="n">
        <v>32</v>
      </c>
      <c r="D3199" s="0" t="n">
        <v>0</v>
      </c>
      <c r="E3199" s="0" t="n">
        <f aca="false">VLOOKUP(B3199,'Babblefish-APUMA'!$A$1:$B$86,2)</f>
        <v>98</v>
      </c>
      <c r="F3199" s="0" t="n">
        <f aca="false">IF(C3199&gt;1,IF(C3199&lt;99,VLOOKUP(C3199,'Babblefish-APUMA'!$A$1:$B$86,2),C3199),C3199)</f>
        <v>32</v>
      </c>
    </row>
    <row r="3200" customFormat="false" ht="12.75" hidden="false" customHeight="false" outlineLevel="0" collapsed="false">
      <c r="A3200" s="0" t="n">
        <f aca="false">B3200*1000+C3200</f>
        <v>49033</v>
      </c>
      <c r="B3200" s="0" t="n">
        <v>49</v>
      </c>
      <c r="C3200" s="0" t="n">
        <v>33</v>
      </c>
      <c r="D3200" s="0" t="n">
        <v>78</v>
      </c>
      <c r="E3200" s="0" t="n">
        <f aca="false">VLOOKUP(B3200,'Babblefish-APUMA'!$A$1:$B$86,2)</f>
        <v>98</v>
      </c>
      <c r="F3200" s="0" t="n">
        <f aca="false">IF(C3200&gt;1,IF(C3200&lt;99,VLOOKUP(C3200,'Babblefish-APUMA'!$A$1:$B$86,2),C3200),C3200)</f>
        <v>96</v>
      </c>
    </row>
    <row r="3201" customFormat="false" ht="12.75" hidden="false" customHeight="false" outlineLevel="0" collapsed="false">
      <c r="A3201" s="0" t="n">
        <f aca="false">B3201*1000+C3201</f>
        <v>49034</v>
      </c>
      <c r="B3201" s="0" t="n">
        <v>49</v>
      </c>
      <c r="C3201" s="0" t="n">
        <v>34</v>
      </c>
      <c r="D3201" s="0" t="n">
        <v>0</v>
      </c>
      <c r="E3201" s="0" t="n">
        <f aca="false">VLOOKUP(B3201,'Babblefish-APUMA'!$A$1:$B$86,2)</f>
        <v>98</v>
      </c>
      <c r="F3201" s="0" t="n">
        <f aca="false">IF(C3201&gt;1,IF(C3201&lt;99,VLOOKUP(C3201,'Babblefish-APUMA'!$A$1:$B$86,2),C3201),C3201)</f>
        <v>96</v>
      </c>
    </row>
    <row r="3202" customFormat="false" ht="12.75" hidden="false" customHeight="false" outlineLevel="0" collapsed="false">
      <c r="A3202" s="0" t="n">
        <f aca="false">B3202*1000+C3202</f>
        <v>49035</v>
      </c>
      <c r="B3202" s="0" t="n">
        <v>49</v>
      </c>
      <c r="C3202" s="0" t="n">
        <v>35</v>
      </c>
      <c r="D3202" s="0" t="n">
        <v>0</v>
      </c>
      <c r="E3202" s="0" t="n">
        <f aca="false">VLOOKUP(B3202,'Babblefish-APUMA'!$A$1:$B$86,2)</f>
        <v>98</v>
      </c>
      <c r="F3202" s="0" t="n">
        <f aca="false">IF(C3202&gt;1,IF(C3202&lt;99,VLOOKUP(C3202,'Babblefish-APUMA'!$A$1:$B$86,2),C3202),C3202)</f>
        <v>96</v>
      </c>
    </row>
    <row r="3203" customFormat="false" ht="12.75" hidden="false" customHeight="false" outlineLevel="0" collapsed="false">
      <c r="A3203" s="0" t="n">
        <f aca="false">B3203*1000+C3203</f>
        <v>49036</v>
      </c>
      <c r="B3203" s="0" t="n">
        <v>49</v>
      </c>
      <c r="C3203" s="0" t="n">
        <v>36</v>
      </c>
      <c r="D3203" s="0" t="n">
        <v>65</v>
      </c>
      <c r="E3203" s="0" t="n">
        <f aca="false">VLOOKUP(B3203,'Babblefish-APUMA'!$A$1:$B$86,2)</f>
        <v>98</v>
      </c>
      <c r="F3203" s="0" t="n">
        <f aca="false">IF(C3203&gt;1,IF(C3203&lt;99,VLOOKUP(C3203,'Babblefish-APUMA'!$A$1:$B$86,2),C3203),C3203)</f>
        <v>96</v>
      </c>
    </row>
    <row r="3204" customFormat="false" ht="12.75" hidden="false" customHeight="false" outlineLevel="0" collapsed="false">
      <c r="A3204" s="0" t="n">
        <f aca="false">B3204*1000+C3204</f>
        <v>49037</v>
      </c>
      <c r="B3204" s="0" t="n">
        <v>49</v>
      </c>
      <c r="C3204" s="0" t="n">
        <v>37</v>
      </c>
      <c r="D3204" s="0" t="n">
        <v>0</v>
      </c>
      <c r="E3204" s="0" t="n">
        <f aca="false">VLOOKUP(B3204,'Babblefish-APUMA'!$A$1:$B$86,2)</f>
        <v>98</v>
      </c>
      <c r="F3204" s="0" t="n">
        <f aca="false">IF(C3204&gt;1,IF(C3204&lt;99,VLOOKUP(C3204,'Babblefish-APUMA'!$A$1:$B$86,2),C3204),C3204)</f>
        <v>96</v>
      </c>
    </row>
    <row r="3205" customFormat="false" ht="12.75" hidden="false" customHeight="false" outlineLevel="0" collapsed="false">
      <c r="A3205" s="0" t="n">
        <f aca="false">B3205*1000+C3205</f>
        <v>49038</v>
      </c>
      <c r="B3205" s="0" t="n">
        <v>49</v>
      </c>
      <c r="C3205" s="0" t="n">
        <v>38</v>
      </c>
      <c r="D3205" s="0" t="n">
        <v>78</v>
      </c>
      <c r="E3205" s="0" t="n">
        <f aca="false">VLOOKUP(B3205,'Babblefish-APUMA'!$A$1:$B$86,2)</f>
        <v>98</v>
      </c>
      <c r="F3205" s="0" t="n">
        <f aca="false">IF(C3205&gt;1,IF(C3205&lt;99,VLOOKUP(C3205,'Babblefish-APUMA'!$A$1:$B$86,2),C3205),C3205)</f>
        <v>91</v>
      </c>
    </row>
    <row r="3206" customFormat="false" ht="12.75" hidden="false" customHeight="false" outlineLevel="0" collapsed="false">
      <c r="A3206" s="0" t="n">
        <f aca="false">B3206*1000+C3206</f>
        <v>49039</v>
      </c>
      <c r="B3206" s="0" t="n">
        <v>49</v>
      </c>
      <c r="C3206" s="0" t="n">
        <v>39</v>
      </c>
      <c r="D3206" s="0" t="n">
        <v>273</v>
      </c>
      <c r="E3206" s="0" t="n">
        <f aca="false">VLOOKUP(B3206,'Babblefish-APUMA'!$A$1:$B$86,2)</f>
        <v>98</v>
      </c>
      <c r="F3206" s="0" t="n">
        <f aca="false">IF(C3206&gt;1,IF(C3206&lt;99,VLOOKUP(C3206,'Babblefish-APUMA'!$A$1:$B$86,2),C3206),C3206)</f>
        <v>91</v>
      </c>
    </row>
    <row r="3207" customFormat="false" ht="12.75" hidden="false" customHeight="false" outlineLevel="0" collapsed="false">
      <c r="A3207" s="0" t="n">
        <f aca="false">B3207*1000+C3207</f>
        <v>49040</v>
      </c>
      <c r="B3207" s="0" t="n">
        <v>49</v>
      </c>
      <c r="C3207" s="0" t="n">
        <v>40</v>
      </c>
      <c r="D3207" s="0" t="n">
        <v>0</v>
      </c>
      <c r="E3207" s="0" t="n">
        <f aca="false">VLOOKUP(B3207,'Babblefish-APUMA'!$A$1:$B$86,2)</f>
        <v>98</v>
      </c>
      <c r="F3207" s="0" t="n">
        <f aca="false">IF(C3207&gt;1,IF(C3207&lt;99,VLOOKUP(C3207,'Babblefish-APUMA'!$A$1:$B$86,2),C3207),C3207)</f>
        <v>88</v>
      </c>
    </row>
    <row r="3208" customFormat="false" ht="12.75" hidden="false" customHeight="false" outlineLevel="0" collapsed="false">
      <c r="A3208" s="0" t="n">
        <f aca="false">B3208*1000+C3208</f>
        <v>49041</v>
      </c>
      <c r="B3208" s="0" t="n">
        <v>49</v>
      </c>
      <c r="C3208" s="0" t="n">
        <v>41</v>
      </c>
      <c r="D3208" s="0" t="n">
        <v>0</v>
      </c>
      <c r="E3208" s="0" t="n">
        <f aca="false">VLOOKUP(B3208,'Babblefish-APUMA'!$A$1:$B$86,2)</f>
        <v>98</v>
      </c>
      <c r="F3208" s="0" t="n">
        <f aca="false">IF(C3208&gt;1,IF(C3208&lt;99,VLOOKUP(C3208,'Babblefish-APUMA'!$A$1:$B$86,2),C3208),C3208)</f>
        <v>88</v>
      </c>
    </row>
    <row r="3209" customFormat="false" ht="12.75" hidden="false" customHeight="false" outlineLevel="0" collapsed="false">
      <c r="A3209" s="0" t="n">
        <f aca="false">B3209*1000+C3209</f>
        <v>49042</v>
      </c>
      <c r="B3209" s="0" t="n">
        <v>49</v>
      </c>
      <c r="C3209" s="0" t="n">
        <v>42</v>
      </c>
      <c r="D3209" s="0" t="n">
        <v>0</v>
      </c>
      <c r="E3209" s="0" t="n">
        <f aca="false">VLOOKUP(B3209,'Babblefish-APUMA'!$A$1:$B$86,2)</f>
        <v>98</v>
      </c>
      <c r="F3209" s="0" t="n">
        <f aca="false">IF(C3209&gt;1,IF(C3209&lt;99,VLOOKUP(C3209,'Babblefish-APUMA'!$A$1:$B$86,2),C3209),C3209)</f>
        <v>92</v>
      </c>
    </row>
    <row r="3210" customFormat="false" ht="12.75" hidden="false" customHeight="false" outlineLevel="0" collapsed="false">
      <c r="A3210" s="0" t="n">
        <f aca="false">B3210*1000+C3210</f>
        <v>49043</v>
      </c>
      <c r="B3210" s="0" t="n">
        <v>49</v>
      </c>
      <c r="C3210" s="0" t="n">
        <v>43</v>
      </c>
      <c r="D3210" s="0" t="n">
        <v>0</v>
      </c>
      <c r="E3210" s="0" t="n">
        <f aca="false">VLOOKUP(B3210,'Babblefish-APUMA'!$A$1:$B$86,2)</f>
        <v>98</v>
      </c>
      <c r="F3210" s="0" t="n">
        <f aca="false">IF(C3210&gt;1,IF(C3210&lt;99,VLOOKUP(C3210,'Babblefish-APUMA'!$A$1:$B$86,2),C3210),C3210)</f>
        <v>92</v>
      </c>
    </row>
    <row r="3211" customFormat="false" ht="12.75" hidden="false" customHeight="false" outlineLevel="0" collapsed="false">
      <c r="A3211" s="0" t="n">
        <f aca="false">B3211*1000+C3211</f>
        <v>49044</v>
      </c>
      <c r="B3211" s="0" t="n">
        <v>49</v>
      </c>
      <c r="C3211" s="0" t="n">
        <v>44</v>
      </c>
      <c r="D3211" s="0" t="n">
        <v>91</v>
      </c>
      <c r="E3211" s="0" t="n">
        <f aca="false">VLOOKUP(B3211,'Babblefish-APUMA'!$A$1:$B$86,2)</f>
        <v>98</v>
      </c>
      <c r="F3211" s="0" t="n">
        <f aca="false">IF(C3211&gt;1,IF(C3211&lt;99,VLOOKUP(C3211,'Babblefish-APUMA'!$A$1:$B$86,2),C3211),C3211)</f>
        <v>92</v>
      </c>
    </row>
    <row r="3212" customFormat="false" ht="12.75" hidden="false" customHeight="false" outlineLevel="0" collapsed="false">
      <c r="A3212" s="0" t="n">
        <f aca="false">B3212*1000+C3212</f>
        <v>49045</v>
      </c>
      <c r="B3212" s="0" t="n">
        <v>49</v>
      </c>
      <c r="C3212" s="0" t="n">
        <v>45</v>
      </c>
      <c r="D3212" s="0" t="n">
        <v>0</v>
      </c>
      <c r="E3212" s="0" t="n">
        <f aca="false">VLOOKUP(B3212,'Babblefish-APUMA'!$A$1:$B$86,2)</f>
        <v>98</v>
      </c>
      <c r="F3212" s="0" t="n">
        <f aca="false">IF(C3212&gt;1,IF(C3212&lt;99,VLOOKUP(C3212,'Babblefish-APUMA'!$A$1:$B$86,2),C3212),C3212)</f>
        <v>92</v>
      </c>
    </row>
    <row r="3213" customFormat="false" ht="12.75" hidden="false" customHeight="false" outlineLevel="0" collapsed="false">
      <c r="A3213" s="0" t="n">
        <f aca="false">B3213*1000+C3213</f>
        <v>49046</v>
      </c>
      <c r="B3213" s="0" t="n">
        <v>49</v>
      </c>
      <c r="C3213" s="0" t="n">
        <v>46</v>
      </c>
      <c r="D3213" s="0" t="n">
        <v>0</v>
      </c>
      <c r="E3213" s="0" t="n">
        <f aca="false">VLOOKUP(B3213,'Babblefish-APUMA'!$A$1:$B$86,2)</f>
        <v>98</v>
      </c>
      <c r="F3213" s="0" t="n">
        <f aca="false">IF(C3213&gt;1,IF(C3213&lt;99,VLOOKUP(C3213,'Babblefish-APUMA'!$A$1:$B$86,2),C3213),C3213)</f>
        <v>92</v>
      </c>
    </row>
    <row r="3214" customFormat="false" ht="12.75" hidden="false" customHeight="false" outlineLevel="0" collapsed="false">
      <c r="A3214" s="0" t="n">
        <f aca="false">B3214*1000+C3214</f>
        <v>49047</v>
      </c>
      <c r="B3214" s="0" t="n">
        <v>49</v>
      </c>
      <c r="C3214" s="0" t="n">
        <v>47</v>
      </c>
      <c r="D3214" s="0" t="n">
        <v>0</v>
      </c>
      <c r="E3214" s="0" t="n">
        <f aca="false">VLOOKUP(B3214,'Babblefish-APUMA'!$A$1:$B$86,2)</f>
        <v>98</v>
      </c>
      <c r="F3214" s="0" t="n">
        <f aca="false">IF(C3214&gt;1,IF(C3214&lt;99,VLOOKUP(C3214,'Babblefish-APUMA'!$A$1:$B$86,2),C3214),C3214)</f>
        <v>92</v>
      </c>
    </row>
    <row r="3215" customFormat="false" ht="12.75" hidden="false" customHeight="false" outlineLevel="0" collapsed="false">
      <c r="A3215" s="0" t="n">
        <f aca="false">B3215*1000+C3215</f>
        <v>49048</v>
      </c>
      <c r="B3215" s="0" t="n">
        <v>49</v>
      </c>
      <c r="C3215" s="0" t="n">
        <v>48</v>
      </c>
      <c r="D3215" s="0" t="n">
        <v>0</v>
      </c>
      <c r="E3215" s="0" t="n">
        <f aca="false">VLOOKUP(B3215,'Babblefish-APUMA'!$A$1:$B$86,2)</f>
        <v>98</v>
      </c>
      <c r="F3215" s="0" t="n">
        <f aca="false">IF(C3215&gt;1,IF(C3215&lt;99,VLOOKUP(C3215,'Babblefish-APUMA'!$A$1:$B$86,2),C3215),C3215)</f>
        <v>92</v>
      </c>
    </row>
    <row r="3216" customFormat="false" ht="12.75" hidden="false" customHeight="false" outlineLevel="0" collapsed="false">
      <c r="A3216" s="0" t="n">
        <f aca="false">B3216*1000+C3216</f>
        <v>49049</v>
      </c>
      <c r="B3216" s="0" t="n">
        <v>49</v>
      </c>
      <c r="C3216" s="0" t="n">
        <v>49</v>
      </c>
      <c r="D3216" s="0" t="n">
        <v>177047</v>
      </c>
      <c r="E3216" s="0" t="n">
        <f aca="false">VLOOKUP(B3216,'Babblefish-APUMA'!$A$1:$B$86,2)</f>
        <v>98</v>
      </c>
      <c r="F3216" s="0" t="n">
        <f aca="false">IF(C3216&gt;1,IF(C3216&lt;99,VLOOKUP(C3216,'Babblefish-APUMA'!$A$1:$B$86,2),C3216),C3216)</f>
        <v>98</v>
      </c>
    </row>
    <row r="3217" customFormat="false" ht="12.75" hidden="false" customHeight="false" outlineLevel="0" collapsed="false">
      <c r="A3217" s="0" t="n">
        <f aca="false">B3217*1000+C3217</f>
        <v>49050</v>
      </c>
      <c r="B3217" s="0" t="n">
        <v>49</v>
      </c>
      <c r="C3217" s="0" t="n">
        <v>50</v>
      </c>
      <c r="D3217" s="0" t="n">
        <v>35828</v>
      </c>
      <c r="E3217" s="0" t="n">
        <f aca="false">VLOOKUP(B3217,'Babblefish-APUMA'!$A$1:$B$86,2)</f>
        <v>98</v>
      </c>
      <c r="F3217" s="0" t="n">
        <f aca="false">IF(C3217&gt;1,IF(C3217&lt;99,VLOOKUP(C3217,'Babblefish-APUMA'!$A$1:$B$86,2),C3217),C3217)</f>
        <v>98</v>
      </c>
    </row>
    <row r="3218" customFormat="false" ht="12.75" hidden="false" customHeight="false" outlineLevel="0" collapsed="false">
      <c r="A3218" s="0" t="n">
        <f aca="false">B3218*1000+C3218</f>
        <v>49051</v>
      </c>
      <c r="B3218" s="0" t="n">
        <v>49</v>
      </c>
      <c r="C3218" s="0" t="n">
        <v>51</v>
      </c>
      <c r="D3218" s="0" t="n">
        <v>72020</v>
      </c>
      <c r="E3218" s="0" t="n">
        <f aca="false">VLOOKUP(B3218,'Babblefish-APUMA'!$A$1:$B$86,2)</f>
        <v>98</v>
      </c>
      <c r="F3218" s="0" t="n">
        <f aca="false">IF(C3218&gt;1,IF(C3218&lt;99,VLOOKUP(C3218,'Babblefish-APUMA'!$A$1:$B$86,2),C3218),C3218)</f>
        <v>98</v>
      </c>
    </row>
    <row r="3219" customFormat="false" ht="12.75" hidden="false" customHeight="false" outlineLevel="0" collapsed="false">
      <c r="A3219" s="0" t="n">
        <f aca="false">B3219*1000+C3219</f>
        <v>49052</v>
      </c>
      <c r="B3219" s="0" t="n">
        <v>49</v>
      </c>
      <c r="C3219" s="0" t="n">
        <v>52</v>
      </c>
      <c r="D3219" s="0" t="n">
        <v>0</v>
      </c>
      <c r="E3219" s="0" t="n">
        <f aca="false">VLOOKUP(B3219,'Babblefish-APUMA'!$A$1:$B$86,2)</f>
        <v>98</v>
      </c>
      <c r="F3219" s="0" t="n">
        <f aca="false">IF(C3219&gt;1,IF(C3219&lt;99,VLOOKUP(C3219,'Babblefish-APUMA'!$A$1:$B$86,2),C3219),C3219)</f>
        <v>90</v>
      </c>
    </row>
    <row r="3220" customFormat="false" ht="12.75" hidden="false" customHeight="false" outlineLevel="0" collapsed="false">
      <c r="A3220" s="0" t="n">
        <f aca="false">B3220*1000+C3220</f>
        <v>49053</v>
      </c>
      <c r="B3220" s="0" t="n">
        <v>49</v>
      </c>
      <c r="C3220" s="0" t="n">
        <v>53</v>
      </c>
      <c r="D3220" s="0" t="n">
        <v>0</v>
      </c>
      <c r="E3220" s="0" t="n">
        <f aca="false">VLOOKUP(B3220,'Babblefish-APUMA'!$A$1:$B$86,2)</f>
        <v>98</v>
      </c>
      <c r="F3220" s="0" t="n">
        <f aca="false">IF(C3220&gt;1,IF(C3220&lt;99,VLOOKUP(C3220,'Babblefish-APUMA'!$A$1:$B$86,2),C3220),C3220)</f>
        <v>90</v>
      </c>
    </row>
    <row r="3221" customFormat="false" ht="12.75" hidden="false" customHeight="false" outlineLevel="0" collapsed="false">
      <c r="A3221" s="0" t="n">
        <f aca="false">B3221*1000+C3221</f>
        <v>49054</v>
      </c>
      <c r="B3221" s="0" t="n">
        <v>49</v>
      </c>
      <c r="C3221" s="0" t="n">
        <v>54</v>
      </c>
      <c r="D3221" s="0" t="n">
        <v>0</v>
      </c>
      <c r="E3221" s="0" t="n">
        <f aca="false">VLOOKUP(B3221,'Babblefish-APUMA'!$A$1:$B$86,2)</f>
        <v>98</v>
      </c>
      <c r="F3221" s="0" t="n">
        <f aca="false">IF(C3221&gt;1,IF(C3221&lt;99,VLOOKUP(C3221,'Babblefish-APUMA'!$A$1:$B$86,2),C3221),C3221)</f>
        <v>90</v>
      </c>
    </row>
    <row r="3222" customFormat="false" ht="12.75" hidden="false" customHeight="false" outlineLevel="0" collapsed="false">
      <c r="A3222" s="0" t="n">
        <f aca="false">B3222*1000+C3222</f>
        <v>49055</v>
      </c>
      <c r="B3222" s="0" t="n">
        <v>49</v>
      </c>
      <c r="C3222" s="0" t="n">
        <v>55</v>
      </c>
      <c r="D3222" s="0" t="n">
        <v>0</v>
      </c>
      <c r="E3222" s="0" t="n">
        <f aca="false">VLOOKUP(B3222,'Babblefish-APUMA'!$A$1:$B$86,2)</f>
        <v>98</v>
      </c>
      <c r="F3222" s="0" t="n">
        <f aca="false">IF(C3222&gt;1,IF(C3222&lt;99,VLOOKUP(C3222,'Babblefish-APUMA'!$A$1:$B$86,2),C3222),C3222)</f>
        <v>90</v>
      </c>
    </row>
    <row r="3223" customFormat="false" ht="12.75" hidden="false" customHeight="false" outlineLevel="0" collapsed="false">
      <c r="A3223" s="0" t="n">
        <f aca="false">B3223*1000+C3223</f>
        <v>49056</v>
      </c>
      <c r="B3223" s="0" t="n">
        <v>49</v>
      </c>
      <c r="C3223" s="0" t="n">
        <v>56</v>
      </c>
      <c r="D3223" s="0" t="n">
        <v>0</v>
      </c>
      <c r="E3223" s="0" t="n">
        <f aca="false">VLOOKUP(B3223,'Babblefish-APUMA'!$A$1:$B$86,2)</f>
        <v>98</v>
      </c>
      <c r="F3223" s="0" t="n">
        <f aca="false">IF(C3223&gt;1,IF(C3223&lt;99,VLOOKUP(C3223,'Babblefish-APUMA'!$A$1:$B$86,2),C3223),C3223)</f>
        <v>90</v>
      </c>
    </row>
    <row r="3224" customFormat="false" ht="12.75" hidden="false" customHeight="false" outlineLevel="0" collapsed="false">
      <c r="A3224" s="0" t="n">
        <f aca="false">B3224*1000+C3224</f>
        <v>49057</v>
      </c>
      <c r="B3224" s="0" t="n">
        <v>49</v>
      </c>
      <c r="C3224" s="0" t="n">
        <v>57</v>
      </c>
      <c r="D3224" s="0" t="n">
        <v>0</v>
      </c>
      <c r="E3224" s="0" t="n">
        <f aca="false">VLOOKUP(B3224,'Babblefish-APUMA'!$A$1:$B$86,2)</f>
        <v>98</v>
      </c>
      <c r="F3224" s="0" t="n">
        <f aca="false">IF(C3224&gt;1,IF(C3224&lt;99,VLOOKUP(C3224,'Babblefish-APUMA'!$A$1:$B$86,2),C3224),C3224)</f>
        <v>90</v>
      </c>
    </row>
    <row r="3225" customFormat="false" ht="12.75" hidden="false" customHeight="false" outlineLevel="0" collapsed="false">
      <c r="A3225" s="0" t="n">
        <f aca="false">B3225*1000+C3225</f>
        <v>49058</v>
      </c>
      <c r="B3225" s="0" t="n">
        <v>49</v>
      </c>
      <c r="C3225" s="0" t="n">
        <v>58</v>
      </c>
      <c r="D3225" s="0" t="n">
        <v>0</v>
      </c>
      <c r="E3225" s="0" t="n">
        <f aca="false">VLOOKUP(B3225,'Babblefish-APUMA'!$A$1:$B$86,2)</f>
        <v>98</v>
      </c>
      <c r="F3225" s="0" t="n">
        <f aca="false">IF(C3225&gt;1,IF(C3225&lt;99,VLOOKUP(C3225,'Babblefish-APUMA'!$A$1:$B$86,2),C3225),C3225)</f>
        <v>90</v>
      </c>
    </row>
    <row r="3226" customFormat="false" ht="12.75" hidden="false" customHeight="false" outlineLevel="0" collapsed="false">
      <c r="A3226" s="0" t="n">
        <f aca="false">B3226*1000+C3226</f>
        <v>49059</v>
      </c>
      <c r="B3226" s="0" t="n">
        <v>49</v>
      </c>
      <c r="C3226" s="0" t="n">
        <v>59</v>
      </c>
      <c r="D3226" s="0" t="n">
        <v>0</v>
      </c>
      <c r="E3226" s="0" t="n">
        <f aca="false">VLOOKUP(B3226,'Babblefish-APUMA'!$A$1:$B$86,2)</f>
        <v>98</v>
      </c>
      <c r="F3226" s="0" t="n">
        <f aca="false">IF(C3226&gt;1,IF(C3226&lt;99,VLOOKUP(C3226,'Babblefish-APUMA'!$A$1:$B$86,2),C3226),C3226)</f>
        <v>90</v>
      </c>
    </row>
    <row r="3227" customFormat="false" ht="12.75" hidden="false" customHeight="false" outlineLevel="0" collapsed="false">
      <c r="A3227" s="0" t="n">
        <f aca="false">B3227*1000+C3227</f>
        <v>49060</v>
      </c>
      <c r="B3227" s="0" t="n">
        <v>49</v>
      </c>
      <c r="C3227" s="0" t="n">
        <v>60</v>
      </c>
      <c r="D3227" s="0" t="n">
        <v>0</v>
      </c>
      <c r="E3227" s="0" t="n">
        <f aca="false">VLOOKUP(B3227,'Babblefish-APUMA'!$A$1:$B$86,2)</f>
        <v>98</v>
      </c>
      <c r="F3227" s="0" t="n">
        <f aca="false">IF(C3227&gt;1,IF(C3227&lt;99,VLOOKUP(C3227,'Babblefish-APUMA'!$A$1:$B$86,2),C3227),C3227)</f>
        <v>90</v>
      </c>
    </row>
    <row r="3228" customFormat="false" ht="12.75" hidden="false" customHeight="false" outlineLevel="0" collapsed="false">
      <c r="A3228" s="0" t="n">
        <f aca="false">B3228*1000+C3228</f>
        <v>49061</v>
      </c>
      <c r="B3228" s="0" t="n">
        <v>49</v>
      </c>
      <c r="C3228" s="0" t="n">
        <v>61</v>
      </c>
      <c r="D3228" s="0" t="n">
        <v>0</v>
      </c>
      <c r="E3228" s="0" t="n">
        <f aca="false">VLOOKUP(B3228,'Babblefish-APUMA'!$A$1:$B$86,2)</f>
        <v>98</v>
      </c>
      <c r="F3228" s="0" t="n">
        <f aca="false">IF(C3228&gt;1,IF(C3228&lt;99,VLOOKUP(C3228,'Babblefish-APUMA'!$A$1:$B$86,2),C3228),C3228)</f>
        <v>90</v>
      </c>
    </row>
    <row r="3229" customFormat="false" ht="12.75" hidden="false" customHeight="false" outlineLevel="0" collapsed="false">
      <c r="A3229" s="0" t="n">
        <f aca="false">B3229*1000+C3229</f>
        <v>49062</v>
      </c>
      <c r="B3229" s="0" t="n">
        <v>49</v>
      </c>
      <c r="C3229" s="0" t="n">
        <v>62</v>
      </c>
      <c r="D3229" s="0" t="n">
        <v>0</v>
      </c>
      <c r="E3229" s="0" t="n">
        <f aca="false">VLOOKUP(B3229,'Babblefish-APUMA'!$A$1:$B$86,2)</f>
        <v>98</v>
      </c>
      <c r="F3229" s="0" t="n">
        <f aca="false">IF(C3229&gt;1,IF(C3229&lt;99,VLOOKUP(C3229,'Babblefish-APUMA'!$A$1:$B$86,2),C3229),C3229)</f>
        <v>90</v>
      </c>
    </row>
    <row r="3230" customFormat="false" ht="12.75" hidden="false" customHeight="false" outlineLevel="0" collapsed="false">
      <c r="A3230" s="0" t="n">
        <f aca="false">B3230*1000+C3230</f>
        <v>49063</v>
      </c>
      <c r="B3230" s="0" t="n">
        <v>49</v>
      </c>
      <c r="C3230" s="0" t="n">
        <v>63</v>
      </c>
      <c r="D3230" s="0" t="n">
        <v>455</v>
      </c>
      <c r="E3230" s="0" t="n">
        <f aca="false">VLOOKUP(B3230,'Babblefish-APUMA'!$A$1:$B$86,2)</f>
        <v>98</v>
      </c>
      <c r="F3230" s="0" t="n">
        <f aca="false">IF(C3230&gt;1,IF(C3230&lt;99,VLOOKUP(C3230,'Babblefish-APUMA'!$A$1:$B$86,2),C3230),C3230)</f>
        <v>90</v>
      </c>
    </row>
    <row r="3231" customFormat="false" ht="12.75" hidden="false" customHeight="false" outlineLevel="0" collapsed="false">
      <c r="A3231" s="0" t="n">
        <f aca="false">B3231*1000+C3231</f>
        <v>49064</v>
      </c>
      <c r="B3231" s="0" t="n">
        <v>49</v>
      </c>
      <c r="C3231" s="0" t="n">
        <v>64</v>
      </c>
      <c r="D3231" s="0" t="n">
        <v>78</v>
      </c>
      <c r="E3231" s="0" t="n">
        <f aca="false">VLOOKUP(B3231,'Babblefish-APUMA'!$A$1:$B$86,2)</f>
        <v>98</v>
      </c>
      <c r="F3231" s="0" t="n">
        <f aca="false">IF(C3231&gt;1,IF(C3231&lt;99,VLOOKUP(C3231,'Babblefish-APUMA'!$A$1:$B$86,2),C3231),C3231)</f>
        <v>90</v>
      </c>
    </row>
    <row r="3232" customFormat="false" ht="12.75" hidden="false" customHeight="false" outlineLevel="0" collapsed="false">
      <c r="A3232" s="0" t="n">
        <f aca="false">B3232*1000+C3232</f>
        <v>49065</v>
      </c>
      <c r="B3232" s="0" t="n">
        <v>49</v>
      </c>
      <c r="C3232" s="0" t="n">
        <v>65</v>
      </c>
      <c r="D3232" s="0" t="n">
        <v>78</v>
      </c>
      <c r="E3232" s="0" t="n">
        <f aca="false">VLOOKUP(B3232,'Babblefish-APUMA'!$A$1:$B$86,2)</f>
        <v>98</v>
      </c>
      <c r="F3232" s="0" t="n">
        <f aca="false">IF(C3232&gt;1,IF(C3232&lt;99,VLOOKUP(C3232,'Babblefish-APUMA'!$A$1:$B$86,2),C3232),C3232)</f>
        <v>90</v>
      </c>
    </row>
    <row r="3233" customFormat="false" ht="12.75" hidden="false" customHeight="false" outlineLevel="0" collapsed="false">
      <c r="A3233" s="0" t="n">
        <f aca="false">B3233*1000+C3233</f>
        <v>49066</v>
      </c>
      <c r="B3233" s="0" t="n">
        <v>49</v>
      </c>
      <c r="C3233" s="0" t="n">
        <v>66</v>
      </c>
      <c r="D3233" s="0" t="n">
        <v>0</v>
      </c>
      <c r="E3233" s="0" t="n">
        <f aca="false">VLOOKUP(B3233,'Babblefish-APUMA'!$A$1:$B$86,2)</f>
        <v>98</v>
      </c>
      <c r="F3233" s="0" t="n">
        <f aca="false">IF(C3233&gt;1,IF(C3233&lt;99,VLOOKUP(C3233,'Babblefish-APUMA'!$A$1:$B$86,2),C3233),C3233)</f>
        <v>90</v>
      </c>
    </row>
    <row r="3234" customFormat="false" ht="12.75" hidden="false" customHeight="false" outlineLevel="0" collapsed="false">
      <c r="A3234" s="0" t="n">
        <f aca="false">B3234*1000+C3234</f>
        <v>49067</v>
      </c>
      <c r="B3234" s="0" t="n">
        <v>49</v>
      </c>
      <c r="C3234" s="0" t="n">
        <v>67</v>
      </c>
      <c r="D3234" s="0" t="n">
        <v>130</v>
      </c>
      <c r="E3234" s="0" t="n">
        <f aca="false">VLOOKUP(B3234,'Babblefish-APUMA'!$A$1:$B$86,2)</f>
        <v>98</v>
      </c>
      <c r="F3234" s="0" t="n">
        <f aca="false">IF(C3234&gt;1,IF(C3234&lt;99,VLOOKUP(C3234,'Babblefish-APUMA'!$A$1:$B$86,2),C3234),C3234)</f>
        <v>103</v>
      </c>
    </row>
    <row r="3235" customFormat="false" ht="12.75" hidden="false" customHeight="false" outlineLevel="0" collapsed="false">
      <c r="A3235" s="0" t="n">
        <f aca="false">B3235*1000+C3235</f>
        <v>49068</v>
      </c>
      <c r="B3235" s="0" t="n">
        <v>49</v>
      </c>
      <c r="C3235" s="0" t="n">
        <v>68</v>
      </c>
      <c r="D3235" s="0" t="n">
        <v>0</v>
      </c>
      <c r="E3235" s="0" t="n">
        <f aca="false">VLOOKUP(B3235,'Babblefish-APUMA'!$A$1:$B$86,2)</f>
        <v>98</v>
      </c>
      <c r="F3235" s="0" t="n">
        <f aca="false">IF(C3235&gt;1,IF(C3235&lt;99,VLOOKUP(C3235,'Babblefish-APUMA'!$A$1:$B$86,2),C3235),C3235)</f>
        <v>93</v>
      </c>
    </row>
    <row r="3236" customFormat="false" ht="12.75" hidden="false" customHeight="false" outlineLevel="0" collapsed="false">
      <c r="A3236" s="0" t="n">
        <f aca="false">B3236*1000+C3236</f>
        <v>49069</v>
      </c>
      <c r="B3236" s="0" t="n">
        <v>49</v>
      </c>
      <c r="C3236" s="0" t="n">
        <v>69</v>
      </c>
      <c r="D3236" s="0" t="n">
        <v>0</v>
      </c>
      <c r="E3236" s="0" t="n">
        <f aca="false">VLOOKUP(B3236,'Babblefish-APUMA'!$A$1:$B$86,2)</f>
        <v>98</v>
      </c>
      <c r="F3236" s="0" t="n">
        <f aca="false">IF(C3236&gt;1,IF(C3236&lt;99,VLOOKUP(C3236,'Babblefish-APUMA'!$A$1:$B$86,2),C3236),C3236)</f>
        <v>93</v>
      </c>
    </row>
    <row r="3237" customFormat="false" ht="12.75" hidden="false" customHeight="false" outlineLevel="0" collapsed="false">
      <c r="A3237" s="0" t="n">
        <f aca="false">B3237*1000+C3237</f>
        <v>49070</v>
      </c>
      <c r="B3237" s="0" t="n">
        <v>49</v>
      </c>
      <c r="C3237" s="0" t="n">
        <v>70</v>
      </c>
      <c r="D3237" s="0" t="n">
        <v>0</v>
      </c>
      <c r="E3237" s="0" t="n">
        <f aca="false">VLOOKUP(B3237,'Babblefish-APUMA'!$A$1:$B$86,2)</f>
        <v>98</v>
      </c>
      <c r="F3237" s="0" t="n">
        <f aca="false">IF(C3237&gt;1,IF(C3237&lt;99,VLOOKUP(C3237,'Babblefish-APUMA'!$A$1:$B$86,2),C3237),C3237)</f>
        <v>95</v>
      </c>
    </row>
    <row r="3238" customFormat="false" ht="12.75" hidden="false" customHeight="false" outlineLevel="0" collapsed="false">
      <c r="A3238" s="0" t="n">
        <f aca="false">B3238*1000+C3238</f>
        <v>49071</v>
      </c>
      <c r="B3238" s="0" t="n">
        <v>49</v>
      </c>
      <c r="C3238" s="0" t="n">
        <v>71</v>
      </c>
      <c r="D3238" s="0" t="n">
        <v>0</v>
      </c>
      <c r="E3238" s="0" t="n">
        <f aca="false">VLOOKUP(B3238,'Babblefish-APUMA'!$A$1:$B$86,2)</f>
        <v>98</v>
      </c>
      <c r="F3238" s="0" t="n">
        <f aca="false">IF(C3238&gt;1,IF(C3238&lt;99,VLOOKUP(C3238,'Babblefish-APUMA'!$A$1:$B$86,2),C3238),C3238)</f>
        <v>95</v>
      </c>
    </row>
    <row r="3239" customFormat="false" ht="12.75" hidden="false" customHeight="false" outlineLevel="0" collapsed="false">
      <c r="A3239" s="0" t="n">
        <f aca="false">B3239*1000+C3239</f>
        <v>49072</v>
      </c>
      <c r="B3239" s="0" t="n">
        <v>49</v>
      </c>
      <c r="C3239" s="0" t="n">
        <v>72</v>
      </c>
      <c r="D3239" s="0" t="n">
        <v>0</v>
      </c>
      <c r="E3239" s="0" t="n">
        <f aca="false">VLOOKUP(B3239,'Babblefish-APUMA'!$A$1:$B$86,2)</f>
        <v>98</v>
      </c>
      <c r="F3239" s="0" t="n">
        <f aca="false">IF(C3239&gt;1,IF(C3239&lt;99,VLOOKUP(C3239,'Babblefish-APUMA'!$A$1:$B$86,2),C3239),C3239)</f>
        <v>95</v>
      </c>
    </row>
    <row r="3240" customFormat="false" ht="12.75" hidden="false" customHeight="false" outlineLevel="0" collapsed="false">
      <c r="A3240" s="0" t="n">
        <f aca="false">B3240*1000+C3240</f>
        <v>49073</v>
      </c>
      <c r="B3240" s="0" t="n">
        <v>49</v>
      </c>
      <c r="C3240" s="0" t="n">
        <v>73</v>
      </c>
      <c r="D3240" s="0" t="n">
        <v>0</v>
      </c>
      <c r="E3240" s="0" t="n">
        <f aca="false">VLOOKUP(B3240,'Babblefish-APUMA'!$A$1:$B$86,2)</f>
        <v>98</v>
      </c>
      <c r="F3240" s="0" t="n">
        <f aca="false">IF(C3240&gt;1,IF(C3240&lt;99,VLOOKUP(C3240,'Babblefish-APUMA'!$A$1:$B$86,2),C3240),C3240)</f>
        <v>99</v>
      </c>
    </row>
    <row r="3241" customFormat="false" ht="12.75" hidden="false" customHeight="false" outlineLevel="0" collapsed="false">
      <c r="A3241" s="0" t="n">
        <f aca="false">B3241*1000+C3241</f>
        <v>49075</v>
      </c>
      <c r="B3241" s="0" t="n">
        <v>49</v>
      </c>
      <c r="C3241" s="0" t="n">
        <v>75</v>
      </c>
      <c r="D3241" s="0" t="n">
        <v>0</v>
      </c>
      <c r="E3241" s="0" t="n">
        <f aca="false">VLOOKUP(B3241,'Babblefish-APUMA'!$A$1:$B$86,2)</f>
        <v>98</v>
      </c>
      <c r="F3241" s="0" t="n">
        <f aca="false">IF(C3241&gt;1,IF(C3241&lt;99,VLOOKUP(C3241,'Babblefish-APUMA'!$A$1:$B$86,2),C3241),C3241)</f>
        <v>75</v>
      </c>
    </row>
    <row r="3242" customFormat="false" ht="12.75" hidden="false" customHeight="false" outlineLevel="0" collapsed="false">
      <c r="A3242" s="0" t="n">
        <f aca="false">B3242*1000+C3242</f>
        <v>49076</v>
      </c>
      <c r="B3242" s="0" t="n">
        <v>49</v>
      </c>
      <c r="C3242" s="0" t="n">
        <v>76</v>
      </c>
      <c r="D3242" s="0" t="n">
        <v>2405</v>
      </c>
      <c r="E3242" s="0" t="n">
        <f aca="false">VLOOKUP(B3242,'Babblefish-APUMA'!$A$1:$B$86,2)</f>
        <v>98</v>
      </c>
      <c r="F3242" s="0" t="n">
        <f aca="false">IF(C3242&gt;1,IF(C3242&lt;99,VLOOKUP(C3242,'Babblefish-APUMA'!$A$1:$B$86,2),C3242),C3242)</f>
        <v>76</v>
      </c>
    </row>
    <row r="3243" customFormat="false" ht="12.75" hidden="false" customHeight="false" outlineLevel="0" collapsed="false">
      <c r="A3243" s="0" t="n">
        <f aca="false">B3243*1000+C3243</f>
        <v>49077</v>
      </c>
      <c r="B3243" s="0" t="n">
        <v>49</v>
      </c>
      <c r="C3243" s="0" t="n">
        <v>77</v>
      </c>
      <c r="D3243" s="0" t="n">
        <v>0</v>
      </c>
      <c r="E3243" s="0" t="n">
        <f aca="false">VLOOKUP(B3243,'Babblefish-APUMA'!$A$1:$B$86,2)</f>
        <v>98</v>
      </c>
      <c r="F3243" s="0" t="n">
        <f aca="false">IF(C3243&gt;1,IF(C3243&lt;99,VLOOKUP(C3243,'Babblefish-APUMA'!$A$1:$B$86,2),C3243),C3243)</f>
        <v>77</v>
      </c>
    </row>
    <row r="3244" customFormat="false" ht="12.75" hidden="false" customHeight="false" outlineLevel="0" collapsed="false">
      <c r="A3244" s="0" t="n">
        <f aca="false">B3244*1000+C3244</f>
        <v>49078</v>
      </c>
      <c r="B3244" s="0" t="n">
        <v>49</v>
      </c>
      <c r="C3244" s="0" t="n">
        <v>78</v>
      </c>
      <c r="D3244" s="0" t="n">
        <v>65</v>
      </c>
      <c r="E3244" s="0" t="n">
        <f aca="false">VLOOKUP(B3244,'Babblefish-APUMA'!$A$1:$B$86,2)</f>
        <v>98</v>
      </c>
      <c r="F3244" s="0" t="n">
        <f aca="false">IF(C3244&gt;1,IF(C3244&lt;99,VLOOKUP(C3244,'Babblefish-APUMA'!$A$1:$B$86,2),C3244),C3244)</f>
        <v>89</v>
      </c>
    </row>
    <row r="3245" customFormat="false" ht="12.75" hidden="false" customHeight="false" outlineLevel="0" collapsed="false">
      <c r="A3245" s="0" t="n">
        <f aca="false">B3245*1000+C3245</f>
        <v>49079</v>
      </c>
      <c r="B3245" s="0" t="n">
        <v>49</v>
      </c>
      <c r="C3245" s="0" t="n">
        <v>79</v>
      </c>
      <c r="D3245" s="0" t="n">
        <v>130</v>
      </c>
      <c r="E3245" s="0" t="n">
        <f aca="false">VLOOKUP(B3245,'Babblefish-APUMA'!$A$1:$B$86,2)</f>
        <v>98</v>
      </c>
      <c r="F3245" s="0" t="n">
        <f aca="false">IF(C3245&gt;1,IF(C3245&lt;99,VLOOKUP(C3245,'Babblefish-APUMA'!$A$1:$B$86,2),C3245),C3245)</f>
        <v>89</v>
      </c>
    </row>
    <row r="3246" customFormat="false" ht="12.75" hidden="false" customHeight="false" outlineLevel="0" collapsed="false">
      <c r="A3246" s="0" t="n">
        <f aca="false">B3246*1000+C3246</f>
        <v>49080</v>
      </c>
      <c r="B3246" s="0" t="n">
        <v>49</v>
      </c>
      <c r="C3246" s="0" t="n">
        <v>80</v>
      </c>
      <c r="D3246" s="0" t="n">
        <v>130</v>
      </c>
      <c r="E3246" s="0" t="n">
        <f aca="false">VLOOKUP(B3246,'Babblefish-APUMA'!$A$1:$B$86,2)</f>
        <v>98</v>
      </c>
      <c r="F3246" s="0" t="n">
        <f aca="false">IF(C3246&gt;1,IF(C3246&lt;99,VLOOKUP(C3246,'Babblefish-APUMA'!$A$1:$B$86,2),C3246),C3246)</f>
        <v>80</v>
      </c>
    </row>
    <row r="3247" customFormat="false" ht="12.75" hidden="false" customHeight="false" outlineLevel="0" collapsed="false">
      <c r="A3247" s="0" t="n">
        <f aca="false">B3247*1000+C3247</f>
        <v>49081</v>
      </c>
      <c r="B3247" s="0" t="n">
        <v>49</v>
      </c>
      <c r="C3247" s="0" t="n">
        <v>81</v>
      </c>
      <c r="D3247" s="0" t="n">
        <v>0</v>
      </c>
      <c r="E3247" s="0" t="n">
        <f aca="false">VLOOKUP(B3247,'Babblefish-APUMA'!$A$1:$B$86,2)</f>
        <v>98</v>
      </c>
      <c r="F3247" s="0" t="n">
        <f aca="false">IF(C3247&gt;1,IF(C3247&lt;99,VLOOKUP(C3247,'Babblefish-APUMA'!$A$1:$B$86,2),C3247),C3247)</f>
        <v>93</v>
      </c>
    </row>
    <row r="3248" customFormat="false" ht="12.75" hidden="false" customHeight="false" outlineLevel="0" collapsed="false">
      <c r="A3248" s="0" t="n">
        <f aca="false">B3248*1000+C3248</f>
        <v>49082</v>
      </c>
      <c r="B3248" s="0" t="n">
        <v>49</v>
      </c>
      <c r="C3248" s="0" t="n">
        <v>82</v>
      </c>
      <c r="D3248" s="0" t="n">
        <v>0</v>
      </c>
      <c r="E3248" s="0" t="n">
        <f aca="false">VLOOKUP(B3248,'Babblefish-APUMA'!$A$1:$B$86,2)</f>
        <v>98</v>
      </c>
      <c r="F3248" s="0" t="n">
        <f aca="false">IF(C3248&gt;1,IF(C3248&lt;99,VLOOKUP(C3248,'Babblefish-APUMA'!$A$1:$B$86,2),C3248),C3248)</f>
        <v>95</v>
      </c>
    </row>
    <row r="3249" customFormat="false" ht="12.75" hidden="false" customHeight="false" outlineLevel="0" collapsed="false">
      <c r="A3249" s="0" t="n">
        <f aca="false">B3249*1000+C3249</f>
        <v>49083</v>
      </c>
      <c r="B3249" s="0" t="n">
        <v>49</v>
      </c>
      <c r="C3249" s="0" t="n">
        <v>83</v>
      </c>
      <c r="D3249" s="0" t="n">
        <v>0</v>
      </c>
      <c r="E3249" s="0" t="n">
        <f aca="false">VLOOKUP(B3249,'Babblefish-APUMA'!$A$1:$B$86,2)</f>
        <v>98</v>
      </c>
      <c r="F3249" s="0" t="n">
        <f aca="false">IF(C3249&gt;1,IF(C3249&lt;99,VLOOKUP(C3249,'Babblefish-APUMA'!$A$1:$B$86,2),C3249),C3249)</f>
        <v>103</v>
      </c>
    </row>
    <row r="3250" customFormat="false" ht="12.75" hidden="false" customHeight="false" outlineLevel="0" collapsed="false">
      <c r="A3250" s="0" t="n">
        <f aca="false">B3250*1000+C3250</f>
        <v>49084</v>
      </c>
      <c r="B3250" s="0" t="n">
        <v>49</v>
      </c>
      <c r="C3250" s="0" t="n">
        <v>84</v>
      </c>
      <c r="D3250" s="0" t="n">
        <v>0</v>
      </c>
      <c r="E3250" s="0" t="n">
        <f aca="false">VLOOKUP(B3250,'Babblefish-APUMA'!$A$1:$B$86,2)</f>
        <v>98</v>
      </c>
      <c r="F3250" s="0" t="n">
        <f aca="false">IF(C3250&gt;1,IF(C3250&lt;99,VLOOKUP(C3250,'Babblefish-APUMA'!$A$1:$B$86,2),C3250),C3250)</f>
        <v>92</v>
      </c>
    </row>
    <row r="3251" customFormat="false" ht="12.75" hidden="false" customHeight="false" outlineLevel="0" collapsed="false">
      <c r="A3251" s="0" t="n">
        <f aca="false">B3251*1000+C3251</f>
        <v>49085</v>
      </c>
      <c r="B3251" s="0" t="n">
        <v>49</v>
      </c>
      <c r="C3251" s="0" t="n">
        <v>85</v>
      </c>
      <c r="D3251" s="0" t="n">
        <v>0</v>
      </c>
      <c r="E3251" s="0" t="n">
        <f aca="false">VLOOKUP(B3251,'Babblefish-APUMA'!$A$1:$B$86,2)</f>
        <v>98</v>
      </c>
      <c r="F3251" s="0" t="n">
        <f aca="false">IF(C3251&gt;1,IF(C3251&lt;99,VLOOKUP(C3251,'Babblefish-APUMA'!$A$1:$B$86,2),C3251),C3251)</f>
        <v>97</v>
      </c>
    </row>
    <row r="3252" customFormat="false" ht="12.75" hidden="false" customHeight="false" outlineLevel="0" collapsed="false">
      <c r="A3252" s="0" t="n">
        <f aca="false">B3252*1000+C3252</f>
        <v>49858</v>
      </c>
      <c r="B3252" s="0" t="n">
        <v>49</v>
      </c>
      <c r="C3252" s="0" t="n">
        <v>858</v>
      </c>
      <c r="D3252" s="0" t="n">
        <v>0</v>
      </c>
      <c r="E3252" s="0" t="n">
        <f aca="false">VLOOKUP(B3252,'Babblefish-APUMA'!$A$1:$B$86,2)</f>
        <v>98</v>
      </c>
      <c r="F3252" s="0" t="n">
        <f aca="false">IF(C3252&gt;1,IF(C3252&lt;99,VLOOKUP(C3252,'Babblefish-APUMA'!$A$1:$B$86,2),C3252),C3252)</f>
        <v>858</v>
      </c>
    </row>
    <row r="3253" customFormat="false" ht="12.75" hidden="false" customHeight="false" outlineLevel="0" collapsed="false">
      <c r="A3253" s="0" t="n">
        <f aca="false">B3253*1000+C3253</f>
        <v>49983</v>
      </c>
      <c r="B3253" s="0" t="n">
        <v>49</v>
      </c>
      <c r="C3253" s="0" t="n">
        <v>983</v>
      </c>
      <c r="D3253" s="0" t="n">
        <v>0</v>
      </c>
      <c r="E3253" s="0" t="n">
        <f aca="false">VLOOKUP(B3253,'Babblefish-APUMA'!$A$1:$B$86,2)</f>
        <v>98</v>
      </c>
      <c r="F3253" s="0" t="n">
        <f aca="false">IF(C3253&gt;1,IF(C3253&lt;99,VLOOKUP(C3253,'Babblefish-APUMA'!$A$1:$B$86,2),C3253),C3253)</f>
        <v>983</v>
      </c>
    </row>
    <row r="3254" customFormat="false" ht="12.75" hidden="false" customHeight="false" outlineLevel="0" collapsed="false">
      <c r="A3254" s="0" t="n">
        <f aca="false">B3254*1000+C3254</f>
        <v>49999</v>
      </c>
      <c r="B3254" s="0" t="n">
        <v>49</v>
      </c>
      <c r="C3254" s="0" t="n">
        <v>999</v>
      </c>
      <c r="D3254" s="0" t="n">
        <v>182</v>
      </c>
      <c r="E3254" s="0" t="n">
        <f aca="false">VLOOKUP(B3254,'Babblefish-APUMA'!$A$1:$B$86,2)</f>
        <v>98</v>
      </c>
      <c r="F3254" s="0" t="n">
        <f aca="false">IF(C3254&gt;1,IF(C3254&lt;99,VLOOKUP(C3254,'Babblefish-APUMA'!$A$1:$B$86,2),C3254),C3254)</f>
        <v>999</v>
      </c>
    </row>
    <row r="3255" customFormat="false" ht="12.75" hidden="false" customHeight="false" outlineLevel="0" collapsed="false">
      <c r="A3255" s="0" t="n">
        <f aca="false">B3255*1000+C3255</f>
        <v>50000</v>
      </c>
      <c r="B3255" s="0" t="n">
        <v>50</v>
      </c>
      <c r="C3255" s="0" t="n">
        <v>0</v>
      </c>
      <c r="D3255" s="0" t="n">
        <v>44824</v>
      </c>
      <c r="E3255" s="0" t="n">
        <f aca="false">VLOOKUP(B3255,'Babblefish-APUMA'!$A$1:$B$86,2)</f>
        <v>98</v>
      </c>
      <c r="F3255" s="0" t="n">
        <f aca="false">IF(C3255&gt;1,IF(C3255&lt;99,VLOOKUP(C3255,'Babblefish-APUMA'!$A$1:$B$86,2),C3255),C3255)</f>
        <v>0</v>
      </c>
    </row>
    <row r="3256" customFormat="false" ht="12.75" hidden="false" customHeight="false" outlineLevel="0" collapsed="false">
      <c r="A3256" s="0" t="n">
        <f aca="false">B3256*1000+C3256</f>
        <v>50001</v>
      </c>
      <c r="B3256" s="0" t="n">
        <v>50</v>
      </c>
      <c r="C3256" s="0" t="n">
        <v>1</v>
      </c>
      <c r="D3256" s="0" t="n">
        <v>0</v>
      </c>
      <c r="E3256" s="0" t="n">
        <f aca="false">VLOOKUP(B3256,'Babblefish-APUMA'!$A$1:$B$86,2)</f>
        <v>98</v>
      </c>
      <c r="F3256" s="0" t="n">
        <f aca="false">IF(C3256&gt;1,IF(C3256&lt;99,VLOOKUP(C3256,'Babblefish-APUMA'!$A$1:$B$86,2),C3256),C3256)</f>
        <v>1</v>
      </c>
    </row>
    <row r="3257" customFormat="false" ht="12.75" hidden="false" customHeight="false" outlineLevel="0" collapsed="false">
      <c r="A3257" s="0" t="n">
        <f aca="false">B3257*1000+C3257</f>
        <v>50002</v>
      </c>
      <c r="B3257" s="0" t="n">
        <v>50</v>
      </c>
      <c r="C3257" s="0" t="n">
        <v>2</v>
      </c>
      <c r="D3257" s="0" t="n">
        <v>0</v>
      </c>
      <c r="E3257" s="0" t="n">
        <f aca="false">VLOOKUP(B3257,'Babblefish-APUMA'!$A$1:$B$86,2)</f>
        <v>98</v>
      </c>
      <c r="F3257" s="0" t="n">
        <f aca="false">IF(C3257&gt;1,IF(C3257&lt;99,VLOOKUP(C3257,'Babblefish-APUMA'!$A$1:$B$86,2),C3257),C3257)</f>
        <v>2</v>
      </c>
    </row>
    <row r="3258" customFormat="false" ht="12.75" hidden="false" customHeight="false" outlineLevel="0" collapsed="false">
      <c r="A3258" s="0" t="n">
        <f aca="false">B3258*1000+C3258</f>
        <v>50003</v>
      </c>
      <c r="B3258" s="0" t="n">
        <v>50</v>
      </c>
      <c r="C3258" s="0" t="n">
        <v>3</v>
      </c>
      <c r="D3258" s="0" t="n">
        <v>0</v>
      </c>
      <c r="E3258" s="0" t="n">
        <f aca="false">VLOOKUP(B3258,'Babblefish-APUMA'!$A$1:$B$86,2)</f>
        <v>98</v>
      </c>
      <c r="F3258" s="0" t="n">
        <f aca="false">IF(C3258&gt;1,IF(C3258&lt;99,VLOOKUP(C3258,'Babblefish-APUMA'!$A$1:$B$86,2),C3258),C3258)</f>
        <v>3</v>
      </c>
    </row>
    <row r="3259" customFormat="false" ht="12.75" hidden="false" customHeight="false" outlineLevel="0" collapsed="false">
      <c r="A3259" s="0" t="n">
        <f aca="false">B3259*1000+C3259</f>
        <v>50004</v>
      </c>
      <c r="B3259" s="0" t="n">
        <v>50</v>
      </c>
      <c r="C3259" s="0" t="n">
        <v>4</v>
      </c>
      <c r="D3259" s="0" t="n">
        <v>0</v>
      </c>
      <c r="E3259" s="0" t="n">
        <f aca="false">VLOOKUP(B3259,'Babblefish-APUMA'!$A$1:$B$86,2)</f>
        <v>98</v>
      </c>
      <c r="F3259" s="0" t="n">
        <f aca="false">IF(C3259&gt;1,IF(C3259&lt;99,VLOOKUP(C3259,'Babblefish-APUMA'!$A$1:$B$86,2),C3259),C3259)</f>
        <v>4</v>
      </c>
    </row>
    <row r="3260" customFormat="false" ht="12.75" hidden="false" customHeight="false" outlineLevel="0" collapsed="false">
      <c r="A3260" s="0" t="n">
        <f aca="false">B3260*1000+C3260</f>
        <v>50005</v>
      </c>
      <c r="B3260" s="0" t="n">
        <v>50</v>
      </c>
      <c r="C3260" s="0" t="n">
        <v>5</v>
      </c>
      <c r="D3260" s="0" t="n">
        <v>0</v>
      </c>
      <c r="E3260" s="0" t="n">
        <f aca="false">VLOOKUP(B3260,'Babblefish-APUMA'!$A$1:$B$86,2)</f>
        <v>98</v>
      </c>
      <c r="F3260" s="0" t="n">
        <f aca="false">IF(C3260&gt;1,IF(C3260&lt;99,VLOOKUP(C3260,'Babblefish-APUMA'!$A$1:$B$86,2),C3260),C3260)</f>
        <v>5</v>
      </c>
    </row>
    <row r="3261" customFormat="false" ht="12.75" hidden="false" customHeight="false" outlineLevel="0" collapsed="false">
      <c r="A3261" s="0" t="n">
        <f aca="false">B3261*1000+C3261</f>
        <v>50006</v>
      </c>
      <c r="B3261" s="0" t="n">
        <v>50</v>
      </c>
      <c r="C3261" s="0" t="n">
        <v>6</v>
      </c>
      <c r="D3261" s="0" t="n">
        <v>0</v>
      </c>
      <c r="E3261" s="0" t="n">
        <f aca="false">VLOOKUP(B3261,'Babblefish-APUMA'!$A$1:$B$86,2)</f>
        <v>98</v>
      </c>
      <c r="F3261" s="0" t="n">
        <f aca="false">IF(C3261&gt;1,IF(C3261&lt;99,VLOOKUP(C3261,'Babblefish-APUMA'!$A$1:$B$86,2),C3261),C3261)</f>
        <v>6</v>
      </c>
    </row>
    <row r="3262" customFormat="false" ht="12.75" hidden="false" customHeight="false" outlineLevel="0" collapsed="false">
      <c r="A3262" s="0" t="n">
        <f aca="false">B3262*1000+C3262</f>
        <v>50007</v>
      </c>
      <c r="B3262" s="0" t="n">
        <v>50</v>
      </c>
      <c r="C3262" s="0" t="n">
        <v>7</v>
      </c>
      <c r="D3262" s="0" t="n">
        <v>0</v>
      </c>
      <c r="E3262" s="0" t="n">
        <f aca="false">VLOOKUP(B3262,'Babblefish-APUMA'!$A$1:$B$86,2)</f>
        <v>98</v>
      </c>
      <c r="F3262" s="0" t="n">
        <f aca="false">IF(C3262&gt;1,IF(C3262&lt;99,VLOOKUP(C3262,'Babblefish-APUMA'!$A$1:$B$86,2),C3262),C3262)</f>
        <v>7</v>
      </c>
    </row>
    <row r="3263" customFormat="false" ht="12.75" hidden="false" customHeight="false" outlineLevel="0" collapsed="false">
      <c r="A3263" s="0" t="n">
        <f aca="false">B3263*1000+C3263</f>
        <v>50008</v>
      </c>
      <c r="B3263" s="0" t="n">
        <v>50</v>
      </c>
      <c r="C3263" s="0" t="n">
        <v>8</v>
      </c>
      <c r="D3263" s="0" t="n">
        <v>0</v>
      </c>
      <c r="E3263" s="0" t="n">
        <f aca="false">VLOOKUP(B3263,'Babblefish-APUMA'!$A$1:$B$86,2)</f>
        <v>98</v>
      </c>
      <c r="F3263" s="0" t="n">
        <f aca="false">IF(C3263&gt;1,IF(C3263&lt;99,VLOOKUP(C3263,'Babblefish-APUMA'!$A$1:$B$86,2),C3263),C3263)</f>
        <v>8</v>
      </c>
    </row>
    <row r="3264" customFormat="false" ht="12.75" hidden="false" customHeight="false" outlineLevel="0" collapsed="false">
      <c r="A3264" s="0" t="n">
        <f aca="false">B3264*1000+C3264</f>
        <v>50009</v>
      </c>
      <c r="B3264" s="0" t="n">
        <v>50</v>
      </c>
      <c r="C3264" s="0" t="n">
        <v>9</v>
      </c>
      <c r="D3264" s="0" t="n">
        <v>0</v>
      </c>
      <c r="E3264" s="0" t="n">
        <f aca="false">VLOOKUP(B3264,'Babblefish-APUMA'!$A$1:$B$86,2)</f>
        <v>98</v>
      </c>
      <c r="F3264" s="0" t="n">
        <f aca="false">IF(C3264&gt;1,IF(C3264&lt;99,VLOOKUP(C3264,'Babblefish-APUMA'!$A$1:$B$86,2),C3264),C3264)</f>
        <v>9</v>
      </c>
    </row>
    <row r="3265" customFormat="false" ht="12.75" hidden="false" customHeight="false" outlineLevel="0" collapsed="false">
      <c r="A3265" s="0" t="n">
        <f aca="false">B3265*1000+C3265</f>
        <v>50010</v>
      </c>
      <c r="B3265" s="0" t="n">
        <v>50</v>
      </c>
      <c r="C3265" s="0" t="n">
        <v>10</v>
      </c>
      <c r="D3265" s="0" t="n">
        <v>117</v>
      </c>
      <c r="E3265" s="0" t="n">
        <f aca="false">VLOOKUP(B3265,'Babblefish-APUMA'!$A$1:$B$86,2)</f>
        <v>98</v>
      </c>
      <c r="F3265" s="0" t="n">
        <f aca="false">IF(C3265&gt;1,IF(C3265&lt;99,VLOOKUP(C3265,'Babblefish-APUMA'!$A$1:$B$86,2),C3265),C3265)</f>
        <v>10</v>
      </c>
    </row>
    <row r="3266" customFormat="false" ht="12.75" hidden="false" customHeight="false" outlineLevel="0" collapsed="false">
      <c r="A3266" s="0" t="n">
        <f aca="false">B3266*1000+C3266</f>
        <v>50011</v>
      </c>
      <c r="B3266" s="0" t="n">
        <v>50</v>
      </c>
      <c r="C3266" s="0" t="n">
        <v>11</v>
      </c>
      <c r="D3266" s="0" t="n">
        <v>0</v>
      </c>
      <c r="E3266" s="0" t="n">
        <f aca="false">VLOOKUP(B3266,'Babblefish-APUMA'!$A$1:$B$86,2)</f>
        <v>98</v>
      </c>
      <c r="F3266" s="0" t="n">
        <f aca="false">IF(C3266&gt;1,IF(C3266&lt;99,VLOOKUP(C3266,'Babblefish-APUMA'!$A$1:$B$86,2),C3266),C3266)</f>
        <v>11</v>
      </c>
    </row>
    <row r="3267" customFormat="false" ht="12.75" hidden="false" customHeight="false" outlineLevel="0" collapsed="false">
      <c r="A3267" s="0" t="n">
        <f aca="false">B3267*1000+C3267</f>
        <v>50012</v>
      </c>
      <c r="B3267" s="0" t="n">
        <v>50</v>
      </c>
      <c r="C3267" s="0" t="n">
        <v>12</v>
      </c>
      <c r="D3267" s="0" t="n">
        <v>0</v>
      </c>
      <c r="E3267" s="0" t="n">
        <f aca="false">VLOOKUP(B3267,'Babblefish-APUMA'!$A$1:$B$86,2)</f>
        <v>98</v>
      </c>
      <c r="F3267" s="0" t="n">
        <f aca="false">IF(C3267&gt;1,IF(C3267&lt;99,VLOOKUP(C3267,'Babblefish-APUMA'!$A$1:$B$86,2),C3267),C3267)</f>
        <v>12</v>
      </c>
    </row>
    <row r="3268" customFormat="false" ht="12.75" hidden="false" customHeight="false" outlineLevel="0" collapsed="false">
      <c r="A3268" s="0" t="n">
        <f aca="false">B3268*1000+C3268</f>
        <v>50013</v>
      </c>
      <c r="B3268" s="0" t="n">
        <v>50</v>
      </c>
      <c r="C3268" s="0" t="n">
        <v>13</v>
      </c>
      <c r="D3268" s="0" t="n">
        <v>0</v>
      </c>
      <c r="E3268" s="0" t="n">
        <f aca="false">VLOOKUP(B3268,'Babblefish-APUMA'!$A$1:$B$86,2)</f>
        <v>98</v>
      </c>
      <c r="F3268" s="0" t="n">
        <f aca="false">IF(C3268&gt;1,IF(C3268&lt;99,VLOOKUP(C3268,'Babblefish-APUMA'!$A$1:$B$86,2),C3268),C3268)</f>
        <v>100</v>
      </c>
    </row>
    <row r="3269" customFormat="false" ht="12.75" hidden="false" customHeight="false" outlineLevel="0" collapsed="false">
      <c r="A3269" s="0" t="n">
        <f aca="false">B3269*1000+C3269</f>
        <v>50014</v>
      </c>
      <c r="B3269" s="0" t="n">
        <v>50</v>
      </c>
      <c r="C3269" s="0" t="n">
        <v>14</v>
      </c>
      <c r="D3269" s="0" t="n">
        <v>0</v>
      </c>
      <c r="E3269" s="0" t="n">
        <f aca="false">VLOOKUP(B3269,'Babblefish-APUMA'!$A$1:$B$86,2)</f>
        <v>98</v>
      </c>
      <c r="F3269" s="0" t="n">
        <f aca="false">IF(C3269&gt;1,IF(C3269&lt;99,VLOOKUP(C3269,'Babblefish-APUMA'!$A$1:$B$86,2),C3269),C3269)</f>
        <v>100</v>
      </c>
    </row>
    <row r="3270" customFormat="false" ht="12.75" hidden="false" customHeight="false" outlineLevel="0" collapsed="false">
      <c r="A3270" s="0" t="n">
        <f aca="false">B3270*1000+C3270</f>
        <v>50015</v>
      </c>
      <c r="B3270" s="0" t="n">
        <v>50</v>
      </c>
      <c r="C3270" s="0" t="n">
        <v>15</v>
      </c>
      <c r="D3270" s="0" t="n">
        <v>0</v>
      </c>
      <c r="E3270" s="0" t="n">
        <f aca="false">VLOOKUP(B3270,'Babblefish-APUMA'!$A$1:$B$86,2)</f>
        <v>98</v>
      </c>
      <c r="F3270" s="0" t="n">
        <f aca="false">IF(C3270&gt;1,IF(C3270&lt;99,VLOOKUP(C3270,'Babblefish-APUMA'!$A$1:$B$86,2),C3270),C3270)</f>
        <v>15</v>
      </c>
    </row>
    <row r="3271" customFormat="false" ht="12.75" hidden="false" customHeight="false" outlineLevel="0" collapsed="false">
      <c r="A3271" s="0" t="n">
        <f aca="false">B3271*1000+C3271</f>
        <v>50016</v>
      </c>
      <c r="B3271" s="0" t="n">
        <v>50</v>
      </c>
      <c r="C3271" s="0" t="n">
        <v>16</v>
      </c>
      <c r="D3271" s="0" t="n">
        <v>0</v>
      </c>
      <c r="E3271" s="0" t="n">
        <f aca="false">VLOOKUP(B3271,'Babblefish-APUMA'!$A$1:$B$86,2)</f>
        <v>98</v>
      </c>
      <c r="F3271" s="0" t="n">
        <f aca="false">IF(C3271&gt;1,IF(C3271&lt;99,VLOOKUP(C3271,'Babblefish-APUMA'!$A$1:$B$86,2),C3271),C3271)</f>
        <v>99</v>
      </c>
    </row>
    <row r="3272" customFormat="false" ht="12.75" hidden="false" customHeight="false" outlineLevel="0" collapsed="false">
      <c r="A3272" s="0" t="n">
        <f aca="false">B3272*1000+C3272</f>
        <v>50017</v>
      </c>
      <c r="B3272" s="0" t="n">
        <v>50</v>
      </c>
      <c r="C3272" s="0" t="n">
        <v>17</v>
      </c>
      <c r="D3272" s="0" t="n">
        <v>91</v>
      </c>
      <c r="E3272" s="0" t="n">
        <f aca="false">VLOOKUP(B3272,'Babblefish-APUMA'!$A$1:$B$86,2)</f>
        <v>98</v>
      </c>
      <c r="F3272" s="0" t="n">
        <f aca="false">IF(C3272&gt;1,IF(C3272&lt;99,VLOOKUP(C3272,'Babblefish-APUMA'!$A$1:$B$86,2),C3272),C3272)</f>
        <v>87</v>
      </c>
    </row>
    <row r="3273" customFormat="false" ht="12.75" hidden="false" customHeight="false" outlineLevel="0" collapsed="false">
      <c r="A3273" s="0" t="n">
        <f aca="false">B3273*1000+C3273</f>
        <v>50018</v>
      </c>
      <c r="B3273" s="0" t="n">
        <v>50</v>
      </c>
      <c r="C3273" s="0" t="n">
        <v>18</v>
      </c>
      <c r="D3273" s="0" t="n">
        <v>1729</v>
      </c>
      <c r="E3273" s="0" t="n">
        <f aca="false">VLOOKUP(B3273,'Babblefish-APUMA'!$A$1:$B$86,2)</f>
        <v>98</v>
      </c>
      <c r="F3273" s="0" t="n">
        <f aca="false">IF(C3273&gt;1,IF(C3273&lt;99,VLOOKUP(C3273,'Babblefish-APUMA'!$A$1:$B$86,2),C3273),C3273)</f>
        <v>87</v>
      </c>
    </row>
    <row r="3274" customFormat="false" ht="12.75" hidden="false" customHeight="false" outlineLevel="0" collapsed="false">
      <c r="A3274" s="0" t="n">
        <f aca="false">B3274*1000+C3274</f>
        <v>50019</v>
      </c>
      <c r="B3274" s="0" t="n">
        <v>50</v>
      </c>
      <c r="C3274" s="0" t="n">
        <v>19</v>
      </c>
      <c r="D3274" s="0" t="n">
        <v>819</v>
      </c>
      <c r="E3274" s="0" t="n">
        <f aca="false">VLOOKUP(B3274,'Babblefish-APUMA'!$A$1:$B$86,2)</f>
        <v>98</v>
      </c>
      <c r="F3274" s="0" t="n">
        <f aca="false">IF(C3274&gt;1,IF(C3274&lt;99,VLOOKUP(C3274,'Babblefish-APUMA'!$A$1:$B$86,2),C3274),C3274)</f>
        <v>19</v>
      </c>
    </row>
    <row r="3275" customFormat="false" ht="12.75" hidden="false" customHeight="false" outlineLevel="0" collapsed="false">
      <c r="A3275" s="0" t="n">
        <f aca="false">B3275*1000+C3275</f>
        <v>50020</v>
      </c>
      <c r="B3275" s="0" t="n">
        <v>50</v>
      </c>
      <c r="C3275" s="0" t="n">
        <v>20</v>
      </c>
      <c r="D3275" s="0" t="n">
        <v>117</v>
      </c>
      <c r="E3275" s="0" t="n">
        <f aca="false">VLOOKUP(B3275,'Babblefish-APUMA'!$A$1:$B$86,2)</f>
        <v>98</v>
      </c>
      <c r="F3275" s="0" t="n">
        <f aca="false">IF(C3275&gt;1,IF(C3275&lt;99,VLOOKUP(C3275,'Babblefish-APUMA'!$A$1:$B$86,2),C3275),C3275)</f>
        <v>86</v>
      </c>
    </row>
    <row r="3276" customFormat="false" ht="12.75" hidden="false" customHeight="false" outlineLevel="0" collapsed="false">
      <c r="A3276" s="0" t="n">
        <f aca="false">B3276*1000+C3276</f>
        <v>50021</v>
      </c>
      <c r="B3276" s="0" t="n">
        <v>50</v>
      </c>
      <c r="C3276" s="0" t="n">
        <v>21</v>
      </c>
      <c r="D3276" s="0" t="n">
        <v>1794</v>
      </c>
      <c r="E3276" s="0" t="n">
        <f aca="false">VLOOKUP(B3276,'Babblefish-APUMA'!$A$1:$B$86,2)</f>
        <v>98</v>
      </c>
      <c r="F3276" s="0" t="n">
        <f aca="false">IF(C3276&gt;1,IF(C3276&lt;99,VLOOKUP(C3276,'Babblefish-APUMA'!$A$1:$B$86,2),C3276),C3276)</f>
        <v>86</v>
      </c>
    </row>
    <row r="3277" customFormat="false" ht="12.75" hidden="false" customHeight="false" outlineLevel="0" collapsed="false">
      <c r="A3277" s="0" t="n">
        <f aca="false">B3277*1000+C3277</f>
        <v>50022</v>
      </c>
      <c r="B3277" s="0" t="n">
        <v>50</v>
      </c>
      <c r="C3277" s="0" t="n">
        <v>22</v>
      </c>
      <c r="D3277" s="0" t="n">
        <v>3796</v>
      </c>
      <c r="E3277" s="0" t="n">
        <f aca="false">VLOOKUP(B3277,'Babblefish-APUMA'!$A$1:$B$86,2)</f>
        <v>98</v>
      </c>
      <c r="F3277" s="0" t="n">
        <f aca="false">IF(C3277&gt;1,IF(C3277&lt;99,VLOOKUP(C3277,'Babblefish-APUMA'!$A$1:$B$86,2),C3277),C3277)</f>
        <v>22</v>
      </c>
    </row>
    <row r="3278" customFormat="false" ht="12.75" hidden="false" customHeight="false" outlineLevel="0" collapsed="false">
      <c r="A3278" s="0" t="n">
        <f aca="false">B3278*1000+C3278</f>
        <v>50023</v>
      </c>
      <c r="B3278" s="0" t="n">
        <v>50</v>
      </c>
      <c r="C3278" s="0" t="n">
        <v>23</v>
      </c>
      <c r="D3278" s="0" t="n">
        <v>0</v>
      </c>
      <c r="E3278" s="0" t="n">
        <f aca="false">VLOOKUP(B3278,'Babblefish-APUMA'!$A$1:$B$86,2)</f>
        <v>98</v>
      </c>
      <c r="F3278" s="0" t="n">
        <f aca="false">IF(C3278&gt;1,IF(C3278&lt;99,VLOOKUP(C3278,'Babblefish-APUMA'!$A$1:$B$86,2),C3278),C3278)</f>
        <v>97</v>
      </c>
    </row>
    <row r="3279" customFormat="false" ht="12.75" hidden="false" customHeight="false" outlineLevel="0" collapsed="false">
      <c r="A3279" s="0" t="n">
        <f aca="false">B3279*1000+C3279</f>
        <v>50024</v>
      </c>
      <c r="B3279" s="0" t="n">
        <v>50</v>
      </c>
      <c r="C3279" s="0" t="n">
        <v>24</v>
      </c>
      <c r="D3279" s="0" t="n">
        <v>0</v>
      </c>
      <c r="E3279" s="0" t="n">
        <f aca="false">VLOOKUP(B3279,'Babblefish-APUMA'!$A$1:$B$86,2)</f>
        <v>98</v>
      </c>
      <c r="F3279" s="0" t="n">
        <f aca="false">IF(C3279&gt;1,IF(C3279&lt;99,VLOOKUP(C3279,'Babblefish-APUMA'!$A$1:$B$86,2),C3279),C3279)</f>
        <v>101</v>
      </c>
    </row>
    <row r="3280" customFormat="false" ht="12.75" hidden="false" customHeight="false" outlineLevel="0" collapsed="false">
      <c r="A3280" s="0" t="n">
        <f aca="false">B3280*1000+C3280</f>
        <v>50025</v>
      </c>
      <c r="B3280" s="0" t="n">
        <v>50</v>
      </c>
      <c r="C3280" s="0" t="n">
        <v>25</v>
      </c>
      <c r="D3280" s="0" t="n">
        <v>0</v>
      </c>
      <c r="E3280" s="0" t="n">
        <f aca="false">VLOOKUP(B3280,'Babblefish-APUMA'!$A$1:$B$86,2)</f>
        <v>98</v>
      </c>
      <c r="F3280" s="0" t="n">
        <f aca="false">IF(C3280&gt;1,IF(C3280&lt;99,VLOOKUP(C3280,'Babblefish-APUMA'!$A$1:$B$86,2),C3280),C3280)</f>
        <v>101</v>
      </c>
    </row>
    <row r="3281" customFormat="false" ht="12.75" hidden="false" customHeight="false" outlineLevel="0" collapsed="false">
      <c r="A3281" s="0" t="n">
        <f aca="false">B3281*1000+C3281</f>
        <v>50026</v>
      </c>
      <c r="B3281" s="0" t="n">
        <v>50</v>
      </c>
      <c r="C3281" s="0" t="n">
        <v>26</v>
      </c>
      <c r="D3281" s="0" t="n">
        <v>0</v>
      </c>
      <c r="E3281" s="0" t="n">
        <f aca="false">VLOOKUP(B3281,'Babblefish-APUMA'!$A$1:$B$86,2)</f>
        <v>98</v>
      </c>
      <c r="F3281" s="0" t="n">
        <f aca="false">IF(C3281&gt;1,IF(C3281&lt;99,VLOOKUP(C3281,'Babblefish-APUMA'!$A$1:$B$86,2),C3281),C3281)</f>
        <v>26</v>
      </c>
    </row>
    <row r="3282" customFormat="false" ht="12.75" hidden="false" customHeight="false" outlineLevel="0" collapsed="false">
      <c r="A3282" s="0" t="n">
        <f aca="false">B3282*1000+C3282</f>
        <v>50027</v>
      </c>
      <c r="B3282" s="0" t="n">
        <v>50</v>
      </c>
      <c r="C3282" s="0" t="n">
        <v>27</v>
      </c>
      <c r="D3282" s="0" t="n">
        <v>0</v>
      </c>
      <c r="E3282" s="0" t="n">
        <f aca="false">VLOOKUP(B3282,'Babblefish-APUMA'!$A$1:$B$86,2)</f>
        <v>98</v>
      </c>
      <c r="F3282" s="0" t="n">
        <f aca="false">IF(C3282&gt;1,IF(C3282&lt;99,VLOOKUP(C3282,'Babblefish-APUMA'!$A$1:$B$86,2),C3282),C3282)</f>
        <v>27</v>
      </c>
    </row>
    <row r="3283" customFormat="false" ht="12.75" hidden="false" customHeight="false" outlineLevel="0" collapsed="false">
      <c r="A3283" s="0" t="n">
        <f aca="false">B3283*1000+C3283</f>
        <v>50028</v>
      </c>
      <c r="B3283" s="0" t="n">
        <v>50</v>
      </c>
      <c r="C3283" s="0" t="n">
        <v>28</v>
      </c>
      <c r="D3283" s="0" t="n">
        <v>0</v>
      </c>
      <c r="E3283" s="0" t="n">
        <f aca="false">VLOOKUP(B3283,'Babblefish-APUMA'!$A$1:$B$86,2)</f>
        <v>98</v>
      </c>
      <c r="F3283" s="0" t="n">
        <f aca="false">IF(C3283&gt;1,IF(C3283&lt;99,VLOOKUP(C3283,'Babblefish-APUMA'!$A$1:$B$86,2),C3283),C3283)</f>
        <v>94</v>
      </c>
    </row>
    <row r="3284" customFormat="false" ht="12.75" hidden="false" customHeight="false" outlineLevel="0" collapsed="false">
      <c r="A3284" s="0" t="n">
        <f aca="false">B3284*1000+C3284</f>
        <v>50029</v>
      </c>
      <c r="B3284" s="0" t="n">
        <v>50</v>
      </c>
      <c r="C3284" s="0" t="n">
        <v>29</v>
      </c>
      <c r="D3284" s="0" t="n">
        <v>0</v>
      </c>
      <c r="E3284" s="0" t="n">
        <f aca="false">VLOOKUP(B3284,'Babblefish-APUMA'!$A$1:$B$86,2)</f>
        <v>98</v>
      </c>
      <c r="F3284" s="0" t="n">
        <f aca="false">IF(C3284&gt;1,IF(C3284&lt;99,VLOOKUP(C3284,'Babblefish-APUMA'!$A$1:$B$86,2),C3284),C3284)</f>
        <v>94</v>
      </c>
    </row>
    <row r="3285" customFormat="false" ht="12.75" hidden="false" customHeight="false" outlineLevel="0" collapsed="false">
      <c r="A3285" s="0" t="n">
        <f aca="false">B3285*1000+C3285</f>
        <v>50030</v>
      </c>
      <c r="B3285" s="0" t="n">
        <v>50</v>
      </c>
      <c r="C3285" s="0" t="n">
        <v>30</v>
      </c>
      <c r="D3285" s="0" t="n">
        <v>0</v>
      </c>
      <c r="E3285" s="0" t="n">
        <f aca="false">VLOOKUP(B3285,'Babblefish-APUMA'!$A$1:$B$86,2)</f>
        <v>98</v>
      </c>
      <c r="F3285" s="0" t="n">
        <f aca="false">IF(C3285&gt;1,IF(C3285&lt;99,VLOOKUP(C3285,'Babblefish-APUMA'!$A$1:$B$86,2),C3285),C3285)</f>
        <v>30</v>
      </c>
    </row>
    <row r="3286" customFormat="false" ht="12.75" hidden="false" customHeight="false" outlineLevel="0" collapsed="false">
      <c r="A3286" s="0" t="n">
        <f aca="false">B3286*1000+C3286</f>
        <v>50031</v>
      </c>
      <c r="B3286" s="0" t="n">
        <v>50</v>
      </c>
      <c r="C3286" s="0" t="n">
        <v>31</v>
      </c>
      <c r="D3286" s="0" t="n">
        <v>0</v>
      </c>
      <c r="E3286" s="0" t="n">
        <f aca="false">VLOOKUP(B3286,'Babblefish-APUMA'!$A$1:$B$86,2)</f>
        <v>98</v>
      </c>
      <c r="F3286" s="0" t="n">
        <f aca="false">IF(C3286&gt;1,IF(C3286&lt;99,VLOOKUP(C3286,'Babblefish-APUMA'!$A$1:$B$86,2),C3286),C3286)</f>
        <v>31</v>
      </c>
    </row>
    <row r="3287" customFormat="false" ht="12.75" hidden="false" customHeight="false" outlineLevel="0" collapsed="false">
      <c r="A3287" s="0" t="n">
        <f aca="false">B3287*1000+C3287</f>
        <v>50032</v>
      </c>
      <c r="B3287" s="0" t="n">
        <v>50</v>
      </c>
      <c r="C3287" s="0" t="n">
        <v>32</v>
      </c>
      <c r="D3287" s="0" t="n">
        <v>0</v>
      </c>
      <c r="E3287" s="0" t="n">
        <f aca="false">VLOOKUP(B3287,'Babblefish-APUMA'!$A$1:$B$86,2)</f>
        <v>98</v>
      </c>
      <c r="F3287" s="0" t="n">
        <f aca="false">IF(C3287&gt;1,IF(C3287&lt;99,VLOOKUP(C3287,'Babblefish-APUMA'!$A$1:$B$86,2),C3287),C3287)</f>
        <v>32</v>
      </c>
    </row>
    <row r="3288" customFormat="false" ht="12.75" hidden="false" customHeight="false" outlineLevel="0" collapsed="false">
      <c r="A3288" s="0" t="n">
        <f aca="false">B3288*1000+C3288</f>
        <v>50033</v>
      </c>
      <c r="B3288" s="0" t="n">
        <v>50</v>
      </c>
      <c r="C3288" s="0" t="n">
        <v>33</v>
      </c>
      <c r="D3288" s="0" t="n">
        <v>0</v>
      </c>
      <c r="E3288" s="0" t="n">
        <f aca="false">VLOOKUP(B3288,'Babblefish-APUMA'!$A$1:$B$86,2)</f>
        <v>98</v>
      </c>
      <c r="F3288" s="0" t="n">
        <f aca="false">IF(C3288&gt;1,IF(C3288&lt;99,VLOOKUP(C3288,'Babblefish-APUMA'!$A$1:$B$86,2),C3288),C3288)</f>
        <v>96</v>
      </c>
    </row>
    <row r="3289" customFormat="false" ht="12.75" hidden="false" customHeight="false" outlineLevel="0" collapsed="false">
      <c r="A3289" s="0" t="n">
        <f aca="false">B3289*1000+C3289</f>
        <v>50034</v>
      </c>
      <c r="B3289" s="0" t="n">
        <v>50</v>
      </c>
      <c r="C3289" s="0" t="n">
        <v>34</v>
      </c>
      <c r="D3289" s="0" t="n">
        <v>0</v>
      </c>
      <c r="E3289" s="0" t="n">
        <f aca="false">VLOOKUP(B3289,'Babblefish-APUMA'!$A$1:$B$86,2)</f>
        <v>98</v>
      </c>
      <c r="F3289" s="0" t="n">
        <f aca="false">IF(C3289&gt;1,IF(C3289&lt;99,VLOOKUP(C3289,'Babblefish-APUMA'!$A$1:$B$86,2),C3289),C3289)</f>
        <v>96</v>
      </c>
    </row>
    <row r="3290" customFormat="false" ht="12.75" hidden="false" customHeight="false" outlineLevel="0" collapsed="false">
      <c r="A3290" s="0" t="n">
        <f aca="false">B3290*1000+C3290</f>
        <v>50035</v>
      </c>
      <c r="B3290" s="0" t="n">
        <v>50</v>
      </c>
      <c r="C3290" s="0" t="n">
        <v>35</v>
      </c>
      <c r="D3290" s="0" t="n">
        <v>0</v>
      </c>
      <c r="E3290" s="0" t="n">
        <f aca="false">VLOOKUP(B3290,'Babblefish-APUMA'!$A$1:$B$86,2)</f>
        <v>98</v>
      </c>
      <c r="F3290" s="0" t="n">
        <f aca="false">IF(C3290&gt;1,IF(C3290&lt;99,VLOOKUP(C3290,'Babblefish-APUMA'!$A$1:$B$86,2),C3290),C3290)</f>
        <v>96</v>
      </c>
    </row>
    <row r="3291" customFormat="false" ht="12.75" hidden="false" customHeight="false" outlineLevel="0" collapsed="false">
      <c r="A3291" s="0" t="n">
        <f aca="false">B3291*1000+C3291</f>
        <v>50036</v>
      </c>
      <c r="B3291" s="0" t="n">
        <v>50</v>
      </c>
      <c r="C3291" s="0" t="n">
        <v>36</v>
      </c>
      <c r="D3291" s="0" t="n">
        <v>0</v>
      </c>
      <c r="E3291" s="0" t="n">
        <f aca="false">VLOOKUP(B3291,'Babblefish-APUMA'!$A$1:$B$86,2)</f>
        <v>98</v>
      </c>
      <c r="F3291" s="0" t="n">
        <f aca="false">IF(C3291&gt;1,IF(C3291&lt;99,VLOOKUP(C3291,'Babblefish-APUMA'!$A$1:$B$86,2),C3291),C3291)</f>
        <v>96</v>
      </c>
    </row>
    <row r="3292" customFormat="false" ht="12.75" hidden="false" customHeight="false" outlineLevel="0" collapsed="false">
      <c r="A3292" s="0" t="n">
        <f aca="false">B3292*1000+C3292</f>
        <v>50037</v>
      </c>
      <c r="B3292" s="0" t="n">
        <v>50</v>
      </c>
      <c r="C3292" s="0" t="n">
        <v>37</v>
      </c>
      <c r="D3292" s="0" t="n">
        <v>0</v>
      </c>
      <c r="E3292" s="0" t="n">
        <f aca="false">VLOOKUP(B3292,'Babblefish-APUMA'!$A$1:$B$86,2)</f>
        <v>98</v>
      </c>
      <c r="F3292" s="0" t="n">
        <f aca="false">IF(C3292&gt;1,IF(C3292&lt;99,VLOOKUP(C3292,'Babblefish-APUMA'!$A$1:$B$86,2),C3292),C3292)</f>
        <v>96</v>
      </c>
    </row>
    <row r="3293" customFormat="false" ht="12.75" hidden="false" customHeight="false" outlineLevel="0" collapsed="false">
      <c r="A3293" s="0" t="n">
        <f aca="false">B3293*1000+C3293</f>
        <v>50038</v>
      </c>
      <c r="B3293" s="0" t="n">
        <v>50</v>
      </c>
      <c r="C3293" s="0" t="n">
        <v>38</v>
      </c>
      <c r="D3293" s="0" t="n">
        <v>0</v>
      </c>
      <c r="E3293" s="0" t="n">
        <f aca="false">VLOOKUP(B3293,'Babblefish-APUMA'!$A$1:$B$86,2)</f>
        <v>98</v>
      </c>
      <c r="F3293" s="0" t="n">
        <f aca="false">IF(C3293&gt;1,IF(C3293&lt;99,VLOOKUP(C3293,'Babblefish-APUMA'!$A$1:$B$86,2),C3293),C3293)</f>
        <v>91</v>
      </c>
    </row>
    <row r="3294" customFormat="false" ht="12.75" hidden="false" customHeight="false" outlineLevel="0" collapsed="false">
      <c r="A3294" s="0" t="n">
        <f aca="false">B3294*1000+C3294</f>
        <v>50039</v>
      </c>
      <c r="B3294" s="0" t="n">
        <v>50</v>
      </c>
      <c r="C3294" s="0" t="n">
        <v>39</v>
      </c>
      <c r="D3294" s="0" t="n">
        <v>0</v>
      </c>
      <c r="E3294" s="0" t="n">
        <f aca="false">VLOOKUP(B3294,'Babblefish-APUMA'!$A$1:$B$86,2)</f>
        <v>98</v>
      </c>
      <c r="F3294" s="0" t="n">
        <f aca="false">IF(C3294&gt;1,IF(C3294&lt;99,VLOOKUP(C3294,'Babblefish-APUMA'!$A$1:$B$86,2),C3294),C3294)</f>
        <v>91</v>
      </c>
    </row>
    <row r="3295" customFormat="false" ht="12.75" hidden="false" customHeight="false" outlineLevel="0" collapsed="false">
      <c r="A3295" s="0" t="n">
        <f aca="false">B3295*1000+C3295</f>
        <v>50040</v>
      </c>
      <c r="B3295" s="0" t="n">
        <v>50</v>
      </c>
      <c r="C3295" s="0" t="n">
        <v>40</v>
      </c>
      <c r="D3295" s="0" t="n">
        <v>0</v>
      </c>
      <c r="E3295" s="0" t="n">
        <f aca="false">VLOOKUP(B3295,'Babblefish-APUMA'!$A$1:$B$86,2)</f>
        <v>98</v>
      </c>
      <c r="F3295" s="0" t="n">
        <f aca="false">IF(C3295&gt;1,IF(C3295&lt;99,VLOOKUP(C3295,'Babblefish-APUMA'!$A$1:$B$86,2),C3295),C3295)</f>
        <v>88</v>
      </c>
    </row>
    <row r="3296" customFormat="false" ht="12.75" hidden="false" customHeight="false" outlineLevel="0" collapsed="false">
      <c r="A3296" s="0" t="n">
        <f aca="false">B3296*1000+C3296</f>
        <v>50041</v>
      </c>
      <c r="B3296" s="0" t="n">
        <v>50</v>
      </c>
      <c r="C3296" s="0" t="n">
        <v>41</v>
      </c>
      <c r="D3296" s="0" t="n">
        <v>0</v>
      </c>
      <c r="E3296" s="0" t="n">
        <f aca="false">VLOOKUP(B3296,'Babblefish-APUMA'!$A$1:$B$86,2)</f>
        <v>98</v>
      </c>
      <c r="F3296" s="0" t="n">
        <f aca="false">IF(C3296&gt;1,IF(C3296&lt;99,VLOOKUP(C3296,'Babblefish-APUMA'!$A$1:$B$86,2),C3296),C3296)</f>
        <v>88</v>
      </c>
    </row>
    <row r="3297" customFormat="false" ht="12.75" hidden="false" customHeight="false" outlineLevel="0" collapsed="false">
      <c r="A3297" s="0" t="n">
        <f aca="false">B3297*1000+C3297</f>
        <v>50042</v>
      </c>
      <c r="B3297" s="0" t="n">
        <v>50</v>
      </c>
      <c r="C3297" s="0" t="n">
        <v>42</v>
      </c>
      <c r="D3297" s="0" t="n">
        <v>0</v>
      </c>
      <c r="E3297" s="0" t="n">
        <f aca="false">VLOOKUP(B3297,'Babblefish-APUMA'!$A$1:$B$86,2)</f>
        <v>98</v>
      </c>
      <c r="F3297" s="0" t="n">
        <f aca="false">IF(C3297&gt;1,IF(C3297&lt;99,VLOOKUP(C3297,'Babblefish-APUMA'!$A$1:$B$86,2),C3297),C3297)</f>
        <v>92</v>
      </c>
    </row>
    <row r="3298" customFormat="false" ht="12.75" hidden="false" customHeight="false" outlineLevel="0" collapsed="false">
      <c r="A3298" s="0" t="n">
        <f aca="false">B3298*1000+C3298</f>
        <v>50043</v>
      </c>
      <c r="B3298" s="0" t="n">
        <v>50</v>
      </c>
      <c r="C3298" s="0" t="n">
        <v>43</v>
      </c>
      <c r="D3298" s="0" t="n">
        <v>0</v>
      </c>
      <c r="E3298" s="0" t="n">
        <f aca="false">VLOOKUP(B3298,'Babblefish-APUMA'!$A$1:$B$86,2)</f>
        <v>98</v>
      </c>
      <c r="F3298" s="0" t="n">
        <f aca="false">IF(C3298&gt;1,IF(C3298&lt;99,VLOOKUP(C3298,'Babblefish-APUMA'!$A$1:$B$86,2),C3298),C3298)</f>
        <v>92</v>
      </c>
    </row>
    <row r="3299" customFormat="false" ht="12.75" hidden="false" customHeight="false" outlineLevel="0" collapsed="false">
      <c r="A3299" s="0" t="n">
        <f aca="false">B3299*1000+C3299</f>
        <v>50044</v>
      </c>
      <c r="B3299" s="0" t="n">
        <v>50</v>
      </c>
      <c r="C3299" s="0" t="n">
        <v>44</v>
      </c>
      <c r="D3299" s="0" t="n">
        <v>0</v>
      </c>
      <c r="E3299" s="0" t="n">
        <f aca="false">VLOOKUP(B3299,'Babblefish-APUMA'!$A$1:$B$86,2)</f>
        <v>98</v>
      </c>
      <c r="F3299" s="0" t="n">
        <f aca="false">IF(C3299&gt;1,IF(C3299&lt;99,VLOOKUP(C3299,'Babblefish-APUMA'!$A$1:$B$86,2),C3299),C3299)</f>
        <v>92</v>
      </c>
    </row>
    <row r="3300" customFormat="false" ht="12.75" hidden="false" customHeight="false" outlineLevel="0" collapsed="false">
      <c r="A3300" s="0" t="n">
        <f aca="false">B3300*1000+C3300</f>
        <v>50045</v>
      </c>
      <c r="B3300" s="0" t="n">
        <v>50</v>
      </c>
      <c r="C3300" s="0" t="n">
        <v>45</v>
      </c>
      <c r="D3300" s="0" t="n">
        <v>0</v>
      </c>
      <c r="E3300" s="0" t="n">
        <f aca="false">VLOOKUP(B3300,'Babblefish-APUMA'!$A$1:$B$86,2)</f>
        <v>98</v>
      </c>
      <c r="F3300" s="0" t="n">
        <f aca="false">IF(C3300&gt;1,IF(C3300&lt;99,VLOOKUP(C3300,'Babblefish-APUMA'!$A$1:$B$86,2),C3300),C3300)</f>
        <v>92</v>
      </c>
    </row>
    <row r="3301" customFormat="false" ht="12.75" hidden="false" customHeight="false" outlineLevel="0" collapsed="false">
      <c r="A3301" s="0" t="n">
        <f aca="false">B3301*1000+C3301</f>
        <v>50046</v>
      </c>
      <c r="B3301" s="0" t="n">
        <v>50</v>
      </c>
      <c r="C3301" s="0" t="n">
        <v>46</v>
      </c>
      <c r="D3301" s="0" t="n">
        <v>0</v>
      </c>
      <c r="E3301" s="0" t="n">
        <f aca="false">VLOOKUP(B3301,'Babblefish-APUMA'!$A$1:$B$86,2)</f>
        <v>98</v>
      </c>
      <c r="F3301" s="0" t="n">
        <f aca="false">IF(C3301&gt;1,IF(C3301&lt;99,VLOOKUP(C3301,'Babblefish-APUMA'!$A$1:$B$86,2),C3301),C3301)</f>
        <v>92</v>
      </c>
    </row>
    <row r="3302" customFormat="false" ht="12.75" hidden="false" customHeight="false" outlineLevel="0" collapsed="false">
      <c r="A3302" s="0" t="n">
        <f aca="false">B3302*1000+C3302</f>
        <v>50047</v>
      </c>
      <c r="B3302" s="0" t="n">
        <v>50</v>
      </c>
      <c r="C3302" s="0" t="n">
        <v>47</v>
      </c>
      <c r="D3302" s="0" t="n">
        <v>0</v>
      </c>
      <c r="E3302" s="0" t="n">
        <f aca="false">VLOOKUP(B3302,'Babblefish-APUMA'!$A$1:$B$86,2)</f>
        <v>98</v>
      </c>
      <c r="F3302" s="0" t="n">
        <f aca="false">IF(C3302&gt;1,IF(C3302&lt;99,VLOOKUP(C3302,'Babblefish-APUMA'!$A$1:$B$86,2),C3302),C3302)</f>
        <v>92</v>
      </c>
    </row>
    <row r="3303" customFormat="false" ht="12.75" hidden="false" customHeight="false" outlineLevel="0" collapsed="false">
      <c r="A3303" s="0" t="n">
        <f aca="false">B3303*1000+C3303</f>
        <v>50048</v>
      </c>
      <c r="B3303" s="0" t="n">
        <v>50</v>
      </c>
      <c r="C3303" s="0" t="n">
        <v>48</v>
      </c>
      <c r="D3303" s="0" t="n">
        <v>0</v>
      </c>
      <c r="E3303" s="0" t="n">
        <f aca="false">VLOOKUP(B3303,'Babblefish-APUMA'!$A$1:$B$86,2)</f>
        <v>98</v>
      </c>
      <c r="F3303" s="0" t="n">
        <f aca="false">IF(C3303&gt;1,IF(C3303&lt;99,VLOOKUP(C3303,'Babblefish-APUMA'!$A$1:$B$86,2),C3303),C3303)</f>
        <v>92</v>
      </c>
    </row>
    <row r="3304" customFormat="false" ht="12.75" hidden="false" customHeight="false" outlineLevel="0" collapsed="false">
      <c r="A3304" s="0" t="n">
        <f aca="false">B3304*1000+C3304</f>
        <v>50049</v>
      </c>
      <c r="B3304" s="0" t="n">
        <v>50</v>
      </c>
      <c r="C3304" s="0" t="n">
        <v>49</v>
      </c>
      <c r="D3304" s="0" t="n">
        <v>26182</v>
      </c>
      <c r="E3304" s="0" t="n">
        <f aca="false">VLOOKUP(B3304,'Babblefish-APUMA'!$A$1:$B$86,2)</f>
        <v>98</v>
      </c>
      <c r="F3304" s="0" t="n">
        <f aca="false">IF(C3304&gt;1,IF(C3304&lt;99,VLOOKUP(C3304,'Babblefish-APUMA'!$A$1:$B$86,2),C3304),C3304)</f>
        <v>98</v>
      </c>
    </row>
    <row r="3305" customFormat="false" ht="12.75" hidden="false" customHeight="false" outlineLevel="0" collapsed="false">
      <c r="A3305" s="0" t="n">
        <f aca="false">B3305*1000+C3305</f>
        <v>50050</v>
      </c>
      <c r="B3305" s="0" t="n">
        <v>50</v>
      </c>
      <c r="C3305" s="0" t="n">
        <v>50</v>
      </c>
      <c r="D3305" s="0" t="n">
        <v>23049</v>
      </c>
      <c r="E3305" s="0" t="n">
        <f aca="false">VLOOKUP(B3305,'Babblefish-APUMA'!$A$1:$B$86,2)</f>
        <v>98</v>
      </c>
      <c r="F3305" s="0" t="n">
        <f aca="false">IF(C3305&gt;1,IF(C3305&lt;99,VLOOKUP(C3305,'Babblefish-APUMA'!$A$1:$B$86,2),C3305),C3305)</f>
        <v>98</v>
      </c>
    </row>
    <row r="3306" customFormat="false" ht="12.75" hidden="false" customHeight="false" outlineLevel="0" collapsed="false">
      <c r="A3306" s="0" t="n">
        <f aca="false">B3306*1000+C3306</f>
        <v>50051</v>
      </c>
      <c r="B3306" s="0" t="n">
        <v>50</v>
      </c>
      <c r="C3306" s="0" t="n">
        <v>51</v>
      </c>
      <c r="D3306" s="0" t="n">
        <v>8125</v>
      </c>
      <c r="E3306" s="0" t="n">
        <f aca="false">VLOOKUP(B3306,'Babblefish-APUMA'!$A$1:$B$86,2)</f>
        <v>98</v>
      </c>
      <c r="F3306" s="0" t="n">
        <f aca="false">IF(C3306&gt;1,IF(C3306&lt;99,VLOOKUP(C3306,'Babblefish-APUMA'!$A$1:$B$86,2),C3306),C3306)</f>
        <v>98</v>
      </c>
    </row>
    <row r="3307" customFormat="false" ht="12.75" hidden="false" customHeight="false" outlineLevel="0" collapsed="false">
      <c r="A3307" s="0" t="n">
        <f aca="false">B3307*1000+C3307</f>
        <v>50052</v>
      </c>
      <c r="B3307" s="0" t="n">
        <v>50</v>
      </c>
      <c r="C3307" s="0" t="n">
        <v>52</v>
      </c>
      <c r="D3307" s="0" t="n">
        <v>0</v>
      </c>
      <c r="E3307" s="0" t="n">
        <f aca="false">VLOOKUP(B3307,'Babblefish-APUMA'!$A$1:$B$86,2)</f>
        <v>98</v>
      </c>
      <c r="F3307" s="0" t="n">
        <f aca="false">IF(C3307&gt;1,IF(C3307&lt;99,VLOOKUP(C3307,'Babblefish-APUMA'!$A$1:$B$86,2),C3307),C3307)</f>
        <v>90</v>
      </c>
    </row>
    <row r="3308" customFormat="false" ht="12.75" hidden="false" customHeight="false" outlineLevel="0" collapsed="false">
      <c r="A3308" s="0" t="n">
        <f aca="false">B3308*1000+C3308</f>
        <v>50053</v>
      </c>
      <c r="B3308" s="0" t="n">
        <v>50</v>
      </c>
      <c r="C3308" s="0" t="n">
        <v>53</v>
      </c>
      <c r="D3308" s="0" t="n">
        <v>0</v>
      </c>
      <c r="E3308" s="0" t="n">
        <f aca="false">VLOOKUP(B3308,'Babblefish-APUMA'!$A$1:$B$86,2)</f>
        <v>98</v>
      </c>
      <c r="F3308" s="0" t="n">
        <f aca="false">IF(C3308&gt;1,IF(C3308&lt;99,VLOOKUP(C3308,'Babblefish-APUMA'!$A$1:$B$86,2),C3308),C3308)</f>
        <v>90</v>
      </c>
    </row>
    <row r="3309" customFormat="false" ht="12.75" hidden="false" customHeight="false" outlineLevel="0" collapsed="false">
      <c r="A3309" s="0" t="n">
        <f aca="false">B3309*1000+C3309</f>
        <v>50054</v>
      </c>
      <c r="B3309" s="0" t="n">
        <v>50</v>
      </c>
      <c r="C3309" s="0" t="n">
        <v>54</v>
      </c>
      <c r="D3309" s="0" t="n">
        <v>0</v>
      </c>
      <c r="E3309" s="0" t="n">
        <f aca="false">VLOOKUP(B3309,'Babblefish-APUMA'!$A$1:$B$86,2)</f>
        <v>98</v>
      </c>
      <c r="F3309" s="0" t="n">
        <f aca="false">IF(C3309&gt;1,IF(C3309&lt;99,VLOOKUP(C3309,'Babblefish-APUMA'!$A$1:$B$86,2),C3309),C3309)</f>
        <v>90</v>
      </c>
    </row>
    <row r="3310" customFormat="false" ht="12.75" hidden="false" customHeight="false" outlineLevel="0" collapsed="false">
      <c r="A3310" s="0" t="n">
        <f aca="false">B3310*1000+C3310</f>
        <v>50055</v>
      </c>
      <c r="B3310" s="0" t="n">
        <v>50</v>
      </c>
      <c r="C3310" s="0" t="n">
        <v>55</v>
      </c>
      <c r="D3310" s="0" t="n">
        <v>0</v>
      </c>
      <c r="E3310" s="0" t="n">
        <f aca="false">VLOOKUP(B3310,'Babblefish-APUMA'!$A$1:$B$86,2)</f>
        <v>98</v>
      </c>
      <c r="F3310" s="0" t="n">
        <f aca="false">IF(C3310&gt;1,IF(C3310&lt;99,VLOOKUP(C3310,'Babblefish-APUMA'!$A$1:$B$86,2),C3310),C3310)</f>
        <v>90</v>
      </c>
    </row>
    <row r="3311" customFormat="false" ht="12.75" hidden="false" customHeight="false" outlineLevel="0" collapsed="false">
      <c r="A3311" s="0" t="n">
        <f aca="false">B3311*1000+C3311</f>
        <v>50056</v>
      </c>
      <c r="B3311" s="0" t="n">
        <v>50</v>
      </c>
      <c r="C3311" s="0" t="n">
        <v>56</v>
      </c>
      <c r="D3311" s="0" t="n">
        <v>0</v>
      </c>
      <c r="E3311" s="0" t="n">
        <f aca="false">VLOOKUP(B3311,'Babblefish-APUMA'!$A$1:$B$86,2)</f>
        <v>98</v>
      </c>
      <c r="F3311" s="0" t="n">
        <f aca="false">IF(C3311&gt;1,IF(C3311&lt;99,VLOOKUP(C3311,'Babblefish-APUMA'!$A$1:$B$86,2),C3311),C3311)</f>
        <v>90</v>
      </c>
    </row>
    <row r="3312" customFormat="false" ht="12.75" hidden="false" customHeight="false" outlineLevel="0" collapsed="false">
      <c r="A3312" s="0" t="n">
        <f aca="false">B3312*1000+C3312</f>
        <v>50057</v>
      </c>
      <c r="B3312" s="0" t="n">
        <v>50</v>
      </c>
      <c r="C3312" s="0" t="n">
        <v>57</v>
      </c>
      <c r="D3312" s="0" t="n">
        <v>0</v>
      </c>
      <c r="E3312" s="0" t="n">
        <f aca="false">VLOOKUP(B3312,'Babblefish-APUMA'!$A$1:$B$86,2)</f>
        <v>98</v>
      </c>
      <c r="F3312" s="0" t="n">
        <f aca="false">IF(C3312&gt;1,IF(C3312&lt;99,VLOOKUP(C3312,'Babblefish-APUMA'!$A$1:$B$86,2),C3312),C3312)</f>
        <v>90</v>
      </c>
    </row>
    <row r="3313" customFormat="false" ht="12.75" hidden="false" customHeight="false" outlineLevel="0" collapsed="false">
      <c r="A3313" s="0" t="n">
        <f aca="false">B3313*1000+C3313</f>
        <v>50058</v>
      </c>
      <c r="B3313" s="0" t="n">
        <v>50</v>
      </c>
      <c r="C3313" s="0" t="n">
        <v>58</v>
      </c>
      <c r="D3313" s="0" t="n">
        <v>0</v>
      </c>
      <c r="E3313" s="0" t="n">
        <f aca="false">VLOOKUP(B3313,'Babblefish-APUMA'!$A$1:$B$86,2)</f>
        <v>98</v>
      </c>
      <c r="F3313" s="0" t="n">
        <f aca="false">IF(C3313&gt;1,IF(C3313&lt;99,VLOOKUP(C3313,'Babblefish-APUMA'!$A$1:$B$86,2),C3313),C3313)</f>
        <v>90</v>
      </c>
    </row>
    <row r="3314" customFormat="false" ht="12.75" hidden="false" customHeight="false" outlineLevel="0" collapsed="false">
      <c r="A3314" s="0" t="n">
        <f aca="false">B3314*1000+C3314</f>
        <v>50059</v>
      </c>
      <c r="B3314" s="0" t="n">
        <v>50</v>
      </c>
      <c r="C3314" s="0" t="n">
        <v>59</v>
      </c>
      <c r="D3314" s="0" t="n">
        <v>0</v>
      </c>
      <c r="E3314" s="0" t="n">
        <f aca="false">VLOOKUP(B3314,'Babblefish-APUMA'!$A$1:$B$86,2)</f>
        <v>98</v>
      </c>
      <c r="F3314" s="0" t="n">
        <f aca="false">IF(C3314&gt;1,IF(C3314&lt;99,VLOOKUP(C3314,'Babblefish-APUMA'!$A$1:$B$86,2),C3314),C3314)</f>
        <v>90</v>
      </c>
    </row>
    <row r="3315" customFormat="false" ht="12.75" hidden="false" customHeight="false" outlineLevel="0" collapsed="false">
      <c r="A3315" s="0" t="n">
        <f aca="false">B3315*1000+C3315</f>
        <v>50060</v>
      </c>
      <c r="B3315" s="0" t="n">
        <v>50</v>
      </c>
      <c r="C3315" s="0" t="n">
        <v>60</v>
      </c>
      <c r="D3315" s="0" t="n">
        <v>0</v>
      </c>
      <c r="E3315" s="0" t="n">
        <f aca="false">VLOOKUP(B3315,'Babblefish-APUMA'!$A$1:$B$86,2)</f>
        <v>98</v>
      </c>
      <c r="F3315" s="0" t="n">
        <f aca="false">IF(C3315&gt;1,IF(C3315&lt;99,VLOOKUP(C3315,'Babblefish-APUMA'!$A$1:$B$86,2),C3315),C3315)</f>
        <v>90</v>
      </c>
    </row>
    <row r="3316" customFormat="false" ht="12.75" hidden="false" customHeight="false" outlineLevel="0" collapsed="false">
      <c r="A3316" s="0" t="n">
        <f aca="false">B3316*1000+C3316</f>
        <v>50061</v>
      </c>
      <c r="B3316" s="0" t="n">
        <v>50</v>
      </c>
      <c r="C3316" s="0" t="n">
        <v>61</v>
      </c>
      <c r="D3316" s="0" t="n">
        <v>0</v>
      </c>
      <c r="E3316" s="0" t="n">
        <f aca="false">VLOOKUP(B3316,'Babblefish-APUMA'!$A$1:$B$86,2)</f>
        <v>98</v>
      </c>
      <c r="F3316" s="0" t="n">
        <f aca="false">IF(C3316&gt;1,IF(C3316&lt;99,VLOOKUP(C3316,'Babblefish-APUMA'!$A$1:$B$86,2),C3316),C3316)</f>
        <v>90</v>
      </c>
    </row>
    <row r="3317" customFormat="false" ht="12.75" hidden="false" customHeight="false" outlineLevel="0" collapsed="false">
      <c r="A3317" s="0" t="n">
        <f aca="false">B3317*1000+C3317</f>
        <v>50062</v>
      </c>
      <c r="B3317" s="0" t="n">
        <v>50</v>
      </c>
      <c r="C3317" s="0" t="n">
        <v>62</v>
      </c>
      <c r="D3317" s="0" t="n">
        <v>0</v>
      </c>
      <c r="E3317" s="0" t="n">
        <f aca="false">VLOOKUP(B3317,'Babblefish-APUMA'!$A$1:$B$86,2)</f>
        <v>98</v>
      </c>
      <c r="F3317" s="0" t="n">
        <f aca="false">IF(C3317&gt;1,IF(C3317&lt;99,VLOOKUP(C3317,'Babblefish-APUMA'!$A$1:$B$86,2),C3317),C3317)</f>
        <v>90</v>
      </c>
    </row>
    <row r="3318" customFormat="false" ht="12.75" hidden="false" customHeight="false" outlineLevel="0" collapsed="false">
      <c r="A3318" s="0" t="n">
        <f aca="false">B3318*1000+C3318</f>
        <v>50063</v>
      </c>
      <c r="B3318" s="0" t="n">
        <v>50</v>
      </c>
      <c r="C3318" s="0" t="n">
        <v>63</v>
      </c>
      <c r="D3318" s="0" t="n">
        <v>0</v>
      </c>
      <c r="E3318" s="0" t="n">
        <f aca="false">VLOOKUP(B3318,'Babblefish-APUMA'!$A$1:$B$86,2)</f>
        <v>98</v>
      </c>
      <c r="F3318" s="0" t="n">
        <f aca="false">IF(C3318&gt;1,IF(C3318&lt;99,VLOOKUP(C3318,'Babblefish-APUMA'!$A$1:$B$86,2),C3318),C3318)</f>
        <v>90</v>
      </c>
    </row>
    <row r="3319" customFormat="false" ht="12.75" hidden="false" customHeight="false" outlineLevel="0" collapsed="false">
      <c r="A3319" s="0" t="n">
        <f aca="false">B3319*1000+C3319</f>
        <v>50064</v>
      </c>
      <c r="B3319" s="0" t="n">
        <v>50</v>
      </c>
      <c r="C3319" s="0" t="n">
        <v>64</v>
      </c>
      <c r="D3319" s="0" t="n">
        <v>0</v>
      </c>
      <c r="E3319" s="0" t="n">
        <f aca="false">VLOOKUP(B3319,'Babblefish-APUMA'!$A$1:$B$86,2)</f>
        <v>98</v>
      </c>
      <c r="F3319" s="0" t="n">
        <f aca="false">IF(C3319&gt;1,IF(C3319&lt;99,VLOOKUP(C3319,'Babblefish-APUMA'!$A$1:$B$86,2),C3319),C3319)</f>
        <v>90</v>
      </c>
    </row>
    <row r="3320" customFormat="false" ht="12.75" hidden="false" customHeight="false" outlineLevel="0" collapsed="false">
      <c r="A3320" s="0" t="n">
        <f aca="false">B3320*1000+C3320</f>
        <v>50065</v>
      </c>
      <c r="B3320" s="0" t="n">
        <v>50</v>
      </c>
      <c r="C3320" s="0" t="n">
        <v>65</v>
      </c>
      <c r="D3320" s="0" t="n">
        <v>0</v>
      </c>
      <c r="E3320" s="0" t="n">
        <f aca="false">VLOOKUP(B3320,'Babblefish-APUMA'!$A$1:$B$86,2)</f>
        <v>98</v>
      </c>
      <c r="F3320" s="0" t="n">
        <f aca="false">IF(C3320&gt;1,IF(C3320&lt;99,VLOOKUP(C3320,'Babblefish-APUMA'!$A$1:$B$86,2),C3320),C3320)</f>
        <v>90</v>
      </c>
    </row>
    <row r="3321" customFormat="false" ht="12.75" hidden="false" customHeight="false" outlineLevel="0" collapsed="false">
      <c r="A3321" s="0" t="n">
        <f aca="false">B3321*1000+C3321</f>
        <v>50066</v>
      </c>
      <c r="B3321" s="0" t="n">
        <v>50</v>
      </c>
      <c r="C3321" s="0" t="n">
        <v>66</v>
      </c>
      <c r="D3321" s="0" t="n">
        <v>0</v>
      </c>
      <c r="E3321" s="0" t="n">
        <f aca="false">VLOOKUP(B3321,'Babblefish-APUMA'!$A$1:$B$86,2)</f>
        <v>98</v>
      </c>
      <c r="F3321" s="0" t="n">
        <f aca="false">IF(C3321&gt;1,IF(C3321&lt;99,VLOOKUP(C3321,'Babblefish-APUMA'!$A$1:$B$86,2),C3321),C3321)</f>
        <v>90</v>
      </c>
    </row>
    <row r="3322" customFormat="false" ht="12.75" hidden="false" customHeight="false" outlineLevel="0" collapsed="false">
      <c r="A3322" s="0" t="n">
        <f aca="false">B3322*1000+C3322</f>
        <v>50067</v>
      </c>
      <c r="B3322" s="0" t="n">
        <v>50</v>
      </c>
      <c r="C3322" s="0" t="n">
        <v>67</v>
      </c>
      <c r="D3322" s="0" t="n">
        <v>0</v>
      </c>
      <c r="E3322" s="0" t="n">
        <f aca="false">VLOOKUP(B3322,'Babblefish-APUMA'!$A$1:$B$86,2)</f>
        <v>98</v>
      </c>
      <c r="F3322" s="0" t="n">
        <f aca="false">IF(C3322&gt;1,IF(C3322&lt;99,VLOOKUP(C3322,'Babblefish-APUMA'!$A$1:$B$86,2),C3322),C3322)</f>
        <v>103</v>
      </c>
    </row>
    <row r="3323" customFormat="false" ht="12.75" hidden="false" customHeight="false" outlineLevel="0" collapsed="false">
      <c r="A3323" s="0" t="n">
        <f aca="false">B3323*1000+C3323</f>
        <v>50068</v>
      </c>
      <c r="B3323" s="0" t="n">
        <v>50</v>
      </c>
      <c r="C3323" s="0" t="n">
        <v>68</v>
      </c>
      <c r="D3323" s="0" t="n">
        <v>0</v>
      </c>
      <c r="E3323" s="0" t="n">
        <f aca="false">VLOOKUP(B3323,'Babblefish-APUMA'!$A$1:$B$86,2)</f>
        <v>98</v>
      </c>
      <c r="F3323" s="0" t="n">
        <f aca="false">IF(C3323&gt;1,IF(C3323&lt;99,VLOOKUP(C3323,'Babblefish-APUMA'!$A$1:$B$86,2),C3323),C3323)</f>
        <v>93</v>
      </c>
    </row>
    <row r="3324" customFormat="false" ht="12.75" hidden="false" customHeight="false" outlineLevel="0" collapsed="false">
      <c r="A3324" s="0" t="n">
        <f aca="false">B3324*1000+C3324</f>
        <v>50069</v>
      </c>
      <c r="B3324" s="0" t="n">
        <v>50</v>
      </c>
      <c r="C3324" s="0" t="n">
        <v>69</v>
      </c>
      <c r="D3324" s="0" t="n">
        <v>0</v>
      </c>
      <c r="E3324" s="0" t="n">
        <f aca="false">VLOOKUP(B3324,'Babblefish-APUMA'!$A$1:$B$86,2)</f>
        <v>98</v>
      </c>
      <c r="F3324" s="0" t="n">
        <f aca="false">IF(C3324&gt;1,IF(C3324&lt;99,VLOOKUP(C3324,'Babblefish-APUMA'!$A$1:$B$86,2),C3324),C3324)</f>
        <v>93</v>
      </c>
    </row>
    <row r="3325" customFormat="false" ht="12.75" hidden="false" customHeight="false" outlineLevel="0" collapsed="false">
      <c r="A3325" s="0" t="n">
        <f aca="false">B3325*1000+C3325</f>
        <v>50070</v>
      </c>
      <c r="B3325" s="0" t="n">
        <v>50</v>
      </c>
      <c r="C3325" s="0" t="n">
        <v>70</v>
      </c>
      <c r="D3325" s="0" t="n">
        <v>0</v>
      </c>
      <c r="E3325" s="0" t="n">
        <f aca="false">VLOOKUP(B3325,'Babblefish-APUMA'!$A$1:$B$86,2)</f>
        <v>98</v>
      </c>
      <c r="F3325" s="0" t="n">
        <f aca="false">IF(C3325&gt;1,IF(C3325&lt;99,VLOOKUP(C3325,'Babblefish-APUMA'!$A$1:$B$86,2),C3325),C3325)</f>
        <v>95</v>
      </c>
    </row>
    <row r="3326" customFormat="false" ht="12.75" hidden="false" customHeight="false" outlineLevel="0" collapsed="false">
      <c r="A3326" s="0" t="n">
        <f aca="false">B3326*1000+C3326</f>
        <v>50071</v>
      </c>
      <c r="B3326" s="0" t="n">
        <v>50</v>
      </c>
      <c r="C3326" s="0" t="n">
        <v>71</v>
      </c>
      <c r="D3326" s="0" t="n">
        <v>0</v>
      </c>
      <c r="E3326" s="0" t="n">
        <f aca="false">VLOOKUP(B3326,'Babblefish-APUMA'!$A$1:$B$86,2)</f>
        <v>98</v>
      </c>
      <c r="F3326" s="0" t="n">
        <f aca="false">IF(C3326&gt;1,IF(C3326&lt;99,VLOOKUP(C3326,'Babblefish-APUMA'!$A$1:$B$86,2),C3326),C3326)</f>
        <v>95</v>
      </c>
    </row>
    <row r="3327" customFormat="false" ht="12.75" hidden="false" customHeight="false" outlineLevel="0" collapsed="false">
      <c r="A3327" s="0" t="n">
        <f aca="false">B3327*1000+C3327</f>
        <v>50072</v>
      </c>
      <c r="B3327" s="0" t="n">
        <v>50</v>
      </c>
      <c r="C3327" s="0" t="n">
        <v>72</v>
      </c>
      <c r="D3327" s="0" t="n">
        <v>0</v>
      </c>
      <c r="E3327" s="0" t="n">
        <f aca="false">VLOOKUP(B3327,'Babblefish-APUMA'!$A$1:$B$86,2)</f>
        <v>98</v>
      </c>
      <c r="F3327" s="0" t="n">
        <f aca="false">IF(C3327&gt;1,IF(C3327&lt;99,VLOOKUP(C3327,'Babblefish-APUMA'!$A$1:$B$86,2),C3327),C3327)</f>
        <v>95</v>
      </c>
    </row>
    <row r="3328" customFormat="false" ht="12.75" hidden="false" customHeight="false" outlineLevel="0" collapsed="false">
      <c r="A3328" s="0" t="n">
        <f aca="false">B3328*1000+C3328</f>
        <v>50073</v>
      </c>
      <c r="B3328" s="0" t="n">
        <v>50</v>
      </c>
      <c r="C3328" s="0" t="n">
        <v>73</v>
      </c>
      <c r="D3328" s="0" t="n">
        <v>0</v>
      </c>
      <c r="E3328" s="0" t="n">
        <f aca="false">VLOOKUP(B3328,'Babblefish-APUMA'!$A$1:$B$86,2)</f>
        <v>98</v>
      </c>
      <c r="F3328" s="0" t="n">
        <f aca="false">IF(C3328&gt;1,IF(C3328&lt;99,VLOOKUP(C3328,'Babblefish-APUMA'!$A$1:$B$86,2),C3328),C3328)</f>
        <v>99</v>
      </c>
    </row>
    <row r="3329" customFormat="false" ht="12.75" hidden="false" customHeight="false" outlineLevel="0" collapsed="false">
      <c r="A3329" s="0" t="n">
        <f aca="false">B3329*1000+C3329</f>
        <v>50075</v>
      </c>
      <c r="B3329" s="0" t="n">
        <v>50</v>
      </c>
      <c r="C3329" s="0" t="n">
        <v>75</v>
      </c>
      <c r="D3329" s="0" t="n">
        <v>0</v>
      </c>
      <c r="E3329" s="0" t="n">
        <f aca="false">VLOOKUP(B3329,'Babblefish-APUMA'!$A$1:$B$86,2)</f>
        <v>98</v>
      </c>
      <c r="F3329" s="0" t="n">
        <f aca="false">IF(C3329&gt;1,IF(C3329&lt;99,VLOOKUP(C3329,'Babblefish-APUMA'!$A$1:$B$86,2),C3329),C3329)</f>
        <v>75</v>
      </c>
    </row>
    <row r="3330" customFormat="false" ht="12.75" hidden="false" customHeight="false" outlineLevel="0" collapsed="false">
      <c r="A3330" s="0" t="n">
        <f aca="false">B3330*1000+C3330</f>
        <v>50076</v>
      </c>
      <c r="B3330" s="0" t="n">
        <v>50</v>
      </c>
      <c r="C3330" s="0" t="n">
        <v>76</v>
      </c>
      <c r="D3330" s="0" t="n">
        <v>0</v>
      </c>
      <c r="E3330" s="0" t="n">
        <f aca="false">VLOOKUP(B3330,'Babblefish-APUMA'!$A$1:$B$86,2)</f>
        <v>98</v>
      </c>
      <c r="F3330" s="0" t="n">
        <f aca="false">IF(C3330&gt;1,IF(C3330&lt;99,VLOOKUP(C3330,'Babblefish-APUMA'!$A$1:$B$86,2),C3330),C3330)</f>
        <v>76</v>
      </c>
    </row>
    <row r="3331" customFormat="false" ht="12.75" hidden="false" customHeight="false" outlineLevel="0" collapsed="false">
      <c r="A3331" s="0" t="n">
        <f aca="false">B3331*1000+C3331</f>
        <v>50077</v>
      </c>
      <c r="B3331" s="0" t="n">
        <v>50</v>
      </c>
      <c r="C3331" s="0" t="n">
        <v>77</v>
      </c>
      <c r="D3331" s="0" t="n">
        <v>0</v>
      </c>
      <c r="E3331" s="0" t="n">
        <f aca="false">VLOOKUP(B3331,'Babblefish-APUMA'!$A$1:$B$86,2)</f>
        <v>98</v>
      </c>
      <c r="F3331" s="0" t="n">
        <f aca="false">IF(C3331&gt;1,IF(C3331&lt;99,VLOOKUP(C3331,'Babblefish-APUMA'!$A$1:$B$86,2),C3331),C3331)</f>
        <v>77</v>
      </c>
    </row>
    <row r="3332" customFormat="false" ht="12.75" hidden="false" customHeight="false" outlineLevel="0" collapsed="false">
      <c r="A3332" s="0" t="n">
        <f aca="false">B3332*1000+C3332</f>
        <v>50078</v>
      </c>
      <c r="B3332" s="0" t="n">
        <v>50</v>
      </c>
      <c r="C3332" s="0" t="n">
        <v>78</v>
      </c>
      <c r="D3332" s="0" t="n">
        <v>0</v>
      </c>
      <c r="E3332" s="0" t="n">
        <f aca="false">VLOOKUP(B3332,'Babblefish-APUMA'!$A$1:$B$86,2)</f>
        <v>98</v>
      </c>
      <c r="F3332" s="0" t="n">
        <f aca="false">IF(C3332&gt;1,IF(C3332&lt;99,VLOOKUP(C3332,'Babblefish-APUMA'!$A$1:$B$86,2),C3332),C3332)</f>
        <v>89</v>
      </c>
    </row>
    <row r="3333" customFormat="false" ht="12.75" hidden="false" customHeight="false" outlineLevel="0" collapsed="false">
      <c r="A3333" s="0" t="n">
        <f aca="false">B3333*1000+C3333</f>
        <v>50079</v>
      </c>
      <c r="B3333" s="0" t="n">
        <v>50</v>
      </c>
      <c r="C3333" s="0" t="n">
        <v>79</v>
      </c>
      <c r="D3333" s="0" t="n">
        <v>0</v>
      </c>
      <c r="E3333" s="0" t="n">
        <f aca="false">VLOOKUP(B3333,'Babblefish-APUMA'!$A$1:$B$86,2)</f>
        <v>98</v>
      </c>
      <c r="F3333" s="0" t="n">
        <f aca="false">IF(C3333&gt;1,IF(C3333&lt;99,VLOOKUP(C3333,'Babblefish-APUMA'!$A$1:$B$86,2),C3333),C3333)</f>
        <v>89</v>
      </c>
    </row>
    <row r="3334" customFormat="false" ht="12.75" hidden="false" customHeight="false" outlineLevel="0" collapsed="false">
      <c r="A3334" s="0" t="n">
        <f aca="false">B3334*1000+C3334</f>
        <v>50080</v>
      </c>
      <c r="B3334" s="0" t="n">
        <v>50</v>
      </c>
      <c r="C3334" s="0" t="n">
        <v>80</v>
      </c>
      <c r="D3334" s="0" t="n">
        <v>0</v>
      </c>
      <c r="E3334" s="0" t="n">
        <f aca="false">VLOOKUP(B3334,'Babblefish-APUMA'!$A$1:$B$86,2)</f>
        <v>98</v>
      </c>
      <c r="F3334" s="0" t="n">
        <f aca="false">IF(C3334&gt;1,IF(C3334&lt;99,VLOOKUP(C3334,'Babblefish-APUMA'!$A$1:$B$86,2),C3334),C3334)</f>
        <v>80</v>
      </c>
    </row>
    <row r="3335" customFormat="false" ht="12.75" hidden="false" customHeight="false" outlineLevel="0" collapsed="false">
      <c r="A3335" s="0" t="n">
        <f aca="false">B3335*1000+C3335</f>
        <v>50081</v>
      </c>
      <c r="B3335" s="0" t="n">
        <v>50</v>
      </c>
      <c r="C3335" s="0" t="n">
        <v>81</v>
      </c>
      <c r="D3335" s="0" t="n">
        <v>0</v>
      </c>
      <c r="E3335" s="0" t="n">
        <f aca="false">VLOOKUP(B3335,'Babblefish-APUMA'!$A$1:$B$86,2)</f>
        <v>98</v>
      </c>
      <c r="F3335" s="0" t="n">
        <f aca="false">IF(C3335&gt;1,IF(C3335&lt;99,VLOOKUP(C3335,'Babblefish-APUMA'!$A$1:$B$86,2),C3335),C3335)</f>
        <v>93</v>
      </c>
    </row>
    <row r="3336" customFormat="false" ht="12.75" hidden="false" customHeight="false" outlineLevel="0" collapsed="false">
      <c r="A3336" s="0" t="n">
        <f aca="false">B3336*1000+C3336</f>
        <v>50082</v>
      </c>
      <c r="B3336" s="0" t="n">
        <v>50</v>
      </c>
      <c r="C3336" s="0" t="n">
        <v>82</v>
      </c>
      <c r="D3336" s="0" t="n">
        <v>0</v>
      </c>
      <c r="E3336" s="0" t="n">
        <f aca="false">VLOOKUP(B3336,'Babblefish-APUMA'!$A$1:$B$86,2)</f>
        <v>98</v>
      </c>
      <c r="F3336" s="0" t="n">
        <f aca="false">IF(C3336&gt;1,IF(C3336&lt;99,VLOOKUP(C3336,'Babblefish-APUMA'!$A$1:$B$86,2),C3336),C3336)</f>
        <v>95</v>
      </c>
    </row>
    <row r="3337" customFormat="false" ht="12.75" hidden="false" customHeight="false" outlineLevel="0" collapsed="false">
      <c r="A3337" s="0" t="n">
        <f aca="false">B3337*1000+C3337</f>
        <v>50083</v>
      </c>
      <c r="B3337" s="0" t="n">
        <v>50</v>
      </c>
      <c r="C3337" s="0" t="n">
        <v>83</v>
      </c>
      <c r="D3337" s="0" t="n">
        <v>0</v>
      </c>
      <c r="E3337" s="0" t="n">
        <f aca="false">VLOOKUP(B3337,'Babblefish-APUMA'!$A$1:$B$86,2)</f>
        <v>98</v>
      </c>
      <c r="F3337" s="0" t="n">
        <f aca="false">IF(C3337&gt;1,IF(C3337&lt;99,VLOOKUP(C3337,'Babblefish-APUMA'!$A$1:$B$86,2),C3337),C3337)</f>
        <v>103</v>
      </c>
    </row>
    <row r="3338" customFormat="false" ht="12.75" hidden="false" customHeight="false" outlineLevel="0" collapsed="false">
      <c r="A3338" s="0" t="n">
        <f aca="false">B3338*1000+C3338</f>
        <v>50084</v>
      </c>
      <c r="B3338" s="0" t="n">
        <v>50</v>
      </c>
      <c r="C3338" s="0" t="n">
        <v>84</v>
      </c>
      <c r="D3338" s="0" t="n">
        <v>0</v>
      </c>
      <c r="E3338" s="0" t="n">
        <f aca="false">VLOOKUP(B3338,'Babblefish-APUMA'!$A$1:$B$86,2)</f>
        <v>98</v>
      </c>
      <c r="F3338" s="0" t="n">
        <f aca="false">IF(C3338&gt;1,IF(C3338&lt;99,VLOOKUP(C3338,'Babblefish-APUMA'!$A$1:$B$86,2),C3338),C3338)</f>
        <v>92</v>
      </c>
    </row>
    <row r="3339" customFormat="false" ht="12.75" hidden="false" customHeight="false" outlineLevel="0" collapsed="false">
      <c r="A3339" s="0" t="n">
        <f aca="false">B3339*1000+C3339</f>
        <v>50085</v>
      </c>
      <c r="B3339" s="0" t="n">
        <v>50</v>
      </c>
      <c r="C3339" s="0" t="n">
        <v>85</v>
      </c>
      <c r="D3339" s="0" t="n">
        <v>91</v>
      </c>
      <c r="E3339" s="0" t="n">
        <f aca="false">VLOOKUP(B3339,'Babblefish-APUMA'!$A$1:$B$86,2)</f>
        <v>98</v>
      </c>
      <c r="F3339" s="0" t="n">
        <f aca="false">IF(C3339&gt;1,IF(C3339&lt;99,VLOOKUP(C3339,'Babblefish-APUMA'!$A$1:$B$86,2),C3339),C3339)</f>
        <v>97</v>
      </c>
    </row>
    <row r="3340" customFormat="false" ht="12.75" hidden="false" customHeight="false" outlineLevel="0" collapsed="false">
      <c r="A3340" s="0" t="n">
        <f aca="false">B3340*1000+C3340</f>
        <v>50858</v>
      </c>
      <c r="B3340" s="0" t="n">
        <v>50</v>
      </c>
      <c r="C3340" s="0" t="n">
        <v>858</v>
      </c>
      <c r="D3340" s="0" t="n">
        <v>0</v>
      </c>
      <c r="E3340" s="0" t="n">
        <f aca="false">VLOOKUP(B3340,'Babblefish-APUMA'!$A$1:$B$86,2)</f>
        <v>98</v>
      </c>
      <c r="F3340" s="0" t="n">
        <f aca="false">IF(C3340&gt;1,IF(C3340&lt;99,VLOOKUP(C3340,'Babblefish-APUMA'!$A$1:$B$86,2),C3340),C3340)</f>
        <v>858</v>
      </c>
    </row>
    <row r="3341" customFormat="false" ht="12.75" hidden="false" customHeight="false" outlineLevel="0" collapsed="false">
      <c r="A3341" s="0" t="n">
        <f aca="false">B3341*1000+C3341</f>
        <v>50983</v>
      </c>
      <c r="B3341" s="0" t="n">
        <v>50</v>
      </c>
      <c r="C3341" s="0" t="n">
        <v>983</v>
      </c>
      <c r="D3341" s="0" t="n">
        <v>0</v>
      </c>
      <c r="E3341" s="0" t="n">
        <f aca="false">VLOOKUP(B3341,'Babblefish-APUMA'!$A$1:$B$86,2)</f>
        <v>98</v>
      </c>
      <c r="F3341" s="0" t="n">
        <f aca="false">IF(C3341&gt;1,IF(C3341&lt;99,VLOOKUP(C3341,'Babblefish-APUMA'!$A$1:$B$86,2),C3341),C3341)</f>
        <v>983</v>
      </c>
    </row>
    <row r="3342" customFormat="false" ht="12.75" hidden="false" customHeight="false" outlineLevel="0" collapsed="false">
      <c r="A3342" s="0" t="n">
        <f aca="false">B3342*1000+C3342</f>
        <v>50999</v>
      </c>
      <c r="B3342" s="0" t="n">
        <v>50</v>
      </c>
      <c r="C3342" s="0" t="n">
        <v>999</v>
      </c>
      <c r="D3342" s="0" t="n">
        <v>0</v>
      </c>
      <c r="E3342" s="0" t="n">
        <f aca="false">VLOOKUP(B3342,'Babblefish-APUMA'!$A$1:$B$86,2)</f>
        <v>98</v>
      </c>
      <c r="F3342" s="0" t="n">
        <f aca="false">IF(C3342&gt;1,IF(C3342&lt;99,VLOOKUP(C3342,'Babblefish-APUMA'!$A$1:$B$86,2),C3342),C3342)</f>
        <v>999</v>
      </c>
    </row>
    <row r="3343" customFormat="false" ht="12.75" hidden="false" customHeight="false" outlineLevel="0" collapsed="false">
      <c r="A3343" s="0" t="n">
        <f aca="false">B3343*1000+C3343</f>
        <v>51000</v>
      </c>
      <c r="B3343" s="0" t="n">
        <v>51</v>
      </c>
      <c r="C3343" s="0" t="n">
        <v>0</v>
      </c>
      <c r="D3343" s="0" t="n">
        <v>371969</v>
      </c>
      <c r="E3343" s="0" t="n">
        <f aca="false">VLOOKUP(B3343,'Babblefish-APUMA'!$A$1:$B$86,2)</f>
        <v>98</v>
      </c>
      <c r="F3343" s="0" t="n">
        <f aca="false">IF(C3343&gt;1,IF(C3343&lt;99,VLOOKUP(C3343,'Babblefish-APUMA'!$A$1:$B$86,2),C3343),C3343)</f>
        <v>0</v>
      </c>
    </row>
    <row r="3344" customFormat="false" ht="12.75" hidden="false" customHeight="false" outlineLevel="0" collapsed="false">
      <c r="A3344" s="0" t="n">
        <f aca="false">B3344*1000+C3344</f>
        <v>51001</v>
      </c>
      <c r="B3344" s="0" t="n">
        <v>51</v>
      </c>
      <c r="C3344" s="0" t="n">
        <v>1</v>
      </c>
      <c r="D3344" s="0" t="n">
        <v>0</v>
      </c>
      <c r="E3344" s="0" t="n">
        <f aca="false">VLOOKUP(B3344,'Babblefish-APUMA'!$A$1:$B$86,2)</f>
        <v>98</v>
      </c>
      <c r="F3344" s="0" t="n">
        <f aca="false">IF(C3344&gt;1,IF(C3344&lt;99,VLOOKUP(C3344,'Babblefish-APUMA'!$A$1:$B$86,2),C3344),C3344)</f>
        <v>1</v>
      </c>
    </row>
    <row r="3345" customFormat="false" ht="12.75" hidden="false" customHeight="false" outlineLevel="0" collapsed="false">
      <c r="A3345" s="0" t="n">
        <f aca="false">B3345*1000+C3345</f>
        <v>51002</v>
      </c>
      <c r="B3345" s="0" t="n">
        <v>51</v>
      </c>
      <c r="C3345" s="0" t="n">
        <v>2</v>
      </c>
      <c r="D3345" s="0" t="n">
        <v>0</v>
      </c>
      <c r="E3345" s="0" t="n">
        <f aca="false">VLOOKUP(B3345,'Babblefish-APUMA'!$A$1:$B$86,2)</f>
        <v>98</v>
      </c>
      <c r="F3345" s="0" t="n">
        <f aca="false">IF(C3345&gt;1,IF(C3345&lt;99,VLOOKUP(C3345,'Babblefish-APUMA'!$A$1:$B$86,2),C3345),C3345)</f>
        <v>2</v>
      </c>
    </row>
    <row r="3346" customFormat="false" ht="12.75" hidden="false" customHeight="false" outlineLevel="0" collapsed="false">
      <c r="A3346" s="0" t="n">
        <f aca="false">B3346*1000+C3346</f>
        <v>51003</v>
      </c>
      <c r="B3346" s="0" t="n">
        <v>51</v>
      </c>
      <c r="C3346" s="0" t="n">
        <v>3</v>
      </c>
      <c r="D3346" s="0" t="n">
        <v>0</v>
      </c>
      <c r="E3346" s="0" t="n">
        <f aca="false">VLOOKUP(B3346,'Babblefish-APUMA'!$A$1:$B$86,2)</f>
        <v>98</v>
      </c>
      <c r="F3346" s="0" t="n">
        <f aca="false">IF(C3346&gt;1,IF(C3346&lt;99,VLOOKUP(C3346,'Babblefish-APUMA'!$A$1:$B$86,2),C3346),C3346)</f>
        <v>3</v>
      </c>
    </row>
    <row r="3347" customFormat="false" ht="12.75" hidden="false" customHeight="false" outlineLevel="0" collapsed="false">
      <c r="A3347" s="0" t="n">
        <f aca="false">B3347*1000+C3347</f>
        <v>51004</v>
      </c>
      <c r="B3347" s="0" t="n">
        <v>51</v>
      </c>
      <c r="C3347" s="0" t="n">
        <v>4</v>
      </c>
      <c r="D3347" s="0" t="n">
        <v>0</v>
      </c>
      <c r="E3347" s="0" t="n">
        <f aca="false">VLOOKUP(B3347,'Babblefish-APUMA'!$A$1:$B$86,2)</f>
        <v>98</v>
      </c>
      <c r="F3347" s="0" t="n">
        <f aca="false">IF(C3347&gt;1,IF(C3347&lt;99,VLOOKUP(C3347,'Babblefish-APUMA'!$A$1:$B$86,2),C3347),C3347)</f>
        <v>4</v>
      </c>
    </row>
    <row r="3348" customFormat="false" ht="12.75" hidden="false" customHeight="false" outlineLevel="0" collapsed="false">
      <c r="A3348" s="0" t="n">
        <f aca="false">B3348*1000+C3348</f>
        <v>51005</v>
      </c>
      <c r="B3348" s="0" t="n">
        <v>51</v>
      </c>
      <c r="C3348" s="0" t="n">
        <v>5</v>
      </c>
      <c r="D3348" s="0" t="n">
        <v>0</v>
      </c>
      <c r="E3348" s="0" t="n">
        <f aca="false">VLOOKUP(B3348,'Babblefish-APUMA'!$A$1:$B$86,2)</f>
        <v>98</v>
      </c>
      <c r="F3348" s="0" t="n">
        <f aca="false">IF(C3348&gt;1,IF(C3348&lt;99,VLOOKUP(C3348,'Babblefish-APUMA'!$A$1:$B$86,2),C3348),C3348)</f>
        <v>5</v>
      </c>
    </row>
    <row r="3349" customFormat="false" ht="12.75" hidden="false" customHeight="false" outlineLevel="0" collapsed="false">
      <c r="A3349" s="0" t="n">
        <f aca="false">B3349*1000+C3349</f>
        <v>51006</v>
      </c>
      <c r="B3349" s="0" t="n">
        <v>51</v>
      </c>
      <c r="C3349" s="0" t="n">
        <v>6</v>
      </c>
      <c r="D3349" s="0" t="n">
        <v>0</v>
      </c>
      <c r="E3349" s="0" t="n">
        <f aca="false">VLOOKUP(B3349,'Babblefish-APUMA'!$A$1:$B$86,2)</f>
        <v>98</v>
      </c>
      <c r="F3349" s="0" t="n">
        <f aca="false">IF(C3349&gt;1,IF(C3349&lt;99,VLOOKUP(C3349,'Babblefish-APUMA'!$A$1:$B$86,2),C3349),C3349)</f>
        <v>6</v>
      </c>
    </row>
    <row r="3350" customFormat="false" ht="12.75" hidden="false" customHeight="false" outlineLevel="0" collapsed="false">
      <c r="A3350" s="0" t="n">
        <f aca="false">B3350*1000+C3350</f>
        <v>51007</v>
      </c>
      <c r="B3350" s="0" t="n">
        <v>51</v>
      </c>
      <c r="C3350" s="0" t="n">
        <v>7</v>
      </c>
      <c r="D3350" s="0" t="n">
        <v>0</v>
      </c>
      <c r="E3350" s="0" t="n">
        <f aca="false">VLOOKUP(B3350,'Babblefish-APUMA'!$A$1:$B$86,2)</f>
        <v>98</v>
      </c>
      <c r="F3350" s="0" t="n">
        <f aca="false">IF(C3350&gt;1,IF(C3350&lt;99,VLOOKUP(C3350,'Babblefish-APUMA'!$A$1:$B$86,2),C3350),C3350)</f>
        <v>7</v>
      </c>
    </row>
    <row r="3351" customFormat="false" ht="12.75" hidden="false" customHeight="false" outlineLevel="0" collapsed="false">
      <c r="A3351" s="0" t="n">
        <f aca="false">B3351*1000+C3351</f>
        <v>51008</v>
      </c>
      <c r="B3351" s="0" t="n">
        <v>51</v>
      </c>
      <c r="C3351" s="0" t="n">
        <v>8</v>
      </c>
      <c r="D3351" s="0" t="n">
        <v>0</v>
      </c>
      <c r="E3351" s="0" t="n">
        <f aca="false">VLOOKUP(B3351,'Babblefish-APUMA'!$A$1:$B$86,2)</f>
        <v>98</v>
      </c>
      <c r="F3351" s="0" t="n">
        <f aca="false">IF(C3351&gt;1,IF(C3351&lt;99,VLOOKUP(C3351,'Babblefish-APUMA'!$A$1:$B$86,2),C3351),C3351)</f>
        <v>8</v>
      </c>
    </row>
    <row r="3352" customFormat="false" ht="12.75" hidden="false" customHeight="false" outlineLevel="0" collapsed="false">
      <c r="A3352" s="0" t="n">
        <f aca="false">B3352*1000+C3352</f>
        <v>51009</v>
      </c>
      <c r="B3352" s="0" t="n">
        <v>51</v>
      </c>
      <c r="C3352" s="0" t="n">
        <v>9</v>
      </c>
      <c r="D3352" s="0" t="n">
        <v>0</v>
      </c>
      <c r="E3352" s="0" t="n">
        <f aca="false">VLOOKUP(B3352,'Babblefish-APUMA'!$A$1:$B$86,2)</f>
        <v>98</v>
      </c>
      <c r="F3352" s="0" t="n">
        <f aca="false">IF(C3352&gt;1,IF(C3352&lt;99,VLOOKUP(C3352,'Babblefish-APUMA'!$A$1:$B$86,2),C3352),C3352)</f>
        <v>9</v>
      </c>
    </row>
    <row r="3353" customFormat="false" ht="12.75" hidden="false" customHeight="false" outlineLevel="0" collapsed="false">
      <c r="A3353" s="0" t="n">
        <f aca="false">B3353*1000+C3353</f>
        <v>51010</v>
      </c>
      <c r="B3353" s="0" t="n">
        <v>51</v>
      </c>
      <c r="C3353" s="0" t="n">
        <v>10</v>
      </c>
      <c r="D3353" s="0" t="n">
        <v>221</v>
      </c>
      <c r="E3353" s="0" t="n">
        <f aca="false">VLOOKUP(B3353,'Babblefish-APUMA'!$A$1:$B$86,2)</f>
        <v>98</v>
      </c>
      <c r="F3353" s="0" t="n">
        <f aca="false">IF(C3353&gt;1,IF(C3353&lt;99,VLOOKUP(C3353,'Babblefish-APUMA'!$A$1:$B$86,2),C3353),C3353)</f>
        <v>10</v>
      </c>
    </row>
    <row r="3354" customFormat="false" ht="12.75" hidden="false" customHeight="false" outlineLevel="0" collapsed="false">
      <c r="A3354" s="0" t="n">
        <f aca="false">B3354*1000+C3354</f>
        <v>51011</v>
      </c>
      <c r="B3354" s="0" t="n">
        <v>51</v>
      </c>
      <c r="C3354" s="0" t="n">
        <v>11</v>
      </c>
      <c r="D3354" s="0" t="n">
        <v>78</v>
      </c>
      <c r="E3354" s="0" t="n">
        <f aca="false">VLOOKUP(B3354,'Babblefish-APUMA'!$A$1:$B$86,2)</f>
        <v>98</v>
      </c>
      <c r="F3354" s="0" t="n">
        <f aca="false">IF(C3354&gt;1,IF(C3354&lt;99,VLOOKUP(C3354,'Babblefish-APUMA'!$A$1:$B$86,2),C3354),C3354)</f>
        <v>11</v>
      </c>
    </row>
    <row r="3355" customFormat="false" ht="12.75" hidden="false" customHeight="false" outlineLevel="0" collapsed="false">
      <c r="A3355" s="0" t="n">
        <f aca="false">B3355*1000+C3355</f>
        <v>51012</v>
      </c>
      <c r="B3355" s="0" t="n">
        <v>51</v>
      </c>
      <c r="C3355" s="0" t="n">
        <v>12</v>
      </c>
      <c r="D3355" s="0" t="n">
        <v>0</v>
      </c>
      <c r="E3355" s="0" t="n">
        <f aca="false">VLOOKUP(B3355,'Babblefish-APUMA'!$A$1:$B$86,2)</f>
        <v>98</v>
      </c>
      <c r="F3355" s="0" t="n">
        <f aca="false">IF(C3355&gt;1,IF(C3355&lt;99,VLOOKUP(C3355,'Babblefish-APUMA'!$A$1:$B$86,2),C3355),C3355)</f>
        <v>12</v>
      </c>
    </row>
    <row r="3356" customFormat="false" ht="12.75" hidden="false" customHeight="false" outlineLevel="0" collapsed="false">
      <c r="A3356" s="0" t="n">
        <f aca="false">B3356*1000+C3356</f>
        <v>51013</v>
      </c>
      <c r="B3356" s="0" t="n">
        <v>51</v>
      </c>
      <c r="C3356" s="0" t="n">
        <v>13</v>
      </c>
      <c r="D3356" s="0" t="n">
        <v>0</v>
      </c>
      <c r="E3356" s="0" t="n">
        <f aca="false">VLOOKUP(B3356,'Babblefish-APUMA'!$A$1:$B$86,2)</f>
        <v>98</v>
      </c>
      <c r="F3356" s="0" t="n">
        <f aca="false">IF(C3356&gt;1,IF(C3356&lt;99,VLOOKUP(C3356,'Babblefish-APUMA'!$A$1:$B$86,2),C3356),C3356)</f>
        <v>100</v>
      </c>
    </row>
    <row r="3357" customFormat="false" ht="12.75" hidden="false" customHeight="false" outlineLevel="0" collapsed="false">
      <c r="A3357" s="0" t="n">
        <f aca="false">B3357*1000+C3357</f>
        <v>51014</v>
      </c>
      <c r="B3357" s="0" t="n">
        <v>51</v>
      </c>
      <c r="C3357" s="0" t="n">
        <v>14</v>
      </c>
      <c r="D3357" s="0" t="n">
        <v>0</v>
      </c>
      <c r="E3357" s="0" t="n">
        <f aca="false">VLOOKUP(B3357,'Babblefish-APUMA'!$A$1:$B$86,2)</f>
        <v>98</v>
      </c>
      <c r="F3357" s="0" t="n">
        <f aca="false">IF(C3357&gt;1,IF(C3357&lt;99,VLOOKUP(C3357,'Babblefish-APUMA'!$A$1:$B$86,2),C3357),C3357)</f>
        <v>100</v>
      </c>
    </row>
    <row r="3358" customFormat="false" ht="12.75" hidden="false" customHeight="false" outlineLevel="0" collapsed="false">
      <c r="A3358" s="0" t="n">
        <f aca="false">B3358*1000+C3358</f>
        <v>51015</v>
      </c>
      <c r="B3358" s="0" t="n">
        <v>51</v>
      </c>
      <c r="C3358" s="0" t="n">
        <v>15</v>
      </c>
      <c r="D3358" s="0" t="n">
        <v>78</v>
      </c>
      <c r="E3358" s="0" t="n">
        <f aca="false">VLOOKUP(B3358,'Babblefish-APUMA'!$A$1:$B$86,2)</f>
        <v>98</v>
      </c>
      <c r="F3358" s="0" t="n">
        <f aca="false">IF(C3358&gt;1,IF(C3358&lt;99,VLOOKUP(C3358,'Babblefish-APUMA'!$A$1:$B$86,2),C3358),C3358)</f>
        <v>15</v>
      </c>
    </row>
    <row r="3359" customFormat="false" ht="12.75" hidden="false" customHeight="false" outlineLevel="0" collapsed="false">
      <c r="A3359" s="0" t="n">
        <f aca="false">B3359*1000+C3359</f>
        <v>51016</v>
      </c>
      <c r="B3359" s="0" t="n">
        <v>51</v>
      </c>
      <c r="C3359" s="0" t="n">
        <v>16</v>
      </c>
      <c r="D3359" s="0" t="n">
        <v>273</v>
      </c>
      <c r="E3359" s="0" t="n">
        <f aca="false">VLOOKUP(B3359,'Babblefish-APUMA'!$A$1:$B$86,2)</f>
        <v>98</v>
      </c>
      <c r="F3359" s="0" t="n">
        <f aca="false">IF(C3359&gt;1,IF(C3359&lt;99,VLOOKUP(C3359,'Babblefish-APUMA'!$A$1:$B$86,2),C3359),C3359)</f>
        <v>99</v>
      </c>
    </row>
    <row r="3360" customFormat="false" ht="12.75" hidden="false" customHeight="false" outlineLevel="0" collapsed="false">
      <c r="A3360" s="0" t="n">
        <f aca="false">B3360*1000+C3360</f>
        <v>51017</v>
      </c>
      <c r="B3360" s="0" t="n">
        <v>51</v>
      </c>
      <c r="C3360" s="0" t="n">
        <v>17</v>
      </c>
      <c r="D3360" s="0" t="n">
        <v>65</v>
      </c>
      <c r="E3360" s="0" t="n">
        <f aca="false">VLOOKUP(B3360,'Babblefish-APUMA'!$A$1:$B$86,2)</f>
        <v>98</v>
      </c>
      <c r="F3360" s="0" t="n">
        <f aca="false">IF(C3360&gt;1,IF(C3360&lt;99,VLOOKUP(C3360,'Babblefish-APUMA'!$A$1:$B$86,2),C3360),C3360)</f>
        <v>87</v>
      </c>
    </row>
    <row r="3361" customFormat="false" ht="12.75" hidden="false" customHeight="false" outlineLevel="0" collapsed="false">
      <c r="A3361" s="0" t="n">
        <f aca="false">B3361*1000+C3361</f>
        <v>51018</v>
      </c>
      <c r="B3361" s="0" t="n">
        <v>51</v>
      </c>
      <c r="C3361" s="0" t="n">
        <v>18</v>
      </c>
      <c r="D3361" s="0" t="n">
        <v>4173</v>
      </c>
      <c r="E3361" s="0" t="n">
        <f aca="false">VLOOKUP(B3361,'Babblefish-APUMA'!$A$1:$B$86,2)</f>
        <v>98</v>
      </c>
      <c r="F3361" s="0" t="n">
        <f aca="false">IF(C3361&gt;1,IF(C3361&lt;99,VLOOKUP(C3361,'Babblefish-APUMA'!$A$1:$B$86,2),C3361),C3361)</f>
        <v>87</v>
      </c>
    </row>
    <row r="3362" customFormat="false" ht="12.75" hidden="false" customHeight="false" outlineLevel="0" collapsed="false">
      <c r="A3362" s="0" t="n">
        <f aca="false">B3362*1000+C3362</f>
        <v>51019</v>
      </c>
      <c r="B3362" s="0" t="n">
        <v>51</v>
      </c>
      <c r="C3362" s="0" t="n">
        <v>19</v>
      </c>
      <c r="D3362" s="0" t="n">
        <v>4056</v>
      </c>
      <c r="E3362" s="0" t="n">
        <f aca="false">VLOOKUP(B3362,'Babblefish-APUMA'!$A$1:$B$86,2)</f>
        <v>98</v>
      </c>
      <c r="F3362" s="0" t="n">
        <f aca="false">IF(C3362&gt;1,IF(C3362&lt;99,VLOOKUP(C3362,'Babblefish-APUMA'!$A$1:$B$86,2),C3362),C3362)</f>
        <v>19</v>
      </c>
    </row>
    <row r="3363" customFormat="false" ht="12.75" hidden="false" customHeight="false" outlineLevel="0" collapsed="false">
      <c r="A3363" s="0" t="n">
        <f aca="false">B3363*1000+C3363</f>
        <v>51020</v>
      </c>
      <c r="B3363" s="0" t="n">
        <v>51</v>
      </c>
      <c r="C3363" s="0" t="n">
        <v>20</v>
      </c>
      <c r="D3363" s="0" t="n">
        <v>247</v>
      </c>
      <c r="E3363" s="0" t="n">
        <f aca="false">VLOOKUP(B3363,'Babblefish-APUMA'!$A$1:$B$86,2)</f>
        <v>98</v>
      </c>
      <c r="F3363" s="0" t="n">
        <f aca="false">IF(C3363&gt;1,IF(C3363&lt;99,VLOOKUP(C3363,'Babblefish-APUMA'!$A$1:$B$86,2),C3363),C3363)</f>
        <v>86</v>
      </c>
    </row>
    <row r="3364" customFormat="false" ht="12.75" hidden="false" customHeight="false" outlineLevel="0" collapsed="false">
      <c r="A3364" s="0" t="n">
        <f aca="false">B3364*1000+C3364</f>
        <v>51021</v>
      </c>
      <c r="B3364" s="0" t="n">
        <v>51</v>
      </c>
      <c r="C3364" s="0" t="n">
        <v>21</v>
      </c>
      <c r="D3364" s="0" t="n">
        <v>12883</v>
      </c>
      <c r="E3364" s="0" t="n">
        <f aca="false">VLOOKUP(B3364,'Babblefish-APUMA'!$A$1:$B$86,2)</f>
        <v>98</v>
      </c>
      <c r="F3364" s="0" t="n">
        <f aca="false">IF(C3364&gt;1,IF(C3364&lt;99,VLOOKUP(C3364,'Babblefish-APUMA'!$A$1:$B$86,2),C3364),C3364)</f>
        <v>86</v>
      </c>
    </row>
    <row r="3365" customFormat="false" ht="12.75" hidden="false" customHeight="false" outlineLevel="0" collapsed="false">
      <c r="A3365" s="0" t="n">
        <f aca="false">B3365*1000+C3365</f>
        <v>51022</v>
      </c>
      <c r="B3365" s="0" t="n">
        <v>51</v>
      </c>
      <c r="C3365" s="0" t="n">
        <v>22</v>
      </c>
      <c r="D3365" s="0" t="n">
        <v>9919</v>
      </c>
      <c r="E3365" s="0" t="n">
        <f aca="false">VLOOKUP(B3365,'Babblefish-APUMA'!$A$1:$B$86,2)</f>
        <v>98</v>
      </c>
      <c r="F3365" s="0" t="n">
        <f aca="false">IF(C3365&gt;1,IF(C3365&lt;99,VLOOKUP(C3365,'Babblefish-APUMA'!$A$1:$B$86,2),C3365),C3365)</f>
        <v>22</v>
      </c>
    </row>
    <row r="3366" customFormat="false" ht="12.75" hidden="false" customHeight="false" outlineLevel="0" collapsed="false">
      <c r="A3366" s="0" t="n">
        <f aca="false">B3366*1000+C3366</f>
        <v>51023</v>
      </c>
      <c r="B3366" s="0" t="n">
        <v>51</v>
      </c>
      <c r="C3366" s="0" t="n">
        <v>23</v>
      </c>
      <c r="D3366" s="0" t="n">
        <v>0</v>
      </c>
      <c r="E3366" s="0" t="n">
        <f aca="false">VLOOKUP(B3366,'Babblefish-APUMA'!$A$1:$B$86,2)</f>
        <v>98</v>
      </c>
      <c r="F3366" s="0" t="n">
        <f aca="false">IF(C3366&gt;1,IF(C3366&lt;99,VLOOKUP(C3366,'Babblefish-APUMA'!$A$1:$B$86,2),C3366),C3366)</f>
        <v>97</v>
      </c>
    </row>
    <row r="3367" customFormat="false" ht="12.75" hidden="false" customHeight="false" outlineLevel="0" collapsed="false">
      <c r="A3367" s="0" t="n">
        <f aca="false">B3367*1000+C3367</f>
        <v>51024</v>
      </c>
      <c r="B3367" s="0" t="n">
        <v>51</v>
      </c>
      <c r="C3367" s="0" t="n">
        <v>24</v>
      </c>
      <c r="D3367" s="0" t="n">
        <v>0</v>
      </c>
      <c r="E3367" s="0" t="n">
        <f aca="false">VLOOKUP(B3367,'Babblefish-APUMA'!$A$1:$B$86,2)</f>
        <v>98</v>
      </c>
      <c r="F3367" s="0" t="n">
        <f aca="false">IF(C3367&gt;1,IF(C3367&lt;99,VLOOKUP(C3367,'Babblefish-APUMA'!$A$1:$B$86,2),C3367),C3367)</f>
        <v>101</v>
      </c>
    </row>
    <row r="3368" customFormat="false" ht="12.75" hidden="false" customHeight="false" outlineLevel="0" collapsed="false">
      <c r="A3368" s="0" t="n">
        <f aca="false">B3368*1000+C3368</f>
        <v>51025</v>
      </c>
      <c r="B3368" s="0" t="n">
        <v>51</v>
      </c>
      <c r="C3368" s="0" t="n">
        <v>25</v>
      </c>
      <c r="D3368" s="0" t="n">
        <v>0</v>
      </c>
      <c r="E3368" s="0" t="n">
        <f aca="false">VLOOKUP(B3368,'Babblefish-APUMA'!$A$1:$B$86,2)</f>
        <v>98</v>
      </c>
      <c r="F3368" s="0" t="n">
        <f aca="false">IF(C3368&gt;1,IF(C3368&lt;99,VLOOKUP(C3368,'Babblefish-APUMA'!$A$1:$B$86,2),C3368),C3368)</f>
        <v>101</v>
      </c>
    </row>
    <row r="3369" customFormat="false" ht="12.75" hidden="false" customHeight="false" outlineLevel="0" collapsed="false">
      <c r="A3369" s="0" t="n">
        <f aca="false">B3369*1000+C3369</f>
        <v>51026</v>
      </c>
      <c r="B3369" s="0" t="n">
        <v>51</v>
      </c>
      <c r="C3369" s="0" t="n">
        <v>26</v>
      </c>
      <c r="D3369" s="0" t="n">
        <v>0</v>
      </c>
      <c r="E3369" s="0" t="n">
        <f aca="false">VLOOKUP(B3369,'Babblefish-APUMA'!$A$1:$B$86,2)</f>
        <v>98</v>
      </c>
      <c r="F3369" s="0" t="n">
        <f aca="false">IF(C3369&gt;1,IF(C3369&lt;99,VLOOKUP(C3369,'Babblefish-APUMA'!$A$1:$B$86,2),C3369),C3369)</f>
        <v>26</v>
      </c>
    </row>
    <row r="3370" customFormat="false" ht="12.75" hidden="false" customHeight="false" outlineLevel="0" collapsed="false">
      <c r="A3370" s="0" t="n">
        <f aca="false">B3370*1000+C3370</f>
        <v>51027</v>
      </c>
      <c r="B3370" s="0" t="n">
        <v>51</v>
      </c>
      <c r="C3370" s="0" t="n">
        <v>27</v>
      </c>
      <c r="D3370" s="0" t="n">
        <v>104</v>
      </c>
      <c r="E3370" s="0" t="n">
        <f aca="false">VLOOKUP(B3370,'Babblefish-APUMA'!$A$1:$B$86,2)</f>
        <v>98</v>
      </c>
      <c r="F3370" s="0" t="n">
        <f aca="false">IF(C3370&gt;1,IF(C3370&lt;99,VLOOKUP(C3370,'Babblefish-APUMA'!$A$1:$B$86,2),C3370),C3370)</f>
        <v>27</v>
      </c>
    </row>
    <row r="3371" customFormat="false" ht="12.75" hidden="false" customHeight="false" outlineLevel="0" collapsed="false">
      <c r="A3371" s="0" t="n">
        <f aca="false">B3371*1000+C3371</f>
        <v>51028</v>
      </c>
      <c r="B3371" s="0" t="n">
        <v>51</v>
      </c>
      <c r="C3371" s="0" t="n">
        <v>28</v>
      </c>
      <c r="D3371" s="0" t="n">
        <v>130</v>
      </c>
      <c r="E3371" s="0" t="n">
        <f aca="false">VLOOKUP(B3371,'Babblefish-APUMA'!$A$1:$B$86,2)</f>
        <v>98</v>
      </c>
      <c r="F3371" s="0" t="n">
        <f aca="false">IF(C3371&gt;1,IF(C3371&lt;99,VLOOKUP(C3371,'Babblefish-APUMA'!$A$1:$B$86,2),C3371),C3371)</f>
        <v>94</v>
      </c>
    </row>
    <row r="3372" customFormat="false" ht="12.75" hidden="false" customHeight="false" outlineLevel="0" collapsed="false">
      <c r="A3372" s="0" t="n">
        <f aca="false">B3372*1000+C3372</f>
        <v>51029</v>
      </c>
      <c r="B3372" s="0" t="n">
        <v>51</v>
      </c>
      <c r="C3372" s="0" t="n">
        <v>29</v>
      </c>
      <c r="D3372" s="0" t="n">
        <v>468</v>
      </c>
      <c r="E3372" s="0" t="n">
        <f aca="false">VLOOKUP(B3372,'Babblefish-APUMA'!$A$1:$B$86,2)</f>
        <v>98</v>
      </c>
      <c r="F3372" s="0" t="n">
        <f aca="false">IF(C3372&gt;1,IF(C3372&lt;99,VLOOKUP(C3372,'Babblefish-APUMA'!$A$1:$B$86,2),C3372),C3372)</f>
        <v>94</v>
      </c>
    </row>
    <row r="3373" customFormat="false" ht="12.75" hidden="false" customHeight="false" outlineLevel="0" collapsed="false">
      <c r="A3373" s="0" t="n">
        <f aca="false">B3373*1000+C3373</f>
        <v>51030</v>
      </c>
      <c r="B3373" s="0" t="n">
        <v>51</v>
      </c>
      <c r="C3373" s="0" t="n">
        <v>30</v>
      </c>
      <c r="D3373" s="0" t="n">
        <v>0</v>
      </c>
      <c r="E3373" s="0" t="n">
        <f aca="false">VLOOKUP(B3373,'Babblefish-APUMA'!$A$1:$B$86,2)</f>
        <v>98</v>
      </c>
      <c r="F3373" s="0" t="n">
        <f aca="false">IF(C3373&gt;1,IF(C3373&lt;99,VLOOKUP(C3373,'Babblefish-APUMA'!$A$1:$B$86,2),C3373),C3373)</f>
        <v>30</v>
      </c>
    </row>
    <row r="3374" customFormat="false" ht="12.75" hidden="false" customHeight="false" outlineLevel="0" collapsed="false">
      <c r="A3374" s="0" t="n">
        <f aca="false">B3374*1000+C3374</f>
        <v>51031</v>
      </c>
      <c r="B3374" s="0" t="n">
        <v>51</v>
      </c>
      <c r="C3374" s="0" t="n">
        <v>31</v>
      </c>
      <c r="D3374" s="0" t="n">
        <v>0</v>
      </c>
      <c r="E3374" s="0" t="n">
        <f aca="false">VLOOKUP(B3374,'Babblefish-APUMA'!$A$1:$B$86,2)</f>
        <v>98</v>
      </c>
      <c r="F3374" s="0" t="n">
        <f aca="false">IF(C3374&gt;1,IF(C3374&lt;99,VLOOKUP(C3374,'Babblefish-APUMA'!$A$1:$B$86,2),C3374),C3374)</f>
        <v>31</v>
      </c>
    </row>
    <row r="3375" customFormat="false" ht="12.75" hidden="false" customHeight="false" outlineLevel="0" collapsed="false">
      <c r="A3375" s="0" t="n">
        <f aca="false">B3375*1000+C3375</f>
        <v>51032</v>
      </c>
      <c r="B3375" s="0" t="n">
        <v>51</v>
      </c>
      <c r="C3375" s="0" t="n">
        <v>32</v>
      </c>
      <c r="D3375" s="0" t="n">
        <v>65</v>
      </c>
      <c r="E3375" s="0" t="n">
        <f aca="false">VLOOKUP(B3375,'Babblefish-APUMA'!$A$1:$B$86,2)</f>
        <v>98</v>
      </c>
      <c r="F3375" s="0" t="n">
        <f aca="false">IF(C3375&gt;1,IF(C3375&lt;99,VLOOKUP(C3375,'Babblefish-APUMA'!$A$1:$B$86,2),C3375),C3375)</f>
        <v>32</v>
      </c>
    </row>
    <row r="3376" customFormat="false" ht="12.75" hidden="false" customHeight="false" outlineLevel="0" collapsed="false">
      <c r="A3376" s="0" t="n">
        <f aca="false">B3376*1000+C3376</f>
        <v>51033</v>
      </c>
      <c r="B3376" s="0" t="n">
        <v>51</v>
      </c>
      <c r="C3376" s="0" t="n">
        <v>33</v>
      </c>
      <c r="D3376" s="0" t="n">
        <v>0</v>
      </c>
      <c r="E3376" s="0" t="n">
        <f aca="false">VLOOKUP(B3376,'Babblefish-APUMA'!$A$1:$B$86,2)</f>
        <v>98</v>
      </c>
      <c r="F3376" s="0" t="n">
        <f aca="false">IF(C3376&gt;1,IF(C3376&lt;99,VLOOKUP(C3376,'Babblefish-APUMA'!$A$1:$B$86,2),C3376),C3376)</f>
        <v>96</v>
      </c>
    </row>
    <row r="3377" customFormat="false" ht="12.75" hidden="false" customHeight="false" outlineLevel="0" collapsed="false">
      <c r="A3377" s="0" t="n">
        <f aca="false">B3377*1000+C3377</f>
        <v>51034</v>
      </c>
      <c r="B3377" s="0" t="n">
        <v>51</v>
      </c>
      <c r="C3377" s="0" t="n">
        <v>34</v>
      </c>
      <c r="D3377" s="0" t="n">
        <v>0</v>
      </c>
      <c r="E3377" s="0" t="n">
        <f aca="false">VLOOKUP(B3377,'Babblefish-APUMA'!$A$1:$B$86,2)</f>
        <v>98</v>
      </c>
      <c r="F3377" s="0" t="n">
        <f aca="false">IF(C3377&gt;1,IF(C3377&lt;99,VLOOKUP(C3377,'Babblefish-APUMA'!$A$1:$B$86,2),C3377),C3377)</f>
        <v>96</v>
      </c>
    </row>
    <row r="3378" customFormat="false" ht="12.75" hidden="false" customHeight="false" outlineLevel="0" collapsed="false">
      <c r="A3378" s="0" t="n">
        <f aca="false">B3378*1000+C3378</f>
        <v>51035</v>
      </c>
      <c r="B3378" s="0" t="n">
        <v>51</v>
      </c>
      <c r="C3378" s="0" t="n">
        <v>35</v>
      </c>
      <c r="D3378" s="0" t="n">
        <v>0</v>
      </c>
      <c r="E3378" s="0" t="n">
        <f aca="false">VLOOKUP(B3378,'Babblefish-APUMA'!$A$1:$B$86,2)</f>
        <v>98</v>
      </c>
      <c r="F3378" s="0" t="n">
        <f aca="false">IF(C3378&gt;1,IF(C3378&lt;99,VLOOKUP(C3378,'Babblefish-APUMA'!$A$1:$B$86,2),C3378),C3378)</f>
        <v>96</v>
      </c>
    </row>
    <row r="3379" customFormat="false" ht="12.75" hidden="false" customHeight="false" outlineLevel="0" collapsed="false">
      <c r="A3379" s="0" t="n">
        <f aca="false">B3379*1000+C3379</f>
        <v>51036</v>
      </c>
      <c r="B3379" s="0" t="n">
        <v>51</v>
      </c>
      <c r="C3379" s="0" t="n">
        <v>36</v>
      </c>
      <c r="D3379" s="0" t="n">
        <v>0</v>
      </c>
      <c r="E3379" s="0" t="n">
        <f aca="false">VLOOKUP(B3379,'Babblefish-APUMA'!$A$1:$B$86,2)</f>
        <v>98</v>
      </c>
      <c r="F3379" s="0" t="n">
        <f aca="false">IF(C3379&gt;1,IF(C3379&lt;99,VLOOKUP(C3379,'Babblefish-APUMA'!$A$1:$B$86,2),C3379),C3379)</f>
        <v>96</v>
      </c>
    </row>
    <row r="3380" customFormat="false" ht="12.75" hidden="false" customHeight="false" outlineLevel="0" collapsed="false">
      <c r="A3380" s="0" t="n">
        <f aca="false">B3380*1000+C3380</f>
        <v>51037</v>
      </c>
      <c r="B3380" s="0" t="n">
        <v>51</v>
      </c>
      <c r="C3380" s="0" t="n">
        <v>37</v>
      </c>
      <c r="D3380" s="0" t="n">
        <v>78</v>
      </c>
      <c r="E3380" s="0" t="n">
        <f aca="false">VLOOKUP(B3380,'Babblefish-APUMA'!$A$1:$B$86,2)</f>
        <v>98</v>
      </c>
      <c r="F3380" s="0" t="n">
        <f aca="false">IF(C3380&gt;1,IF(C3380&lt;99,VLOOKUP(C3380,'Babblefish-APUMA'!$A$1:$B$86,2),C3380),C3380)</f>
        <v>96</v>
      </c>
    </row>
    <row r="3381" customFormat="false" ht="12.75" hidden="false" customHeight="false" outlineLevel="0" collapsed="false">
      <c r="A3381" s="0" t="n">
        <f aca="false">B3381*1000+C3381</f>
        <v>51038</v>
      </c>
      <c r="B3381" s="0" t="n">
        <v>51</v>
      </c>
      <c r="C3381" s="0" t="n">
        <v>38</v>
      </c>
      <c r="D3381" s="0" t="n">
        <v>91</v>
      </c>
      <c r="E3381" s="0" t="n">
        <f aca="false">VLOOKUP(B3381,'Babblefish-APUMA'!$A$1:$B$86,2)</f>
        <v>98</v>
      </c>
      <c r="F3381" s="0" t="n">
        <f aca="false">IF(C3381&gt;1,IF(C3381&lt;99,VLOOKUP(C3381,'Babblefish-APUMA'!$A$1:$B$86,2),C3381),C3381)</f>
        <v>91</v>
      </c>
    </row>
    <row r="3382" customFormat="false" ht="12.75" hidden="false" customHeight="false" outlineLevel="0" collapsed="false">
      <c r="A3382" s="0" t="n">
        <f aca="false">B3382*1000+C3382</f>
        <v>51039</v>
      </c>
      <c r="B3382" s="0" t="n">
        <v>51</v>
      </c>
      <c r="C3382" s="0" t="n">
        <v>39</v>
      </c>
      <c r="D3382" s="0" t="n">
        <v>273</v>
      </c>
      <c r="E3382" s="0" t="n">
        <f aca="false">VLOOKUP(B3382,'Babblefish-APUMA'!$A$1:$B$86,2)</f>
        <v>98</v>
      </c>
      <c r="F3382" s="0" t="n">
        <f aca="false">IF(C3382&gt;1,IF(C3382&lt;99,VLOOKUP(C3382,'Babblefish-APUMA'!$A$1:$B$86,2),C3382),C3382)</f>
        <v>91</v>
      </c>
    </row>
    <row r="3383" customFormat="false" ht="12.75" hidden="false" customHeight="false" outlineLevel="0" collapsed="false">
      <c r="A3383" s="0" t="n">
        <f aca="false">B3383*1000+C3383</f>
        <v>51040</v>
      </c>
      <c r="B3383" s="0" t="n">
        <v>51</v>
      </c>
      <c r="C3383" s="0" t="n">
        <v>40</v>
      </c>
      <c r="D3383" s="0" t="n">
        <v>0</v>
      </c>
      <c r="E3383" s="0" t="n">
        <f aca="false">VLOOKUP(B3383,'Babblefish-APUMA'!$A$1:$B$86,2)</f>
        <v>98</v>
      </c>
      <c r="F3383" s="0" t="n">
        <f aca="false">IF(C3383&gt;1,IF(C3383&lt;99,VLOOKUP(C3383,'Babblefish-APUMA'!$A$1:$B$86,2),C3383),C3383)</f>
        <v>88</v>
      </c>
    </row>
    <row r="3384" customFormat="false" ht="12.75" hidden="false" customHeight="false" outlineLevel="0" collapsed="false">
      <c r="A3384" s="0" t="n">
        <f aca="false">B3384*1000+C3384</f>
        <v>51041</v>
      </c>
      <c r="B3384" s="0" t="n">
        <v>51</v>
      </c>
      <c r="C3384" s="0" t="n">
        <v>41</v>
      </c>
      <c r="D3384" s="0" t="n">
        <v>0</v>
      </c>
      <c r="E3384" s="0" t="n">
        <f aca="false">VLOOKUP(B3384,'Babblefish-APUMA'!$A$1:$B$86,2)</f>
        <v>98</v>
      </c>
      <c r="F3384" s="0" t="n">
        <f aca="false">IF(C3384&gt;1,IF(C3384&lt;99,VLOOKUP(C3384,'Babblefish-APUMA'!$A$1:$B$86,2),C3384),C3384)</f>
        <v>88</v>
      </c>
    </row>
    <row r="3385" customFormat="false" ht="12.75" hidden="false" customHeight="false" outlineLevel="0" collapsed="false">
      <c r="A3385" s="0" t="n">
        <f aca="false">B3385*1000+C3385</f>
        <v>51042</v>
      </c>
      <c r="B3385" s="0" t="n">
        <v>51</v>
      </c>
      <c r="C3385" s="0" t="n">
        <v>42</v>
      </c>
      <c r="D3385" s="0" t="n">
        <v>0</v>
      </c>
      <c r="E3385" s="0" t="n">
        <f aca="false">VLOOKUP(B3385,'Babblefish-APUMA'!$A$1:$B$86,2)</f>
        <v>98</v>
      </c>
      <c r="F3385" s="0" t="n">
        <f aca="false">IF(C3385&gt;1,IF(C3385&lt;99,VLOOKUP(C3385,'Babblefish-APUMA'!$A$1:$B$86,2),C3385),C3385)</f>
        <v>92</v>
      </c>
    </row>
    <row r="3386" customFormat="false" ht="12.75" hidden="false" customHeight="false" outlineLevel="0" collapsed="false">
      <c r="A3386" s="0" t="n">
        <f aca="false">B3386*1000+C3386</f>
        <v>51043</v>
      </c>
      <c r="B3386" s="0" t="n">
        <v>51</v>
      </c>
      <c r="C3386" s="0" t="n">
        <v>43</v>
      </c>
      <c r="D3386" s="0" t="n">
        <v>0</v>
      </c>
      <c r="E3386" s="0" t="n">
        <f aca="false">VLOOKUP(B3386,'Babblefish-APUMA'!$A$1:$B$86,2)</f>
        <v>98</v>
      </c>
      <c r="F3386" s="0" t="n">
        <f aca="false">IF(C3386&gt;1,IF(C3386&lt;99,VLOOKUP(C3386,'Babblefish-APUMA'!$A$1:$B$86,2),C3386),C3386)</f>
        <v>92</v>
      </c>
    </row>
    <row r="3387" customFormat="false" ht="12.75" hidden="false" customHeight="false" outlineLevel="0" collapsed="false">
      <c r="A3387" s="0" t="n">
        <f aca="false">B3387*1000+C3387</f>
        <v>51044</v>
      </c>
      <c r="B3387" s="0" t="n">
        <v>51</v>
      </c>
      <c r="C3387" s="0" t="n">
        <v>44</v>
      </c>
      <c r="D3387" s="0" t="n">
        <v>0</v>
      </c>
      <c r="E3387" s="0" t="n">
        <f aca="false">VLOOKUP(B3387,'Babblefish-APUMA'!$A$1:$B$86,2)</f>
        <v>98</v>
      </c>
      <c r="F3387" s="0" t="n">
        <f aca="false">IF(C3387&gt;1,IF(C3387&lt;99,VLOOKUP(C3387,'Babblefish-APUMA'!$A$1:$B$86,2),C3387),C3387)</f>
        <v>92</v>
      </c>
    </row>
    <row r="3388" customFormat="false" ht="12.75" hidden="false" customHeight="false" outlineLevel="0" collapsed="false">
      <c r="A3388" s="0" t="n">
        <f aca="false">B3388*1000+C3388</f>
        <v>51045</v>
      </c>
      <c r="B3388" s="0" t="n">
        <v>51</v>
      </c>
      <c r="C3388" s="0" t="n">
        <v>45</v>
      </c>
      <c r="D3388" s="0" t="n">
        <v>0</v>
      </c>
      <c r="E3388" s="0" t="n">
        <f aca="false">VLOOKUP(B3388,'Babblefish-APUMA'!$A$1:$B$86,2)</f>
        <v>98</v>
      </c>
      <c r="F3388" s="0" t="n">
        <f aca="false">IF(C3388&gt;1,IF(C3388&lt;99,VLOOKUP(C3388,'Babblefish-APUMA'!$A$1:$B$86,2),C3388),C3388)</f>
        <v>92</v>
      </c>
    </row>
    <row r="3389" customFormat="false" ht="12.75" hidden="false" customHeight="false" outlineLevel="0" collapsed="false">
      <c r="A3389" s="0" t="n">
        <f aca="false">B3389*1000+C3389</f>
        <v>51046</v>
      </c>
      <c r="B3389" s="0" t="n">
        <v>51</v>
      </c>
      <c r="C3389" s="0" t="n">
        <v>46</v>
      </c>
      <c r="D3389" s="0" t="n">
        <v>0</v>
      </c>
      <c r="E3389" s="0" t="n">
        <f aca="false">VLOOKUP(B3389,'Babblefish-APUMA'!$A$1:$B$86,2)</f>
        <v>98</v>
      </c>
      <c r="F3389" s="0" t="n">
        <f aca="false">IF(C3389&gt;1,IF(C3389&lt;99,VLOOKUP(C3389,'Babblefish-APUMA'!$A$1:$B$86,2),C3389),C3389)</f>
        <v>92</v>
      </c>
    </row>
    <row r="3390" customFormat="false" ht="12.75" hidden="false" customHeight="false" outlineLevel="0" collapsed="false">
      <c r="A3390" s="0" t="n">
        <f aca="false">B3390*1000+C3390</f>
        <v>51047</v>
      </c>
      <c r="B3390" s="0" t="n">
        <v>51</v>
      </c>
      <c r="C3390" s="0" t="n">
        <v>47</v>
      </c>
      <c r="D3390" s="0" t="n">
        <v>0</v>
      </c>
      <c r="E3390" s="0" t="n">
        <f aca="false">VLOOKUP(B3390,'Babblefish-APUMA'!$A$1:$B$86,2)</f>
        <v>98</v>
      </c>
      <c r="F3390" s="0" t="n">
        <f aca="false">IF(C3390&gt;1,IF(C3390&lt;99,VLOOKUP(C3390,'Babblefish-APUMA'!$A$1:$B$86,2),C3390),C3390)</f>
        <v>92</v>
      </c>
    </row>
    <row r="3391" customFormat="false" ht="12.75" hidden="false" customHeight="false" outlineLevel="0" collapsed="false">
      <c r="A3391" s="0" t="n">
        <f aca="false">B3391*1000+C3391</f>
        <v>51048</v>
      </c>
      <c r="B3391" s="0" t="n">
        <v>51</v>
      </c>
      <c r="C3391" s="0" t="n">
        <v>48</v>
      </c>
      <c r="D3391" s="0" t="n">
        <v>65</v>
      </c>
      <c r="E3391" s="0" t="n">
        <f aca="false">VLOOKUP(B3391,'Babblefish-APUMA'!$A$1:$B$86,2)</f>
        <v>98</v>
      </c>
      <c r="F3391" s="0" t="n">
        <f aca="false">IF(C3391&gt;1,IF(C3391&lt;99,VLOOKUP(C3391,'Babblefish-APUMA'!$A$1:$B$86,2),C3391),C3391)</f>
        <v>92</v>
      </c>
    </row>
    <row r="3392" customFormat="false" ht="12.75" hidden="false" customHeight="false" outlineLevel="0" collapsed="false">
      <c r="A3392" s="0" t="n">
        <f aca="false">B3392*1000+C3392</f>
        <v>51049</v>
      </c>
      <c r="B3392" s="0" t="n">
        <v>51</v>
      </c>
      <c r="C3392" s="0" t="n">
        <v>49</v>
      </c>
      <c r="D3392" s="0" t="n">
        <v>127478</v>
      </c>
      <c r="E3392" s="0" t="n">
        <f aca="false">VLOOKUP(B3392,'Babblefish-APUMA'!$A$1:$B$86,2)</f>
        <v>98</v>
      </c>
      <c r="F3392" s="0" t="n">
        <f aca="false">IF(C3392&gt;1,IF(C3392&lt;99,VLOOKUP(C3392,'Babblefish-APUMA'!$A$1:$B$86,2),C3392),C3392)</f>
        <v>98</v>
      </c>
    </row>
    <row r="3393" customFormat="false" ht="12.75" hidden="false" customHeight="false" outlineLevel="0" collapsed="false">
      <c r="A3393" s="0" t="n">
        <f aca="false">B3393*1000+C3393</f>
        <v>51050</v>
      </c>
      <c r="B3393" s="0" t="n">
        <v>51</v>
      </c>
      <c r="C3393" s="0" t="n">
        <v>50</v>
      </c>
      <c r="D3393" s="0" t="n">
        <v>33527</v>
      </c>
      <c r="E3393" s="0" t="n">
        <f aca="false">VLOOKUP(B3393,'Babblefish-APUMA'!$A$1:$B$86,2)</f>
        <v>98</v>
      </c>
      <c r="F3393" s="0" t="n">
        <f aca="false">IF(C3393&gt;1,IF(C3393&lt;99,VLOOKUP(C3393,'Babblefish-APUMA'!$A$1:$B$86,2),C3393),C3393)</f>
        <v>98</v>
      </c>
    </row>
    <row r="3394" customFormat="false" ht="12.75" hidden="false" customHeight="false" outlineLevel="0" collapsed="false">
      <c r="A3394" s="0" t="n">
        <f aca="false">B3394*1000+C3394</f>
        <v>51051</v>
      </c>
      <c r="B3394" s="0" t="n">
        <v>51</v>
      </c>
      <c r="C3394" s="0" t="n">
        <v>51</v>
      </c>
      <c r="D3394" s="0" t="n">
        <v>211692</v>
      </c>
      <c r="E3394" s="0" t="n">
        <f aca="false">VLOOKUP(B3394,'Babblefish-APUMA'!$A$1:$B$86,2)</f>
        <v>98</v>
      </c>
      <c r="F3394" s="0" t="n">
        <f aca="false">IF(C3394&gt;1,IF(C3394&lt;99,VLOOKUP(C3394,'Babblefish-APUMA'!$A$1:$B$86,2),C3394),C3394)</f>
        <v>98</v>
      </c>
    </row>
    <row r="3395" customFormat="false" ht="12.75" hidden="false" customHeight="false" outlineLevel="0" collapsed="false">
      <c r="A3395" s="0" t="n">
        <f aca="false">B3395*1000+C3395</f>
        <v>51052</v>
      </c>
      <c r="B3395" s="0" t="n">
        <v>51</v>
      </c>
      <c r="C3395" s="0" t="n">
        <v>52</v>
      </c>
      <c r="D3395" s="0" t="n">
        <v>78</v>
      </c>
      <c r="E3395" s="0" t="n">
        <f aca="false">VLOOKUP(B3395,'Babblefish-APUMA'!$A$1:$B$86,2)</f>
        <v>98</v>
      </c>
      <c r="F3395" s="0" t="n">
        <f aca="false">IF(C3395&gt;1,IF(C3395&lt;99,VLOOKUP(C3395,'Babblefish-APUMA'!$A$1:$B$86,2),C3395),C3395)</f>
        <v>90</v>
      </c>
    </row>
    <row r="3396" customFormat="false" ht="12.75" hidden="false" customHeight="false" outlineLevel="0" collapsed="false">
      <c r="A3396" s="0" t="n">
        <f aca="false">B3396*1000+C3396</f>
        <v>51053</v>
      </c>
      <c r="B3396" s="0" t="n">
        <v>51</v>
      </c>
      <c r="C3396" s="0" t="n">
        <v>53</v>
      </c>
      <c r="D3396" s="0" t="n">
        <v>0</v>
      </c>
      <c r="E3396" s="0" t="n">
        <f aca="false">VLOOKUP(B3396,'Babblefish-APUMA'!$A$1:$B$86,2)</f>
        <v>98</v>
      </c>
      <c r="F3396" s="0" t="n">
        <f aca="false">IF(C3396&gt;1,IF(C3396&lt;99,VLOOKUP(C3396,'Babblefish-APUMA'!$A$1:$B$86,2),C3396),C3396)</f>
        <v>90</v>
      </c>
    </row>
    <row r="3397" customFormat="false" ht="12.75" hidden="false" customHeight="false" outlineLevel="0" collapsed="false">
      <c r="A3397" s="0" t="n">
        <f aca="false">B3397*1000+C3397</f>
        <v>51054</v>
      </c>
      <c r="B3397" s="0" t="n">
        <v>51</v>
      </c>
      <c r="C3397" s="0" t="n">
        <v>54</v>
      </c>
      <c r="D3397" s="0" t="n">
        <v>0</v>
      </c>
      <c r="E3397" s="0" t="n">
        <f aca="false">VLOOKUP(B3397,'Babblefish-APUMA'!$A$1:$B$86,2)</f>
        <v>98</v>
      </c>
      <c r="F3397" s="0" t="n">
        <f aca="false">IF(C3397&gt;1,IF(C3397&lt;99,VLOOKUP(C3397,'Babblefish-APUMA'!$A$1:$B$86,2),C3397),C3397)</f>
        <v>90</v>
      </c>
    </row>
    <row r="3398" customFormat="false" ht="12.75" hidden="false" customHeight="false" outlineLevel="0" collapsed="false">
      <c r="A3398" s="0" t="n">
        <f aca="false">B3398*1000+C3398</f>
        <v>51055</v>
      </c>
      <c r="B3398" s="0" t="n">
        <v>51</v>
      </c>
      <c r="C3398" s="0" t="n">
        <v>55</v>
      </c>
      <c r="D3398" s="0" t="n">
        <v>52</v>
      </c>
      <c r="E3398" s="0" t="n">
        <f aca="false">VLOOKUP(B3398,'Babblefish-APUMA'!$A$1:$B$86,2)</f>
        <v>98</v>
      </c>
      <c r="F3398" s="0" t="n">
        <f aca="false">IF(C3398&gt;1,IF(C3398&lt;99,VLOOKUP(C3398,'Babblefish-APUMA'!$A$1:$B$86,2),C3398),C3398)</f>
        <v>90</v>
      </c>
    </row>
    <row r="3399" customFormat="false" ht="12.75" hidden="false" customHeight="false" outlineLevel="0" collapsed="false">
      <c r="A3399" s="0" t="n">
        <f aca="false">B3399*1000+C3399</f>
        <v>51056</v>
      </c>
      <c r="B3399" s="0" t="n">
        <v>51</v>
      </c>
      <c r="C3399" s="0" t="n">
        <v>56</v>
      </c>
      <c r="D3399" s="0" t="n">
        <v>0</v>
      </c>
      <c r="E3399" s="0" t="n">
        <f aca="false">VLOOKUP(B3399,'Babblefish-APUMA'!$A$1:$B$86,2)</f>
        <v>98</v>
      </c>
      <c r="F3399" s="0" t="n">
        <f aca="false">IF(C3399&gt;1,IF(C3399&lt;99,VLOOKUP(C3399,'Babblefish-APUMA'!$A$1:$B$86,2),C3399),C3399)</f>
        <v>90</v>
      </c>
    </row>
    <row r="3400" customFormat="false" ht="12.75" hidden="false" customHeight="false" outlineLevel="0" collapsed="false">
      <c r="A3400" s="0" t="n">
        <f aca="false">B3400*1000+C3400</f>
        <v>51057</v>
      </c>
      <c r="B3400" s="0" t="n">
        <v>51</v>
      </c>
      <c r="C3400" s="0" t="n">
        <v>57</v>
      </c>
      <c r="D3400" s="0" t="n">
        <v>0</v>
      </c>
      <c r="E3400" s="0" t="n">
        <f aca="false">VLOOKUP(B3400,'Babblefish-APUMA'!$A$1:$B$86,2)</f>
        <v>98</v>
      </c>
      <c r="F3400" s="0" t="n">
        <f aca="false">IF(C3400&gt;1,IF(C3400&lt;99,VLOOKUP(C3400,'Babblefish-APUMA'!$A$1:$B$86,2),C3400),C3400)</f>
        <v>90</v>
      </c>
    </row>
    <row r="3401" customFormat="false" ht="12.75" hidden="false" customHeight="false" outlineLevel="0" collapsed="false">
      <c r="A3401" s="0" t="n">
        <f aca="false">B3401*1000+C3401</f>
        <v>51058</v>
      </c>
      <c r="B3401" s="0" t="n">
        <v>51</v>
      </c>
      <c r="C3401" s="0" t="n">
        <v>58</v>
      </c>
      <c r="D3401" s="0" t="n">
        <v>0</v>
      </c>
      <c r="E3401" s="0" t="n">
        <f aca="false">VLOOKUP(B3401,'Babblefish-APUMA'!$A$1:$B$86,2)</f>
        <v>98</v>
      </c>
      <c r="F3401" s="0" t="n">
        <f aca="false">IF(C3401&gt;1,IF(C3401&lt;99,VLOOKUP(C3401,'Babblefish-APUMA'!$A$1:$B$86,2),C3401),C3401)</f>
        <v>90</v>
      </c>
    </row>
    <row r="3402" customFormat="false" ht="12.75" hidden="false" customHeight="false" outlineLevel="0" collapsed="false">
      <c r="A3402" s="0" t="n">
        <f aca="false">B3402*1000+C3402</f>
        <v>51059</v>
      </c>
      <c r="B3402" s="0" t="n">
        <v>51</v>
      </c>
      <c r="C3402" s="0" t="n">
        <v>59</v>
      </c>
      <c r="D3402" s="0" t="n">
        <v>0</v>
      </c>
      <c r="E3402" s="0" t="n">
        <f aca="false">VLOOKUP(B3402,'Babblefish-APUMA'!$A$1:$B$86,2)</f>
        <v>98</v>
      </c>
      <c r="F3402" s="0" t="n">
        <f aca="false">IF(C3402&gt;1,IF(C3402&lt;99,VLOOKUP(C3402,'Babblefish-APUMA'!$A$1:$B$86,2),C3402),C3402)</f>
        <v>90</v>
      </c>
    </row>
    <row r="3403" customFormat="false" ht="12.75" hidden="false" customHeight="false" outlineLevel="0" collapsed="false">
      <c r="A3403" s="0" t="n">
        <f aca="false">B3403*1000+C3403</f>
        <v>51060</v>
      </c>
      <c r="B3403" s="0" t="n">
        <v>51</v>
      </c>
      <c r="C3403" s="0" t="n">
        <v>60</v>
      </c>
      <c r="D3403" s="0" t="n">
        <v>0</v>
      </c>
      <c r="E3403" s="0" t="n">
        <f aca="false">VLOOKUP(B3403,'Babblefish-APUMA'!$A$1:$B$86,2)</f>
        <v>98</v>
      </c>
      <c r="F3403" s="0" t="n">
        <f aca="false">IF(C3403&gt;1,IF(C3403&lt;99,VLOOKUP(C3403,'Babblefish-APUMA'!$A$1:$B$86,2),C3403),C3403)</f>
        <v>90</v>
      </c>
    </row>
    <row r="3404" customFormat="false" ht="12.75" hidden="false" customHeight="false" outlineLevel="0" collapsed="false">
      <c r="A3404" s="0" t="n">
        <f aca="false">B3404*1000+C3404</f>
        <v>51061</v>
      </c>
      <c r="B3404" s="0" t="n">
        <v>51</v>
      </c>
      <c r="C3404" s="0" t="n">
        <v>61</v>
      </c>
      <c r="D3404" s="0" t="n">
        <v>0</v>
      </c>
      <c r="E3404" s="0" t="n">
        <f aca="false">VLOOKUP(B3404,'Babblefish-APUMA'!$A$1:$B$86,2)</f>
        <v>98</v>
      </c>
      <c r="F3404" s="0" t="n">
        <f aca="false">IF(C3404&gt;1,IF(C3404&lt;99,VLOOKUP(C3404,'Babblefish-APUMA'!$A$1:$B$86,2),C3404),C3404)</f>
        <v>90</v>
      </c>
    </row>
    <row r="3405" customFormat="false" ht="12.75" hidden="false" customHeight="false" outlineLevel="0" collapsed="false">
      <c r="A3405" s="0" t="n">
        <f aca="false">B3405*1000+C3405</f>
        <v>51062</v>
      </c>
      <c r="B3405" s="0" t="n">
        <v>51</v>
      </c>
      <c r="C3405" s="0" t="n">
        <v>62</v>
      </c>
      <c r="D3405" s="0" t="n">
        <v>0</v>
      </c>
      <c r="E3405" s="0" t="n">
        <f aca="false">VLOOKUP(B3405,'Babblefish-APUMA'!$A$1:$B$86,2)</f>
        <v>98</v>
      </c>
      <c r="F3405" s="0" t="n">
        <f aca="false">IF(C3405&gt;1,IF(C3405&lt;99,VLOOKUP(C3405,'Babblefish-APUMA'!$A$1:$B$86,2),C3405),C3405)</f>
        <v>90</v>
      </c>
    </row>
    <row r="3406" customFormat="false" ht="12.75" hidden="false" customHeight="false" outlineLevel="0" collapsed="false">
      <c r="A3406" s="0" t="n">
        <f aca="false">B3406*1000+C3406</f>
        <v>51063</v>
      </c>
      <c r="B3406" s="0" t="n">
        <v>51</v>
      </c>
      <c r="C3406" s="0" t="n">
        <v>63</v>
      </c>
      <c r="D3406" s="0" t="n">
        <v>0</v>
      </c>
      <c r="E3406" s="0" t="n">
        <f aca="false">VLOOKUP(B3406,'Babblefish-APUMA'!$A$1:$B$86,2)</f>
        <v>98</v>
      </c>
      <c r="F3406" s="0" t="n">
        <f aca="false">IF(C3406&gt;1,IF(C3406&lt;99,VLOOKUP(C3406,'Babblefish-APUMA'!$A$1:$B$86,2),C3406),C3406)</f>
        <v>90</v>
      </c>
    </row>
    <row r="3407" customFormat="false" ht="12.75" hidden="false" customHeight="false" outlineLevel="0" collapsed="false">
      <c r="A3407" s="0" t="n">
        <f aca="false">B3407*1000+C3407</f>
        <v>51064</v>
      </c>
      <c r="B3407" s="0" t="n">
        <v>51</v>
      </c>
      <c r="C3407" s="0" t="n">
        <v>64</v>
      </c>
      <c r="D3407" s="0" t="n">
        <v>0</v>
      </c>
      <c r="E3407" s="0" t="n">
        <f aca="false">VLOOKUP(B3407,'Babblefish-APUMA'!$A$1:$B$86,2)</f>
        <v>98</v>
      </c>
      <c r="F3407" s="0" t="n">
        <f aca="false">IF(C3407&gt;1,IF(C3407&lt;99,VLOOKUP(C3407,'Babblefish-APUMA'!$A$1:$B$86,2),C3407),C3407)</f>
        <v>90</v>
      </c>
    </row>
    <row r="3408" customFormat="false" ht="12.75" hidden="false" customHeight="false" outlineLevel="0" collapsed="false">
      <c r="A3408" s="0" t="n">
        <f aca="false">B3408*1000+C3408</f>
        <v>51065</v>
      </c>
      <c r="B3408" s="0" t="n">
        <v>51</v>
      </c>
      <c r="C3408" s="0" t="n">
        <v>65</v>
      </c>
      <c r="D3408" s="0" t="n">
        <v>234</v>
      </c>
      <c r="E3408" s="0" t="n">
        <f aca="false">VLOOKUP(B3408,'Babblefish-APUMA'!$A$1:$B$86,2)</f>
        <v>98</v>
      </c>
      <c r="F3408" s="0" t="n">
        <f aca="false">IF(C3408&gt;1,IF(C3408&lt;99,VLOOKUP(C3408,'Babblefish-APUMA'!$A$1:$B$86,2),C3408),C3408)</f>
        <v>90</v>
      </c>
    </row>
    <row r="3409" customFormat="false" ht="12.75" hidden="false" customHeight="false" outlineLevel="0" collapsed="false">
      <c r="A3409" s="0" t="n">
        <f aca="false">B3409*1000+C3409</f>
        <v>51066</v>
      </c>
      <c r="B3409" s="0" t="n">
        <v>51</v>
      </c>
      <c r="C3409" s="0" t="n">
        <v>66</v>
      </c>
      <c r="D3409" s="0" t="n">
        <v>0</v>
      </c>
      <c r="E3409" s="0" t="n">
        <f aca="false">VLOOKUP(B3409,'Babblefish-APUMA'!$A$1:$B$86,2)</f>
        <v>98</v>
      </c>
      <c r="F3409" s="0" t="n">
        <f aca="false">IF(C3409&gt;1,IF(C3409&lt;99,VLOOKUP(C3409,'Babblefish-APUMA'!$A$1:$B$86,2),C3409),C3409)</f>
        <v>90</v>
      </c>
    </row>
    <row r="3410" customFormat="false" ht="12.75" hidden="false" customHeight="false" outlineLevel="0" collapsed="false">
      <c r="A3410" s="0" t="n">
        <f aca="false">B3410*1000+C3410</f>
        <v>51067</v>
      </c>
      <c r="B3410" s="0" t="n">
        <v>51</v>
      </c>
      <c r="C3410" s="0" t="n">
        <v>67</v>
      </c>
      <c r="D3410" s="0" t="n">
        <v>0</v>
      </c>
      <c r="E3410" s="0" t="n">
        <f aca="false">VLOOKUP(B3410,'Babblefish-APUMA'!$A$1:$B$86,2)</f>
        <v>98</v>
      </c>
      <c r="F3410" s="0" t="n">
        <f aca="false">IF(C3410&gt;1,IF(C3410&lt;99,VLOOKUP(C3410,'Babblefish-APUMA'!$A$1:$B$86,2),C3410),C3410)</f>
        <v>103</v>
      </c>
    </row>
    <row r="3411" customFormat="false" ht="12.75" hidden="false" customHeight="false" outlineLevel="0" collapsed="false">
      <c r="A3411" s="0" t="n">
        <f aca="false">B3411*1000+C3411</f>
        <v>51068</v>
      </c>
      <c r="B3411" s="0" t="n">
        <v>51</v>
      </c>
      <c r="C3411" s="0" t="n">
        <v>68</v>
      </c>
      <c r="D3411" s="0" t="n">
        <v>0</v>
      </c>
      <c r="E3411" s="0" t="n">
        <f aca="false">VLOOKUP(B3411,'Babblefish-APUMA'!$A$1:$B$86,2)</f>
        <v>98</v>
      </c>
      <c r="F3411" s="0" t="n">
        <f aca="false">IF(C3411&gt;1,IF(C3411&lt;99,VLOOKUP(C3411,'Babblefish-APUMA'!$A$1:$B$86,2),C3411),C3411)</f>
        <v>93</v>
      </c>
    </row>
    <row r="3412" customFormat="false" ht="12.75" hidden="false" customHeight="false" outlineLevel="0" collapsed="false">
      <c r="A3412" s="0" t="n">
        <f aca="false">B3412*1000+C3412</f>
        <v>51069</v>
      </c>
      <c r="B3412" s="0" t="n">
        <v>51</v>
      </c>
      <c r="C3412" s="0" t="n">
        <v>69</v>
      </c>
      <c r="D3412" s="0" t="n">
        <v>0</v>
      </c>
      <c r="E3412" s="0" t="n">
        <f aca="false">VLOOKUP(B3412,'Babblefish-APUMA'!$A$1:$B$86,2)</f>
        <v>98</v>
      </c>
      <c r="F3412" s="0" t="n">
        <f aca="false">IF(C3412&gt;1,IF(C3412&lt;99,VLOOKUP(C3412,'Babblefish-APUMA'!$A$1:$B$86,2),C3412),C3412)</f>
        <v>93</v>
      </c>
    </row>
    <row r="3413" customFormat="false" ht="12.75" hidden="false" customHeight="false" outlineLevel="0" collapsed="false">
      <c r="A3413" s="0" t="n">
        <f aca="false">B3413*1000+C3413</f>
        <v>51070</v>
      </c>
      <c r="B3413" s="0" t="n">
        <v>51</v>
      </c>
      <c r="C3413" s="0" t="n">
        <v>70</v>
      </c>
      <c r="D3413" s="0" t="n">
        <v>0</v>
      </c>
      <c r="E3413" s="0" t="n">
        <f aca="false">VLOOKUP(B3413,'Babblefish-APUMA'!$A$1:$B$86,2)</f>
        <v>98</v>
      </c>
      <c r="F3413" s="0" t="n">
        <f aca="false">IF(C3413&gt;1,IF(C3413&lt;99,VLOOKUP(C3413,'Babblefish-APUMA'!$A$1:$B$86,2),C3413),C3413)</f>
        <v>95</v>
      </c>
    </row>
    <row r="3414" customFormat="false" ht="12.75" hidden="false" customHeight="false" outlineLevel="0" collapsed="false">
      <c r="A3414" s="0" t="n">
        <f aca="false">B3414*1000+C3414</f>
        <v>51071</v>
      </c>
      <c r="B3414" s="0" t="n">
        <v>51</v>
      </c>
      <c r="C3414" s="0" t="n">
        <v>71</v>
      </c>
      <c r="D3414" s="0" t="n">
        <v>0</v>
      </c>
      <c r="E3414" s="0" t="n">
        <f aca="false">VLOOKUP(B3414,'Babblefish-APUMA'!$A$1:$B$86,2)</f>
        <v>98</v>
      </c>
      <c r="F3414" s="0" t="n">
        <f aca="false">IF(C3414&gt;1,IF(C3414&lt;99,VLOOKUP(C3414,'Babblefish-APUMA'!$A$1:$B$86,2),C3414),C3414)</f>
        <v>95</v>
      </c>
    </row>
    <row r="3415" customFormat="false" ht="12.75" hidden="false" customHeight="false" outlineLevel="0" collapsed="false">
      <c r="A3415" s="0" t="n">
        <f aca="false">B3415*1000+C3415</f>
        <v>51072</v>
      </c>
      <c r="B3415" s="0" t="n">
        <v>51</v>
      </c>
      <c r="C3415" s="0" t="n">
        <v>72</v>
      </c>
      <c r="D3415" s="0" t="n">
        <v>0</v>
      </c>
      <c r="E3415" s="0" t="n">
        <f aca="false">VLOOKUP(B3415,'Babblefish-APUMA'!$A$1:$B$86,2)</f>
        <v>98</v>
      </c>
      <c r="F3415" s="0" t="n">
        <f aca="false">IF(C3415&gt;1,IF(C3415&lt;99,VLOOKUP(C3415,'Babblefish-APUMA'!$A$1:$B$86,2),C3415),C3415)</f>
        <v>95</v>
      </c>
    </row>
    <row r="3416" customFormat="false" ht="12.75" hidden="false" customHeight="false" outlineLevel="0" collapsed="false">
      <c r="A3416" s="0" t="n">
        <f aca="false">B3416*1000+C3416</f>
        <v>51073</v>
      </c>
      <c r="B3416" s="0" t="n">
        <v>51</v>
      </c>
      <c r="C3416" s="0" t="n">
        <v>73</v>
      </c>
      <c r="D3416" s="0" t="n">
        <v>130</v>
      </c>
      <c r="E3416" s="0" t="n">
        <f aca="false">VLOOKUP(B3416,'Babblefish-APUMA'!$A$1:$B$86,2)</f>
        <v>98</v>
      </c>
      <c r="F3416" s="0" t="n">
        <f aca="false">IF(C3416&gt;1,IF(C3416&lt;99,VLOOKUP(C3416,'Babblefish-APUMA'!$A$1:$B$86,2),C3416),C3416)</f>
        <v>99</v>
      </c>
    </row>
    <row r="3417" customFormat="false" ht="12.75" hidden="false" customHeight="false" outlineLevel="0" collapsed="false">
      <c r="A3417" s="0" t="n">
        <f aca="false">B3417*1000+C3417</f>
        <v>51075</v>
      </c>
      <c r="B3417" s="0" t="n">
        <v>51</v>
      </c>
      <c r="C3417" s="0" t="n">
        <v>75</v>
      </c>
      <c r="D3417" s="0" t="n">
        <v>0</v>
      </c>
      <c r="E3417" s="0" t="n">
        <f aca="false">VLOOKUP(B3417,'Babblefish-APUMA'!$A$1:$B$86,2)</f>
        <v>98</v>
      </c>
      <c r="F3417" s="0" t="n">
        <f aca="false">IF(C3417&gt;1,IF(C3417&lt;99,VLOOKUP(C3417,'Babblefish-APUMA'!$A$1:$B$86,2),C3417),C3417)</f>
        <v>75</v>
      </c>
    </row>
    <row r="3418" customFormat="false" ht="12.75" hidden="false" customHeight="false" outlineLevel="0" collapsed="false">
      <c r="A3418" s="0" t="n">
        <f aca="false">B3418*1000+C3418</f>
        <v>51076</v>
      </c>
      <c r="B3418" s="0" t="n">
        <v>51</v>
      </c>
      <c r="C3418" s="0" t="n">
        <v>76</v>
      </c>
      <c r="D3418" s="0" t="n">
        <v>2470</v>
      </c>
      <c r="E3418" s="0" t="n">
        <f aca="false">VLOOKUP(B3418,'Babblefish-APUMA'!$A$1:$B$86,2)</f>
        <v>98</v>
      </c>
      <c r="F3418" s="0" t="n">
        <f aca="false">IF(C3418&gt;1,IF(C3418&lt;99,VLOOKUP(C3418,'Babblefish-APUMA'!$A$1:$B$86,2),C3418),C3418)</f>
        <v>76</v>
      </c>
    </row>
    <row r="3419" customFormat="false" ht="12.75" hidden="false" customHeight="false" outlineLevel="0" collapsed="false">
      <c r="A3419" s="0" t="n">
        <f aca="false">B3419*1000+C3419</f>
        <v>51077</v>
      </c>
      <c r="B3419" s="0" t="n">
        <v>51</v>
      </c>
      <c r="C3419" s="0" t="n">
        <v>77</v>
      </c>
      <c r="D3419" s="0" t="n">
        <v>0</v>
      </c>
      <c r="E3419" s="0" t="n">
        <f aca="false">VLOOKUP(B3419,'Babblefish-APUMA'!$A$1:$B$86,2)</f>
        <v>98</v>
      </c>
      <c r="F3419" s="0" t="n">
        <f aca="false">IF(C3419&gt;1,IF(C3419&lt;99,VLOOKUP(C3419,'Babblefish-APUMA'!$A$1:$B$86,2),C3419),C3419)</f>
        <v>77</v>
      </c>
    </row>
    <row r="3420" customFormat="false" ht="12.75" hidden="false" customHeight="false" outlineLevel="0" collapsed="false">
      <c r="A3420" s="0" t="n">
        <f aca="false">B3420*1000+C3420</f>
        <v>51078</v>
      </c>
      <c r="B3420" s="0" t="n">
        <v>51</v>
      </c>
      <c r="C3420" s="0" t="n">
        <v>78</v>
      </c>
      <c r="D3420" s="0" t="n">
        <v>0</v>
      </c>
      <c r="E3420" s="0" t="n">
        <f aca="false">VLOOKUP(B3420,'Babblefish-APUMA'!$A$1:$B$86,2)</f>
        <v>98</v>
      </c>
      <c r="F3420" s="0" t="n">
        <f aca="false">IF(C3420&gt;1,IF(C3420&lt;99,VLOOKUP(C3420,'Babblefish-APUMA'!$A$1:$B$86,2),C3420),C3420)</f>
        <v>89</v>
      </c>
    </row>
    <row r="3421" customFormat="false" ht="12.75" hidden="false" customHeight="false" outlineLevel="0" collapsed="false">
      <c r="A3421" s="0" t="n">
        <f aca="false">B3421*1000+C3421</f>
        <v>51079</v>
      </c>
      <c r="B3421" s="0" t="n">
        <v>51</v>
      </c>
      <c r="C3421" s="0" t="n">
        <v>79</v>
      </c>
      <c r="D3421" s="0" t="n">
        <v>0</v>
      </c>
      <c r="E3421" s="0" t="n">
        <f aca="false">VLOOKUP(B3421,'Babblefish-APUMA'!$A$1:$B$86,2)</f>
        <v>98</v>
      </c>
      <c r="F3421" s="0" t="n">
        <f aca="false">IF(C3421&gt;1,IF(C3421&lt;99,VLOOKUP(C3421,'Babblefish-APUMA'!$A$1:$B$86,2),C3421),C3421)</f>
        <v>89</v>
      </c>
    </row>
    <row r="3422" customFormat="false" ht="12.75" hidden="false" customHeight="false" outlineLevel="0" collapsed="false">
      <c r="A3422" s="0" t="n">
        <f aca="false">B3422*1000+C3422</f>
        <v>51080</v>
      </c>
      <c r="B3422" s="0" t="n">
        <v>51</v>
      </c>
      <c r="C3422" s="0" t="n">
        <v>80</v>
      </c>
      <c r="D3422" s="0" t="n">
        <v>0</v>
      </c>
      <c r="E3422" s="0" t="n">
        <f aca="false">VLOOKUP(B3422,'Babblefish-APUMA'!$A$1:$B$86,2)</f>
        <v>98</v>
      </c>
      <c r="F3422" s="0" t="n">
        <f aca="false">IF(C3422&gt;1,IF(C3422&lt;99,VLOOKUP(C3422,'Babblefish-APUMA'!$A$1:$B$86,2),C3422),C3422)</f>
        <v>80</v>
      </c>
    </row>
    <row r="3423" customFormat="false" ht="12.75" hidden="false" customHeight="false" outlineLevel="0" collapsed="false">
      <c r="A3423" s="0" t="n">
        <f aca="false">B3423*1000+C3423</f>
        <v>51081</v>
      </c>
      <c r="B3423" s="0" t="n">
        <v>51</v>
      </c>
      <c r="C3423" s="0" t="n">
        <v>81</v>
      </c>
      <c r="D3423" s="0" t="n">
        <v>0</v>
      </c>
      <c r="E3423" s="0" t="n">
        <f aca="false">VLOOKUP(B3423,'Babblefish-APUMA'!$A$1:$B$86,2)</f>
        <v>98</v>
      </c>
      <c r="F3423" s="0" t="n">
        <f aca="false">IF(C3423&gt;1,IF(C3423&lt;99,VLOOKUP(C3423,'Babblefish-APUMA'!$A$1:$B$86,2),C3423),C3423)</f>
        <v>93</v>
      </c>
    </row>
    <row r="3424" customFormat="false" ht="12.75" hidden="false" customHeight="false" outlineLevel="0" collapsed="false">
      <c r="A3424" s="0" t="n">
        <f aca="false">B3424*1000+C3424</f>
        <v>51082</v>
      </c>
      <c r="B3424" s="0" t="n">
        <v>51</v>
      </c>
      <c r="C3424" s="0" t="n">
        <v>82</v>
      </c>
      <c r="D3424" s="0" t="n">
        <v>0</v>
      </c>
      <c r="E3424" s="0" t="n">
        <f aca="false">VLOOKUP(B3424,'Babblefish-APUMA'!$A$1:$B$86,2)</f>
        <v>98</v>
      </c>
      <c r="F3424" s="0" t="n">
        <f aca="false">IF(C3424&gt;1,IF(C3424&lt;99,VLOOKUP(C3424,'Babblefish-APUMA'!$A$1:$B$86,2),C3424),C3424)</f>
        <v>95</v>
      </c>
    </row>
    <row r="3425" customFormat="false" ht="12.75" hidden="false" customHeight="false" outlineLevel="0" collapsed="false">
      <c r="A3425" s="0" t="n">
        <f aca="false">B3425*1000+C3425</f>
        <v>51083</v>
      </c>
      <c r="B3425" s="0" t="n">
        <v>51</v>
      </c>
      <c r="C3425" s="0" t="n">
        <v>83</v>
      </c>
      <c r="D3425" s="0" t="n">
        <v>0</v>
      </c>
      <c r="E3425" s="0" t="n">
        <f aca="false">VLOOKUP(B3425,'Babblefish-APUMA'!$A$1:$B$86,2)</f>
        <v>98</v>
      </c>
      <c r="F3425" s="0" t="n">
        <f aca="false">IF(C3425&gt;1,IF(C3425&lt;99,VLOOKUP(C3425,'Babblefish-APUMA'!$A$1:$B$86,2),C3425),C3425)</f>
        <v>103</v>
      </c>
    </row>
    <row r="3426" customFormat="false" ht="12.75" hidden="false" customHeight="false" outlineLevel="0" collapsed="false">
      <c r="A3426" s="0" t="n">
        <f aca="false">B3426*1000+C3426</f>
        <v>51084</v>
      </c>
      <c r="B3426" s="0" t="n">
        <v>51</v>
      </c>
      <c r="C3426" s="0" t="n">
        <v>84</v>
      </c>
      <c r="D3426" s="0" t="n">
        <v>0</v>
      </c>
      <c r="E3426" s="0" t="n">
        <f aca="false">VLOOKUP(B3426,'Babblefish-APUMA'!$A$1:$B$86,2)</f>
        <v>98</v>
      </c>
      <c r="F3426" s="0" t="n">
        <f aca="false">IF(C3426&gt;1,IF(C3426&lt;99,VLOOKUP(C3426,'Babblefish-APUMA'!$A$1:$B$86,2),C3426),C3426)</f>
        <v>92</v>
      </c>
    </row>
    <row r="3427" customFormat="false" ht="12.75" hidden="false" customHeight="false" outlineLevel="0" collapsed="false">
      <c r="A3427" s="0" t="n">
        <f aca="false">B3427*1000+C3427</f>
        <v>51085</v>
      </c>
      <c r="B3427" s="0" t="n">
        <v>51</v>
      </c>
      <c r="C3427" s="0" t="n">
        <v>85</v>
      </c>
      <c r="D3427" s="0" t="n">
        <v>559</v>
      </c>
      <c r="E3427" s="0" t="n">
        <f aca="false">VLOOKUP(B3427,'Babblefish-APUMA'!$A$1:$B$86,2)</f>
        <v>98</v>
      </c>
      <c r="F3427" s="0" t="n">
        <f aca="false">IF(C3427&gt;1,IF(C3427&lt;99,VLOOKUP(C3427,'Babblefish-APUMA'!$A$1:$B$86,2),C3427),C3427)</f>
        <v>97</v>
      </c>
    </row>
    <row r="3428" customFormat="false" ht="12.75" hidden="false" customHeight="false" outlineLevel="0" collapsed="false">
      <c r="A3428" s="0" t="n">
        <f aca="false">B3428*1000+C3428</f>
        <v>51858</v>
      </c>
      <c r="B3428" s="0" t="n">
        <v>51</v>
      </c>
      <c r="C3428" s="0" t="n">
        <v>858</v>
      </c>
      <c r="D3428" s="0" t="n">
        <v>0</v>
      </c>
      <c r="E3428" s="0" t="n">
        <f aca="false">VLOOKUP(B3428,'Babblefish-APUMA'!$A$1:$B$86,2)</f>
        <v>98</v>
      </c>
      <c r="F3428" s="0" t="n">
        <f aca="false">IF(C3428&gt;1,IF(C3428&lt;99,VLOOKUP(C3428,'Babblefish-APUMA'!$A$1:$B$86,2),C3428),C3428)</f>
        <v>858</v>
      </c>
    </row>
    <row r="3429" customFormat="false" ht="12.75" hidden="false" customHeight="false" outlineLevel="0" collapsed="false">
      <c r="A3429" s="0" t="n">
        <f aca="false">B3429*1000+C3429</f>
        <v>51983</v>
      </c>
      <c r="B3429" s="0" t="n">
        <v>51</v>
      </c>
      <c r="C3429" s="0" t="n">
        <v>983</v>
      </c>
      <c r="D3429" s="0" t="n">
        <v>0</v>
      </c>
      <c r="E3429" s="0" t="n">
        <f aca="false">VLOOKUP(B3429,'Babblefish-APUMA'!$A$1:$B$86,2)</f>
        <v>98</v>
      </c>
      <c r="F3429" s="0" t="n">
        <f aca="false">IF(C3429&gt;1,IF(C3429&lt;99,VLOOKUP(C3429,'Babblefish-APUMA'!$A$1:$B$86,2),C3429),C3429)</f>
        <v>983</v>
      </c>
    </row>
    <row r="3430" customFormat="false" ht="12.75" hidden="false" customHeight="false" outlineLevel="0" collapsed="false">
      <c r="A3430" s="0" t="n">
        <f aca="false">B3430*1000+C3430</f>
        <v>51999</v>
      </c>
      <c r="B3430" s="0" t="n">
        <v>51</v>
      </c>
      <c r="C3430" s="0" t="n">
        <v>999</v>
      </c>
      <c r="D3430" s="0" t="n">
        <v>0</v>
      </c>
      <c r="E3430" s="0" t="n">
        <f aca="false">VLOOKUP(B3430,'Babblefish-APUMA'!$A$1:$B$86,2)</f>
        <v>98</v>
      </c>
      <c r="F3430" s="0" t="n">
        <f aca="false">IF(C3430&gt;1,IF(C3430&lt;99,VLOOKUP(C3430,'Babblefish-APUMA'!$A$1:$B$86,2),C3430),C3430)</f>
        <v>999</v>
      </c>
    </row>
    <row r="3431" customFormat="false" ht="12.75" hidden="false" customHeight="false" outlineLevel="0" collapsed="false">
      <c r="A3431" s="0" t="n">
        <f aca="false">B3431*1000+C3431</f>
        <v>52000</v>
      </c>
      <c r="B3431" s="0" t="n">
        <v>52</v>
      </c>
      <c r="C3431" s="0" t="n">
        <v>0</v>
      </c>
      <c r="D3431" s="0" t="n">
        <v>57447</v>
      </c>
      <c r="E3431" s="0" t="n">
        <f aca="false">VLOOKUP(B3431,'Babblefish-APUMA'!$A$1:$B$86,2)</f>
        <v>90</v>
      </c>
      <c r="F3431" s="0" t="n">
        <f aca="false">IF(C3431&gt;1,IF(C3431&lt;99,VLOOKUP(C3431,'Babblefish-APUMA'!$A$1:$B$86,2),C3431),C3431)</f>
        <v>0</v>
      </c>
    </row>
    <row r="3432" customFormat="false" ht="12.75" hidden="false" customHeight="false" outlineLevel="0" collapsed="false">
      <c r="A3432" s="0" t="n">
        <f aca="false">B3432*1000+C3432</f>
        <v>52001</v>
      </c>
      <c r="B3432" s="0" t="n">
        <v>52</v>
      </c>
      <c r="C3432" s="0" t="n">
        <v>1</v>
      </c>
      <c r="D3432" s="0" t="n">
        <v>0</v>
      </c>
      <c r="E3432" s="0" t="n">
        <f aca="false">VLOOKUP(B3432,'Babblefish-APUMA'!$A$1:$B$86,2)</f>
        <v>90</v>
      </c>
      <c r="F3432" s="0" t="n">
        <f aca="false">IF(C3432&gt;1,IF(C3432&lt;99,VLOOKUP(C3432,'Babblefish-APUMA'!$A$1:$B$86,2),C3432),C3432)</f>
        <v>1</v>
      </c>
    </row>
    <row r="3433" customFormat="false" ht="12.75" hidden="false" customHeight="false" outlineLevel="0" collapsed="false">
      <c r="A3433" s="0" t="n">
        <f aca="false">B3433*1000+C3433</f>
        <v>52002</v>
      </c>
      <c r="B3433" s="0" t="n">
        <v>52</v>
      </c>
      <c r="C3433" s="0" t="n">
        <v>2</v>
      </c>
      <c r="D3433" s="0" t="n">
        <v>104</v>
      </c>
      <c r="E3433" s="0" t="n">
        <f aca="false">VLOOKUP(B3433,'Babblefish-APUMA'!$A$1:$B$86,2)</f>
        <v>90</v>
      </c>
      <c r="F3433" s="0" t="n">
        <f aca="false">IF(C3433&gt;1,IF(C3433&lt;99,VLOOKUP(C3433,'Babblefish-APUMA'!$A$1:$B$86,2),C3433),C3433)</f>
        <v>2</v>
      </c>
    </row>
    <row r="3434" customFormat="false" ht="12.75" hidden="false" customHeight="false" outlineLevel="0" collapsed="false">
      <c r="A3434" s="0" t="n">
        <f aca="false">B3434*1000+C3434</f>
        <v>52003</v>
      </c>
      <c r="B3434" s="0" t="n">
        <v>52</v>
      </c>
      <c r="C3434" s="0" t="n">
        <v>3</v>
      </c>
      <c r="D3434" s="0" t="n">
        <v>0</v>
      </c>
      <c r="E3434" s="0" t="n">
        <f aca="false">VLOOKUP(B3434,'Babblefish-APUMA'!$A$1:$B$86,2)</f>
        <v>90</v>
      </c>
      <c r="F3434" s="0" t="n">
        <f aca="false">IF(C3434&gt;1,IF(C3434&lt;99,VLOOKUP(C3434,'Babblefish-APUMA'!$A$1:$B$86,2),C3434),C3434)</f>
        <v>3</v>
      </c>
    </row>
    <row r="3435" customFormat="false" ht="12.75" hidden="false" customHeight="false" outlineLevel="0" collapsed="false">
      <c r="A3435" s="0" t="n">
        <f aca="false">B3435*1000+C3435</f>
        <v>52004</v>
      </c>
      <c r="B3435" s="0" t="n">
        <v>52</v>
      </c>
      <c r="C3435" s="0" t="n">
        <v>4</v>
      </c>
      <c r="D3435" s="0" t="n">
        <v>0</v>
      </c>
      <c r="E3435" s="0" t="n">
        <f aca="false">VLOOKUP(B3435,'Babblefish-APUMA'!$A$1:$B$86,2)</f>
        <v>90</v>
      </c>
      <c r="F3435" s="0" t="n">
        <f aca="false">IF(C3435&gt;1,IF(C3435&lt;99,VLOOKUP(C3435,'Babblefish-APUMA'!$A$1:$B$86,2),C3435),C3435)</f>
        <v>4</v>
      </c>
    </row>
    <row r="3436" customFormat="false" ht="12.75" hidden="false" customHeight="false" outlineLevel="0" collapsed="false">
      <c r="A3436" s="0" t="n">
        <f aca="false">B3436*1000+C3436</f>
        <v>52005</v>
      </c>
      <c r="B3436" s="0" t="n">
        <v>52</v>
      </c>
      <c r="C3436" s="0" t="n">
        <v>5</v>
      </c>
      <c r="D3436" s="0" t="n">
        <v>0</v>
      </c>
      <c r="E3436" s="0" t="n">
        <f aca="false">VLOOKUP(B3436,'Babblefish-APUMA'!$A$1:$B$86,2)</f>
        <v>90</v>
      </c>
      <c r="F3436" s="0" t="n">
        <f aca="false">IF(C3436&gt;1,IF(C3436&lt;99,VLOOKUP(C3436,'Babblefish-APUMA'!$A$1:$B$86,2),C3436),C3436)</f>
        <v>5</v>
      </c>
    </row>
    <row r="3437" customFormat="false" ht="12.75" hidden="false" customHeight="false" outlineLevel="0" collapsed="false">
      <c r="A3437" s="0" t="n">
        <f aca="false">B3437*1000+C3437</f>
        <v>52006</v>
      </c>
      <c r="B3437" s="0" t="n">
        <v>52</v>
      </c>
      <c r="C3437" s="0" t="n">
        <v>6</v>
      </c>
      <c r="D3437" s="0" t="n">
        <v>0</v>
      </c>
      <c r="E3437" s="0" t="n">
        <f aca="false">VLOOKUP(B3437,'Babblefish-APUMA'!$A$1:$B$86,2)</f>
        <v>90</v>
      </c>
      <c r="F3437" s="0" t="n">
        <f aca="false">IF(C3437&gt;1,IF(C3437&lt;99,VLOOKUP(C3437,'Babblefish-APUMA'!$A$1:$B$86,2),C3437),C3437)</f>
        <v>6</v>
      </c>
    </row>
    <row r="3438" customFormat="false" ht="12.75" hidden="false" customHeight="false" outlineLevel="0" collapsed="false">
      <c r="A3438" s="0" t="n">
        <f aca="false">B3438*1000+C3438</f>
        <v>52007</v>
      </c>
      <c r="B3438" s="0" t="n">
        <v>52</v>
      </c>
      <c r="C3438" s="0" t="n">
        <v>7</v>
      </c>
      <c r="D3438" s="0" t="n">
        <v>0</v>
      </c>
      <c r="E3438" s="0" t="n">
        <f aca="false">VLOOKUP(B3438,'Babblefish-APUMA'!$A$1:$B$86,2)</f>
        <v>90</v>
      </c>
      <c r="F3438" s="0" t="n">
        <f aca="false">IF(C3438&gt;1,IF(C3438&lt;99,VLOOKUP(C3438,'Babblefish-APUMA'!$A$1:$B$86,2),C3438),C3438)</f>
        <v>7</v>
      </c>
    </row>
    <row r="3439" customFormat="false" ht="12.75" hidden="false" customHeight="false" outlineLevel="0" collapsed="false">
      <c r="A3439" s="0" t="n">
        <f aca="false">B3439*1000+C3439</f>
        <v>52008</v>
      </c>
      <c r="B3439" s="0" t="n">
        <v>52</v>
      </c>
      <c r="C3439" s="0" t="n">
        <v>8</v>
      </c>
      <c r="D3439" s="0" t="n">
        <v>0</v>
      </c>
      <c r="E3439" s="0" t="n">
        <f aca="false">VLOOKUP(B3439,'Babblefish-APUMA'!$A$1:$B$86,2)</f>
        <v>90</v>
      </c>
      <c r="F3439" s="0" t="n">
        <f aca="false">IF(C3439&gt;1,IF(C3439&lt;99,VLOOKUP(C3439,'Babblefish-APUMA'!$A$1:$B$86,2),C3439),C3439)</f>
        <v>8</v>
      </c>
    </row>
    <row r="3440" customFormat="false" ht="12.75" hidden="false" customHeight="false" outlineLevel="0" collapsed="false">
      <c r="A3440" s="0" t="n">
        <f aca="false">B3440*1000+C3440</f>
        <v>52009</v>
      </c>
      <c r="B3440" s="0" t="n">
        <v>52</v>
      </c>
      <c r="C3440" s="0" t="n">
        <v>9</v>
      </c>
      <c r="D3440" s="0" t="n">
        <v>0</v>
      </c>
      <c r="E3440" s="0" t="n">
        <f aca="false">VLOOKUP(B3440,'Babblefish-APUMA'!$A$1:$B$86,2)</f>
        <v>90</v>
      </c>
      <c r="F3440" s="0" t="n">
        <f aca="false">IF(C3440&gt;1,IF(C3440&lt;99,VLOOKUP(C3440,'Babblefish-APUMA'!$A$1:$B$86,2),C3440),C3440)</f>
        <v>9</v>
      </c>
    </row>
    <row r="3441" customFormat="false" ht="12.75" hidden="false" customHeight="false" outlineLevel="0" collapsed="false">
      <c r="A3441" s="0" t="n">
        <f aca="false">B3441*1000+C3441</f>
        <v>52010</v>
      </c>
      <c r="B3441" s="0" t="n">
        <v>52</v>
      </c>
      <c r="C3441" s="0" t="n">
        <v>10</v>
      </c>
      <c r="D3441" s="0" t="n">
        <v>0</v>
      </c>
      <c r="E3441" s="0" t="n">
        <f aca="false">VLOOKUP(B3441,'Babblefish-APUMA'!$A$1:$B$86,2)</f>
        <v>90</v>
      </c>
      <c r="F3441" s="0" t="n">
        <f aca="false">IF(C3441&gt;1,IF(C3441&lt;99,VLOOKUP(C3441,'Babblefish-APUMA'!$A$1:$B$86,2),C3441),C3441)</f>
        <v>10</v>
      </c>
    </row>
    <row r="3442" customFormat="false" ht="12.75" hidden="false" customHeight="false" outlineLevel="0" collapsed="false">
      <c r="A3442" s="0" t="n">
        <f aca="false">B3442*1000+C3442</f>
        <v>52011</v>
      </c>
      <c r="B3442" s="0" t="n">
        <v>52</v>
      </c>
      <c r="C3442" s="0" t="n">
        <v>11</v>
      </c>
      <c r="D3442" s="0" t="n">
        <v>0</v>
      </c>
      <c r="E3442" s="0" t="n">
        <f aca="false">VLOOKUP(B3442,'Babblefish-APUMA'!$A$1:$B$86,2)</f>
        <v>90</v>
      </c>
      <c r="F3442" s="0" t="n">
        <f aca="false">IF(C3442&gt;1,IF(C3442&lt;99,VLOOKUP(C3442,'Babblefish-APUMA'!$A$1:$B$86,2),C3442),C3442)</f>
        <v>11</v>
      </c>
    </row>
    <row r="3443" customFormat="false" ht="12.75" hidden="false" customHeight="false" outlineLevel="0" collapsed="false">
      <c r="A3443" s="0" t="n">
        <f aca="false">B3443*1000+C3443</f>
        <v>52012</v>
      </c>
      <c r="B3443" s="0" t="n">
        <v>52</v>
      </c>
      <c r="C3443" s="0" t="n">
        <v>12</v>
      </c>
      <c r="D3443" s="0" t="n">
        <v>0</v>
      </c>
      <c r="E3443" s="0" t="n">
        <f aca="false">VLOOKUP(B3443,'Babblefish-APUMA'!$A$1:$B$86,2)</f>
        <v>90</v>
      </c>
      <c r="F3443" s="0" t="n">
        <f aca="false">IF(C3443&gt;1,IF(C3443&lt;99,VLOOKUP(C3443,'Babblefish-APUMA'!$A$1:$B$86,2),C3443),C3443)</f>
        <v>12</v>
      </c>
    </row>
    <row r="3444" customFormat="false" ht="12.75" hidden="false" customHeight="false" outlineLevel="0" collapsed="false">
      <c r="A3444" s="0" t="n">
        <f aca="false">B3444*1000+C3444</f>
        <v>52013</v>
      </c>
      <c r="B3444" s="0" t="n">
        <v>52</v>
      </c>
      <c r="C3444" s="0" t="n">
        <v>13</v>
      </c>
      <c r="D3444" s="0" t="n">
        <v>0</v>
      </c>
      <c r="E3444" s="0" t="n">
        <f aca="false">VLOOKUP(B3444,'Babblefish-APUMA'!$A$1:$B$86,2)</f>
        <v>90</v>
      </c>
      <c r="F3444" s="0" t="n">
        <f aca="false">IF(C3444&gt;1,IF(C3444&lt;99,VLOOKUP(C3444,'Babblefish-APUMA'!$A$1:$B$86,2),C3444),C3444)</f>
        <v>100</v>
      </c>
    </row>
    <row r="3445" customFormat="false" ht="12.75" hidden="false" customHeight="false" outlineLevel="0" collapsed="false">
      <c r="A3445" s="0" t="n">
        <f aca="false">B3445*1000+C3445</f>
        <v>52014</v>
      </c>
      <c r="B3445" s="0" t="n">
        <v>52</v>
      </c>
      <c r="C3445" s="0" t="n">
        <v>14</v>
      </c>
      <c r="D3445" s="0" t="n">
        <v>0</v>
      </c>
      <c r="E3445" s="0" t="n">
        <f aca="false">VLOOKUP(B3445,'Babblefish-APUMA'!$A$1:$B$86,2)</f>
        <v>90</v>
      </c>
      <c r="F3445" s="0" t="n">
        <f aca="false">IF(C3445&gt;1,IF(C3445&lt;99,VLOOKUP(C3445,'Babblefish-APUMA'!$A$1:$B$86,2),C3445),C3445)</f>
        <v>100</v>
      </c>
    </row>
    <row r="3446" customFormat="false" ht="12.75" hidden="false" customHeight="false" outlineLevel="0" collapsed="false">
      <c r="A3446" s="0" t="n">
        <f aca="false">B3446*1000+C3446</f>
        <v>52015</v>
      </c>
      <c r="B3446" s="0" t="n">
        <v>52</v>
      </c>
      <c r="C3446" s="0" t="n">
        <v>15</v>
      </c>
      <c r="D3446" s="0" t="n">
        <v>0</v>
      </c>
      <c r="E3446" s="0" t="n">
        <f aca="false">VLOOKUP(B3446,'Babblefish-APUMA'!$A$1:$B$86,2)</f>
        <v>90</v>
      </c>
      <c r="F3446" s="0" t="n">
        <f aca="false">IF(C3446&gt;1,IF(C3446&lt;99,VLOOKUP(C3446,'Babblefish-APUMA'!$A$1:$B$86,2),C3446),C3446)</f>
        <v>15</v>
      </c>
    </row>
    <row r="3447" customFormat="false" ht="12.75" hidden="false" customHeight="false" outlineLevel="0" collapsed="false">
      <c r="A3447" s="0" t="n">
        <f aca="false">B3447*1000+C3447</f>
        <v>52016</v>
      </c>
      <c r="B3447" s="0" t="n">
        <v>52</v>
      </c>
      <c r="C3447" s="0" t="n">
        <v>16</v>
      </c>
      <c r="D3447" s="0" t="n">
        <v>0</v>
      </c>
      <c r="E3447" s="0" t="n">
        <f aca="false">VLOOKUP(B3447,'Babblefish-APUMA'!$A$1:$B$86,2)</f>
        <v>90</v>
      </c>
      <c r="F3447" s="0" t="n">
        <f aca="false">IF(C3447&gt;1,IF(C3447&lt;99,VLOOKUP(C3447,'Babblefish-APUMA'!$A$1:$B$86,2),C3447),C3447)</f>
        <v>99</v>
      </c>
    </row>
    <row r="3448" customFormat="false" ht="12.75" hidden="false" customHeight="false" outlineLevel="0" collapsed="false">
      <c r="A3448" s="0" t="n">
        <f aca="false">B3448*1000+C3448</f>
        <v>52017</v>
      </c>
      <c r="B3448" s="0" t="n">
        <v>52</v>
      </c>
      <c r="C3448" s="0" t="n">
        <v>17</v>
      </c>
      <c r="D3448" s="0" t="n">
        <v>0</v>
      </c>
      <c r="E3448" s="0" t="n">
        <f aca="false">VLOOKUP(B3448,'Babblefish-APUMA'!$A$1:$B$86,2)</f>
        <v>90</v>
      </c>
      <c r="F3448" s="0" t="n">
        <f aca="false">IF(C3448&gt;1,IF(C3448&lt;99,VLOOKUP(C3448,'Babblefish-APUMA'!$A$1:$B$86,2),C3448),C3448)</f>
        <v>87</v>
      </c>
    </row>
    <row r="3449" customFormat="false" ht="12.75" hidden="false" customHeight="false" outlineLevel="0" collapsed="false">
      <c r="A3449" s="0" t="n">
        <f aca="false">B3449*1000+C3449</f>
        <v>52018</v>
      </c>
      <c r="B3449" s="0" t="n">
        <v>52</v>
      </c>
      <c r="C3449" s="0" t="n">
        <v>18</v>
      </c>
      <c r="D3449" s="0" t="n">
        <v>0</v>
      </c>
      <c r="E3449" s="0" t="n">
        <f aca="false">VLOOKUP(B3449,'Babblefish-APUMA'!$A$1:$B$86,2)</f>
        <v>90</v>
      </c>
      <c r="F3449" s="0" t="n">
        <f aca="false">IF(C3449&gt;1,IF(C3449&lt;99,VLOOKUP(C3449,'Babblefish-APUMA'!$A$1:$B$86,2),C3449),C3449)</f>
        <v>87</v>
      </c>
    </row>
    <row r="3450" customFormat="false" ht="12.75" hidden="false" customHeight="false" outlineLevel="0" collapsed="false">
      <c r="A3450" s="0" t="n">
        <f aca="false">B3450*1000+C3450</f>
        <v>52019</v>
      </c>
      <c r="B3450" s="0" t="n">
        <v>52</v>
      </c>
      <c r="C3450" s="0" t="n">
        <v>19</v>
      </c>
      <c r="D3450" s="0" t="n">
        <v>234</v>
      </c>
      <c r="E3450" s="0" t="n">
        <f aca="false">VLOOKUP(B3450,'Babblefish-APUMA'!$A$1:$B$86,2)</f>
        <v>90</v>
      </c>
      <c r="F3450" s="0" t="n">
        <f aca="false">IF(C3450&gt;1,IF(C3450&lt;99,VLOOKUP(C3450,'Babblefish-APUMA'!$A$1:$B$86,2),C3450),C3450)</f>
        <v>19</v>
      </c>
    </row>
    <row r="3451" customFormat="false" ht="12.75" hidden="false" customHeight="false" outlineLevel="0" collapsed="false">
      <c r="A3451" s="0" t="n">
        <f aca="false">B3451*1000+C3451</f>
        <v>52020</v>
      </c>
      <c r="B3451" s="0" t="n">
        <v>52</v>
      </c>
      <c r="C3451" s="0" t="n">
        <v>20</v>
      </c>
      <c r="D3451" s="0" t="n">
        <v>0</v>
      </c>
      <c r="E3451" s="0" t="n">
        <f aca="false">VLOOKUP(B3451,'Babblefish-APUMA'!$A$1:$B$86,2)</f>
        <v>90</v>
      </c>
      <c r="F3451" s="0" t="n">
        <f aca="false">IF(C3451&gt;1,IF(C3451&lt;99,VLOOKUP(C3451,'Babblefish-APUMA'!$A$1:$B$86,2),C3451),C3451)</f>
        <v>86</v>
      </c>
    </row>
    <row r="3452" customFormat="false" ht="12.75" hidden="false" customHeight="false" outlineLevel="0" collapsed="false">
      <c r="A3452" s="0" t="n">
        <f aca="false">B3452*1000+C3452</f>
        <v>52021</v>
      </c>
      <c r="B3452" s="0" t="n">
        <v>52</v>
      </c>
      <c r="C3452" s="0" t="n">
        <v>21</v>
      </c>
      <c r="D3452" s="0" t="n">
        <v>156</v>
      </c>
      <c r="E3452" s="0" t="n">
        <f aca="false">VLOOKUP(B3452,'Babblefish-APUMA'!$A$1:$B$86,2)</f>
        <v>90</v>
      </c>
      <c r="F3452" s="0" t="n">
        <f aca="false">IF(C3452&gt;1,IF(C3452&lt;99,VLOOKUP(C3452,'Babblefish-APUMA'!$A$1:$B$86,2),C3452),C3452)</f>
        <v>86</v>
      </c>
    </row>
    <row r="3453" customFormat="false" ht="12.75" hidden="false" customHeight="false" outlineLevel="0" collapsed="false">
      <c r="A3453" s="0" t="n">
        <f aca="false">B3453*1000+C3453</f>
        <v>52022</v>
      </c>
      <c r="B3453" s="0" t="n">
        <v>52</v>
      </c>
      <c r="C3453" s="0" t="n">
        <v>22</v>
      </c>
      <c r="D3453" s="0" t="n">
        <v>0</v>
      </c>
      <c r="E3453" s="0" t="n">
        <f aca="false">VLOOKUP(B3453,'Babblefish-APUMA'!$A$1:$B$86,2)</f>
        <v>90</v>
      </c>
      <c r="F3453" s="0" t="n">
        <f aca="false">IF(C3453&gt;1,IF(C3453&lt;99,VLOOKUP(C3453,'Babblefish-APUMA'!$A$1:$B$86,2),C3453),C3453)</f>
        <v>22</v>
      </c>
    </row>
    <row r="3454" customFormat="false" ht="12.75" hidden="false" customHeight="false" outlineLevel="0" collapsed="false">
      <c r="A3454" s="0" t="n">
        <f aca="false">B3454*1000+C3454</f>
        <v>52023</v>
      </c>
      <c r="B3454" s="0" t="n">
        <v>52</v>
      </c>
      <c r="C3454" s="0" t="n">
        <v>23</v>
      </c>
      <c r="D3454" s="0" t="n">
        <v>0</v>
      </c>
      <c r="E3454" s="0" t="n">
        <f aca="false">VLOOKUP(B3454,'Babblefish-APUMA'!$A$1:$B$86,2)</f>
        <v>90</v>
      </c>
      <c r="F3454" s="0" t="n">
        <f aca="false">IF(C3454&gt;1,IF(C3454&lt;99,VLOOKUP(C3454,'Babblefish-APUMA'!$A$1:$B$86,2),C3454),C3454)</f>
        <v>97</v>
      </c>
    </row>
    <row r="3455" customFormat="false" ht="12.75" hidden="false" customHeight="false" outlineLevel="0" collapsed="false">
      <c r="A3455" s="0" t="n">
        <f aca="false">B3455*1000+C3455</f>
        <v>52024</v>
      </c>
      <c r="B3455" s="0" t="n">
        <v>52</v>
      </c>
      <c r="C3455" s="0" t="n">
        <v>24</v>
      </c>
      <c r="D3455" s="0" t="n">
        <v>0</v>
      </c>
      <c r="E3455" s="0" t="n">
        <f aca="false">VLOOKUP(B3455,'Babblefish-APUMA'!$A$1:$B$86,2)</f>
        <v>90</v>
      </c>
      <c r="F3455" s="0" t="n">
        <f aca="false">IF(C3455&gt;1,IF(C3455&lt;99,VLOOKUP(C3455,'Babblefish-APUMA'!$A$1:$B$86,2),C3455),C3455)</f>
        <v>101</v>
      </c>
    </row>
    <row r="3456" customFormat="false" ht="12.75" hidden="false" customHeight="false" outlineLevel="0" collapsed="false">
      <c r="A3456" s="0" t="n">
        <f aca="false">B3456*1000+C3456</f>
        <v>52025</v>
      </c>
      <c r="B3456" s="0" t="n">
        <v>52</v>
      </c>
      <c r="C3456" s="0" t="n">
        <v>25</v>
      </c>
      <c r="D3456" s="0" t="n">
        <v>0</v>
      </c>
      <c r="E3456" s="0" t="n">
        <f aca="false">VLOOKUP(B3456,'Babblefish-APUMA'!$A$1:$B$86,2)</f>
        <v>90</v>
      </c>
      <c r="F3456" s="0" t="n">
        <f aca="false">IF(C3456&gt;1,IF(C3456&lt;99,VLOOKUP(C3456,'Babblefish-APUMA'!$A$1:$B$86,2),C3456),C3456)</f>
        <v>101</v>
      </c>
    </row>
    <row r="3457" customFormat="false" ht="12.75" hidden="false" customHeight="false" outlineLevel="0" collapsed="false">
      <c r="A3457" s="0" t="n">
        <f aca="false">B3457*1000+C3457</f>
        <v>52026</v>
      </c>
      <c r="B3457" s="0" t="n">
        <v>52</v>
      </c>
      <c r="C3457" s="0" t="n">
        <v>26</v>
      </c>
      <c r="D3457" s="0" t="n">
        <v>0</v>
      </c>
      <c r="E3457" s="0" t="n">
        <f aca="false">VLOOKUP(B3457,'Babblefish-APUMA'!$A$1:$B$86,2)</f>
        <v>90</v>
      </c>
      <c r="F3457" s="0" t="n">
        <f aca="false">IF(C3457&gt;1,IF(C3457&lt;99,VLOOKUP(C3457,'Babblefish-APUMA'!$A$1:$B$86,2),C3457),C3457)</f>
        <v>26</v>
      </c>
    </row>
    <row r="3458" customFormat="false" ht="12.75" hidden="false" customHeight="false" outlineLevel="0" collapsed="false">
      <c r="A3458" s="0" t="n">
        <f aca="false">B3458*1000+C3458</f>
        <v>52027</v>
      </c>
      <c r="B3458" s="0" t="n">
        <v>52</v>
      </c>
      <c r="C3458" s="0" t="n">
        <v>27</v>
      </c>
      <c r="D3458" s="0" t="n">
        <v>0</v>
      </c>
      <c r="E3458" s="0" t="n">
        <f aca="false">VLOOKUP(B3458,'Babblefish-APUMA'!$A$1:$B$86,2)</f>
        <v>90</v>
      </c>
      <c r="F3458" s="0" t="n">
        <f aca="false">IF(C3458&gt;1,IF(C3458&lt;99,VLOOKUP(C3458,'Babblefish-APUMA'!$A$1:$B$86,2),C3458),C3458)</f>
        <v>27</v>
      </c>
    </row>
    <row r="3459" customFormat="false" ht="12.75" hidden="false" customHeight="false" outlineLevel="0" collapsed="false">
      <c r="A3459" s="0" t="n">
        <f aca="false">B3459*1000+C3459</f>
        <v>52028</v>
      </c>
      <c r="B3459" s="0" t="n">
        <v>52</v>
      </c>
      <c r="C3459" s="0" t="n">
        <v>28</v>
      </c>
      <c r="D3459" s="0" t="n">
        <v>104</v>
      </c>
      <c r="E3459" s="0" t="n">
        <f aca="false">VLOOKUP(B3459,'Babblefish-APUMA'!$A$1:$B$86,2)</f>
        <v>90</v>
      </c>
      <c r="F3459" s="0" t="n">
        <f aca="false">IF(C3459&gt;1,IF(C3459&lt;99,VLOOKUP(C3459,'Babblefish-APUMA'!$A$1:$B$86,2),C3459),C3459)</f>
        <v>94</v>
      </c>
    </row>
    <row r="3460" customFormat="false" ht="12.75" hidden="false" customHeight="false" outlineLevel="0" collapsed="false">
      <c r="A3460" s="0" t="n">
        <f aca="false">B3460*1000+C3460</f>
        <v>52029</v>
      </c>
      <c r="B3460" s="0" t="n">
        <v>52</v>
      </c>
      <c r="C3460" s="0" t="n">
        <v>29</v>
      </c>
      <c r="D3460" s="0" t="n">
        <v>0</v>
      </c>
      <c r="E3460" s="0" t="n">
        <f aca="false">VLOOKUP(B3460,'Babblefish-APUMA'!$A$1:$B$86,2)</f>
        <v>90</v>
      </c>
      <c r="F3460" s="0" t="n">
        <f aca="false">IF(C3460&gt;1,IF(C3460&lt;99,VLOOKUP(C3460,'Babblefish-APUMA'!$A$1:$B$86,2),C3460),C3460)</f>
        <v>94</v>
      </c>
    </row>
    <row r="3461" customFormat="false" ht="12.75" hidden="false" customHeight="false" outlineLevel="0" collapsed="false">
      <c r="A3461" s="0" t="n">
        <f aca="false">B3461*1000+C3461</f>
        <v>52030</v>
      </c>
      <c r="B3461" s="0" t="n">
        <v>52</v>
      </c>
      <c r="C3461" s="0" t="n">
        <v>30</v>
      </c>
      <c r="D3461" s="0" t="n">
        <v>0</v>
      </c>
      <c r="E3461" s="0" t="n">
        <f aca="false">VLOOKUP(B3461,'Babblefish-APUMA'!$A$1:$B$86,2)</f>
        <v>90</v>
      </c>
      <c r="F3461" s="0" t="n">
        <f aca="false">IF(C3461&gt;1,IF(C3461&lt;99,VLOOKUP(C3461,'Babblefish-APUMA'!$A$1:$B$86,2),C3461),C3461)</f>
        <v>30</v>
      </c>
    </row>
    <row r="3462" customFormat="false" ht="12.75" hidden="false" customHeight="false" outlineLevel="0" collapsed="false">
      <c r="A3462" s="0" t="n">
        <f aca="false">B3462*1000+C3462</f>
        <v>52031</v>
      </c>
      <c r="B3462" s="0" t="n">
        <v>52</v>
      </c>
      <c r="C3462" s="0" t="n">
        <v>31</v>
      </c>
      <c r="D3462" s="0" t="n">
        <v>156</v>
      </c>
      <c r="E3462" s="0" t="n">
        <f aca="false">VLOOKUP(B3462,'Babblefish-APUMA'!$A$1:$B$86,2)</f>
        <v>90</v>
      </c>
      <c r="F3462" s="0" t="n">
        <f aca="false">IF(C3462&gt;1,IF(C3462&lt;99,VLOOKUP(C3462,'Babblefish-APUMA'!$A$1:$B$86,2),C3462),C3462)</f>
        <v>31</v>
      </c>
    </row>
    <row r="3463" customFormat="false" ht="12.75" hidden="false" customHeight="false" outlineLevel="0" collapsed="false">
      <c r="A3463" s="0" t="n">
        <f aca="false">B3463*1000+C3463</f>
        <v>52032</v>
      </c>
      <c r="B3463" s="0" t="n">
        <v>52</v>
      </c>
      <c r="C3463" s="0" t="n">
        <v>32</v>
      </c>
      <c r="D3463" s="0" t="n">
        <v>0</v>
      </c>
      <c r="E3463" s="0" t="n">
        <f aca="false">VLOOKUP(B3463,'Babblefish-APUMA'!$A$1:$B$86,2)</f>
        <v>90</v>
      </c>
      <c r="F3463" s="0" t="n">
        <f aca="false">IF(C3463&gt;1,IF(C3463&lt;99,VLOOKUP(C3463,'Babblefish-APUMA'!$A$1:$B$86,2),C3463),C3463)</f>
        <v>32</v>
      </c>
    </row>
    <row r="3464" customFormat="false" ht="12.75" hidden="false" customHeight="false" outlineLevel="0" collapsed="false">
      <c r="A3464" s="0" t="n">
        <f aca="false">B3464*1000+C3464</f>
        <v>52033</v>
      </c>
      <c r="B3464" s="0" t="n">
        <v>52</v>
      </c>
      <c r="C3464" s="0" t="n">
        <v>33</v>
      </c>
      <c r="D3464" s="0" t="n">
        <v>52</v>
      </c>
      <c r="E3464" s="0" t="n">
        <f aca="false">VLOOKUP(B3464,'Babblefish-APUMA'!$A$1:$B$86,2)</f>
        <v>90</v>
      </c>
      <c r="F3464" s="0" t="n">
        <f aca="false">IF(C3464&gt;1,IF(C3464&lt;99,VLOOKUP(C3464,'Babblefish-APUMA'!$A$1:$B$86,2),C3464),C3464)</f>
        <v>96</v>
      </c>
    </row>
    <row r="3465" customFormat="false" ht="12.75" hidden="false" customHeight="false" outlineLevel="0" collapsed="false">
      <c r="A3465" s="0" t="n">
        <f aca="false">B3465*1000+C3465</f>
        <v>52034</v>
      </c>
      <c r="B3465" s="0" t="n">
        <v>52</v>
      </c>
      <c r="C3465" s="0" t="n">
        <v>34</v>
      </c>
      <c r="D3465" s="0" t="n">
        <v>0</v>
      </c>
      <c r="E3465" s="0" t="n">
        <f aca="false">VLOOKUP(B3465,'Babblefish-APUMA'!$A$1:$B$86,2)</f>
        <v>90</v>
      </c>
      <c r="F3465" s="0" t="n">
        <f aca="false">IF(C3465&gt;1,IF(C3465&lt;99,VLOOKUP(C3465,'Babblefish-APUMA'!$A$1:$B$86,2),C3465),C3465)</f>
        <v>96</v>
      </c>
    </row>
    <row r="3466" customFormat="false" ht="12.75" hidden="false" customHeight="false" outlineLevel="0" collapsed="false">
      <c r="A3466" s="0" t="n">
        <f aca="false">B3466*1000+C3466</f>
        <v>52035</v>
      </c>
      <c r="B3466" s="0" t="n">
        <v>52</v>
      </c>
      <c r="C3466" s="0" t="n">
        <v>35</v>
      </c>
      <c r="D3466" s="0" t="n">
        <v>0</v>
      </c>
      <c r="E3466" s="0" t="n">
        <f aca="false">VLOOKUP(B3466,'Babblefish-APUMA'!$A$1:$B$86,2)</f>
        <v>90</v>
      </c>
      <c r="F3466" s="0" t="n">
        <f aca="false">IF(C3466&gt;1,IF(C3466&lt;99,VLOOKUP(C3466,'Babblefish-APUMA'!$A$1:$B$86,2),C3466),C3466)</f>
        <v>96</v>
      </c>
    </row>
    <row r="3467" customFormat="false" ht="12.75" hidden="false" customHeight="false" outlineLevel="0" collapsed="false">
      <c r="A3467" s="0" t="n">
        <f aca="false">B3467*1000+C3467</f>
        <v>52036</v>
      </c>
      <c r="B3467" s="0" t="n">
        <v>52</v>
      </c>
      <c r="C3467" s="0" t="n">
        <v>36</v>
      </c>
      <c r="D3467" s="0" t="n">
        <v>0</v>
      </c>
      <c r="E3467" s="0" t="n">
        <f aca="false">VLOOKUP(B3467,'Babblefish-APUMA'!$A$1:$B$86,2)</f>
        <v>90</v>
      </c>
      <c r="F3467" s="0" t="n">
        <f aca="false">IF(C3467&gt;1,IF(C3467&lt;99,VLOOKUP(C3467,'Babblefish-APUMA'!$A$1:$B$86,2),C3467),C3467)</f>
        <v>96</v>
      </c>
    </row>
    <row r="3468" customFormat="false" ht="12.75" hidden="false" customHeight="false" outlineLevel="0" collapsed="false">
      <c r="A3468" s="0" t="n">
        <f aca="false">B3468*1000+C3468</f>
        <v>52037</v>
      </c>
      <c r="B3468" s="0" t="n">
        <v>52</v>
      </c>
      <c r="C3468" s="0" t="n">
        <v>37</v>
      </c>
      <c r="D3468" s="0" t="n">
        <v>0</v>
      </c>
      <c r="E3468" s="0" t="n">
        <f aca="false">VLOOKUP(B3468,'Babblefish-APUMA'!$A$1:$B$86,2)</f>
        <v>90</v>
      </c>
      <c r="F3468" s="0" t="n">
        <f aca="false">IF(C3468&gt;1,IF(C3468&lt;99,VLOOKUP(C3468,'Babblefish-APUMA'!$A$1:$B$86,2),C3468),C3468)</f>
        <v>96</v>
      </c>
    </row>
    <row r="3469" customFormat="false" ht="12.75" hidden="false" customHeight="false" outlineLevel="0" collapsed="false">
      <c r="A3469" s="0" t="n">
        <f aca="false">B3469*1000+C3469</f>
        <v>52038</v>
      </c>
      <c r="B3469" s="0" t="n">
        <v>52</v>
      </c>
      <c r="C3469" s="0" t="n">
        <v>38</v>
      </c>
      <c r="D3469" s="0" t="n">
        <v>0</v>
      </c>
      <c r="E3469" s="0" t="n">
        <f aca="false">VLOOKUP(B3469,'Babblefish-APUMA'!$A$1:$B$86,2)</f>
        <v>90</v>
      </c>
      <c r="F3469" s="0" t="n">
        <f aca="false">IF(C3469&gt;1,IF(C3469&lt;99,VLOOKUP(C3469,'Babblefish-APUMA'!$A$1:$B$86,2),C3469),C3469)</f>
        <v>91</v>
      </c>
    </row>
    <row r="3470" customFormat="false" ht="12.75" hidden="false" customHeight="false" outlineLevel="0" collapsed="false">
      <c r="A3470" s="0" t="n">
        <f aca="false">B3470*1000+C3470</f>
        <v>52039</v>
      </c>
      <c r="B3470" s="0" t="n">
        <v>52</v>
      </c>
      <c r="C3470" s="0" t="n">
        <v>39</v>
      </c>
      <c r="D3470" s="0" t="n">
        <v>0</v>
      </c>
      <c r="E3470" s="0" t="n">
        <f aca="false">VLOOKUP(B3470,'Babblefish-APUMA'!$A$1:$B$86,2)</f>
        <v>90</v>
      </c>
      <c r="F3470" s="0" t="n">
        <f aca="false">IF(C3470&gt;1,IF(C3470&lt;99,VLOOKUP(C3470,'Babblefish-APUMA'!$A$1:$B$86,2),C3470),C3470)</f>
        <v>91</v>
      </c>
    </row>
    <row r="3471" customFormat="false" ht="12.75" hidden="false" customHeight="false" outlineLevel="0" collapsed="false">
      <c r="A3471" s="0" t="n">
        <f aca="false">B3471*1000+C3471</f>
        <v>52040</v>
      </c>
      <c r="B3471" s="0" t="n">
        <v>52</v>
      </c>
      <c r="C3471" s="0" t="n">
        <v>40</v>
      </c>
      <c r="D3471" s="0" t="n">
        <v>0</v>
      </c>
      <c r="E3471" s="0" t="n">
        <f aca="false">VLOOKUP(B3471,'Babblefish-APUMA'!$A$1:$B$86,2)</f>
        <v>90</v>
      </c>
      <c r="F3471" s="0" t="n">
        <f aca="false">IF(C3471&gt;1,IF(C3471&lt;99,VLOOKUP(C3471,'Babblefish-APUMA'!$A$1:$B$86,2),C3471),C3471)</f>
        <v>88</v>
      </c>
    </row>
    <row r="3472" customFormat="false" ht="12.75" hidden="false" customHeight="false" outlineLevel="0" collapsed="false">
      <c r="A3472" s="0" t="n">
        <f aca="false">B3472*1000+C3472</f>
        <v>52041</v>
      </c>
      <c r="B3472" s="0" t="n">
        <v>52</v>
      </c>
      <c r="C3472" s="0" t="n">
        <v>41</v>
      </c>
      <c r="D3472" s="0" t="n">
        <v>0</v>
      </c>
      <c r="E3472" s="0" t="n">
        <f aca="false">VLOOKUP(B3472,'Babblefish-APUMA'!$A$1:$B$86,2)</f>
        <v>90</v>
      </c>
      <c r="F3472" s="0" t="n">
        <f aca="false">IF(C3472&gt;1,IF(C3472&lt;99,VLOOKUP(C3472,'Babblefish-APUMA'!$A$1:$B$86,2),C3472),C3472)</f>
        <v>88</v>
      </c>
    </row>
    <row r="3473" customFormat="false" ht="12.75" hidden="false" customHeight="false" outlineLevel="0" collapsed="false">
      <c r="A3473" s="0" t="n">
        <f aca="false">B3473*1000+C3473</f>
        <v>52042</v>
      </c>
      <c r="B3473" s="0" t="n">
        <v>52</v>
      </c>
      <c r="C3473" s="0" t="n">
        <v>42</v>
      </c>
      <c r="D3473" s="0" t="n">
        <v>0</v>
      </c>
      <c r="E3473" s="0" t="n">
        <f aca="false">VLOOKUP(B3473,'Babblefish-APUMA'!$A$1:$B$86,2)</f>
        <v>90</v>
      </c>
      <c r="F3473" s="0" t="n">
        <f aca="false">IF(C3473&gt;1,IF(C3473&lt;99,VLOOKUP(C3473,'Babblefish-APUMA'!$A$1:$B$86,2),C3473),C3473)</f>
        <v>92</v>
      </c>
    </row>
    <row r="3474" customFormat="false" ht="12.75" hidden="false" customHeight="false" outlineLevel="0" collapsed="false">
      <c r="A3474" s="0" t="n">
        <f aca="false">B3474*1000+C3474</f>
        <v>52043</v>
      </c>
      <c r="B3474" s="0" t="n">
        <v>52</v>
      </c>
      <c r="C3474" s="0" t="n">
        <v>43</v>
      </c>
      <c r="D3474" s="0" t="n">
        <v>0</v>
      </c>
      <c r="E3474" s="0" t="n">
        <f aca="false">VLOOKUP(B3474,'Babblefish-APUMA'!$A$1:$B$86,2)</f>
        <v>90</v>
      </c>
      <c r="F3474" s="0" t="n">
        <f aca="false">IF(C3474&gt;1,IF(C3474&lt;99,VLOOKUP(C3474,'Babblefish-APUMA'!$A$1:$B$86,2),C3474),C3474)</f>
        <v>92</v>
      </c>
    </row>
    <row r="3475" customFormat="false" ht="12.75" hidden="false" customHeight="false" outlineLevel="0" collapsed="false">
      <c r="A3475" s="0" t="n">
        <f aca="false">B3475*1000+C3475</f>
        <v>52044</v>
      </c>
      <c r="B3475" s="0" t="n">
        <v>52</v>
      </c>
      <c r="C3475" s="0" t="n">
        <v>44</v>
      </c>
      <c r="D3475" s="0" t="n">
        <v>0</v>
      </c>
      <c r="E3475" s="0" t="n">
        <f aca="false">VLOOKUP(B3475,'Babblefish-APUMA'!$A$1:$B$86,2)</f>
        <v>90</v>
      </c>
      <c r="F3475" s="0" t="n">
        <f aca="false">IF(C3475&gt;1,IF(C3475&lt;99,VLOOKUP(C3475,'Babblefish-APUMA'!$A$1:$B$86,2),C3475),C3475)</f>
        <v>92</v>
      </c>
    </row>
    <row r="3476" customFormat="false" ht="12.75" hidden="false" customHeight="false" outlineLevel="0" collapsed="false">
      <c r="A3476" s="0" t="n">
        <f aca="false">B3476*1000+C3476</f>
        <v>52045</v>
      </c>
      <c r="B3476" s="0" t="n">
        <v>52</v>
      </c>
      <c r="C3476" s="0" t="n">
        <v>45</v>
      </c>
      <c r="D3476" s="0" t="n">
        <v>0</v>
      </c>
      <c r="E3476" s="0" t="n">
        <f aca="false">VLOOKUP(B3476,'Babblefish-APUMA'!$A$1:$B$86,2)</f>
        <v>90</v>
      </c>
      <c r="F3476" s="0" t="n">
        <f aca="false">IF(C3476&gt;1,IF(C3476&lt;99,VLOOKUP(C3476,'Babblefish-APUMA'!$A$1:$B$86,2),C3476),C3476)</f>
        <v>92</v>
      </c>
    </row>
    <row r="3477" customFormat="false" ht="12.75" hidden="false" customHeight="false" outlineLevel="0" collapsed="false">
      <c r="A3477" s="0" t="n">
        <f aca="false">B3477*1000+C3477</f>
        <v>52046</v>
      </c>
      <c r="B3477" s="0" t="n">
        <v>52</v>
      </c>
      <c r="C3477" s="0" t="n">
        <v>46</v>
      </c>
      <c r="D3477" s="0" t="n">
        <v>104</v>
      </c>
      <c r="E3477" s="0" t="n">
        <f aca="false">VLOOKUP(B3477,'Babblefish-APUMA'!$A$1:$B$86,2)</f>
        <v>90</v>
      </c>
      <c r="F3477" s="0" t="n">
        <f aca="false">IF(C3477&gt;1,IF(C3477&lt;99,VLOOKUP(C3477,'Babblefish-APUMA'!$A$1:$B$86,2),C3477),C3477)</f>
        <v>92</v>
      </c>
    </row>
    <row r="3478" customFormat="false" ht="12.75" hidden="false" customHeight="false" outlineLevel="0" collapsed="false">
      <c r="A3478" s="0" t="n">
        <f aca="false">B3478*1000+C3478</f>
        <v>52047</v>
      </c>
      <c r="B3478" s="0" t="n">
        <v>52</v>
      </c>
      <c r="C3478" s="0" t="n">
        <v>47</v>
      </c>
      <c r="D3478" s="0" t="n">
        <v>0</v>
      </c>
      <c r="E3478" s="0" t="n">
        <f aca="false">VLOOKUP(B3478,'Babblefish-APUMA'!$A$1:$B$86,2)</f>
        <v>90</v>
      </c>
      <c r="F3478" s="0" t="n">
        <f aca="false">IF(C3478&gt;1,IF(C3478&lt;99,VLOOKUP(C3478,'Babblefish-APUMA'!$A$1:$B$86,2),C3478),C3478)</f>
        <v>92</v>
      </c>
    </row>
    <row r="3479" customFormat="false" ht="12.75" hidden="false" customHeight="false" outlineLevel="0" collapsed="false">
      <c r="A3479" s="0" t="n">
        <f aca="false">B3479*1000+C3479</f>
        <v>52048</v>
      </c>
      <c r="B3479" s="0" t="n">
        <v>52</v>
      </c>
      <c r="C3479" s="0" t="n">
        <v>48</v>
      </c>
      <c r="D3479" s="0" t="n">
        <v>338</v>
      </c>
      <c r="E3479" s="0" t="n">
        <f aca="false">VLOOKUP(B3479,'Babblefish-APUMA'!$A$1:$B$86,2)</f>
        <v>90</v>
      </c>
      <c r="F3479" s="0" t="n">
        <f aca="false">IF(C3479&gt;1,IF(C3479&lt;99,VLOOKUP(C3479,'Babblefish-APUMA'!$A$1:$B$86,2),C3479),C3479)</f>
        <v>92</v>
      </c>
    </row>
    <row r="3480" customFormat="false" ht="12.75" hidden="false" customHeight="false" outlineLevel="0" collapsed="false">
      <c r="A3480" s="0" t="n">
        <f aca="false">B3480*1000+C3480</f>
        <v>52049</v>
      </c>
      <c r="B3480" s="0" t="n">
        <v>52</v>
      </c>
      <c r="C3480" s="0" t="n">
        <v>49</v>
      </c>
      <c r="D3480" s="0" t="n">
        <v>0</v>
      </c>
      <c r="E3480" s="0" t="n">
        <f aca="false">VLOOKUP(B3480,'Babblefish-APUMA'!$A$1:$B$86,2)</f>
        <v>90</v>
      </c>
      <c r="F3480" s="0" t="n">
        <f aca="false">IF(C3480&gt;1,IF(C3480&lt;99,VLOOKUP(C3480,'Babblefish-APUMA'!$A$1:$B$86,2),C3480),C3480)</f>
        <v>98</v>
      </c>
    </row>
    <row r="3481" customFormat="false" ht="12.75" hidden="false" customHeight="false" outlineLevel="0" collapsed="false">
      <c r="A3481" s="0" t="n">
        <f aca="false">B3481*1000+C3481</f>
        <v>52050</v>
      </c>
      <c r="B3481" s="0" t="n">
        <v>52</v>
      </c>
      <c r="C3481" s="0" t="n">
        <v>50</v>
      </c>
      <c r="D3481" s="0" t="n">
        <v>0</v>
      </c>
      <c r="E3481" s="0" t="n">
        <f aca="false">VLOOKUP(B3481,'Babblefish-APUMA'!$A$1:$B$86,2)</f>
        <v>90</v>
      </c>
      <c r="F3481" s="0" t="n">
        <f aca="false">IF(C3481&gt;1,IF(C3481&lt;99,VLOOKUP(C3481,'Babblefish-APUMA'!$A$1:$B$86,2),C3481),C3481)</f>
        <v>98</v>
      </c>
    </row>
    <row r="3482" customFormat="false" ht="12.75" hidden="false" customHeight="false" outlineLevel="0" collapsed="false">
      <c r="A3482" s="0" t="n">
        <f aca="false">B3482*1000+C3482</f>
        <v>52051</v>
      </c>
      <c r="B3482" s="0" t="n">
        <v>52</v>
      </c>
      <c r="C3482" s="0" t="n">
        <v>51</v>
      </c>
      <c r="D3482" s="0" t="n">
        <v>0</v>
      </c>
      <c r="E3482" s="0" t="n">
        <f aca="false">VLOOKUP(B3482,'Babblefish-APUMA'!$A$1:$B$86,2)</f>
        <v>90</v>
      </c>
      <c r="F3482" s="0" t="n">
        <f aca="false">IF(C3482&gt;1,IF(C3482&lt;99,VLOOKUP(C3482,'Babblefish-APUMA'!$A$1:$B$86,2),C3482),C3482)</f>
        <v>98</v>
      </c>
    </row>
    <row r="3483" customFormat="false" ht="12.75" hidden="false" customHeight="false" outlineLevel="0" collapsed="false">
      <c r="A3483" s="0" t="n">
        <f aca="false">B3483*1000+C3483</f>
        <v>52052</v>
      </c>
      <c r="B3483" s="0" t="n">
        <v>52</v>
      </c>
      <c r="C3483" s="0" t="n">
        <v>52</v>
      </c>
      <c r="D3483" s="0" t="n">
        <v>21307</v>
      </c>
      <c r="E3483" s="0" t="n">
        <f aca="false">VLOOKUP(B3483,'Babblefish-APUMA'!$A$1:$B$86,2)</f>
        <v>90</v>
      </c>
      <c r="F3483" s="0" t="n">
        <f aca="false">IF(C3483&gt;1,IF(C3483&lt;99,VLOOKUP(C3483,'Babblefish-APUMA'!$A$1:$B$86,2),C3483),C3483)</f>
        <v>90</v>
      </c>
    </row>
    <row r="3484" customFormat="false" ht="12.75" hidden="false" customHeight="false" outlineLevel="0" collapsed="false">
      <c r="A3484" s="0" t="n">
        <f aca="false">B3484*1000+C3484</f>
        <v>52053</v>
      </c>
      <c r="B3484" s="0" t="n">
        <v>52</v>
      </c>
      <c r="C3484" s="0" t="n">
        <v>53</v>
      </c>
      <c r="D3484" s="0" t="n">
        <v>5239</v>
      </c>
      <c r="E3484" s="0" t="n">
        <f aca="false">VLOOKUP(B3484,'Babblefish-APUMA'!$A$1:$B$86,2)</f>
        <v>90</v>
      </c>
      <c r="F3484" s="0" t="n">
        <f aca="false">IF(C3484&gt;1,IF(C3484&lt;99,VLOOKUP(C3484,'Babblefish-APUMA'!$A$1:$B$86,2),C3484),C3484)</f>
        <v>90</v>
      </c>
    </row>
    <row r="3485" customFormat="false" ht="12.75" hidden="false" customHeight="false" outlineLevel="0" collapsed="false">
      <c r="A3485" s="0" t="n">
        <f aca="false">B3485*1000+C3485</f>
        <v>52054</v>
      </c>
      <c r="B3485" s="0" t="n">
        <v>52</v>
      </c>
      <c r="C3485" s="0" t="n">
        <v>54</v>
      </c>
      <c r="D3485" s="0" t="n">
        <v>91</v>
      </c>
      <c r="E3485" s="0" t="n">
        <f aca="false">VLOOKUP(B3485,'Babblefish-APUMA'!$A$1:$B$86,2)</f>
        <v>90</v>
      </c>
      <c r="F3485" s="0" t="n">
        <f aca="false">IF(C3485&gt;1,IF(C3485&lt;99,VLOOKUP(C3485,'Babblefish-APUMA'!$A$1:$B$86,2),C3485),C3485)</f>
        <v>90</v>
      </c>
    </row>
    <row r="3486" customFormat="false" ht="12.75" hidden="false" customHeight="false" outlineLevel="0" collapsed="false">
      <c r="A3486" s="0" t="n">
        <f aca="false">B3486*1000+C3486</f>
        <v>52055</v>
      </c>
      <c r="B3486" s="0" t="n">
        <v>52</v>
      </c>
      <c r="C3486" s="0" t="n">
        <v>55</v>
      </c>
      <c r="D3486" s="0" t="n">
        <v>78</v>
      </c>
      <c r="E3486" s="0" t="n">
        <f aca="false">VLOOKUP(B3486,'Babblefish-APUMA'!$A$1:$B$86,2)</f>
        <v>90</v>
      </c>
      <c r="F3486" s="0" t="n">
        <f aca="false">IF(C3486&gt;1,IF(C3486&lt;99,VLOOKUP(C3486,'Babblefish-APUMA'!$A$1:$B$86,2),C3486),C3486)</f>
        <v>90</v>
      </c>
    </row>
    <row r="3487" customFormat="false" ht="12.75" hidden="false" customHeight="false" outlineLevel="0" collapsed="false">
      <c r="A3487" s="0" t="n">
        <f aca="false">B3487*1000+C3487</f>
        <v>52056</v>
      </c>
      <c r="B3487" s="0" t="n">
        <v>52</v>
      </c>
      <c r="C3487" s="0" t="n">
        <v>56</v>
      </c>
      <c r="D3487" s="0" t="n">
        <v>598</v>
      </c>
      <c r="E3487" s="0" t="n">
        <f aca="false">VLOOKUP(B3487,'Babblefish-APUMA'!$A$1:$B$86,2)</f>
        <v>90</v>
      </c>
      <c r="F3487" s="0" t="n">
        <f aca="false">IF(C3487&gt;1,IF(C3487&lt;99,VLOOKUP(C3487,'Babblefish-APUMA'!$A$1:$B$86,2),C3487),C3487)</f>
        <v>90</v>
      </c>
    </row>
    <row r="3488" customFormat="false" ht="12.75" hidden="false" customHeight="false" outlineLevel="0" collapsed="false">
      <c r="A3488" s="0" t="n">
        <f aca="false">B3488*1000+C3488</f>
        <v>52057</v>
      </c>
      <c r="B3488" s="0" t="n">
        <v>52</v>
      </c>
      <c r="C3488" s="0" t="n">
        <v>57</v>
      </c>
      <c r="D3488" s="0" t="n">
        <v>117</v>
      </c>
      <c r="E3488" s="0" t="n">
        <f aca="false">VLOOKUP(B3488,'Babblefish-APUMA'!$A$1:$B$86,2)</f>
        <v>90</v>
      </c>
      <c r="F3488" s="0" t="n">
        <f aca="false">IF(C3488&gt;1,IF(C3488&lt;99,VLOOKUP(C3488,'Babblefish-APUMA'!$A$1:$B$86,2),C3488),C3488)</f>
        <v>90</v>
      </c>
    </row>
    <row r="3489" customFormat="false" ht="12.75" hidden="false" customHeight="false" outlineLevel="0" collapsed="false">
      <c r="A3489" s="0" t="n">
        <f aca="false">B3489*1000+C3489</f>
        <v>52058</v>
      </c>
      <c r="B3489" s="0" t="n">
        <v>52</v>
      </c>
      <c r="C3489" s="0" t="n">
        <v>58</v>
      </c>
      <c r="D3489" s="0" t="n">
        <v>117</v>
      </c>
      <c r="E3489" s="0" t="n">
        <f aca="false">VLOOKUP(B3489,'Babblefish-APUMA'!$A$1:$B$86,2)</f>
        <v>90</v>
      </c>
      <c r="F3489" s="0" t="n">
        <f aca="false">IF(C3489&gt;1,IF(C3489&lt;99,VLOOKUP(C3489,'Babblefish-APUMA'!$A$1:$B$86,2),C3489),C3489)</f>
        <v>90</v>
      </c>
    </row>
    <row r="3490" customFormat="false" ht="12.75" hidden="false" customHeight="false" outlineLevel="0" collapsed="false">
      <c r="A3490" s="0" t="n">
        <f aca="false">B3490*1000+C3490</f>
        <v>52059</v>
      </c>
      <c r="B3490" s="0" t="n">
        <v>52</v>
      </c>
      <c r="C3490" s="0" t="n">
        <v>59</v>
      </c>
      <c r="D3490" s="0" t="n">
        <v>156</v>
      </c>
      <c r="E3490" s="0" t="n">
        <f aca="false">VLOOKUP(B3490,'Babblefish-APUMA'!$A$1:$B$86,2)</f>
        <v>90</v>
      </c>
      <c r="F3490" s="0" t="n">
        <f aca="false">IF(C3490&gt;1,IF(C3490&lt;99,VLOOKUP(C3490,'Babblefish-APUMA'!$A$1:$B$86,2),C3490),C3490)</f>
        <v>90</v>
      </c>
    </row>
    <row r="3491" customFormat="false" ht="12.75" hidden="false" customHeight="false" outlineLevel="0" collapsed="false">
      <c r="A3491" s="0" t="n">
        <f aca="false">B3491*1000+C3491</f>
        <v>52060</v>
      </c>
      <c r="B3491" s="0" t="n">
        <v>52</v>
      </c>
      <c r="C3491" s="0" t="n">
        <v>60</v>
      </c>
      <c r="D3491" s="0" t="n">
        <v>0</v>
      </c>
      <c r="E3491" s="0" t="n">
        <f aca="false">VLOOKUP(B3491,'Babblefish-APUMA'!$A$1:$B$86,2)</f>
        <v>90</v>
      </c>
      <c r="F3491" s="0" t="n">
        <f aca="false">IF(C3491&gt;1,IF(C3491&lt;99,VLOOKUP(C3491,'Babblefish-APUMA'!$A$1:$B$86,2),C3491),C3491)</f>
        <v>90</v>
      </c>
    </row>
    <row r="3492" customFormat="false" ht="12.75" hidden="false" customHeight="false" outlineLevel="0" collapsed="false">
      <c r="A3492" s="0" t="n">
        <f aca="false">B3492*1000+C3492</f>
        <v>52061</v>
      </c>
      <c r="B3492" s="0" t="n">
        <v>52</v>
      </c>
      <c r="C3492" s="0" t="n">
        <v>61</v>
      </c>
      <c r="D3492" s="0" t="n">
        <v>429</v>
      </c>
      <c r="E3492" s="0" t="n">
        <f aca="false">VLOOKUP(B3492,'Babblefish-APUMA'!$A$1:$B$86,2)</f>
        <v>90</v>
      </c>
      <c r="F3492" s="0" t="n">
        <f aca="false">IF(C3492&gt;1,IF(C3492&lt;99,VLOOKUP(C3492,'Babblefish-APUMA'!$A$1:$B$86,2),C3492),C3492)</f>
        <v>90</v>
      </c>
    </row>
    <row r="3493" customFormat="false" ht="12.75" hidden="false" customHeight="false" outlineLevel="0" collapsed="false">
      <c r="A3493" s="0" t="n">
        <f aca="false">B3493*1000+C3493</f>
        <v>52062</v>
      </c>
      <c r="B3493" s="0" t="n">
        <v>52</v>
      </c>
      <c r="C3493" s="0" t="n">
        <v>62</v>
      </c>
      <c r="D3493" s="0" t="n">
        <v>598</v>
      </c>
      <c r="E3493" s="0" t="n">
        <f aca="false">VLOOKUP(B3493,'Babblefish-APUMA'!$A$1:$B$86,2)</f>
        <v>90</v>
      </c>
      <c r="F3493" s="0" t="n">
        <f aca="false">IF(C3493&gt;1,IF(C3493&lt;99,VLOOKUP(C3493,'Babblefish-APUMA'!$A$1:$B$86,2),C3493),C3493)</f>
        <v>90</v>
      </c>
    </row>
    <row r="3494" customFormat="false" ht="12.75" hidden="false" customHeight="false" outlineLevel="0" collapsed="false">
      <c r="A3494" s="0" t="n">
        <f aca="false">B3494*1000+C3494</f>
        <v>52063</v>
      </c>
      <c r="B3494" s="0" t="n">
        <v>52</v>
      </c>
      <c r="C3494" s="0" t="n">
        <v>63</v>
      </c>
      <c r="D3494" s="0" t="n">
        <v>1053</v>
      </c>
      <c r="E3494" s="0" t="n">
        <f aca="false">VLOOKUP(B3494,'Babblefish-APUMA'!$A$1:$B$86,2)</f>
        <v>90</v>
      </c>
      <c r="F3494" s="0" t="n">
        <f aca="false">IF(C3494&gt;1,IF(C3494&lt;99,VLOOKUP(C3494,'Babblefish-APUMA'!$A$1:$B$86,2),C3494),C3494)</f>
        <v>90</v>
      </c>
    </row>
    <row r="3495" customFormat="false" ht="12.75" hidden="false" customHeight="false" outlineLevel="0" collapsed="false">
      <c r="A3495" s="0" t="n">
        <f aca="false">B3495*1000+C3495</f>
        <v>52064</v>
      </c>
      <c r="B3495" s="0" t="n">
        <v>52</v>
      </c>
      <c r="C3495" s="0" t="n">
        <v>64</v>
      </c>
      <c r="D3495" s="0" t="n">
        <v>3614</v>
      </c>
      <c r="E3495" s="0" t="n">
        <f aca="false">VLOOKUP(B3495,'Babblefish-APUMA'!$A$1:$B$86,2)</f>
        <v>90</v>
      </c>
      <c r="F3495" s="0" t="n">
        <f aca="false">IF(C3495&gt;1,IF(C3495&lt;99,VLOOKUP(C3495,'Babblefish-APUMA'!$A$1:$B$86,2),C3495),C3495)</f>
        <v>90</v>
      </c>
    </row>
    <row r="3496" customFormat="false" ht="12.75" hidden="false" customHeight="false" outlineLevel="0" collapsed="false">
      <c r="A3496" s="0" t="n">
        <f aca="false">B3496*1000+C3496</f>
        <v>52065</v>
      </c>
      <c r="B3496" s="0" t="n">
        <v>52</v>
      </c>
      <c r="C3496" s="0" t="n">
        <v>65</v>
      </c>
      <c r="D3496" s="0" t="n">
        <v>25688</v>
      </c>
      <c r="E3496" s="0" t="n">
        <f aca="false">VLOOKUP(B3496,'Babblefish-APUMA'!$A$1:$B$86,2)</f>
        <v>90</v>
      </c>
      <c r="F3496" s="0" t="n">
        <f aca="false">IF(C3496&gt;1,IF(C3496&lt;99,VLOOKUP(C3496,'Babblefish-APUMA'!$A$1:$B$86,2),C3496),C3496)</f>
        <v>90</v>
      </c>
    </row>
    <row r="3497" customFormat="false" ht="12.75" hidden="false" customHeight="false" outlineLevel="0" collapsed="false">
      <c r="A3497" s="0" t="n">
        <f aca="false">B3497*1000+C3497</f>
        <v>52066</v>
      </c>
      <c r="B3497" s="0" t="n">
        <v>52</v>
      </c>
      <c r="C3497" s="0" t="n">
        <v>66</v>
      </c>
      <c r="D3497" s="0" t="n">
        <v>52</v>
      </c>
      <c r="E3497" s="0" t="n">
        <f aca="false">VLOOKUP(B3497,'Babblefish-APUMA'!$A$1:$B$86,2)</f>
        <v>90</v>
      </c>
      <c r="F3497" s="0" t="n">
        <f aca="false">IF(C3497&gt;1,IF(C3497&lt;99,VLOOKUP(C3497,'Babblefish-APUMA'!$A$1:$B$86,2),C3497),C3497)</f>
        <v>90</v>
      </c>
    </row>
    <row r="3498" customFormat="false" ht="12.75" hidden="false" customHeight="false" outlineLevel="0" collapsed="false">
      <c r="A3498" s="0" t="n">
        <f aca="false">B3498*1000+C3498</f>
        <v>52067</v>
      </c>
      <c r="B3498" s="0" t="n">
        <v>52</v>
      </c>
      <c r="C3498" s="0" t="n">
        <v>67</v>
      </c>
      <c r="D3498" s="0" t="n">
        <v>260</v>
      </c>
      <c r="E3498" s="0" t="n">
        <f aca="false">VLOOKUP(B3498,'Babblefish-APUMA'!$A$1:$B$86,2)</f>
        <v>90</v>
      </c>
      <c r="F3498" s="0" t="n">
        <f aca="false">IF(C3498&gt;1,IF(C3498&lt;99,VLOOKUP(C3498,'Babblefish-APUMA'!$A$1:$B$86,2),C3498),C3498)</f>
        <v>103</v>
      </c>
    </row>
    <row r="3499" customFormat="false" ht="12.75" hidden="false" customHeight="false" outlineLevel="0" collapsed="false">
      <c r="A3499" s="0" t="n">
        <f aca="false">B3499*1000+C3499</f>
        <v>52068</v>
      </c>
      <c r="B3499" s="0" t="n">
        <v>52</v>
      </c>
      <c r="C3499" s="0" t="n">
        <v>68</v>
      </c>
      <c r="D3499" s="0" t="n">
        <v>182</v>
      </c>
      <c r="E3499" s="0" t="n">
        <f aca="false">VLOOKUP(B3499,'Babblefish-APUMA'!$A$1:$B$86,2)</f>
        <v>90</v>
      </c>
      <c r="F3499" s="0" t="n">
        <f aca="false">IF(C3499&gt;1,IF(C3499&lt;99,VLOOKUP(C3499,'Babblefish-APUMA'!$A$1:$B$86,2),C3499),C3499)</f>
        <v>93</v>
      </c>
    </row>
    <row r="3500" customFormat="false" ht="12.75" hidden="false" customHeight="false" outlineLevel="0" collapsed="false">
      <c r="A3500" s="0" t="n">
        <f aca="false">B3500*1000+C3500</f>
        <v>52069</v>
      </c>
      <c r="B3500" s="0" t="n">
        <v>52</v>
      </c>
      <c r="C3500" s="0" t="n">
        <v>69</v>
      </c>
      <c r="D3500" s="0" t="n">
        <v>117</v>
      </c>
      <c r="E3500" s="0" t="n">
        <f aca="false">VLOOKUP(B3500,'Babblefish-APUMA'!$A$1:$B$86,2)</f>
        <v>90</v>
      </c>
      <c r="F3500" s="0" t="n">
        <f aca="false">IF(C3500&gt;1,IF(C3500&lt;99,VLOOKUP(C3500,'Babblefish-APUMA'!$A$1:$B$86,2),C3500),C3500)</f>
        <v>93</v>
      </c>
    </row>
    <row r="3501" customFormat="false" ht="12.75" hidden="false" customHeight="false" outlineLevel="0" collapsed="false">
      <c r="A3501" s="0" t="n">
        <f aca="false">B3501*1000+C3501</f>
        <v>52070</v>
      </c>
      <c r="B3501" s="0" t="n">
        <v>52</v>
      </c>
      <c r="C3501" s="0" t="n">
        <v>70</v>
      </c>
      <c r="D3501" s="0" t="n">
        <v>0</v>
      </c>
      <c r="E3501" s="0" t="n">
        <f aca="false">VLOOKUP(B3501,'Babblefish-APUMA'!$A$1:$B$86,2)</f>
        <v>90</v>
      </c>
      <c r="F3501" s="0" t="n">
        <f aca="false">IF(C3501&gt;1,IF(C3501&lt;99,VLOOKUP(C3501,'Babblefish-APUMA'!$A$1:$B$86,2),C3501),C3501)</f>
        <v>95</v>
      </c>
    </row>
    <row r="3502" customFormat="false" ht="12.75" hidden="false" customHeight="false" outlineLevel="0" collapsed="false">
      <c r="A3502" s="0" t="n">
        <f aca="false">B3502*1000+C3502</f>
        <v>52071</v>
      </c>
      <c r="B3502" s="0" t="n">
        <v>52</v>
      </c>
      <c r="C3502" s="0" t="n">
        <v>71</v>
      </c>
      <c r="D3502" s="0" t="n">
        <v>65</v>
      </c>
      <c r="E3502" s="0" t="n">
        <f aca="false">VLOOKUP(B3502,'Babblefish-APUMA'!$A$1:$B$86,2)</f>
        <v>90</v>
      </c>
      <c r="F3502" s="0" t="n">
        <f aca="false">IF(C3502&gt;1,IF(C3502&lt;99,VLOOKUP(C3502,'Babblefish-APUMA'!$A$1:$B$86,2),C3502),C3502)</f>
        <v>95</v>
      </c>
    </row>
    <row r="3503" customFormat="false" ht="12.75" hidden="false" customHeight="false" outlineLevel="0" collapsed="false">
      <c r="A3503" s="0" t="n">
        <f aca="false">B3503*1000+C3503</f>
        <v>52072</v>
      </c>
      <c r="B3503" s="0" t="n">
        <v>52</v>
      </c>
      <c r="C3503" s="0" t="n">
        <v>72</v>
      </c>
      <c r="D3503" s="0" t="n">
        <v>65</v>
      </c>
      <c r="E3503" s="0" t="n">
        <f aca="false">VLOOKUP(B3503,'Babblefish-APUMA'!$A$1:$B$86,2)</f>
        <v>90</v>
      </c>
      <c r="F3503" s="0" t="n">
        <f aca="false">IF(C3503&gt;1,IF(C3503&lt;99,VLOOKUP(C3503,'Babblefish-APUMA'!$A$1:$B$86,2),C3503),C3503)</f>
        <v>95</v>
      </c>
    </row>
    <row r="3504" customFormat="false" ht="12.75" hidden="false" customHeight="false" outlineLevel="0" collapsed="false">
      <c r="A3504" s="0" t="n">
        <f aca="false">B3504*1000+C3504</f>
        <v>52073</v>
      </c>
      <c r="B3504" s="0" t="n">
        <v>52</v>
      </c>
      <c r="C3504" s="0" t="n">
        <v>73</v>
      </c>
      <c r="D3504" s="0" t="n">
        <v>0</v>
      </c>
      <c r="E3504" s="0" t="n">
        <f aca="false">VLOOKUP(B3504,'Babblefish-APUMA'!$A$1:$B$86,2)</f>
        <v>90</v>
      </c>
      <c r="F3504" s="0" t="n">
        <f aca="false">IF(C3504&gt;1,IF(C3504&lt;99,VLOOKUP(C3504,'Babblefish-APUMA'!$A$1:$B$86,2),C3504),C3504)</f>
        <v>99</v>
      </c>
    </row>
    <row r="3505" customFormat="false" ht="12.75" hidden="false" customHeight="false" outlineLevel="0" collapsed="false">
      <c r="A3505" s="0" t="n">
        <f aca="false">B3505*1000+C3505</f>
        <v>52075</v>
      </c>
      <c r="B3505" s="0" t="n">
        <v>52</v>
      </c>
      <c r="C3505" s="0" t="n">
        <v>75</v>
      </c>
      <c r="D3505" s="0" t="n">
        <v>0</v>
      </c>
      <c r="E3505" s="0" t="n">
        <f aca="false">VLOOKUP(B3505,'Babblefish-APUMA'!$A$1:$B$86,2)</f>
        <v>90</v>
      </c>
      <c r="F3505" s="0" t="n">
        <f aca="false">IF(C3505&gt;1,IF(C3505&lt;99,VLOOKUP(C3505,'Babblefish-APUMA'!$A$1:$B$86,2),C3505),C3505)</f>
        <v>75</v>
      </c>
    </row>
    <row r="3506" customFormat="false" ht="12.75" hidden="false" customHeight="false" outlineLevel="0" collapsed="false">
      <c r="A3506" s="0" t="n">
        <f aca="false">B3506*1000+C3506</f>
        <v>52076</v>
      </c>
      <c r="B3506" s="0" t="n">
        <v>52</v>
      </c>
      <c r="C3506" s="0" t="n">
        <v>76</v>
      </c>
      <c r="D3506" s="0" t="n">
        <v>0</v>
      </c>
      <c r="E3506" s="0" t="n">
        <f aca="false">VLOOKUP(B3506,'Babblefish-APUMA'!$A$1:$B$86,2)</f>
        <v>90</v>
      </c>
      <c r="F3506" s="0" t="n">
        <f aca="false">IF(C3506&gt;1,IF(C3506&lt;99,VLOOKUP(C3506,'Babblefish-APUMA'!$A$1:$B$86,2),C3506),C3506)</f>
        <v>76</v>
      </c>
    </row>
    <row r="3507" customFormat="false" ht="12.75" hidden="false" customHeight="false" outlineLevel="0" collapsed="false">
      <c r="A3507" s="0" t="n">
        <f aca="false">B3507*1000+C3507</f>
        <v>52077</v>
      </c>
      <c r="B3507" s="0" t="n">
        <v>52</v>
      </c>
      <c r="C3507" s="0" t="n">
        <v>77</v>
      </c>
      <c r="D3507" s="0" t="n">
        <v>0</v>
      </c>
      <c r="E3507" s="0" t="n">
        <f aca="false">VLOOKUP(B3507,'Babblefish-APUMA'!$A$1:$B$86,2)</f>
        <v>90</v>
      </c>
      <c r="F3507" s="0" t="n">
        <f aca="false">IF(C3507&gt;1,IF(C3507&lt;99,VLOOKUP(C3507,'Babblefish-APUMA'!$A$1:$B$86,2),C3507),C3507)</f>
        <v>77</v>
      </c>
    </row>
    <row r="3508" customFormat="false" ht="12.75" hidden="false" customHeight="false" outlineLevel="0" collapsed="false">
      <c r="A3508" s="0" t="n">
        <f aca="false">B3508*1000+C3508</f>
        <v>52078</v>
      </c>
      <c r="B3508" s="0" t="n">
        <v>52</v>
      </c>
      <c r="C3508" s="0" t="n">
        <v>78</v>
      </c>
      <c r="D3508" s="0" t="n">
        <v>0</v>
      </c>
      <c r="E3508" s="0" t="n">
        <f aca="false">VLOOKUP(B3508,'Babblefish-APUMA'!$A$1:$B$86,2)</f>
        <v>90</v>
      </c>
      <c r="F3508" s="0" t="n">
        <f aca="false">IF(C3508&gt;1,IF(C3508&lt;99,VLOOKUP(C3508,'Babblefish-APUMA'!$A$1:$B$86,2),C3508),C3508)</f>
        <v>89</v>
      </c>
    </row>
    <row r="3509" customFormat="false" ht="12.75" hidden="false" customHeight="false" outlineLevel="0" collapsed="false">
      <c r="A3509" s="0" t="n">
        <f aca="false">B3509*1000+C3509</f>
        <v>52079</v>
      </c>
      <c r="B3509" s="0" t="n">
        <v>52</v>
      </c>
      <c r="C3509" s="0" t="n">
        <v>79</v>
      </c>
      <c r="D3509" s="0" t="n">
        <v>0</v>
      </c>
      <c r="E3509" s="0" t="n">
        <f aca="false">VLOOKUP(B3509,'Babblefish-APUMA'!$A$1:$B$86,2)</f>
        <v>90</v>
      </c>
      <c r="F3509" s="0" t="n">
        <f aca="false">IF(C3509&gt;1,IF(C3509&lt;99,VLOOKUP(C3509,'Babblefish-APUMA'!$A$1:$B$86,2),C3509),C3509)</f>
        <v>89</v>
      </c>
    </row>
    <row r="3510" customFormat="false" ht="12.75" hidden="false" customHeight="false" outlineLevel="0" collapsed="false">
      <c r="A3510" s="0" t="n">
        <f aca="false">B3510*1000+C3510</f>
        <v>52080</v>
      </c>
      <c r="B3510" s="0" t="n">
        <v>52</v>
      </c>
      <c r="C3510" s="0" t="n">
        <v>80</v>
      </c>
      <c r="D3510" s="0" t="n">
        <v>0</v>
      </c>
      <c r="E3510" s="0" t="n">
        <f aca="false">VLOOKUP(B3510,'Babblefish-APUMA'!$A$1:$B$86,2)</f>
        <v>90</v>
      </c>
      <c r="F3510" s="0" t="n">
        <f aca="false">IF(C3510&gt;1,IF(C3510&lt;99,VLOOKUP(C3510,'Babblefish-APUMA'!$A$1:$B$86,2),C3510),C3510)</f>
        <v>80</v>
      </c>
    </row>
    <row r="3511" customFormat="false" ht="12.75" hidden="false" customHeight="false" outlineLevel="0" collapsed="false">
      <c r="A3511" s="0" t="n">
        <f aca="false">B3511*1000+C3511</f>
        <v>52081</v>
      </c>
      <c r="B3511" s="0" t="n">
        <v>52</v>
      </c>
      <c r="C3511" s="0" t="n">
        <v>81</v>
      </c>
      <c r="D3511" s="0" t="n">
        <v>0</v>
      </c>
      <c r="E3511" s="0" t="n">
        <f aca="false">VLOOKUP(B3511,'Babblefish-APUMA'!$A$1:$B$86,2)</f>
        <v>90</v>
      </c>
      <c r="F3511" s="0" t="n">
        <f aca="false">IF(C3511&gt;1,IF(C3511&lt;99,VLOOKUP(C3511,'Babblefish-APUMA'!$A$1:$B$86,2),C3511),C3511)</f>
        <v>93</v>
      </c>
    </row>
    <row r="3512" customFormat="false" ht="12.75" hidden="false" customHeight="false" outlineLevel="0" collapsed="false">
      <c r="A3512" s="0" t="n">
        <f aca="false">B3512*1000+C3512</f>
        <v>52082</v>
      </c>
      <c r="B3512" s="0" t="n">
        <v>52</v>
      </c>
      <c r="C3512" s="0" t="n">
        <v>82</v>
      </c>
      <c r="D3512" s="0" t="n">
        <v>0</v>
      </c>
      <c r="E3512" s="0" t="n">
        <f aca="false">VLOOKUP(B3512,'Babblefish-APUMA'!$A$1:$B$86,2)</f>
        <v>90</v>
      </c>
      <c r="F3512" s="0" t="n">
        <f aca="false">IF(C3512&gt;1,IF(C3512&lt;99,VLOOKUP(C3512,'Babblefish-APUMA'!$A$1:$B$86,2),C3512),C3512)</f>
        <v>95</v>
      </c>
    </row>
    <row r="3513" customFormat="false" ht="12.75" hidden="false" customHeight="false" outlineLevel="0" collapsed="false">
      <c r="A3513" s="0" t="n">
        <f aca="false">B3513*1000+C3513</f>
        <v>52083</v>
      </c>
      <c r="B3513" s="0" t="n">
        <v>52</v>
      </c>
      <c r="C3513" s="0" t="n">
        <v>83</v>
      </c>
      <c r="D3513" s="0" t="n">
        <v>78</v>
      </c>
      <c r="E3513" s="0" t="n">
        <f aca="false">VLOOKUP(B3513,'Babblefish-APUMA'!$A$1:$B$86,2)</f>
        <v>90</v>
      </c>
      <c r="F3513" s="0" t="n">
        <f aca="false">IF(C3513&gt;1,IF(C3513&lt;99,VLOOKUP(C3513,'Babblefish-APUMA'!$A$1:$B$86,2),C3513),C3513)</f>
        <v>103</v>
      </c>
    </row>
    <row r="3514" customFormat="false" ht="12.75" hidden="false" customHeight="false" outlineLevel="0" collapsed="false">
      <c r="A3514" s="0" t="n">
        <f aca="false">B3514*1000+C3514</f>
        <v>52084</v>
      </c>
      <c r="B3514" s="0" t="n">
        <v>52</v>
      </c>
      <c r="C3514" s="0" t="n">
        <v>84</v>
      </c>
      <c r="D3514" s="0" t="n">
        <v>169</v>
      </c>
      <c r="E3514" s="0" t="n">
        <f aca="false">VLOOKUP(B3514,'Babblefish-APUMA'!$A$1:$B$86,2)</f>
        <v>90</v>
      </c>
      <c r="F3514" s="0" t="n">
        <f aca="false">IF(C3514&gt;1,IF(C3514&lt;99,VLOOKUP(C3514,'Babblefish-APUMA'!$A$1:$B$86,2),C3514),C3514)</f>
        <v>92</v>
      </c>
    </row>
    <row r="3515" customFormat="false" ht="12.75" hidden="false" customHeight="false" outlineLevel="0" collapsed="false">
      <c r="A3515" s="0" t="n">
        <f aca="false">B3515*1000+C3515</f>
        <v>52085</v>
      </c>
      <c r="B3515" s="0" t="n">
        <v>52</v>
      </c>
      <c r="C3515" s="0" t="n">
        <v>85</v>
      </c>
      <c r="D3515" s="0" t="n">
        <v>0</v>
      </c>
      <c r="E3515" s="0" t="n">
        <f aca="false">VLOOKUP(B3515,'Babblefish-APUMA'!$A$1:$B$86,2)</f>
        <v>90</v>
      </c>
      <c r="F3515" s="0" t="n">
        <f aca="false">IF(C3515&gt;1,IF(C3515&lt;99,VLOOKUP(C3515,'Babblefish-APUMA'!$A$1:$B$86,2),C3515),C3515)</f>
        <v>97</v>
      </c>
    </row>
    <row r="3516" customFormat="false" ht="12.75" hidden="false" customHeight="false" outlineLevel="0" collapsed="false">
      <c r="A3516" s="0" t="n">
        <f aca="false">B3516*1000+C3516</f>
        <v>52858</v>
      </c>
      <c r="B3516" s="0" t="n">
        <v>52</v>
      </c>
      <c r="C3516" s="0" t="n">
        <v>858</v>
      </c>
      <c r="D3516" s="0" t="n">
        <v>0</v>
      </c>
      <c r="E3516" s="0" t="n">
        <f aca="false">VLOOKUP(B3516,'Babblefish-APUMA'!$A$1:$B$86,2)</f>
        <v>90</v>
      </c>
      <c r="F3516" s="0" t="n">
        <f aca="false">IF(C3516&gt;1,IF(C3516&lt;99,VLOOKUP(C3516,'Babblefish-APUMA'!$A$1:$B$86,2),C3516),C3516)</f>
        <v>858</v>
      </c>
    </row>
    <row r="3517" customFormat="false" ht="12.75" hidden="false" customHeight="false" outlineLevel="0" collapsed="false">
      <c r="A3517" s="0" t="n">
        <f aca="false">B3517*1000+C3517</f>
        <v>52983</v>
      </c>
      <c r="B3517" s="0" t="n">
        <v>52</v>
      </c>
      <c r="C3517" s="0" t="n">
        <v>983</v>
      </c>
      <c r="D3517" s="0" t="n">
        <v>0</v>
      </c>
      <c r="E3517" s="0" t="n">
        <f aca="false">VLOOKUP(B3517,'Babblefish-APUMA'!$A$1:$B$86,2)</f>
        <v>90</v>
      </c>
      <c r="F3517" s="0" t="n">
        <f aca="false">IF(C3517&gt;1,IF(C3517&lt;99,VLOOKUP(C3517,'Babblefish-APUMA'!$A$1:$B$86,2),C3517),C3517)</f>
        <v>983</v>
      </c>
    </row>
    <row r="3518" customFormat="false" ht="12.75" hidden="false" customHeight="false" outlineLevel="0" collapsed="false">
      <c r="A3518" s="0" t="n">
        <f aca="false">B3518*1000+C3518</f>
        <v>52999</v>
      </c>
      <c r="B3518" s="0" t="n">
        <v>52</v>
      </c>
      <c r="C3518" s="0" t="n">
        <v>999</v>
      </c>
      <c r="D3518" s="0" t="n">
        <v>0</v>
      </c>
      <c r="E3518" s="0" t="n">
        <f aca="false">VLOOKUP(B3518,'Babblefish-APUMA'!$A$1:$B$86,2)</f>
        <v>90</v>
      </c>
      <c r="F3518" s="0" t="n">
        <f aca="false">IF(C3518&gt;1,IF(C3518&lt;99,VLOOKUP(C3518,'Babblefish-APUMA'!$A$1:$B$86,2),C3518),C3518)</f>
        <v>999</v>
      </c>
    </row>
    <row r="3519" customFormat="false" ht="12.75" hidden="false" customHeight="false" outlineLevel="0" collapsed="false">
      <c r="A3519" s="0" t="n">
        <f aca="false">B3519*1000+C3519</f>
        <v>53000</v>
      </c>
      <c r="B3519" s="0" t="n">
        <v>53</v>
      </c>
      <c r="C3519" s="0" t="n">
        <v>0</v>
      </c>
      <c r="D3519" s="0" t="n">
        <v>94497</v>
      </c>
      <c r="E3519" s="0" t="n">
        <f aca="false">VLOOKUP(B3519,'Babblefish-APUMA'!$A$1:$B$86,2)</f>
        <v>90</v>
      </c>
      <c r="F3519" s="0" t="n">
        <f aca="false">IF(C3519&gt;1,IF(C3519&lt;99,VLOOKUP(C3519,'Babblefish-APUMA'!$A$1:$B$86,2),C3519),C3519)</f>
        <v>0</v>
      </c>
    </row>
    <row r="3520" customFormat="false" ht="12.75" hidden="false" customHeight="false" outlineLevel="0" collapsed="false">
      <c r="A3520" s="0" t="n">
        <f aca="false">B3520*1000+C3520</f>
        <v>53001</v>
      </c>
      <c r="B3520" s="0" t="n">
        <v>53</v>
      </c>
      <c r="C3520" s="0" t="n">
        <v>1</v>
      </c>
      <c r="D3520" s="0" t="n">
        <v>0</v>
      </c>
      <c r="E3520" s="0" t="n">
        <f aca="false">VLOOKUP(B3520,'Babblefish-APUMA'!$A$1:$B$86,2)</f>
        <v>90</v>
      </c>
      <c r="F3520" s="0" t="n">
        <f aca="false">IF(C3520&gt;1,IF(C3520&lt;99,VLOOKUP(C3520,'Babblefish-APUMA'!$A$1:$B$86,2),C3520),C3520)</f>
        <v>1</v>
      </c>
    </row>
    <row r="3521" customFormat="false" ht="12.75" hidden="false" customHeight="false" outlineLevel="0" collapsed="false">
      <c r="A3521" s="0" t="n">
        <f aca="false">B3521*1000+C3521</f>
        <v>53002</v>
      </c>
      <c r="B3521" s="0" t="n">
        <v>53</v>
      </c>
      <c r="C3521" s="0" t="n">
        <v>2</v>
      </c>
      <c r="D3521" s="0" t="n">
        <v>208</v>
      </c>
      <c r="E3521" s="0" t="n">
        <f aca="false">VLOOKUP(B3521,'Babblefish-APUMA'!$A$1:$B$86,2)</f>
        <v>90</v>
      </c>
      <c r="F3521" s="0" t="n">
        <f aca="false">IF(C3521&gt;1,IF(C3521&lt;99,VLOOKUP(C3521,'Babblefish-APUMA'!$A$1:$B$86,2),C3521),C3521)</f>
        <v>2</v>
      </c>
    </row>
    <row r="3522" customFormat="false" ht="12.75" hidden="false" customHeight="false" outlineLevel="0" collapsed="false">
      <c r="A3522" s="0" t="n">
        <f aca="false">B3522*1000+C3522</f>
        <v>53003</v>
      </c>
      <c r="B3522" s="0" t="n">
        <v>53</v>
      </c>
      <c r="C3522" s="0" t="n">
        <v>3</v>
      </c>
      <c r="D3522" s="0" t="n">
        <v>0</v>
      </c>
      <c r="E3522" s="0" t="n">
        <f aca="false">VLOOKUP(B3522,'Babblefish-APUMA'!$A$1:$B$86,2)</f>
        <v>90</v>
      </c>
      <c r="F3522" s="0" t="n">
        <f aca="false">IF(C3522&gt;1,IF(C3522&lt;99,VLOOKUP(C3522,'Babblefish-APUMA'!$A$1:$B$86,2),C3522),C3522)</f>
        <v>3</v>
      </c>
    </row>
    <row r="3523" customFormat="false" ht="12.75" hidden="false" customHeight="false" outlineLevel="0" collapsed="false">
      <c r="A3523" s="0" t="n">
        <f aca="false">B3523*1000+C3523</f>
        <v>53004</v>
      </c>
      <c r="B3523" s="0" t="n">
        <v>53</v>
      </c>
      <c r="C3523" s="0" t="n">
        <v>4</v>
      </c>
      <c r="D3523" s="0" t="n">
        <v>143</v>
      </c>
      <c r="E3523" s="0" t="n">
        <f aca="false">VLOOKUP(B3523,'Babblefish-APUMA'!$A$1:$B$86,2)</f>
        <v>90</v>
      </c>
      <c r="F3523" s="0" t="n">
        <f aca="false">IF(C3523&gt;1,IF(C3523&lt;99,VLOOKUP(C3523,'Babblefish-APUMA'!$A$1:$B$86,2),C3523),C3523)</f>
        <v>4</v>
      </c>
    </row>
    <row r="3524" customFormat="false" ht="12.75" hidden="false" customHeight="false" outlineLevel="0" collapsed="false">
      <c r="A3524" s="0" t="n">
        <f aca="false">B3524*1000+C3524</f>
        <v>53005</v>
      </c>
      <c r="B3524" s="0" t="n">
        <v>53</v>
      </c>
      <c r="C3524" s="0" t="n">
        <v>5</v>
      </c>
      <c r="D3524" s="0" t="n">
        <v>0</v>
      </c>
      <c r="E3524" s="0" t="n">
        <f aca="false">VLOOKUP(B3524,'Babblefish-APUMA'!$A$1:$B$86,2)</f>
        <v>90</v>
      </c>
      <c r="F3524" s="0" t="n">
        <f aca="false">IF(C3524&gt;1,IF(C3524&lt;99,VLOOKUP(C3524,'Babblefish-APUMA'!$A$1:$B$86,2),C3524),C3524)</f>
        <v>5</v>
      </c>
    </row>
    <row r="3525" customFormat="false" ht="12.75" hidden="false" customHeight="false" outlineLevel="0" collapsed="false">
      <c r="A3525" s="0" t="n">
        <f aca="false">B3525*1000+C3525</f>
        <v>53006</v>
      </c>
      <c r="B3525" s="0" t="n">
        <v>53</v>
      </c>
      <c r="C3525" s="0" t="n">
        <v>6</v>
      </c>
      <c r="D3525" s="0" t="n">
        <v>0</v>
      </c>
      <c r="E3525" s="0" t="n">
        <f aca="false">VLOOKUP(B3525,'Babblefish-APUMA'!$A$1:$B$86,2)</f>
        <v>90</v>
      </c>
      <c r="F3525" s="0" t="n">
        <f aca="false">IF(C3525&gt;1,IF(C3525&lt;99,VLOOKUP(C3525,'Babblefish-APUMA'!$A$1:$B$86,2),C3525),C3525)</f>
        <v>6</v>
      </c>
    </row>
    <row r="3526" customFormat="false" ht="12.75" hidden="false" customHeight="false" outlineLevel="0" collapsed="false">
      <c r="A3526" s="0" t="n">
        <f aca="false">B3526*1000+C3526</f>
        <v>53007</v>
      </c>
      <c r="B3526" s="0" t="n">
        <v>53</v>
      </c>
      <c r="C3526" s="0" t="n">
        <v>7</v>
      </c>
      <c r="D3526" s="0" t="n">
        <v>0</v>
      </c>
      <c r="E3526" s="0" t="n">
        <f aca="false">VLOOKUP(B3526,'Babblefish-APUMA'!$A$1:$B$86,2)</f>
        <v>90</v>
      </c>
      <c r="F3526" s="0" t="n">
        <f aca="false">IF(C3526&gt;1,IF(C3526&lt;99,VLOOKUP(C3526,'Babblefish-APUMA'!$A$1:$B$86,2),C3526),C3526)</f>
        <v>7</v>
      </c>
    </row>
    <row r="3527" customFormat="false" ht="12.75" hidden="false" customHeight="false" outlineLevel="0" collapsed="false">
      <c r="A3527" s="0" t="n">
        <f aca="false">B3527*1000+C3527</f>
        <v>53008</v>
      </c>
      <c r="B3527" s="0" t="n">
        <v>53</v>
      </c>
      <c r="C3527" s="0" t="n">
        <v>8</v>
      </c>
      <c r="D3527" s="0" t="n">
        <v>0</v>
      </c>
      <c r="E3527" s="0" t="n">
        <f aca="false">VLOOKUP(B3527,'Babblefish-APUMA'!$A$1:$B$86,2)</f>
        <v>90</v>
      </c>
      <c r="F3527" s="0" t="n">
        <f aca="false">IF(C3527&gt;1,IF(C3527&lt;99,VLOOKUP(C3527,'Babblefish-APUMA'!$A$1:$B$86,2),C3527),C3527)</f>
        <v>8</v>
      </c>
    </row>
    <row r="3528" customFormat="false" ht="12.75" hidden="false" customHeight="false" outlineLevel="0" collapsed="false">
      <c r="A3528" s="0" t="n">
        <f aca="false">B3528*1000+C3528</f>
        <v>53009</v>
      </c>
      <c r="B3528" s="0" t="n">
        <v>53</v>
      </c>
      <c r="C3528" s="0" t="n">
        <v>9</v>
      </c>
      <c r="D3528" s="0" t="n">
        <v>0</v>
      </c>
      <c r="E3528" s="0" t="n">
        <f aca="false">VLOOKUP(B3528,'Babblefish-APUMA'!$A$1:$B$86,2)</f>
        <v>90</v>
      </c>
      <c r="F3528" s="0" t="n">
        <f aca="false">IF(C3528&gt;1,IF(C3528&lt;99,VLOOKUP(C3528,'Babblefish-APUMA'!$A$1:$B$86,2),C3528),C3528)</f>
        <v>9</v>
      </c>
    </row>
    <row r="3529" customFormat="false" ht="12.75" hidden="false" customHeight="false" outlineLevel="0" collapsed="false">
      <c r="A3529" s="0" t="n">
        <f aca="false">B3529*1000+C3529</f>
        <v>53010</v>
      </c>
      <c r="B3529" s="0" t="n">
        <v>53</v>
      </c>
      <c r="C3529" s="0" t="n">
        <v>10</v>
      </c>
      <c r="D3529" s="0" t="n">
        <v>0</v>
      </c>
      <c r="E3529" s="0" t="n">
        <f aca="false">VLOOKUP(B3529,'Babblefish-APUMA'!$A$1:$B$86,2)</f>
        <v>90</v>
      </c>
      <c r="F3529" s="0" t="n">
        <f aca="false">IF(C3529&gt;1,IF(C3529&lt;99,VLOOKUP(C3529,'Babblefish-APUMA'!$A$1:$B$86,2),C3529),C3529)</f>
        <v>10</v>
      </c>
    </row>
    <row r="3530" customFormat="false" ht="12.75" hidden="false" customHeight="false" outlineLevel="0" collapsed="false">
      <c r="A3530" s="0" t="n">
        <f aca="false">B3530*1000+C3530</f>
        <v>53011</v>
      </c>
      <c r="B3530" s="0" t="n">
        <v>53</v>
      </c>
      <c r="C3530" s="0" t="n">
        <v>11</v>
      </c>
      <c r="D3530" s="0" t="n">
        <v>0</v>
      </c>
      <c r="E3530" s="0" t="n">
        <f aca="false">VLOOKUP(B3530,'Babblefish-APUMA'!$A$1:$B$86,2)</f>
        <v>90</v>
      </c>
      <c r="F3530" s="0" t="n">
        <f aca="false">IF(C3530&gt;1,IF(C3530&lt;99,VLOOKUP(C3530,'Babblefish-APUMA'!$A$1:$B$86,2),C3530),C3530)</f>
        <v>11</v>
      </c>
    </row>
    <row r="3531" customFormat="false" ht="12.75" hidden="false" customHeight="false" outlineLevel="0" collapsed="false">
      <c r="A3531" s="0" t="n">
        <f aca="false">B3531*1000+C3531</f>
        <v>53012</v>
      </c>
      <c r="B3531" s="0" t="n">
        <v>53</v>
      </c>
      <c r="C3531" s="0" t="n">
        <v>12</v>
      </c>
      <c r="D3531" s="0" t="n">
        <v>0</v>
      </c>
      <c r="E3531" s="0" t="n">
        <f aca="false">VLOOKUP(B3531,'Babblefish-APUMA'!$A$1:$B$86,2)</f>
        <v>90</v>
      </c>
      <c r="F3531" s="0" t="n">
        <f aca="false">IF(C3531&gt;1,IF(C3531&lt;99,VLOOKUP(C3531,'Babblefish-APUMA'!$A$1:$B$86,2),C3531),C3531)</f>
        <v>12</v>
      </c>
    </row>
    <row r="3532" customFormat="false" ht="12.75" hidden="false" customHeight="false" outlineLevel="0" collapsed="false">
      <c r="A3532" s="0" t="n">
        <f aca="false">B3532*1000+C3532</f>
        <v>53013</v>
      </c>
      <c r="B3532" s="0" t="n">
        <v>53</v>
      </c>
      <c r="C3532" s="0" t="n">
        <v>13</v>
      </c>
      <c r="D3532" s="0" t="n">
        <v>0</v>
      </c>
      <c r="E3532" s="0" t="n">
        <f aca="false">VLOOKUP(B3532,'Babblefish-APUMA'!$A$1:$B$86,2)</f>
        <v>90</v>
      </c>
      <c r="F3532" s="0" t="n">
        <f aca="false">IF(C3532&gt;1,IF(C3532&lt;99,VLOOKUP(C3532,'Babblefish-APUMA'!$A$1:$B$86,2),C3532),C3532)</f>
        <v>100</v>
      </c>
    </row>
    <row r="3533" customFormat="false" ht="12.75" hidden="false" customHeight="false" outlineLevel="0" collapsed="false">
      <c r="A3533" s="0" t="n">
        <f aca="false">B3533*1000+C3533</f>
        <v>53014</v>
      </c>
      <c r="B3533" s="0" t="n">
        <v>53</v>
      </c>
      <c r="C3533" s="0" t="n">
        <v>14</v>
      </c>
      <c r="D3533" s="0" t="n">
        <v>0</v>
      </c>
      <c r="E3533" s="0" t="n">
        <f aca="false">VLOOKUP(B3533,'Babblefish-APUMA'!$A$1:$B$86,2)</f>
        <v>90</v>
      </c>
      <c r="F3533" s="0" t="n">
        <f aca="false">IF(C3533&gt;1,IF(C3533&lt;99,VLOOKUP(C3533,'Babblefish-APUMA'!$A$1:$B$86,2),C3533),C3533)</f>
        <v>100</v>
      </c>
    </row>
    <row r="3534" customFormat="false" ht="12.75" hidden="false" customHeight="false" outlineLevel="0" collapsed="false">
      <c r="A3534" s="0" t="n">
        <f aca="false">B3534*1000+C3534</f>
        <v>53015</v>
      </c>
      <c r="B3534" s="0" t="n">
        <v>53</v>
      </c>
      <c r="C3534" s="0" t="n">
        <v>15</v>
      </c>
      <c r="D3534" s="0" t="n">
        <v>0</v>
      </c>
      <c r="E3534" s="0" t="n">
        <f aca="false">VLOOKUP(B3534,'Babblefish-APUMA'!$A$1:$B$86,2)</f>
        <v>90</v>
      </c>
      <c r="F3534" s="0" t="n">
        <f aca="false">IF(C3534&gt;1,IF(C3534&lt;99,VLOOKUP(C3534,'Babblefish-APUMA'!$A$1:$B$86,2),C3534),C3534)</f>
        <v>15</v>
      </c>
    </row>
    <row r="3535" customFormat="false" ht="12.75" hidden="false" customHeight="false" outlineLevel="0" collapsed="false">
      <c r="A3535" s="0" t="n">
        <f aca="false">B3535*1000+C3535</f>
        <v>53016</v>
      </c>
      <c r="B3535" s="0" t="n">
        <v>53</v>
      </c>
      <c r="C3535" s="0" t="n">
        <v>16</v>
      </c>
      <c r="D3535" s="0" t="n">
        <v>0</v>
      </c>
      <c r="E3535" s="0" t="n">
        <f aca="false">VLOOKUP(B3535,'Babblefish-APUMA'!$A$1:$B$86,2)</f>
        <v>90</v>
      </c>
      <c r="F3535" s="0" t="n">
        <f aca="false">IF(C3535&gt;1,IF(C3535&lt;99,VLOOKUP(C3535,'Babblefish-APUMA'!$A$1:$B$86,2),C3535),C3535)</f>
        <v>99</v>
      </c>
    </row>
    <row r="3536" customFormat="false" ht="12.75" hidden="false" customHeight="false" outlineLevel="0" collapsed="false">
      <c r="A3536" s="0" t="n">
        <f aca="false">B3536*1000+C3536</f>
        <v>53017</v>
      </c>
      <c r="B3536" s="0" t="n">
        <v>53</v>
      </c>
      <c r="C3536" s="0" t="n">
        <v>17</v>
      </c>
      <c r="D3536" s="0" t="n">
        <v>0</v>
      </c>
      <c r="E3536" s="0" t="n">
        <f aca="false">VLOOKUP(B3536,'Babblefish-APUMA'!$A$1:$B$86,2)</f>
        <v>90</v>
      </c>
      <c r="F3536" s="0" t="n">
        <f aca="false">IF(C3536&gt;1,IF(C3536&lt;99,VLOOKUP(C3536,'Babblefish-APUMA'!$A$1:$B$86,2),C3536),C3536)</f>
        <v>87</v>
      </c>
    </row>
    <row r="3537" customFormat="false" ht="12.75" hidden="false" customHeight="false" outlineLevel="0" collapsed="false">
      <c r="A3537" s="0" t="n">
        <f aca="false">B3537*1000+C3537</f>
        <v>53018</v>
      </c>
      <c r="B3537" s="0" t="n">
        <v>53</v>
      </c>
      <c r="C3537" s="0" t="n">
        <v>18</v>
      </c>
      <c r="D3537" s="0" t="n">
        <v>0</v>
      </c>
      <c r="E3537" s="0" t="n">
        <f aca="false">VLOOKUP(B3537,'Babblefish-APUMA'!$A$1:$B$86,2)</f>
        <v>90</v>
      </c>
      <c r="F3537" s="0" t="n">
        <f aca="false">IF(C3537&gt;1,IF(C3537&lt;99,VLOOKUP(C3537,'Babblefish-APUMA'!$A$1:$B$86,2),C3537),C3537)</f>
        <v>87</v>
      </c>
    </row>
    <row r="3538" customFormat="false" ht="12.75" hidden="false" customHeight="false" outlineLevel="0" collapsed="false">
      <c r="A3538" s="0" t="n">
        <f aca="false">B3538*1000+C3538</f>
        <v>53019</v>
      </c>
      <c r="B3538" s="0" t="n">
        <v>53</v>
      </c>
      <c r="C3538" s="0" t="n">
        <v>19</v>
      </c>
      <c r="D3538" s="0" t="n">
        <v>0</v>
      </c>
      <c r="E3538" s="0" t="n">
        <f aca="false">VLOOKUP(B3538,'Babblefish-APUMA'!$A$1:$B$86,2)</f>
        <v>90</v>
      </c>
      <c r="F3538" s="0" t="n">
        <f aca="false">IF(C3538&gt;1,IF(C3538&lt;99,VLOOKUP(C3538,'Babblefish-APUMA'!$A$1:$B$86,2),C3538),C3538)</f>
        <v>19</v>
      </c>
    </row>
    <row r="3539" customFormat="false" ht="12.75" hidden="false" customHeight="false" outlineLevel="0" collapsed="false">
      <c r="A3539" s="0" t="n">
        <f aca="false">B3539*1000+C3539</f>
        <v>53020</v>
      </c>
      <c r="B3539" s="0" t="n">
        <v>53</v>
      </c>
      <c r="C3539" s="0" t="n">
        <v>20</v>
      </c>
      <c r="D3539" s="0" t="n">
        <v>0</v>
      </c>
      <c r="E3539" s="0" t="n">
        <f aca="false">VLOOKUP(B3539,'Babblefish-APUMA'!$A$1:$B$86,2)</f>
        <v>90</v>
      </c>
      <c r="F3539" s="0" t="n">
        <f aca="false">IF(C3539&gt;1,IF(C3539&lt;99,VLOOKUP(C3539,'Babblefish-APUMA'!$A$1:$B$86,2),C3539),C3539)</f>
        <v>86</v>
      </c>
    </row>
    <row r="3540" customFormat="false" ht="12.75" hidden="false" customHeight="false" outlineLevel="0" collapsed="false">
      <c r="A3540" s="0" t="n">
        <f aca="false">B3540*1000+C3540</f>
        <v>53021</v>
      </c>
      <c r="B3540" s="0" t="n">
        <v>53</v>
      </c>
      <c r="C3540" s="0" t="n">
        <v>21</v>
      </c>
      <c r="D3540" s="0" t="n">
        <v>91</v>
      </c>
      <c r="E3540" s="0" t="n">
        <f aca="false">VLOOKUP(B3540,'Babblefish-APUMA'!$A$1:$B$86,2)</f>
        <v>90</v>
      </c>
      <c r="F3540" s="0" t="n">
        <f aca="false">IF(C3540&gt;1,IF(C3540&lt;99,VLOOKUP(C3540,'Babblefish-APUMA'!$A$1:$B$86,2),C3540),C3540)</f>
        <v>86</v>
      </c>
    </row>
    <row r="3541" customFormat="false" ht="12.75" hidden="false" customHeight="false" outlineLevel="0" collapsed="false">
      <c r="A3541" s="0" t="n">
        <f aca="false">B3541*1000+C3541</f>
        <v>53022</v>
      </c>
      <c r="B3541" s="0" t="n">
        <v>53</v>
      </c>
      <c r="C3541" s="0" t="n">
        <v>22</v>
      </c>
      <c r="D3541" s="0" t="n">
        <v>0</v>
      </c>
      <c r="E3541" s="0" t="n">
        <f aca="false">VLOOKUP(B3541,'Babblefish-APUMA'!$A$1:$B$86,2)</f>
        <v>90</v>
      </c>
      <c r="F3541" s="0" t="n">
        <f aca="false">IF(C3541&gt;1,IF(C3541&lt;99,VLOOKUP(C3541,'Babblefish-APUMA'!$A$1:$B$86,2),C3541),C3541)</f>
        <v>22</v>
      </c>
    </row>
    <row r="3542" customFormat="false" ht="12.75" hidden="false" customHeight="false" outlineLevel="0" collapsed="false">
      <c r="A3542" s="0" t="n">
        <f aca="false">B3542*1000+C3542</f>
        <v>53023</v>
      </c>
      <c r="B3542" s="0" t="n">
        <v>53</v>
      </c>
      <c r="C3542" s="0" t="n">
        <v>23</v>
      </c>
      <c r="D3542" s="0" t="n">
        <v>0</v>
      </c>
      <c r="E3542" s="0" t="n">
        <f aca="false">VLOOKUP(B3542,'Babblefish-APUMA'!$A$1:$B$86,2)</f>
        <v>90</v>
      </c>
      <c r="F3542" s="0" t="n">
        <f aca="false">IF(C3542&gt;1,IF(C3542&lt;99,VLOOKUP(C3542,'Babblefish-APUMA'!$A$1:$B$86,2),C3542),C3542)</f>
        <v>97</v>
      </c>
    </row>
    <row r="3543" customFormat="false" ht="12.75" hidden="false" customHeight="false" outlineLevel="0" collapsed="false">
      <c r="A3543" s="0" t="n">
        <f aca="false">B3543*1000+C3543</f>
        <v>53024</v>
      </c>
      <c r="B3543" s="0" t="n">
        <v>53</v>
      </c>
      <c r="C3543" s="0" t="n">
        <v>24</v>
      </c>
      <c r="D3543" s="0" t="n">
        <v>0</v>
      </c>
      <c r="E3543" s="0" t="n">
        <f aca="false">VLOOKUP(B3543,'Babblefish-APUMA'!$A$1:$B$86,2)</f>
        <v>90</v>
      </c>
      <c r="F3543" s="0" t="n">
        <f aca="false">IF(C3543&gt;1,IF(C3543&lt;99,VLOOKUP(C3543,'Babblefish-APUMA'!$A$1:$B$86,2),C3543),C3543)</f>
        <v>101</v>
      </c>
    </row>
    <row r="3544" customFormat="false" ht="12.75" hidden="false" customHeight="false" outlineLevel="0" collapsed="false">
      <c r="A3544" s="0" t="n">
        <f aca="false">B3544*1000+C3544</f>
        <v>53025</v>
      </c>
      <c r="B3544" s="0" t="n">
        <v>53</v>
      </c>
      <c r="C3544" s="0" t="n">
        <v>25</v>
      </c>
      <c r="D3544" s="0" t="n">
        <v>0</v>
      </c>
      <c r="E3544" s="0" t="n">
        <f aca="false">VLOOKUP(B3544,'Babblefish-APUMA'!$A$1:$B$86,2)</f>
        <v>90</v>
      </c>
      <c r="F3544" s="0" t="n">
        <f aca="false">IF(C3544&gt;1,IF(C3544&lt;99,VLOOKUP(C3544,'Babblefish-APUMA'!$A$1:$B$86,2),C3544),C3544)</f>
        <v>101</v>
      </c>
    </row>
    <row r="3545" customFormat="false" ht="12.75" hidden="false" customHeight="false" outlineLevel="0" collapsed="false">
      <c r="A3545" s="0" t="n">
        <f aca="false">B3545*1000+C3545</f>
        <v>53026</v>
      </c>
      <c r="B3545" s="0" t="n">
        <v>53</v>
      </c>
      <c r="C3545" s="0" t="n">
        <v>26</v>
      </c>
      <c r="D3545" s="0" t="n">
        <v>169</v>
      </c>
      <c r="E3545" s="0" t="n">
        <f aca="false">VLOOKUP(B3545,'Babblefish-APUMA'!$A$1:$B$86,2)</f>
        <v>90</v>
      </c>
      <c r="F3545" s="0" t="n">
        <f aca="false">IF(C3545&gt;1,IF(C3545&lt;99,VLOOKUP(C3545,'Babblefish-APUMA'!$A$1:$B$86,2),C3545),C3545)</f>
        <v>26</v>
      </c>
    </row>
    <row r="3546" customFormat="false" ht="12.75" hidden="false" customHeight="false" outlineLevel="0" collapsed="false">
      <c r="A3546" s="0" t="n">
        <f aca="false">B3546*1000+C3546</f>
        <v>53027</v>
      </c>
      <c r="B3546" s="0" t="n">
        <v>53</v>
      </c>
      <c r="C3546" s="0" t="n">
        <v>27</v>
      </c>
      <c r="D3546" s="0" t="n">
        <v>0</v>
      </c>
      <c r="E3546" s="0" t="n">
        <f aca="false">VLOOKUP(B3546,'Babblefish-APUMA'!$A$1:$B$86,2)</f>
        <v>90</v>
      </c>
      <c r="F3546" s="0" t="n">
        <f aca="false">IF(C3546&gt;1,IF(C3546&lt;99,VLOOKUP(C3546,'Babblefish-APUMA'!$A$1:$B$86,2),C3546),C3546)</f>
        <v>27</v>
      </c>
    </row>
    <row r="3547" customFormat="false" ht="12.75" hidden="false" customHeight="false" outlineLevel="0" collapsed="false">
      <c r="A3547" s="0" t="n">
        <f aca="false">B3547*1000+C3547</f>
        <v>53028</v>
      </c>
      <c r="B3547" s="0" t="n">
        <v>53</v>
      </c>
      <c r="C3547" s="0" t="n">
        <v>28</v>
      </c>
      <c r="D3547" s="0" t="n">
        <v>0</v>
      </c>
      <c r="E3547" s="0" t="n">
        <f aca="false">VLOOKUP(B3547,'Babblefish-APUMA'!$A$1:$B$86,2)</f>
        <v>90</v>
      </c>
      <c r="F3547" s="0" t="n">
        <f aca="false">IF(C3547&gt;1,IF(C3547&lt;99,VLOOKUP(C3547,'Babblefish-APUMA'!$A$1:$B$86,2),C3547),C3547)</f>
        <v>94</v>
      </c>
    </row>
    <row r="3548" customFormat="false" ht="12.75" hidden="false" customHeight="false" outlineLevel="0" collapsed="false">
      <c r="A3548" s="0" t="n">
        <f aca="false">B3548*1000+C3548</f>
        <v>53029</v>
      </c>
      <c r="B3548" s="0" t="n">
        <v>53</v>
      </c>
      <c r="C3548" s="0" t="n">
        <v>29</v>
      </c>
      <c r="D3548" s="0" t="n">
        <v>0</v>
      </c>
      <c r="E3548" s="0" t="n">
        <f aca="false">VLOOKUP(B3548,'Babblefish-APUMA'!$A$1:$B$86,2)</f>
        <v>90</v>
      </c>
      <c r="F3548" s="0" t="n">
        <f aca="false">IF(C3548&gt;1,IF(C3548&lt;99,VLOOKUP(C3548,'Babblefish-APUMA'!$A$1:$B$86,2),C3548),C3548)</f>
        <v>94</v>
      </c>
    </row>
    <row r="3549" customFormat="false" ht="12.75" hidden="false" customHeight="false" outlineLevel="0" collapsed="false">
      <c r="A3549" s="0" t="n">
        <f aca="false">B3549*1000+C3549</f>
        <v>53030</v>
      </c>
      <c r="B3549" s="0" t="n">
        <v>53</v>
      </c>
      <c r="C3549" s="0" t="n">
        <v>30</v>
      </c>
      <c r="D3549" s="0" t="n">
        <v>0</v>
      </c>
      <c r="E3549" s="0" t="n">
        <f aca="false">VLOOKUP(B3549,'Babblefish-APUMA'!$A$1:$B$86,2)</f>
        <v>90</v>
      </c>
      <c r="F3549" s="0" t="n">
        <f aca="false">IF(C3549&gt;1,IF(C3549&lt;99,VLOOKUP(C3549,'Babblefish-APUMA'!$A$1:$B$86,2),C3549),C3549)</f>
        <v>30</v>
      </c>
    </row>
    <row r="3550" customFormat="false" ht="12.75" hidden="false" customHeight="false" outlineLevel="0" collapsed="false">
      <c r="A3550" s="0" t="n">
        <f aca="false">B3550*1000+C3550</f>
        <v>53031</v>
      </c>
      <c r="B3550" s="0" t="n">
        <v>53</v>
      </c>
      <c r="C3550" s="0" t="n">
        <v>31</v>
      </c>
      <c r="D3550" s="0" t="n">
        <v>0</v>
      </c>
      <c r="E3550" s="0" t="n">
        <f aca="false">VLOOKUP(B3550,'Babblefish-APUMA'!$A$1:$B$86,2)</f>
        <v>90</v>
      </c>
      <c r="F3550" s="0" t="n">
        <f aca="false">IF(C3550&gt;1,IF(C3550&lt;99,VLOOKUP(C3550,'Babblefish-APUMA'!$A$1:$B$86,2),C3550),C3550)</f>
        <v>31</v>
      </c>
    </row>
    <row r="3551" customFormat="false" ht="12.75" hidden="false" customHeight="false" outlineLevel="0" collapsed="false">
      <c r="A3551" s="0" t="n">
        <f aca="false">B3551*1000+C3551</f>
        <v>53032</v>
      </c>
      <c r="B3551" s="0" t="n">
        <v>53</v>
      </c>
      <c r="C3551" s="0" t="n">
        <v>32</v>
      </c>
      <c r="D3551" s="0" t="n">
        <v>0</v>
      </c>
      <c r="E3551" s="0" t="n">
        <f aca="false">VLOOKUP(B3551,'Babblefish-APUMA'!$A$1:$B$86,2)</f>
        <v>90</v>
      </c>
      <c r="F3551" s="0" t="n">
        <f aca="false">IF(C3551&gt;1,IF(C3551&lt;99,VLOOKUP(C3551,'Babblefish-APUMA'!$A$1:$B$86,2),C3551),C3551)</f>
        <v>32</v>
      </c>
    </row>
    <row r="3552" customFormat="false" ht="12.75" hidden="false" customHeight="false" outlineLevel="0" collapsed="false">
      <c r="A3552" s="0" t="n">
        <f aca="false">B3552*1000+C3552</f>
        <v>53033</v>
      </c>
      <c r="B3552" s="0" t="n">
        <v>53</v>
      </c>
      <c r="C3552" s="0" t="n">
        <v>33</v>
      </c>
      <c r="D3552" s="0" t="n">
        <v>0</v>
      </c>
      <c r="E3552" s="0" t="n">
        <f aca="false">VLOOKUP(B3552,'Babblefish-APUMA'!$A$1:$B$86,2)</f>
        <v>90</v>
      </c>
      <c r="F3552" s="0" t="n">
        <f aca="false">IF(C3552&gt;1,IF(C3552&lt;99,VLOOKUP(C3552,'Babblefish-APUMA'!$A$1:$B$86,2),C3552),C3552)</f>
        <v>96</v>
      </c>
    </row>
    <row r="3553" customFormat="false" ht="12.75" hidden="false" customHeight="false" outlineLevel="0" collapsed="false">
      <c r="A3553" s="0" t="n">
        <f aca="false">B3553*1000+C3553</f>
        <v>53034</v>
      </c>
      <c r="B3553" s="0" t="n">
        <v>53</v>
      </c>
      <c r="C3553" s="0" t="n">
        <v>34</v>
      </c>
      <c r="D3553" s="0" t="n">
        <v>0</v>
      </c>
      <c r="E3553" s="0" t="n">
        <f aca="false">VLOOKUP(B3553,'Babblefish-APUMA'!$A$1:$B$86,2)</f>
        <v>90</v>
      </c>
      <c r="F3553" s="0" t="n">
        <f aca="false">IF(C3553&gt;1,IF(C3553&lt;99,VLOOKUP(C3553,'Babblefish-APUMA'!$A$1:$B$86,2),C3553),C3553)</f>
        <v>96</v>
      </c>
    </row>
    <row r="3554" customFormat="false" ht="12.75" hidden="false" customHeight="false" outlineLevel="0" collapsed="false">
      <c r="A3554" s="0" t="n">
        <f aca="false">B3554*1000+C3554</f>
        <v>53035</v>
      </c>
      <c r="B3554" s="0" t="n">
        <v>53</v>
      </c>
      <c r="C3554" s="0" t="n">
        <v>35</v>
      </c>
      <c r="D3554" s="0" t="n">
        <v>0</v>
      </c>
      <c r="E3554" s="0" t="n">
        <f aca="false">VLOOKUP(B3554,'Babblefish-APUMA'!$A$1:$B$86,2)</f>
        <v>90</v>
      </c>
      <c r="F3554" s="0" t="n">
        <f aca="false">IF(C3554&gt;1,IF(C3554&lt;99,VLOOKUP(C3554,'Babblefish-APUMA'!$A$1:$B$86,2),C3554),C3554)</f>
        <v>96</v>
      </c>
    </row>
    <row r="3555" customFormat="false" ht="12.75" hidden="false" customHeight="false" outlineLevel="0" collapsed="false">
      <c r="A3555" s="0" t="n">
        <f aca="false">B3555*1000+C3555</f>
        <v>53036</v>
      </c>
      <c r="B3555" s="0" t="n">
        <v>53</v>
      </c>
      <c r="C3555" s="0" t="n">
        <v>36</v>
      </c>
      <c r="D3555" s="0" t="n">
        <v>0</v>
      </c>
      <c r="E3555" s="0" t="n">
        <f aca="false">VLOOKUP(B3555,'Babblefish-APUMA'!$A$1:$B$86,2)</f>
        <v>90</v>
      </c>
      <c r="F3555" s="0" t="n">
        <f aca="false">IF(C3555&gt;1,IF(C3555&lt;99,VLOOKUP(C3555,'Babblefish-APUMA'!$A$1:$B$86,2),C3555),C3555)</f>
        <v>96</v>
      </c>
    </row>
    <row r="3556" customFormat="false" ht="12.75" hidden="false" customHeight="false" outlineLevel="0" collapsed="false">
      <c r="A3556" s="0" t="n">
        <f aca="false">B3556*1000+C3556</f>
        <v>53037</v>
      </c>
      <c r="B3556" s="0" t="n">
        <v>53</v>
      </c>
      <c r="C3556" s="0" t="n">
        <v>37</v>
      </c>
      <c r="D3556" s="0" t="n">
        <v>0</v>
      </c>
      <c r="E3556" s="0" t="n">
        <f aca="false">VLOOKUP(B3556,'Babblefish-APUMA'!$A$1:$B$86,2)</f>
        <v>90</v>
      </c>
      <c r="F3556" s="0" t="n">
        <f aca="false">IF(C3556&gt;1,IF(C3556&lt;99,VLOOKUP(C3556,'Babblefish-APUMA'!$A$1:$B$86,2),C3556),C3556)</f>
        <v>96</v>
      </c>
    </row>
    <row r="3557" customFormat="false" ht="12.75" hidden="false" customHeight="false" outlineLevel="0" collapsed="false">
      <c r="A3557" s="0" t="n">
        <f aca="false">B3557*1000+C3557</f>
        <v>53038</v>
      </c>
      <c r="B3557" s="0" t="n">
        <v>53</v>
      </c>
      <c r="C3557" s="0" t="n">
        <v>38</v>
      </c>
      <c r="D3557" s="0" t="n">
        <v>0</v>
      </c>
      <c r="E3557" s="0" t="n">
        <f aca="false">VLOOKUP(B3557,'Babblefish-APUMA'!$A$1:$B$86,2)</f>
        <v>90</v>
      </c>
      <c r="F3557" s="0" t="n">
        <f aca="false">IF(C3557&gt;1,IF(C3557&lt;99,VLOOKUP(C3557,'Babblefish-APUMA'!$A$1:$B$86,2),C3557),C3557)</f>
        <v>91</v>
      </c>
    </row>
    <row r="3558" customFormat="false" ht="12.75" hidden="false" customHeight="false" outlineLevel="0" collapsed="false">
      <c r="A3558" s="0" t="n">
        <f aca="false">B3558*1000+C3558</f>
        <v>53039</v>
      </c>
      <c r="B3558" s="0" t="n">
        <v>53</v>
      </c>
      <c r="C3558" s="0" t="n">
        <v>39</v>
      </c>
      <c r="D3558" s="0" t="n">
        <v>91</v>
      </c>
      <c r="E3558" s="0" t="n">
        <f aca="false">VLOOKUP(B3558,'Babblefish-APUMA'!$A$1:$B$86,2)</f>
        <v>90</v>
      </c>
      <c r="F3558" s="0" t="n">
        <f aca="false">IF(C3558&gt;1,IF(C3558&lt;99,VLOOKUP(C3558,'Babblefish-APUMA'!$A$1:$B$86,2),C3558),C3558)</f>
        <v>91</v>
      </c>
    </row>
    <row r="3559" customFormat="false" ht="12.75" hidden="false" customHeight="false" outlineLevel="0" collapsed="false">
      <c r="A3559" s="0" t="n">
        <f aca="false">B3559*1000+C3559</f>
        <v>53040</v>
      </c>
      <c r="B3559" s="0" t="n">
        <v>53</v>
      </c>
      <c r="C3559" s="0" t="n">
        <v>40</v>
      </c>
      <c r="D3559" s="0" t="n">
        <v>0</v>
      </c>
      <c r="E3559" s="0" t="n">
        <f aca="false">VLOOKUP(B3559,'Babblefish-APUMA'!$A$1:$B$86,2)</f>
        <v>90</v>
      </c>
      <c r="F3559" s="0" t="n">
        <f aca="false">IF(C3559&gt;1,IF(C3559&lt;99,VLOOKUP(C3559,'Babblefish-APUMA'!$A$1:$B$86,2),C3559),C3559)</f>
        <v>88</v>
      </c>
    </row>
    <row r="3560" customFormat="false" ht="12.75" hidden="false" customHeight="false" outlineLevel="0" collapsed="false">
      <c r="A3560" s="0" t="n">
        <f aca="false">B3560*1000+C3560</f>
        <v>53041</v>
      </c>
      <c r="B3560" s="0" t="n">
        <v>53</v>
      </c>
      <c r="C3560" s="0" t="n">
        <v>41</v>
      </c>
      <c r="D3560" s="0" t="n">
        <v>0</v>
      </c>
      <c r="E3560" s="0" t="n">
        <f aca="false">VLOOKUP(B3560,'Babblefish-APUMA'!$A$1:$B$86,2)</f>
        <v>90</v>
      </c>
      <c r="F3560" s="0" t="n">
        <f aca="false">IF(C3560&gt;1,IF(C3560&lt;99,VLOOKUP(C3560,'Babblefish-APUMA'!$A$1:$B$86,2),C3560),C3560)</f>
        <v>88</v>
      </c>
    </row>
    <row r="3561" customFormat="false" ht="12.75" hidden="false" customHeight="false" outlineLevel="0" collapsed="false">
      <c r="A3561" s="0" t="n">
        <f aca="false">B3561*1000+C3561</f>
        <v>53042</v>
      </c>
      <c r="B3561" s="0" t="n">
        <v>53</v>
      </c>
      <c r="C3561" s="0" t="n">
        <v>42</v>
      </c>
      <c r="D3561" s="0" t="n">
        <v>0</v>
      </c>
      <c r="E3561" s="0" t="n">
        <f aca="false">VLOOKUP(B3561,'Babblefish-APUMA'!$A$1:$B$86,2)</f>
        <v>90</v>
      </c>
      <c r="F3561" s="0" t="n">
        <f aca="false">IF(C3561&gt;1,IF(C3561&lt;99,VLOOKUP(C3561,'Babblefish-APUMA'!$A$1:$B$86,2),C3561),C3561)</f>
        <v>92</v>
      </c>
    </row>
    <row r="3562" customFormat="false" ht="12.75" hidden="false" customHeight="false" outlineLevel="0" collapsed="false">
      <c r="A3562" s="0" t="n">
        <f aca="false">B3562*1000+C3562</f>
        <v>53043</v>
      </c>
      <c r="B3562" s="0" t="n">
        <v>53</v>
      </c>
      <c r="C3562" s="0" t="n">
        <v>43</v>
      </c>
      <c r="D3562" s="0" t="n">
        <v>0</v>
      </c>
      <c r="E3562" s="0" t="n">
        <f aca="false">VLOOKUP(B3562,'Babblefish-APUMA'!$A$1:$B$86,2)</f>
        <v>90</v>
      </c>
      <c r="F3562" s="0" t="n">
        <f aca="false">IF(C3562&gt;1,IF(C3562&lt;99,VLOOKUP(C3562,'Babblefish-APUMA'!$A$1:$B$86,2),C3562),C3562)</f>
        <v>92</v>
      </c>
    </row>
    <row r="3563" customFormat="false" ht="12.75" hidden="false" customHeight="false" outlineLevel="0" collapsed="false">
      <c r="A3563" s="0" t="n">
        <f aca="false">B3563*1000+C3563</f>
        <v>53044</v>
      </c>
      <c r="B3563" s="0" t="n">
        <v>53</v>
      </c>
      <c r="C3563" s="0" t="n">
        <v>44</v>
      </c>
      <c r="D3563" s="0" t="n">
        <v>0</v>
      </c>
      <c r="E3563" s="0" t="n">
        <f aca="false">VLOOKUP(B3563,'Babblefish-APUMA'!$A$1:$B$86,2)</f>
        <v>90</v>
      </c>
      <c r="F3563" s="0" t="n">
        <f aca="false">IF(C3563&gt;1,IF(C3563&lt;99,VLOOKUP(C3563,'Babblefish-APUMA'!$A$1:$B$86,2),C3563),C3563)</f>
        <v>92</v>
      </c>
    </row>
    <row r="3564" customFormat="false" ht="12.75" hidden="false" customHeight="false" outlineLevel="0" collapsed="false">
      <c r="A3564" s="0" t="n">
        <f aca="false">B3564*1000+C3564</f>
        <v>53045</v>
      </c>
      <c r="B3564" s="0" t="n">
        <v>53</v>
      </c>
      <c r="C3564" s="0" t="n">
        <v>45</v>
      </c>
      <c r="D3564" s="0" t="n">
        <v>0</v>
      </c>
      <c r="E3564" s="0" t="n">
        <f aca="false">VLOOKUP(B3564,'Babblefish-APUMA'!$A$1:$B$86,2)</f>
        <v>90</v>
      </c>
      <c r="F3564" s="0" t="n">
        <f aca="false">IF(C3564&gt;1,IF(C3564&lt;99,VLOOKUP(C3564,'Babblefish-APUMA'!$A$1:$B$86,2),C3564),C3564)</f>
        <v>92</v>
      </c>
    </row>
    <row r="3565" customFormat="false" ht="12.75" hidden="false" customHeight="false" outlineLevel="0" collapsed="false">
      <c r="A3565" s="0" t="n">
        <f aca="false">B3565*1000+C3565</f>
        <v>53046</v>
      </c>
      <c r="B3565" s="0" t="n">
        <v>53</v>
      </c>
      <c r="C3565" s="0" t="n">
        <v>46</v>
      </c>
      <c r="D3565" s="0" t="n">
        <v>0</v>
      </c>
      <c r="E3565" s="0" t="n">
        <f aca="false">VLOOKUP(B3565,'Babblefish-APUMA'!$A$1:$B$86,2)</f>
        <v>90</v>
      </c>
      <c r="F3565" s="0" t="n">
        <f aca="false">IF(C3565&gt;1,IF(C3565&lt;99,VLOOKUP(C3565,'Babblefish-APUMA'!$A$1:$B$86,2),C3565),C3565)</f>
        <v>92</v>
      </c>
    </row>
    <row r="3566" customFormat="false" ht="12.75" hidden="false" customHeight="false" outlineLevel="0" collapsed="false">
      <c r="A3566" s="0" t="n">
        <f aca="false">B3566*1000+C3566</f>
        <v>53047</v>
      </c>
      <c r="B3566" s="0" t="n">
        <v>53</v>
      </c>
      <c r="C3566" s="0" t="n">
        <v>47</v>
      </c>
      <c r="D3566" s="0" t="n">
        <v>130</v>
      </c>
      <c r="E3566" s="0" t="n">
        <f aca="false">VLOOKUP(B3566,'Babblefish-APUMA'!$A$1:$B$86,2)</f>
        <v>90</v>
      </c>
      <c r="F3566" s="0" t="n">
        <f aca="false">IF(C3566&gt;1,IF(C3566&lt;99,VLOOKUP(C3566,'Babblefish-APUMA'!$A$1:$B$86,2),C3566),C3566)</f>
        <v>92</v>
      </c>
    </row>
    <row r="3567" customFormat="false" ht="12.75" hidden="false" customHeight="false" outlineLevel="0" collapsed="false">
      <c r="A3567" s="0" t="n">
        <f aca="false">B3567*1000+C3567</f>
        <v>53048</v>
      </c>
      <c r="B3567" s="0" t="n">
        <v>53</v>
      </c>
      <c r="C3567" s="0" t="n">
        <v>48</v>
      </c>
      <c r="D3567" s="0" t="n">
        <v>663</v>
      </c>
      <c r="E3567" s="0" t="n">
        <f aca="false">VLOOKUP(B3567,'Babblefish-APUMA'!$A$1:$B$86,2)</f>
        <v>90</v>
      </c>
      <c r="F3567" s="0" t="n">
        <f aca="false">IF(C3567&gt;1,IF(C3567&lt;99,VLOOKUP(C3567,'Babblefish-APUMA'!$A$1:$B$86,2),C3567),C3567)</f>
        <v>92</v>
      </c>
    </row>
    <row r="3568" customFormat="false" ht="12.75" hidden="false" customHeight="false" outlineLevel="0" collapsed="false">
      <c r="A3568" s="0" t="n">
        <f aca="false">B3568*1000+C3568</f>
        <v>53049</v>
      </c>
      <c r="B3568" s="0" t="n">
        <v>53</v>
      </c>
      <c r="C3568" s="0" t="n">
        <v>49</v>
      </c>
      <c r="D3568" s="0" t="n">
        <v>0</v>
      </c>
      <c r="E3568" s="0" t="n">
        <f aca="false">VLOOKUP(B3568,'Babblefish-APUMA'!$A$1:$B$86,2)</f>
        <v>90</v>
      </c>
      <c r="F3568" s="0" t="n">
        <f aca="false">IF(C3568&gt;1,IF(C3568&lt;99,VLOOKUP(C3568,'Babblefish-APUMA'!$A$1:$B$86,2),C3568),C3568)</f>
        <v>98</v>
      </c>
    </row>
    <row r="3569" customFormat="false" ht="12.75" hidden="false" customHeight="false" outlineLevel="0" collapsed="false">
      <c r="A3569" s="0" t="n">
        <f aca="false">B3569*1000+C3569</f>
        <v>53050</v>
      </c>
      <c r="B3569" s="0" t="n">
        <v>53</v>
      </c>
      <c r="C3569" s="0" t="n">
        <v>50</v>
      </c>
      <c r="D3569" s="0" t="n">
        <v>0</v>
      </c>
      <c r="E3569" s="0" t="n">
        <f aca="false">VLOOKUP(B3569,'Babblefish-APUMA'!$A$1:$B$86,2)</f>
        <v>90</v>
      </c>
      <c r="F3569" s="0" t="n">
        <f aca="false">IF(C3569&gt;1,IF(C3569&lt;99,VLOOKUP(C3569,'Babblefish-APUMA'!$A$1:$B$86,2),C3569),C3569)</f>
        <v>98</v>
      </c>
    </row>
    <row r="3570" customFormat="false" ht="12.75" hidden="false" customHeight="false" outlineLevel="0" collapsed="false">
      <c r="A3570" s="0" t="n">
        <f aca="false">B3570*1000+C3570</f>
        <v>53051</v>
      </c>
      <c r="B3570" s="0" t="n">
        <v>53</v>
      </c>
      <c r="C3570" s="0" t="n">
        <v>51</v>
      </c>
      <c r="D3570" s="0" t="n">
        <v>0</v>
      </c>
      <c r="E3570" s="0" t="n">
        <f aca="false">VLOOKUP(B3570,'Babblefish-APUMA'!$A$1:$B$86,2)</f>
        <v>90</v>
      </c>
      <c r="F3570" s="0" t="n">
        <f aca="false">IF(C3570&gt;1,IF(C3570&lt;99,VLOOKUP(C3570,'Babblefish-APUMA'!$A$1:$B$86,2),C3570),C3570)</f>
        <v>98</v>
      </c>
    </row>
    <row r="3571" customFormat="false" ht="12.75" hidden="false" customHeight="false" outlineLevel="0" collapsed="false">
      <c r="A3571" s="0" t="n">
        <f aca="false">B3571*1000+C3571</f>
        <v>53052</v>
      </c>
      <c r="B3571" s="0" t="n">
        <v>53</v>
      </c>
      <c r="C3571" s="0" t="n">
        <v>52</v>
      </c>
      <c r="D3571" s="0" t="n">
        <v>5876</v>
      </c>
      <c r="E3571" s="0" t="n">
        <f aca="false">VLOOKUP(B3571,'Babblefish-APUMA'!$A$1:$B$86,2)</f>
        <v>90</v>
      </c>
      <c r="F3571" s="0" t="n">
        <f aca="false">IF(C3571&gt;1,IF(C3571&lt;99,VLOOKUP(C3571,'Babblefish-APUMA'!$A$1:$B$86,2),C3571),C3571)</f>
        <v>90</v>
      </c>
    </row>
    <row r="3572" customFormat="false" ht="12.75" hidden="false" customHeight="false" outlineLevel="0" collapsed="false">
      <c r="A3572" s="0" t="n">
        <f aca="false">B3572*1000+C3572</f>
        <v>53053</v>
      </c>
      <c r="B3572" s="0" t="n">
        <v>53</v>
      </c>
      <c r="C3572" s="0" t="n">
        <v>53</v>
      </c>
      <c r="D3572" s="0" t="n">
        <v>26676</v>
      </c>
      <c r="E3572" s="0" t="n">
        <f aca="false">VLOOKUP(B3572,'Babblefish-APUMA'!$A$1:$B$86,2)</f>
        <v>90</v>
      </c>
      <c r="F3572" s="0" t="n">
        <f aca="false">IF(C3572&gt;1,IF(C3572&lt;99,VLOOKUP(C3572,'Babblefish-APUMA'!$A$1:$B$86,2),C3572),C3572)</f>
        <v>90</v>
      </c>
    </row>
    <row r="3573" customFormat="false" ht="12.75" hidden="false" customHeight="false" outlineLevel="0" collapsed="false">
      <c r="A3573" s="0" t="n">
        <f aca="false">B3573*1000+C3573</f>
        <v>53054</v>
      </c>
      <c r="B3573" s="0" t="n">
        <v>53</v>
      </c>
      <c r="C3573" s="0" t="n">
        <v>54</v>
      </c>
      <c r="D3573" s="0" t="n">
        <v>78</v>
      </c>
      <c r="E3573" s="0" t="n">
        <f aca="false">VLOOKUP(B3573,'Babblefish-APUMA'!$A$1:$B$86,2)</f>
        <v>90</v>
      </c>
      <c r="F3573" s="0" t="n">
        <f aca="false">IF(C3573&gt;1,IF(C3573&lt;99,VLOOKUP(C3573,'Babblefish-APUMA'!$A$1:$B$86,2),C3573),C3573)</f>
        <v>90</v>
      </c>
    </row>
    <row r="3574" customFormat="false" ht="12.75" hidden="false" customHeight="false" outlineLevel="0" collapsed="false">
      <c r="A3574" s="0" t="n">
        <f aca="false">B3574*1000+C3574</f>
        <v>53055</v>
      </c>
      <c r="B3574" s="0" t="n">
        <v>53</v>
      </c>
      <c r="C3574" s="0" t="n">
        <v>55</v>
      </c>
      <c r="D3574" s="0" t="n">
        <v>143</v>
      </c>
      <c r="E3574" s="0" t="n">
        <f aca="false">VLOOKUP(B3574,'Babblefish-APUMA'!$A$1:$B$86,2)</f>
        <v>90</v>
      </c>
      <c r="F3574" s="0" t="n">
        <f aca="false">IF(C3574&gt;1,IF(C3574&lt;99,VLOOKUP(C3574,'Babblefish-APUMA'!$A$1:$B$86,2),C3574),C3574)</f>
        <v>90</v>
      </c>
    </row>
    <row r="3575" customFormat="false" ht="12.75" hidden="false" customHeight="false" outlineLevel="0" collapsed="false">
      <c r="A3575" s="0" t="n">
        <f aca="false">B3575*1000+C3575</f>
        <v>53056</v>
      </c>
      <c r="B3575" s="0" t="n">
        <v>53</v>
      </c>
      <c r="C3575" s="0" t="n">
        <v>56</v>
      </c>
      <c r="D3575" s="0" t="n">
        <v>65</v>
      </c>
      <c r="E3575" s="0" t="n">
        <f aca="false">VLOOKUP(B3575,'Babblefish-APUMA'!$A$1:$B$86,2)</f>
        <v>90</v>
      </c>
      <c r="F3575" s="0" t="n">
        <f aca="false">IF(C3575&gt;1,IF(C3575&lt;99,VLOOKUP(C3575,'Babblefish-APUMA'!$A$1:$B$86,2),C3575),C3575)</f>
        <v>90</v>
      </c>
    </row>
    <row r="3576" customFormat="false" ht="12.75" hidden="false" customHeight="false" outlineLevel="0" collapsed="false">
      <c r="A3576" s="0" t="n">
        <f aca="false">B3576*1000+C3576</f>
        <v>53057</v>
      </c>
      <c r="B3576" s="0" t="n">
        <v>53</v>
      </c>
      <c r="C3576" s="0" t="n">
        <v>57</v>
      </c>
      <c r="D3576" s="0" t="n">
        <v>247</v>
      </c>
      <c r="E3576" s="0" t="n">
        <f aca="false">VLOOKUP(B3576,'Babblefish-APUMA'!$A$1:$B$86,2)</f>
        <v>90</v>
      </c>
      <c r="F3576" s="0" t="n">
        <f aca="false">IF(C3576&gt;1,IF(C3576&lt;99,VLOOKUP(C3576,'Babblefish-APUMA'!$A$1:$B$86,2),C3576),C3576)</f>
        <v>90</v>
      </c>
    </row>
    <row r="3577" customFormat="false" ht="12.75" hidden="false" customHeight="false" outlineLevel="0" collapsed="false">
      <c r="A3577" s="0" t="n">
        <f aca="false">B3577*1000+C3577</f>
        <v>53058</v>
      </c>
      <c r="B3577" s="0" t="n">
        <v>53</v>
      </c>
      <c r="C3577" s="0" t="n">
        <v>58</v>
      </c>
      <c r="D3577" s="0" t="n">
        <v>546</v>
      </c>
      <c r="E3577" s="0" t="n">
        <f aca="false">VLOOKUP(B3577,'Babblefish-APUMA'!$A$1:$B$86,2)</f>
        <v>90</v>
      </c>
      <c r="F3577" s="0" t="n">
        <f aca="false">IF(C3577&gt;1,IF(C3577&lt;99,VLOOKUP(C3577,'Babblefish-APUMA'!$A$1:$B$86,2),C3577),C3577)</f>
        <v>90</v>
      </c>
    </row>
    <row r="3578" customFormat="false" ht="12.75" hidden="false" customHeight="false" outlineLevel="0" collapsed="false">
      <c r="A3578" s="0" t="n">
        <f aca="false">B3578*1000+C3578</f>
        <v>53059</v>
      </c>
      <c r="B3578" s="0" t="n">
        <v>53</v>
      </c>
      <c r="C3578" s="0" t="n">
        <v>59</v>
      </c>
      <c r="D3578" s="0" t="n">
        <v>468</v>
      </c>
      <c r="E3578" s="0" t="n">
        <f aca="false">VLOOKUP(B3578,'Babblefish-APUMA'!$A$1:$B$86,2)</f>
        <v>90</v>
      </c>
      <c r="F3578" s="0" t="n">
        <f aca="false">IF(C3578&gt;1,IF(C3578&lt;99,VLOOKUP(C3578,'Babblefish-APUMA'!$A$1:$B$86,2),C3578),C3578)</f>
        <v>90</v>
      </c>
    </row>
    <row r="3579" customFormat="false" ht="12.75" hidden="false" customHeight="false" outlineLevel="0" collapsed="false">
      <c r="A3579" s="0" t="n">
        <f aca="false">B3579*1000+C3579</f>
        <v>53060</v>
      </c>
      <c r="B3579" s="0" t="n">
        <v>53</v>
      </c>
      <c r="C3579" s="0" t="n">
        <v>60</v>
      </c>
      <c r="D3579" s="0" t="n">
        <v>546</v>
      </c>
      <c r="E3579" s="0" t="n">
        <f aca="false">VLOOKUP(B3579,'Babblefish-APUMA'!$A$1:$B$86,2)</f>
        <v>90</v>
      </c>
      <c r="F3579" s="0" t="n">
        <f aca="false">IF(C3579&gt;1,IF(C3579&lt;99,VLOOKUP(C3579,'Babblefish-APUMA'!$A$1:$B$86,2),C3579),C3579)</f>
        <v>90</v>
      </c>
    </row>
    <row r="3580" customFormat="false" ht="12.75" hidden="false" customHeight="false" outlineLevel="0" collapsed="false">
      <c r="A3580" s="0" t="n">
        <f aca="false">B3580*1000+C3580</f>
        <v>53061</v>
      </c>
      <c r="B3580" s="0" t="n">
        <v>53</v>
      </c>
      <c r="C3580" s="0" t="n">
        <v>61</v>
      </c>
      <c r="D3580" s="0" t="n">
        <v>117</v>
      </c>
      <c r="E3580" s="0" t="n">
        <f aca="false">VLOOKUP(B3580,'Babblefish-APUMA'!$A$1:$B$86,2)</f>
        <v>90</v>
      </c>
      <c r="F3580" s="0" t="n">
        <f aca="false">IF(C3580&gt;1,IF(C3580&lt;99,VLOOKUP(C3580,'Babblefish-APUMA'!$A$1:$B$86,2),C3580),C3580)</f>
        <v>90</v>
      </c>
    </row>
    <row r="3581" customFormat="false" ht="12.75" hidden="false" customHeight="false" outlineLevel="0" collapsed="false">
      <c r="A3581" s="0" t="n">
        <f aca="false">B3581*1000+C3581</f>
        <v>53062</v>
      </c>
      <c r="B3581" s="0" t="n">
        <v>53</v>
      </c>
      <c r="C3581" s="0" t="n">
        <v>62</v>
      </c>
      <c r="D3581" s="0" t="n">
        <v>1339</v>
      </c>
      <c r="E3581" s="0" t="n">
        <f aca="false">VLOOKUP(B3581,'Babblefish-APUMA'!$A$1:$B$86,2)</f>
        <v>90</v>
      </c>
      <c r="F3581" s="0" t="n">
        <f aca="false">IF(C3581&gt;1,IF(C3581&lt;99,VLOOKUP(C3581,'Babblefish-APUMA'!$A$1:$B$86,2),C3581),C3581)</f>
        <v>90</v>
      </c>
    </row>
    <row r="3582" customFormat="false" ht="12.75" hidden="false" customHeight="false" outlineLevel="0" collapsed="false">
      <c r="A3582" s="0" t="n">
        <f aca="false">B3582*1000+C3582</f>
        <v>53063</v>
      </c>
      <c r="B3582" s="0" t="n">
        <v>53</v>
      </c>
      <c r="C3582" s="0" t="n">
        <v>63</v>
      </c>
      <c r="D3582" s="0" t="n">
        <v>2626</v>
      </c>
      <c r="E3582" s="0" t="n">
        <f aca="false">VLOOKUP(B3582,'Babblefish-APUMA'!$A$1:$B$86,2)</f>
        <v>90</v>
      </c>
      <c r="F3582" s="0" t="n">
        <f aca="false">IF(C3582&gt;1,IF(C3582&lt;99,VLOOKUP(C3582,'Babblefish-APUMA'!$A$1:$B$86,2),C3582),C3582)</f>
        <v>90</v>
      </c>
    </row>
    <row r="3583" customFormat="false" ht="12.75" hidden="false" customHeight="false" outlineLevel="0" collapsed="false">
      <c r="A3583" s="0" t="n">
        <f aca="false">B3583*1000+C3583</f>
        <v>53064</v>
      </c>
      <c r="B3583" s="0" t="n">
        <v>53</v>
      </c>
      <c r="C3583" s="0" t="n">
        <v>64</v>
      </c>
      <c r="D3583" s="0" t="n">
        <v>10205</v>
      </c>
      <c r="E3583" s="0" t="n">
        <f aca="false">VLOOKUP(B3583,'Babblefish-APUMA'!$A$1:$B$86,2)</f>
        <v>90</v>
      </c>
      <c r="F3583" s="0" t="n">
        <f aca="false">IF(C3583&gt;1,IF(C3583&lt;99,VLOOKUP(C3583,'Babblefish-APUMA'!$A$1:$B$86,2),C3583),C3583)</f>
        <v>90</v>
      </c>
    </row>
    <row r="3584" customFormat="false" ht="12.75" hidden="false" customHeight="false" outlineLevel="0" collapsed="false">
      <c r="A3584" s="0" t="n">
        <f aca="false">B3584*1000+C3584</f>
        <v>53065</v>
      </c>
      <c r="B3584" s="0" t="n">
        <v>53</v>
      </c>
      <c r="C3584" s="0" t="n">
        <v>65</v>
      </c>
      <c r="D3584" s="0" t="n">
        <v>32175</v>
      </c>
      <c r="E3584" s="0" t="n">
        <f aca="false">VLOOKUP(B3584,'Babblefish-APUMA'!$A$1:$B$86,2)</f>
        <v>90</v>
      </c>
      <c r="F3584" s="0" t="n">
        <f aca="false">IF(C3584&gt;1,IF(C3584&lt;99,VLOOKUP(C3584,'Babblefish-APUMA'!$A$1:$B$86,2),C3584),C3584)</f>
        <v>90</v>
      </c>
    </row>
    <row r="3585" customFormat="false" ht="12.75" hidden="false" customHeight="false" outlineLevel="0" collapsed="false">
      <c r="A3585" s="0" t="n">
        <f aca="false">B3585*1000+C3585</f>
        <v>53066</v>
      </c>
      <c r="B3585" s="0" t="n">
        <v>53</v>
      </c>
      <c r="C3585" s="0" t="n">
        <v>66</v>
      </c>
      <c r="D3585" s="0" t="n">
        <v>611</v>
      </c>
      <c r="E3585" s="0" t="n">
        <f aca="false">VLOOKUP(B3585,'Babblefish-APUMA'!$A$1:$B$86,2)</f>
        <v>90</v>
      </c>
      <c r="F3585" s="0" t="n">
        <f aca="false">IF(C3585&gt;1,IF(C3585&lt;99,VLOOKUP(C3585,'Babblefish-APUMA'!$A$1:$B$86,2),C3585),C3585)</f>
        <v>90</v>
      </c>
    </row>
    <row r="3586" customFormat="false" ht="12.75" hidden="false" customHeight="false" outlineLevel="0" collapsed="false">
      <c r="A3586" s="0" t="n">
        <f aca="false">B3586*1000+C3586</f>
        <v>53067</v>
      </c>
      <c r="B3586" s="0" t="n">
        <v>53</v>
      </c>
      <c r="C3586" s="0" t="n">
        <v>67</v>
      </c>
      <c r="D3586" s="0" t="n">
        <v>156</v>
      </c>
      <c r="E3586" s="0" t="n">
        <f aca="false">VLOOKUP(B3586,'Babblefish-APUMA'!$A$1:$B$86,2)</f>
        <v>90</v>
      </c>
      <c r="F3586" s="0" t="n">
        <f aca="false">IF(C3586&gt;1,IF(C3586&lt;99,VLOOKUP(C3586,'Babblefish-APUMA'!$A$1:$B$86,2),C3586),C3586)</f>
        <v>103</v>
      </c>
    </row>
    <row r="3587" customFormat="false" ht="12.75" hidden="false" customHeight="false" outlineLevel="0" collapsed="false">
      <c r="A3587" s="0" t="n">
        <f aca="false">B3587*1000+C3587</f>
        <v>53068</v>
      </c>
      <c r="B3587" s="0" t="n">
        <v>53</v>
      </c>
      <c r="C3587" s="0" t="n">
        <v>68</v>
      </c>
      <c r="D3587" s="0" t="n">
        <v>0</v>
      </c>
      <c r="E3587" s="0" t="n">
        <f aca="false">VLOOKUP(B3587,'Babblefish-APUMA'!$A$1:$B$86,2)</f>
        <v>90</v>
      </c>
      <c r="F3587" s="0" t="n">
        <f aca="false">IF(C3587&gt;1,IF(C3587&lt;99,VLOOKUP(C3587,'Babblefish-APUMA'!$A$1:$B$86,2),C3587),C3587)</f>
        <v>93</v>
      </c>
    </row>
    <row r="3588" customFormat="false" ht="12.75" hidden="false" customHeight="false" outlineLevel="0" collapsed="false">
      <c r="A3588" s="0" t="n">
        <f aca="false">B3588*1000+C3588</f>
        <v>53069</v>
      </c>
      <c r="B3588" s="0" t="n">
        <v>53</v>
      </c>
      <c r="C3588" s="0" t="n">
        <v>69</v>
      </c>
      <c r="D3588" s="0" t="n">
        <v>0</v>
      </c>
      <c r="E3588" s="0" t="n">
        <f aca="false">VLOOKUP(B3588,'Babblefish-APUMA'!$A$1:$B$86,2)</f>
        <v>90</v>
      </c>
      <c r="F3588" s="0" t="n">
        <f aca="false">IF(C3588&gt;1,IF(C3588&lt;99,VLOOKUP(C3588,'Babblefish-APUMA'!$A$1:$B$86,2),C3588),C3588)</f>
        <v>93</v>
      </c>
    </row>
    <row r="3589" customFormat="false" ht="12.75" hidden="false" customHeight="false" outlineLevel="0" collapsed="false">
      <c r="A3589" s="0" t="n">
        <f aca="false">B3589*1000+C3589</f>
        <v>53070</v>
      </c>
      <c r="B3589" s="0" t="n">
        <v>53</v>
      </c>
      <c r="C3589" s="0" t="n">
        <v>70</v>
      </c>
      <c r="D3589" s="0" t="n">
        <v>0</v>
      </c>
      <c r="E3589" s="0" t="n">
        <f aca="false">VLOOKUP(B3589,'Babblefish-APUMA'!$A$1:$B$86,2)</f>
        <v>90</v>
      </c>
      <c r="F3589" s="0" t="n">
        <f aca="false">IF(C3589&gt;1,IF(C3589&lt;99,VLOOKUP(C3589,'Babblefish-APUMA'!$A$1:$B$86,2),C3589),C3589)</f>
        <v>95</v>
      </c>
    </row>
    <row r="3590" customFormat="false" ht="12.75" hidden="false" customHeight="false" outlineLevel="0" collapsed="false">
      <c r="A3590" s="0" t="n">
        <f aca="false">B3590*1000+C3590</f>
        <v>53071</v>
      </c>
      <c r="B3590" s="0" t="n">
        <v>53</v>
      </c>
      <c r="C3590" s="0" t="n">
        <v>71</v>
      </c>
      <c r="D3590" s="0" t="n">
        <v>0</v>
      </c>
      <c r="E3590" s="0" t="n">
        <f aca="false">VLOOKUP(B3590,'Babblefish-APUMA'!$A$1:$B$86,2)</f>
        <v>90</v>
      </c>
      <c r="F3590" s="0" t="n">
        <f aca="false">IF(C3590&gt;1,IF(C3590&lt;99,VLOOKUP(C3590,'Babblefish-APUMA'!$A$1:$B$86,2),C3590),C3590)</f>
        <v>95</v>
      </c>
    </row>
    <row r="3591" customFormat="false" ht="12.75" hidden="false" customHeight="false" outlineLevel="0" collapsed="false">
      <c r="A3591" s="0" t="n">
        <f aca="false">B3591*1000+C3591</f>
        <v>53072</v>
      </c>
      <c r="B3591" s="0" t="n">
        <v>53</v>
      </c>
      <c r="C3591" s="0" t="n">
        <v>72</v>
      </c>
      <c r="D3591" s="0" t="n">
        <v>0</v>
      </c>
      <c r="E3591" s="0" t="n">
        <f aca="false">VLOOKUP(B3591,'Babblefish-APUMA'!$A$1:$B$86,2)</f>
        <v>90</v>
      </c>
      <c r="F3591" s="0" t="n">
        <f aca="false">IF(C3591&gt;1,IF(C3591&lt;99,VLOOKUP(C3591,'Babblefish-APUMA'!$A$1:$B$86,2),C3591),C3591)</f>
        <v>95</v>
      </c>
    </row>
    <row r="3592" customFormat="false" ht="12.75" hidden="false" customHeight="false" outlineLevel="0" collapsed="false">
      <c r="A3592" s="0" t="n">
        <f aca="false">B3592*1000+C3592</f>
        <v>53073</v>
      </c>
      <c r="B3592" s="0" t="n">
        <v>53</v>
      </c>
      <c r="C3592" s="0" t="n">
        <v>73</v>
      </c>
      <c r="D3592" s="0" t="n">
        <v>0</v>
      </c>
      <c r="E3592" s="0" t="n">
        <f aca="false">VLOOKUP(B3592,'Babblefish-APUMA'!$A$1:$B$86,2)</f>
        <v>90</v>
      </c>
      <c r="F3592" s="0" t="n">
        <f aca="false">IF(C3592&gt;1,IF(C3592&lt;99,VLOOKUP(C3592,'Babblefish-APUMA'!$A$1:$B$86,2),C3592),C3592)</f>
        <v>99</v>
      </c>
    </row>
    <row r="3593" customFormat="false" ht="12.75" hidden="false" customHeight="false" outlineLevel="0" collapsed="false">
      <c r="A3593" s="0" t="n">
        <f aca="false">B3593*1000+C3593</f>
        <v>53075</v>
      </c>
      <c r="B3593" s="0" t="n">
        <v>53</v>
      </c>
      <c r="C3593" s="0" t="n">
        <v>75</v>
      </c>
      <c r="D3593" s="0" t="n">
        <v>0</v>
      </c>
      <c r="E3593" s="0" t="n">
        <f aca="false">VLOOKUP(B3593,'Babblefish-APUMA'!$A$1:$B$86,2)</f>
        <v>90</v>
      </c>
      <c r="F3593" s="0" t="n">
        <f aca="false">IF(C3593&gt;1,IF(C3593&lt;99,VLOOKUP(C3593,'Babblefish-APUMA'!$A$1:$B$86,2),C3593),C3593)</f>
        <v>75</v>
      </c>
    </row>
    <row r="3594" customFormat="false" ht="12.75" hidden="false" customHeight="false" outlineLevel="0" collapsed="false">
      <c r="A3594" s="0" t="n">
        <f aca="false">B3594*1000+C3594</f>
        <v>53076</v>
      </c>
      <c r="B3594" s="0" t="n">
        <v>53</v>
      </c>
      <c r="C3594" s="0" t="n">
        <v>76</v>
      </c>
      <c r="D3594" s="0" t="n">
        <v>0</v>
      </c>
      <c r="E3594" s="0" t="n">
        <f aca="false">VLOOKUP(B3594,'Babblefish-APUMA'!$A$1:$B$86,2)</f>
        <v>90</v>
      </c>
      <c r="F3594" s="0" t="n">
        <f aca="false">IF(C3594&gt;1,IF(C3594&lt;99,VLOOKUP(C3594,'Babblefish-APUMA'!$A$1:$B$86,2),C3594),C3594)</f>
        <v>76</v>
      </c>
    </row>
    <row r="3595" customFormat="false" ht="12.75" hidden="false" customHeight="false" outlineLevel="0" collapsed="false">
      <c r="A3595" s="0" t="n">
        <f aca="false">B3595*1000+C3595</f>
        <v>53077</v>
      </c>
      <c r="B3595" s="0" t="n">
        <v>53</v>
      </c>
      <c r="C3595" s="0" t="n">
        <v>77</v>
      </c>
      <c r="D3595" s="0" t="n">
        <v>0</v>
      </c>
      <c r="E3595" s="0" t="n">
        <f aca="false">VLOOKUP(B3595,'Babblefish-APUMA'!$A$1:$B$86,2)</f>
        <v>90</v>
      </c>
      <c r="F3595" s="0" t="n">
        <f aca="false">IF(C3595&gt;1,IF(C3595&lt;99,VLOOKUP(C3595,'Babblefish-APUMA'!$A$1:$B$86,2),C3595),C3595)</f>
        <v>77</v>
      </c>
    </row>
    <row r="3596" customFormat="false" ht="12.75" hidden="false" customHeight="false" outlineLevel="0" collapsed="false">
      <c r="A3596" s="0" t="n">
        <f aca="false">B3596*1000+C3596</f>
        <v>53078</v>
      </c>
      <c r="B3596" s="0" t="n">
        <v>53</v>
      </c>
      <c r="C3596" s="0" t="n">
        <v>78</v>
      </c>
      <c r="D3596" s="0" t="n">
        <v>0</v>
      </c>
      <c r="E3596" s="0" t="n">
        <f aca="false">VLOOKUP(B3596,'Babblefish-APUMA'!$A$1:$B$86,2)</f>
        <v>90</v>
      </c>
      <c r="F3596" s="0" t="n">
        <f aca="false">IF(C3596&gt;1,IF(C3596&lt;99,VLOOKUP(C3596,'Babblefish-APUMA'!$A$1:$B$86,2),C3596),C3596)</f>
        <v>89</v>
      </c>
    </row>
    <row r="3597" customFormat="false" ht="12.75" hidden="false" customHeight="false" outlineLevel="0" collapsed="false">
      <c r="A3597" s="0" t="n">
        <f aca="false">B3597*1000+C3597</f>
        <v>53079</v>
      </c>
      <c r="B3597" s="0" t="n">
        <v>53</v>
      </c>
      <c r="C3597" s="0" t="n">
        <v>79</v>
      </c>
      <c r="D3597" s="0" t="n">
        <v>0</v>
      </c>
      <c r="E3597" s="0" t="n">
        <f aca="false">VLOOKUP(B3597,'Babblefish-APUMA'!$A$1:$B$86,2)</f>
        <v>90</v>
      </c>
      <c r="F3597" s="0" t="n">
        <f aca="false">IF(C3597&gt;1,IF(C3597&lt;99,VLOOKUP(C3597,'Babblefish-APUMA'!$A$1:$B$86,2),C3597),C3597)</f>
        <v>89</v>
      </c>
    </row>
    <row r="3598" customFormat="false" ht="12.75" hidden="false" customHeight="false" outlineLevel="0" collapsed="false">
      <c r="A3598" s="0" t="n">
        <f aca="false">B3598*1000+C3598</f>
        <v>53080</v>
      </c>
      <c r="B3598" s="0" t="n">
        <v>53</v>
      </c>
      <c r="C3598" s="0" t="n">
        <v>80</v>
      </c>
      <c r="D3598" s="0" t="n">
        <v>0</v>
      </c>
      <c r="E3598" s="0" t="n">
        <f aca="false">VLOOKUP(B3598,'Babblefish-APUMA'!$A$1:$B$86,2)</f>
        <v>90</v>
      </c>
      <c r="F3598" s="0" t="n">
        <f aca="false">IF(C3598&gt;1,IF(C3598&lt;99,VLOOKUP(C3598,'Babblefish-APUMA'!$A$1:$B$86,2),C3598),C3598)</f>
        <v>80</v>
      </c>
    </row>
    <row r="3599" customFormat="false" ht="12.75" hidden="false" customHeight="false" outlineLevel="0" collapsed="false">
      <c r="A3599" s="0" t="n">
        <f aca="false">B3599*1000+C3599</f>
        <v>53081</v>
      </c>
      <c r="B3599" s="0" t="n">
        <v>53</v>
      </c>
      <c r="C3599" s="0" t="n">
        <v>81</v>
      </c>
      <c r="D3599" s="0" t="n">
        <v>0</v>
      </c>
      <c r="E3599" s="0" t="n">
        <f aca="false">VLOOKUP(B3599,'Babblefish-APUMA'!$A$1:$B$86,2)</f>
        <v>90</v>
      </c>
      <c r="F3599" s="0" t="n">
        <f aca="false">IF(C3599&gt;1,IF(C3599&lt;99,VLOOKUP(C3599,'Babblefish-APUMA'!$A$1:$B$86,2),C3599),C3599)</f>
        <v>93</v>
      </c>
    </row>
    <row r="3600" customFormat="false" ht="12.75" hidden="false" customHeight="false" outlineLevel="0" collapsed="false">
      <c r="A3600" s="0" t="n">
        <f aca="false">B3600*1000+C3600</f>
        <v>53082</v>
      </c>
      <c r="B3600" s="0" t="n">
        <v>53</v>
      </c>
      <c r="C3600" s="0" t="n">
        <v>82</v>
      </c>
      <c r="D3600" s="0" t="n">
        <v>0</v>
      </c>
      <c r="E3600" s="0" t="n">
        <f aca="false">VLOOKUP(B3600,'Babblefish-APUMA'!$A$1:$B$86,2)</f>
        <v>90</v>
      </c>
      <c r="F3600" s="0" t="n">
        <f aca="false">IF(C3600&gt;1,IF(C3600&lt;99,VLOOKUP(C3600,'Babblefish-APUMA'!$A$1:$B$86,2),C3600),C3600)</f>
        <v>95</v>
      </c>
    </row>
    <row r="3601" customFormat="false" ht="12.75" hidden="false" customHeight="false" outlineLevel="0" collapsed="false">
      <c r="A3601" s="0" t="n">
        <f aca="false">B3601*1000+C3601</f>
        <v>53083</v>
      </c>
      <c r="B3601" s="0" t="n">
        <v>53</v>
      </c>
      <c r="C3601" s="0" t="n">
        <v>83</v>
      </c>
      <c r="D3601" s="0" t="n">
        <v>0</v>
      </c>
      <c r="E3601" s="0" t="n">
        <f aca="false">VLOOKUP(B3601,'Babblefish-APUMA'!$A$1:$B$86,2)</f>
        <v>90</v>
      </c>
      <c r="F3601" s="0" t="n">
        <f aca="false">IF(C3601&gt;1,IF(C3601&lt;99,VLOOKUP(C3601,'Babblefish-APUMA'!$A$1:$B$86,2),C3601),C3601)</f>
        <v>103</v>
      </c>
    </row>
    <row r="3602" customFormat="false" ht="12.75" hidden="false" customHeight="false" outlineLevel="0" collapsed="false">
      <c r="A3602" s="0" t="n">
        <f aca="false">B3602*1000+C3602</f>
        <v>53084</v>
      </c>
      <c r="B3602" s="0" t="n">
        <v>53</v>
      </c>
      <c r="C3602" s="0" t="n">
        <v>84</v>
      </c>
      <c r="D3602" s="0" t="n">
        <v>104</v>
      </c>
      <c r="E3602" s="0" t="n">
        <f aca="false">VLOOKUP(B3602,'Babblefish-APUMA'!$A$1:$B$86,2)</f>
        <v>90</v>
      </c>
      <c r="F3602" s="0" t="n">
        <f aca="false">IF(C3602&gt;1,IF(C3602&lt;99,VLOOKUP(C3602,'Babblefish-APUMA'!$A$1:$B$86,2),C3602),C3602)</f>
        <v>92</v>
      </c>
    </row>
    <row r="3603" customFormat="false" ht="12.75" hidden="false" customHeight="false" outlineLevel="0" collapsed="false">
      <c r="A3603" s="0" t="n">
        <f aca="false">B3603*1000+C3603</f>
        <v>53085</v>
      </c>
      <c r="B3603" s="0" t="n">
        <v>53</v>
      </c>
      <c r="C3603" s="0" t="n">
        <v>85</v>
      </c>
      <c r="D3603" s="0" t="n">
        <v>0</v>
      </c>
      <c r="E3603" s="0" t="n">
        <f aca="false">VLOOKUP(B3603,'Babblefish-APUMA'!$A$1:$B$86,2)</f>
        <v>90</v>
      </c>
      <c r="F3603" s="0" t="n">
        <f aca="false">IF(C3603&gt;1,IF(C3603&lt;99,VLOOKUP(C3603,'Babblefish-APUMA'!$A$1:$B$86,2),C3603),C3603)</f>
        <v>97</v>
      </c>
    </row>
    <row r="3604" customFormat="false" ht="12.75" hidden="false" customHeight="false" outlineLevel="0" collapsed="false">
      <c r="A3604" s="0" t="n">
        <f aca="false">B3604*1000+C3604</f>
        <v>53858</v>
      </c>
      <c r="B3604" s="0" t="n">
        <v>53</v>
      </c>
      <c r="C3604" s="0" t="n">
        <v>858</v>
      </c>
      <c r="D3604" s="0" t="n">
        <v>0</v>
      </c>
      <c r="E3604" s="0" t="n">
        <f aca="false">VLOOKUP(B3604,'Babblefish-APUMA'!$A$1:$B$86,2)</f>
        <v>90</v>
      </c>
      <c r="F3604" s="0" t="n">
        <f aca="false">IF(C3604&gt;1,IF(C3604&lt;99,VLOOKUP(C3604,'Babblefish-APUMA'!$A$1:$B$86,2),C3604),C3604)</f>
        <v>858</v>
      </c>
    </row>
    <row r="3605" customFormat="false" ht="12.75" hidden="false" customHeight="false" outlineLevel="0" collapsed="false">
      <c r="A3605" s="0" t="n">
        <f aca="false">B3605*1000+C3605</f>
        <v>53983</v>
      </c>
      <c r="B3605" s="0" t="n">
        <v>53</v>
      </c>
      <c r="C3605" s="0" t="n">
        <v>983</v>
      </c>
      <c r="D3605" s="0" t="n">
        <v>0</v>
      </c>
      <c r="E3605" s="0" t="n">
        <f aca="false">VLOOKUP(B3605,'Babblefish-APUMA'!$A$1:$B$86,2)</f>
        <v>90</v>
      </c>
      <c r="F3605" s="0" t="n">
        <f aca="false">IF(C3605&gt;1,IF(C3605&lt;99,VLOOKUP(C3605,'Babblefish-APUMA'!$A$1:$B$86,2),C3605),C3605)</f>
        <v>983</v>
      </c>
    </row>
    <row r="3606" customFormat="false" ht="12.75" hidden="false" customHeight="false" outlineLevel="0" collapsed="false">
      <c r="A3606" s="0" t="n">
        <f aca="false">B3606*1000+C3606</f>
        <v>53999</v>
      </c>
      <c r="B3606" s="0" t="n">
        <v>53</v>
      </c>
      <c r="C3606" s="0" t="n">
        <v>999</v>
      </c>
      <c r="D3606" s="0" t="n">
        <v>0</v>
      </c>
      <c r="E3606" s="0" t="n">
        <f aca="false">VLOOKUP(B3606,'Babblefish-APUMA'!$A$1:$B$86,2)</f>
        <v>90</v>
      </c>
      <c r="F3606" s="0" t="n">
        <f aca="false">IF(C3606&gt;1,IF(C3606&lt;99,VLOOKUP(C3606,'Babblefish-APUMA'!$A$1:$B$86,2),C3606),C3606)</f>
        <v>999</v>
      </c>
    </row>
    <row r="3607" customFormat="false" ht="12.75" hidden="false" customHeight="false" outlineLevel="0" collapsed="false">
      <c r="A3607" s="0" t="n">
        <f aca="false">B3607*1000+C3607</f>
        <v>54000</v>
      </c>
      <c r="B3607" s="0" t="n">
        <v>54</v>
      </c>
      <c r="C3607" s="0" t="n">
        <v>0</v>
      </c>
      <c r="D3607" s="0" t="n">
        <v>66378</v>
      </c>
      <c r="E3607" s="0" t="n">
        <f aca="false">VLOOKUP(B3607,'Babblefish-APUMA'!$A$1:$B$86,2)</f>
        <v>90</v>
      </c>
      <c r="F3607" s="0" t="n">
        <f aca="false">IF(C3607&gt;1,IF(C3607&lt;99,VLOOKUP(C3607,'Babblefish-APUMA'!$A$1:$B$86,2),C3607),C3607)</f>
        <v>0</v>
      </c>
    </row>
    <row r="3608" customFormat="false" ht="12.75" hidden="false" customHeight="false" outlineLevel="0" collapsed="false">
      <c r="A3608" s="0" t="n">
        <f aca="false">B3608*1000+C3608</f>
        <v>54001</v>
      </c>
      <c r="B3608" s="0" t="n">
        <v>54</v>
      </c>
      <c r="C3608" s="0" t="n">
        <v>1</v>
      </c>
      <c r="D3608" s="0" t="n">
        <v>0</v>
      </c>
      <c r="E3608" s="0" t="n">
        <f aca="false">VLOOKUP(B3608,'Babblefish-APUMA'!$A$1:$B$86,2)</f>
        <v>90</v>
      </c>
      <c r="F3608" s="0" t="n">
        <f aca="false">IF(C3608&gt;1,IF(C3608&lt;99,VLOOKUP(C3608,'Babblefish-APUMA'!$A$1:$B$86,2),C3608),C3608)</f>
        <v>1</v>
      </c>
    </row>
    <row r="3609" customFormat="false" ht="12.75" hidden="false" customHeight="false" outlineLevel="0" collapsed="false">
      <c r="A3609" s="0" t="n">
        <f aca="false">B3609*1000+C3609</f>
        <v>54002</v>
      </c>
      <c r="B3609" s="0" t="n">
        <v>54</v>
      </c>
      <c r="C3609" s="0" t="n">
        <v>2</v>
      </c>
      <c r="D3609" s="0" t="n">
        <v>0</v>
      </c>
      <c r="E3609" s="0" t="n">
        <f aca="false">VLOOKUP(B3609,'Babblefish-APUMA'!$A$1:$B$86,2)</f>
        <v>90</v>
      </c>
      <c r="F3609" s="0" t="n">
        <f aca="false">IF(C3609&gt;1,IF(C3609&lt;99,VLOOKUP(C3609,'Babblefish-APUMA'!$A$1:$B$86,2),C3609),C3609)</f>
        <v>2</v>
      </c>
    </row>
    <row r="3610" customFormat="false" ht="12.75" hidden="false" customHeight="false" outlineLevel="0" collapsed="false">
      <c r="A3610" s="0" t="n">
        <f aca="false">B3610*1000+C3610</f>
        <v>54003</v>
      </c>
      <c r="B3610" s="0" t="n">
        <v>54</v>
      </c>
      <c r="C3610" s="0" t="n">
        <v>3</v>
      </c>
      <c r="D3610" s="0" t="n">
        <v>0</v>
      </c>
      <c r="E3610" s="0" t="n">
        <f aca="false">VLOOKUP(B3610,'Babblefish-APUMA'!$A$1:$B$86,2)</f>
        <v>90</v>
      </c>
      <c r="F3610" s="0" t="n">
        <f aca="false">IF(C3610&gt;1,IF(C3610&lt;99,VLOOKUP(C3610,'Babblefish-APUMA'!$A$1:$B$86,2),C3610),C3610)</f>
        <v>3</v>
      </c>
    </row>
    <row r="3611" customFormat="false" ht="12.75" hidden="false" customHeight="false" outlineLevel="0" collapsed="false">
      <c r="A3611" s="0" t="n">
        <f aca="false">B3611*1000+C3611</f>
        <v>54004</v>
      </c>
      <c r="B3611" s="0" t="n">
        <v>54</v>
      </c>
      <c r="C3611" s="0" t="n">
        <v>4</v>
      </c>
      <c r="D3611" s="0" t="n">
        <v>0</v>
      </c>
      <c r="E3611" s="0" t="n">
        <f aca="false">VLOOKUP(B3611,'Babblefish-APUMA'!$A$1:$B$86,2)</f>
        <v>90</v>
      </c>
      <c r="F3611" s="0" t="n">
        <f aca="false">IF(C3611&gt;1,IF(C3611&lt;99,VLOOKUP(C3611,'Babblefish-APUMA'!$A$1:$B$86,2),C3611),C3611)</f>
        <v>4</v>
      </c>
    </row>
    <row r="3612" customFormat="false" ht="12.75" hidden="false" customHeight="false" outlineLevel="0" collapsed="false">
      <c r="A3612" s="0" t="n">
        <f aca="false">B3612*1000+C3612</f>
        <v>54005</v>
      </c>
      <c r="B3612" s="0" t="n">
        <v>54</v>
      </c>
      <c r="C3612" s="0" t="n">
        <v>5</v>
      </c>
      <c r="D3612" s="0" t="n">
        <v>0</v>
      </c>
      <c r="E3612" s="0" t="n">
        <f aca="false">VLOOKUP(B3612,'Babblefish-APUMA'!$A$1:$B$86,2)</f>
        <v>90</v>
      </c>
      <c r="F3612" s="0" t="n">
        <f aca="false">IF(C3612&gt;1,IF(C3612&lt;99,VLOOKUP(C3612,'Babblefish-APUMA'!$A$1:$B$86,2),C3612),C3612)</f>
        <v>5</v>
      </c>
    </row>
    <row r="3613" customFormat="false" ht="12.75" hidden="false" customHeight="false" outlineLevel="0" collapsed="false">
      <c r="A3613" s="0" t="n">
        <f aca="false">B3613*1000+C3613</f>
        <v>54006</v>
      </c>
      <c r="B3613" s="0" t="n">
        <v>54</v>
      </c>
      <c r="C3613" s="0" t="n">
        <v>6</v>
      </c>
      <c r="D3613" s="0" t="n">
        <v>0</v>
      </c>
      <c r="E3613" s="0" t="n">
        <f aca="false">VLOOKUP(B3613,'Babblefish-APUMA'!$A$1:$B$86,2)</f>
        <v>90</v>
      </c>
      <c r="F3613" s="0" t="n">
        <f aca="false">IF(C3613&gt;1,IF(C3613&lt;99,VLOOKUP(C3613,'Babblefish-APUMA'!$A$1:$B$86,2),C3613),C3613)</f>
        <v>6</v>
      </c>
    </row>
    <row r="3614" customFormat="false" ht="12.75" hidden="false" customHeight="false" outlineLevel="0" collapsed="false">
      <c r="A3614" s="0" t="n">
        <f aca="false">B3614*1000+C3614</f>
        <v>54007</v>
      </c>
      <c r="B3614" s="0" t="n">
        <v>54</v>
      </c>
      <c r="C3614" s="0" t="n">
        <v>7</v>
      </c>
      <c r="D3614" s="0" t="n">
        <v>0</v>
      </c>
      <c r="E3614" s="0" t="n">
        <f aca="false">VLOOKUP(B3614,'Babblefish-APUMA'!$A$1:$B$86,2)</f>
        <v>90</v>
      </c>
      <c r="F3614" s="0" t="n">
        <f aca="false">IF(C3614&gt;1,IF(C3614&lt;99,VLOOKUP(C3614,'Babblefish-APUMA'!$A$1:$B$86,2),C3614),C3614)</f>
        <v>7</v>
      </c>
    </row>
    <row r="3615" customFormat="false" ht="12.75" hidden="false" customHeight="false" outlineLevel="0" collapsed="false">
      <c r="A3615" s="0" t="n">
        <f aca="false">B3615*1000+C3615</f>
        <v>54008</v>
      </c>
      <c r="B3615" s="0" t="n">
        <v>54</v>
      </c>
      <c r="C3615" s="0" t="n">
        <v>8</v>
      </c>
      <c r="D3615" s="0" t="n">
        <v>0</v>
      </c>
      <c r="E3615" s="0" t="n">
        <f aca="false">VLOOKUP(B3615,'Babblefish-APUMA'!$A$1:$B$86,2)</f>
        <v>90</v>
      </c>
      <c r="F3615" s="0" t="n">
        <f aca="false">IF(C3615&gt;1,IF(C3615&lt;99,VLOOKUP(C3615,'Babblefish-APUMA'!$A$1:$B$86,2),C3615),C3615)</f>
        <v>8</v>
      </c>
    </row>
    <row r="3616" customFormat="false" ht="12.75" hidden="false" customHeight="false" outlineLevel="0" collapsed="false">
      <c r="A3616" s="0" t="n">
        <f aca="false">B3616*1000+C3616</f>
        <v>54009</v>
      </c>
      <c r="B3616" s="0" t="n">
        <v>54</v>
      </c>
      <c r="C3616" s="0" t="n">
        <v>9</v>
      </c>
      <c r="D3616" s="0" t="n">
        <v>0</v>
      </c>
      <c r="E3616" s="0" t="n">
        <f aca="false">VLOOKUP(B3616,'Babblefish-APUMA'!$A$1:$B$86,2)</f>
        <v>90</v>
      </c>
      <c r="F3616" s="0" t="n">
        <f aca="false">IF(C3616&gt;1,IF(C3616&lt;99,VLOOKUP(C3616,'Babblefish-APUMA'!$A$1:$B$86,2),C3616),C3616)</f>
        <v>9</v>
      </c>
    </row>
    <row r="3617" customFormat="false" ht="12.75" hidden="false" customHeight="false" outlineLevel="0" collapsed="false">
      <c r="A3617" s="0" t="n">
        <f aca="false">B3617*1000+C3617</f>
        <v>54010</v>
      </c>
      <c r="B3617" s="0" t="n">
        <v>54</v>
      </c>
      <c r="C3617" s="0" t="n">
        <v>10</v>
      </c>
      <c r="D3617" s="0" t="n">
        <v>0</v>
      </c>
      <c r="E3617" s="0" t="n">
        <f aca="false">VLOOKUP(B3617,'Babblefish-APUMA'!$A$1:$B$86,2)</f>
        <v>90</v>
      </c>
      <c r="F3617" s="0" t="n">
        <f aca="false">IF(C3617&gt;1,IF(C3617&lt;99,VLOOKUP(C3617,'Babblefish-APUMA'!$A$1:$B$86,2),C3617),C3617)</f>
        <v>10</v>
      </c>
    </row>
    <row r="3618" customFormat="false" ht="12.75" hidden="false" customHeight="false" outlineLevel="0" collapsed="false">
      <c r="A3618" s="0" t="n">
        <f aca="false">B3618*1000+C3618</f>
        <v>54011</v>
      </c>
      <c r="B3618" s="0" t="n">
        <v>54</v>
      </c>
      <c r="C3618" s="0" t="n">
        <v>11</v>
      </c>
      <c r="D3618" s="0" t="n">
        <v>0</v>
      </c>
      <c r="E3618" s="0" t="n">
        <f aca="false">VLOOKUP(B3618,'Babblefish-APUMA'!$A$1:$B$86,2)</f>
        <v>90</v>
      </c>
      <c r="F3618" s="0" t="n">
        <f aca="false">IF(C3618&gt;1,IF(C3618&lt;99,VLOOKUP(C3618,'Babblefish-APUMA'!$A$1:$B$86,2),C3618),C3618)</f>
        <v>11</v>
      </c>
    </row>
    <row r="3619" customFormat="false" ht="12.75" hidden="false" customHeight="false" outlineLevel="0" collapsed="false">
      <c r="A3619" s="0" t="n">
        <f aca="false">B3619*1000+C3619</f>
        <v>54012</v>
      </c>
      <c r="B3619" s="0" t="n">
        <v>54</v>
      </c>
      <c r="C3619" s="0" t="n">
        <v>12</v>
      </c>
      <c r="D3619" s="0" t="n">
        <v>0</v>
      </c>
      <c r="E3619" s="0" t="n">
        <f aca="false">VLOOKUP(B3619,'Babblefish-APUMA'!$A$1:$B$86,2)</f>
        <v>90</v>
      </c>
      <c r="F3619" s="0" t="n">
        <f aca="false">IF(C3619&gt;1,IF(C3619&lt;99,VLOOKUP(C3619,'Babblefish-APUMA'!$A$1:$B$86,2),C3619),C3619)</f>
        <v>12</v>
      </c>
    </row>
    <row r="3620" customFormat="false" ht="12.75" hidden="false" customHeight="false" outlineLevel="0" collapsed="false">
      <c r="A3620" s="0" t="n">
        <f aca="false">B3620*1000+C3620</f>
        <v>54013</v>
      </c>
      <c r="B3620" s="0" t="n">
        <v>54</v>
      </c>
      <c r="C3620" s="0" t="n">
        <v>13</v>
      </c>
      <c r="D3620" s="0" t="n">
        <v>0</v>
      </c>
      <c r="E3620" s="0" t="n">
        <f aca="false">VLOOKUP(B3620,'Babblefish-APUMA'!$A$1:$B$86,2)</f>
        <v>90</v>
      </c>
      <c r="F3620" s="0" t="n">
        <f aca="false">IF(C3620&gt;1,IF(C3620&lt;99,VLOOKUP(C3620,'Babblefish-APUMA'!$A$1:$B$86,2),C3620),C3620)</f>
        <v>100</v>
      </c>
    </row>
    <row r="3621" customFormat="false" ht="12.75" hidden="false" customHeight="false" outlineLevel="0" collapsed="false">
      <c r="A3621" s="0" t="n">
        <f aca="false">B3621*1000+C3621</f>
        <v>54014</v>
      </c>
      <c r="B3621" s="0" t="n">
        <v>54</v>
      </c>
      <c r="C3621" s="0" t="n">
        <v>14</v>
      </c>
      <c r="D3621" s="0" t="n">
        <v>0</v>
      </c>
      <c r="E3621" s="0" t="n">
        <f aca="false">VLOOKUP(B3621,'Babblefish-APUMA'!$A$1:$B$86,2)</f>
        <v>90</v>
      </c>
      <c r="F3621" s="0" t="n">
        <f aca="false">IF(C3621&gt;1,IF(C3621&lt;99,VLOOKUP(C3621,'Babblefish-APUMA'!$A$1:$B$86,2),C3621),C3621)</f>
        <v>100</v>
      </c>
    </row>
    <row r="3622" customFormat="false" ht="12.75" hidden="false" customHeight="false" outlineLevel="0" collapsed="false">
      <c r="A3622" s="0" t="n">
        <f aca="false">B3622*1000+C3622</f>
        <v>54015</v>
      </c>
      <c r="B3622" s="0" t="n">
        <v>54</v>
      </c>
      <c r="C3622" s="0" t="n">
        <v>15</v>
      </c>
      <c r="D3622" s="0" t="n">
        <v>0</v>
      </c>
      <c r="E3622" s="0" t="n">
        <f aca="false">VLOOKUP(B3622,'Babblefish-APUMA'!$A$1:$B$86,2)</f>
        <v>90</v>
      </c>
      <c r="F3622" s="0" t="n">
        <f aca="false">IF(C3622&gt;1,IF(C3622&lt;99,VLOOKUP(C3622,'Babblefish-APUMA'!$A$1:$B$86,2),C3622),C3622)</f>
        <v>15</v>
      </c>
    </row>
    <row r="3623" customFormat="false" ht="12.75" hidden="false" customHeight="false" outlineLevel="0" collapsed="false">
      <c r="A3623" s="0" t="n">
        <f aca="false">B3623*1000+C3623</f>
        <v>54016</v>
      </c>
      <c r="B3623" s="0" t="n">
        <v>54</v>
      </c>
      <c r="C3623" s="0" t="n">
        <v>16</v>
      </c>
      <c r="D3623" s="0" t="n">
        <v>0</v>
      </c>
      <c r="E3623" s="0" t="n">
        <f aca="false">VLOOKUP(B3623,'Babblefish-APUMA'!$A$1:$B$86,2)</f>
        <v>90</v>
      </c>
      <c r="F3623" s="0" t="n">
        <f aca="false">IF(C3623&gt;1,IF(C3623&lt;99,VLOOKUP(C3623,'Babblefish-APUMA'!$A$1:$B$86,2),C3623),C3623)</f>
        <v>99</v>
      </c>
    </row>
    <row r="3624" customFormat="false" ht="12.75" hidden="false" customHeight="false" outlineLevel="0" collapsed="false">
      <c r="A3624" s="0" t="n">
        <f aca="false">B3624*1000+C3624</f>
        <v>54017</v>
      </c>
      <c r="B3624" s="0" t="n">
        <v>54</v>
      </c>
      <c r="C3624" s="0" t="n">
        <v>17</v>
      </c>
      <c r="D3624" s="0" t="n">
        <v>0</v>
      </c>
      <c r="E3624" s="0" t="n">
        <f aca="false">VLOOKUP(B3624,'Babblefish-APUMA'!$A$1:$B$86,2)</f>
        <v>90</v>
      </c>
      <c r="F3624" s="0" t="n">
        <f aca="false">IF(C3624&gt;1,IF(C3624&lt;99,VLOOKUP(C3624,'Babblefish-APUMA'!$A$1:$B$86,2),C3624),C3624)</f>
        <v>87</v>
      </c>
    </row>
    <row r="3625" customFormat="false" ht="12.75" hidden="false" customHeight="false" outlineLevel="0" collapsed="false">
      <c r="A3625" s="0" t="n">
        <f aca="false">B3625*1000+C3625</f>
        <v>54018</v>
      </c>
      <c r="B3625" s="0" t="n">
        <v>54</v>
      </c>
      <c r="C3625" s="0" t="n">
        <v>18</v>
      </c>
      <c r="D3625" s="0" t="n">
        <v>0</v>
      </c>
      <c r="E3625" s="0" t="n">
        <f aca="false">VLOOKUP(B3625,'Babblefish-APUMA'!$A$1:$B$86,2)</f>
        <v>90</v>
      </c>
      <c r="F3625" s="0" t="n">
        <f aca="false">IF(C3625&gt;1,IF(C3625&lt;99,VLOOKUP(C3625,'Babblefish-APUMA'!$A$1:$B$86,2),C3625),C3625)</f>
        <v>87</v>
      </c>
    </row>
    <row r="3626" customFormat="false" ht="12.75" hidden="false" customHeight="false" outlineLevel="0" collapsed="false">
      <c r="A3626" s="0" t="n">
        <f aca="false">B3626*1000+C3626</f>
        <v>54019</v>
      </c>
      <c r="B3626" s="0" t="n">
        <v>54</v>
      </c>
      <c r="C3626" s="0" t="n">
        <v>19</v>
      </c>
      <c r="D3626" s="0" t="n">
        <v>65</v>
      </c>
      <c r="E3626" s="0" t="n">
        <f aca="false">VLOOKUP(B3626,'Babblefish-APUMA'!$A$1:$B$86,2)</f>
        <v>90</v>
      </c>
      <c r="F3626" s="0" t="n">
        <f aca="false">IF(C3626&gt;1,IF(C3626&lt;99,VLOOKUP(C3626,'Babblefish-APUMA'!$A$1:$B$86,2),C3626),C3626)</f>
        <v>19</v>
      </c>
    </row>
    <row r="3627" customFormat="false" ht="12.75" hidden="false" customHeight="false" outlineLevel="0" collapsed="false">
      <c r="A3627" s="0" t="n">
        <f aca="false">B3627*1000+C3627</f>
        <v>54020</v>
      </c>
      <c r="B3627" s="0" t="n">
        <v>54</v>
      </c>
      <c r="C3627" s="0" t="n">
        <v>20</v>
      </c>
      <c r="D3627" s="0" t="n">
        <v>0</v>
      </c>
      <c r="E3627" s="0" t="n">
        <f aca="false">VLOOKUP(B3627,'Babblefish-APUMA'!$A$1:$B$86,2)</f>
        <v>90</v>
      </c>
      <c r="F3627" s="0" t="n">
        <f aca="false">IF(C3627&gt;1,IF(C3627&lt;99,VLOOKUP(C3627,'Babblefish-APUMA'!$A$1:$B$86,2),C3627),C3627)</f>
        <v>86</v>
      </c>
    </row>
    <row r="3628" customFormat="false" ht="12.75" hidden="false" customHeight="false" outlineLevel="0" collapsed="false">
      <c r="A3628" s="0" t="n">
        <f aca="false">B3628*1000+C3628</f>
        <v>54021</v>
      </c>
      <c r="B3628" s="0" t="n">
        <v>54</v>
      </c>
      <c r="C3628" s="0" t="n">
        <v>21</v>
      </c>
      <c r="D3628" s="0" t="n">
        <v>65</v>
      </c>
      <c r="E3628" s="0" t="n">
        <f aca="false">VLOOKUP(B3628,'Babblefish-APUMA'!$A$1:$B$86,2)</f>
        <v>90</v>
      </c>
      <c r="F3628" s="0" t="n">
        <f aca="false">IF(C3628&gt;1,IF(C3628&lt;99,VLOOKUP(C3628,'Babblefish-APUMA'!$A$1:$B$86,2),C3628),C3628)</f>
        <v>86</v>
      </c>
    </row>
    <row r="3629" customFormat="false" ht="12.75" hidden="false" customHeight="false" outlineLevel="0" collapsed="false">
      <c r="A3629" s="0" t="n">
        <f aca="false">B3629*1000+C3629</f>
        <v>54022</v>
      </c>
      <c r="B3629" s="0" t="n">
        <v>54</v>
      </c>
      <c r="C3629" s="0" t="n">
        <v>22</v>
      </c>
      <c r="D3629" s="0" t="n">
        <v>0</v>
      </c>
      <c r="E3629" s="0" t="n">
        <f aca="false">VLOOKUP(B3629,'Babblefish-APUMA'!$A$1:$B$86,2)</f>
        <v>90</v>
      </c>
      <c r="F3629" s="0" t="n">
        <f aca="false">IF(C3629&gt;1,IF(C3629&lt;99,VLOOKUP(C3629,'Babblefish-APUMA'!$A$1:$B$86,2),C3629),C3629)</f>
        <v>22</v>
      </c>
    </row>
    <row r="3630" customFormat="false" ht="12.75" hidden="false" customHeight="false" outlineLevel="0" collapsed="false">
      <c r="A3630" s="0" t="n">
        <f aca="false">B3630*1000+C3630</f>
        <v>54023</v>
      </c>
      <c r="B3630" s="0" t="n">
        <v>54</v>
      </c>
      <c r="C3630" s="0" t="n">
        <v>23</v>
      </c>
      <c r="D3630" s="0" t="n">
        <v>0</v>
      </c>
      <c r="E3630" s="0" t="n">
        <f aca="false">VLOOKUP(B3630,'Babblefish-APUMA'!$A$1:$B$86,2)</f>
        <v>90</v>
      </c>
      <c r="F3630" s="0" t="n">
        <f aca="false">IF(C3630&gt;1,IF(C3630&lt;99,VLOOKUP(C3630,'Babblefish-APUMA'!$A$1:$B$86,2),C3630),C3630)</f>
        <v>97</v>
      </c>
    </row>
    <row r="3631" customFormat="false" ht="12.75" hidden="false" customHeight="false" outlineLevel="0" collapsed="false">
      <c r="A3631" s="0" t="n">
        <f aca="false">B3631*1000+C3631</f>
        <v>54024</v>
      </c>
      <c r="B3631" s="0" t="n">
        <v>54</v>
      </c>
      <c r="C3631" s="0" t="n">
        <v>24</v>
      </c>
      <c r="D3631" s="0" t="n">
        <v>0</v>
      </c>
      <c r="E3631" s="0" t="n">
        <f aca="false">VLOOKUP(B3631,'Babblefish-APUMA'!$A$1:$B$86,2)</f>
        <v>90</v>
      </c>
      <c r="F3631" s="0" t="n">
        <f aca="false">IF(C3631&gt;1,IF(C3631&lt;99,VLOOKUP(C3631,'Babblefish-APUMA'!$A$1:$B$86,2),C3631),C3631)</f>
        <v>101</v>
      </c>
    </row>
    <row r="3632" customFormat="false" ht="12.75" hidden="false" customHeight="false" outlineLevel="0" collapsed="false">
      <c r="A3632" s="0" t="n">
        <f aca="false">B3632*1000+C3632</f>
        <v>54025</v>
      </c>
      <c r="B3632" s="0" t="n">
        <v>54</v>
      </c>
      <c r="C3632" s="0" t="n">
        <v>25</v>
      </c>
      <c r="D3632" s="0" t="n">
        <v>0</v>
      </c>
      <c r="E3632" s="0" t="n">
        <f aca="false">VLOOKUP(B3632,'Babblefish-APUMA'!$A$1:$B$86,2)</f>
        <v>90</v>
      </c>
      <c r="F3632" s="0" t="n">
        <f aca="false">IF(C3632&gt;1,IF(C3632&lt;99,VLOOKUP(C3632,'Babblefish-APUMA'!$A$1:$B$86,2),C3632),C3632)</f>
        <v>101</v>
      </c>
    </row>
    <row r="3633" customFormat="false" ht="12.75" hidden="false" customHeight="false" outlineLevel="0" collapsed="false">
      <c r="A3633" s="0" t="n">
        <f aca="false">B3633*1000+C3633</f>
        <v>54026</v>
      </c>
      <c r="B3633" s="0" t="n">
        <v>54</v>
      </c>
      <c r="C3633" s="0" t="n">
        <v>26</v>
      </c>
      <c r="D3633" s="0" t="n">
        <v>0</v>
      </c>
      <c r="E3633" s="0" t="n">
        <f aca="false">VLOOKUP(B3633,'Babblefish-APUMA'!$A$1:$B$86,2)</f>
        <v>90</v>
      </c>
      <c r="F3633" s="0" t="n">
        <f aca="false">IF(C3633&gt;1,IF(C3633&lt;99,VLOOKUP(C3633,'Babblefish-APUMA'!$A$1:$B$86,2),C3633),C3633)</f>
        <v>26</v>
      </c>
    </row>
    <row r="3634" customFormat="false" ht="12.75" hidden="false" customHeight="false" outlineLevel="0" collapsed="false">
      <c r="A3634" s="0" t="n">
        <f aca="false">B3634*1000+C3634</f>
        <v>54027</v>
      </c>
      <c r="B3634" s="0" t="n">
        <v>54</v>
      </c>
      <c r="C3634" s="0" t="n">
        <v>27</v>
      </c>
      <c r="D3634" s="0" t="n">
        <v>0</v>
      </c>
      <c r="E3634" s="0" t="n">
        <f aca="false">VLOOKUP(B3634,'Babblefish-APUMA'!$A$1:$B$86,2)</f>
        <v>90</v>
      </c>
      <c r="F3634" s="0" t="n">
        <f aca="false">IF(C3634&gt;1,IF(C3634&lt;99,VLOOKUP(C3634,'Babblefish-APUMA'!$A$1:$B$86,2),C3634),C3634)</f>
        <v>27</v>
      </c>
    </row>
    <row r="3635" customFormat="false" ht="12.75" hidden="false" customHeight="false" outlineLevel="0" collapsed="false">
      <c r="A3635" s="0" t="n">
        <f aca="false">B3635*1000+C3635</f>
        <v>54028</v>
      </c>
      <c r="B3635" s="0" t="n">
        <v>54</v>
      </c>
      <c r="C3635" s="0" t="n">
        <v>28</v>
      </c>
      <c r="D3635" s="0" t="n">
        <v>0</v>
      </c>
      <c r="E3635" s="0" t="n">
        <f aca="false">VLOOKUP(B3635,'Babblefish-APUMA'!$A$1:$B$86,2)</f>
        <v>90</v>
      </c>
      <c r="F3635" s="0" t="n">
        <f aca="false">IF(C3635&gt;1,IF(C3635&lt;99,VLOOKUP(C3635,'Babblefish-APUMA'!$A$1:$B$86,2),C3635),C3635)</f>
        <v>94</v>
      </c>
    </row>
    <row r="3636" customFormat="false" ht="12.75" hidden="false" customHeight="false" outlineLevel="0" collapsed="false">
      <c r="A3636" s="0" t="n">
        <f aca="false">B3636*1000+C3636</f>
        <v>54029</v>
      </c>
      <c r="B3636" s="0" t="n">
        <v>54</v>
      </c>
      <c r="C3636" s="0" t="n">
        <v>29</v>
      </c>
      <c r="D3636" s="0" t="n">
        <v>0</v>
      </c>
      <c r="E3636" s="0" t="n">
        <f aca="false">VLOOKUP(B3636,'Babblefish-APUMA'!$A$1:$B$86,2)</f>
        <v>90</v>
      </c>
      <c r="F3636" s="0" t="n">
        <f aca="false">IF(C3636&gt;1,IF(C3636&lt;99,VLOOKUP(C3636,'Babblefish-APUMA'!$A$1:$B$86,2),C3636),C3636)</f>
        <v>94</v>
      </c>
    </row>
    <row r="3637" customFormat="false" ht="12.75" hidden="false" customHeight="false" outlineLevel="0" collapsed="false">
      <c r="A3637" s="0" t="n">
        <f aca="false">B3637*1000+C3637</f>
        <v>54030</v>
      </c>
      <c r="B3637" s="0" t="n">
        <v>54</v>
      </c>
      <c r="C3637" s="0" t="n">
        <v>30</v>
      </c>
      <c r="D3637" s="0" t="n">
        <v>0</v>
      </c>
      <c r="E3637" s="0" t="n">
        <f aca="false">VLOOKUP(B3637,'Babblefish-APUMA'!$A$1:$B$86,2)</f>
        <v>90</v>
      </c>
      <c r="F3637" s="0" t="n">
        <f aca="false">IF(C3637&gt;1,IF(C3637&lt;99,VLOOKUP(C3637,'Babblefish-APUMA'!$A$1:$B$86,2),C3637),C3637)</f>
        <v>30</v>
      </c>
    </row>
    <row r="3638" customFormat="false" ht="12.75" hidden="false" customHeight="false" outlineLevel="0" collapsed="false">
      <c r="A3638" s="0" t="n">
        <f aca="false">B3638*1000+C3638</f>
        <v>54031</v>
      </c>
      <c r="B3638" s="0" t="n">
        <v>54</v>
      </c>
      <c r="C3638" s="0" t="n">
        <v>31</v>
      </c>
      <c r="D3638" s="0" t="n">
        <v>0</v>
      </c>
      <c r="E3638" s="0" t="n">
        <f aca="false">VLOOKUP(B3638,'Babblefish-APUMA'!$A$1:$B$86,2)</f>
        <v>90</v>
      </c>
      <c r="F3638" s="0" t="n">
        <f aca="false">IF(C3638&gt;1,IF(C3638&lt;99,VLOOKUP(C3638,'Babblefish-APUMA'!$A$1:$B$86,2),C3638),C3638)</f>
        <v>31</v>
      </c>
    </row>
    <row r="3639" customFormat="false" ht="12.75" hidden="false" customHeight="false" outlineLevel="0" collapsed="false">
      <c r="A3639" s="0" t="n">
        <f aca="false">B3639*1000+C3639</f>
        <v>54032</v>
      </c>
      <c r="B3639" s="0" t="n">
        <v>54</v>
      </c>
      <c r="C3639" s="0" t="n">
        <v>32</v>
      </c>
      <c r="D3639" s="0" t="n">
        <v>0</v>
      </c>
      <c r="E3639" s="0" t="n">
        <f aca="false">VLOOKUP(B3639,'Babblefish-APUMA'!$A$1:$B$86,2)</f>
        <v>90</v>
      </c>
      <c r="F3639" s="0" t="n">
        <f aca="false">IF(C3639&gt;1,IF(C3639&lt;99,VLOOKUP(C3639,'Babblefish-APUMA'!$A$1:$B$86,2),C3639),C3639)</f>
        <v>32</v>
      </c>
    </row>
    <row r="3640" customFormat="false" ht="12.75" hidden="false" customHeight="false" outlineLevel="0" collapsed="false">
      <c r="A3640" s="0" t="n">
        <f aca="false">B3640*1000+C3640</f>
        <v>54033</v>
      </c>
      <c r="B3640" s="0" t="n">
        <v>54</v>
      </c>
      <c r="C3640" s="0" t="n">
        <v>33</v>
      </c>
      <c r="D3640" s="0" t="n">
        <v>130</v>
      </c>
      <c r="E3640" s="0" t="n">
        <f aca="false">VLOOKUP(B3640,'Babblefish-APUMA'!$A$1:$B$86,2)</f>
        <v>90</v>
      </c>
      <c r="F3640" s="0" t="n">
        <f aca="false">IF(C3640&gt;1,IF(C3640&lt;99,VLOOKUP(C3640,'Babblefish-APUMA'!$A$1:$B$86,2),C3640),C3640)</f>
        <v>96</v>
      </c>
    </row>
    <row r="3641" customFormat="false" ht="12.75" hidden="false" customHeight="false" outlineLevel="0" collapsed="false">
      <c r="A3641" s="0" t="n">
        <f aca="false">B3641*1000+C3641</f>
        <v>54034</v>
      </c>
      <c r="B3641" s="0" t="n">
        <v>54</v>
      </c>
      <c r="C3641" s="0" t="n">
        <v>34</v>
      </c>
      <c r="D3641" s="0" t="n">
        <v>0</v>
      </c>
      <c r="E3641" s="0" t="n">
        <f aca="false">VLOOKUP(B3641,'Babblefish-APUMA'!$A$1:$B$86,2)</f>
        <v>90</v>
      </c>
      <c r="F3641" s="0" t="n">
        <f aca="false">IF(C3641&gt;1,IF(C3641&lt;99,VLOOKUP(C3641,'Babblefish-APUMA'!$A$1:$B$86,2),C3641),C3641)</f>
        <v>96</v>
      </c>
    </row>
    <row r="3642" customFormat="false" ht="12.75" hidden="false" customHeight="false" outlineLevel="0" collapsed="false">
      <c r="A3642" s="0" t="n">
        <f aca="false">B3642*1000+C3642</f>
        <v>54035</v>
      </c>
      <c r="B3642" s="0" t="n">
        <v>54</v>
      </c>
      <c r="C3642" s="0" t="n">
        <v>35</v>
      </c>
      <c r="D3642" s="0" t="n">
        <v>0</v>
      </c>
      <c r="E3642" s="0" t="n">
        <f aca="false">VLOOKUP(B3642,'Babblefish-APUMA'!$A$1:$B$86,2)</f>
        <v>90</v>
      </c>
      <c r="F3642" s="0" t="n">
        <f aca="false">IF(C3642&gt;1,IF(C3642&lt;99,VLOOKUP(C3642,'Babblefish-APUMA'!$A$1:$B$86,2),C3642),C3642)</f>
        <v>96</v>
      </c>
    </row>
    <row r="3643" customFormat="false" ht="12.75" hidden="false" customHeight="false" outlineLevel="0" collapsed="false">
      <c r="A3643" s="0" t="n">
        <f aca="false">B3643*1000+C3643</f>
        <v>54036</v>
      </c>
      <c r="B3643" s="0" t="n">
        <v>54</v>
      </c>
      <c r="C3643" s="0" t="n">
        <v>36</v>
      </c>
      <c r="D3643" s="0" t="n">
        <v>0</v>
      </c>
      <c r="E3643" s="0" t="n">
        <f aca="false">VLOOKUP(B3643,'Babblefish-APUMA'!$A$1:$B$86,2)</f>
        <v>90</v>
      </c>
      <c r="F3643" s="0" t="n">
        <f aca="false">IF(C3643&gt;1,IF(C3643&lt;99,VLOOKUP(C3643,'Babblefish-APUMA'!$A$1:$B$86,2),C3643),C3643)</f>
        <v>96</v>
      </c>
    </row>
    <row r="3644" customFormat="false" ht="12.75" hidden="false" customHeight="false" outlineLevel="0" collapsed="false">
      <c r="A3644" s="0" t="n">
        <f aca="false">B3644*1000+C3644</f>
        <v>54037</v>
      </c>
      <c r="B3644" s="0" t="n">
        <v>54</v>
      </c>
      <c r="C3644" s="0" t="n">
        <v>37</v>
      </c>
      <c r="D3644" s="0" t="n">
        <v>0</v>
      </c>
      <c r="E3644" s="0" t="n">
        <f aca="false">VLOOKUP(B3644,'Babblefish-APUMA'!$A$1:$B$86,2)</f>
        <v>90</v>
      </c>
      <c r="F3644" s="0" t="n">
        <f aca="false">IF(C3644&gt;1,IF(C3644&lt;99,VLOOKUP(C3644,'Babblefish-APUMA'!$A$1:$B$86,2),C3644),C3644)</f>
        <v>96</v>
      </c>
    </row>
    <row r="3645" customFormat="false" ht="12.75" hidden="false" customHeight="false" outlineLevel="0" collapsed="false">
      <c r="A3645" s="0" t="n">
        <f aca="false">B3645*1000+C3645</f>
        <v>54038</v>
      </c>
      <c r="B3645" s="0" t="n">
        <v>54</v>
      </c>
      <c r="C3645" s="0" t="n">
        <v>38</v>
      </c>
      <c r="D3645" s="0" t="n">
        <v>0</v>
      </c>
      <c r="E3645" s="0" t="n">
        <f aca="false">VLOOKUP(B3645,'Babblefish-APUMA'!$A$1:$B$86,2)</f>
        <v>90</v>
      </c>
      <c r="F3645" s="0" t="n">
        <f aca="false">IF(C3645&gt;1,IF(C3645&lt;99,VLOOKUP(C3645,'Babblefish-APUMA'!$A$1:$B$86,2),C3645),C3645)</f>
        <v>91</v>
      </c>
    </row>
    <row r="3646" customFormat="false" ht="12.75" hidden="false" customHeight="false" outlineLevel="0" collapsed="false">
      <c r="A3646" s="0" t="n">
        <f aca="false">B3646*1000+C3646</f>
        <v>54039</v>
      </c>
      <c r="B3646" s="0" t="n">
        <v>54</v>
      </c>
      <c r="C3646" s="0" t="n">
        <v>39</v>
      </c>
      <c r="D3646" s="0" t="n">
        <v>0</v>
      </c>
      <c r="E3646" s="0" t="n">
        <f aca="false">VLOOKUP(B3646,'Babblefish-APUMA'!$A$1:$B$86,2)</f>
        <v>90</v>
      </c>
      <c r="F3646" s="0" t="n">
        <f aca="false">IF(C3646&gt;1,IF(C3646&lt;99,VLOOKUP(C3646,'Babblefish-APUMA'!$A$1:$B$86,2),C3646),C3646)</f>
        <v>91</v>
      </c>
    </row>
    <row r="3647" customFormat="false" ht="12.75" hidden="false" customHeight="false" outlineLevel="0" collapsed="false">
      <c r="A3647" s="0" t="n">
        <f aca="false">B3647*1000+C3647</f>
        <v>54040</v>
      </c>
      <c r="B3647" s="0" t="n">
        <v>54</v>
      </c>
      <c r="C3647" s="0" t="n">
        <v>40</v>
      </c>
      <c r="D3647" s="0" t="n">
        <v>0</v>
      </c>
      <c r="E3647" s="0" t="n">
        <f aca="false">VLOOKUP(B3647,'Babblefish-APUMA'!$A$1:$B$86,2)</f>
        <v>90</v>
      </c>
      <c r="F3647" s="0" t="n">
        <f aca="false">IF(C3647&gt;1,IF(C3647&lt;99,VLOOKUP(C3647,'Babblefish-APUMA'!$A$1:$B$86,2),C3647),C3647)</f>
        <v>88</v>
      </c>
    </row>
    <row r="3648" customFormat="false" ht="12.75" hidden="false" customHeight="false" outlineLevel="0" collapsed="false">
      <c r="A3648" s="0" t="n">
        <f aca="false">B3648*1000+C3648</f>
        <v>54041</v>
      </c>
      <c r="B3648" s="0" t="n">
        <v>54</v>
      </c>
      <c r="C3648" s="0" t="n">
        <v>41</v>
      </c>
      <c r="D3648" s="0" t="n">
        <v>0</v>
      </c>
      <c r="E3648" s="0" t="n">
        <f aca="false">VLOOKUP(B3648,'Babblefish-APUMA'!$A$1:$B$86,2)</f>
        <v>90</v>
      </c>
      <c r="F3648" s="0" t="n">
        <f aca="false">IF(C3648&gt;1,IF(C3648&lt;99,VLOOKUP(C3648,'Babblefish-APUMA'!$A$1:$B$86,2),C3648),C3648)</f>
        <v>88</v>
      </c>
    </row>
    <row r="3649" customFormat="false" ht="12.75" hidden="false" customHeight="false" outlineLevel="0" collapsed="false">
      <c r="A3649" s="0" t="n">
        <f aca="false">B3649*1000+C3649</f>
        <v>54042</v>
      </c>
      <c r="B3649" s="0" t="n">
        <v>54</v>
      </c>
      <c r="C3649" s="0" t="n">
        <v>42</v>
      </c>
      <c r="D3649" s="0" t="n">
        <v>624</v>
      </c>
      <c r="E3649" s="0" t="n">
        <f aca="false">VLOOKUP(B3649,'Babblefish-APUMA'!$A$1:$B$86,2)</f>
        <v>90</v>
      </c>
      <c r="F3649" s="0" t="n">
        <f aca="false">IF(C3649&gt;1,IF(C3649&lt;99,VLOOKUP(C3649,'Babblefish-APUMA'!$A$1:$B$86,2),C3649),C3649)</f>
        <v>92</v>
      </c>
    </row>
    <row r="3650" customFormat="false" ht="12.75" hidden="false" customHeight="false" outlineLevel="0" collapsed="false">
      <c r="A3650" s="0" t="n">
        <f aca="false">B3650*1000+C3650</f>
        <v>54043</v>
      </c>
      <c r="B3650" s="0" t="n">
        <v>54</v>
      </c>
      <c r="C3650" s="0" t="n">
        <v>43</v>
      </c>
      <c r="D3650" s="0" t="n">
        <v>0</v>
      </c>
      <c r="E3650" s="0" t="n">
        <f aca="false">VLOOKUP(B3650,'Babblefish-APUMA'!$A$1:$B$86,2)</f>
        <v>90</v>
      </c>
      <c r="F3650" s="0" t="n">
        <f aca="false">IF(C3650&gt;1,IF(C3650&lt;99,VLOOKUP(C3650,'Babblefish-APUMA'!$A$1:$B$86,2),C3650),C3650)</f>
        <v>92</v>
      </c>
    </row>
    <row r="3651" customFormat="false" ht="12.75" hidden="false" customHeight="false" outlineLevel="0" collapsed="false">
      <c r="A3651" s="0" t="n">
        <f aca="false">B3651*1000+C3651</f>
        <v>54044</v>
      </c>
      <c r="B3651" s="0" t="n">
        <v>54</v>
      </c>
      <c r="C3651" s="0" t="n">
        <v>44</v>
      </c>
      <c r="D3651" s="0" t="n">
        <v>91</v>
      </c>
      <c r="E3651" s="0" t="n">
        <f aca="false">VLOOKUP(B3651,'Babblefish-APUMA'!$A$1:$B$86,2)</f>
        <v>90</v>
      </c>
      <c r="F3651" s="0" t="n">
        <f aca="false">IF(C3651&gt;1,IF(C3651&lt;99,VLOOKUP(C3651,'Babblefish-APUMA'!$A$1:$B$86,2),C3651),C3651)</f>
        <v>92</v>
      </c>
    </row>
    <row r="3652" customFormat="false" ht="12.75" hidden="false" customHeight="false" outlineLevel="0" collapsed="false">
      <c r="A3652" s="0" t="n">
        <f aca="false">B3652*1000+C3652</f>
        <v>54045</v>
      </c>
      <c r="B3652" s="0" t="n">
        <v>54</v>
      </c>
      <c r="C3652" s="0" t="n">
        <v>45</v>
      </c>
      <c r="D3652" s="0" t="n">
        <v>0</v>
      </c>
      <c r="E3652" s="0" t="n">
        <f aca="false">VLOOKUP(B3652,'Babblefish-APUMA'!$A$1:$B$86,2)</f>
        <v>90</v>
      </c>
      <c r="F3652" s="0" t="n">
        <f aca="false">IF(C3652&gt;1,IF(C3652&lt;99,VLOOKUP(C3652,'Babblefish-APUMA'!$A$1:$B$86,2),C3652),C3652)</f>
        <v>92</v>
      </c>
    </row>
    <row r="3653" customFormat="false" ht="12.75" hidden="false" customHeight="false" outlineLevel="0" collapsed="false">
      <c r="A3653" s="0" t="n">
        <f aca="false">B3653*1000+C3653</f>
        <v>54046</v>
      </c>
      <c r="B3653" s="0" t="n">
        <v>54</v>
      </c>
      <c r="C3653" s="0" t="n">
        <v>46</v>
      </c>
      <c r="D3653" s="0" t="n">
        <v>0</v>
      </c>
      <c r="E3653" s="0" t="n">
        <f aca="false">VLOOKUP(B3653,'Babblefish-APUMA'!$A$1:$B$86,2)</f>
        <v>90</v>
      </c>
      <c r="F3653" s="0" t="n">
        <f aca="false">IF(C3653&gt;1,IF(C3653&lt;99,VLOOKUP(C3653,'Babblefish-APUMA'!$A$1:$B$86,2),C3653),C3653)</f>
        <v>92</v>
      </c>
    </row>
    <row r="3654" customFormat="false" ht="12.75" hidden="false" customHeight="false" outlineLevel="0" collapsed="false">
      <c r="A3654" s="0" t="n">
        <f aca="false">B3654*1000+C3654</f>
        <v>54047</v>
      </c>
      <c r="B3654" s="0" t="n">
        <v>54</v>
      </c>
      <c r="C3654" s="0" t="n">
        <v>47</v>
      </c>
      <c r="D3654" s="0" t="n">
        <v>104</v>
      </c>
      <c r="E3654" s="0" t="n">
        <f aca="false">VLOOKUP(B3654,'Babblefish-APUMA'!$A$1:$B$86,2)</f>
        <v>90</v>
      </c>
      <c r="F3654" s="0" t="n">
        <f aca="false">IF(C3654&gt;1,IF(C3654&lt;99,VLOOKUP(C3654,'Babblefish-APUMA'!$A$1:$B$86,2),C3654),C3654)</f>
        <v>92</v>
      </c>
    </row>
    <row r="3655" customFormat="false" ht="12.75" hidden="false" customHeight="false" outlineLevel="0" collapsed="false">
      <c r="A3655" s="0" t="n">
        <f aca="false">B3655*1000+C3655</f>
        <v>54048</v>
      </c>
      <c r="B3655" s="0" t="n">
        <v>54</v>
      </c>
      <c r="C3655" s="0" t="n">
        <v>48</v>
      </c>
      <c r="D3655" s="0" t="n">
        <v>546</v>
      </c>
      <c r="E3655" s="0" t="n">
        <f aca="false">VLOOKUP(B3655,'Babblefish-APUMA'!$A$1:$B$86,2)</f>
        <v>90</v>
      </c>
      <c r="F3655" s="0" t="n">
        <f aca="false">IF(C3655&gt;1,IF(C3655&lt;99,VLOOKUP(C3655,'Babblefish-APUMA'!$A$1:$B$86,2),C3655),C3655)</f>
        <v>92</v>
      </c>
    </row>
    <row r="3656" customFormat="false" ht="12.75" hidden="false" customHeight="false" outlineLevel="0" collapsed="false">
      <c r="A3656" s="0" t="n">
        <f aca="false">B3656*1000+C3656</f>
        <v>54049</v>
      </c>
      <c r="B3656" s="0" t="n">
        <v>54</v>
      </c>
      <c r="C3656" s="0" t="n">
        <v>49</v>
      </c>
      <c r="D3656" s="0" t="n">
        <v>0</v>
      </c>
      <c r="E3656" s="0" t="n">
        <f aca="false">VLOOKUP(B3656,'Babblefish-APUMA'!$A$1:$B$86,2)</f>
        <v>90</v>
      </c>
      <c r="F3656" s="0" t="n">
        <f aca="false">IF(C3656&gt;1,IF(C3656&lt;99,VLOOKUP(C3656,'Babblefish-APUMA'!$A$1:$B$86,2),C3656),C3656)</f>
        <v>98</v>
      </c>
    </row>
    <row r="3657" customFormat="false" ht="12.75" hidden="false" customHeight="false" outlineLevel="0" collapsed="false">
      <c r="A3657" s="0" t="n">
        <f aca="false">B3657*1000+C3657</f>
        <v>54050</v>
      </c>
      <c r="B3657" s="0" t="n">
        <v>54</v>
      </c>
      <c r="C3657" s="0" t="n">
        <v>50</v>
      </c>
      <c r="D3657" s="0" t="n">
        <v>0</v>
      </c>
      <c r="E3657" s="0" t="n">
        <f aca="false">VLOOKUP(B3657,'Babblefish-APUMA'!$A$1:$B$86,2)</f>
        <v>90</v>
      </c>
      <c r="F3657" s="0" t="n">
        <f aca="false">IF(C3657&gt;1,IF(C3657&lt;99,VLOOKUP(C3657,'Babblefish-APUMA'!$A$1:$B$86,2),C3657),C3657)</f>
        <v>98</v>
      </c>
    </row>
    <row r="3658" customFormat="false" ht="12.75" hidden="false" customHeight="false" outlineLevel="0" collapsed="false">
      <c r="A3658" s="0" t="n">
        <f aca="false">B3658*1000+C3658</f>
        <v>54051</v>
      </c>
      <c r="B3658" s="0" t="n">
        <v>54</v>
      </c>
      <c r="C3658" s="0" t="n">
        <v>51</v>
      </c>
      <c r="D3658" s="0" t="n">
        <v>0</v>
      </c>
      <c r="E3658" s="0" t="n">
        <f aca="false">VLOOKUP(B3658,'Babblefish-APUMA'!$A$1:$B$86,2)</f>
        <v>90</v>
      </c>
      <c r="F3658" s="0" t="n">
        <f aca="false">IF(C3658&gt;1,IF(C3658&lt;99,VLOOKUP(C3658,'Babblefish-APUMA'!$A$1:$B$86,2),C3658),C3658)</f>
        <v>98</v>
      </c>
    </row>
    <row r="3659" customFormat="false" ht="12.75" hidden="false" customHeight="false" outlineLevel="0" collapsed="false">
      <c r="A3659" s="0" t="n">
        <f aca="false">B3659*1000+C3659</f>
        <v>54052</v>
      </c>
      <c r="B3659" s="0" t="n">
        <v>54</v>
      </c>
      <c r="C3659" s="0" t="n">
        <v>52</v>
      </c>
      <c r="D3659" s="0" t="n">
        <v>468</v>
      </c>
      <c r="E3659" s="0" t="n">
        <f aca="false">VLOOKUP(B3659,'Babblefish-APUMA'!$A$1:$B$86,2)</f>
        <v>90</v>
      </c>
      <c r="F3659" s="0" t="n">
        <f aca="false">IF(C3659&gt;1,IF(C3659&lt;99,VLOOKUP(C3659,'Babblefish-APUMA'!$A$1:$B$86,2),C3659),C3659)</f>
        <v>90</v>
      </c>
    </row>
    <row r="3660" customFormat="false" ht="12.75" hidden="false" customHeight="false" outlineLevel="0" collapsed="false">
      <c r="A3660" s="0" t="n">
        <f aca="false">B3660*1000+C3660</f>
        <v>54053</v>
      </c>
      <c r="B3660" s="0" t="n">
        <v>54</v>
      </c>
      <c r="C3660" s="0" t="n">
        <v>53</v>
      </c>
      <c r="D3660" s="0" t="n">
        <v>299</v>
      </c>
      <c r="E3660" s="0" t="n">
        <f aca="false">VLOOKUP(B3660,'Babblefish-APUMA'!$A$1:$B$86,2)</f>
        <v>90</v>
      </c>
      <c r="F3660" s="0" t="n">
        <f aca="false">IF(C3660&gt;1,IF(C3660&lt;99,VLOOKUP(C3660,'Babblefish-APUMA'!$A$1:$B$86,2),C3660),C3660)</f>
        <v>90</v>
      </c>
    </row>
    <row r="3661" customFormat="false" ht="12.75" hidden="false" customHeight="false" outlineLevel="0" collapsed="false">
      <c r="A3661" s="0" t="n">
        <f aca="false">B3661*1000+C3661</f>
        <v>54054</v>
      </c>
      <c r="B3661" s="0" t="n">
        <v>54</v>
      </c>
      <c r="C3661" s="0" t="n">
        <v>54</v>
      </c>
      <c r="D3661" s="0" t="n">
        <v>8398</v>
      </c>
      <c r="E3661" s="0" t="n">
        <f aca="false">VLOOKUP(B3661,'Babblefish-APUMA'!$A$1:$B$86,2)</f>
        <v>90</v>
      </c>
      <c r="F3661" s="0" t="n">
        <f aca="false">IF(C3661&gt;1,IF(C3661&lt;99,VLOOKUP(C3661,'Babblefish-APUMA'!$A$1:$B$86,2),C3661),C3661)</f>
        <v>90</v>
      </c>
    </row>
    <row r="3662" customFormat="false" ht="12.75" hidden="false" customHeight="false" outlineLevel="0" collapsed="false">
      <c r="A3662" s="0" t="n">
        <f aca="false">B3662*1000+C3662</f>
        <v>54055</v>
      </c>
      <c r="B3662" s="0" t="n">
        <v>54</v>
      </c>
      <c r="C3662" s="0" t="n">
        <v>55</v>
      </c>
      <c r="D3662" s="0" t="n">
        <v>780</v>
      </c>
      <c r="E3662" s="0" t="n">
        <f aca="false">VLOOKUP(B3662,'Babblefish-APUMA'!$A$1:$B$86,2)</f>
        <v>90</v>
      </c>
      <c r="F3662" s="0" t="n">
        <f aca="false">IF(C3662&gt;1,IF(C3662&lt;99,VLOOKUP(C3662,'Babblefish-APUMA'!$A$1:$B$86,2),C3662),C3662)</f>
        <v>90</v>
      </c>
    </row>
    <row r="3663" customFormat="false" ht="12.75" hidden="false" customHeight="false" outlineLevel="0" collapsed="false">
      <c r="A3663" s="0" t="n">
        <f aca="false">B3663*1000+C3663</f>
        <v>54056</v>
      </c>
      <c r="B3663" s="0" t="n">
        <v>54</v>
      </c>
      <c r="C3663" s="0" t="n">
        <v>56</v>
      </c>
      <c r="D3663" s="0" t="n">
        <v>247</v>
      </c>
      <c r="E3663" s="0" t="n">
        <f aca="false">VLOOKUP(B3663,'Babblefish-APUMA'!$A$1:$B$86,2)</f>
        <v>90</v>
      </c>
      <c r="F3663" s="0" t="n">
        <f aca="false">IF(C3663&gt;1,IF(C3663&lt;99,VLOOKUP(C3663,'Babblefish-APUMA'!$A$1:$B$86,2),C3663),C3663)</f>
        <v>90</v>
      </c>
    </row>
    <row r="3664" customFormat="false" ht="12.75" hidden="false" customHeight="false" outlineLevel="0" collapsed="false">
      <c r="A3664" s="0" t="n">
        <f aca="false">B3664*1000+C3664</f>
        <v>54057</v>
      </c>
      <c r="B3664" s="0" t="n">
        <v>54</v>
      </c>
      <c r="C3664" s="0" t="n">
        <v>57</v>
      </c>
      <c r="D3664" s="0" t="n">
        <v>338</v>
      </c>
      <c r="E3664" s="0" t="n">
        <f aca="false">VLOOKUP(B3664,'Babblefish-APUMA'!$A$1:$B$86,2)</f>
        <v>90</v>
      </c>
      <c r="F3664" s="0" t="n">
        <f aca="false">IF(C3664&gt;1,IF(C3664&lt;99,VLOOKUP(C3664,'Babblefish-APUMA'!$A$1:$B$86,2),C3664),C3664)</f>
        <v>90</v>
      </c>
    </row>
    <row r="3665" customFormat="false" ht="12.75" hidden="false" customHeight="false" outlineLevel="0" collapsed="false">
      <c r="A3665" s="0" t="n">
        <f aca="false">B3665*1000+C3665</f>
        <v>54058</v>
      </c>
      <c r="B3665" s="0" t="n">
        <v>54</v>
      </c>
      <c r="C3665" s="0" t="n">
        <v>58</v>
      </c>
      <c r="D3665" s="0" t="n">
        <v>1573</v>
      </c>
      <c r="E3665" s="0" t="n">
        <f aca="false">VLOOKUP(B3665,'Babblefish-APUMA'!$A$1:$B$86,2)</f>
        <v>90</v>
      </c>
      <c r="F3665" s="0" t="n">
        <f aca="false">IF(C3665&gt;1,IF(C3665&lt;99,VLOOKUP(C3665,'Babblefish-APUMA'!$A$1:$B$86,2),C3665),C3665)</f>
        <v>90</v>
      </c>
    </row>
    <row r="3666" customFormat="false" ht="12.75" hidden="false" customHeight="false" outlineLevel="0" collapsed="false">
      <c r="A3666" s="0" t="n">
        <f aca="false">B3666*1000+C3666</f>
        <v>54059</v>
      </c>
      <c r="B3666" s="0" t="n">
        <v>54</v>
      </c>
      <c r="C3666" s="0" t="n">
        <v>59</v>
      </c>
      <c r="D3666" s="0" t="n">
        <v>104</v>
      </c>
      <c r="E3666" s="0" t="n">
        <f aca="false">VLOOKUP(B3666,'Babblefish-APUMA'!$A$1:$B$86,2)</f>
        <v>90</v>
      </c>
      <c r="F3666" s="0" t="n">
        <f aca="false">IF(C3666&gt;1,IF(C3666&lt;99,VLOOKUP(C3666,'Babblefish-APUMA'!$A$1:$B$86,2),C3666),C3666)</f>
        <v>90</v>
      </c>
    </row>
    <row r="3667" customFormat="false" ht="12.75" hidden="false" customHeight="false" outlineLevel="0" collapsed="false">
      <c r="A3667" s="0" t="n">
        <f aca="false">B3667*1000+C3667</f>
        <v>54060</v>
      </c>
      <c r="B3667" s="0" t="n">
        <v>54</v>
      </c>
      <c r="C3667" s="0" t="n">
        <v>60</v>
      </c>
      <c r="D3667" s="0" t="n">
        <v>377</v>
      </c>
      <c r="E3667" s="0" t="n">
        <f aca="false">VLOOKUP(B3667,'Babblefish-APUMA'!$A$1:$B$86,2)</f>
        <v>90</v>
      </c>
      <c r="F3667" s="0" t="n">
        <f aca="false">IF(C3667&gt;1,IF(C3667&lt;99,VLOOKUP(C3667,'Babblefish-APUMA'!$A$1:$B$86,2),C3667),C3667)</f>
        <v>90</v>
      </c>
    </row>
    <row r="3668" customFormat="false" ht="12.75" hidden="false" customHeight="false" outlineLevel="0" collapsed="false">
      <c r="A3668" s="0" t="n">
        <f aca="false">B3668*1000+C3668</f>
        <v>54061</v>
      </c>
      <c r="B3668" s="0" t="n">
        <v>54</v>
      </c>
      <c r="C3668" s="0" t="n">
        <v>61</v>
      </c>
      <c r="D3668" s="0" t="n">
        <v>0</v>
      </c>
      <c r="E3668" s="0" t="n">
        <f aca="false">VLOOKUP(B3668,'Babblefish-APUMA'!$A$1:$B$86,2)</f>
        <v>90</v>
      </c>
      <c r="F3668" s="0" t="n">
        <f aca="false">IF(C3668&gt;1,IF(C3668&lt;99,VLOOKUP(C3668,'Babblefish-APUMA'!$A$1:$B$86,2),C3668),C3668)</f>
        <v>90</v>
      </c>
    </row>
    <row r="3669" customFormat="false" ht="12.75" hidden="false" customHeight="false" outlineLevel="0" collapsed="false">
      <c r="A3669" s="0" t="n">
        <f aca="false">B3669*1000+C3669</f>
        <v>54062</v>
      </c>
      <c r="B3669" s="0" t="n">
        <v>54</v>
      </c>
      <c r="C3669" s="0" t="n">
        <v>62</v>
      </c>
      <c r="D3669" s="0" t="n">
        <v>481</v>
      </c>
      <c r="E3669" s="0" t="n">
        <f aca="false">VLOOKUP(B3669,'Babblefish-APUMA'!$A$1:$B$86,2)</f>
        <v>90</v>
      </c>
      <c r="F3669" s="0" t="n">
        <f aca="false">IF(C3669&gt;1,IF(C3669&lt;99,VLOOKUP(C3669,'Babblefish-APUMA'!$A$1:$B$86,2),C3669),C3669)</f>
        <v>90</v>
      </c>
    </row>
    <row r="3670" customFormat="false" ht="12.75" hidden="false" customHeight="false" outlineLevel="0" collapsed="false">
      <c r="A3670" s="0" t="n">
        <f aca="false">B3670*1000+C3670</f>
        <v>54063</v>
      </c>
      <c r="B3670" s="0" t="n">
        <v>54</v>
      </c>
      <c r="C3670" s="0" t="n">
        <v>63</v>
      </c>
      <c r="D3670" s="0" t="n">
        <v>1313</v>
      </c>
      <c r="E3670" s="0" t="n">
        <f aca="false">VLOOKUP(B3670,'Babblefish-APUMA'!$A$1:$B$86,2)</f>
        <v>90</v>
      </c>
      <c r="F3670" s="0" t="n">
        <f aca="false">IF(C3670&gt;1,IF(C3670&lt;99,VLOOKUP(C3670,'Babblefish-APUMA'!$A$1:$B$86,2),C3670),C3670)</f>
        <v>90</v>
      </c>
    </row>
    <row r="3671" customFormat="false" ht="12.75" hidden="false" customHeight="false" outlineLevel="0" collapsed="false">
      <c r="A3671" s="0" t="n">
        <f aca="false">B3671*1000+C3671</f>
        <v>54064</v>
      </c>
      <c r="B3671" s="0" t="n">
        <v>54</v>
      </c>
      <c r="C3671" s="0" t="n">
        <v>64</v>
      </c>
      <c r="D3671" s="0" t="n">
        <v>19344</v>
      </c>
      <c r="E3671" s="0" t="n">
        <f aca="false">VLOOKUP(B3671,'Babblefish-APUMA'!$A$1:$B$86,2)</f>
        <v>90</v>
      </c>
      <c r="F3671" s="0" t="n">
        <f aca="false">IF(C3671&gt;1,IF(C3671&lt;99,VLOOKUP(C3671,'Babblefish-APUMA'!$A$1:$B$86,2),C3671),C3671)</f>
        <v>90</v>
      </c>
    </row>
    <row r="3672" customFormat="false" ht="12.75" hidden="false" customHeight="false" outlineLevel="0" collapsed="false">
      <c r="A3672" s="0" t="n">
        <f aca="false">B3672*1000+C3672</f>
        <v>54065</v>
      </c>
      <c r="B3672" s="0" t="n">
        <v>54</v>
      </c>
      <c r="C3672" s="0" t="n">
        <v>65</v>
      </c>
      <c r="D3672" s="0" t="n">
        <v>16445</v>
      </c>
      <c r="E3672" s="0" t="n">
        <f aca="false">VLOOKUP(B3672,'Babblefish-APUMA'!$A$1:$B$86,2)</f>
        <v>90</v>
      </c>
      <c r="F3672" s="0" t="n">
        <f aca="false">IF(C3672&gt;1,IF(C3672&lt;99,VLOOKUP(C3672,'Babblefish-APUMA'!$A$1:$B$86,2),C3672),C3672)</f>
        <v>90</v>
      </c>
    </row>
    <row r="3673" customFormat="false" ht="12.75" hidden="false" customHeight="false" outlineLevel="0" collapsed="false">
      <c r="A3673" s="0" t="n">
        <f aca="false">B3673*1000+C3673</f>
        <v>54066</v>
      </c>
      <c r="B3673" s="0" t="n">
        <v>54</v>
      </c>
      <c r="C3673" s="0" t="n">
        <v>66</v>
      </c>
      <c r="D3673" s="0" t="n">
        <v>429</v>
      </c>
      <c r="E3673" s="0" t="n">
        <f aca="false">VLOOKUP(B3673,'Babblefish-APUMA'!$A$1:$B$86,2)</f>
        <v>90</v>
      </c>
      <c r="F3673" s="0" t="n">
        <f aca="false">IF(C3673&gt;1,IF(C3673&lt;99,VLOOKUP(C3673,'Babblefish-APUMA'!$A$1:$B$86,2),C3673),C3673)</f>
        <v>90</v>
      </c>
    </row>
    <row r="3674" customFormat="false" ht="12.75" hidden="false" customHeight="false" outlineLevel="0" collapsed="false">
      <c r="A3674" s="0" t="n">
        <f aca="false">B3674*1000+C3674</f>
        <v>54067</v>
      </c>
      <c r="B3674" s="0" t="n">
        <v>54</v>
      </c>
      <c r="C3674" s="0" t="n">
        <v>67</v>
      </c>
      <c r="D3674" s="0" t="n">
        <v>143</v>
      </c>
      <c r="E3674" s="0" t="n">
        <f aca="false">VLOOKUP(B3674,'Babblefish-APUMA'!$A$1:$B$86,2)</f>
        <v>90</v>
      </c>
      <c r="F3674" s="0" t="n">
        <f aca="false">IF(C3674&gt;1,IF(C3674&lt;99,VLOOKUP(C3674,'Babblefish-APUMA'!$A$1:$B$86,2),C3674),C3674)</f>
        <v>103</v>
      </c>
    </row>
    <row r="3675" customFormat="false" ht="12.75" hidden="false" customHeight="false" outlineLevel="0" collapsed="false">
      <c r="A3675" s="0" t="n">
        <f aca="false">B3675*1000+C3675</f>
        <v>54068</v>
      </c>
      <c r="B3675" s="0" t="n">
        <v>54</v>
      </c>
      <c r="C3675" s="0" t="n">
        <v>68</v>
      </c>
      <c r="D3675" s="0" t="n">
        <v>0</v>
      </c>
      <c r="E3675" s="0" t="n">
        <f aca="false">VLOOKUP(B3675,'Babblefish-APUMA'!$A$1:$B$86,2)</f>
        <v>90</v>
      </c>
      <c r="F3675" s="0" t="n">
        <f aca="false">IF(C3675&gt;1,IF(C3675&lt;99,VLOOKUP(C3675,'Babblefish-APUMA'!$A$1:$B$86,2),C3675),C3675)</f>
        <v>93</v>
      </c>
    </row>
    <row r="3676" customFormat="false" ht="12.75" hidden="false" customHeight="false" outlineLevel="0" collapsed="false">
      <c r="A3676" s="0" t="n">
        <f aca="false">B3676*1000+C3676</f>
        <v>54069</v>
      </c>
      <c r="B3676" s="0" t="n">
        <v>54</v>
      </c>
      <c r="C3676" s="0" t="n">
        <v>69</v>
      </c>
      <c r="D3676" s="0" t="n">
        <v>52</v>
      </c>
      <c r="E3676" s="0" t="n">
        <f aca="false">VLOOKUP(B3676,'Babblefish-APUMA'!$A$1:$B$86,2)</f>
        <v>90</v>
      </c>
      <c r="F3676" s="0" t="n">
        <f aca="false">IF(C3676&gt;1,IF(C3676&lt;99,VLOOKUP(C3676,'Babblefish-APUMA'!$A$1:$B$86,2),C3676),C3676)</f>
        <v>93</v>
      </c>
    </row>
    <row r="3677" customFormat="false" ht="12.75" hidden="false" customHeight="false" outlineLevel="0" collapsed="false">
      <c r="A3677" s="0" t="n">
        <f aca="false">B3677*1000+C3677</f>
        <v>54070</v>
      </c>
      <c r="B3677" s="0" t="n">
        <v>54</v>
      </c>
      <c r="C3677" s="0" t="n">
        <v>70</v>
      </c>
      <c r="D3677" s="0" t="n">
        <v>0</v>
      </c>
      <c r="E3677" s="0" t="n">
        <f aca="false">VLOOKUP(B3677,'Babblefish-APUMA'!$A$1:$B$86,2)</f>
        <v>90</v>
      </c>
      <c r="F3677" s="0" t="n">
        <f aca="false">IF(C3677&gt;1,IF(C3677&lt;99,VLOOKUP(C3677,'Babblefish-APUMA'!$A$1:$B$86,2),C3677),C3677)</f>
        <v>95</v>
      </c>
    </row>
    <row r="3678" customFormat="false" ht="12.75" hidden="false" customHeight="false" outlineLevel="0" collapsed="false">
      <c r="A3678" s="0" t="n">
        <f aca="false">B3678*1000+C3678</f>
        <v>54071</v>
      </c>
      <c r="B3678" s="0" t="n">
        <v>54</v>
      </c>
      <c r="C3678" s="0" t="n">
        <v>71</v>
      </c>
      <c r="D3678" s="0" t="n">
        <v>208</v>
      </c>
      <c r="E3678" s="0" t="n">
        <f aca="false">VLOOKUP(B3678,'Babblefish-APUMA'!$A$1:$B$86,2)</f>
        <v>90</v>
      </c>
      <c r="F3678" s="0" t="n">
        <f aca="false">IF(C3678&gt;1,IF(C3678&lt;99,VLOOKUP(C3678,'Babblefish-APUMA'!$A$1:$B$86,2),C3678),C3678)</f>
        <v>95</v>
      </c>
    </row>
    <row r="3679" customFormat="false" ht="12.75" hidden="false" customHeight="false" outlineLevel="0" collapsed="false">
      <c r="A3679" s="0" t="n">
        <f aca="false">B3679*1000+C3679</f>
        <v>54072</v>
      </c>
      <c r="B3679" s="0" t="n">
        <v>54</v>
      </c>
      <c r="C3679" s="0" t="n">
        <v>72</v>
      </c>
      <c r="D3679" s="0" t="n">
        <v>273</v>
      </c>
      <c r="E3679" s="0" t="n">
        <f aca="false">VLOOKUP(B3679,'Babblefish-APUMA'!$A$1:$B$86,2)</f>
        <v>90</v>
      </c>
      <c r="F3679" s="0" t="n">
        <f aca="false">IF(C3679&gt;1,IF(C3679&lt;99,VLOOKUP(C3679,'Babblefish-APUMA'!$A$1:$B$86,2),C3679),C3679)</f>
        <v>95</v>
      </c>
    </row>
    <row r="3680" customFormat="false" ht="12.75" hidden="false" customHeight="false" outlineLevel="0" collapsed="false">
      <c r="A3680" s="0" t="n">
        <f aca="false">B3680*1000+C3680</f>
        <v>54073</v>
      </c>
      <c r="B3680" s="0" t="n">
        <v>54</v>
      </c>
      <c r="C3680" s="0" t="n">
        <v>73</v>
      </c>
      <c r="D3680" s="0" t="n">
        <v>0</v>
      </c>
      <c r="E3680" s="0" t="n">
        <f aca="false">VLOOKUP(B3680,'Babblefish-APUMA'!$A$1:$B$86,2)</f>
        <v>90</v>
      </c>
      <c r="F3680" s="0" t="n">
        <f aca="false">IF(C3680&gt;1,IF(C3680&lt;99,VLOOKUP(C3680,'Babblefish-APUMA'!$A$1:$B$86,2),C3680),C3680)</f>
        <v>99</v>
      </c>
    </row>
    <row r="3681" customFormat="false" ht="12.75" hidden="false" customHeight="false" outlineLevel="0" collapsed="false">
      <c r="A3681" s="0" t="n">
        <f aca="false">B3681*1000+C3681</f>
        <v>54075</v>
      </c>
      <c r="B3681" s="0" t="n">
        <v>54</v>
      </c>
      <c r="C3681" s="0" t="n">
        <v>75</v>
      </c>
      <c r="D3681" s="0" t="n">
        <v>0</v>
      </c>
      <c r="E3681" s="0" t="n">
        <f aca="false">VLOOKUP(B3681,'Babblefish-APUMA'!$A$1:$B$86,2)</f>
        <v>90</v>
      </c>
      <c r="F3681" s="0" t="n">
        <f aca="false">IF(C3681&gt;1,IF(C3681&lt;99,VLOOKUP(C3681,'Babblefish-APUMA'!$A$1:$B$86,2),C3681),C3681)</f>
        <v>75</v>
      </c>
    </row>
    <row r="3682" customFormat="false" ht="12.75" hidden="false" customHeight="false" outlineLevel="0" collapsed="false">
      <c r="A3682" s="0" t="n">
        <f aca="false">B3682*1000+C3682</f>
        <v>54076</v>
      </c>
      <c r="B3682" s="0" t="n">
        <v>54</v>
      </c>
      <c r="C3682" s="0" t="n">
        <v>76</v>
      </c>
      <c r="D3682" s="0" t="n">
        <v>0</v>
      </c>
      <c r="E3682" s="0" t="n">
        <f aca="false">VLOOKUP(B3682,'Babblefish-APUMA'!$A$1:$B$86,2)</f>
        <v>90</v>
      </c>
      <c r="F3682" s="0" t="n">
        <f aca="false">IF(C3682&gt;1,IF(C3682&lt;99,VLOOKUP(C3682,'Babblefish-APUMA'!$A$1:$B$86,2),C3682),C3682)</f>
        <v>76</v>
      </c>
    </row>
    <row r="3683" customFormat="false" ht="12.75" hidden="false" customHeight="false" outlineLevel="0" collapsed="false">
      <c r="A3683" s="0" t="n">
        <f aca="false">B3683*1000+C3683</f>
        <v>54077</v>
      </c>
      <c r="B3683" s="0" t="n">
        <v>54</v>
      </c>
      <c r="C3683" s="0" t="n">
        <v>77</v>
      </c>
      <c r="D3683" s="0" t="n">
        <v>0</v>
      </c>
      <c r="E3683" s="0" t="n">
        <f aca="false">VLOOKUP(B3683,'Babblefish-APUMA'!$A$1:$B$86,2)</f>
        <v>90</v>
      </c>
      <c r="F3683" s="0" t="n">
        <f aca="false">IF(C3683&gt;1,IF(C3683&lt;99,VLOOKUP(C3683,'Babblefish-APUMA'!$A$1:$B$86,2),C3683),C3683)</f>
        <v>77</v>
      </c>
    </row>
    <row r="3684" customFormat="false" ht="12.75" hidden="false" customHeight="false" outlineLevel="0" collapsed="false">
      <c r="A3684" s="0" t="n">
        <f aca="false">B3684*1000+C3684</f>
        <v>54078</v>
      </c>
      <c r="B3684" s="0" t="n">
        <v>54</v>
      </c>
      <c r="C3684" s="0" t="n">
        <v>78</v>
      </c>
      <c r="D3684" s="0" t="n">
        <v>0</v>
      </c>
      <c r="E3684" s="0" t="n">
        <f aca="false">VLOOKUP(B3684,'Babblefish-APUMA'!$A$1:$B$86,2)</f>
        <v>90</v>
      </c>
      <c r="F3684" s="0" t="n">
        <f aca="false">IF(C3684&gt;1,IF(C3684&lt;99,VLOOKUP(C3684,'Babblefish-APUMA'!$A$1:$B$86,2),C3684),C3684)</f>
        <v>89</v>
      </c>
    </row>
    <row r="3685" customFormat="false" ht="12.75" hidden="false" customHeight="false" outlineLevel="0" collapsed="false">
      <c r="A3685" s="0" t="n">
        <f aca="false">B3685*1000+C3685</f>
        <v>54079</v>
      </c>
      <c r="B3685" s="0" t="n">
        <v>54</v>
      </c>
      <c r="C3685" s="0" t="n">
        <v>79</v>
      </c>
      <c r="D3685" s="0" t="n">
        <v>0</v>
      </c>
      <c r="E3685" s="0" t="n">
        <f aca="false">VLOOKUP(B3685,'Babblefish-APUMA'!$A$1:$B$86,2)</f>
        <v>90</v>
      </c>
      <c r="F3685" s="0" t="n">
        <f aca="false">IF(C3685&gt;1,IF(C3685&lt;99,VLOOKUP(C3685,'Babblefish-APUMA'!$A$1:$B$86,2),C3685),C3685)</f>
        <v>89</v>
      </c>
    </row>
    <row r="3686" customFormat="false" ht="12.75" hidden="false" customHeight="false" outlineLevel="0" collapsed="false">
      <c r="A3686" s="0" t="n">
        <f aca="false">B3686*1000+C3686</f>
        <v>54080</v>
      </c>
      <c r="B3686" s="0" t="n">
        <v>54</v>
      </c>
      <c r="C3686" s="0" t="n">
        <v>80</v>
      </c>
      <c r="D3686" s="0" t="n">
        <v>0</v>
      </c>
      <c r="E3686" s="0" t="n">
        <f aca="false">VLOOKUP(B3686,'Babblefish-APUMA'!$A$1:$B$86,2)</f>
        <v>90</v>
      </c>
      <c r="F3686" s="0" t="n">
        <f aca="false">IF(C3686&gt;1,IF(C3686&lt;99,VLOOKUP(C3686,'Babblefish-APUMA'!$A$1:$B$86,2),C3686),C3686)</f>
        <v>80</v>
      </c>
    </row>
    <row r="3687" customFormat="false" ht="12.75" hidden="false" customHeight="false" outlineLevel="0" collapsed="false">
      <c r="A3687" s="0" t="n">
        <f aca="false">B3687*1000+C3687</f>
        <v>54081</v>
      </c>
      <c r="B3687" s="0" t="n">
        <v>54</v>
      </c>
      <c r="C3687" s="0" t="n">
        <v>81</v>
      </c>
      <c r="D3687" s="0" t="n">
        <v>0</v>
      </c>
      <c r="E3687" s="0" t="n">
        <f aca="false">VLOOKUP(B3687,'Babblefish-APUMA'!$A$1:$B$86,2)</f>
        <v>90</v>
      </c>
      <c r="F3687" s="0" t="n">
        <f aca="false">IF(C3687&gt;1,IF(C3687&lt;99,VLOOKUP(C3687,'Babblefish-APUMA'!$A$1:$B$86,2),C3687),C3687)</f>
        <v>93</v>
      </c>
    </row>
    <row r="3688" customFormat="false" ht="12.75" hidden="false" customHeight="false" outlineLevel="0" collapsed="false">
      <c r="A3688" s="0" t="n">
        <f aca="false">B3688*1000+C3688</f>
        <v>54082</v>
      </c>
      <c r="B3688" s="0" t="n">
        <v>54</v>
      </c>
      <c r="C3688" s="0" t="n">
        <v>82</v>
      </c>
      <c r="D3688" s="0" t="n">
        <v>0</v>
      </c>
      <c r="E3688" s="0" t="n">
        <f aca="false">VLOOKUP(B3688,'Babblefish-APUMA'!$A$1:$B$86,2)</f>
        <v>90</v>
      </c>
      <c r="F3688" s="0" t="n">
        <f aca="false">IF(C3688&gt;1,IF(C3688&lt;99,VLOOKUP(C3688,'Babblefish-APUMA'!$A$1:$B$86,2),C3688),C3688)</f>
        <v>95</v>
      </c>
    </row>
    <row r="3689" customFormat="false" ht="12.75" hidden="false" customHeight="false" outlineLevel="0" collapsed="false">
      <c r="A3689" s="0" t="n">
        <f aca="false">B3689*1000+C3689</f>
        <v>54083</v>
      </c>
      <c r="B3689" s="0" t="n">
        <v>54</v>
      </c>
      <c r="C3689" s="0" t="n">
        <v>83</v>
      </c>
      <c r="D3689" s="0" t="n">
        <v>0</v>
      </c>
      <c r="E3689" s="0" t="n">
        <f aca="false">VLOOKUP(B3689,'Babblefish-APUMA'!$A$1:$B$86,2)</f>
        <v>90</v>
      </c>
      <c r="F3689" s="0" t="n">
        <f aca="false">IF(C3689&gt;1,IF(C3689&lt;99,VLOOKUP(C3689,'Babblefish-APUMA'!$A$1:$B$86,2),C3689),C3689)</f>
        <v>103</v>
      </c>
    </row>
    <row r="3690" customFormat="false" ht="12.75" hidden="false" customHeight="false" outlineLevel="0" collapsed="false">
      <c r="A3690" s="0" t="n">
        <f aca="false">B3690*1000+C3690</f>
        <v>54084</v>
      </c>
      <c r="B3690" s="0" t="n">
        <v>54</v>
      </c>
      <c r="C3690" s="0" t="n">
        <v>84</v>
      </c>
      <c r="D3690" s="0" t="n">
        <v>520</v>
      </c>
      <c r="E3690" s="0" t="n">
        <f aca="false">VLOOKUP(B3690,'Babblefish-APUMA'!$A$1:$B$86,2)</f>
        <v>90</v>
      </c>
      <c r="F3690" s="0" t="n">
        <f aca="false">IF(C3690&gt;1,IF(C3690&lt;99,VLOOKUP(C3690,'Babblefish-APUMA'!$A$1:$B$86,2),C3690),C3690)</f>
        <v>92</v>
      </c>
    </row>
    <row r="3691" customFormat="false" ht="12.75" hidden="false" customHeight="false" outlineLevel="0" collapsed="false">
      <c r="A3691" s="0" t="n">
        <f aca="false">B3691*1000+C3691</f>
        <v>54085</v>
      </c>
      <c r="B3691" s="0" t="n">
        <v>54</v>
      </c>
      <c r="C3691" s="0" t="n">
        <v>85</v>
      </c>
      <c r="D3691" s="0" t="n">
        <v>0</v>
      </c>
      <c r="E3691" s="0" t="n">
        <f aca="false">VLOOKUP(B3691,'Babblefish-APUMA'!$A$1:$B$86,2)</f>
        <v>90</v>
      </c>
      <c r="F3691" s="0" t="n">
        <f aca="false">IF(C3691&gt;1,IF(C3691&lt;99,VLOOKUP(C3691,'Babblefish-APUMA'!$A$1:$B$86,2),C3691),C3691)</f>
        <v>97</v>
      </c>
    </row>
    <row r="3692" customFormat="false" ht="12.75" hidden="false" customHeight="false" outlineLevel="0" collapsed="false">
      <c r="A3692" s="0" t="n">
        <f aca="false">B3692*1000+C3692</f>
        <v>54858</v>
      </c>
      <c r="B3692" s="0" t="n">
        <v>54</v>
      </c>
      <c r="C3692" s="0" t="n">
        <v>858</v>
      </c>
      <c r="D3692" s="0" t="n">
        <v>0</v>
      </c>
      <c r="E3692" s="0" t="n">
        <f aca="false">VLOOKUP(B3692,'Babblefish-APUMA'!$A$1:$B$86,2)</f>
        <v>90</v>
      </c>
      <c r="F3692" s="0" t="n">
        <f aca="false">IF(C3692&gt;1,IF(C3692&lt;99,VLOOKUP(C3692,'Babblefish-APUMA'!$A$1:$B$86,2),C3692),C3692)</f>
        <v>858</v>
      </c>
    </row>
    <row r="3693" customFormat="false" ht="12.75" hidden="false" customHeight="false" outlineLevel="0" collapsed="false">
      <c r="A3693" s="0" t="n">
        <f aca="false">B3693*1000+C3693</f>
        <v>54983</v>
      </c>
      <c r="B3693" s="0" t="n">
        <v>54</v>
      </c>
      <c r="C3693" s="0" t="n">
        <v>983</v>
      </c>
      <c r="D3693" s="0" t="n">
        <v>0</v>
      </c>
      <c r="E3693" s="0" t="n">
        <f aca="false">VLOOKUP(B3693,'Babblefish-APUMA'!$A$1:$B$86,2)</f>
        <v>90</v>
      </c>
      <c r="F3693" s="0" t="n">
        <f aca="false">IF(C3693&gt;1,IF(C3693&lt;99,VLOOKUP(C3693,'Babblefish-APUMA'!$A$1:$B$86,2),C3693),C3693)</f>
        <v>983</v>
      </c>
    </row>
    <row r="3694" customFormat="false" ht="12.75" hidden="false" customHeight="false" outlineLevel="0" collapsed="false">
      <c r="A3694" s="0" t="n">
        <f aca="false">B3694*1000+C3694</f>
        <v>54999</v>
      </c>
      <c r="B3694" s="0" t="n">
        <v>54</v>
      </c>
      <c r="C3694" s="0" t="n">
        <v>999</v>
      </c>
      <c r="D3694" s="0" t="n">
        <v>0</v>
      </c>
      <c r="E3694" s="0" t="n">
        <f aca="false">VLOOKUP(B3694,'Babblefish-APUMA'!$A$1:$B$86,2)</f>
        <v>90</v>
      </c>
      <c r="F3694" s="0" t="n">
        <f aca="false">IF(C3694&gt;1,IF(C3694&lt;99,VLOOKUP(C3694,'Babblefish-APUMA'!$A$1:$B$86,2),C3694),C3694)</f>
        <v>999</v>
      </c>
    </row>
    <row r="3695" customFormat="false" ht="12.75" hidden="false" customHeight="false" outlineLevel="0" collapsed="false">
      <c r="A3695" s="0" t="n">
        <f aca="false">B3695*1000+C3695</f>
        <v>55000</v>
      </c>
      <c r="B3695" s="0" t="n">
        <v>55</v>
      </c>
      <c r="C3695" s="0" t="n">
        <v>0</v>
      </c>
      <c r="D3695" s="0" t="n">
        <v>84006</v>
      </c>
      <c r="E3695" s="0" t="n">
        <f aca="false">VLOOKUP(B3695,'Babblefish-APUMA'!$A$1:$B$86,2)</f>
        <v>90</v>
      </c>
      <c r="F3695" s="0" t="n">
        <f aca="false">IF(C3695&gt;1,IF(C3695&lt;99,VLOOKUP(C3695,'Babblefish-APUMA'!$A$1:$B$86,2),C3695),C3695)</f>
        <v>0</v>
      </c>
    </row>
    <row r="3696" customFormat="false" ht="12.75" hidden="false" customHeight="false" outlineLevel="0" collapsed="false">
      <c r="A3696" s="0" t="n">
        <f aca="false">B3696*1000+C3696</f>
        <v>55001</v>
      </c>
      <c r="B3696" s="0" t="n">
        <v>55</v>
      </c>
      <c r="C3696" s="0" t="n">
        <v>1</v>
      </c>
      <c r="D3696" s="0" t="n">
        <v>0</v>
      </c>
      <c r="E3696" s="0" t="n">
        <f aca="false">VLOOKUP(B3696,'Babblefish-APUMA'!$A$1:$B$86,2)</f>
        <v>90</v>
      </c>
      <c r="F3696" s="0" t="n">
        <f aca="false">IF(C3696&gt;1,IF(C3696&lt;99,VLOOKUP(C3696,'Babblefish-APUMA'!$A$1:$B$86,2),C3696),C3696)</f>
        <v>1</v>
      </c>
    </row>
    <row r="3697" customFormat="false" ht="12.75" hidden="false" customHeight="false" outlineLevel="0" collapsed="false">
      <c r="A3697" s="0" t="n">
        <f aca="false">B3697*1000+C3697</f>
        <v>55002</v>
      </c>
      <c r="B3697" s="0" t="n">
        <v>55</v>
      </c>
      <c r="C3697" s="0" t="n">
        <v>2</v>
      </c>
      <c r="D3697" s="0" t="n">
        <v>0</v>
      </c>
      <c r="E3697" s="0" t="n">
        <f aca="false">VLOOKUP(B3697,'Babblefish-APUMA'!$A$1:$B$86,2)</f>
        <v>90</v>
      </c>
      <c r="F3697" s="0" t="n">
        <f aca="false">IF(C3697&gt;1,IF(C3697&lt;99,VLOOKUP(C3697,'Babblefish-APUMA'!$A$1:$B$86,2),C3697),C3697)</f>
        <v>2</v>
      </c>
    </row>
    <row r="3698" customFormat="false" ht="12.75" hidden="false" customHeight="false" outlineLevel="0" collapsed="false">
      <c r="A3698" s="0" t="n">
        <f aca="false">B3698*1000+C3698</f>
        <v>55003</v>
      </c>
      <c r="B3698" s="0" t="n">
        <v>55</v>
      </c>
      <c r="C3698" s="0" t="n">
        <v>3</v>
      </c>
      <c r="D3698" s="0" t="n">
        <v>0</v>
      </c>
      <c r="E3698" s="0" t="n">
        <f aca="false">VLOOKUP(B3698,'Babblefish-APUMA'!$A$1:$B$86,2)</f>
        <v>90</v>
      </c>
      <c r="F3698" s="0" t="n">
        <f aca="false">IF(C3698&gt;1,IF(C3698&lt;99,VLOOKUP(C3698,'Babblefish-APUMA'!$A$1:$B$86,2),C3698),C3698)</f>
        <v>3</v>
      </c>
    </row>
    <row r="3699" customFormat="false" ht="12.75" hidden="false" customHeight="false" outlineLevel="0" collapsed="false">
      <c r="A3699" s="0" t="n">
        <f aca="false">B3699*1000+C3699</f>
        <v>55004</v>
      </c>
      <c r="B3699" s="0" t="n">
        <v>55</v>
      </c>
      <c r="C3699" s="0" t="n">
        <v>4</v>
      </c>
      <c r="D3699" s="0" t="n">
        <v>0</v>
      </c>
      <c r="E3699" s="0" t="n">
        <f aca="false">VLOOKUP(B3699,'Babblefish-APUMA'!$A$1:$B$86,2)</f>
        <v>90</v>
      </c>
      <c r="F3699" s="0" t="n">
        <f aca="false">IF(C3699&gt;1,IF(C3699&lt;99,VLOOKUP(C3699,'Babblefish-APUMA'!$A$1:$B$86,2),C3699),C3699)</f>
        <v>4</v>
      </c>
    </row>
    <row r="3700" customFormat="false" ht="12.75" hidden="false" customHeight="false" outlineLevel="0" collapsed="false">
      <c r="A3700" s="0" t="n">
        <f aca="false">B3700*1000+C3700</f>
        <v>55005</v>
      </c>
      <c r="B3700" s="0" t="n">
        <v>55</v>
      </c>
      <c r="C3700" s="0" t="n">
        <v>5</v>
      </c>
      <c r="D3700" s="0" t="n">
        <v>0</v>
      </c>
      <c r="E3700" s="0" t="n">
        <f aca="false">VLOOKUP(B3700,'Babblefish-APUMA'!$A$1:$B$86,2)</f>
        <v>90</v>
      </c>
      <c r="F3700" s="0" t="n">
        <f aca="false">IF(C3700&gt;1,IF(C3700&lt;99,VLOOKUP(C3700,'Babblefish-APUMA'!$A$1:$B$86,2),C3700),C3700)</f>
        <v>5</v>
      </c>
    </row>
    <row r="3701" customFormat="false" ht="12.75" hidden="false" customHeight="false" outlineLevel="0" collapsed="false">
      <c r="A3701" s="0" t="n">
        <f aca="false">B3701*1000+C3701</f>
        <v>55006</v>
      </c>
      <c r="B3701" s="0" t="n">
        <v>55</v>
      </c>
      <c r="C3701" s="0" t="n">
        <v>6</v>
      </c>
      <c r="D3701" s="0" t="n">
        <v>0</v>
      </c>
      <c r="E3701" s="0" t="n">
        <f aca="false">VLOOKUP(B3701,'Babblefish-APUMA'!$A$1:$B$86,2)</f>
        <v>90</v>
      </c>
      <c r="F3701" s="0" t="n">
        <f aca="false">IF(C3701&gt;1,IF(C3701&lt;99,VLOOKUP(C3701,'Babblefish-APUMA'!$A$1:$B$86,2),C3701),C3701)</f>
        <v>6</v>
      </c>
    </row>
    <row r="3702" customFormat="false" ht="12.75" hidden="false" customHeight="false" outlineLevel="0" collapsed="false">
      <c r="A3702" s="0" t="n">
        <f aca="false">B3702*1000+C3702</f>
        <v>55007</v>
      </c>
      <c r="B3702" s="0" t="n">
        <v>55</v>
      </c>
      <c r="C3702" s="0" t="n">
        <v>7</v>
      </c>
      <c r="D3702" s="0" t="n">
        <v>0</v>
      </c>
      <c r="E3702" s="0" t="n">
        <f aca="false">VLOOKUP(B3702,'Babblefish-APUMA'!$A$1:$B$86,2)</f>
        <v>90</v>
      </c>
      <c r="F3702" s="0" t="n">
        <f aca="false">IF(C3702&gt;1,IF(C3702&lt;99,VLOOKUP(C3702,'Babblefish-APUMA'!$A$1:$B$86,2),C3702),C3702)</f>
        <v>7</v>
      </c>
    </row>
    <row r="3703" customFormat="false" ht="12.75" hidden="false" customHeight="false" outlineLevel="0" collapsed="false">
      <c r="A3703" s="0" t="n">
        <f aca="false">B3703*1000+C3703</f>
        <v>55008</v>
      </c>
      <c r="B3703" s="0" t="n">
        <v>55</v>
      </c>
      <c r="C3703" s="0" t="n">
        <v>8</v>
      </c>
      <c r="D3703" s="0" t="n">
        <v>0</v>
      </c>
      <c r="E3703" s="0" t="n">
        <f aca="false">VLOOKUP(B3703,'Babblefish-APUMA'!$A$1:$B$86,2)</f>
        <v>90</v>
      </c>
      <c r="F3703" s="0" t="n">
        <f aca="false">IF(C3703&gt;1,IF(C3703&lt;99,VLOOKUP(C3703,'Babblefish-APUMA'!$A$1:$B$86,2),C3703),C3703)</f>
        <v>8</v>
      </c>
    </row>
    <row r="3704" customFormat="false" ht="12.75" hidden="false" customHeight="false" outlineLevel="0" collapsed="false">
      <c r="A3704" s="0" t="n">
        <f aca="false">B3704*1000+C3704</f>
        <v>55009</v>
      </c>
      <c r="B3704" s="0" t="n">
        <v>55</v>
      </c>
      <c r="C3704" s="0" t="n">
        <v>9</v>
      </c>
      <c r="D3704" s="0" t="n">
        <v>0</v>
      </c>
      <c r="E3704" s="0" t="n">
        <f aca="false">VLOOKUP(B3704,'Babblefish-APUMA'!$A$1:$B$86,2)</f>
        <v>90</v>
      </c>
      <c r="F3704" s="0" t="n">
        <f aca="false">IF(C3704&gt;1,IF(C3704&lt;99,VLOOKUP(C3704,'Babblefish-APUMA'!$A$1:$B$86,2),C3704),C3704)</f>
        <v>9</v>
      </c>
    </row>
    <row r="3705" customFormat="false" ht="12.75" hidden="false" customHeight="false" outlineLevel="0" collapsed="false">
      <c r="A3705" s="0" t="n">
        <f aca="false">B3705*1000+C3705</f>
        <v>55010</v>
      </c>
      <c r="B3705" s="0" t="n">
        <v>55</v>
      </c>
      <c r="C3705" s="0" t="n">
        <v>10</v>
      </c>
      <c r="D3705" s="0" t="n">
        <v>0</v>
      </c>
      <c r="E3705" s="0" t="n">
        <f aca="false">VLOOKUP(B3705,'Babblefish-APUMA'!$A$1:$B$86,2)</f>
        <v>90</v>
      </c>
      <c r="F3705" s="0" t="n">
        <f aca="false">IF(C3705&gt;1,IF(C3705&lt;99,VLOOKUP(C3705,'Babblefish-APUMA'!$A$1:$B$86,2),C3705),C3705)</f>
        <v>10</v>
      </c>
    </row>
    <row r="3706" customFormat="false" ht="12.75" hidden="false" customHeight="false" outlineLevel="0" collapsed="false">
      <c r="A3706" s="0" t="n">
        <f aca="false">B3706*1000+C3706</f>
        <v>55011</v>
      </c>
      <c r="B3706" s="0" t="n">
        <v>55</v>
      </c>
      <c r="C3706" s="0" t="n">
        <v>11</v>
      </c>
      <c r="D3706" s="0" t="n">
        <v>0</v>
      </c>
      <c r="E3706" s="0" t="n">
        <f aca="false">VLOOKUP(B3706,'Babblefish-APUMA'!$A$1:$B$86,2)</f>
        <v>90</v>
      </c>
      <c r="F3706" s="0" t="n">
        <f aca="false">IF(C3706&gt;1,IF(C3706&lt;99,VLOOKUP(C3706,'Babblefish-APUMA'!$A$1:$B$86,2),C3706),C3706)</f>
        <v>11</v>
      </c>
    </row>
    <row r="3707" customFormat="false" ht="12.75" hidden="false" customHeight="false" outlineLevel="0" collapsed="false">
      <c r="A3707" s="0" t="n">
        <f aca="false">B3707*1000+C3707</f>
        <v>55012</v>
      </c>
      <c r="B3707" s="0" t="n">
        <v>55</v>
      </c>
      <c r="C3707" s="0" t="n">
        <v>12</v>
      </c>
      <c r="D3707" s="0" t="n">
        <v>0</v>
      </c>
      <c r="E3707" s="0" t="n">
        <f aca="false">VLOOKUP(B3707,'Babblefish-APUMA'!$A$1:$B$86,2)</f>
        <v>90</v>
      </c>
      <c r="F3707" s="0" t="n">
        <f aca="false">IF(C3707&gt;1,IF(C3707&lt;99,VLOOKUP(C3707,'Babblefish-APUMA'!$A$1:$B$86,2),C3707),C3707)</f>
        <v>12</v>
      </c>
    </row>
    <row r="3708" customFormat="false" ht="12.75" hidden="false" customHeight="false" outlineLevel="0" collapsed="false">
      <c r="A3708" s="0" t="n">
        <f aca="false">B3708*1000+C3708</f>
        <v>55013</v>
      </c>
      <c r="B3708" s="0" t="n">
        <v>55</v>
      </c>
      <c r="C3708" s="0" t="n">
        <v>13</v>
      </c>
      <c r="D3708" s="0" t="n">
        <v>0</v>
      </c>
      <c r="E3708" s="0" t="n">
        <f aca="false">VLOOKUP(B3708,'Babblefish-APUMA'!$A$1:$B$86,2)</f>
        <v>90</v>
      </c>
      <c r="F3708" s="0" t="n">
        <f aca="false">IF(C3708&gt;1,IF(C3708&lt;99,VLOOKUP(C3708,'Babblefish-APUMA'!$A$1:$B$86,2),C3708),C3708)</f>
        <v>100</v>
      </c>
    </row>
    <row r="3709" customFormat="false" ht="12.75" hidden="false" customHeight="false" outlineLevel="0" collapsed="false">
      <c r="A3709" s="0" t="n">
        <f aca="false">B3709*1000+C3709</f>
        <v>55014</v>
      </c>
      <c r="B3709" s="0" t="n">
        <v>55</v>
      </c>
      <c r="C3709" s="0" t="n">
        <v>14</v>
      </c>
      <c r="D3709" s="0" t="n">
        <v>0</v>
      </c>
      <c r="E3709" s="0" t="n">
        <f aca="false">VLOOKUP(B3709,'Babblefish-APUMA'!$A$1:$B$86,2)</f>
        <v>90</v>
      </c>
      <c r="F3709" s="0" t="n">
        <f aca="false">IF(C3709&gt;1,IF(C3709&lt;99,VLOOKUP(C3709,'Babblefish-APUMA'!$A$1:$B$86,2),C3709),C3709)</f>
        <v>100</v>
      </c>
    </row>
    <row r="3710" customFormat="false" ht="12.75" hidden="false" customHeight="false" outlineLevel="0" collapsed="false">
      <c r="A3710" s="0" t="n">
        <f aca="false">B3710*1000+C3710</f>
        <v>55015</v>
      </c>
      <c r="B3710" s="0" t="n">
        <v>55</v>
      </c>
      <c r="C3710" s="0" t="n">
        <v>15</v>
      </c>
      <c r="D3710" s="0" t="n">
        <v>0</v>
      </c>
      <c r="E3710" s="0" t="n">
        <f aca="false">VLOOKUP(B3710,'Babblefish-APUMA'!$A$1:$B$86,2)</f>
        <v>90</v>
      </c>
      <c r="F3710" s="0" t="n">
        <f aca="false">IF(C3710&gt;1,IF(C3710&lt;99,VLOOKUP(C3710,'Babblefish-APUMA'!$A$1:$B$86,2),C3710),C3710)</f>
        <v>15</v>
      </c>
    </row>
    <row r="3711" customFormat="false" ht="12.75" hidden="false" customHeight="false" outlineLevel="0" collapsed="false">
      <c r="A3711" s="0" t="n">
        <f aca="false">B3711*1000+C3711</f>
        <v>55016</v>
      </c>
      <c r="B3711" s="0" t="n">
        <v>55</v>
      </c>
      <c r="C3711" s="0" t="n">
        <v>16</v>
      </c>
      <c r="D3711" s="0" t="n">
        <v>0</v>
      </c>
      <c r="E3711" s="0" t="n">
        <f aca="false">VLOOKUP(B3711,'Babblefish-APUMA'!$A$1:$B$86,2)</f>
        <v>90</v>
      </c>
      <c r="F3711" s="0" t="n">
        <f aca="false">IF(C3711&gt;1,IF(C3711&lt;99,VLOOKUP(C3711,'Babblefish-APUMA'!$A$1:$B$86,2),C3711),C3711)</f>
        <v>99</v>
      </c>
    </row>
    <row r="3712" customFormat="false" ht="12.75" hidden="false" customHeight="false" outlineLevel="0" collapsed="false">
      <c r="A3712" s="0" t="n">
        <f aca="false">B3712*1000+C3712</f>
        <v>55017</v>
      </c>
      <c r="B3712" s="0" t="n">
        <v>55</v>
      </c>
      <c r="C3712" s="0" t="n">
        <v>17</v>
      </c>
      <c r="D3712" s="0" t="n">
        <v>0</v>
      </c>
      <c r="E3712" s="0" t="n">
        <f aca="false">VLOOKUP(B3712,'Babblefish-APUMA'!$A$1:$B$86,2)</f>
        <v>90</v>
      </c>
      <c r="F3712" s="0" t="n">
        <f aca="false">IF(C3712&gt;1,IF(C3712&lt;99,VLOOKUP(C3712,'Babblefish-APUMA'!$A$1:$B$86,2),C3712),C3712)</f>
        <v>87</v>
      </c>
    </row>
    <row r="3713" customFormat="false" ht="12.75" hidden="false" customHeight="false" outlineLevel="0" collapsed="false">
      <c r="A3713" s="0" t="n">
        <f aca="false">B3713*1000+C3713</f>
        <v>55018</v>
      </c>
      <c r="B3713" s="0" t="n">
        <v>55</v>
      </c>
      <c r="C3713" s="0" t="n">
        <v>18</v>
      </c>
      <c r="D3713" s="0" t="n">
        <v>0</v>
      </c>
      <c r="E3713" s="0" t="n">
        <f aca="false">VLOOKUP(B3713,'Babblefish-APUMA'!$A$1:$B$86,2)</f>
        <v>90</v>
      </c>
      <c r="F3713" s="0" t="n">
        <f aca="false">IF(C3713&gt;1,IF(C3713&lt;99,VLOOKUP(C3713,'Babblefish-APUMA'!$A$1:$B$86,2),C3713),C3713)</f>
        <v>87</v>
      </c>
    </row>
    <row r="3714" customFormat="false" ht="12.75" hidden="false" customHeight="false" outlineLevel="0" collapsed="false">
      <c r="A3714" s="0" t="n">
        <f aca="false">B3714*1000+C3714</f>
        <v>55019</v>
      </c>
      <c r="B3714" s="0" t="n">
        <v>55</v>
      </c>
      <c r="C3714" s="0" t="n">
        <v>19</v>
      </c>
      <c r="D3714" s="0" t="n">
        <v>0</v>
      </c>
      <c r="E3714" s="0" t="n">
        <f aca="false">VLOOKUP(B3714,'Babblefish-APUMA'!$A$1:$B$86,2)</f>
        <v>90</v>
      </c>
      <c r="F3714" s="0" t="n">
        <f aca="false">IF(C3714&gt;1,IF(C3714&lt;99,VLOOKUP(C3714,'Babblefish-APUMA'!$A$1:$B$86,2),C3714),C3714)</f>
        <v>19</v>
      </c>
    </row>
    <row r="3715" customFormat="false" ht="12.75" hidden="false" customHeight="false" outlineLevel="0" collapsed="false">
      <c r="A3715" s="0" t="n">
        <f aca="false">B3715*1000+C3715</f>
        <v>55020</v>
      </c>
      <c r="B3715" s="0" t="n">
        <v>55</v>
      </c>
      <c r="C3715" s="0" t="n">
        <v>20</v>
      </c>
      <c r="D3715" s="0" t="n">
        <v>0</v>
      </c>
      <c r="E3715" s="0" t="n">
        <f aca="false">VLOOKUP(B3715,'Babblefish-APUMA'!$A$1:$B$86,2)</f>
        <v>90</v>
      </c>
      <c r="F3715" s="0" t="n">
        <f aca="false">IF(C3715&gt;1,IF(C3715&lt;99,VLOOKUP(C3715,'Babblefish-APUMA'!$A$1:$B$86,2),C3715),C3715)</f>
        <v>86</v>
      </c>
    </row>
    <row r="3716" customFormat="false" ht="12.75" hidden="false" customHeight="false" outlineLevel="0" collapsed="false">
      <c r="A3716" s="0" t="n">
        <f aca="false">B3716*1000+C3716</f>
        <v>55021</v>
      </c>
      <c r="B3716" s="0" t="n">
        <v>55</v>
      </c>
      <c r="C3716" s="0" t="n">
        <v>21</v>
      </c>
      <c r="D3716" s="0" t="n">
        <v>0</v>
      </c>
      <c r="E3716" s="0" t="n">
        <f aca="false">VLOOKUP(B3716,'Babblefish-APUMA'!$A$1:$B$86,2)</f>
        <v>90</v>
      </c>
      <c r="F3716" s="0" t="n">
        <f aca="false">IF(C3716&gt;1,IF(C3716&lt;99,VLOOKUP(C3716,'Babblefish-APUMA'!$A$1:$B$86,2),C3716),C3716)</f>
        <v>86</v>
      </c>
    </row>
    <row r="3717" customFormat="false" ht="12.75" hidden="false" customHeight="false" outlineLevel="0" collapsed="false">
      <c r="A3717" s="0" t="n">
        <f aca="false">B3717*1000+C3717</f>
        <v>55022</v>
      </c>
      <c r="B3717" s="0" t="n">
        <v>55</v>
      </c>
      <c r="C3717" s="0" t="n">
        <v>22</v>
      </c>
      <c r="D3717" s="0" t="n">
        <v>0</v>
      </c>
      <c r="E3717" s="0" t="n">
        <f aca="false">VLOOKUP(B3717,'Babblefish-APUMA'!$A$1:$B$86,2)</f>
        <v>90</v>
      </c>
      <c r="F3717" s="0" t="n">
        <f aca="false">IF(C3717&gt;1,IF(C3717&lt;99,VLOOKUP(C3717,'Babblefish-APUMA'!$A$1:$B$86,2),C3717),C3717)</f>
        <v>22</v>
      </c>
    </row>
    <row r="3718" customFormat="false" ht="12.75" hidden="false" customHeight="false" outlineLevel="0" collapsed="false">
      <c r="A3718" s="0" t="n">
        <f aca="false">B3718*1000+C3718</f>
        <v>55023</v>
      </c>
      <c r="B3718" s="0" t="n">
        <v>55</v>
      </c>
      <c r="C3718" s="0" t="n">
        <v>23</v>
      </c>
      <c r="D3718" s="0" t="n">
        <v>0</v>
      </c>
      <c r="E3718" s="0" t="n">
        <f aca="false">VLOOKUP(B3718,'Babblefish-APUMA'!$A$1:$B$86,2)</f>
        <v>90</v>
      </c>
      <c r="F3718" s="0" t="n">
        <f aca="false">IF(C3718&gt;1,IF(C3718&lt;99,VLOOKUP(C3718,'Babblefish-APUMA'!$A$1:$B$86,2),C3718),C3718)</f>
        <v>97</v>
      </c>
    </row>
    <row r="3719" customFormat="false" ht="12.75" hidden="false" customHeight="false" outlineLevel="0" collapsed="false">
      <c r="A3719" s="0" t="n">
        <f aca="false">B3719*1000+C3719</f>
        <v>55024</v>
      </c>
      <c r="B3719" s="0" t="n">
        <v>55</v>
      </c>
      <c r="C3719" s="0" t="n">
        <v>24</v>
      </c>
      <c r="D3719" s="0" t="n">
        <v>0</v>
      </c>
      <c r="E3719" s="0" t="n">
        <f aca="false">VLOOKUP(B3719,'Babblefish-APUMA'!$A$1:$B$86,2)</f>
        <v>90</v>
      </c>
      <c r="F3719" s="0" t="n">
        <f aca="false">IF(C3719&gt;1,IF(C3719&lt;99,VLOOKUP(C3719,'Babblefish-APUMA'!$A$1:$B$86,2),C3719),C3719)</f>
        <v>101</v>
      </c>
    </row>
    <row r="3720" customFormat="false" ht="12.75" hidden="false" customHeight="false" outlineLevel="0" collapsed="false">
      <c r="A3720" s="0" t="n">
        <f aca="false">B3720*1000+C3720</f>
        <v>55025</v>
      </c>
      <c r="B3720" s="0" t="n">
        <v>55</v>
      </c>
      <c r="C3720" s="0" t="n">
        <v>25</v>
      </c>
      <c r="D3720" s="0" t="n">
        <v>0</v>
      </c>
      <c r="E3720" s="0" t="n">
        <f aca="false">VLOOKUP(B3720,'Babblefish-APUMA'!$A$1:$B$86,2)</f>
        <v>90</v>
      </c>
      <c r="F3720" s="0" t="n">
        <f aca="false">IF(C3720&gt;1,IF(C3720&lt;99,VLOOKUP(C3720,'Babblefish-APUMA'!$A$1:$B$86,2),C3720),C3720)</f>
        <v>101</v>
      </c>
    </row>
    <row r="3721" customFormat="false" ht="12.75" hidden="false" customHeight="false" outlineLevel="0" collapsed="false">
      <c r="A3721" s="0" t="n">
        <f aca="false">B3721*1000+C3721</f>
        <v>55026</v>
      </c>
      <c r="B3721" s="0" t="n">
        <v>55</v>
      </c>
      <c r="C3721" s="0" t="n">
        <v>26</v>
      </c>
      <c r="D3721" s="0" t="n">
        <v>0</v>
      </c>
      <c r="E3721" s="0" t="n">
        <f aca="false">VLOOKUP(B3721,'Babblefish-APUMA'!$A$1:$B$86,2)</f>
        <v>90</v>
      </c>
      <c r="F3721" s="0" t="n">
        <f aca="false">IF(C3721&gt;1,IF(C3721&lt;99,VLOOKUP(C3721,'Babblefish-APUMA'!$A$1:$B$86,2),C3721),C3721)</f>
        <v>26</v>
      </c>
    </row>
    <row r="3722" customFormat="false" ht="12.75" hidden="false" customHeight="false" outlineLevel="0" collapsed="false">
      <c r="A3722" s="0" t="n">
        <f aca="false">B3722*1000+C3722</f>
        <v>55027</v>
      </c>
      <c r="B3722" s="0" t="n">
        <v>55</v>
      </c>
      <c r="C3722" s="0" t="n">
        <v>27</v>
      </c>
      <c r="D3722" s="0" t="n">
        <v>0</v>
      </c>
      <c r="E3722" s="0" t="n">
        <f aca="false">VLOOKUP(B3722,'Babblefish-APUMA'!$A$1:$B$86,2)</f>
        <v>90</v>
      </c>
      <c r="F3722" s="0" t="n">
        <f aca="false">IF(C3722&gt;1,IF(C3722&lt;99,VLOOKUP(C3722,'Babblefish-APUMA'!$A$1:$B$86,2),C3722),C3722)</f>
        <v>27</v>
      </c>
    </row>
    <row r="3723" customFormat="false" ht="12.75" hidden="false" customHeight="false" outlineLevel="0" collapsed="false">
      <c r="A3723" s="0" t="n">
        <f aca="false">B3723*1000+C3723</f>
        <v>55028</v>
      </c>
      <c r="B3723" s="0" t="n">
        <v>55</v>
      </c>
      <c r="C3723" s="0" t="n">
        <v>28</v>
      </c>
      <c r="D3723" s="0" t="n">
        <v>0</v>
      </c>
      <c r="E3723" s="0" t="n">
        <f aca="false">VLOOKUP(B3723,'Babblefish-APUMA'!$A$1:$B$86,2)</f>
        <v>90</v>
      </c>
      <c r="F3723" s="0" t="n">
        <f aca="false">IF(C3723&gt;1,IF(C3723&lt;99,VLOOKUP(C3723,'Babblefish-APUMA'!$A$1:$B$86,2),C3723),C3723)</f>
        <v>94</v>
      </c>
    </row>
    <row r="3724" customFormat="false" ht="12.75" hidden="false" customHeight="false" outlineLevel="0" collapsed="false">
      <c r="A3724" s="0" t="n">
        <f aca="false">B3724*1000+C3724</f>
        <v>55029</v>
      </c>
      <c r="B3724" s="0" t="n">
        <v>55</v>
      </c>
      <c r="C3724" s="0" t="n">
        <v>29</v>
      </c>
      <c r="D3724" s="0" t="n">
        <v>0</v>
      </c>
      <c r="E3724" s="0" t="n">
        <f aca="false">VLOOKUP(B3724,'Babblefish-APUMA'!$A$1:$B$86,2)</f>
        <v>90</v>
      </c>
      <c r="F3724" s="0" t="n">
        <f aca="false">IF(C3724&gt;1,IF(C3724&lt;99,VLOOKUP(C3724,'Babblefish-APUMA'!$A$1:$B$86,2),C3724),C3724)</f>
        <v>94</v>
      </c>
    </row>
    <row r="3725" customFormat="false" ht="12.75" hidden="false" customHeight="false" outlineLevel="0" collapsed="false">
      <c r="A3725" s="0" t="n">
        <f aca="false">B3725*1000+C3725</f>
        <v>55030</v>
      </c>
      <c r="B3725" s="0" t="n">
        <v>55</v>
      </c>
      <c r="C3725" s="0" t="n">
        <v>30</v>
      </c>
      <c r="D3725" s="0" t="n">
        <v>0</v>
      </c>
      <c r="E3725" s="0" t="n">
        <f aca="false">VLOOKUP(B3725,'Babblefish-APUMA'!$A$1:$B$86,2)</f>
        <v>90</v>
      </c>
      <c r="F3725" s="0" t="n">
        <f aca="false">IF(C3725&gt;1,IF(C3725&lt;99,VLOOKUP(C3725,'Babblefish-APUMA'!$A$1:$B$86,2),C3725),C3725)</f>
        <v>30</v>
      </c>
    </row>
    <row r="3726" customFormat="false" ht="12.75" hidden="false" customHeight="false" outlineLevel="0" collapsed="false">
      <c r="A3726" s="0" t="n">
        <f aca="false">B3726*1000+C3726</f>
        <v>55031</v>
      </c>
      <c r="B3726" s="0" t="n">
        <v>55</v>
      </c>
      <c r="C3726" s="0" t="n">
        <v>31</v>
      </c>
      <c r="D3726" s="0" t="n">
        <v>0</v>
      </c>
      <c r="E3726" s="0" t="n">
        <f aca="false">VLOOKUP(B3726,'Babblefish-APUMA'!$A$1:$B$86,2)</f>
        <v>90</v>
      </c>
      <c r="F3726" s="0" t="n">
        <f aca="false">IF(C3726&gt;1,IF(C3726&lt;99,VLOOKUP(C3726,'Babblefish-APUMA'!$A$1:$B$86,2),C3726),C3726)</f>
        <v>31</v>
      </c>
    </row>
    <row r="3727" customFormat="false" ht="12.75" hidden="false" customHeight="false" outlineLevel="0" collapsed="false">
      <c r="A3727" s="0" t="n">
        <f aca="false">B3727*1000+C3727</f>
        <v>55032</v>
      </c>
      <c r="B3727" s="0" t="n">
        <v>55</v>
      </c>
      <c r="C3727" s="0" t="n">
        <v>32</v>
      </c>
      <c r="D3727" s="0" t="n">
        <v>0</v>
      </c>
      <c r="E3727" s="0" t="n">
        <f aca="false">VLOOKUP(B3727,'Babblefish-APUMA'!$A$1:$B$86,2)</f>
        <v>90</v>
      </c>
      <c r="F3727" s="0" t="n">
        <f aca="false">IF(C3727&gt;1,IF(C3727&lt;99,VLOOKUP(C3727,'Babblefish-APUMA'!$A$1:$B$86,2),C3727),C3727)</f>
        <v>32</v>
      </c>
    </row>
    <row r="3728" customFormat="false" ht="12.75" hidden="false" customHeight="false" outlineLevel="0" collapsed="false">
      <c r="A3728" s="0" t="n">
        <f aca="false">B3728*1000+C3728</f>
        <v>55033</v>
      </c>
      <c r="B3728" s="0" t="n">
        <v>55</v>
      </c>
      <c r="C3728" s="0" t="n">
        <v>33</v>
      </c>
      <c r="D3728" s="0" t="n">
        <v>0</v>
      </c>
      <c r="E3728" s="0" t="n">
        <f aca="false">VLOOKUP(B3728,'Babblefish-APUMA'!$A$1:$B$86,2)</f>
        <v>90</v>
      </c>
      <c r="F3728" s="0" t="n">
        <f aca="false">IF(C3728&gt;1,IF(C3728&lt;99,VLOOKUP(C3728,'Babblefish-APUMA'!$A$1:$B$86,2),C3728),C3728)</f>
        <v>96</v>
      </c>
    </row>
    <row r="3729" customFormat="false" ht="12.75" hidden="false" customHeight="false" outlineLevel="0" collapsed="false">
      <c r="A3729" s="0" t="n">
        <f aca="false">B3729*1000+C3729</f>
        <v>55034</v>
      </c>
      <c r="B3729" s="0" t="n">
        <v>55</v>
      </c>
      <c r="C3729" s="0" t="n">
        <v>34</v>
      </c>
      <c r="D3729" s="0" t="n">
        <v>0</v>
      </c>
      <c r="E3729" s="0" t="n">
        <f aca="false">VLOOKUP(B3729,'Babblefish-APUMA'!$A$1:$B$86,2)</f>
        <v>90</v>
      </c>
      <c r="F3729" s="0" t="n">
        <f aca="false">IF(C3729&gt;1,IF(C3729&lt;99,VLOOKUP(C3729,'Babblefish-APUMA'!$A$1:$B$86,2),C3729),C3729)</f>
        <v>96</v>
      </c>
    </row>
    <row r="3730" customFormat="false" ht="12.75" hidden="false" customHeight="false" outlineLevel="0" collapsed="false">
      <c r="A3730" s="0" t="n">
        <f aca="false">B3730*1000+C3730</f>
        <v>55035</v>
      </c>
      <c r="B3730" s="0" t="n">
        <v>55</v>
      </c>
      <c r="C3730" s="0" t="n">
        <v>35</v>
      </c>
      <c r="D3730" s="0" t="n">
        <v>0</v>
      </c>
      <c r="E3730" s="0" t="n">
        <f aca="false">VLOOKUP(B3730,'Babblefish-APUMA'!$A$1:$B$86,2)</f>
        <v>90</v>
      </c>
      <c r="F3730" s="0" t="n">
        <f aca="false">IF(C3730&gt;1,IF(C3730&lt;99,VLOOKUP(C3730,'Babblefish-APUMA'!$A$1:$B$86,2),C3730),C3730)</f>
        <v>96</v>
      </c>
    </row>
    <row r="3731" customFormat="false" ht="12.75" hidden="false" customHeight="false" outlineLevel="0" collapsed="false">
      <c r="A3731" s="0" t="n">
        <f aca="false">B3731*1000+C3731</f>
        <v>55036</v>
      </c>
      <c r="B3731" s="0" t="n">
        <v>55</v>
      </c>
      <c r="C3731" s="0" t="n">
        <v>36</v>
      </c>
      <c r="D3731" s="0" t="n">
        <v>0</v>
      </c>
      <c r="E3731" s="0" t="n">
        <f aca="false">VLOOKUP(B3731,'Babblefish-APUMA'!$A$1:$B$86,2)</f>
        <v>90</v>
      </c>
      <c r="F3731" s="0" t="n">
        <f aca="false">IF(C3731&gt;1,IF(C3731&lt;99,VLOOKUP(C3731,'Babblefish-APUMA'!$A$1:$B$86,2),C3731),C3731)</f>
        <v>96</v>
      </c>
    </row>
    <row r="3732" customFormat="false" ht="12.75" hidden="false" customHeight="false" outlineLevel="0" collapsed="false">
      <c r="A3732" s="0" t="n">
        <f aca="false">B3732*1000+C3732</f>
        <v>55037</v>
      </c>
      <c r="B3732" s="0" t="n">
        <v>55</v>
      </c>
      <c r="C3732" s="0" t="n">
        <v>37</v>
      </c>
      <c r="D3732" s="0" t="n">
        <v>0</v>
      </c>
      <c r="E3732" s="0" t="n">
        <f aca="false">VLOOKUP(B3732,'Babblefish-APUMA'!$A$1:$B$86,2)</f>
        <v>90</v>
      </c>
      <c r="F3732" s="0" t="n">
        <f aca="false">IF(C3732&gt;1,IF(C3732&lt;99,VLOOKUP(C3732,'Babblefish-APUMA'!$A$1:$B$86,2),C3732),C3732)</f>
        <v>96</v>
      </c>
    </row>
    <row r="3733" customFormat="false" ht="12.75" hidden="false" customHeight="false" outlineLevel="0" collapsed="false">
      <c r="A3733" s="0" t="n">
        <f aca="false">B3733*1000+C3733</f>
        <v>55038</v>
      </c>
      <c r="B3733" s="0" t="n">
        <v>55</v>
      </c>
      <c r="C3733" s="0" t="n">
        <v>38</v>
      </c>
      <c r="D3733" s="0" t="n">
        <v>0</v>
      </c>
      <c r="E3733" s="0" t="n">
        <f aca="false">VLOOKUP(B3733,'Babblefish-APUMA'!$A$1:$B$86,2)</f>
        <v>90</v>
      </c>
      <c r="F3733" s="0" t="n">
        <f aca="false">IF(C3733&gt;1,IF(C3733&lt;99,VLOOKUP(C3733,'Babblefish-APUMA'!$A$1:$B$86,2),C3733),C3733)</f>
        <v>91</v>
      </c>
    </row>
    <row r="3734" customFormat="false" ht="12.75" hidden="false" customHeight="false" outlineLevel="0" collapsed="false">
      <c r="A3734" s="0" t="n">
        <f aca="false">B3734*1000+C3734</f>
        <v>55039</v>
      </c>
      <c r="B3734" s="0" t="n">
        <v>55</v>
      </c>
      <c r="C3734" s="0" t="n">
        <v>39</v>
      </c>
      <c r="D3734" s="0" t="n">
        <v>0</v>
      </c>
      <c r="E3734" s="0" t="n">
        <f aca="false">VLOOKUP(B3734,'Babblefish-APUMA'!$A$1:$B$86,2)</f>
        <v>90</v>
      </c>
      <c r="F3734" s="0" t="n">
        <f aca="false">IF(C3734&gt;1,IF(C3734&lt;99,VLOOKUP(C3734,'Babblefish-APUMA'!$A$1:$B$86,2),C3734),C3734)</f>
        <v>91</v>
      </c>
    </row>
    <row r="3735" customFormat="false" ht="12.75" hidden="false" customHeight="false" outlineLevel="0" collapsed="false">
      <c r="A3735" s="0" t="n">
        <f aca="false">B3735*1000+C3735</f>
        <v>55040</v>
      </c>
      <c r="B3735" s="0" t="n">
        <v>55</v>
      </c>
      <c r="C3735" s="0" t="n">
        <v>40</v>
      </c>
      <c r="D3735" s="0" t="n">
        <v>0</v>
      </c>
      <c r="E3735" s="0" t="n">
        <f aca="false">VLOOKUP(B3735,'Babblefish-APUMA'!$A$1:$B$86,2)</f>
        <v>90</v>
      </c>
      <c r="F3735" s="0" t="n">
        <f aca="false">IF(C3735&gt;1,IF(C3735&lt;99,VLOOKUP(C3735,'Babblefish-APUMA'!$A$1:$B$86,2),C3735),C3735)</f>
        <v>88</v>
      </c>
    </row>
    <row r="3736" customFormat="false" ht="12.75" hidden="false" customHeight="false" outlineLevel="0" collapsed="false">
      <c r="A3736" s="0" t="n">
        <f aca="false">B3736*1000+C3736</f>
        <v>55041</v>
      </c>
      <c r="B3736" s="0" t="n">
        <v>55</v>
      </c>
      <c r="C3736" s="0" t="n">
        <v>41</v>
      </c>
      <c r="D3736" s="0" t="n">
        <v>0</v>
      </c>
      <c r="E3736" s="0" t="n">
        <f aca="false">VLOOKUP(B3736,'Babblefish-APUMA'!$A$1:$B$86,2)</f>
        <v>90</v>
      </c>
      <c r="F3736" s="0" t="n">
        <f aca="false">IF(C3736&gt;1,IF(C3736&lt;99,VLOOKUP(C3736,'Babblefish-APUMA'!$A$1:$B$86,2),C3736),C3736)</f>
        <v>88</v>
      </c>
    </row>
    <row r="3737" customFormat="false" ht="12.75" hidden="false" customHeight="false" outlineLevel="0" collapsed="false">
      <c r="A3737" s="0" t="n">
        <f aca="false">B3737*1000+C3737</f>
        <v>55042</v>
      </c>
      <c r="B3737" s="0" t="n">
        <v>55</v>
      </c>
      <c r="C3737" s="0" t="n">
        <v>42</v>
      </c>
      <c r="D3737" s="0" t="n">
        <v>78</v>
      </c>
      <c r="E3737" s="0" t="n">
        <f aca="false">VLOOKUP(B3737,'Babblefish-APUMA'!$A$1:$B$86,2)</f>
        <v>90</v>
      </c>
      <c r="F3737" s="0" t="n">
        <f aca="false">IF(C3737&gt;1,IF(C3737&lt;99,VLOOKUP(C3737,'Babblefish-APUMA'!$A$1:$B$86,2),C3737),C3737)</f>
        <v>92</v>
      </c>
    </row>
    <row r="3738" customFormat="false" ht="12.75" hidden="false" customHeight="false" outlineLevel="0" collapsed="false">
      <c r="A3738" s="0" t="n">
        <f aca="false">B3738*1000+C3738</f>
        <v>55043</v>
      </c>
      <c r="B3738" s="0" t="n">
        <v>55</v>
      </c>
      <c r="C3738" s="0" t="n">
        <v>43</v>
      </c>
      <c r="D3738" s="0" t="n">
        <v>65</v>
      </c>
      <c r="E3738" s="0" t="n">
        <f aca="false">VLOOKUP(B3738,'Babblefish-APUMA'!$A$1:$B$86,2)</f>
        <v>90</v>
      </c>
      <c r="F3738" s="0" t="n">
        <f aca="false">IF(C3738&gt;1,IF(C3738&lt;99,VLOOKUP(C3738,'Babblefish-APUMA'!$A$1:$B$86,2),C3738),C3738)</f>
        <v>92</v>
      </c>
    </row>
    <row r="3739" customFormat="false" ht="12.75" hidden="false" customHeight="false" outlineLevel="0" collapsed="false">
      <c r="A3739" s="0" t="n">
        <f aca="false">B3739*1000+C3739</f>
        <v>55044</v>
      </c>
      <c r="B3739" s="0" t="n">
        <v>55</v>
      </c>
      <c r="C3739" s="0" t="n">
        <v>44</v>
      </c>
      <c r="D3739" s="0" t="n">
        <v>0</v>
      </c>
      <c r="E3739" s="0" t="n">
        <f aca="false">VLOOKUP(B3739,'Babblefish-APUMA'!$A$1:$B$86,2)</f>
        <v>90</v>
      </c>
      <c r="F3739" s="0" t="n">
        <f aca="false">IF(C3739&gt;1,IF(C3739&lt;99,VLOOKUP(C3739,'Babblefish-APUMA'!$A$1:$B$86,2),C3739),C3739)</f>
        <v>92</v>
      </c>
    </row>
    <row r="3740" customFormat="false" ht="12.75" hidden="false" customHeight="false" outlineLevel="0" collapsed="false">
      <c r="A3740" s="0" t="n">
        <f aca="false">B3740*1000+C3740</f>
        <v>55045</v>
      </c>
      <c r="B3740" s="0" t="n">
        <v>55</v>
      </c>
      <c r="C3740" s="0" t="n">
        <v>45</v>
      </c>
      <c r="D3740" s="0" t="n">
        <v>0</v>
      </c>
      <c r="E3740" s="0" t="n">
        <f aca="false">VLOOKUP(B3740,'Babblefish-APUMA'!$A$1:$B$86,2)</f>
        <v>90</v>
      </c>
      <c r="F3740" s="0" t="n">
        <f aca="false">IF(C3740&gt;1,IF(C3740&lt;99,VLOOKUP(C3740,'Babblefish-APUMA'!$A$1:$B$86,2),C3740),C3740)</f>
        <v>92</v>
      </c>
    </row>
    <row r="3741" customFormat="false" ht="12.75" hidden="false" customHeight="false" outlineLevel="0" collapsed="false">
      <c r="A3741" s="0" t="n">
        <f aca="false">B3741*1000+C3741</f>
        <v>55046</v>
      </c>
      <c r="B3741" s="0" t="n">
        <v>55</v>
      </c>
      <c r="C3741" s="0" t="n">
        <v>46</v>
      </c>
      <c r="D3741" s="0" t="n">
        <v>0</v>
      </c>
      <c r="E3741" s="0" t="n">
        <f aca="false">VLOOKUP(B3741,'Babblefish-APUMA'!$A$1:$B$86,2)</f>
        <v>90</v>
      </c>
      <c r="F3741" s="0" t="n">
        <f aca="false">IF(C3741&gt;1,IF(C3741&lt;99,VLOOKUP(C3741,'Babblefish-APUMA'!$A$1:$B$86,2),C3741),C3741)</f>
        <v>92</v>
      </c>
    </row>
    <row r="3742" customFormat="false" ht="12.75" hidden="false" customHeight="false" outlineLevel="0" collapsed="false">
      <c r="A3742" s="0" t="n">
        <f aca="false">B3742*1000+C3742</f>
        <v>55047</v>
      </c>
      <c r="B3742" s="0" t="n">
        <v>55</v>
      </c>
      <c r="C3742" s="0" t="n">
        <v>47</v>
      </c>
      <c r="D3742" s="0" t="n">
        <v>104</v>
      </c>
      <c r="E3742" s="0" t="n">
        <f aca="false">VLOOKUP(B3742,'Babblefish-APUMA'!$A$1:$B$86,2)</f>
        <v>90</v>
      </c>
      <c r="F3742" s="0" t="n">
        <f aca="false">IF(C3742&gt;1,IF(C3742&lt;99,VLOOKUP(C3742,'Babblefish-APUMA'!$A$1:$B$86,2),C3742),C3742)</f>
        <v>92</v>
      </c>
    </row>
    <row r="3743" customFormat="false" ht="12.75" hidden="false" customHeight="false" outlineLevel="0" collapsed="false">
      <c r="A3743" s="0" t="n">
        <f aca="false">B3743*1000+C3743</f>
        <v>55048</v>
      </c>
      <c r="B3743" s="0" t="n">
        <v>55</v>
      </c>
      <c r="C3743" s="0" t="n">
        <v>48</v>
      </c>
      <c r="D3743" s="0" t="n">
        <v>650</v>
      </c>
      <c r="E3743" s="0" t="n">
        <f aca="false">VLOOKUP(B3743,'Babblefish-APUMA'!$A$1:$B$86,2)</f>
        <v>90</v>
      </c>
      <c r="F3743" s="0" t="n">
        <f aca="false">IF(C3743&gt;1,IF(C3743&lt;99,VLOOKUP(C3743,'Babblefish-APUMA'!$A$1:$B$86,2),C3743),C3743)</f>
        <v>92</v>
      </c>
    </row>
    <row r="3744" customFormat="false" ht="12.75" hidden="false" customHeight="false" outlineLevel="0" collapsed="false">
      <c r="A3744" s="0" t="n">
        <f aca="false">B3744*1000+C3744</f>
        <v>55049</v>
      </c>
      <c r="B3744" s="0" t="n">
        <v>55</v>
      </c>
      <c r="C3744" s="0" t="n">
        <v>49</v>
      </c>
      <c r="D3744" s="0" t="n">
        <v>0</v>
      </c>
      <c r="E3744" s="0" t="n">
        <f aca="false">VLOOKUP(B3744,'Babblefish-APUMA'!$A$1:$B$86,2)</f>
        <v>90</v>
      </c>
      <c r="F3744" s="0" t="n">
        <f aca="false">IF(C3744&gt;1,IF(C3744&lt;99,VLOOKUP(C3744,'Babblefish-APUMA'!$A$1:$B$86,2),C3744),C3744)</f>
        <v>98</v>
      </c>
    </row>
    <row r="3745" customFormat="false" ht="12.75" hidden="false" customHeight="false" outlineLevel="0" collapsed="false">
      <c r="A3745" s="0" t="n">
        <f aca="false">B3745*1000+C3745</f>
        <v>55050</v>
      </c>
      <c r="B3745" s="0" t="n">
        <v>55</v>
      </c>
      <c r="C3745" s="0" t="n">
        <v>50</v>
      </c>
      <c r="D3745" s="0" t="n">
        <v>0</v>
      </c>
      <c r="E3745" s="0" t="n">
        <f aca="false">VLOOKUP(B3745,'Babblefish-APUMA'!$A$1:$B$86,2)</f>
        <v>90</v>
      </c>
      <c r="F3745" s="0" t="n">
        <f aca="false">IF(C3745&gt;1,IF(C3745&lt;99,VLOOKUP(C3745,'Babblefish-APUMA'!$A$1:$B$86,2),C3745),C3745)</f>
        <v>98</v>
      </c>
    </row>
    <row r="3746" customFormat="false" ht="12.75" hidden="false" customHeight="false" outlineLevel="0" collapsed="false">
      <c r="A3746" s="0" t="n">
        <f aca="false">B3746*1000+C3746</f>
        <v>55051</v>
      </c>
      <c r="B3746" s="0" t="n">
        <v>55</v>
      </c>
      <c r="C3746" s="0" t="n">
        <v>51</v>
      </c>
      <c r="D3746" s="0" t="n">
        <v>0</v>
      </c>
      <c r="E3746" s="0" t="n">
        <f aca="false">VLOOKUP(B3746,'Babblefish-APUMA'!$A$1:$B$86,2)</f>
        <v>90</v>
      </c>
      <c r="F3746" s="0" t="n">
        <f aca="false">IF(C3746&gt;1,IF(C3746&lt;99,VLOOKUP(C3746,'Babblefish-APUMA'!$A$1:$B$86,2),C3746),C3746)</f>
        <v>98</v>
      </c>
    </row>
    <row r="3747" customFormat="false" ht="12.75" hidden="false" customHeight="false" outlineLevel="0" collapsed="false">
      <c r="A3747" s="0" t="n">
        <f aca="false">B3747*1000+C3747</f>
        <v>55052</v>
      </c>
      <c r="B3747" s="0" t="n">
        <v>55</v>
      </c>
      <c r="C3747" s="0" t="n">
        <v>52</v>
      </c>
      <c r="D3747" s="0" t="n">
        <v>351</v>
      </c>
      <c r="E3747" s="0" t="n">
        <f aca="false">VLOOKUP(B3747,'Babblefish-APUMA'!$A$1:$B$86,2)</f>
        <v>90</v>
      </c>
      <c r="F3747" s="0" t="n">
        <f aca="false">IF(C3747&gt;1,IF(C3747&lt;99,VLOOKUP(C3747,'Babblefish-APUMA'!$A$1:$B$86,2),C3747),C3747)</f>
        <v>90</v>
      </c>
    </row>
    <row r="3748" customFormat="false" ht="12.75" hidden="false" customHeight="false" outlineLevel="0" collapsed="false">
      <c r="A3748" s="0" t="n">
        <f aca="false">B3748*1000+C3748</f>
        <v>55053</v>
      </c>
      <c r="B3748" s="0" t="n">
        <v>55</v>
      </c>
      <c r="C3748" s="0" t="n">
        <v>53</v>
      </c>
      <c r="D3748" s="0" t="n">
        <v>494</v>
      </c>
      <c r="E3748" s="0" t="n">
        <f aca="false">VLOOKUP(B3748,'Babblefish-APUMA'!$A$1:$B$86,2)</f>
        <v>90</v>
      </c>
      <c r="F3748" s="0" t="n">
        <f aca="false">IF(C3748&gt;1,IF(C3748&lt;99,VLOOKUP(C3748,'Babblefish-APUMA'!$A$1:$B$86,2),C3748),C3748)</f>
        <v>90</v>
      </c>
    </row>
    <row r="3749" customFormat="false" ht="12.75" hidden="false" customHeight="false" outlineLevel="0" collapsed="false">
      <c r="A3749" s="0" t="n">
        <f aca="false">B3749*1000+C3749</f>
        <v>55054</v>
      </c>
      <c r="B3749" s="0" t="n">
        <v>55</v>
      </c>
      <c r="C3749" s="0" t="n">
        <v>54</v>
      </c>
      <c r="D3749" s="0" t="n">
        <v>650</v>
      </c>
      <c r="E3749" s="0" t="n">
        <f aca="false">VLOOKUP(B3749,'Babblefish-APUMA'!$A$1:$B$86,2)</f>
        <v>90</v>
      </c>
      <c r="F3749" s="0" t="n">
        <f aca="false">IF(C3749&gt;1,IF(C3749&lt;99,VLOOKUP(C3749,'Babblefish-APUMA'!$A$1:$B$86,2),C3749),C3749)</f>
        <v>90</v>
      </c>
    </row>
    <row r="3750" customFormat="false" ht="12.75" hidden="false" customHeight="false" outlineLevel="0" collapsed="false">
      <c r="A3750" s="0" t="n">
        <f aca="false">B3750*1000+C3750</f>
        <v>55055</v>
      </c>
      <c r="B3750" s="0" t="n">
        <v>55</v>
      </c>
      <c r="C3750" s="0" t="n">
        <v>55</v>
      </c>
      <c r="D3750" s="0" t="n">
        <v>6695</v>
      </c>
      <c r="E3750" s="0" t="n">
        <f aca="false">VLOOKUP(B3750,'Babblefish-APUMA'!$A$1:$B$86,2)</f>
        <v>90</v>
      </c>
      <c r="F3750" s="0" t="n">
        <f aca="false">IF(C3750&gt;1,IF(C3750&lt;99,VLOOKUP(C3750,'Babblefish-APUMA'!$A$1:$B$86,2),C3750),C3750)</f>
        <v>90</v>
      </c>
    </row>
    <row r="3751" customFormat="false" ht="12.75" hidden="false" customHeight="false" outlineLevel="0" collapsed="false">
      <c r="A3751" s="0" t="n">
        <f aca="false">B3751*1000+C3751</f>
        <v>55056</v>
      </c>
      <c r="B3751" s="0" t="n">
        <v>55</v>
      </c>
      <c r="C3751" s="0" t="n">
        <v>56</v>
      </c>
      <c r="D3751" s="0" t="n">
        <v>481</v>
      </c>
      <c r="E3751" s="0" t="n">
        <f aca="false">VLOOKUP(B3751,'Babblefish-APUMA'!$A$1:$B$86,2)</f>
        <v>90</v>
      </c>
      <c r="F3751" s="0" t="n">
        <f aca="false">IF(C3751&gt;1,IF(C3751&lt;99,VLOOKUP(C3751,'Babblefish-APUMA'!$A$1:$B$86,2),C3751),C3751)</f>
        <v>90</v>
      </c>
    </row>
    <row r="3752" customFormat="false" ht="12.75" hidden="false" customHeight="false" outlineLevel="0" collapsed="false">
      <c r="A3752" s="0" t="n">
        <f aca="false">B3752*1000+C3752</f>
        <v>55057</v>
      </c>
      <c r="B3752" s="0" t="n">
        <v>55</v>
      </c>
      <c r="C3752" s="0" t="n">
        <v>57</v>
      </c>
      <c r="D3752" s="0" t="n">
        <v>338</v>
      </c>
      <c r="E3752" s="0" t="n">
        <f aca="false">VLOOKUP(B3752,'Babblefish-APUMA'!$A$1:$B$86,2)</f>
        <v>90</v>
      </c>
      <c r="F3752" s="0" t="n">
        <f aca="false">IF(C3752&gt;1,IF(C3752&lt;99,VLOOKUP(C3752,'Babblefish-APUMA'!$A$1:$B$86,2),C3752),C3752)</f>
        <v>90</v>
      </c>
    </row>
    <row r="3753" customFormat="false" ht="12.75" hidden="false" customHeight="false" outlineLevel="0" collapsed="false">
      <c r="A3753" s="0" t="n">
        <f aca="false">B3753*1000+C3753</f>
        <v>55058</v>
      </c>
      <c r="B3753" s="0" t="n">
        <v>55</v>
      </c>
      <c r="C3753" s="0" t="n">
        <v>58</v>
      </c>
      <c r="D3753" s="0" t="n">
        <v>390</v>
      </c>
      <c r="E3753" s="0" t="n">
        <f aca="false">VLOOKUP(B3753,'Babblefish-APUMA'!$A$1:$B$86,2)</f>
        <v>90</v>
      </c>
      <c r="F3753" s="0" t="n">
        <f aca="false">IF(C3753&gt;1,IF(C3753&lt;99,VLOOKUP(C3753,'Babblefish-APUMA'!$A$1:$B$86,2),C3753),C3753)</f>
        <v>90</v>
      </c>
    </row>
    <row r="3754" customFormat="false" ht="12.75" hidden="false" customHeight="false" outlineLevel="0" collapsed="false">
      <c r="A3754" s="0" t="n">
        <f aca="false">B3754*1000+C3754</f>
        <v>55059</v>
      </c>
      <c r="B3754" s="0" t="n">
        <v>55</v>
      </c>
      <c r="C3754" s="0" t="n">
        <v>59</v>
      </c>
      <c r="D3754" s="0" t="n">
        <v>0</v>
      </c>
      <c r="E3754" s="0" t="n">
        <f aca="false">VLOOKUP(B3754,'Babblefish-APUMA'!$A$1:$B$86,2)</f>
        <v>90</v>
      </c>
      <c r="F3754" s="0" t="n">
        <f aca="false">IF(C3754&gt;1,IF(C3754&lt;99,VLOOKUP(C3754,'Babblefish-APUMA'!$A$1:$B$86,2),C3754),C3754)</f>
        <v>90</v>
      </c>
    </row>
    <row r="3755" customFormat="false" ht="12.75" hidden="false" customHeight="false" outlineLevel="0" collapsed="false">
      <c r="A3755" s="0" t="n">
        <f aca="false">B3755*1000+C3755</f>
        <v>55060</v>
      </c>
      <c r="B3755" s="0" t="n">
        <v>55</v>
      </c>
      <c r="C3755" s="0" t="n">
        <v>60</v>
      </c>
      <c r="D3755" s="0" t="n">
        <v>104</v>
      </c>
      <c r="E3755" s="0" t="n">
        <f aca="false">VLOOKUP(B3755,'Babblefish-APUMA'!$A$1:$B$86,2)</f>
        <v>90</v>
      </c>
      <c r="F3755" s="0" t="n">
        <f aca="false">IF(C3755&gt;1,IF(C3755&lt;99,VLOOKUP(C3755,'Babblefish-APUMA'!$A$1:$B$86,2),C3755),C3755)</f>
        <v>90</v>
      </c>
    </row>
    <row r="3756" customFormat="false" ht="12.75" hidden="false" customHeight="false" outlineLevel="0" collapsed="false">
      <c r="A3756" s="0" t="n">
        <f aca="false">B3756*1000+C3756</f>
        <v>55061</v>
      </c>
      <c r="B3756" s="0" t="n">
        <v>55</v>
      </c>
      <c r="C3756" s="0" t="n">
        <v>61</v>
      </c>
      <c r="D3756" s="0" t="n">
        <v>273</v>
      </c>
      <c r="E3756" s="0" t="n">
        <f aca="false">VLOOKUP(B3756,'Babblefish-APUMA'!$A$1:$B$86,2)</f>
        <v>90</v>
      </c>
      <c r="F3756" s="0" t="n">
        <f aca="false">IF(C3756&gt;1,IF(C3756&lt;99,VLOOKUP(C3756,'Babblefish-APUMA'!$A$1:$B$86,2),C3756),C3756)</f>
        <v>90</v>
      </c>
    </row>
    <row r="3757" customFormat="false" ht="12.75" hidden="false" customHeight="false" outlineLevel="0" collapsed="false">
      <c r="A3757" s="0" t="n">
        <f aca="false">B3757*1000+C3757</f>
        <v>55062</v>
      </c>
      <c r="B3757" s="0" t="n">
        <v>55</v>
      </c>
      <c r="C3757" s="0" t="n">
        <v>62</v>
      </c>
      <c r="D3757" s="0" t="n">
        <v>0</v>
      </c>
      <c r="E3757" s="0" t="n">
        <f aca="false">VLOOKUP(B3757,'Babblefish-APUMA'!$A$1:$B$86,2)</f>
        <v>90</v>
      </c>
      <c r="F3757" s="0" t="n">
        <f aca="false">IF(C3757&gt;1,IF(C3757&lt;99,VLOOKUP(C3757,'Babblefish-APUMA'!$A$1:$B$86,2),C3757),C3757)</f>
        <v>90</v>
      </c>
    </row>
    <row r="3758" customFormat="false" ht="12.75" hidden="false" customHeight="false" outlineLevel="0" collapsed="false">
      <c r="A3758" s="0" t="n">
        <f aca="false">B3758*1000+C3758</f>
        <v>55063</v>
      </c>
      <c r="B3758" s="0" t="n">
        <v>55</v>
      </c>
      <c r="C3758" s="0" t="n">
        <v>63</v>
      </c>
      <c r="D3758" s="0" t="n">
        <v>234</v>
      </c>
      <c r="E3758" s="0" t="n">
        <f aca="false">VLOOKUP(B3758,'Babblefish-APUMA'!$A$1:$B$86,2)</f>
        <v>90</v>
      </c>
      <c r="F3758" s="0" t="n">
        <f aca="false">IF(C3758&gt;1,IF(C3758&lt;99,VLOOKUP(C3758,'Babblefish-APUMA'!$A$1:$B$86,2),C3758),C3758)</f>
        <v>90</v>
      </c>
    </row>
    <row r="3759" customFormat="false" ht="12.75" hidden="false" customHeight="false" outlineLevel="0" collapsed="false">
      <c r="A3759" s="0" t="n">
        <f aca="false">B3759*1000+C3759</f>
        <v>55064</v>
      </c>
      <c r="B3759" s="0" t="n">
        <v>55</v>
      </c>
      <c r="C3759" s="0" t="n">
        <v>64</v>
      </c>
      <c r="D3759" s="0" t="n">
        <v>13429</v>
      </c>
      <c r="E3759" s="0" t="n">
        <f aca="false">VLOOKUP(B3759,'Babblefish-APUMA'!$A$1:$B$86,2)</f>
        <v>90</v>
      </c>
      <c r="F3759" s="0" t="n">
        <f aca="false">IF(C3759&gt;1,IF(C3759&lt;99,VLOOKUP(C3759,'Babblefish-APUMA'!$A$1:$B$86,2),C3759),C3759)</f>
        <v>90</v>
      </c>
    </row>
    <row r="3760" customFormat="false" ht="12.75" hidden="false" customHeight="false" outlineLevel="0" collapsed="false">
      <c r="A3760" s="0" t="n">
        <f aca="false">B3760*1000+C3760</f>
        <v>55065</v>
      </c>
      <c r="B3760" s="0" t="n">
        <v>55</v>
      </c>
      <c r="C3760" s="0" t="n">
        <v>65</v>
      </c>
      <c r="D3760" s="0" t="n">
        <v>19695</v>
      </c>
      <c r="E3760" s="0" t="n">
        <f aca="false">VLOOKUP(B3760,'Babblefish-APUMA'!$A$1:$B$86,2)</f>
        <v>90</v>
      </c>
      <c r="F3760" s="0" t="n">
        <f aca="false">IF(C3760&gt;1,IF(C3760&lt;99,VLOOKUP(C3760,'Babblefish-APUMA'!$A$1:$B$86,2),C3760),C3760)</f>
        <v>90</v>
      </c>
    </row>
    <row r="3761" customFormat="false" ht="12.75" hidden="false" customHeight="false" outlineLevel="0" collapsed="false">
      <c r="A3761" s="0" t="n">
        <f aca="false">B3761*1000+C3761</f>
        <v>55066</v>
      </c>
      <c r="B3761" s="0" t="n">
        <v>55</v>
      </c>
      <c r="C3761" s="0" t="n">
        <v>66</v>
      </c>
      <c r="D3761" s="0" t="n">
        <v>234</v>
      </c>
      <c r="E3761" s="0" t="n">
        <f aca="false">VLOOKUP(B3761,'Babblefish-APUMA'!$A$1:$B$86,2)</f>
        <v>90</v>
      </c>
      <c r="F3761" s="0" t="n">
        <f aca="false">IF(C3761&gt;1,IF(C3761&lt;99,VLOOKUP(C3761,'Babblefish-APUMA'!$A$1:$B$86,2),C3761),C3761)</f>
        <v>90</v>
      </c>
    </row>
    <row r="3762" customFormat="false" ht="12.75" hidden="false" customHeight="false" outlineLevel="0" collapsed="false">
      <c r="A3762" s="0" t="n">
        <f aca="false">B3762*1000+C3762</f>
        <v>55067</v>
      </c>
      <c r="B3762" s="0" t="n">
        <v>55</v>
      </c>
      <c r="C3762" s="0" t="n">
        <v>67</v>
      </c>
      <c r="D3762" s="0" t="n">
        <v>0</v>
      </c>
      <c r="E3762" s="0" t="n">
        <f aca="false">VLOOKUP(B3762,'Babblefish-APUMA'!$A$1:$B$86,2)</f>
        <v>90</v>
      </c>
      <c r="F3762" s="0" t="n">
        <f aca="false">IF(C3762&gt;1,IF(C3762&lt;99,VLOOKUP(C3762,'Babblefish-APUMA'!$A$1:$B$86,2),C3762),C3762)</f>
        <v>103</v>
      </c>
    </row>
    <row r="3763" customFormat="false" ht="12.75" hidden="false" customHeight="false" outlineLevel="0" collapsed="false">
      <c r="A3763" s="0" t="n">
        <f aca="false">B3763*1000+C3763</f>
        <v>55068</v>
      </c>
      <c r="B3763" s="0" t="n">
        <v>55</v>
      </c>
      <c r="C3763" s="0" t="n">
        <v>68</v>
      </c>
      <c r="D3763" s="0" t="n">
        <v>0</v>
      </c>
      <c r="E3763" s="0" t="n">
        <f aca="false">VLOOKUP(B3763,'Babblefish-APUMA'!$A$1:$B$86,2)</f>
        <v>90</v>
      </c>
      <c r="F3763" s="0" t="n">
        <f aca="false">IF(C3763&gt;1,IF(C3763&lt;99,VLOOKUP(C3763,'Babblefish-APUMA'!$A$1:$B$86,2),C3763),C3763)</f>
        <v>93</v>
      </c>
    </row>
    <row r="3764" customFormat="false" ht="12.75" hidden="false" customHeight="false" outlineLevel="0" collapsed="false">
      <c r="A3764" s="0" t="n">
        <f aca="false">B3764*1000+C3764</f>
        <v>55069</v>
      </c>
      <c r="B3764" s="0" t="n">
        <v>55</v>
      </c>
      <c r="C3764" s="0" t="n">
        <v>69</v>
      </c>
      <c r="D3764" s="0" t="n">
        <v>78</v>
      </c>
      <c r="E3764" s="0" t="n">
        <f aca="false">VLOOKUP(B3764,'Babblefish-APUMA'!$A$1:$B$86,2)</f>
        <v>90</v>
      </c>
      <c r="F3764" s="0" t="n">
        <f aca="false">IF(C3764&gt;1,IF(C3764&lt;99,VLOOKUP(C3764,'Babblefish-APUMA'!$A$1:$B$86,2),C3764),C3764)</f>
        <v>93</v>
      </c>
    </row>
    <row r="3765" customFormat="false" ht="12.75" hidden="false" customHeight="false" outlineLevel="0" collapsed="false">
      <c r="A3765" s="0" t="n">
        <f aca="false">B3765*1000+C3765</f>
        <v>55070</v>
      </c>
      <c r="B3765" s="0" t="n">
        <v>55</v>
      </c>
      <c r="C3765" s="0" t="n">
        <v>70</v>
      </c>
      <c r="D3765" s="0" t="n">
        <v>0</v>
      </c>
      <c r="E3765" s="0" t="n">
        <f aca="false">VLOOKUP(B3765,'Babblefish-APUMA'!$A$1:$B$86,2)</f>
        <v>90</v>
      </c>
      <c r="F3765" s="0" t="n">
        <f aca="false">IF(C3765&gt;1,IF(C3765&lt;99,VLOOKUP(C3765,'Babblefish-APUMA'!$A$1:$B$86,2),C3765),C3765)</f>
        <v>95</v>
      </c>
    </row>
    <row r="3766" customFormat="false" ht="12.75" hidden="false" customHeight="false" outlineLevel="0" collapsed="false">
      <c r="A3766" s="0" t="n">
        <f aca="false">B3766*1000+C3766</f>
        <v>55071</v>
      </c>
      <c r="B3766" s="0" t="n">
        <v>55</v>
      </c>
      <c r="C3766" s="0" t="n">
        <v>71</v>
      </c>
      <c r="D3766" s="0" t="n">
        <v>65</v>
      </c>
      <c r="E3766" s="0" t="n">
        <f aca="false">VLOOKUP(B3766,'Babblefish-APUMA'!$A$1:$B$86,2)</f>
        <v>90</v>
      </c>
      <c r="F3766" s="0" t="n">
        <f aca="false">IF(C3766&gt;1,IF(C3766&lt;99,VLOOKUP(C3766,'Babblefish-APUMA'!$A$1:$B$86,2),C3766),C3766)</f>
        <v>95</v>
      </c>
    </row>
    <row r="3767" customFormat="false" ht="12.75" hidden="false" customHeight="false" outlineLevel="0" collapsed="false">
      <c r="A3767" s="0" t="n">
        <f aca="false">B3767*1000+C3767</f>
        <v>55072</v>
      </c>
      <c r="B3767" s="0" t="n">
        <v>55</v>
      </c>
      <c r="C3767" s="0" t="n">
        <v>72</v>
      </c>
      <c r="D3767" s="0" t="n">
        <v>325</v>
      </c>
      <c r="E3767" s="0" t="n">
        <f aca="false">VLOOKUP(B3767,'Babblefish-APUMA'!$A$1:$B$86,2)</f>
        <v>90</v>
      </c>
      <c r="F3767" s="0" t="n">
        <f aca="false">IF(C3767&gt;1,IF(C3767&lt;99,VLOOKUP(C3767,'Babblefish-APUMA'!$A$1:$B$86,2),C3767),C3767)</f>
        <v>95</v>
      </c>
    </row>
    <row r="3768" customFormat="false" ht="12.75" hidden="false" customHeight="false" outlineLevel="0" collapsed="false">
      <c r="A3768" s="0" t="n">
        <f aca="false">B3768*1000+C3768</f>
        <v>55073</v>
      </c>
      <c r="B3768" s="0" t="n">
        <v>55</v>
      </c>
      <c r="C3768" s="0" t="n">
        <v>73</v>
      </c>
      <c r="D3768" s="0" t="n">
        <v>0</v>
      </c>
      <c r="E3768" s="0" t="n">
        <f aca="false">VLOOKUP(B3768,'Babblefish-APUMA'!$A$1:$B$86,2)</f>
        <v>90</v>
      </c>
      <c r="F3768" s="0" t="n">
        <f aca="false">IF(C3768&gt;1,IF(C3768&lt;99,VLOOKUP(C3768,'Babblefish-APUMA'!$A$1:$B$86,2),C3768),C3768)</f>
        <v>99</v>
      </c>
    </row>
    <row r="3769" customFormat="false" ht="12.75" hidden="false" customHeight="false" outlineLevel="0" collapsed="false">
      <c r="A3769" s="0" t="n">
        <f aca="false">B3769*1000+C3769</f>
        <v>55075</v>
      </c>
      <c r="B3769" s="0" t="n">
        <v>55</v>
      </c>
      <c r="C3769" s="0" t="n">
        <v>75</v>
      </c>
      <c r="D3769" s="0" t="n">
        <v>0</v>
      </c>
      <c r="E3769" s="0" t="n">
        <f aca="false">VLOOKUP(B3769,'Babblefish-APUMA'!$A$1:$B$86,2)</f>
        <v>90</v>
      </c>
      <c r="F3769" s="0" t="n">
        <f aca="false">IF(C3769&gt;1,IF(C3769&lt;99,VLOOKUP(C3769,'Babblefish-APUMA'!$A$1:$B$86,2),C3769),C3769)</f>
        <v>75</v>
      </c>
    </row>
    <row r="3770" customFormat="false" ht="12.75" hidden="false" customHeight="false" outlineLevel="0" collapsed="false">
      <c r="A3770" s="0" t="n">
        <f aca="false">B3770*1000+C3770</f>
        <v>55076</v>
      </c>
      <c r="B3770" s="0" t="n">
        <v>55</v>
      </c>
      <c r="C3770" s="0" t="n">
        <v>76</v>
      </c>
      <c r="D3770" s="0" t="n">
        <v>0</v>
      </c>
      <c r="E3770" s="0" t="n">
        <f aca="false">VLOOKUP(B3770,'Babblefish-APUMA'!$A$1:$B$86,2)</f>
        <v>90</v>
      </c>
      <c r="F3770" s="0" t="n">
        <f aca="false">IF(C3770&gt;1,IF(C3770&lt;99,VLOOKUP(C3770,'Babblefish-APUMA'!$A$1:$B$86,2),C3770),C3770)</f>
        <v>76</v>
      </c>
    </row>
    <row r="3771" customFormat="false" ht="12.75" hidden="false" customHeight="false" outlineLevel="0" collapsed="false">
      <c r="A3771" s="0" t="n">
        <f aca="false">B3771*1000+C3771</f>
        <v>55077</v>
      </c>
      <c r="B3771" s="0" t="n">
        <v>55</v>
      </c>
      <c r="C3771" s="0" t="n">
        <v>77</v>
      </c>
      <c r="D3771" s="0" t="n">
        <v>0</v>
      </c>
      <c r="E3771" s="0" t="n">
        <f aca="false">VLOOKUP(B3771,'Babblefish-APUMA'!$A$1:$B$86,2)</f>
        <v>90</v>
      </c>
      <c r="F3771" s="0" t="n">
        <f aca="false">IF(C3771&gt;1,IF(C3771&lt;99,VLOOKUP(C3771,'Babblefish-APUMA'!$A$1:$B$86,2),C3771),C3771)</f>
        <v>77</v>
      </c>
    </row>
    <row r="3772" customFormat="false" ht="12.75" hidden="false" customHeight="false" outlineLevel="0" collapsed="false">
      <c r="A3772" s="0" t="n">
        <f aca="false">B3772*1000+C3772</f>
        <v>55078</v>
      </c>
      <c r="B3772" s="0" t="n">
        <v>55</v>
      </c>
      <c r="C3772" s="0" t="n">
        <v>78</v>
      </c>
      <c r="D3772" s="0" t="n">
        <v>0</v>
      </c>
      <c r="E3772" s="0" t="n">
        <f aca="false">VLOOKUP(B3772,'Babblefish-APUMA'!$A$1:$B$86,2)</f>
        <v>90</v>
      </c>
      <c r="F3772" s="0" t="n">
        <f aca="false">IF(C3772&gt;1,IF(C3772&lt;99,VLOOKUP(C3772,'Babblefish-APUMA'!$A$1:$B$86,2),C3772),C3772)</f>
        <v>89</v>
      </c>
    </row>
    <row r="3773" customFormat="false" ht="12.75" hidden="false" customHeight="false" outlineLevel="0" collapsed="false">
      <c r="A3773" s="0" t="n">
        <f aca="false">B3773*1000+C3773</f>
        <v>55079</v>
      </c>
      <c r="B3773" s="0" t="n">
        <v>55</v>
      </c>
      <c r="C3773" s="0" t="n">
        <v>79</v>
      </c>
      <c r="D3773" s="0" t="n">
        <v>0</v>
      </c>
      <c r="E3773" s="0" t="n">
        <f aca="false">VLOOKUP(B3773,'Babblefish-APUMA'!$A$1:$B$86,2)</f>
        <v>90</v>
      </c>
      <c r="F3773" s="0" t="n">
        <f aca="false">IF(C3773&gt;1,IF(C3773&lt;99,VLOOKUP(C3773,'Babblefish-APUMA'!$A$1:$B$86,2),C3773),C3773)</f>
        <v>89</v>
      </c>
    </row>
    <row r="3774" customFormat="false" ht="12.75" hidden="false" customHeight="false" outlineLevel="0" collapsed="false">
      <c r="A3774" s="0" t="n">
        <f aca="false">B3774*1000+C3774</f>
        <v>55080</v>
      </c>
      <c r="B3774" s="0" t="n">
        <v>55</v>
      </c>
      <c r="C3774" s="0" t="n">
        <v>80</v>
      </c>
      <c r="D3774" s="0" t="n">
        <v>0</v>
      </c>
      <c r="E3774" s="0" t="n">
        <f aca="false">VLOOKUP(B3774,'Babblefish-APUMA'!$A$1:$B$86,2)</f>
        <v>90</v>
      </c>
      <c r="F3774" s="0" t="n">
        <f aca="false">IF(C3774&gt;1,IF(C3774&lt;99,VLOOKUP(C3774,'Babblefish-APUMA'!$A$1:$B$86,2),C3774),C3774)</f>
        <v>80</v>
      </c>
    </row>
    <row r="3775" customFormat="false" ht="12.75" hidden="false" customHeight="false" outlineLevel="0" collapsed="false">
      <c r="A3775" s="0" t="n">
        <f aca="false">B3775*1000+C3775</f>
        <v>55081</v>
      </c>
      <c r="B3775" s="0" t="n">
        <v>55</v>
      </c>
      <c r="C3775" s="0" t="n">
        <v>81</v>
      </c>
      <c r="D3775" s="0" t="n">
        <v>0</v>
      </c>
      <c r="E3775" s="0" t="n">
        <f aca="false">VLOOKUP(B3775,'Babblefish-APUMA'!$A$1:$B$86,2)</f>
        <v>90</v>
      </c>
      <c r="F3775" s="0" t="n">
        <f aca="false">IF(C3775&gt;1,IF(C3775&lt;99,VLOOKUP(C3775,'Babblefish-APUMA'!$A$1:$B$86,2),C3775),C3775)</f>
        <v>93</v>
      </c>
    </row>
    <row r="3776" customFormat="false" ht="12.75" hidden="false" customHeight="false" outlineLevel="0" collapsed="false">
      <c r="A3776" s="0" t="n">
        <f aca="false">B3776*1000+C3776</f>
        <v>55082</v>
      </c>
      <c r="B3776" s="0" t="n">
        <v>55</v>
      </c>
      <c r="C3776" s="0" t="n">
        <v>82</v>
      </c>
      <c r="D3776" s="0" t="n">
        <v>0</v>
      </c>
      <c r="E3776" s="0" t="n">
        <f aca="false">VLOOKUP(B3776,'Babblefish-APUMA'!$A$1:$B$86,2)</f>
        <v>90</v>
      </c>
      <c r="F3776" s="0" t="n">
        <f aca="false">IF(C3776&gt;1,IF(C3776&lt;99,VLOOKUP(C3776,'Babblefish-APUMA'!$A$1:$B$86,2),C3776),C3776)</f>
        <v>95</v>
      </c>
    </row>
    <row r="3777" customFormat="false" ht="12.75" hidden="false" customHeight="false" outlineLevel="0" collapsed="false">
      <c r="A3777" s="0" t="n">
        <f aca="false">B3777*1000+C3777</f>
        <v>55083</v>
      </c>
      <c r="B3777" s="0" t="n">
        <v>55</v>
      </c>
      <c r="C3777" s="0" t="n">
        <v>83</v>
      </c>
      <c r="D3777" s="0" t="n">
        <v>0</v>
      </c>
      <c r="E3777" s="0" t="n">
        <f aca="false">VLOOKUP(B3777,'Babblefish-APUMA'!$A$1:$B$86,2)</f>
        <v>90</v>
      </c>
      <c r="F3777" s="0" t="n">
        <f aca="false">IF(C3777&gt;1,IF(C3777&lt;99,VLOOKUP(C3777,'Babblefish-APUMA'!$A$1:$B$86,2),C3777),C3777)</f>
        <v>103</v>
      </c>
    </row>
    <row r="3778" customFormat="false" ht="12.75" hidden="false" customHeight="false" outlineLevel="0" collapsed="false">
      <c r="A3778" s="0" t="n">
        <f aca="false">B3778*1000+C3778</f>
        <v>55084</v>
      </c>
      <c r="B3778" s="0" t="n">
        <v>55</v>
      </c>
      <c r="C3778" s="0" t="n">
        <v>84</v>
      </c>
      <c r="D3778" s="0" t="n">
        <v>156</v>
      </c>
      <c r="E3778" s="0" t="n">
        <f aca="false">VLOOKUP(B3778,'Babblefish-APUMA'!$A$1:$B$86,2)</f>
        <v>90</v>
      </c>
      <c r="F3778" s="0" t="n">
        <f aca="false">IF(C3778&gt;1,IF(C3778&lt;99,VLOOKUP(C3778,'Babblefish-APUMA'!$A$1:$B$86,2),C3778),C3778)</f>
        <v>92</v>
      </c>
    </row>
    <row r="3779" customFormat="false" ht="12.75" hidden="false" customHeight="false" outlineLevel="0" collapsed="false">
      <c r="A3779" s="0" t="n">
        <f aca="false">B3779*1000+C3779</f>
        <v>55085</v>
      </c>
      <c r="B3779" s="0" t="n">
        <v>55</v>
      </c>
      <c r="C3779" s="0" t="n">
        <v>85</v>
      </c>
      <c r="D3779" s="0" t="n">
        <v>0</v>
      </c>
      <c r="E3779" s="0" t="n">
        <f aca="false">VLOOKUP(B3779,'Babblefish-APUMA'!$A$1:$B$86,2)</f>
        <v>90</v>
      </c>
      <c r="F3779" s="0" t="n">
        <f aca="false">IF(C3779&gt;1,IF(C3779&lt;99,VLOOKUP(C3779,'Babblefish-APUMA'!$A$1:$B$86,2),C3779),C3779)</f>
        <v>97</v>
      </c>
    </row>
    <row r="3780" customFormat="false" ht="12.75" hidden="false" customHeight="false" outlineLevel="0" collapsed="false">
      <c r="A3780" s="0" t="n">
        <f aca="false">B3780*1000+C3780</f>
        <v>55858</v>
      </c>
      <c r="B3780" s="0" t="n">
        <v>55</v>
      </c>
      <c r="C3780" s="0" t="n">
        <v>858</v>
      </c>
      <c r="D3780" s="0" t="n">
        <v>0</v>
      </c>
      <c r="E3780" s="0" t="n">
        <f aca="false">VLOOKUP(B3780,'Babblefish-APUMA'!$A$1:$B$86,2)</f>
        <v>90</v>
      </c>
      <c r="F3780" s="0" t="n">
        <f aca="false">IF(C3780&gt;1,IF(C3780&lt;99,VLOOKUP(C3780,'Babblefish-APUMA'!$A$1:$B$86,2),C3780),C3780)</f>
        <v>858</v>
      </c>
    </row>
    <row r="3781" customFormat="false" ht="12.75" hidden="false" customHeight="false" outlineLevel="0" collapsed="false">
      <c r="A3781" s="0" t="n">
        <f aca="false">B3781*1000+C3781</f>
        <v>55983</v>
      </c>
      <c r="B3781" s="0" t="n">
        <v>55</v>
      </c>
      <c r="C3781" s="0" t="n">
        <v>983</v>
      </c>
      <c r="D3781" s="0" t="n">
        <v>0</v>
      </c>
      <c r="E3781" s="0" t="n">
        <f aca="false">VLOOKUP(B3781,'Babblefish-APUMA'!$A$1:$B$86,2)</f>
        <v>90</v>
      </c>
      <c r="F3781" s="0" t="n">
        <f aca="false">IF(C3781&gt;1,IF(C3781&lt;99,VLOOKUP(C3781,'Babblefish-APUMA'!$A$1:$B$86,2),C3781),C3781)</f>
        <v>983</v>
      </c>
    </row>
    <row r="3782" customFormat="false" ht="12.75" hidden="false" customHeight="false" outlineLevel="0" collapsed="false">
      <c r="A3782" s="0" t="n">
        <f aca="false">B3782*1000+C3782</f>
        <v>55999</v>
      </c>
      <c r="B3782" s="0" t="n">
        <v>55</v>
      </c>
      <c r="C3782" s="0" t="n">
        <v>999</v>
      </c>
      <c r="D3782" s="0" t="n">
        <v>0</v>
      </c>
      <c r="E3782" s="0" t="n">
        <f aca="false">VLOOKUP(B3782,'Babblefish-APUMA'!$A$1:$B$86,2)</f>
        <v>90</v>
      </c>
      <c r="F3782" s="0" t="n">
        <f aca="false">IF(C3782&gt;1,IF(C3782&lt;99,VLOOKUP(C3782,'Babblefish-APUMA'!$A$1:$B$86,2),C3782),C3782)</f>
        <v>999</v>
      </c>
    </row>
    <row r="3783" customFormat="false" ht="12.75" hidden="false" customHeight="false" outlineLevel="0" collapsed="false">
      <c r="A3783" s="0" t="n">
        <f aca="false">B3783*1000+C3783</f>
        <v>56000</v>
      </c>
      <c r="B3783" s="0" t="n">
        <v>56</v>
      </c>
      <c r="C3783" s="0" t="n">
        <v>0</v>
      </c>
      <c r="D3783" s="0" t="n">
        <v>81172</v>
      </c>
      <c r="E3783" s="0" t="n">
        <f aca="false">VLOOKUP(B3783,'Babblefish-APUMA'!$A$1:$B$86,2)</f>
        <v>90</v>
      </c>
      <c r="F3783" s="0" t="n">
        <f aca="false">IF(C3783&gt;1,IF(C3783&lt;99,VLOOKUP(C3783,'Babblefish-APUMA'!$A$1:$B$86,2),C3783),C3783)</f>
        <v>0</v>
      </c>
    </row>
    <row r="3784" customFormat="false" ht="12.75" hidden="false" customHeight="false" outlineLevel="0" collapsed="false">
      <c r="A3784" s="0" t="n">
        <f aca="false">B3784*1000+C3784</f>
        <v>56001</v>
      </c>
      <c r="B3784" s="0" t="n">
        <v>56</v>
      </c>
      <c r="C3784" s="0" t="n">
        <v>1</v>
      </c>
      <c r="D3784" s="0" t="n">
        <v>0</v>
      </c>
      <c r="E3784" s="0" t="n">
        <f aca="false">VLOOKUP(B3784,'Babblefish-APUMA'!$A$1:$B$86,2)</f>
        <v>90</v>
      </c>
      <c r="F3784" s="0" t="n">
        <f aca="false">IF(C3784&gt;1,IF(C3784&lt;99,VLOOKUP(C3784,'Babblefish-APUMA'!$A$1:$B$86,2),C3784),C3784)</f>
        <v>1</v>
      </c>
    </row>
    <row r="3785" customFormat="false" ht="12.75" hidden="false" customHeight="false" outlineLevel="0" collapsed="false">
      <c r="A3785" s="0" t="n">
        <f aca="false">B3785*1000+C3785</f>
        <v>56002</v>
      </c>
      <c r="B3785" s="0" t="n">
        <v>56</v>
      </c>
      <c r="C3785" s="0" t="n">
        <v>2</v>
      </c>
      <c r="D3785" s="0" t="n">
        <v>0</v>
      </c>
      <c r="E3785" s="0" t="n">
        <f aca="false">VLOOKUP(B3785,'Babblefish-APUMA'!$A$1:$B$86,2)</f>
        <v>90</v>
      </c>
      <c r="F3785" s="0" t="n">
        <f aca="false">IF(C3785&gt;1,IF(C3785&lt;99,VLOOKUP(C3785,'Babblefish-APUMA'!$A$1:$B$86,2),C3785),C3785)</f>
        <v>2</v>
      </c>
    </row>
    <row r="3786" customFormat="false" ht="12.75" hidden="false" customHeight="false" outlineLevel="0" collapsed="false">
      <c r="A3786" s="0" t="n">
        <f aca="false">B3786*1000+C3786</f>
        <v>56003</v>
      </c>
      <c r="B3786" s="0" t="n">
        <v>56</v>
      </c>
      <c r="C3786" s="0" t="n">
        <v>3</v>
      </c>
      <c r="D3786" s="0" t="n">
        <v>0</v>
      </c>
      <c r="E3786" s="0" t="n">
        <f aca="false">VLOOKUP(B3786,'Babblefish-APUMA'!$A$1:$B$86,2)</f>
        <v>90</v>
      </c>
      <c r="F3786" s="0" t="n">
        <f aca="false">IF(C3786&gt;1,IF(C3786&lt;99,VLOOKUP(C3786,'Babblefish-APUMA'!$A$1:$B$86,2),C3786),C3786)</f>
        <v>3</v>
      </c>
    </row>
    <row r="3787" customFormat="false" ht="12.75" hidden="false" customHeight="false" outlineLevel="0" collapsed="false">
      <c r="A3787" s="0" t="n">
        <f aca="false">B3787*1000+C3787</f>
        <v>56004</v>
      </c>
      <c r="B3787" s="0" t="n">
        <v>56</v>
      </c>
      <c r="C3787" s="0" t="n">
        <v>4</v>
      </c>
      <c r="D3787" s="0" t="n">
        <v>0</v>
      </c>
      <c r="E3787" s="0" t="n">
        <f aca="false">VLOOKUP(B3787,'Babblefish-APUMA'!$A$1:$B$86,2)</f>
        <v>90</v>
      </c>
      <c r="F3787" s="0" t="n">
        <f aca="false">IF(C3787&gt;1,IF(C3787&lt;99,VLOOKUP(C3787,'Babblefish-APUMA'!$A$1:$B$86,2),C3787),C3787)</f>
        <v>4</v>
      </c>
    </row>
    <row r="3788" customFormat="false" ht="12.75" hidden="false" customHeight="false" outlineLevel="0" collapsed="false">
      <c r="A3788" s="0" t="n">
        <f aca="false">B3788*1000+C3788</f>
        <v>56005</v>
      </c>
      <c r="B3788" s="0" t="n">
        <v>56</v>
      </c>
      <c r="C3788" s="0" t="n">
        <v>5</v>
      </c>
      <c r="D3788" s="0" t="n">
        <v>0</v>
      </c>
      <c r="E3788" s="0" t="n">
        <f aca="false">VLOOKUP(B3788,'Babblefish-APUMA'!$A$1:$B$86,2)</f>
        <v>90</v>
      </c>
      <c r="F3788" s="0" t="n">
        <f aca="false">IF(C3788&gt;1,IF(C3788&lt;99,VLOOKUP(C3788,'Babblefish-APUMA'!$A$1:$B$86,2),C3788),C3788)</f>
        <v>5</v>
      </c>
    </row>
    <row r="3789" customFormat="false" ht="12.75" hidden="false" customHeight="false" outlineLevel="0" collapsed="false">
      <c r="A3789" s="0" t="n">
        <f aca="false">B3789*1000+C3789</f>
        <v>56006</v>
      </c>
      <c r="B3789" s="0" t="n">
        <v>56</v>
      </c>
      <c r="C3789" s="0" t="n">
        <v>6</v>
      </c>
      <c r="D3789" s="0" t="n">
        <v>0</v>
      </c>
      <c r="E3789" s="0" t="n">
        <f aca="false">VLOOKUP(B3789,'Babblefish-APUMA'!$A$1:$B$86,2)</f>
        <v>90</v>
      </c>
      <c r="F3789" s="0" t="n">
        <f aca="false">IF(C3789&gt;1,IF(C3789&lt;99,VLOOKUP(C3789,'Babblefish-APUMA'!$A$1:$B$86,2),C3789),C3789)</f>
        <v>6</v>
      </c>
    </row>
    <row r="3790" customFormat="false" ht="12.75" hidden="false" customHeight="false" outlineLevel="0" collapsed="false">
      <c r="A3790" s="0" t="n">
        <f aca="false">B3790*1000+C3790</f>
        <v>56007</v>
      </c>
      <c r="B3790" s="0" t="n">
        <v>56</v>
      </c>
      <c r="C3790" s="0" t="n">
        <v>7</v>
      </c>
      <c r="D3790" s="0" t="n">
        <v>0</v>
      </c>
      <c r="E3790" s="0" t="n">
        <f aca="false">VLOOKUP(B3790,'Babblefish-APUMA'!$A$1:$B$86,2)</f>
        <v>90</v>
      </c>
      <c r="F3790" s="0" t="n">
        <f aca="false">IF(C3790&gt;1,IF(C3790&lt;99,VLOOKUP(C3790,'Babblefish-APUMA'!$A$1:$B$86,2),C3790),C3790)</f>
        <v>7</v>
      </c>
    </row>
    <row r="3791" customFormat="false" ht="12.75" hidden="false" customHeight="false" outlineLevel="0" collapsed="false">
      <c r="A3791" s="0" t="n">
        <f aca="false">B3791*1000+C3791</f>
        <v>56008</v>
      </c>
      <c r="B3791" s="0" t="n">
        <v>56</v>
      </c>
      <c r="C3791" s="0" t="n">
        <v>8</v>
      </c>
      <c r="D3791" s="0" t="n">
        <v>0</v>
      </c>
      <c r="E3791" s="0" t="n">
        <f aca="false">VLOOKUP(B3791,'Babblefish-APUMA'!$A$1:$B$86,2)</f>
        <v>90</v>
      </c>
      <c r="F3791" s="0" t="n">
        <f aca="false">IF(C3791&gt;1,IF(C3791&lt;99,VLOOKUP(C3791,'Babblefish-APUMA'!$A$1:$B$86,2),C3791),C3791)</f>
        <v>8</v>
      </c>
    </row>
    <row r="3792" customFormat="false" ht="12.75" hidden="false" customHeight="false" outlineLevel="0" collapsed="false">
      <c r="A3792" s="0" t="n">
        <f aca="false">B3792*1000+C3792</f>
        <v>56009</v>
      </c>
      <c r="B3792" s="0" t="n">
        <v>56</v>
      </c>
      <c r="C3792" s="0" t="n">
        <v>9</v>
      </c>
      <c r="D3792" s="0" t="n">
        <v>0</v>
      </c>
      <c r="E3792" s="0" t="n">
        <f aca="false">VLOOKUP(B3792,'Babblefish-APUMA'!$A$1:$B$86,2)</f>
        <v>90</v>
      </c>
      <c r="F3792" s="0" t="n">
        <f aca="false">IF(C3792&gt;1,IF(C3792&lt;99,VLOOKUP(C3792,'Babblefish-APUMA'!$A$1:$B$86,2),C3792),C3792)</f>
        <v>9</v>
      </c>
    </row>
    <row r="3793" customFormat="false" ht="12.75" hidden="false" customHeight="false" outlineLevel="0" collapsed="false">
      <c r="A3793" s="0" t="n">
        <f aca="false">B3793*1000+C3793</f>
        <v>56010</v>
      </c>
      <c r="B3793" s="0" t="n">
        <v>56</v>
      </c>
      <c r="C3793" s="0" t="n">
        <v>10</v>
      </c>
      <c r="D3793" s="0" t="n">
        <v>0</v>
      </c>
      <c r="E3793" s="0" t="n">
        <f aca="false">VLOOKUP(B3793,'Babblefish-APUMA'!$A$1:$B$86,2)</f>
        <v>90</v>
      </c>
      <c r="F3793" s="0" t="n">
        <f aca="false">IF(C3793&gt;1,IF(C3793&lt;99,VLOOKUP(C3793,'Babblefish-APUMA'!$A$1:$B$86,2),C3793),C3793)</f>
        <v>10</v>
      </c>
    </row>
    <row r="3794" customFormat="false" ht="12.75" hidden="false" customHeight="false" outlineLevel="0" collapsed="false">
      <c r="A3794" s="0" t="n">
        <f aca="false">B3794*1000+C3794</f>
        <v>56011</v>
      </c>
      <c r="B3794" s="0" t="n">
        <v>56</v>
      </c>
      <c r="C3794" s="0" t="n">
        <v>11</v>
      </c>
      <c r="D3794" s="0" t="n">
        <v>0</v>
      </c>
      <c r="E3794" s="0" t="n">
        <f aca="false">VLOOKUP(B3794,'Babblefish-APUMA'!$A$1:$B$86,2)</f>
        <v>90</v>
      </c>
      <c r="F3794" s="0" t="n">
        <f aca="false">IF(C3794&gt;1,IF(C3794&lt;99,VLOOKUP(C3794,'Babblefish-APUMA'!$A$1:$B$86,2),C3794),C3794)</f>
        <v>11</v>
      </c>
    </row>
    <row r="3795" customFormat="false" ht="12.75" hidden="false" customHeight="false" outlineLevel="0" collapsed="false">
      <c r="A3795" s="0" t="n">
        <f aca="false">B3795*1000+C3795</f>
        <v>56012</v>
      </c>
      <c r="B3795" s="0" t="n">
        <v>56</v>
      </c>
      <c r="C3795" s="0" t="n">
        <v>12</v>
      </c>
      <c r="D3795" s="0" t="n">
        <v>0</v>
      </c>
      <c r="E3795" s="0" t="n">
        <f aca="false">VLOOKUP(B3795,'Babblefish-APUMA'!$A$1:$B$86,2)</f>
        <v>90</v>
      </c>
      <c r="F3795" s="0" t="n">
        <f aca="false">IF(C3795&gt;1,IF(C3795&lt;99,VLOOKUP(C3795,'Babblefish-APUMA'!$A$1:$B$86,2),C3795),C3795)</f>
        <v>12</v>
      </c>
    </row>
    <row r="3796" customFormat="false" ht="12.75" hidden="false" customHeight="false" outlineLevel="0" collapsed="false">
      <c r="A3796" s="0" t="n">
        <f aca="false">B3796*1000+C3796</f>
        <v>56013</v>
      </c>
      <c r="B3796" s="0" t="n">
        <v>56</v>
      </c>
      <c r="C3796" s="0" t="n">
        <v>13</v>
      </c>
      <c r="D3796" s="0" t="n">
        <v>0</v>
      </c>
      <c r="E3796" s="0" t="n">
        <f aca="false">VLOOKUP(B3796,'Babblefish-APUMA'!$A$1:$B$86,2)</f>
        <v>90</v>
      </c>
      <c r="F3796" s="0" t="n">
        <f aca="false">IF(C3796&gt;1,IF(C3796&lt;99,VLOOKUP(C3796,'Babblefish-APUMA'!$A$1:$B$86,2),C3796),C3796)</f>
        <v>100</v>
      </c>
    </row>
    <row r="3797" customFormat="false" ht="12.75" hidden="false" customHeight="false" outlineLevel="0" collapsed="false">
      <c r="A3797" s="0" t="n">
        <f aca="false">B3797*1000+C3797</f>
        <v>56014</v>
      </c>
      <c r="B3797" s="0" t="n">
        <v>56</v>
      </c>
      <c r="C3797" s="0" t="n">
        <v>14</v>
      </c>
      <c r="D3797" s="0" t="n">
        <v>0</v>
      </c>
      <c r="E3797" s="0" t="n">
        <f aca="false">VLOOKUP(B3797,'Babblefish-APUMA'!$A$1:$B$86,2)</f>
        <v>90</v>
      </c>
      <c r="F3797" s="0" t="n">
        <f aca="false">IF(C3797&gt;1,IF(C3797&lt;99,VLOOKUP(C3797,'Babblefish-APUMA'!$A$1:$B$86,2),C3797),C3797)</f>
        <v>100</v>
      </c>
    </row>
    <row r="3798" customFormat="false" ht="12.75" hidden="false" customHeight="false" outlineLevel="0" collapsed="false">
      <c r="A3798" s="0" t="n">
        <f aca="false">B3798*1000+C3798</f>
        <v>56015</v>
      </c>
      <c r="B3798" s="0" t="n">
        <v>56</v>
      </c>
      <c r="C3798" s="0" t="n">
        <v>15</v>
      </c>
      <c r="D3798" s="0" t="n">
        <v>0</v>
      </c>
      <c r="E3798" s="0" t="n">
        <f aca="false">VLOOKUP(B3798,'Babblefish-APUMA'!$A$1:$B$86,2)</f>
        <v>90</v>
      </c>
      <c r="F3798" s="0" t="n">
        <f aca="false">IF(C3798&gt;1,IF(C3798&lt;99,VLOOKUP(C3798,'Babblefish-APUMA'!$A$1:$B$86,2),C3798),C3798)</f>
        <v>15</v>
      </c>
    </row>
    <row r="3799" customFormat="false" ht="12.75" hidden="false" customHeight="false" outlineLevel="0" collapsed="false">
      <c r="A3799" s="0" t="n">
        <f aca="false">B3799*1000+C3799</f>
        <v>56016</v>
      </c>
      <c r="B3799" s="0" t="n">
        <v>56</v>
      </c>
      <c r="C3799" s="0" t="n">
        <v>16</v>
      </c>
      <c r="D3799" s="0" t="n">
        <v>0</v>
      </c>
      <c r="E3799" s="0" t="n">
        <f aca="false">VLOOKUP(B3799,'Babblefish-APUMA'!$A$1:$B$86,2)</f>
        <v>90</v>
      </c>
      <c r="F3799" s="0" t="n">
        <f aca="false">IF(C3799&gt;1,IF(C3799&lt;99,VLOOKUP(C3799,'Babblefish-APUMA'!$A$1:$B$86,2),C3799),C3799)</f>
        <v>99</v>
      </c>
    </row>
    <row r="3800" customFormat="false" ht="12.75" hidden="false" customHeight="false" outlineLevel="0" collapsed="false">
      <c r="A3800" s="0" t="n">
        <f aca="false">B3800*1000+C3800</f>
        <v>56017</v>
      </c>
      <c r="B3800" s="0" t="n">
        <v>56</v>
      </c>
      <c r="C3800" s="0" t="n">
        <v>17</v>
      </c>
      <c r="D3800" s="0" t="n">
        <v>0</v>
      </c>
      <c r="E3800" s="0" t="n">
        <f aca="false">VLOOKUP(B3800,'Babblefish-APUMA'!$A$1:$B$86,2)</f>
        <v>90</v>
      </c>
      <c r="F3800" s="0" t="n">
        <f aca="false">IF(C3800&gt;1,IF(C3800&lt;99,VLOOKUP(C3800,'Babblefish-APUMA'!$A$1:$B$86,2),C3800),C3800)</f>
        <v>87</v>
      </c>
    </row>
    <row r="3801" customFormat="false" ht="12.75" hidden="false" customHeight="false" outlineLevel="0" collapsed="false">
      <c r="A3801" s="0" t="n">
        <f aca="false">B3801*1000+C3801</f>
        <v>56018</v>
      </c>
      <c r="B3801" s="0" t="n">
        <v>56</v>
      </c>
      <c r="C3801" s="0" t="n">
        <v>18</v>
      </c>
      <c r="D3801" s="0" t="n">
        <v>0</v>
      </c>
      <c r="E3801" s="0" t="n">
        <f aca="false">VLOOKUP(B3801,'Babblefish-APUMA'!$A$1:$B$86,2)</f>
        <v>90</v>
      </c>
      <c r="F3801" s="0" t="n">
        <f aca="false">IF(C3801&gt;1,IF(C3801&lt;99,VLOOKUP(C3801,'Babblefish-APUMA'!$A$1:$B$86,2),C3801),C3801)</f>
        <v>87</v>
      </c>
    </row>
    <row r="3802" customFormat="false" ht="12.75" hidden="false" customHeight="false" outlineLevel="0" collapsed="false">
      <c r="A3802" s="0" t="n">
        <f aca="false">B3802*1000+C3802</f>
        <v>56019</v>
      </c>
      <c r="B3802" s="0" t="n">
        <v>56</v>
      </c>
      <c r="C3802" s="0" t="n">
        <v>19</v>
      </c>
      <c r="D3802" s="0" t="n">
        <v>0</v>
      </c>
      <c r="E3802" s="0" t="n">
        <f aca="false">VLOOKUP(B3802,'Babblefish-APUMA'!$A$1:$B$86,2)</f>
        <v>90</v>
      </c>
      <c r="F3802" s="0" t="n">
        <f aca="false">IF(C3802&gt;1,IF(C3802&lt;99,VLOOKUP(C3802,'Babblefish-APUMA'!$A$1:$B$86,2),C3802),C3802)</f>
        <v>19</v>
      </c>
    </row>
    <row r="3803" customFormat="false" ht="12.75" hidden="false" customHeight="false" outlineLevel="0" collapsed="false">
      <c r="A3803" s="0" t="n">
        <f aca="false">B3803*1000+C3803</f>
        <v>56020</v>
      </c>
      <c r="B3803" s="0" t="n">
        <v>56</v>
      </c>
      <c r="C3803" s="0" t="n">
        <v>20</v>
      </c>
      <c r="D3803" s="0" t="n">
        <v>0</v>
      </c>
      <c r="E3803" s="0" t="n">
        <f aca="false">VLOOKUP(B3803,'Babblefish-APUMA'!$A$1:$B$86,2)</f>
        <v>90</v>
      </c>
      <c r="F3803" s="0" t="n">
        <f aca="false">IF(C3803&gt;1,IF(C3803&lt;99,VLOOKUP(C3803,'Babblefish-APUMA'!$A$1:$B$86,2),C3803),C3803)</f>
        <v>86</v>
      </c>
    </row>
    <row r="3804" customFormat="false" ht="12.75" hidden="false" customHeight="false" outlineLevel="0" collapsed="false">
      <c r="A3804" s="0" t="n">
        <f aca="false">B3804*1000+C3804</f>
        <v>56021</v>
      </c>
      <c r="B3804" s="0" t="n">
        <v>56</v>
      </c>
      <c r="C3804" s="0" t="n">
        <v>21</v>
      </c>
      <c r="D3804" s="0" t="n">
        <v>0</v>
      </c>
      <c r="E3804" s="0" t="n">
        <f aca="false">VLOOKUP(B3804,'Babblefish-APUMA'!$A$1:$B$86,2)</f>
        <v>90</v>
      </c>
      <c r="F3804" s="0" t="n">
        <f aca="false">IF(C3804&gt;1,IF(C3804&lt;99,VLOOKUP(C3804,'Babblefish-APUMA'!$A$1:$B$86,2),C3804),C3804)</f>
        <v>86</v>
      </c>
    </row>
    <row r="3805" customFormat="false" ht="12.75" hidden="false" customHeight="false" outlineLevel="0" collapsed="false">
      <c r="A3805" s="0" t="n">
        <f aca="false">B3805*1000+C3805</f>
        <v>56022</v>
      </c>
      <c r="B3805" s="0" t="n">
        <v>56</v>
      </c>
      <c r="C3805" s="0" t="n">
        <v>22</v>
      </c>
      <c r="D3805" s="0" t="n">
        <v>0</v>
      </c>
      <c r="E3805" s="0" t="n">
        <f aca="false">VLOOKUP(B3805,'Babblefish-APUMA'!$A$1:$B$86,2)</f>
        <v>90</v>
      </c>
      <c r="F3805" s="0" t="n">
        <f aca="false">IF(C3805&gt;1,IF(C3805&lt;99,VLOOKUP(C3805,'Babblefish-APUMA'!$A$1:$B$86,2),C3805),C3805)</f>
        <v>22</v>
      </c>
    </row>
    <row r="3806" customFormat="false" ht="12.75" hidden="false" customHeight="false" outlineLevel="0" collapsed="false">
      <c r="A3806" s="0" t="n">
        <f aca="false">B3806*1000+C3806</f>
        <v>56023</v>
      </c>
      <c r="B3806" s="0" t="n">
        <v>56</v>
      </c>
      <c r="C3806" s="0" t="n">
        <v>23</v>
      </c>
      <c r="D3806" s="0" t="n">
        <v>0</v>
      </c>
      <c r="E3806" s="0" t="n">
        <f aca="false">VLOOKUP(B3806,'Babblefish-APUMA'!$A$1:$B$86,2)</f>
        <v>90</v>
      </c>
      <c r="F3806" s="0" t="n">
        <f aca="false">IF(C3806&gt;1,IF(C3806&lt;99,VLOOKUP(C3806,'Babblefish-APUMA'!$A$1:$B$86,2),C3806),C3806)</f>
        <v>97</v>
      </c>
    </row>
    <row r="3807" customFormat="false" ht="12.75" hidden="false" customHeight="false" outlineLevel="0" collapsed="false">
      <c r="A3807" s="0" t="n">
        <f aca="false">B3807*1000+C3807</f>
        <v>56024</v>
      </c>
      <c r="B3807" s="0" t="n">
        <v>56</v>
      </c>
      <c r="C3807" s="0" t="n">
        <v>24</v>
      </c>
      <c r="D3807" s="0" t="n">
        <v>0</v>
      </c>
      <c r="E3807" s="0" t="n">
        <f aca="false">VLOOKUP(B3807,'Babblefish-APUMA'!$A$1:$B$86,2)</f>
        <v>90</v>
      </c>
      <c r="F3807" s="0" t="n">
        <f aca="false">IF(C3807&gt;1,IF(C3807&lt;99,VLOOKUP(C3807,'Babblefish-APUMA'!$A$1:$B$86,2),C3807),C3807)</f>
        <v>101</v>
      </c>
    </row>
    <row r="3808" customFormat="false" ht="12.75" hidden="false" customHeight="false" outlineLevel="0" collapsed="false">
      <c r="A3808" s="0" t="n">
        <f aca="false">B3808*1000+C3808</f>
        <v>56025</v>
      </c>
      <c r="B3808" s="0" t="n">
        <v>56</v>
      </c>
      <c r="C3808" s="0" t="n">
        <v>25</v>
      </c>
      <c r="D3808" s="0" t="n">
        <v>0</v>
      </c>
      <c r="E3808" s="0" t="n">
        <f aca="false">VLOOKUP(B3808,'Babblefish-APUMA'!$A$1:$B$86,2)</f>
        <v>90</v>
      </c>
      <c r="F3808" s="0" t="n">
        <f aca="false">IF(C3808&gt;1,IF(C3808&lt;99,VLOOKUP(C3808,'Babblefish-APUMA'!$A$1:$B$86,2),C3808),C3808)</f>
        <v>101</v>
      </c>
    </row>
    <row r="3809" customFormat="false" ht="12.75" hidden="false" customHeight="false" outlineLevel="0" collapsed="false">
      <c r="A3809" s="0" t="n">
        <f aca="false">B3809*1000+C3809</f>
        <v>56026</v>
      </c>
      <c r="B3809" s="0" t="n">
        <v>56</v>
      </c>
      <c r="C3809" s="0" t="n">
        <v>26</v>
      </c>
      <c r="D3809" s="0" t="n">
        <v>0</v>
      </c>
      <c r="E3809" s="0" t="n">
        <f aca="false">VLOOKUP(B3809,'Babblefish-APUMA'!$A$1:$B$86,2)</f>
        <v>90</v>
      </c>
      <c r="F3809" s="0" t="n">
        <f aca="false">IF(C3809&gt;1,IF(C3809&lt;99,VLOOKUP(C3809,'Babblefish-APUMA'!$A$1:$B$86,2),C3809),C3809)</f>
        <v>26</v>
      </c>
    </row>
    <row r="3810" customFormat="false" ht="12.75" hidden="false" customHeight="false" outlineLevel="0" collapsed="false">
      <c r="A3810" s="0" t="n">
        <f aca="false">B3810*1000+C3810</f>
        <v>56027</v>
      </c>
      <c r="B3810" s="0" t="n">
        <v>56</v>
      </c>
      <c r="C3810" s="0" t="n">
        <v>27</v>
      </c>
      <c r="D3810" s="0" t="n">
        <v>0</v>
      </c>
      <c r="E3810" s="0" t="n">
        <f aca="false">VLOOKUP(B3810,'Babblefish-APUMA'!$A$1:$B$86,2)</f>
        <v>90</v>
      </c>
      <c r="F3810" s="0" t="n">
        <f aca="false">IF(C3810&gt;1,IF(C3810&lt;99,VLOOKUP(C3810,'Babblefish-APUMA'!$A$1:$B$86,2),C3810),C3810)</f>
        <v>27</v>
      </c>
    </row>
    <row r="3811" customFormat="false" ht="12.75" hidden="false" customHeight="false" outlineLevel="0" collapsed="false">
      <c r="A3811" s="0" t="n">
        <f aca="false">B3811*1000+C3811</f>
        <v>56028</v>
      </c>
      <c r="B3811" s="0" t="n">
        <v>56</v>
      </c>
      <c r="C3811" s="0" t="n">
        <v>28</v>
      </c>
      <c r="D3811" s="0" t="n">
        <v>0</v>
      </c>
      <c r="E3811" s="0" t="n">
        <f aca="false">VLOOKUP(B3811,'Babblefish-APUMA'!$A$1:$B$86,2)</f>
        <v>90</v>
      </c>
      <c r="F3811" s="0" t="n">
        <f aca="false">IF(C3811&gt;1,IF(C3811&lt;99,VLOOKUP(C3811,'Babblefish-APUMA'!$A$1:$B$86,2),C3811),C3811)</f>
        <v>94</v>
      </c>
    </row>
    <row r="3812" customFormat="false" ht="12.75" hidden="false" customHeight="false" outlineLevel="0" collapsed="false">
      <c r="A3812" s="0" t="n">
        <f aca="false">B3812*1000+C3812</f>
        <v>56029</v>
      </c>
      <c r="B3812" s="0" t="n">
        <v>56</v>
      </c>
      <c r="C3812" s="0" t="n">
        <v>29</v>
      </c>
      <c r="D3812" s="0" t="n">
        <v>0</v>
      </c>
      <c r="E3812" s="0" t="n">
        <f aca="false">VLOOKUP(B3812,'Babblefish-APUMA'!$A$1:$B$86,2)</f>
        <v>90</v>
      </c>
      <c r="F3812" s="0" t="n">
        <f aca="false">IF(C3812&gt;1,IF(C3812&lt;99,VLOOKUP(C3812,'Babblefish-APUMA'!$A$1:$B$86,2),C3812),C3812)</f>
        <v>94</v>
      </c>
    </row>
    <row r="3813" customFormat="false" ht="12.75" hidden="false" customHeight="false" outlineLevel="0" collapsed="false">
      <c r="A3813" s="0" t="n">
        <f aca="false">B3813*1000+C3813</f>
        <v>56030</v>
      </c>
      <c r="B3813" s="0" t="n">
        <v>56</v>
      </c>
      <c r="C3813" s="0" t="n">
        <v>30</v>
      </c>
      <c r="D3813" s="0" t="n">
        <v>0</v>
      </c>
      <c r="E3813" s="0" t="n">
        <f aca="false">VLOOKUP(B3813,'Babblefish-APUMA'!$A$1:$B$86,2)</f>
        <v>90</v>
      </c>
      <c r="F3813" s="0" t="n">
        <f aca="false">IF(C3813&gt;1,IF(C3813&lt;99,VLOOKUP(C3813,'Babblefish-APUMA'!$A$1:$B$86,2),C3813),C3813)</f>
        <v>30</v>
      </c>
    </row>
    <row r="3814" customFormat="false" ht="12.75" hidden="false" customHeight="false" outlineLevel="0" collapsed="false">
      <c r="A3814" s="0" t="n">
        <f aca="false">B3814*1000+C3814</f>
        <v>56031</v>
      </c>
      <c r="B3814" s="0" t="n">
        <v>56</v>
      </c>
      <c r="C3814" s="0" t="n">
        <v>31</v>
      </c>
      <c r="D3814" s="0" t="n">
        <v>0</v>
      </c>
      <c r="E3814" s="0" t="n">
        <f aca="false">VLOOKUP(B3814,'Babblefish-APUMA'!$A$1:$B$86,2)</f>
        <v>90</v>
      </c>
      <c r="F3814" s="0" t="n">
        <f aca="false">IF(C3814&gt;1,IF(C3814&lt;99,VLOOKUP(C3814,'Babblefish-APUMA'!$A$1:$B$86,2),C3814),C3814)</f>
        <v>31</v>
      </c>
    </row>
    <row r="3815" customFormat="false" ht="12.75" hidden="false" customHeight="false" outlineLevel="0" collapsed="false">
      <c r="A3815" s="0" t="n">
        <f aca="false">B3815*1000+C3815</f>
        <v>56032</v>
      </c>
      <c r="B3815" s="0" t="n">
        <v>56</v>
      </c>
      <c r="C3815" s="0" t="n">
        <v>32</v>
      </c>
      <c r="D3815" s="0" t="n">
        <v>0</v>
      </c>
      <c r="E3815" s="0" t="n">
        <f aca="false">VLOOKUP(B3815,'Babblefish-APUMA'!$A$1:$B$86,2)</f>
        <v>90</v>
      </c>
      <c r="F3815" s="0" t="n">
        <f aca="false">IF(C3815&gt;1,IF(C3815&lt;99,VLOOKUP(C3815,'Babblefish-APUMA'!$A$1:$B$86,2),C3815),C3815)</f>
        <v>32</v>
      </c>
    </row>
    <row r="3816" customFormat="false" ht="12.75" hidden="false" customHeight="false" outlineLevel="0" collapsed="false">
      <c r="A3816" s="0" t="n">
        <f aca="false">B3816*1000+C3816</f>
        <v>56033</v>
      </c>
      <c r="B3816" s="0" t="n">
        <v>56</v>
      </c>
      <c r="C3816" s="0" t="n">
        <v>33</v>
      </c>
      <c r="D3816" s="0" t="n">
        <v>0</v>
      </c>
      <c r="E3816" s="0" t="n">
        <f aca="false">VLOOKUP(B3816,'Babblefish-APUMA'!$A$1:$B$86,2)</f>
        <v>90</v>
      </c>
      <c r="F3816" s="0" t="n">
        <f aca="false">IF(C3816&gt;1,IF(C3816&lt;99,VLOOKUP(C3816,'Babblefish-APUMA'!$A$1:$B$86,2),C3816),C3816)</f>
        <v>96</v>
      </c>
    </row>
    <row r="3817" customFormat="false" ht="12.75" hidden="false" customHeight="false" outlineLevel="0" collapsed="false">
      <c r="A3817" s="0" t="n">
        <f aca="false">B3817*1000+C3817</f>
        <v>56034</v>
      </c>
      <c r="B3817" s="0" t="n">
        <v>56</v>
      </c>
      <c r="C3817" s="0" t="n">
        <v>34</v>
      </c>
      <c r="D3817" s="0" t="n">
        <v>0</v>
      </c>
      <c r="E3817" s="0" t="n">
        <f aca="false">VLOOKUP(B3817,'Babblefish-APUMA'!$A$1:$B$86,2)</f>
        <v>90</v>
      </c>
      <c r="F3817" s="0" t="n">
        <f aca="false">IF(C3817&gt;1,IF(C3817&lt;99,VLOOKUP(C3817,'Babblefish-APUMA'!$A$1:$B$86,2),C3817),C3817)</f>
        <v>96</v>
      </c>
    </row>
    <row r="3818" customFormat="false" ht="12.75" hidden="false" customHeight="false" outlineLevel="0" collapsed="false">
      <c r="A3818" s="0" t="n">
        <f aca="false">B3818*1000+C3818</f>
        <v>56035</v>
      </c>
      <c r="B3818" s="0" t="n">
        <v>56</v>
      </c>
      <c r="C3818" s="0" t="n">
        <v>35</v>
      </c>
      <c r="D3818" s="0" t="n">
        <v>0</v>
      </c>
      <c r="E3818" s="0" t="n">
        <f aca="false">VLOOKUP(B3818,'Babblefish-APUMA'!$A$1:$B$86,2)</f>
        <v>90</v>
      </c>
      <c r="F3818" s="0" t="n">
        <f aca="false">IF(C3818&gt;1,IF(C3818&lt;99,VLOOKUP(C3818,'Babblefish-APUMA'!$A$1:$B$86,2),C3818),C3818)</f>
        <v>96</v>
      </c>
    </row>
    <row r="3819" customFormat="false" ht="12.75" hidden="false" customHeight="false" outlineLevel="0" collapsed="false">
      <c r="A3819" s="0" t="n">
        <f aca="false">B3819*1000+C3819</f>
        <v>56036</v>
      </c>
      <c r="B3819" s="0" t="n">
        <v>56</v>
      </c>
      <c r="C3819" s="0" t="n">
        <v>36</v>
      </c>
      <c r="D3819" s="0" t="n">
        <v>0</v>
      </c>
      <c r="E3819" s="0" t="n">
        <f aca="false">VLOOKUP(B3819,'Babblefish-APUMA'!$A$1:$B$86,2)</f>
        <v>90</v>
      </c>
      <c r="F3819" s="0" t="n">
        <f aca="false">IF(C3819&gt;1,IF(C3819&lt;99,VLOOKUP(C3819,'Babblefish-APUMA'!$A$1:$B$86,2),C3819),C3819)</f>
        <v>96</v>
      </c>
    </row>
    <row r="3820" customFormat="false" ht="12.75" hidden="false" customHeight="false" outlineLevel="0" collapsed="false">
      <c r="A3820" s="0" t="n">
        <f aca="false">B3820*1000+C3820</f>
        <v>56037</v>
      </c>
      <c r="B3820" s="0" t="n">
        <v>56</v>
      </c>
      <c r="C3820" s="0" t="n">
        <v>37</v>
      </c>
      <c r="D3820" s="0" t="n">
        <v>0</v>
      </c>
      <c r="E3820" s="0" t="n">
        <f aca="false">VLOOKUP(B3820,'Babblefish-APUMA'!$A$1:$B$86,2)</f>
        <v>90</v>
      </c>
      <c r="F3820" s="0" t="n">
        <f aca="false">IF(C3820&gt;1,IF(C3820&lt;99,VLOOKUP(C3820,'Babblefish-APUMA'!$A$1:$B$86,2),C3820),C3820)</f>
        <v>96</v>
      </c>
    </row>
    <row r="3821" customFormat="false" ht="12.75" hidden="false" customHeight="false" outlineLevel="0" collapsed="false">
      <c r="A3821" s="0" t="n">
        <f aca="false">B3821*1000+C3821</f>
        <v>56038</v>
      </c>
      <c r="B3821" s="0" t="n">
        <v>56</v>
      </c>
      <c r="C3821" s="0" t="n">
        <v>38</v>
      </c>
      <c r="D3821" s="0" t="n">
        <v>0</v>
      </c>
      <c r="E3821" s="0" t="n">
        <f aca="false">VLOOKUP(B3821,'Babblefish-APUMA'!$A$1:$B$86,2)</f>
        <v>90</v>
      </c>
      <c r="F3821" s="0" t="n">
        <f aca="false">IF(C3821&gt;1,IF(C3821&lt;99,VLOOKUP(C3821,'Babblefish-APUMA'!$A$1:$B$86,2),C3821),C3821)</f>
        <v>91</v>
      </c>
    </row>
    <row r="3822" customFormat="false" ht="12.75" hidden="false" customHeight="false" outlineLevel="0" collapsed="false">
      <c r="A3822" s="0" t="n">
        <f aca="false">B3822*1000+C3822</f>
        <v>56039</v>
      </c>
      <c r="B3822" s="0" t="n">
        <v>56</v>
      </c>
      <c r="C3822" s="0" t="n">
        <v>39</v>
      </c>
      <c r="D3822" s="0" t="n">
        <v>0</v>
      </c>
      <c r="E3822" s="0" t="n">
        <f aca="false">VLOOKUP(B3822,'Babblefish-APUMA'!$A$1:$B$86,2)</f>
        <v>90</v>
      </c>
      <c r="F3822" s="0" t="n">
        <f aca="false">IF(C3822&gt;1,IF(C3822&lt;99,VLOOKUP(C3822,'Babblefish-APUMA'!$A$1:$B$86,2),C3822),C3822)</f>
        <v>91</v>
      </c>
    </row>
    <row r="3823" customFormat="false" ht="12.75" hidden="false" customHeight="false" outlineLevel="0" collapsed="false">
      <c r="A3823" s="0" t="n">
        <f aca="false">B3823*1000+C3823</f>
        <v>56040</v>
      </c>
      <c r="B3823" s="0" t="n">
        <v>56</v>
      </c>
      <c r="C3823" s="0" t="n">
        <v>40</v>
      </c>
      <c r="D3823" s="0" t="n">
        <v>0</v>
      </c>
      <c r="E3823" s="0" t="n">
        <f aca="false">VLOOKUP(B3823,'Babblefish-APUMA'!$A$1:$B$86,2)</f>
        <v>90</v>
      </c>
      <c r="F3823" s="0" t="n">
        <f aca="false">IF(C3823&gt;1,IF(C3823&lt;99,VLOOKUP(C3823,'Babblefish-APUMA'!$A$1:$B$86,2),C3823),C3823)</f>
        <v>88</v>
      </c>
    </row>
    <row r="3824" customFormat="false" ht="12.75" hidden="false" customHeight="false" outlineLevel="0" collapsed="false">
      <c r="A3824" s="0" t="n">
        <f aca="false">B3824*1000+C3824</f>
        <v>56041</v>
      </c>
      <c r="B3824" s="0" t="n">
        <v>56</v>
      </c>
      <c r="C3824" s="0" t="n">
        <v>41</v>
      </c>
      <c r="D3824" s="0" t="n">
        <v>0</v>
      </c>
      <c r="E3824" s="0" t="n">
        <f aca="false">VLOOKUP(B3824,'Babblefish-APUMA'!$A$1:$B$86,2)</f>
        <v>90</v>
      </c>
      <c r="F3824" s="0" t="n">
        <f aca="false">IF(C3824&gt;1,IF(C3824&lt;99,VLOOKUP(C3824,'Babblefish-APUMA'!$A$1:$B$86,2),C3824),C3824)</f>
        <v>88</v>
      </c>
    </row>
    <row r="3825" customFormat="false" ht="12.75" hidden="false" customHeight="false" outlineLevel="0" collapsed="false">
      <c r="A3825" s="0" t="n">
        <f aca="false">B3825*1000+C3825</f>
        <v>56042</v>
      </c>
      <c r="B3825" s="0" t="n">
        <v>56</v>
      </c>
      <c r="C3825" s="0" t="n">
        <v>42</v>
      </c>
      <c r="D3825" s="0" t="n">
        <v>91</v>
      </c>
      <c r="E3825" s="0" t="n">
        <f aca="false">VLOOKUP(B3825,'Babblefish-APUMA'!$A$1:$B$86,2)</f>
        <v>90</v>
      </c>
      <c r="F3825" s="0" t="n">
        <f aca="false">IF(C3825&gt;1,IF(C3825&lt;99,VLOOKUP(C3825,'Babblefish-APUMA'!$A$1:$B$86,2),C3825),C3825)</f>
        <v>92</v>
      </c>
    </row>
    <row r="3826" customFormat="false" ht="12.75" hidden="false" customHeight="false" outlineLevel="0" collapsed="false">
      <c r="A3826" s="0" t="n">
        <f aca="false">B3826*1000+C3826</f>
        <v>56043</v>
      </c>
      <c r="B3826" s="0" t="n">
        <v>56</v>
      </c>
      <c r="C3826" s="0" t="n">
        <v>43</v>
      </c>
      <c r="D3826" s="0" t="n">
        <v>0</v>
      </c>
      <c r="E3826" s="0" t="n">
        <f aca="false">VLOOKUP(B3826,'Babblefish-APUMA'!$A$1:$B$86,2)</f>
        <v>90</v>
      </c>
      <c r="F3826" s="0" t="n">
        <f aca="false">IF(C3826&gt;1,IF(C3826&lt;99,VLOOKUP(C3826,'Babblefish-APUMA'!$A$1:$B$86,2),C3826),C3826)</f>
        <v>92</v>
      </c>
    </row>
    <row r="3827" customFormat="false" ht="12.75" hidden="false" customHeight="false" outlineLevel="0" collapsed="false">
      <c r="A3827" s="0" t="n">
        <f aca="false">B3827*1000+C3827</f>
        <v>56044</v>
      </c>
      <c r="B3827" s="0" t="n">
        <v>56</v>
      </c>
      <c r="C3827" s="0" t="n">
        <v>44</v>
      </c>
      <c r="D3827" s="0" t="n">
        <v>0</v>
      </c>
      <c r="E3827" s="0" t="n">
        <f aca="false">VLOOKUP(B3827,'Babblefish-APUMA'!$A$1:$B$86,2)</f>
        <v>90</v>
      </c>
      <c r="F3827" s="0" t="n">
        <f aca="false">IF(C3827&gt;1,IF(C3827&lt;99,VLOOKUP(C3827,'Babblefish-APUMA'!$A$1:$B$86,2),C3827),C3827)</f>
        <v>92</v>
      </c>
    </row>
    <row r="3828" customFormat="false" ht="12.75" hidden="false" customHeight="false" outlineLevel="0" collapsed="false">
      <c r="A3828" s="0" t="n">
        <f aca="false">B3828*1000+C3828</f>
        <v>56045</v>
      </c>
      <c r="B3828" s="0" t="n">
        <v>56</v>
      </c>
      <c r="C3828" s="0" t="n">
        <v>45</v>
      </c>
      <c r="D3828" s="0" t="n">
        <v>0</v>
      </c>
      <c r="E3828" s="0" t="n">
        <f aca="false">VLOOKUP(B3828,'Babblefish-APUMA'!$A$1:$B$86,2)</f>
        <v>90</v>
      </c>
      <c r="F3828" s="0" t="n">
        <f aca="false">IF(C3828&gt;1,IF(C3828&lt;99,VLOOKUP(C3828,'Babblefish-APUMA'!$A$1:$B$86,2),C3828),C3828)</f>
        <v>92</v>
      </c>
    </row>
    <row r="3829" customFormat="false" ht="12.75" hidden="false" customHeight="false" outlineLevel="0" collapsed="false">
      <c r="A3829" s="0" t="n">
        <f aca="false">B3829*1000+C3829</f>
        <v>56046</v>
      </c>
      <c r="B3829" s="0" t="n">
        <v>56</v>
      </c>
      <c r="C3829" s="0" t="n">
        <v>46</v>
      </c>
      <c r="D3829" s="0" t="n">
        <v>0</v>
      </c>
      <c r="E3829" s="0" t="n">
        <f aca="false">VLOOKUP(B3829,'Babblefish-APUMA'!$A$1:$B$86,2)</f>
        <v>90</v>
      </c>
      <c r="F3829" s="0" t="n">
        <f aca="false">IF(C3829&gt;1,IF(C3829&lt;99,VLOOKUP(C3829,'Babblefish-APUMA'!$A$1:$B$86,2),C3829),C3829)</f>
        <v>92</v>
      </c>
    </row>
    <row r="3830" customFormat="false" ht="12.75" hidden="false" customHeight="false" outlineLevel="0" collapsed="false">
      <c r="A3830" s="0" t="n">
        <f aca="false">B3830*1000+C3830</f>
        <v>56047</v>
      </c>
      <c r="B3830" s="0" t="n">
        <v>56</v>
      </c>
      <c r="C3830" s="0" t="n">
        <v>47</v>
      </c>
      <c r="D3830" s="0" t="n">
        <v>221</v>
      </c>
      <c r="E3830" s="0" t="n">
        <f aca="false">VLOOKUP(B3830,'Babblefish-APUMA'!$A$1:$B$86,2)</f>
        <v>90</v>
      </c>
      <c r="F3830" s="0" t="n">
        <f aca="false">IF(C3830&gt;1,IF(C3830&lt;99,VLOOKUP(C3830,'Babblefish-APUMA'!$A$1:$B$86,2),C3830),C3830)</f>
        <v>92</v>
      </c>
    </row>
    <row r="3831" customFormat="false" ht="12.75" hidden="false" customHeight="false" outlineLevel="0" collapsed="false">
      <c r="A3831" s="0" t="n">
        <f aca="false">B3831*1000+C3831</f>
        <v>56048</v>
      </c>
      <c r="B3831" s="0" t="n">
        <v>56</v>
      </c>
      <c r="C3831" s="0" t="n">
        <v>48</v>
      </c>
      <c r="D3831" s="0" t="n">
        <v>325</v>
      </c>
      <c r="E3831" s="0" t="n">
        <f aca="false">VLOOKUP(B3831,'Babblefish-APUMA'!$A$1:$B$86,2)</f>
        <v>90</v>
      </c>
      <c r="F3831" s="0" t="n">
        <f aca="false">IF(C3831&gt;1,IF(C3831&lt;99,VLOOKUP(C3831,'Babblefish-APUMA'!$A$1:$B$86,2),C3831),C3831)</f>
        <v>92</v>
      </c>
    </row>
    <row r="3832" customFormat="false" ht="12.75" hidden="false" customHeight="false" outlineLevel="0" collapsed="false">
      <c r="A3832" s="0" t="n">
        <f aca="false">B3832*1000+C3832</f>
        <v>56049</v>
      </c>
      <c r="B3832" s="0" t="n">
        <v>56</v>
      </c>
      <c r="C3832" s="0" t="n">
        <v>49</v>
      </c>
      <c r="D3832" s="0" t="n">
        <v>0</v>
      </c>
      <c r="E3832" s="0" t="n">
        <f aca="false">VLOOKUP(B3832,'Babblefish-APUMA'!$A$1:$B$86,2)</f>
        <v>90</v>
      </c>
      <c r="F3832" s="0" t="n">
        <f aca="false">IF(C3832&gt;1,IF(C3832&lt;99,VLOOKUP(C3832,'Babblefish-APUMA'!$A$1:$B$86,2),C3832),C3832)</f>
        <v>98</v>
      </c>
    </row>
    <row r="3833" customFormat="false" ht="12.75" hidden="false" customHeight="false" outlineLevel="0" collapsed="false">
      <c r="A3833" s="0" t="n">
        <f aca="false">B3833*1000+C3833</f>
        <v>56050</v>
      </c>
      <c r="B3833" s="0" t="n">
        <v>56</v>
      </c>
      <c r="C3833" s="0" t="n">
        <v>50</v>
      </c>
      <c r="D3833" s="0" t="n">
        <v>0</v>
      </c>
      <c r="E3833" s="0" t="n">
        <f aca="false">VLOOKUP(B3833,'Babblefish-APUMA'!$A$1:$B$86,2)</f>
        <v>90</v>
      </c>
      <c r="F3833" s="0" t="n">
        <f aca="false">IF(C3833&gt;1,IF(C3833&lt;99,VLOOKUP(C3833,'Babblefish-APUMA'!$A$1:$B$86,2),C3833),C3833)</f>
        <v>98</v>
      </c>
    </row>
    <row r="3834" customFormat="false" ht="12.75" hidden="false" customHeight="false" outlineLevel="0" collapsed="false">
      <c r="A3834" s="0" t="n">
        <f aca="false">B3834*1000+C3834</f>
        <v>56051</v>
      </c>
      <c r="B3834" s="0" t="n">
        <v>56</v>
      </c>
      <c r="C3834" s="0" t="n">
        <v>51</v>
      </c>
      <c r="D3834" s="0" t="n">
        <v>0</v>
      </c>
      <c r="E3834" s="0" t="n">
        <f aca="false">VLOOKUP(B3834,'Babblefish-APUMA'!$A$1:$B$86,2)</f>
        <v>90</v>
      </c>
      <c r="F3834" s="0" t="n">
        <f aca="false">IF(C3834&gt;1,IF(C3834&lt;99,VLOOKUP(C3834,'Babblefish-APUMA'!$A$1:$B$86,2),C3834),C3834)</f>
        <v>98</v>
      </c>
    </row>
    <row r="3835" customFormat="false" ht="12.75" hidden="false" customHeight="false" outlineLevel="0" collapsed="false">
      <c r="A3835" s="0" t="n">
        <f aca="false">B3835*1000+C3835</f>
        <v>56052</v>
      </c>
      <c r="B3835" s="0" t="n">
        <v>56</v>
      </c>
      <c r="C3835" s="0" t="n">
        <v>52</v>
      </c>
      <c r="D3835" s="0" t="n">
        <v>130</v>
      </c>
      <c r="E3835" s="0" t="n">
        <f aca="false">VLOOKUP(B3835,'Babblefish-APUMA'!$A$1:$B$86,2)</f>
        <v>90</v>
      </c>
      <c r="F3835" s="0" t="n">
        <f aca="false">IF(C3835&gt;1,IF(C3835&lt;99,VLOOKUP(C3835,'Babblefish-APUMA'!$A$1:$B$86,2),C3835),C3835)</f>
        <v>90</v>
      </c>
    </row>
    <row r="3836" customFormat="false" ht="12.75" hidden="false" customHeight="false" outlineLevel="0" collapsed="false">
      <c r="A3836" s="0" t="n">
        <f aca="false">B3836*1000+C3836</f>
        <v>56053</v>
      </c>
      <c r="B3836" s="0" t="n">
        <v>56</v>
      </c>
      <c r="C3836" s="0" t="n">
        <v>53</v>
      </c>
      <c r="D3836" s="0" t="n">
        <v>234</v>
      </c>
      <c r="E3836" s="0" t="n">
        <f aca="false">VLOOKUP(B3836,'Babblefish-APUMA'!$A$1:$B$86,2)</f>
        <v>90</v>
      </c>
      <c r="F3836" s="0" t="n">
        <f aca="false">IF(C3836&gt;1,IF(C3836&lt;99,VLOOKUP(C3836,'Babblefish-APUMA'!$A$1:$B$86,2),C3836),C3836)</f>
        <v>90</v>
      </c>
    </row>
    <row r="3837" customFormat="false" ht="12.75" hidden="false" customHeight="false" outlineLevel="0" collapsed="false">
      <c r="A3837" s="0" t="n">
        <f aca="false">B3837*1000+C3837</f>
        <v>56054</v>
      </c>
      <c r="B3837" s="0" t="n">
        <v>56</v>
      </c>
      <c r="C3837" s="0" t="n">
        <v>54</v>
      </c>
      <c r="D3837" s="0" t="n">
        <v>247</v>
      </c>
      <c r="E3837" s="0" t="n">
        <f aca="false">VLOOKUP(B3837,'Babblefish-APUMA'!$A$1:$B$86,2)</f>
        <v>90</v>
      </c>
      <c r="F3837" s="0" t="n">
        <f aca="false">IF(C3837&gt;1,IF(C3837&lt;99,VLOOKUP(C3837,'Babblefish-APUMA'!$A$1:$B$86,2),C3837),C3837)</f>
        <v>90</v>
      </c>
    </row>
    <row r="3838" customFormat="false" ht="12.75" hidden="false" customHeight="false" outlineLevel="0" collapsed="false">
      <c r="A3838" s="0" t="n">
        <f aca="false">B3838*1000+C3838</f>
        <v>56055</v>
      </c>
      <c r="B3838" s="0" t="n">
        <v>56</v>
      </c>
      <c r="C3838" s="0" t="n">
        <v>55</v>
      </c>
      <c r="D3838" s="0" t="n">
        <v>234</v>
      </c>
      <c r="E3838" s="0" t="n">
        <f aca="false">VLOOKUP(B3838,'Babblefish-APUMA'!$A$1:$B$86,2)</f>
        <v>90</v>
      </c>
      <c r="F3838" s="0" t="n">
        <f aca="false">IF(C3838&gt;1,IF(C3838&lt;99,VLOOKUP(C3838,'Babblefish-APUMA'!$A$1:$B$86,2),C3838),C3838)</f>
        <v>90</v>
      </c>
    </row>
    <row r="3839" customFormat="false" ht="12.75" hidden="false" customHeight="false" outlineLevel="0" collapsed="false">
      <c r="A3839" s="0" t="n">
        <f aca="false">B3839*1000+C3839</f>
        <v>56056</v>
      </c>
      <c r="B3839" s="0" t="n">
        <v>56</v>
      </c>
      <c r="C3839" s="0" t="n">
        <v>56</v>
      </c>
      <c r="D3839" s="0" t="n">
        <v>5278</v>
      </c>
      <c r="E3839" s="0" t="n">
        <f aca="false">VLOOKUP(B3839,'Babblefish-APUMA'!$A$1:$B$86,2)</f>
        <v>90</v>
      </c>
      <c r="F3839" s="0" t="n">
        <f aca="false">IF(C3839&gt;1,IF(C3839&lt;99,VLOOKUP(C3839,'Babblefish-APUMA'!$A$1:$B$86,2),C3839),C3839)</f>
        <v>90</v>
      </c>
    </row>
    <row r="3840" customFormat="false" ht="12.75" hidden="false" customHeight="false" outlineLevel="0" collapsed="false">
      <c r="A3840" s="0" t="n">
        <f aca="false">B3840*1000+C3840</f>
        <v>56057</v>
      </c>
      <c r="B3840" s="0" t="n">
        <v>56</v>
      </c>
      <c r="C3840" s="0" t="n">
        <v>57</v>
      </c>
      <c r="D3840" s="0" t="n">
        <v>1443</v>
      </c>
      <c r="E3840" s="0" t="n">
        <f aca="false">VLOOKUP(B3840,'Babblefish-APUMA'!$A$1:$B$86,2)</f>
        <v>90</v>
      </c>
      <c r="F3840" s="0" t="n">
        <f aca="false">IF(C3840&gt;1,IF(C3840&lt;99,VLOOKUP(C3840,'Babblefish-APUMA'!$A$1:$B$86,2),C3840),C3840)</f>
        <v>90</v>
      </c>
    </row>
    <row r="3841" customFormat="false" ht="12.75" hidden="false" customHeight="false" outlineLevel="0" collapsed="false">
      <c r="A3841" s="0" t="n">
        <f aca="false">B3841*1000+C3841</f>
        <v>56058</v>
      </c>
      <c r="B3841" s="0" t="n">
        <v>56</v>
      </c>
      <c r="C3841" s="0" t="n">
        <v>58</v>
      </c>
      <c r="D3841" s="0" t="n">
        <v>78</v>
      </c>
      <c r="E3841" s="0" t="n">
        <f aca="false">VLOOKUP(B3841,'Babblefish-APUMA'!$A$1:$B$86,2)</f>
        <v>90</v>
      </c>
      <c r="F3841" s="0" t="n">
        <f aca="false">IF(C3841&gt;1,IF(C3841&lt;99,VLOOKUP(C3841,'Babblefish-APUMA'!$A$1:$B$86,2),C3841),C3841)</f>
        <v>90</v>
      </c>
    </row>
    <row r="3842" customFormat="false" ht="12.75" hidden="false" customHeight="false" outlineLevel="0" collapsed="false">
      <c r="A3842" s="0" t="n">
        <f aca="false">B3842*1000+C3842</f>
        <v>56059</v>
      </c>
      <c r="B3842" s="0" t="n">
        <v>56</v>
      </c>
      <c r="C3842" s="0" t="n">
        <v>59</v>
      </c>
      <c r="D3842" s="0" t="n">
        <v>0</v>
      </c>
      <c r="E3842" s="0" t="n">
        <f aca="false">VLOOKUP(B3842,'Babblefish-APUMA'!$A$1:$B$86,2)</f>
        <v>90</v>
      </c>
      <c r="F3842" s="0" t="n">
        <f aca="false">IF(C3842&gt;1,IF(C3842&lt;99,VLOOKUP(C3842,'Babblefish-APUMA'!$A$1:$B$86,2),C3842),C3842)</f>
        <v>90</v>
      </c>
    </row>
    <row r="3843" customFormat="false" ht="12.75" hidden="false" customHeight="false" outlineLevel="0" collapsed="false">
      <c r="A3843" s="0" t="n">
        <f aca="false">B3843*1000+C3843</f>
        <v>56060</v>
      </c>
      <c r="B3843" s="0" t="n">
        <v>56</v>
      </c>
      <c r="C3843" s="0" t="n">
        <v>60</v>
      </c>
      <c r="D3843" s="0" t="n">
        <v>611</v>
      </c>
      <c r="E3843" s="0" t="n">
        <f aca="false">VLOOKUP(B3843,'Babblefish-APUMA'!$A$1:$B$86,2)</f>
        <v>90</v>
      </c>
      <c r="F3843" s="0" t="n">
        <f aca="false">IF(C3843&gt;1,IF(C3843&lt;99,VLOOKUP(C3843,'Babblefish-APUMA'!$A$1:$B$86,2),C3843),C3843)</f>
        <v>90</v>
      </c>
    </row>
    <row r="3844" customFormat="false" ht="12.75" hidden="false" customHeight="false" outlineLevel="0" collapsed="false">
      <c r="A3844" s="0" t="n">
        <f aca="false">B3844*1000+C3844</f>
        <v>56061</v>
      </c>
      <c r="B3844" s="0" t="n">
        <v>56</v>
      </c>
      <c r="C3844" s="0" t="n">
        <v>61</v>
      </c>
      <c r="D3844" s="0" t="n">
        <v>117</v>
      </c>
      <c r="E3844" s="0" t="n">
        <f aca="false">VLOOKUP(B3844,'Babblefish-APUMA'!$A$1:$B$86,2)</f>
        <v>90</v>
      </c>
      <c r="F3844" s="0" t="n">
        <f aca="false">IF(C3844&gt;1,IF(C3844&lt;99,VLOOKUP(C3844,'Babblefish-APUMA'!$A$1:$B$86,2),C3844),C3844)</f>
        <v>90</v>
      </c>
    </row>
    <row r="3845" customFormat="false" ht="12.75" hidden="false" customHeight="false" outlineLevel="0" collapsed="false">
      <c r="A3845" s="0" t="n">
        <f aca="false">B3845*1000+C3845</f>
        <v>56062</v>
      </c>
      <c r="B3845" s="0" t="n">
        <v>56</v>
      </c>
      <c r="C3845" s="0" t="n">
        <v>62</v>
      </c>
      <c r="D3845" s="0" t="n">
        <v>1027</v>
      </c>
      <c r="E3845" s="0" t="n">
        <f aca="false">VLOOKUP(B3845,'Babblefish-APUMA'!$A$1:$B$86,2)</f>
        <v>90</v>
      </c>
      <c r="F3845" s="0" t="n">
        <f aca="false">IF(C3845&gt;1,IF(C3845&lt;99,VLOOKUP(C3845,'Babblefish-APUMA'!$A$1:$B$86,2),C3845),C3845)</f>
        <v>90</v>
      </c>
    </row>
    <row r="3846" customFormat="false" ht="12.75" hidden="false" customHeight="false" outlineLevel="0" collapsed="false">
      <c r="A3846" s="0" t="n">
        <f aca="false">B3846*1000+C3846</f>
        <v>56063</v>
      </c>
      <c r="B3846" s="0" t="n">
        <v>56</v>
      </c>
      <c r="C3846" s="0" t="n">
        <v>63</v>
      </c>
      <c r="D3846" s="0" t="n">
        <v>0</v>
      </c>
      <c r="E3846" s="0" t="n">
        <f aca="false">VLOOKUP(B3846,'Babblefish-APUMA'!$A$1:$B$86,2)</f>
        <v>90</v>
      </c>
      <c r="F3846" s="0" t="n">
        <f aca="false">IF(C3846&gt;1,IF(C3846&lt;99,VLOOKUP(C3846,'Babblefish-APUMA'!$A$1:$B$86,2),C3846),C3846)</f>
        <v>90</v>
      </c>
    </row>
    <row r="3847" customFormat="false" ht="12.75" hidden="false" customHeight="false" outlineLevel="0" collapsed="false">
      <c r="A3847" s="0" t="n">
        <f aca="false">B3847*1000+C3847</f>
        <v>56064</v>
      </c>
      <c r="B3847" s="0" t="n">
        <v>56</v>
      </c>
      <c r="C3847" s="0" t="n">
        <v>64</v>
      </c>
      <c r="D3847" s="0" t="n">
        <v>12922</v>
      </c>
      <c r="E3847" s="0" t="n">
        <f aca="false">VLOOKUP(B3847,'Babblefish-APUMA'!$A$1:$B$86,2)</f>
        <v>90</v>
      </c>
      <c r="F3847" s="0" t="n">
        <f aca="false">IF(C3847&gt;1,IF(C3847&lt;99,VLOOKUP(C3847,'Babblefish-APUMA'!$A$1:$B$86,2),C3847),C3847)</f>
        <v>90</v>
      </c>
    </row>
    <row r="3848" customFormat="false" ht="12.75" hidden="false" customHeight="false" outlineLevel="0" collapsed="false">
      <c r="A3848" s="0" t="n">
        <f aca="false">B3848*1000+C3848</f>
        <v>56065</v>
      </c>
      <c r="B3848" s="0" t="n">
        <v>56</v>
      </c>
      <c r="C3848" s="0" t="n">
        <v>65</v>
      </c>
      <c r="D3848" s="0" t="n">
        <v>16471</v>
      </c>
      <c r="E3848" s="0" t="n">
        <f aca="false">VLOOKUP(B3848,'Babblefish-APUMA'!$A$1:$B$86,2)</f>
        <v>90</v>
      </c>
      <c r="F3848" s="0" t="n">
        <f aca="false">IF(C3848&gt;1,IF(C3848&lt;99,VLOOKUP(C3848,'Babblefish-APUMA'!$A$1:$B$86,2),C3848),C3848)</f>
        <v>90</v>
      </c>
    </row>
    <row r="3849" customFormat="false" ht="12.75" hidden="false" customHeight="false" outlineLevel="0" collapsed="false">
      <c r="A3849" s="0" t="n">
        <f aca="false">B3849*1000+C3849</f>
        <v>56066</v>
      </c>
      <c r="B3849" s="0" t="n">
        <v>56</v>
      </c>
      <c r="C3849" s="0" t="n">
        <v>66</v>
      </c>
      <c r="D3849" s="0" t="n">
        <v>806</v>
      </c>
      <c r="E3849" s="0" t="n">
        <f aca="false">VLOOKUP(B3849,'Babblefish-APUMA'!$A$1:$B$86,2)</f>
        <v>90</v>
      </c>
      <c r="F3849" s="0" t="n">
        <f aca="false">IF(C3849&gt;1,IF(C3849&lt;99,VLOOKUP(C3849,'Babblefish-APUMA'!$A$1:$B$86,2),C3849),C3849)</f>
        <v>90</v>
      </c>
    </row>
    <row r="3850" customFormat="false" ht="12.75" hidden="false" customHeight="false" outlineLevel="0" collapsed="false">
      <c r="A3850" s="0" t="n">
        <f aca="false">B3850*1000+C3850</f>
        <v>56067</v>
      </c>
      <c r="B3850" s="0" t="n">
        <v>56</v>
      </c>
      <c r="C3850" s="0" t="n">
        <v>67</v>
      </c>
      <c r="D3850" s="0" t="n">
        <v>0</v>
      </c>
      <c r="E3850" s="0" t="n">
        <f aca="false">VLOOKUP(B3850,'Babblefish-APUMA'!$A$1:$B$86,2)</f>
        <v>90</v>
      </c>
      <c r="F3850" s="0" t="n">
        <f aca="false">IF(C3850&gt;1,IF(C3850&lt;99,VLOOKUP(C3850,'Babblefish-APUMA'!$A$1:$B$86,2),C3850),C3850)</f>
        <v>103</v>
      </c>
    </row>
    <row r="3851" customFormat="false" ht="12.75" hidden="false" customHeight="false" outlineLevel="0" collapsed="false">
      <c r="A3851" s="0" t="n">
        <f aca="false">B3851*1000+C3851</f>
        <v>56068</v>
      </c>
      <c r="B3851" s="0" t="n">
        <v>56</v>
      </c>
      <c r="C3851" s="0" t="n">
        <v>68</v>
      </c>
      <c r="D3851" s="0" t="n">
        <v>0</v>
      </c>
      <c r="E3851" s="0" t="n">
        <f aca="false">VLOOKUP(B3851,'Babblefish-APUMA'!$A$1:$B$86,2)</f>
        <v>90</v>
      </c>
      <c r="F3851" s="0" t="n">
        <f aca="false">IF(C3851&gt;1,IF(C3851&lt;99,VLOOKUP(C3851,'Babblefish-APUMA'!$A$1:$B$86,2),C3851),C3851)</f>
        <v>93</v>
      </c>
    </row>
    <row r="3852" customFormat="false" ht="12.75" hidden="false" customHeight="false" outlineLevel="0" collapsed="false">
      <c r="A3852" s="0" t="n">
        <f aca="false">B3852*1000+C3852</f>
        <v>56069</v>
      </c>
      <c r="B3852" s="0" t="n">
        <v>56</v>
      </c>
      <c r="C3852" s="0" t="n">
        <v>69</v>
      </c>
      <c r="D3852" s="0" t="n">
        <v>0</v>
      </c>
      <c r="E3852" s="0" t="n">
        <f aca="false">VLOOKUP(B3852,'Babblefish-APUMA'!$A$1:$B$86,2)</f>
        <v>90</v>
      </c>
      <c r="F3852" s="0" t="n">
        <f aca="false">IF(C3852&gt;1,IF(C3852&lt;99,VLOOKUP(C3852,'Babblefish-APUMA'!$A$1:$B$86,2),C3852),C3852)</f>
        <v>93</v>
      </c>
    </row>
    <row r="3853" customFormat="false" ht="12.75" hidden="false" customHeight="false" outlineLevel="0" collapsed="false">
      <c r="A3853" s="0" t="n">
        <f aca="false">B3853*1000+C3853</f>
        <v>56070</v>
      </c>
      <c r="B3853" s="0" t="n">
        <v>56</v>
      </c>
      <c r="C3853" s="0" t="n">
        <v>70</v>
      </c>
      <c r="D3853" s="0" t="n">
        <v>117</v>
      </c>
      <c r="E3853" s="0" t="n">
        <f aca="false">VLOOKUP(B3853,'Babblefish-APUMA'!$A$1:$B$86,2)</f>
        <v>90</v>
      </c>
      <c r="F3853" s="0" t="n">
        <f aca="false">IF(C3853&gt;1,IF(C3853&lt;99,VLOOKUP(C3853,'Babblefish-APUMA'!$A$1:$B$86,2),C3853),C3853)</f>
        <v>95</v>
      </c>
    </row>
    <row r="3854" customFormat="false" ht="12.75" hidden="false" customHeight="false" outlineLevel="0" collapsed="false">
      <c r="A3854" s="0" t="n">
        <f aca="false">B3854*1000+C3854</f>
        <v>56071</v>
      </c>
      <c r="B3854" s="0" t="n">
        <v>56</v>
      </c>
      <c r="C3854" s="0" t="n">
        <v>71</v>
      </c>
      <c r="D3854" s="0" t="n">
        <v>0</v>
      </c>
      <c r="E3854" s="0" t="n">
        <f aca="false">VLOOKUP(B3854,'Babblefish-APUMA'!$A$1:$B$86,2)</f>
        <v>90</v>
      </c>
      <c r="F3854" s="0" t="n">
        <f aca="false">IF(C3854&gt;1,IF(C3854&lt;99,VLOOKUP(C3854,'Babblefish-APUMA'!$A$1:$B$86,2),C3854),C3854)</f>
        <v>95</v>
      </c>
    </row>
    <row r="3855" customFormat="false" ht="12.75" hidden="false" customHeight="false" outlineLevel="0" collapsed="false">
      <c r="A3855" s="0" t="n">
        <f aca="false">B3855*1000+C3855</f>
        <v>56072</v>
      </c>
      <c r="B3855" s="0" t="n">
        <v>56</v>
      </c>
      <c r="C3855" s="0" t="n">
        <v>72</v>
      </c>
      <c r="D3855" s="0" t="n">
        <v>0</v>
      </c>
      <c r="E3855" s="0" t="n">
        <f aca="false">VLOOKUP(B3855,'Babblefish-APUMA'!$A$1:$B$86,2)</f>
        <v>90</v>
      </c>
      <c r="F3855" s="0" t="n">
        <f aca="false">IF(C3855&gt;1,IF(C3855&lt;99,VLOOKUP(C3855,'Babblefish-APUMA'!$A$1:$B$86,2),C3855),C3855)</f>
        <v>95</v>
      </c>
    </row>
    <row r="3856" customFormat="false" ht="12.75" hidden="false" customHeight="false" outlineLevel="0" collapsed="false">
      <c r="A3856" s="0" t="n">
        <f aca="false">B3856*1000+C3856</f>
        <v>56073</v>
      </c>
      <c r="B3856" s="0" t="n">
        <v>56</v>
      </c>
      <c r="C3856" s="0" t="n">
        <v>73</v>
      </c>
      <c r="D3856" s="0" t="n">
        <v>0</v>
      </c>
      <c r="E3856" s="0" t="n">
        <f aca="false">VLOOKUP(B3856,'Babblefish-APUMA'!$A$1:$B$86,2)</f>
        <v>90</v>
      </c>
      <c r="F3856" s="0" t="n">
        <f aca="false">IF(C3856&gt;1,IF(C3856&lt;99,VLOOKUP(C3856,'Babblefish-APUMA'!$A$1:$B$86,2),C3856),C3856)</f>
        <v>99</v>
      </c>
    </row>
    <row r="3857" customFormat="false" ht="12.75" hidden="false" customHeight="false" outlineLevel="0" collapsed="false">
      <c r="A3857" s="0" t="n">
        <f aca="false">B3857*1000+C3857</f>
        <v>56075</v>
      </c>
      <c r="B3857" s="0" t="n">
        <v>56</v>
      </c>
      <c r="C3857" s="0" t="n">
        <v>75</v>
      </c>
      <c r="D3857" s="0" t="n">
        <v>0</v>
      </c>
      <c r="E3857" s="0" t="n">
        <f aca="false">VLOOKUP(B3857,'Babblefish-APUMA'!$A$1:$B$86,2)</f>
        <v>90</v>
      </c>
      <c r="F3857" s="0" t="n">
        <f aca="false">IF(C3857&gt;1,IF(C3857&lt;99,VLOOKUP(C3857,'Babblefish-APUMA'!$A$1:$B$86,2),C3857),C3857)</f>
        <v>75</v>
      </c>
    </row>
    <row r="3858" customFormat="false" ht="12.75" hidden="false" customHeight="false" outlineLevel="0" collapsed="false">
      <c r="A3858" s="0" t="n">
        <f aca="false">B3858*1000+C3858</f>
        <v>56076</v>
      </c>
      <c r="B3858" s="0" t="n">
        <v>56</v>
      </c>
      <c r="C3858" s="0" t="n">
        <v>76</v>
      </c>
      <c r="D3858" s="0" t="n">
        <v>0</v>
      </c>
      <c r="E3858" s="0" t="n">
        <f aca="false">VLOOKUP(B3858,'Babblefish-APUMA'!$A$1:$B$86,2)</f>
        <v>90</v>
      </c>
      <c r="F3858" s="0" t="n">
        <f aca="false">IF(C3858&gt;1,IF(C3858&lt;99,VLOOKUP(C3858,'Babblefish-APUMA'!$A$1:$B$86,2),C3858),C3858)</f>
        <v>76</v>
      </c>
    </row>
    <row r="3859" customFormat="false" ht="12.75" hidden="false" customHeight="false" outlineLevel="0" collapsed="false">
      <c r="A3859" s="0" t="n">
        <f aca="false">B3859*1000+C3859</f>
        <v>56077</v>
      </c>
      <c r="B3859" s="0" t="n">
        <v>56</v>
      </c>
      <c r="C3859" s="0" t="n">
        <v>77</v>
      </c>
      <c r="D3859" s="0" t="n">
        <v>0</v>
      </c>
      <c r="E3859" s="0" t="n">
        <f aca="false">VLOOKUP(B3859,'Babblefish-APUMA'!$A$1:$B$86,2)</f>
        <v>90</v>
      </c>
      <c r="F3859" s="0" t="n">
        <f aca="false">IF(C3859&gt;1,IF(C3859&lt;99,VLOOKUP(C3859,'Babblefish-APUMA'!$A$1:$B$86,2),C3859),C3859)</f>
        <v>77</v>
      </c>
    </row>
    <row r="3860" customFormat="false" ht="12.75" hidden="false" customHeight="false" outlineLevel="0" collapsed="false">
      <c r="A3860" s="0" t="n">
        <f aca="false">B3860*1000+C3860</f>
        <v>56078</v>
      </c>
      <c r="B3860" s="0" t="n">
        <v>56</v>
      </c>
      <c r="C3860" s="0" t="n">
        <v>78</v>
      </c>
      <c r="D3860" s="0" t="n">
        <v>0</v>
      </c>
      <c r="E3860" s="0" t="n">
        <f aca="false">VLOOKUP(B3860,'Babblefish-APUMA'!$A$1:$B$86,2)</f>
        <v>90</v>
      </c>
      <c r="F3860" s="0" t="n">
        <f aca="false">IF(C3860&gt;1,IF(C3860&lt;99,VLOOKUP(C3860,'Babblefish-APUMA'!$A$1:$B$86,2),C3860),C3860)</f>
        <v>89</v>
      </c>
    </row>
    <row r="3861" customFormat="false" ht="12.75" hidden="false" customHeight="false" outlineLevel="0" collapsed="false">
      <c r="A3861" s="0" t="n">
        <f aca="false">B3861*1000+C3861</f>
        <v>56079</v>
      </c>
      <c r="B3861" s="0" t="n">
        <v>56</v>
      </c>
      <c r="C3861" s="0" t="n">
        <v>79</v>
      </c>
      <c r="D3861" s="0" t="n">
        <v>0</v>
      </c>
      <c r="E3861" s="0" t="n">
        <f aca="false">VLOOKUP(B3861,'Babblefish-APUMA'!$A$1:$B$86,2)</f>
        <v>90</v>
      </c>
      <c r="F3861" s="0" t="n">
        <f aca="false">IF(C3861&gt;1,IF(C3861&lt;99,VLOOKUP(C3861,'Babblefish-APUMA'!$A$1:$B$86,2),C3861),C3861)</f>
        <v>89</v>
      </c>
    </row>
    <row r="3862" customFormat="false" ht="12.75" hidden="false" customHeight="false" outlineLevel="0" collapsed="false">
      <c r="A3862" s="0" t="n">
        <f aca="false">B3862*1000+C3862</f>
        <v>56080</v>
      </c>
      <c r="B3862" s="0" t="n">
        <v>56</v>
      </c>
      <c r="C3862" s="0" t="n">
        <v>80</v>
      </c>
      <c r="D3862" s="0" t="n">
        <v>0</v>
      </c>
      <c r="E3862" s="0" t="n">
        <f aca="false">VLOOKUP(B3862,'Babblefish-APUMA'!$A$1:$B$86,2)</f>
        <v>90</v>
      </c>
      <c r="F3862" s="0" t="n">
        <f aca="false">IF(C3862&gt;1,IF(C3862&lt;99,VLOOKUP(C3862,'Babblefish-APUMA'!$A$1:$B$86,2),C3862),C3862)</f>
        <v>80</v>
      </c>
    </row>
    <row r="3863" customFormat="false" ht="12.75" hidden="false" customHeight="false" outlineLevel="0" collapsed="false">
      <c r="A3863" s="0" t="n">
        <f aca="false">B3863*1000+C3863</f>
        <v>56081</v>
      </c>
      <c r="B3863" s="0" t="n">
        <v>56</v>
      </c>
      <c r="C3863" s="0" t="n">
        <v>81</v>
      </c>
      <c r="D3863" s="0" t="n">
        <v>0</v>
      </c>
      <c r="E3863" s="0" t="n">
        <f aca="false">VLOOKUP(B3863,'Babblefish-APUMA'!$A$1:$B$86,2)</f>
        <v>90</v>
      </c>
      <c r="F3863" s="0" t="n">
        <f aca="false">IF(C3863&gt;1,IF(C3863&lt;99,VLOOKUP(C3863,'Babblefish-APUMA'!$A$1:$B$86,2),C3863),C3863)</f>
        <v>93</v>
      </c>
    </row>
    <row r="3864" customFormat="false" ht="12.75" hidden="false" customHeight="false" outlineLevel="0" collapsed="false">
      <c r="A3864" s="0" t="n">
        <f aca="false">B3864*1000+C3864</f>
        <v>56082</v>
      </c>
      <c r="B3864" s="0" t="n">
        <v>56</v>
      </c>
      <c r="C3864" s="0" t="n">
        <v>82</v>
      </c>
      <c r="D3864" s="0" t="n">
        <v>0</v>
      </c>
      <c r="E3864" s="0" t="n">
        <f aca="false">VLOOKUP(B3864,'Babblefish-APUMA'!$A$1:$B$86,2)</f>
        <v>90</v>
      </c>
      <c r="F3864" s="0" t="n">
        <f aca="false">IF(C3864&gt;1,IF(C3864&lt;99,VLOOKUP(C3864,'Babblefish-APUMA'!$A$1:$B$86,2),C3864),C3864)</f>
        <v>95</v>
      </c>
    </row>
    <row r="3865" customFormat="false" ht="12.75" hidden="false" customHeight="false" outlineLevel="0" collapsed="false">
      <c r="A3865" s="0" t="n">
        <f aca="false">B3865*1000+C3865</f>
        <v>56083</v>
      </c>
      <c r="B3865" s="0" t="n">
        <v>56</v>
      </c>
      <c r="C3865" s="0" t="n">
        <v>83</v>
      </c>
      <c r="D3865" s="0" t="n">
        <v>0</v>
      </c>
      <c r="E3865" s="0" t="n">
        <f aca="false">VLOOKUP(B3865,'Babblefish-APUMA'!$A$1:$B$86,2)</f>
        <v>90</v>
      </c>
      <c r="F3865" s="0" t="n">
        <f aca="false">IF(C3865&gt;1,IF(C3865&lt;99,VLOOKUP(C3865,'Babblefish-APUMA'!$A$1:$B$86,2),C3865),C3865)</f>
        <v>103</v>
      </c>
    </row>
    <row r="3866" customFormat="false" ht="12.75" hidden="false" customHeight="false" outlineLevel="0" collapsed="false">
      <c r="A3866" s="0" t="n">
        <f aca="false">B3866*1000+C3866</f>
        <v>56084</v>
      </c>
      <c r="B3866" s="0" t="n">
        <v>56</v>
      </c>
      <c r="C3866" s="0" t="n">
        <v>84</v>
      </c>
      <c r="D3866" s="0" t="n">
        <v>0</v>
      </c>
      <c r="E3866" s="0" t="n">
        <f aca="false">VLOOKUP(B3866,'Babblefish-APUMA'!$A$1:$B$86,2)</f>
        <v>90</v>
      </c>
      <c r="F3866" s="0" t="n">
        <f aca="false">IF(C3866&gt;1,IF(C3866&lt;99,VLOOKUP(C3866,'Babblefish-APUMA'!$A$1:$B$86,2),C3866),C3866)</f>
        <v>92</v>
      </c>
    </row>
    <row r="3867" customFormat="false" ht="12.75" hidden="false" customHeight="false" outlineLevel="0" collapsed="false">
      <c r="A3867" s="0" t="n">
        <f aca="false">B3867*1000+C3867</f>
        <v>56085</v>
      </c>
      <c r="B3867" s="0" t="n">
        <v>56</v>
      </c>
      <c r="C3867" s="0" t="n">
        <v>85</v>
      </c>
      <c r="D3867" s="0" t="n">
        <v>0</v>
      </c>
      <c r="E3867" s="0" t="n">
        <f aca="false">VLOOKUP(B3867,'Babblefish-APUMA'!$A$1:$B$86,2)</f>
        <v>90</v>
      </c>
      <c r="F3867" s="0" t="n">
        <f aca="false">IF(C3867&gt;1,IF(C3867&lt;99,VLOOKUP(C3867,'Babblefish-APUMA'!$A$1:$B$86,2),C3867),C3867)</f>
        <v>97</v>
      </c>
    </row>
    <row r="3868" customFormat="false" ht="12.75" hidden="false" customHeight="false" outlineLevel="0" collapsed="false">
      <c r="A3868" s="0" t="n">
        <f aca="false">B3868*1000+C3868</f>
        <v>56858</v>
      </c>
      <c r="B3868" s="0" t="n">
        <v>56</v>
      </c>
      <c r="C3868" s="0" t="n">
        <v>858</v>
      </c>
      <c r="D3868" s="0" t="n">
        <v>0</v>
      </c>
      <c r="E3868" s="0" t="n">
        <f aca="false">VLOOKUP(B3868,'Babblefish-APUMA'!$A$1:$B$86,2)</f>
        <v>90</v>
      </c>
      <c r="F3868" s="0" t="n">
        <f aca="false">IF(C3868&gt;1,IF(C3868&lt;99,VLOOKUP(C3868,'Babblefish-APUMA'!$A$1:$B$86,2),C3868),C3868)</f>
        <v>858</v>
      </c>
    </row>
    <row r="3869" customFormat="false" ht="12.75" hidden="false" customHeight="false" outlineLevel="0" collapsed="false">
      <c r="A3869" s="0" t="n">
        <f aca="false">B3869*1000+C3869</f>
        <v>56983</v>
      </c>
      <c r="B3869" s="0" t="n">
        <v>56</v>
      </c>
      <c r="C3869" s="0" t="n">
        <v>983</v>
      </c>
      <c r="D3869" s="0" t="n">
        <v>0</v>
      </c>
      <c r="E3869" s="0" t="n">
        <f aca="false">VLOOKUP(B3869,'Babblefish-APUMA'!$A$1:$B$86,2)</f>
        <v>90</v>
      </c>
      <c r="F3869" s="0" t="n">
        <f aca="false">IF(C3869&gt;1,IF(C3869&lt;99,VLOOKUP(C3869,'Babblefish-APUMA'!$A$1:$B$86,2),C3869),C3869)</f>
        <v>983</v>
      </c>
    </row>
    <row r="3870" customFormat="false" ht="12.75" hidden="false" customHeight="false" outlineLevel="0" collapsed="false">
      <c r="A3870" s="0" t="n">
        <f aca="false">B3870*1000+C3870</f>
        <v>56999</v>
      </c>
      <c r="B3870" s="0" t="n">
        <v>56</v>
      </c>
      <c r="C3870" s="0" t="n">
        <v>999</v>
      </c>
      <c r="D3870" s="0" t="n">
        <v>0</v>
      </c>
      <c r="E3870" s="0" t="n">
        <f aca="false">VLOOKUP(B3870,'Babblefish-APUMA'!$A$1:$B$86,2)</f>
        <v>90</v>
      </c>
      <c r="F3870" s="0" t="n">
        <f aca="false">IF(C3870&gt;1,IF(C3870&lt;99,VLOOKUP(C3870,'Babblefish-APUMA'!$A$1:$B$86,2),C3870),C3870)</f>
        <v>999</v>
      </c>
    </row>
    <row r="3871" customFormat="false" ht="12.75" hidden="false" customHeight="false" outlineLevel="0" collapsed="false">
      <c r="A3871" s="0" t="n">
        <f aca="false">B3871*1000+C3871</f>
        <v>57000</v>
      </c>
      <c r="B3871" s="0" t="n">
        <v>57</v>
      </c>
      <c r="C3871" s="0" t="n">
        <v>0</v>
      </c>
      <c r="D3871" s="0" t="n">
        <v>93795</v>
      </c>
      <c r="E3871" s="0" t="n">
        <f aca="false">VLOOKUP(B3871,'Babblefish-APUMA'!$A$1:$B$86,2)</f>
        <v>90</v>
      </c>
      <c r="F3871" s="0" t="n">
        <f aca="false">IF(C3871&gt;1,IF(C3871&lt;99,VLOOKUP(C3871,'Babblefish-APUMA'!$A$1:$B$86,2),C3871),C3871)</f>
        <v>0</v>
      </c>
    </row>
    <row r="3872" customFormat="false" ht="12.75" hidden="false" customHeight="false" outlineLevel="0" collapsed="false">
      <c r="A3872" s="0" t="n">
        <f aca="false">B3872*1000+C3872</f>
        <v>57001</v>
      </c>
      <c r="B3872" s="0" t="n">
        <v>57</v>
      </c>
      <c r="C3872" s="0" t="n">
        <v>1</v>
      </c>
      <c r="D3872" s="0" t="n">
        <v>0</v>
      </c>
      <c r="E3872" s="0" t="n">
        <f aca="false">VLOOKUP(B3872,'Babblefish-APUMA'!$A$1:$B$86,2)</f>
        <v>90</v>
      </c>
      <c r="F3872" s="0" t="n">
        <f aca="false">IF(C3872&gt;1,IF(C3872&lt;99,VLOOKUP(C3872,'Babblefish-APUMA'!$A$1:$B$86,2),C3872),C3872)</f>
        <v>1</v>
      </c>
    </row>
    <row r="3873" customFormat="false" ht="12.75" hidden="false" customHeight="false" outlineLevel="0" collapsed="false">
      <c r="A3873" s="0" t="n">
        <f aca="false">B3873*1000+C3873</f>
        <v>57002</v>
      </c>
      <c r="B3873" s="0" t="n">
        <v>57</v>
      </c>
      <c r="C3873" s="0" t="n">
        <v>2</v>
      </c>
      <c r="D3873" s="0" t="n">
        <v>0</v>
      </c>
      <c r="E3873" s="0" t="n">
        <f aca="false">VLOOKUP(B3873,'Babblefish-APUMA'!$A$1:$B$86,2)</f>
        <v>90</v>
      </c>
      <c r="F3873" s="0" t="n">
        <f aca="false">IF(C3873&gt;1,IF(C3873&lt;99,VLOOKUP(C3873,'Babblefish-APUMA'!$A$1:$B$86,2),C3873),C3873)</f>
        <v>2</v>
      </c>
    </row>
    <row r="3874" customFormat="false" ht="12.75" hidden="false" customHeight="false" outlineLevel="0" collapsed="false">
      <c r="A3874" s="0" t="n">
        <f aca="false">B3874*1000+C3874</f>
        <v>57003</v>
      </c>
      <c r="B3874" s="0" t="n">
        <v>57</v>
      </c>
      <c r="C3874" s="0" t="n">
        <v>3</v>
      </c>
      <c r="D3874" s="0" t="n">
        <v>0</v>
      </c>
      <c r="E3874" s="0" t="n">
        <f aca="false">VLOOKUP(B3874,'Babblefish-APUMA'!$A$1:$B$86,2)</f>
        <v>90</v>
      </c>
      <c r="F3874" s="0" t="n">
        <f aca="false">IF(C3874&gt;1,IF(C3874&lt;99,VLOOKUP(C3874,'Babblefish-APUMA'!$A$1:$B$86,2),C3874),C3874)</f>
        <v>3</v>
      </c>
    </row>
    <row r="3875" customFormat="false" ht="12.75" hidden="false" customHeight="false" outlineLevel="0" collapsed="false">
      <c r="A3875" s="0" t="n">
        <f aca="false">B3875*1000+C3875</f>
        <v>57004</v>
      </c>
      <c r="B3875" s="0" t="n">
        <v>57</v>
      </c>
      <c r="C3875" s="0" t="n">
        <v>4</v>
      </c>
      <c r="D3875" s="0" t="n">
        <v>0</v>
      </c>
      <c r="E3875" s="0" t="n">
        <f aca="false">VLOOKUP(B3875,'Babblefish-APUMA'!$A$1:$B$86,2)</f>
        <v>90</v>
      </c>
      <c r="F3875" s="0" t="n">
        <f aca="false">IF(C3875&gt;1,IF(C3875&lt;99,VLOOKUP(C3875,'Babblefish-APUMA'!$A$1:$B$86,2),C3875),C3875)</f>
        <v>4</v>
      </c>
    </row>
    <row r="3876" customFormat="false" ht="12.75" hidden="false" customHeight="false" outlineLevel="0" collapsed="false">
      <c r="A3876" s="0" t="n">
        <f aca="false">B3876*1000+C3876</f>
        <v>57005</v>
      </c>
      <c r="B3876" s="0" t="n">
        <v>57</v>
      </c>
      <c r="C3876" s="0" t="n">
        <v>5</v>
      </c>
      <c r="D3876" s="0" t="n">
        <v>0</v>
      </c>
      <c r="E3876" s="0" t="n">
        <f aca="false">VLOOKUP(B3876,'Babblefish-APUMA'!$A$1:$B$86,2)</f>
        <v>90</v>
      </c>
      <c r="F3876" s="0" t="n">
        <f aca="false">IF(C3876&gt;1,IF(C3876&lt;99,VLOOKUP(C3876,'Babblefish-APUMA'!$A$1:$B$86,2),C3876),C3876)</f>
        <v>5</v>
      </c>
    </row>
    <row r="3877" customFormat="false" ht="12.75" hidden="false" customHeight="false" outlineLevel="0" collapsed="false">
      <c r="A3877" s="0" t="n">
        <f aca="false">B3877*1000+C3877</f>
        <v>57006</v>
      </c>
      <c r="B3877" s="0" t="n">
        <v>57</v>
      </c>
      <c r="C3877" s="0" t="n">
        <v>6</v>
      </c>
      <c r="D3877" s="0" t="n">
        <v>0</v>
      </c>
      <c r="E3877" s="0" t="n">
        <f aca="false">VLOOKUP(B3877,'Babblefish-APUMA'!$A$1:$B$86,2)</f>
        <v>90</v>
      </c>
      <c r="F3877" s="0" t="n">
        <f aca="false">IF(C3877&gt;1,IF(C3877&lt;99,VLOOKUP(C3877,'Babblefish-APUMA'!$A$1:$B$86,2),C3877),C3877)</f>
        <v>6</v>
      </c>
    </row>
    <row r="3878" customFormat="false" ht="12.75" hidden="false" customHeight="false" outlineLevel="0" collapsed="false">
      <c r="A3878" s="0" t="n">
        <f aca="false">B3878*1000+C3878</f>
        <v>57007</v>
      </c>
      <c r="B3878" s="0" t="n">
        <v>57</v>
      </c>
      <c r="C3878" s="0" t="n">
        <v>7</v>
      </c>
      <c r="D3878" s="0" t="n">
        <v>0</v>
      </c>
      <c r="E3878" s="0" t="n">
        <f aca="false">VLOOKUP(B3878,'Babblefish-APUMA'!$A$1:$B$86,2)</f>
        <v>90</v>
      </c>
      <c r="F3878" s="0" t="n">
        <f aca="false">IF(C3878&gt;1,IF(C3878&lt;99,VLOOKUP(C3878,'Babblefish-APUMA'!$A$1:$B$86,2),C3878),C3878)</f>
        <v>7</v>
      </c>
    </row>
    <row r="3879" customFormat="false" ht="12.75" hidden="false" customHeight="false" outlineLevel="0" collapsed="false">
      <c r="A3879" s="0" t="n">
        <f aca="false">B3879*1000+C3879</f>
        <v>57008</v>
      </c>
      <c r="B3879" s="0" t="n">
        <v>57</v>
      </c>
      <c r="C3879" s="0" t="n">
        <v>8</v>
      </c>
      <c r="D3879" s="0" t="n">
        <v>0</v>
      </c>
      <c r="E3879" s="0" t="n">
        <f aca="false">VLOOKUP(B3879,'Babblefish-APUMA'!$A$1:$B$86,2)</f>
        <v>90</v>
      </c>
      <c r="F3879" s="0" t="n">
        <f aca="false">IF(C3879&gt;1,IF(C3879&lt;99,VLOOKUP(C3879,'Babblefish-APUMA'!$A$1:$B$86,2),C3879),C3879)</f>
        <v>8</v>
      </c>
    </row>
    <row r="3880" customFormat="false" ht="12.75" hidden="false" customHeight="false" outlineLevel="0" collapsed="false">
      <c r="A3880" s="0" t="n">
        <f aca="false">B3880*1000+C3880</f>
        <v>57009</v>
      </c>
      <c r="B3880" s="0" t="n">
        <v>57</v>
      </c>
      <c r="C3880" s="0" t="n">
        <v>9</v>
      </c>
      <c r="D3880" s="0" t="n">
        <v>0</v>
      </c>
      <c r="E3880" s="0" t="n">
        <f aca="false">VLOOKUP(B3880,'Babblefish-APUMA'!$A$1:$B$86,2)</f>
        <v>90</v>
      </c>
      <c r="F3880" s="0" t="n">
        <f aca="false">IF(C3880&gt;1,IF(C3880&lt;99,VLOOKUP(C3880,'Babblefish-APUMA'!$A$1:$B$86,2),C3880),C3880)</f>
        <v>9</v>
      </c>
    </row>
    <row r="3881" customFormat="false" ht="12.75" hidden="false" customHeight="false" outlineLevel="0" collapsed="false">
      <c r="A3881" s="0" t="n">
        <f aca="false">B3881*1000+C3881</f>
        <v>57010</v>
      </c>
      <c r="B3881" s="0" t="n">
        <v>57</v>
      </c>
      <c r="C3881" s="0" t="n">
        <v>10</v>
      </c>
      <c r="D3881" s="0" t="n">
        <v>0</v>
      </c>
      <c r="E3881" s="0" t="n">
        <f aca="false">VLOOKUP(B3881,'Babblefish-APUMA'!$A$1:$B$86,2)</f>
        <v>90</v>
      </c>
      <c r="F3881" s="0" t="n">
        <f aca="false">IF(C3881&gt;1,IF(C3881&lt;99,VLOOKUP(C3881,'Babblefish-APUMA'!$A$1:$B$86,2),C3881),C3881)</f>
        <v>10</v>
      </c>
    </row>
    <row r="3882" customFormat="false" ht="12.75" hidden="false" customHeight="false" outlineLevel="0" collapsed="false">
      <c r="A3882" s="0" t="n">
        <f aca="false">B3882*1000+C3882</f>
        <v>57011</v>
      </c>
      <c r="B3882" s="0" t="n">
        <v>57</v>
      </c>
      <c r="C3882" s="0" t="n">
        <v>11</v>
      </c>
      <c r="D3882" s="0" t="n">
        <v>0</v>
      </c>
      <c r="E3882" s="0" t="n">
        <f aca="false">VLOOKUP(B3882,'Babblefish-APUMA'!$A$1:$B$86,2)</f>
        <v>90</v>
      </c>
      <c r="F3882" s="0" t="n">
        <f aca="false">IF(C3882&gt;1,IF(C3882&lt;99,VLOOKUP(C3882,'Babblefish-APUMA'!$A$1:$B$86,2),C3882),C3882)</f>
        <v>11</v>
      </c>
    </row>
    <row r="3883" customFormat="false" ht="12.75" hidden="false" customHeight="false" outlineLevel="0" collapsed="false">
      <c r="A3883" s="0" t="n">
        <f aca="false">B3883*1000+C3883</f>
        <v>57012</v>
      </c>
      <c r="B3883" s="0" t="n">
        <v>57</v>
      </c>
      <c r="C3883" s="0" t="n">
        <v>12</v>
      </c>
      <c r="D3883" s="0" t="n">
        <v>0</v>
      </c>
      <c r="E3883" s="0" t="n">
        <f aca="false">VLOOKUP(B3883,'Babblefish-APUMA'!$A$1:$B$86,2)</f>
        <v>90</v>
      </c>
      <c r="F3883" s="0" t="n">
        <f aca="false">IF(C3883&gt;1,IF(C3883&lt;99,VLOOKUP(C3883,'Babblefish-APUMA'!$A$1:$B$86,2),C3883),C3883)</f>
        <v>12</v>
      </c>
    </row>
    <row r="3884" customFormat="false" ht="12.75" hidden="false" customHeight="false" outlineLevel="0" collapsed="false">
      <c r="A3884" s="0" t="n">
        <f aca="false">B3884*1000+C3884</f>
        <v>57013</v>
      </c>
      <c r="B3884" s="0" t="n">
        <v>57</v>
      </c>
      <c r="C3884" s="0" t="n">
        <v>13</v>
      </c>
      <c r="D3884" s="0" t="n">
        <v>0</v>
      </c>
      <c r="E3884" s="0" t="n">
        <f aca="false">VLOOKUP(B3884,'Babblefish-APUMA'!$A$1:$B$86,2)</f>
        <v>90</v>
      </c>
      <c r="F3884" s="0" t="n">
        <f aca="false">IF(C3884&gt;1,IF(C3884&lt;99,VLOOKUP(C3884,'Babblefish-APUMA'!$A$1:$B$86,2),C3884),C3884)</f>
        <v>100</v>
      </c>
    </row>
    <row r="3885" customFormat="false" ht="12.75" hidden="false" customHeight="false" outlineLevel="0" collapsed="false">
      <c r="A3885" s="0" t="n">
        <f aca="false">B3885*1000+C3885</f>
        <v>57014</v>
      </c>
      <c r="B3885" s="0" t="n">
        <v>57</v>
      </c>
      <c r="C3885" s="0" t="n">
        <v>14</v>
      </c>
      <c r="D3885" s="0" t="n">
        <v>0</v>
      </c>
      <c r="E3885" s="0" t="n">
        <f aca="false">VLOOKUP(B3885,'Babblefish-APUMA'!$A$1:$B$86,2)</f>
        <v>90</v>
      </c>
      <c r="F3885" s="0" t="n">
        <f aca="false">IF(C3885&gt;1,IF(C3885&lt;99,VLOOKUP(C3885,'Babblefish-APUMA'!$A$1:$B$86,2),C3885),C3885)</f>
        <v>100</v>
      </c>
    </row>
    <row r="3886" customFormat="false" ht="12.75" hidden="false" customHeight="false" outlineLevel="0" collapsed="false">
      <c r="A3886" s="0" t="n">
        <f aca="false">B3886*1000+C3886</f>
        <v>57015</v>
      </c>
      <c r="B3886" s="0" t="n">
        <v>57</v>
      </c>
      <c r="C3886" s="0" t="n">
        <v>15</v>
      </c>
      <c r="D3886" s="0" t="n">
        <v>0</v>
      </c>
      <c r="E3886" s="0" t="n">
        <f aca="false">VLOOKUP(B3886,'Babblefish-APUMA'!$A$1:$B$86,2)</f>
        <v>90</v>
      </c>
      <c r="F3886" s="0" t="n">
        <f aca="false">IF(C3886&gt;1,IF(C3886&lt;99,VLOOKUP(C3886,'Babblefish-APUMA'!$A$1:$B$86,2),C3886),C3886)</f>
        <v>15</v>
      </c>
    </row>
    <row r="3887" customFormat="false" ht="12.75" hidden="false" customHeight="false" outlineLevel="0" collapsed="false">
      <c r="A3887" s="0" t="n">
        <f aca="false">B3887*1000+C3887</f>
        <v>57016</v>
      </c>
      <c r="B3887" s="0" t="n">
        <v>57</v>
      </c>
      <c r="C3887" s="0" t="n">
        <v>16</v>
      </c>
      <c r="D3887" s="0" t="n">
        <v>0</v>
      </c>
      <c r="E3887" s="0" t="n">
        <f aca="false">VLOOKUP(B3887,'Babblefish-APUMA'!$A$1:$B$86,2)</f>
        <v>90</v>
      </c>
      <c r="F3887" s="0" t="n">
        <f aca="false">IF(C3887&gt;1,IF(C3887&lt;99,VLOOKUP(C3887,'Babblefish-APUMA'!$A$1:$B$86,2),C3887),C3887)</f>
        <v>99</v>
      </c>
    </row>
    <row r="3888" customFormat="false" ht="12.75" hidden="false" customHeight="false" outlineLevel="0" collapsed="false">
      <c r="A3888" s="0" t="n">
        <f aca="false">B3888*1000+C3888</f>
        <v>57017</v>
      </c>
      <c r="B3888" s="0" t="n">
        <v>57</v>
      </c>
      <c r="C3888" s="0" t="n">
        <v>17</v>
      </c>
      <c r="D3888" s="0" t="n">
        <v>0</v>
      </c>
      <c r="E3888" s="0" t="n">
        <f aca="false">VLOOKUP(B3888,'Babblefish-APUMA'!$A$1:$B$86,2)</f>
        <v>90</v>
      </c>
      <c r="F3888" s="0" t="n">
        <f aca="false">IF(C3888&gt;1,IF(C3888&lt;99,VLOOKUP(C3888,'Babblefish-APUMA'!$A$1:$B$86,2),C3888),C3888)</f>
        <v>87</v>
      </c>
    </row>
    <row r="3889" customFormat="false" ht="12.75" hidden="false" customHeight="false" outlineLevel="0" collapsed="false">
      <c r="A3889" s="0" t="n">
        <f aca="false">B3889*1000+C3889</f>
        <v>57018</v>
      </c>
      <c r="B3889" s="0" t="n">
        <v>57</v>
      </c>
      <c r="C3889" s="0" t="n">
        <v>18</v>
      </c>
      <c r="D3889" s="0" t="n">
        <v>0</v>
      </c>
      <c r="E3889" s="0" t="n">
        <f aca="false">VLOOKUP(B3889,'Babblefish-APUMA'!$A$1:$B$86,2)</f>
        <v>90</v>
      </c>
      <c r="F3889" s="0" t="n">
        <f aca="false">IF(C3889&gt;1,IF(C3889&lt;99,VLOOKUP(C3889,'Babblefish-APUMA'!$A$1:$B$86,2),C3889),C3889)</f>
        <v>87</v>
      </c>
    </row>
    <row r="3890" customFormat="false" ht="12.75" hidden="false" customHeight="false" outlineLevel="0" collapsed="false">
      <c r="A3890" s="0" t="n">
        <f aca="false">B3890*1000+C3890</f>
        <v>57019</v>
      </c>
      <c r="B3890" s="0" t="n">
        <v>57</v>
      </c>
      <c r="C3890" s="0" t="n">
        <v>19</v>
      </c>
      <c r="D3890" s="0" t="n">
        <v>0</v>
      </c>
      <c r="E3890" s="0" t="n">
        <f aca="false">VLOOKUP(B3890,'Babblefish-APUMA'!$A$1:$B$86,2)</f>
        <v>90</v>
      </c>
      <c r="F3890" s="0" t="n">
        <f aca="false">IF(C3890&gt;1,IF(C3890&lt;99,VLOOKUP(C3890,'Babblefish-APUMA'!$A$1:$B$86,2),C3890),C3890)</f>
        <v>19</v>
      </c>
    </row>
    <row r="3891" customFormat="false" ht="12.75" hidden="false" customHeight="false" outlineLevel="0" collapsed="false">
      <c r="A3891" s="0" t="n">
        <f aca="false">B3891*1000+C3891</f>
        <v>57020</v>
      </c>
      <c r="B3891" s="0" t="n">
        <v>57</v>
      </c>
      <c r="C3891" s="0" t="n">
        <v>20</v>
      </c>
      <c r="D3891" s="0" t="n">
        <v>0</v>
      </c>
      <c r="E3891" s="0" t="n">
        <f aca="false">VLOOKUP(B3891,'Babblefish-APUMA'!$A$1:$B$86,2)</f>
        <v>90</v>
      </c>
      <c r="F3891" s="0" t="n">
        <f aca="false">IF(C3891&gt;1,IF(C3891&lt;99,VLOOKUP(C3891,'Babblefish-APUMA'!$A$1:$B$86,2),C3891),C3891)</f>
        <v>86</v>
      </c>
    </row>
    <row r="3892" customFormat="false" ht="12.75" hidden="false" customHeight="false" outlineLevel="0" collapsed="false">
      <c r="A3892" s="0" t="n">
        <f aca="false">B3892*1000+C3892</f>
        <v>57021</v>
      </c>
      <c r="B3892" s="0" t="n">
        <v>57</v>
      </c>
      <c r="C3892" s="0" t="n">
        <v>21</v>
      </c>
      <c r="D3892" s="0" t="n">
        <v>0</v>
      </c>
      <c r="E3892" s="0" t="n">
        <f aca="false">VLOOKUP(B3892,'Babblefish-APUMA'!$A$1:$B$86,2)</f>
        <v>90</v>
      </c>
      <c r="F3892" s="0" t="n">
        <f aca="false">IF(C3892&gt;1,IF(C3892&lt;99,VLOOKUP(C3892,'Babblefish-APUMA'!$A$1:$B$86,2),C3892),C3892)</f>
        <v>86</v>
      </c>
    </row>
    <row r="3893" customFormat="false" ht="12.75" hidden="false" customHeight="false" outlineLevel="0" collapsed="false">
      <c r="A3893" s="0" t="n">
        <f aca="false">B3893*1000+C3893</f>
        <v>57022</v>
      </c>
      <c r="B3893" s="0" t="n">
        <v>57</v>
      </c>
      <c r="C3893" s="0" t="n">
        <v>22</v>
      </c>
      <c r="D3893" s="0" t="n">
        <v>0</v>
      </c>
      <c r="E3893" s="0" t="n">
        <f aca="false">VLOOKUP(B3893,'Babblefish-APUMA'!$A$1:$B$86,2)</f>
        <v>90</v>
      </c>
      <c r="F3893" s="0" t="n">
        <f aca="false">IF(C3893&gt;1,IF(C3893&lt;99,VLOOKUP(C3893,'Babblefish-APUMA'!$A$1:$B$86,2),C3893),C3893)</f>
        <v>22</v>
      </c>
    </row>
    <row r="3894" customFormat="false" ht="12.75" hidden="false" customHeight="false" outlineLevel="0" collapsed="false">
      <c r="A3894" s="0" t="n">
        <f aca="false">B3894*1000+C3894</f>
        <v>57023</v>
      </c>
      <c r="B3894" s="0" t="n">
        <v>57</v>
      </c>
      <c r="C3894" s="0" t="n">
        <v>23</v>
      </c>
      <c r="D3894" s="0" t="n">
        <v>0</v>
      </c>
      <c r="E3894" s="0" t="n">
        <f aca="false">VLOOKUP(B3894,'Babblefish-APUMA'!$A$1:$B$86,2)</f>
        <v>90</v>
      </c>
      <c r="F3894" s="0" t="n">
        <f aca="false">IF(C3894&gt;1,IF(C3894&lt;99,VLOOKUP(C3894,'Babblefish-APUMA'!$A$1:$B$86,2),C3894),C3894)</f>
        <v>97</v>
      </c>
    </row>
    <row r="3895" customFormat="false" ht="12.75" hidden="false" customHeight="false" outlineLevel="0" collapsed="false">
      <c r="A3895" s="0" t="n">
        <f aca="false">B3895*1000+C3895</f>
        <v>57024</v>
      </c>
      <c r="B3895" s="0" t="n">
        <v>57</v>
      </c>
      <c r="C3895" s="0" t="n">
        <v>24</v>
      </c>
      <c r="D3895" s="0" t="n">
        <v>0</v>
      </c>
      <c r="E3895" s="0" t="n">
        <f aca="false">VLOOKUP(B3895,'Babblefish-APUMA'!$A$1:$B$86,2)</f>
        <v>90</v>
      </c>
      <c r="F3895" s="0" t="n">
        <f aca="false">IF(C3895&gt;1,IF(C3895&lt;99,VLOOKUP(C3895,'Babblefish-APUMA'!$A$1:$B$86,2),C3895),C3895)</f>
        <v>101</v>
      </c>
    </row>
    <row r="3896" customFormat="false" ht="12.75" hidden="false" customHeight="false" outlineLevel="0" collapsed="false">
      <c r="A3896" s="0" t="n">
        <f aca="false">B3896*1000+C3896</f>
        <v>57025</v>
      </c>
      <c r="B3896" s="0" t="n">
        <v>57</v>
      </c>
      <c r="C3896" s="0" t="n">
        <v>25</v>
      </c>
      <c r="D3896" s="0" t="n">
        <v>78</v>
      </c>
      <c r="E3896" s="0" t="n">
        <f aca="false">VLOOKUP(B3896,'Babblefish-APUMA'!$A$1:$B$86,2)</f>
        <v>90</v>
      </c>
      <c r="F3896" s="0" t="n">
        <f aca="false">IF(C3896&gt;1,IF(C3896&lt;99,VLOOKUP(C3896,'Babblefish-APUMA'!$A$1:$B$86,2),C3896),C3896)</f>
        <v>101</v>
      </c>
    </row>
    <row r="3897" customFormat="false" ht="12.75" hidden="false" customHeight="false" outlineLevel="0" collapsed="false">
      <c r="A3897" s="0" t="n">
        <f aca="false">B3897*1000+C3897</f>
        <v>57026</v>
      </c>
      <c r="B3897" s="0" t="n">
        <v>57</v>
      </c>
      <c r="C3897" s="0" t="n">
        <v>26</v>
      </c>
      <c r="D3897" s="0" t="n">
        <v>0</v>
      </c>
      <c r="E3897" s="0" t="n">
        <f aca="false">VLOOKUP(B3897,'Babblefish-APUMA'!$A$1:$B$86,2)</f>
        <v>90</v>
      </c>
      <c r="F3897" s="0" t="n">
        <f aca="false">IF(C3897&gt;1,IF(C3897&lt;99,VLOOKUP(C3897,'Babblefish-APUMA'!$A$1:$B$86,2),C3897),C3897)</f>
        <v>26</v>
      </c>
    </row>
    <row r="3898" customFormat="false" ht="12.75" hidden="false" customHeight="false" outlineLevel="0" collapsed="false">
      <c r="A3898" s="0" t="n">
        <f aca="false">B3898*1000+C3898</f>
        <v>57027</v>
      </c>
      <c r="B3898" s="0" t="n">
        <v>57</v>
      </c>
      <c r="C3898" s="0" t="n">
        <v>27</v>
      </c>
      <c r="D3898" s="0" t="n">
        <v>0</v>
      </c>
      <c r="E3898" s="0" t="n">
        <f aca="false">VLOOKUP(B3898,'Babblefish-APUMA'!$A$1:$B$86,2)</f>
        <v>90</v>
      </c>
      <c r="F3898" s="0" t="n">
        <f aca="false">IF(C3898&gt;1,IF(C3898&lt;99,VLOOKUP(C3898,'Babblefish-APUMA'!$A$1:$B$86,2),C3898),C3898)</f>
        <v>27</v>
      </c>
    </row>
    <row r="3899" customFormat="false" ht="12.75" hidden="false" customHeight="false" outlineLevel="0" collapsed="false">
      <c r="A3899" s="0" t="n">
        <f aca="false">B3899*1000+C3899</f>
        <v>57028</v>
      </c>
      <c r="B3899" s="0" t="n">
        <v>57</v>
      </c>
      <c r="C3899" s="0" t="n">
        <v>28</v>
      </c>
      <c r="D3899" s="0" t="n">
        <v>0</v>
      </c>
      <c r="E3899" s="0" t="n">
        <f aca="false">VLOOKUP(B3899,'Babblefish-APUMA'!$A$1:$B$86,2)</f>
        <v>90</v>
      </c>
      <c r="F3899" s="0" t="n">
        <f aca="false">IF(C3899&gt;1,IF(C3899&lt;99,VLOOKUP(C3899,'Babblefish-APUMA'!$A$1:$B$86,2),C3899),C3899)</f>
        <v>94</v>
      </c>
    </row>
    <row r="3900" customFormat="false" ht="12.75" hidden="false" customHeight="false" outlineLevel="0" collapsed="false">
      <c r="A3900" s="0" t="n">
        <f aca="false">B3900*1000+C3900</f>
        <v>57029</v>
      </c>
      <c r="B3900" s="0" t="n">
        <v>57</v>
      </c>
      <c r="C3900" s="0" t="n">
        <v>29</v>
      </c>
      <c r="D3900" s="0" t="n">
        <v>0</v>
      </c>
      <c r="E3900" s="0" t="n">
        <f aca="false">VLOOKUP(B3900,'Babblefish-APUMA'!$A$1:$B$86,2)</f>
        <v>90</v>
      </c>
      <c r="F3900" s="0" t="n">
        <f aca="false">IF(C3900&gt;1,IF(C3900&lt;99,VLOOKUP(C3900,'Babblefish-APUMA'!$A$1:$B$86,2),C3900),C3900)</f>
        <v>94</v>
      </c>
    </row>
    <row r="3901" customFormat="false" ht="12.75" hidden="false" customHeight="false" outlineLevel="0" collapsed="false">
      <c r="A3901" s="0" t="n">
        <f aca="false">B3901*1000+C3901</f>
        <v>57030</v>
      </c>
      <c r="B3901" s="0" t="n">
        <v>57</v>
      </c>
      <c r="C3901" s="0" t="n">
        <v>30</v>
      </c>
      <c r="D3901" s="0" t="n">
        <v>0</v>
      </c>
      <c r="E3901" s="0" t="n">
        <f aca="false">VLOOKUP(B3901,'Babblefish-APUMA'!$A$1:$B$86,2)</f>
        <v>90</v>
      </c>
      <c r="F3901" s="0" t="n">
        <f aca="false">IF(C3901&gt;1,IF(C3901&lt;99,VLOOKUP(C3901,'Babblefish-APUMA'!$A$1:$B$86,2),C3901),C3901)</f>
        <v>30</v>
      </c>
    </row>
    <row r="3902" customFormat="false" ht="12.75" hidden="false" customHeight="false" outlineLevel="0" collapsed="false">
      <c r="A3902" s="0" t="n">
        <f aca="false">B3902*1000+C3902</f>
        <v>57031</v>
      </c>
      <c r="B3902" s="0" t="n">
        <v>57</v>
      </c>
      <c r="C3902" s="0" t="n">
        <v>31</v>
      </c>
      <c r="D3902" s="0" t="n">
        <v>104</v>
      </c>
      <c r="E3902" s="0" t="n">
        <f aca="false">VLOOKUP(B3902,'Babblefish-APUMA'!$A$1:$B$86,2)</f>
        <v>90</v>
      </c>
      <c r="F3902" s="0" t="n">
        <f aca="false">IF(C3902&gt;1,IF(C3902&lt;99,VLOOKUP(C3902,'Babblefish-APUMA'!$A$1:$B$86,2),C3902),C3902)</f>
        <v>31</v>
      </c>
    </row>
    <row r="3903" customFormat="false" ht="12.75" hidden="false" customHeight="false" outlineLevel="0" collapsed="false">
      <c r="A3903" s="0" t="n">
        <f aca="false">B3903*1000+C3903</f>
        <v>57032</v>
      </c>
      <c r="B3903" s="0" t="n">
        <v>57</v>
      </c>
      <c r="C3903" s="0" t="n">
        <v>32</v>
      </c>
      <c r="D3903" s="0" t="n">
        <v>0</v>
      </c>
      <c r="E3903" s="0" t="n">
        <f aca="false">VLOOKUP(B3903,'Babblefish-APUMA'!$A$1:$B$86,2)</f>
        <v>90</v>
      </c>
      <c r="F3903" s="0" t="n">
        <f aca="false">IF(C3903&gt;1,IF(C3903&lt;99,VLOOKUP(C3903,'Babblefish-APUMA'!$A$1:$B$86,2),C3903),C3903)</f>
        <v>32</v>
      </c>
    </row>
    <row r="3904" customFormat="false" ht="12.75" hidden="false" customHeight="false" outlineLevel="0" collapsed="false">
      <c r="A3904" s="0" t="n">
        <f aca="false">B3904*1000+C3904</f>
        <v>57033</v>
      </c>
      <c r="B3904" s="0" t="n">
        <v>57</v>
      </c>
      <c r="C3904" s="0" t="n">
        <v>33</v>
      </c>
      <c r="D3904" s="0" t="n">
        <v>0</v>
      </c>
      <c r="E3904" s="0" t="n">
        <f aca="false">VLOOKUP(B3904,'Babblefish-APUMA'!$A$1:$B$86,2)</f>
        <v>90</v>
      </c>
      <c r="F3904" s="0" t="n">
        <f aca="false">IF(C3904&gt;1,IF(C3904&lt;99,VLOOKUP(C3904,'Babblefish-APUMA'!$A$1:$B$86,2),C3904),C3904)</f>
        <v>96</v>
      </c>
    </row>
    <row r="3905" customFormat="false" ht="12.75" hidden="false" customHeight="false" outlineLevel="0" collapsed="false">
      <c r="A3905" s="0" t="n">
        <f aca="false">B3905*1000+C3905</f>
        <v>57034</v>
      </c>
      <c r="B3905" s="0" t="n">
        <v>57</v>
      </c>
      <c r="C3905" s="0" t="n">
        <v>34</v>
      </c>
      <c r="D3905" s="0" t="n">
        <v>0</v>
      </c>
      <c r="E3905" s="0" t="n">
        <f aca="false">VLOOKUP(B3905,'Babblefish-APUMA'!$A$1:$B$86,2)</f>
        <v>90</v>
      </c>
      <c r="F3905" s="0" t="n">
        <f aca="false">IF(C3905&gt;1,IF(C3905&lt;99,VLOOKUP(C3905,'Babblefish-APUMA'!$A$1:$B$86,2),C3905),C3905)</f>
        <v>96</v>
      </c>
    </row>
    <row r="3906" customFormat="false" ht="12.75" hidden="false" customHeight="false" outlineLevel="0" collapsed="false">
      <c r="A3906" s="0" t="n">
        <f aca="false">B3906*1000+C3906</f>
        <v>57035</v>
      </c>
      <c r="B3906" s="0" t="n">
        <v>57</v>
      </c>
      <c r="C3906" s="0" t="n">
        <v>35</v>
      </c>
      <c r="D3906" s="0" t="n">
        <v>0</v>
      </c>
      <c r="E3906" s="0" t="n">
        <f aca="false">VLOOKUP(B3906,'Babblefish-APUMA'!$A$1:$B$86,2)</f>
        <v>90</v>
      </c>
      <c r="F3906" s="0" t="n">
        <f aca="false">IF(C3906&gt;1,IF(C3906&lt;99,VLOOKUP(C3906,'Babblefish-APUMA'!$A$1:$B$86,2),C3906),C3906)</f>
        <v>96</v>
      </c>
    </row>
    <row r="3907" customFormat="false" ht="12.75" hidden="false" customHeight="false" outlineLevel="0" collapsed="false">
      <c r="A3907" s="0" t="n">
        <f aca="false">B3907*1000+C3907</f>
        <v>57036</v>
      </c>
      <c r="B3907" s="0" t="n">
        <v>57</v>
      </c>
      <c r="C3907" s="0" t="n">
        <v>36</v>
      </c>
      <c r="D3907" s="0" t="n">
        <v>0</v>
      </c>
      <c r="E3907" s="0" t="n">
        <f aca="false">VLOOKUP(B3907,'Babblefish-APUMA'!$A$1:$B$86,2)</f>
        <v>90</v>
      </c>
      <c r="F3907" s="0" t="n">
        <f aca="false">IF(C3907&gt;1,IF(C3907&lt;99,VLOOKUP(C3907,'Babblefish-APUMA'!$A$1:$B$86,2),C3907),C3907)</f>
        <v>96</v>
      </c>
    </row>
    <row r="3908" customFormat="false" ht="12.75" hidden="false" customHeight="false" outlineLevel="0" collapsed="false">
      <c r="A3908" s="0" t="n">
        <f aca="false">B3908*1000+C3908</f>
        <v>57037</v>
      </c>
      <c r="B3908" s="0" t="n">
        <v>57</v>
      </c>
      <c r="C3908" s="0" t="n">
        <v>37</v>
      </c>
      <c r="D3908" s="0" t="n">
        <v>0</v>
      </c>
      <c r="E3908" s="0" t="n">
        <f aca="false">VLOOKUP(B3908,'Babblefish-APUMA'!$A$1:$B$86,2)</f>
        <v>90</v>
      </c>
      <c r="F3908" s="0" t="n">
        <f aca="false">IF(C3908&gt;1,IF(C3908&lt;99,VLOOKUP(C3908,'Babblefish-APUMA'!$A$1:$B$86,2),C3908),C3908)</f>
        <v>96</v>
      </c>
    </row>
    <row r="3909" customFormat="false" ht="12.75" hidden="false" customHeight="false" outlineLevel="0" collapsed="false">
      <c r="A3909" s="0" t="n">
        <f aca="false">B3909*1000+C3909</f>
        <v>57038</v>
      </c>
      <c r="B3909" s="0" t="n">
        <v>57</v>
      </c>
      <c r="C3909" s="0" t="n">
        <v>38</v>
      </c>
      <c r="D3909" s="0" t="n">
        <v>0</v>
      </c>
      <c r="E3909" s="0" t="n">
        <f aca="false">VLOOKUP(B3909,'Babblefish-APUMA'!$A$1:$B$86,2)</f>
        <v>90</v>
      </c>
      <c r="F3909" s="0" t="n">
        <f aca="false">IF(C3909&gt;1,IF(C3909&lt;99,VLOOKUP(C3909,'Babblefish-APUMA'!$A$1:$B$86,2),C3909),C3909)</f>
        <v>91</v>
      </c>
    </row>
    <row r="3910" customFormat="false" ht="12.75" hidden="false" customHeight="false" outlineLevel="0" collapsed="false">
      <c r="A3910" s="0" t="n">
        <f aca="false">B3910*1000+C3910</f>
        <v>57039</v>
      </c>
      <c r="B3910" s="0" t="n">
        <v>57</v>
      </c>
      <c r="C3910" s="0" t="n">
        <v>39</v>
      </c>
      <c r="D3910" s="0" t="n">
        <v>0</v>
      </c>
      <c r="E3910" s="0" t="n">
        <f aca="false">VLOOKUP(B3910,'Babblefish-APUMA'!$A$1:$B$86,2)</f>
        <v>90</v>
      </c>
      <c r="F3910" s="0" t="n">
        <f aca="false">IF(C3910&gt;1,IF(C3910&lt;99,VLOOKUP(C3910,'Babblefish-APUMA'!$A$1:$B$86,2),C3910),C3910)</f>
        <v>91</v>
      </c>
    </row>
    <row r="3911" customFormat="false" ht="12.75" hidden="false" customHeight="false" outlineLevel="0" collapsed="false">
      <c r="A3911" s="0" t="n">
        <f aca="false">B3911*1000+C3911</f>
        <v>57040</v>
      </c>
      <c r="B3911" s="0" t="n">
        <v>57</v>
      </c>
      <c r="C3911" s="0" t="n">
        <v>40</v>
      </c>
      <c r="D3911" s="0" t="n">
        <v>0</v>
      </c>
      <c r="E3911" s="0" t="n">
        <f aca="false">VLOOKUP(B3911,'Babblefish-APUMA'!$A$1:$B$86,2)</f>
        <v>90</v>
      </c>
      <c r="F3911" s="0" t="n">
        <f aca="false">IF(C3911&gt;1,IF(C3911&lt;99,VLOOKUP(C3911,'Babblefish-APUMA'!$A$1:$B$86,2),C3911),C3911)</f>
        <v>88</v>
      </c>
    </row>
    <row r="3912" customFormat="false" ht="12.75" hidden="false" customHeight="false" outlineLevel="0" collapsed="false">
      <c r="A3912" s="0" t="n">
        <f aca="false">B3912*1000+C3912</f>
        <v>57041</v>
      </c>
      <c r="B3912" s="0" t="n">
        <v>57</v>
      </c>
      <c r="C3912" s="0" t="n">
        <v>41</v>
      </c>
      <c r="D3912" s="0" t="n">
        <v>0</v>
      </c>
      <c r="E3912" s="0" t="n">
        <f aca="false">VLOOKUP(B3912,'Babblefish-APUMA'!$A$1:$B$86,2)</f>
        <v>90</v>
      </c>
      <c r="F3912" s="0" t="n">
        <f aca="false">IF(C3912&gt;1,IF(C3912&lt;99,VLOOKUP(C3912,'Babblefish-APUMA'!$A$1:$B$86,2),C3912),C3912)</f>
        <v>88</v>
      </c>
    </row>
    <row r="3913" customFormat="false" ht="12.75" hidden="false" customHeight="false" outlineLevel="0" collapsed="false">
      <c r="A3913" s="0" t="n">
        <f aca="false">B3913*1000+C3913</f>
        <v>57042</v>
      </c>
      <c r="B3913" s="0" t="n">
        <v>57</v>
      </c>
      <c r="C3913" s="0" t="n">
        <v>42</v>
      </c>
      <c r="D3913" s="0" t="n">
        <v>468</v>
      </c>
      <c r="E3913" s="0" t="n">
        <f aca="false">VLOOKUP(B3913,'Babblefish-APUMA'!$A$1:$B$86,2)</f>
        <v>90</v>
      </c>
      <c r="F3913" s="0" t="n">
        <f aca="false">IF(C3913&gt;1,IF(C3913&lt;99,VLOOKUP(C3913,'Babblefish-APUMA'!$A$1:$B$86,2),C3913),C3913)</f>
        <v>92</v>
      </c>
    </row>
    <row r="3914" customFormat="false" ht="12.75" hidden="false" customHeight="false" outlineLevel="0" collapsed="false">
      <c r="A3914" s="0" t="n">
        <f aca="false">B3914*1000+C3914</f>
        <v>57043</v>
      </c>
      <c r="B3914" s="0" t="n">
        <v>57</v>
      </c>
      <c r="C3914" s="0" t="n">
        <v>43</v>
      </c>
      <c r="D3914" s="0" t="n">
        <v>78</v>
      </c>
      <c r="E3914" s="0" t="n">
        <f aca="false">VLOOKUP(B3914,'Babblefish-APUMA'!$A$1:$B$86,2)</f>
        <v>90</v>
      </c>
      <c r="F3914" s="0" t="n">
        <f aca="false">IF(C3914&gt;1,IF(C3914&lt;99,VLOOKUP(C3914,'Babblefish-APUMA'!$A$1:$B$86,2),C3914),C3914)</f>
        <v>92</v>
      </c>
    </row>
    <row r="3915" customFormat="false" ht="12.75" hidden="false" customHeight="false" outlineLevel="0" collapsed="false">
      <c r="A3915" s="0" t="n">
        <f aca="false">B3915*1000+C3915</f>
        <v>57044</v>
      </c>
      <c r="B3915" s="0" t="n">
        <v>57</v>
      </c>
      <c r="C3915" s="0" t="n">
        <v>44</v>
      </c>
      <c r="D3915" s="0" t="n">
        <v>143</v>
      </c>
      <c r="E3915" s="0" t="n">
        <f aca="false">VLOOKUP(B3915,'Babblefish-APUMA'!$A$1:$B$86,2)</f>
        <v>90</v>
      </c>
      <c r="F3915" s="0" t="n">
        <f aca="false">IF(C3915&gt;1,IF(C3915&lt;99,VLOOKUP(C3915,'Babblefish-APUMA'!$A$1:$B$86,2),C3915),C3915)</f>
        <v>92</v>
      </c>
    </row>
    <row r="3916" customFormat="false" ht="12.75" hidden="false" customHeight="false" outlineLevel="0" collapsed="false">
      <c r="A3916" s="0" t="n">
        <f aca="false">B3916*1000+C3916</f>
        <v>57045</v>
      </c>
      <c r="B3916" s="0" t="n">
        <v>57</v>
      </c>
      <c r="C3916" s="0" t="n">
        <v>45</v>
      </c>
      <c r="D3916" s="0" t="n">
        <v>0</v>
      </c>
      <c r="E3916" s="0" t="n">
        <f aca="false">VLOOKUP(B3916,'Babblefish-APUMA'!$A$1:$B$86,2)</f>
        <v>90</v>
      </c>
      <c r="F3916" s="0" t="n">
        <f aca="false">IF(C3916&gt;1,IF(C3916&lt;99,VLOOKUP(C3916,'Babblefish-APUMA'!$A$1:$B$86,2),C3916),C3916)</f>
        <v>92</v>
      </c>
    </row>
    <row r="3917" customFormat="false" ht="12.75" hidden="false" customHeight="false" outlineLevel="0" collapsed="false">
      <c r="A3917" s="0" t="n">
        <f aca="false">B3917*1000+C3917</f>
        <v>57046</v>
      </c>
      <c r="B3917" s="0" t="n">
        <v>57</v>
      </c>
      <c r="C3917" s="0" t="n">
        <v>46</v>
      </c>
      <c r="D3917" s="0" t="n">
        <v>0</v>
      </c>
      <c r="E3917" s="0" t="n">
        <f aca="false">VLOOKUP(B3917,'Babblefish-APUMA'!$A$1:$B$86,2)</f>
        <v>90</v>
      </c>
      <c r="F3917" s="0" t="n">
        <f aca="false">IF(C3917&gt;1,IF(C3917&lt;99,VLOOKUP(C3917,'Babblefish-APUMA'!$A$1:$B$86,2),C3917),C3917)</f>
        <v>92</v>
      </c>
    </row>
    <row r="3918" customFormat="false" ht="12.75" hidden="false" customHeight="false" outlineLevel="0" collapsed="false">
      <c r="A3918" s="0" t="n">
        <f aca="false">B3918*1000+C3918</f>
        <v>57047</v>
      </c>
      <c r="B3918" s="0" t="n">
        <v>57</v>
      </c>
      <c r="C3918" s="0" t="n">
        <v>47</v>
      </c>
      <c r="D3918" s="0" t="n">
        <v>637</v>
      </c>
      <c r="E3918" s="0" t="n">
        <f aca="false">VLOOKUP(B3918,'Babblefish-APUMA'!$A$1:$B$86,2)</f>
        <v>90</v>
      </c>
      <c r="F3918" s="0" t="n">
        <f aca="false">IF(C3918&gt;1,IF(C3918&lt;99,VLOOKUP(C3918,'Babblefish-APUMA'!$A$1:$B$86,2),C3918),C3918)</f>
        <v>92</v>
      </c>
    </row>
    <row r="3919" customFormat="false" ht="12.75" hidden="false" customHeight="false" outlineLevel="0" collapsed="false">
      <c r="A3919" s="0" t="n">
        <f aca="false">B3919*1000+C3919</f>
        <v>57048</v>
      </c>
      <c r="B3919" s="0" t="n">
        <v>57</v>
      </c>
      <c r="C3919" s="0" t="n">
        <v>48</v>
      </c>
      <c r="D3919" s="0" t="n">
        <v>1417</v>
      </c>
      <c r="E3919" s="0" t="n">
        <f aca="false">VLOOKUP(B3919,'Babblefish-APUMA'!$A$1:$B$86,2)</f>
        <v>90</v>
      </c>
      <c r="F3919" s="0" t="n">
        <f aca="false">IF(C3919&gt;1,IF(C3919&lt;99,VLOOKUP(C3919,'Babblefish-APUMA'!$A$1:$B$86,2),C3919),C3919)</f>
        <v>92</v>
      </c>
    </row>
    <row r="3920" customFormat="false" ht="12.75" hidden="false" customHeight="false" outlineLevel="0" collapsed="false">
      <c r="A3920" s="0" t="n">
        <f aca="false">B3920*1000+C3920</f>
        <v>57049</v>
      </c>
      <c r="B3920" s="0" t="n">
        <v>57</v>
      </c>
      <c r="C3920" s="0" t="n">
        <v>49</v>
      </c>
      <c r="D3920" s="0" t="n">
        <v>0</v>
      </c>
      <c r="E3920" s="0" t="n">
        <f aca="false">VLOOKUP(B3920,'Babblefish-APUMA'!$A$1:$B$86,2)</f>
        <v>90</v>
      </c>
      <c r="F3920" s="0" t="n">
        <f aca="false">IF(C3920&gt;1,IF(C3920&lt;99,VLOOKUP(C3920,'Babblefish-APUMA'!$A$1:$B$86,2),C3920),C3920)</f>
        <v>98</v>
      </c>
    </row>
    <row r="3921" customFormat="false" ht="12.75" hidden="false" customHeight="false" outlineLevel="0" collapsed="false">
      <c r="A3921" s="0" t="n">
        <f aca="false">B3921*1000+C3921</f>
        <v>57050</v>
      </c>
      <c r="B3921" s="0" t="n">
        <v>57</v>
      </c>
      <c r="C3921" s="0" t="n">
        <v>50</v>
      </c>
      <c r="D3921" s="0" t="n">
        <v>0</v>
      </c>
      <c r="E3921" s="0" t="n">
        <f aca="false">VLOOKUP(B3921,'Babblefish-APUMA'!$A$1:$B$86,2)</f>
        <v>90</v>
      </c>
      <c r="F3921" s="0" t="n">
        <f aca="false">IF(C3921&gt;1,IF(C3921&lt;99,VLOOKUP(C3921,'Babblefish-APUMA'!$A$1:$B$86,2),C3921),C3921)</f>
        <v>98</v>
      </c>
    </row>
    <row r="3922" customFormat="false" ht="12.75" hidden="false" customHeight="false" outlineLevel="0" collapsed="false">
      <c r="A3922" s="0" t="n">
        <f aca="false">B3922*1000+C3922</f>
        <v>57051</v>
      </c>
      <c r="B3922" s="0" t="n">
        <v>57</v>
      </c>
      <c r="C3922" s="0" t="n">
        <v>51</v>
      </c>
      <c r="D3922" s="0" t="n">
        <v>0</v>
      </c>
      <c r="E3922" s="0" t="n">
        <f aca="false">VLOOKUP(B3922,'Babblefish-APUMA'!$A$1:$B$86,2)</f>
        <v>90</v>
      </c>
      <c r="F3922" s="0" t="n">
        <f aca="false">IF(C3922&gt;1,IF(C3922&lt;99,VLOOKUP(C3922,'Babblefish-APUMA'!$A$1:$B$86,2),C3922),C3922)</f>
        <v>98</v>
      </c>
    </row>
    <row r="3923" customFormat="false" ht="12.75" hidden="false" customHeight="false" outlineLevel="0" collapsed="false">
      <c r="A3923" s="0" t="n">
        <f aca="false">B3923*1000+C3923</f>
        <v>57052</v>
      </c>
      <c r="B3923" s="0" t="n">
        <v>57</v>
      </c>
      <c r="C3923" s="0" t="n">
        <v>52</v>
      </c>
      <c r="D3923" s="0" t="n">
        <v>117</v>
      </c>
      <c r="E3923" s="0" t="n">
        <f aca="false">VLOOKUP(B3923,'Babblefish-APUMA'!$A$1:$B$86,2)</f>
        <v>90</v>
      </c>
      <c r="F3923" s="0" t="n">
        <f aca="false">IF(C3923&gt;1,IF(C3923&lt;99,VLOOKUP(C3923,'Babblefish-APUMA'!$A$1:$B$86,2),C3923),C3923)</f>
        <v>90</v>
      </c>
    </row>
    <row r="3924" customFormat="false" ht="12.75" hidden="false" customHeight="false" outlineLevel="0" collapsed="false">
      <c r="A3924" s="0" t="n">
        <f aca="false">B3924*1000+C3924</f>
        <v>57053</v>
      </c>
      <c r="B3924" s="0" t="n">
        <v>57</v>
      </c>
      <c r="C3924" s="0" t="n">
        <v>53</v>
      </c>
      <c r="D3924" s="0" t="n">
        <v>312</v>
      </c>
      <c r="E3924" s="0" t="n">
        <f aca="false">VLOOKUP(B3924,'Babblefish-APUMA'!$A$1:$B$86,2)</f>
        <v>90</v>
      </c>
      <c r="F3924" s="0" t="n">
        <f aca="false">IF(C3924&gt;1,IF(C3924&lt;99,VLOOKUP(C3924,'Babblefish-APUMA'!$A$1:$B$86,2),C3924),C3924)</f>
        <v>90</v>
      </c>
    </row>
    <row r="3925" customFormat="false" ht="12.75" hidden="false" customHeight="false" outlineLevel="0" collapsed="false">
      <c r="A3925" s="0" t="n">
        <f aca="false">B3925*1000+C3925</f>
        <v>57054</v>
      </c>
      <c r="B3925" s="0" t="n">
        <v>57</v>
      </c>
      <c r="C3925" s="0" t="n">
        <v>54</v>
      </c>
      <c r="D3925" s="0" t="n">
        <v>91</v>
      </c>
      <c r="E3925" s="0" t="n">
        <f aca="false">VLOOKUP(B3925,'Babblefish-APUMA'!$A$1:$B$86,2)</f>
        <v>90</v>
      </c>
      <c r="F3925" s="0" t="n">
        <f aca="false">IF(C3925&gt;1,IF(C3925&lt;99,VLOOKUP(C3925,'Babblefish-APUMA'!$A$1:$B$86,2),C3925),C3925)</f>
        <v>90</v>
      </c>
    </row>
    <row r="3926" customFormat="false" ht="12.75" hidden="false" customHeight="false" outlineLevel="0" collapsed="false">
      <c r="A3926" s="0" t="n">
        <f aca="false">B3926*1000+C3926</f>
        <v>57055</v>
      </c>
      <c r="B3926" s="0" t="n">
        <v>57</v>
      </c>
      <c r="C3926" s="0" t="n">
        <v>55</v>
      </c>
      <c r="D3926" s="0" t="n">
        <v>884</v>
      </c>
      <c r="E3926" s="0" t="n">
        <f aca="false">VLOOKUP(B3926,'Babblefish-APUMA'!$A$1:$B$86,2)</f>
        <v>90</v>
      </c>
      <c r="F3926" s="0" t="n">
        <f aca="false">IF(C3926&gt;1,IF(C3926&lt;99,VLOOKUP(C3926,'Babblefish-APUMA'!$A$1:$B$86,2),C3926),C3926)</f>
        <v>90</v>
      </c>
    </row>
    <row r="3927" customFormat="false" ht="12.75" hidden="false" customHeight="false" outlineLevel="0" collapsed="false">
      <c r="A3927" s="0" t="n">
        <f aca="false">B3927*1000+C3927</f>
        <v>57056</v>
      </c>
      <c r="B3927" s="0" t="n">
        <v>57</v>
      </c>
      <c r="C3927" s="0" t="n">
        <v>56</v>
      </c>
      <c r="D3927" s="0" t="n">
        <v>2145</v>
      </c>
      <c r="E3927" s="0" t="n">
        <f aca="false">VLOOKUP(B3927,'Babblefish-APUMA'!$A$1:$B$86,2)</f>
        <v>90</v>
      </c>
      <c r="F3927" s="0" t="n">
        <f aca="false">IF(C3927&gt;1,IF(C3927&lt;99,VLOOKUP(C3927,'Babblefish-APUMA'!$A$1:$B$86,2),C3927),C3927)</f>
        <v>90</v>
      </c>
    </row>
    <row r="3928" customFormat="false" ht="12.75" hidden="false" customHeight="false" outlineLevel="0" collapsed="false">
      <c r="A3928" s="0" t="n">
        <f aca="false">B3928*1000+C3928</f>
        <v>57057</v>
      </c>
      <c r="B3928" s="0" t="n">
        <v>57</v>
      </c>
      <c r="C3928" s="0" t="n">
        <v>57</v>
      </c>
      <c r="D3928" s="0" t="n">
        <v>8229</v>
      </c>
      <c r="E3928" s="0" t="n">
        <f aca="false">VLOOKUP(B3928,'Babblefish-APUMA'!$A$1:$B$86,2)</f>
        <v>90</v>
      </c>
      <c r="F3928" s="0" t="n">
        <f aca="false">IF(C3928&gt;1,IF(C3928&lt;99,VLOOKUP(C3928,'Babblefish-APUMA'!$A$1:$B$86,2),C3928),C3928)</f>
        <v>90</v>
      </c>
    </row>
    <row r="3929" customFormat="false" ht="12.75" hidden="false" customHeight="false" outlineLevel="0" collapsed="false">
      <c r="A3929" s="0" t="n">
        <f aca="false">B3929*1000+C3929</f>
        <v>57058</v>
      </c>
      <c r="B3929" s="0" t="n">
        <v>57</v>
      </c>
      <c r="C3929" s="0" t="n">
        <v>58</v>
      </c>
      <c r="D3929" s="0" t="n">
        <v>182</v>
      </c>
      <c r="E3929" s="0" t="n">
        <f aca="false">VLOOKUP(B3929,'Babblefish-APUMA'!$A$1:$B$86,2)</f>
        <v>90</v>
      </c>
      <c r="F3929" s="0" t="n">
        <f aca="false">IF(C3929&gt;1,IF(C3929&lt;99,VLOOKUP(C3929,'Babblefish-APUMA'!$A$1:$B$86,2),C3929),C3929)</f>
        <v>90</v>
      </c>
    </row>
    <row r="3930" customFormat="false" ht="12.75" hidden="false" customHeight="false" outlineLevel="0" collapsed="false">
      <c r="A3930" s="0" t="n">
        <f aca="false">B3930*1000+C3930</f>
        <v>57059</v>
      </c>
      <c r="B3930" s="0" t="n">
        <v>57</v>
      </c>
      <c r="C3930" s="0" t="n">
        <v>59</v>
      </c>
      <c r="D3930" s="0" t="n">
        <v>377</v>
      </c>
      <c r="E3930" s="0" t="n">
        <f aca="false">VLOOKUP(B3930,'Babblefish-APUMA'!$A$1:$B$86,2)</f>
        <v>90</v>
      </c>
      <c r="F3930" s="0" t="n">
        <f aca="false">IF(C3930&gt;1,IF(C3930&lt;99,VLOOKUP(C3930,'Babblefish-APUMA'!$A$1:$B$86,2),C3930),C3930)</f>
        <v>90</v>
      </c>
    </row>
    <row r="3931" customFormat="false" ht="12.75" hidden="false" customHeight="false" outlineLevel="0" collapsed="false">
      <c r="A3931" s="0" t="n">
        <f aca="false">B3931*1000+C3931</f>
        <v>57060</v>
      </c>
      <c r="B3931" s="0" t="n">
        <v>57</v>
      </c>
      <c r="C3931" s="0" t="n">
        <v>60</v>
      </c>
      <c r="D3931" s="0" t="n">
        <v>1274</v>
      </c>
      <c r="E3931" s="0" t="n">
        <f aca="false">VLOOKUP(B3931,'Babblefish-APUMA'!$A$1:$B$86,2)</f>
        <v>90</v>
      </c>
      <c r="F3931" s="0" t="n">
        <f aca="false">IF(C3931&gt;1,IF(C3931&lt;99,VLOOKUP(C3931,'Babblefish-APUMA'!$A$1:$B$86,2),C3931),C3931)</f>
        <v>90</v>
      </c>
    </row>
    <row r="3932" customFormat="false" ht="12.75" hidden="false" customHeight="false" outlineLevel="0" collapsed="false">
      <c r="A3932" s="0" t="n">
        <f aca="false">B3932*1000+C3932</f>
        <v>57061</v>
      </c>
      <c r="B3932" s="0" t="n">
        <v>57</v>
      </c>
      <c r="C3932" s="0" t="n">
        <v>61</v>
      </c>
      <c r="D3932" s="0" t="n">
        <v>91</v>
      </c>
      <c r="E3932" s="0" t="n">
        <f aca="false">VLOOKUP(B3932,'Babblefish-APUMA'!$A$1:$B$86,2)</f>
        <v>90</v>
      </c>
      <c r="F3932" s="0" t="n">
        <f aca="false">IF(C3932&gt;1,IF(C3932&lt;99,VLOOKUP(C3932,'Babblefish-APUMA'!$A$1:$B$86,2),C3932),C3932)</f>
        <v>90</v>
      </c>
    </row>
    <row r="3933" customFormat="false" ht="12.75" hidden="false" customHeight="false" outlineLevel="0" collapsed="false">
      <c r="A3933" s="0" t="n">
        <f aca="false">B3933*1000+C3933</f>
        <v>57062</v>
      </c>
      <c r="B3933" s="0" t="n">
        <v>57</v>
      </c>
      <c r="C3933" s="0" t="n">
        <v>62</v>
      </c>
      <c r="D3933" s="0" t="n">
        <v>949</v>
      </c>
      <c r="E3933" s="0" t="n">
        <f aca="false">VLOOKUP(B3933,'Babblefish-APUMA'!$A$1:$B$86,2)</f>
        <v>90</v>
      </c>
      <c r="F3933" s="0" t="n">
        <f aca="false">IF(C3933&gt;1,IF(C3933&lt;99,VLOOKUP(C3933,'Babblefish-APUMA'!$A$1:$B$86,2),C3933),C3933)</f>
        <v>90</v>
      </c>
    </row>
    <row r="3934" customFormat="false" ht="12.75" hidden="false" customHeight="false" outlineLevel="0" collapsed="false">
      <c r="A3934" s="0" t="n">
        <f aca="false">B3934*1000+C3934</f>
        <v>57063</v>
      </c>
      <c r="B3934" s="0" t="n">
        <v>57</v>
      </c>
      <c r="C3934" s="0" t="n">
        <v>63</v>
      </c>
      <c r="D3934" s="0" t="n">
        <v>390</v>
      </c>
      <c r="E3934" s="0" t="n">
        <f aca="false">VLOOKUP(B3934,'Babblefish-APUMA'!$A$1:$B$86,2)</f>
        <v>90</v>
      </c>
      <c r="F3934" s="0" t="n">
        <f aca="false">IF(C3934&gt;1,IF(C3934&lt;99,VLOOKUP(C3934,'Babblefish-APUMA'!$A$1:$B$86,2),C3934),C3934)</f>
        <v>90</v>
      </c>
    </row>
    <row r="3935" customFormat="false" ht="12.75" hidden="false" customHeight="false" outlineLevel="0" collapsed="false">
      <c r="A3935" s="0" t="n">
        <f aca="false">B3935*1000+C3935</f>
        <v>57064</v>
      </c>
      <c r="B3935" s="0" t="n">
        <v>57</v>
      </c>
      <c r="C3935" s="0" t="n">
        <v>64</v>
      </c>
      <c r="D3935" s="0" t="n">
        <v>21203</v>
      </c>
      <c r="E3935" s="0" t="n">
        <f aca="false">VLOOKUP(B3935,'Babblefish-APUMA'!$A$1:$B$86,2)</f>
        <v>90</v>
      </c>
      <c r="F3935" s="0" t="n">
        <f aca="false">IF(C3935&gt;1,IF(C3935&lt;99,VLOOKUP(C3935,'Babblefish-APUMA'!$A$1:$B$86,2),C3935),C3935)</f>
        <v>90</v>
      </c>
    </row>
    <row r="3936" customFormat="false" ht="12.75" hidden="false" customHeight="false" outlineLevel="0" collapsed="false">
      <c r="A3936" s="0" t="n">
        <f aca="false">B3936*1000+C3936</f>
        <v>57065</v>
      </c>
      <c r="B3936" s="0" t="n">
        <v>57</v>
      </c>
      <c r="C3936" s="0" t="n">
        <v>65</v>
      </c>
      <c r="D3936" s="0" t="n">
        <v>13611</v>
      </c>
      <c r="E3936" s="0" t="n">
        <f aca="false">VLOOKUP(B3936,'Babblefish-APUMA'!$A$1:$B$86,2)</f>
        <v>90</v>
      </c>
      <c r="F3936" s="0" t="n">
        <f aca="false">IF(C3936&gt;1,IF(C3936&lt;99,VLOOKUP(C3936,'Babblefish-APUMA'!$A$1:$B$86,2),C3936),C3936)</f>
        <v>90</v>
      </c>
    </row>
    <row r="3937" customFormat="false" ht="12.75" hidden="false" customHeight="false" outlineLevel="0" collapsed="false">
      <c r="A3937" s="0" t="n">
        <f aca="false">B3937*1000+C3937</f>
        <v>57066</v>
      </c>
      <c r="B3937" s="0" t="n">
        <v>57</v>
      </c>
      <c r="C3937" s="0" t="n">
        <v>66</v>
      </c>
      <c r="D3937" s="0" t="n">
        <v>1625</v>
      </c>
      <c r="E3937" s="0" t="n">
        <f aca="false">VLOOKUP(B3937,'Babblefish-APUMA'!$A$1:$B$86,2)</f>
        <v>90</v>
      </c>
      <c r="F3937" s="0" t="n">
        <f aca="false">IF(C3937&gt;1,IF(C3937&lt;99,VLOOKUP(C3937,'Babblefish-APUMA'!$A$1:$B$86,2),C3937),C3937)</f>
        <v>90</v>
      </c>
    </row>
    <row r="3938" customFormat="false" ht="12.75" hidden="false" customHeight="false" outlineLevel="0" collapsed="false">
      <c r="A3938" s="0" t="n">
        <f aca="false">B3938*1000+C3938</f>
        <v>57067</v>
      </c>
      <c r="B3938" s="0" t="n">
        <v>57</v>
      </c>
      <c r="C3938" s="0" t="n">
        <v>67</v>
      </c>
      <c r="D3938" s="0" t="n">
        <v>0</v>
      </c>
      <c r="E3938" s="0" t="n">
        <f aca="false">VLOOKUP(B3938,'Babblefish-APUMA'!$A$1:$B$86,2)</f>
        <v>90</v>
      </c>
      <c r="F3938" s="0" t="n">
        <f aca="false">IF(C3938&gt;1,IF(C3938&lt;99,VLOOKUP(C3938,'Babblefish-APUMA'!$A$1:$B$86,2),C3938),C3938)</f>
        <v>103</v>
      </c>
    </row>
    <row r="3939" customFormat="false" ht="12.75" hidden="false" customHeight="false" outlineLevel="0" collapsed="false">
      <c r="A3939" s="0" t="n">
        <f aca="false">B3939*1000+C3939</f>
        <v>57068</v>
      </c>
      <c r="B3939" s="0" t="n">
        <v>57</v>
      </c>
      <c r="C3939" s="0" t="n">
        <v>68</v>
      </c>
      <c r="D3939" s="0" t="n">
        <v>0</v>
      </c>
      <c r="E3939" s="0" t="n">
        <f aca="false">VLOOKUP(B3939,'Babblefish-APUMA'!$A$1:$B$86,2)</f>
        <v>90</v>
      </c>
      <c r="F3939" s="0" t="n">
        <f aca="false">IF(C3939&gt;1,IF(C3939&lt;99,VLOOKUP(C3939,'Babblefish-APUMA'!$A$1:$B$86,2),C3939),C3939)</f>
        <v>93</v>
      </c>
    </row>
    <row r="3940" customFormat="false" ht="12.75" hidden="false" customHeight="false" outlineLevel="0" collapsed="false">
      <c r="A3940" s="0" t="n">
        <f aca="false">B3940*1000+C3940</f>
        <v>57069</v>
      </c>
      <c r="B3940" s="0" t="n">
        <v>57</v>
      </c>
      <c r="C3940" s="0" t="n">
        <v>69</v>
      </c>
      <c r="D3940" s="0" t="n">
        <v>0</v>
      </c>
      <c r="E3940" s="0" t="n">
        <f aca="false">VLOOKUP(B3940,'Babblefish-APUMA'!$A$1:$B$86,2)</f>
        <v>90</v>
      </c>
      <c r="F3940" s="0" t="n">
        <f aca="false">IF(C3940&gt;1,IF(C3940&lt;99,VLOOKUP(C3940,'Babblefish-APUMA'!$A$1:$B$86,2),C3940),C3940)</f>
        <v>93</v>
      </c>
    </row>
    <row r="3941" customFormat="false" ht="12.75" hidden="false" customHeight="false" outlineLevel="0" collapsed="false">
      <c r="A3941" s="0" t="n">
        <f aca="false">B3941*1000+C3941</f>
        <v>57070</v>
      </c>
      <c r="B3941" s="0" t="n">
        <v>57</v>
      </c>
      <c r="C3941" s="0" t="n">
        <v>70</v>
      </c>
      <c r="D3941" s="0" t="n">
        <v>0</v>
      </c>
      <c r="E3941" s="0" t="n">
        <f aca="false">VLOOKUP(B3941,'Babblefish-APUMA'!$A$1:$B$86,2)</f>
        <v>90</v>
      </c>
      <c r="F3941" s="0" t="n">
        <f aca="false">IF(C3941&gt;1,IF(C3941&lt;99,VLOOKUP(C3941,'Babblefish-APUMA'!$A$1:$B$86,2),C3941),C3941)</f>
        <v>95</v>
      </c>
    </row>
    <row r="3942" customFormat="false" ht="12.75" hidden="false" customHeight="false" outlineLevel="0" collapsed="false">
      <c r="A3942" s="0" t="n">
        <f aca="false">B3942*1000+C3942</f>
        <v>57071</v>
      </c>
      <c r="B3942" s="0" t="n">
        <v>57</v>
      </c>
      <c r="C3942" s="0" t="n">
        <v>71</v>
      </c>
      <c r="D3942" s="0" t="n">
        <v>91</v>
      </c>
      <c r="E3942" s="0" t="n">
        <f aca="false">VLOOKUP(B3942,'Babblefish-APUMA'!$A$1:$B$86,2)</f>
        <v>90</v>
      </c>
      <c r="F3942" s="0" t="n">
        <f aca="false">IF(C3942&gt;1,IF(C3942&lt;99,VLOOKUP(C3942,'Babblefish-APUMA'!$A$1:$B$86,2),C3942),C3942)</f>
        <v>95</v>
      </c>
    </row>
    <row r="3943" customFormat="false" ht="12.75" hidden="false" customHeight="false" outlineLevel="0" collapsed="false">
      <c r="A3943" s="0" t="n">
        <f aca="false">B3943*1000+C3943</f>
        <v>57072</v>
      </c>
      <c r="B3943" s="0" t="n">
        <v>57</v>
      </c>
      <c r="C3943" s="0" t="n">
        <v>72</v>
      </c>
      <c r="D3943" s="0" t="n">
        <v>0</v>
      </c>
      <c r="E3943" s="0" t="n">
        <f aca="false">VLOOKUP(B3943,'Babblefish-APUMA'!$A$1:$B$86,2)</f>
        <v>90</v>
      </c>
      <c r="F3943" s="0" t="n">
        <f aca="false">IF(C3943&gt;1,IF(C3943&lt;99,VLOOKUP(C3943,'Babblefish-APUMA'!$A$1:$B$86,2),C3943),C3943)</f>
        <v>95</v>
      </c>
    </row>
    <row r="3944" customFormat="false" ht="12.75" hidden="false" customHeight="false" outlineLevel="0" collapsed="false">
      <c r="A3944" s="0" t="n">
        <f aca="false">B3944*1000+C3944</f>
        <v>57073</v>
      </c>
      <c r="B3944" s="0" t="n">
        <v>57</v>
      </c>
      <c r="C3944" s="0" t="n">
        <v>73</v>
      </c>
      <c r="D3944" s="0" t="n">
        <v>0</v>
      </c>
      <c r="E3944" s="0" t="n">
        <f aca="false">VLOOKUP(B3944,'Babblefish-APUMA'!$A$1:$B$86,2)</f>
        <v>90</v>
      </c>
      <c r="F3944" s="0" t="n">
        <f aca="false">IF(C3944&gt;1,IF(C3944&lt;99,VLOOKUP(C3944,'Babblefish-APUMA'!$A$1:$B$86,2),C3944),C3944)</f>
        <v>99</v>
      </c>
    </row>
    <row r="3945" customFormat="false" ht="12.75" hidden="false" customHeight="false" outlineLevel="0" collapsed="false">
      <c r="A3945" s="0" t="n">
        <f aca="false">B3945*1000+C3945</f>
        <v>57075</v>
      </c>
      <c r="B3945" s="0" t="n">
        <v>57</v>
      </c>
      <c r="C3945" s="0" t="n">
        <v>75</v>
      </c>
      <c r="D3945" s="0" t="n">
        <v>0</v>
      </c>
      <c r="E3945" s="0" t="n">
        <f aca="false">VLOOKUP(B3945,'Babblefish-APUMA'!$A$1:$B$86,2)</f>
        <v>90</v>
      </c>
      <c r="F3945" s="0" t="n">
        <f aca="false">IF(C3945&gt;1,IF(C3945&lt;99,VLOOKUP(C3945,'Babblefish-APUMA'!$A$1:$B$86,2),C3945),C3945)</f>
        <v>75</v>
      </c>
    </row>
    <row r="3946" customFormat="false" ht="12.75" hidden="false" customHeight="false" outlineLevel="0" collapsed="false">
      <c r="A3946" s="0" t="n">
        <f aca="false">B3946*1000+C3946</f>
        <v>57076</v>
      </c>
      <c r="B3946" s="0" t="n">
        <v>57</v>
      </c>
      <c r="C3946" s="0" t="n">
        <v>76</v>
      </c>
      <c r="D3946" s="0" t="n">
        <v>0</v>
      </c>
      <c r="E3946" s="0" t="n">
        <f aca="false">VLOOKUP(B3946,'Babblefish-APUMA'!$A$1:$B$86,2)</f>
        <v>90</v>
      </c>
      <c r="F3946" s="0" t="n">
        <f aca="false">IF(C3946&gt;1,IF(C3946&lt;99,VLOOKUP(C3946,'Babblefish-APUMA'!$A$1:$B$86,2),C3946),C3946)</f>
        <v>76</v>
      </c>
    </row>
    <row r="3947" customFormat="false" ht="12.75" hidden="false" customHeight="false" outlineLevel="0" collapsed="false">
      <c r="A3947" s="0" t="n">
        <f aca="false">B3947*1000+C3947</f>
        <v>57077</v>
      </c>
      <c r="B3947" s="0" t="n">
        <v>57</v>
      </c>
      <c r="C3947" s="0" t="n">
        <v>77</v>
      </c>
      <c r="D3947" s="0" t="n">
        <v>0</v>
      </c>
      <c r="E3947" s="0" t="n">
        <f aca="false">VLOOKUP(B3947,'Babblefish-APUMA'!$A$1:$B$86,2)</f>
        <v>90</v>
      </c>
      <c r="F3947" s="0" t="n">
        <f aca="false">IF(C3947&gt;1,IF(C3947&lt;99,VLOOKUP(C3947,'Babblefish-APUMA'!$A$1:$B$86,2),C3947),C3947)</f>
        <v>77</v>
      </c>
    </row>
    <row r="3948" customFormat="false" ht="12.75" hidden="false" customHeight="false" outlineLevel="0" collapsed="false">
      <c r="A3948" s="0" t="n">
        <f aca="false">B3948*1000+C3948</f>
        <v>57078</v>
      </c>
      <c r="B3948" s="0" t="n">
        <v>57</v>
      </c>
      <c r="C3948" s="0" t="n">
        <v>78</v>
      </c>
      <c r="D3948" s="0" t="n">
        <v>0</v>
      </c>
      <c r="E3948" s="0" t="n">
        <f aca="false">VLOOKUP(B3948,'Babblefish-APUMA'!$A$1:$B$86,2)</f>
        <v>90</v>
      </c>
      <c r="F3948" s="0" t="n">
        <f aca="false">IF(C3948&gt;1,IF(C3948&lt;99,VLOOKUP(C3948,'Babblefish-APUMA'!$A$1:$B$86,2),C3948),C3948)</f>
        <v>89</v>
      </c>
    </row>
    <row r="3949" customFormat="false" ht="12.75" hidden="false" customHeight="false" outlineLevel="0" collapsed="false">
      <c r="A3949" s="0" t="n">
        <f aca="false">B3949*1000+C3949</f>
        <v>57079</v>
      </c>
      <c r="B3949" s="0" t="n">
        <v>57</v>
      </c>
      <c r="C3949" s="0" t="n">
        <v>79</v>
      </c>
      <c r="D3949" s="0" t="n">
        <v>0</v>
      </c>
      <c r="E3949" s="0" t="n">
        <f aca="false">VLOOKUP(B3949,'Babblefish-APUMA'!$A$1:$B$86,2)</f>
        <v>90</v>
      </c>
      <c r="F3949" s="0" t="n">
        <f aca="false">IF(C3949&gt;1,IF(C3949&lt;99,VLOOKUP(C3949,'Babblefish-APUMA'!$A$1:$B$86,2),C3949),C3949)</f>
        <v>89</v>
      </c>
    </row>
    <row r="3950" customFormat="false" ht="12.75" hidden="false" customHeight="false" outlineLevel="0" collapsed="false">
      <c r="A3950" s="0" t="n">
        <f aca="false">B3950*1000+C3950</f>
        <v>57080</v>
      </c>
      <c r="B3950" s="0" t="n">
        <v>57</v>
      </c>
      <c r="C3950" s="0" t="n">
        <v>80</v>
      </c>
      <c r="D3950" s="0" t="n">
        <v>0</v>
      </c>
      <c r="E3950" s="0" t="n">
        <f aca="false">VLOOKUP(B3950,'Babblefish-APUMA'!$A$1:$B$86,2)</f>
        <v>90</v>
      </c>
      <c r="F3950" s="0" t="n">
        <f aca="false">IF(C3950&gt;1,IF(C3950&lt;99,VLOOKUP(C3950,'Babblefish-APUMA'!$A$1:$B$86,2),C3950),C3950)</f>
        <v>80</v>
      </c>
    </row>
    <row r="3951" customFormat="false" ht="12.75" hidden="false" customHeight="false" outlineLevel="0" collapsed="false">
      <c r="A3951" s="0" t="n">
        <f aca="false">B3951*1000+C3951</f>
        <v>57081</v>
      </c>
      <c r="B3951" s="0" t="n">
        <v>57</v>
      </c>
      <c r="C3951" s="0" t="n">
        <v>81</v>
      </c>
      <c r="D3951" s="0" t="n">
        <v>0</v>
      </c>
      <c r="E3951" s="0" t="n">
        <f aca="false">VLOOKUP(B3951,'Babblefish-APUMA'!$A$1:$B$86,2)</f>
        <v>90</v>
      </c>
      <c r="F3951" s="0" t="n">
        <f aca="false">IF(C3951&gt;1,IF(C3951&lt;99,VLOOKUP(C3951,'Babblefish-APUMA'!$A$1:$B$86,2),C3951),C3951)</f>
        <v>93</v>
      </c>
    </row>
    <row r="3952" customFormat="false" ht="12.75" hidden="false" customHeight="false" outlineLevel="0" collapsed="false">
      <c r="A3952" s="0" t="n">
        <f aca="false">B3952*1000+C3952</f>
        <v>57082</v>
      </c>
      <c r="B3952" s="0" t="n">
        <v>57</v>
      </c>
      <c r="C3952" s="0" t="n">
        <v>82</v>
      </c>
      <c r="D3952" s="0" t="n">
        <v>0</v>
      </c>
      <c r="E3952" s="0" t="n">
        <f aca="false">VLOOKUP(B3952,'Babblefish-APUMA'!$A$1:$B$86,2)</f>
        <v>90</v>
      </c>
      <c r="F3952" s="0" t="n">
        <f aca="false">IF(C3952&gt;1,IF(C3952&lt;99,VLOOKUP(C3952,'Babblefish-APUMA'!$A$1:$B$86,2),C3952),C3952)</f>
        <v>95</v>
      </c>
    </row>
    <row r="3953" customFormat="false" ht="12.75" hidden="false" customHeight="false" outlineLevel="0" collapsed="false">
      <c r="A3953" s="0" t="n">
        <f aca="false">B3953*1000+C3953</f>
        <v>57083</v>
      </c>
      <c r="B3953" s="0" t="n">
        <v>57</v>
      </c>
      <c r="C3953" s="0" t="n">
        <v>83</v>
      </c>
      <c r="D3953" s="0" t="n">
        <v>0</v>
      </c>
      <c r="E3953" s="0" t="n">
        <f aca="false">VLOOKUP(B3953,'Babblefish-APUMA'!$A$1:$B$86,2)</f>
        <v>90</v>
      </c>
      <c r="F3953" s="0" t="n">
        <f aca="false">IF(C3953&gt;1,IF(C3953&lt;99,VLOOKUP(C3953,'Babblefish-APUMA'!$A$1:$B$86,2),C3953),C3953)</f>
        <v>103</v>
      </c>
    </row>
    <row r="3954" customFormat="false" ht="12.75" hidden="false" customHeight="false" outlineLevel="0" collapsed="false">
      <c r="A3954" s="0" t="n">
        <f aca="false">B3954*1000+C3954</f>
        <v>57084</v>
      </c>
      <c r="B3954" s="0" t="n">
        <v>57</v>
      </c>
      <c r="C3954" s="0" t="n">
        <v>84</v>
      </c>
      <c r="D3954" s="0" t="n">
        <v>104</v>
      </c>
      <c r="E3954" s="0" t="n">
        <f aca="false">VLOOKUP(B3954,'Babblefish-APUMA'!$A$1:$B$86,2)</f>
        <v>90</v>
      </c>
      <c r="F3954" s="0" t="n">
        <f aca="false">IF(C3954&gt;1,IF(C3954&lt;99,VLOOKUP(C3954,'Babblefish-APUMA'!$A$1:$B$86,2),C3954),C3954)</f>
        <v>92</v>
      </c>
    </row>
    <row r="3955" customFormat="false" ht="12.75" hidden="false" customHeight="false" outlineLevel="0" collapsed="false">
      <c r="A3955" s="0" t="n">
        <f aca="false">B3955*1000+C3955</f>
        <v>57085</v>
      </c>
      <c r="B3955" s="0" t="n">
        <v>57</v>
      </c>
      <c r="C3955" s="0" t="n">
        <v>85</v>
      </c>
      <c r="D3955" s="0" t="n">
        <v>0</v>
      </c>
      <c r="E3955" s="0" t="n">
        <f aca="false">VLOOKUP(B3955,'Babblefish-APUMA'!$A$1:$B$86,2)</f>
        <v>90</v>
      </c>
      <c r="F3955" s="0" t="n">
        <f aca="false">IF(C3955&gt;1,IF(C3955&lt;99,VLOOKUP(C3955,'Babblefish-APUMA'!$A$1:$B$86,2),C3955),C3955)</f>
        <v>97</v>
      </c>
    </row>
    <row r="3956" customFormat="false" ht="12.75" hidden="false" customHeight="false" outlineLevel="0" collapsed="false">
      <c r="A3956" s="0" t="n">
        <f aca="false">B3956*1000+C3956</f>
        <v>57858</v>
      </c>
      <c r="B3956" s="0" t="n">
        <v>57</v>
      </c>
      <c r="C3956" s="0" t="n">
        <v>858</v>
      </c>
      <c r="D3956" s="0" t="n">
        <v>0</v>
      </c>
      <c r="E3956" s="0" t="n">
        <f aca="false">VLOOKUP(B3956,'Babblefish-APUMA'!$A$1:$B$86,2)</f>
        <v>90</v>
      </c>
      <c r="F3956" s="0" t="n">
        <f aca="false">IF(C3956&gt;1,IF(C3956&lt;99,VLOOKUP(C3956,'Babblefish-APUMA'!$A$1:$B$86,2),C3956),C3956)</f>
        <v>858</v>
      </c>
    </row>
    <row r="3957" customFormat="false" ht="12.75" hidden="false" customHeight="false" outlineLevel="0" collapsed="false">
      <c r="A3957" s="0" t="n">
        <f aca="false">B3957*1000+C3957</f>
        <v>57983</v>
      </c>
      <c r="B3957" s="0" t="n">
        <v>57</v>
      </c>
      <c r="C3957" s="0" t="n">
        <v>983</v>
      </c>
      <c r="D3957" s="0" t="n">
        <v>0</v>
      </c>
      <c r="E3957" s="0" t="n">
        <f aca="false">VLOOKUP(B3957,'Babblefish-APUMA'!$A$1:$B$86,2)</f>
        <v>90</v>
      </c>
      <c r="F3957" s="0" t="n">
        <f aca="false">IF(C3957&gt;1,IF(C3957&lt;99,VLOOKUP(C3957,'Babblefish-APUMA'!$A$1:$B$86,2),C3957),C3957)</f>
        <v>983</v>
      </c>
    </row>
    <row r="3958" customFormat="false" ht="12.75" hidden="false" customHeight="false" outlineLevel="0" collapsed="false">
      <c r="A3958" s="0" t="n">
        <f aca="false">B3958*1000+C3958</f>
        <v>57999</v>
      </c>
      <c r="B3958" s="0" t="n">
        <v>57</v>
      </c>
      <c r="C3958" s="0" t="n">
        <v>999</v>
      </c>
      <c r="D3958" s="0" t="n">
        <v>0</v>
      </c>
      <c r="E3958" s="0" t="n">
        <f aca="false">VLOOKUP(B3958,'Babblefish-APUMA'!$A$1:$B$86,2)</f>
        <v>90</v>
      </c>
      <c r="F3958" s="0" t="n">
        <f aca="false">IF(C3958&gt;1,IF(C3958&lt;99,VLOOKUP(C3958,'Babblefish-APUMA'!$A$1:$B$86,2),C3958),C3958)</f>
        <v>999</v>
      </c>
    </row>
    <row r="3959" customFormat="false" ht="12.75" hidden="false" customHeight="false" outlineLevel="0" collapsed="false">
      <c r="A3959" s="0" t="n">
        <f aca="false">B3959*1000+C3959</f>
        <v>58000</v>
      </c>
      <c r="B3959" s="0" t="n">
        <v>58</v>
      </c>
      <c r="C3959" s="0" t="n">
        <v>0</v>
      </c>
      <c r="D3959" s="0" t="n">
        <v>66976</v>
      </c>
      <c r="E3959" s="0" t="n">
        <f aca="false">VLOOKUP(B3959,'Babblefish-APUMA'!$A$1:$B$86,2)</f>
        <v>90</v>
      </c>
      <c r="F3959" s="0" t="n">
        <f aca="false">IF(C3959&gt;1,IF(C3959&lt;99,VLOOKUP(C3959,'Babblefish-APUMA'!$A$1:$B$86,2),C3959),C3959)</f>
        <v>0</v>
      </c>
    </row>
    <row r="3960" customFormat="false" ht="12.75" hidden="false" customHeight="false" outlineLevel="0" collapsed="false">
      <c r="A3960" s="0" t="n">
        <f aca="false">B3960*1000+C3960</f>
        <v>58001</v>
      </c>
      <c r="B3960" s="0" t="n">
        <v>58</v>
      </c>
      <c r="C3960" s="0" t="n">
        <v>1</v>
      </c>
      <c r="D3960" s="0" t="n">
        <v>0</v>
      </c>
      <c r="E3960" s="0" t="n">
        <f aca="false">VLOOKUP(B3960,'Babblefish-APUMA'!$A$1:$B$86,2)</f>
        <v>90</v>
      </c>
      <c r="F3960" s="0" t="n">
        <f aca="false">IF(C3960&gt;1,IF(C3960&lt;99,VLOOKUP(C3960,'Babblefish-APUMA'!$A$1:$B$86,2),C3960),C3960)</f>
        <v>1</v>
      </c>
    </row>
    <row r="3961" customFormat="false" ht="12.75" hidden="false" customHeight="false" outlineLevel="0" collapsed="false">
      <c r="A3961" s="0" t="n">
        <f aca="false">B3961*1000+C3961</f>
        <v>58002</v>
      </c>
      <c r="B3961" s="0" t="n">
        <v>58</v>
      </c>
      <c r="C3961" s="0" t="n">
        <v>2</v>
      </c>
      <c r="D3961" s="0" t="n">
        <v>0</v>
      </c>
      <c r="E3961" s="0" t="n">
        <f aca="false">VLOOKUP(B3961,'Babblefish-APUMA'!$A$1:$B$86,2)</f>
        <v>90</v>
      </c>
      <c r="F3961" s="0" t="n">
        <f aca="false">IF(C3961&gt;1,IF(C3961&lt;99,VLOOKUP(C3961,'Babblefish-APUMA'!$A$1:$B$86,2),C3961),C3961)</f>
        <v>2</v>
      </c>
    </row>
    <row r="3962" customFormat="false" ht="12.75" hidden="false" customHeight="false" outlineLevel="0" collapsed="false">
      <c r="A3962" s="0" t="n">
        <f aca="false">B3962*1000+C3962</f>
        <v>58003</v>
      </c>
      <c r="B3962" s="0" t="n">
        <v>58</v>
      </c>
      <c r="C3962" s="0" t="n">
        <v>3</v>
      </c>
      <c r="D3962" s="0" t="n">
        <v>0</v>
      </c>
      <c r="E3962" s="0" t="n">
        <f aca="false">VLOOKUP(B3962,'Babblefish-APUMA'!$A$1:$B$86,2)</f>
        <v>90</v>
      </c>
      <c r="F3962" s="0" t="n">
        <f aca="false">IF(C3962&gt;1,IF(C3962&lt;99,VLOOKUP(C3962,'Babblefish-APUMA'!$A$1:$B$86,2),C3962),C3962)</f>
        <v>3</v>
      </c>
    </row>
    <row r="3963" customFormat="false" ht="12.75" hidden="false" customHeight="false" outlineLevel="0" collapsed="false">
      <c r="A3963" s="0" t="n">
        <f aca="false">B3963*1000+C3963</f>
        <v>58004</v>
      </c>
      <c r="B3963" s="0" t="n">
        <v>58</v>
      </c>
      <c r="C3963" s="0" t="n">
        <v>4</v>
      </c>
      <c r="D3963" s="0" t="n">
        <v>0</v>
      </c>
      <c r="E3963" s="0" t="n">
        <f aca="false">VLOOKUP(B3963,'Babblefish-APUMA'!$A$1:$B$86,2)</f>
        <v>90</v>
      </c>
      <c r="F3963" s="0" t="n">
        <f aca="false">IF(C3963&gt;1,IF(C3963&lt;99,VLOOKUP(C3963,'Babblefish-APUMA'!$A$1:$B$86,2),C3963),C3963)</f>
        <v>4</v>
      </c>
    </row>
    <row r="3964" customFormat="false" ht="12.75" hidden="false" customHeight="false" outlineLevel="0" collapsed="false">
      <c r="A3964" s="0" t="n">
        <f aca="false">B3964*1000+C3964</f>
        <v>58005</v>
      </c>
      <c r="B3964" s="0" t="n">
        <v>58</v>
      </c>
      <c r="C3964" s="0" t="n">
        <v>5</v>
      </c>
      <c r="D3964" s="0" t="n">
        <v>0</v>
      </c>
      <c r="E3964" s="0" t="n">
        <f aca="false">VLOOKUP(B3964,'Babblefish-APUMA'!$A$1:$B$86,2)</f>
        <v>90</v>
      </c>
      <c r="F3964" s="0" t="n">
        <f aca="false">IF(C3964&gt;1,IF(C3964&lt;99,VLOOKUP(C3964,'Babblefish-APUMA'!$A$1:$B$86,2),C3964),C3964)</f>
        <v>5</v>
      </c>
    </row>
    <row r="3965" customFormat="false" ht="12.75" hidden="false" customHeight="false" outlineLevel="0" collapsed="false">
      <c r="A3965" s="0" t="n">
        <f aca="false">B3965*1000+C3965</f>
        <v>58006</v>
      </c>
      <c r="B3965" s="0" t="n">
        <v>58</v>
      </c>
      <c r="C3965" s="0" t="n">
        <v>6</v>
      </c>
      <c r="D3965" s="0" t="n">
        <v>0</v>
      </c>
      <c r="E3965" s="0" t="n">
        <f aca="false">VLOOKUP(B3965,'Babblefish-APUMA'!$A$1:$B$86,2)</f>
        <v>90</v>
      </c>
      <c r="F3965" s="0" t="n">
        <f aca="false">IF(C3965&gt;1,IF(C3965&lt;99,VLOOKUP(C3965,'Babblefish-APUMA'!$A$1:$B$86,2),C3965),C3965)</f>
        <v>6</v>
      </c>
    </row>
    <row r="3966" customFormat="false" ht="12.75" hidden="false" customHeight="false" outlineLevel="0" collapsed="false">
      <c r="A3966" s="0" t="n">
        <f aca="false">B3966*1000+C3966</f>
        <v>58007</v>
      </c>
      <c r="B3966" s="0" t="n">
        <v>58</v>
      </c>
      <c r="C3966" s="0" t="n">
        <v>7</v>
      </c>
      <c r="D3966" s="0" t="n">
        <v>0</v>
      </c>
      <c r="E3966" s="0" t="n">
        <f aca="false">VLOOKUP(B3966,'Babblefish-APUMA'!$A$1:$B$86,2)</f>
        <v>90</v>
      </c>
      <c r="F3966" s="0" t="n">
        <f aca="false">IF(C3966&gt;1,IF(C3966&lt;99,VLOOKUP(C3966,'Babblefish-APUMA'!$A$1:$B$86,2),C3966),C3966)</f>
        <v>7</v>
      </c>
    </row>
    <row r="3967" customFormat="false" ht="12.75" hidden="false" customHeight="false" outlineLevel="0" collapsed="false">
      <c r="A3967" s="0" t="n">
        <f aca="false">B3967*1000+C3967</f>
        <v>58008</v>
      </c>
      <c r="B3967" s="0" t="n">
        <v>58</v>
      </c>
      <c r="C3967" s="0" t="n">
        <v>8</v>
      </c>
      <c r="D3967" s="0" t="n">
        <v>0</v>
      </c>
      <c r="E3967" s="0" t="n">
        <f aca="false">VLOOKUP(B3967,'Babblefish-APUMA'!$A$1:$B$86,2)</f>
        <v>90</v>
      </c>
      <c r="F3967" s="0" t="n">
        <f aca="false">IF(C3967&gt;1,IF(C3967&lt;99,VLOOKUP(C3967,'Babblefish-APUMA'!$A$1:$B$86,2),C3967),C3967)</f>
        <v>8</v>
      </c>
    </row>
    <row r="3968" customFormat="false" ht="12.75" hidden="false" customHeight="false" outlineLevel="0" collapsed="false">
      <c r="A3968" s="0" t="n">
        <f aca="false">B3968*1000+C3968</f>
        <v>58009</v>
      </c>
      <c r="B3968" s="0" t="n">
        <v>58</v>
      </c>
      <c r="C3968" s="0" t="n">
        <v>9</v>
      </c>
      <c r="D3968" s="0" t="n">
        <v>0</v>
      </c>
      <c r="E3968" s="0" t="n">
        <f aca="false">VLOOKUP(B3968,'Babblefish-APUMA'!$A$1:$B$86,2)</f>
        <v>90</v>
      </c>
      <c r="F3968" s="0" t="n">
        <f aca="false">IF(C3968&gt;1,IF(C3968&lt;99,VLOOKUP(C3968,'Babblefish-APUMA'!$A$1:$B$86,2),C3968),C3968)</f>
        <v>9</v>
      </c>
    </row>
    <row r="3969" customFormat="false" ht="12.75" hidden="false" customHeight="false" outlineLevel="0" collapsed="false">
      <c r="A3969" s="0" t="n">
        <f aca="false">B3969*1000+C3969</f>
        <v>58010</v>
      </c>
      <c r="B3969" s="0" t="n">
        <v>58</v>
      </c>
      <c r="C3969" s="0" t="n">
        <v>10</v>
      </c>
      <c r="D3969" s="0" t="n">
        <v>0</v>
      </c>
      <c r="E3969" s="0" t="n">
        <f aca="false">VLOOKUP(B3969,'Babblefish-APUMA'!$A$1:$B$86,2)</f>
        <v>90</v>
      </c>
      <c r="F3969" s="0" t="n">
        <f aca="false">IF(C3969&gt;1,IF(C3969&lt;99,VLOOKUP(C3969,'Babblefish-APUMA'!$A$1:$B$86,2),C3969),C3969)</f>
        <v>10</v>
      </c>
    </row>
    <row r="3970" customFormat="false" ht="12.75" hidden="false" customHeight="false" outlineLevel="0" collapsed="false">
      <c r="A3970" s="0" t="n">
        <f aca="false">B3970*1000+C3970</f>
        <v>58011</v>
      </c>
      <c r="B3970" s="0" t="n">
        <v>58</v>
      </c>
      <c r="C3970" s="0" t="n">
        <v>11</v>
      </c>
      <c r="D3970" s="0" t="n">
        <v>0</v>
      </c>
      <c r="E3970" s="0" t="n">
        <f aca="false">VLOOKUP(B3970,'Babblefish-APUMA'!$A$1:$B$86,2)</f>
        <v>90</v>
      </c>
      <c r="F3970" s="0" t="n">
        <f aca="false">IF(C3970&gt;1,IF(C3970&lt;99,VLOOKUP(C3970,'Babblefish-APUMA'!$A$1:$B$86,2),C3970),C3970)</f>
        <v>11</v>
      </c>
    </row>
    <row r="3971" customFormat="false" ht="12.75" hidden="false" customHeight="false" outlineLevel="0" collapsed="false">
      <c r="A3971" s="0" t="n">
        <f aca="false">B3971*1000+C3971</f>
        <v>58012</v>
      </c>
      <c r="B3971" s="0" t="n">
        <v>58</v>
      </c>
      <c r="C3971" s="0" t="n">
        <v>12</v>
      </c>
      <c r="D3971" s="0" t="n">
        <v>0</v>
      </c>
      <c r="E3971" s="0" t="n">
        <f aca="false">VLOOKUP(B3971,'Babblefish-APUMA'!$A$1:$B$86,2)</f>
        <v>90</v>
      </c>
      <c r="F3971" s="0" t="n">
        <f aca="false">IF(C3971&gt;1,IF(C3971&lt;99,VLOOKUP(C3971,'Babblefish-APUMA'!$A$1:$B$86,2),C3971),C3971)</f>
        <v>12</v>
      </c>
    </row>
    <row r="3972" customFormat="false" ht="12.75" hidden="false" customHeight="false" outlineLevel="0" collapsed="false">
      <c r="A3972" s="0" t="n">
        <f aca="false">B3972*1000+C3972</f>
        <v>58013</v>
      </c>
      <c r="B3972" s="0" t="n">
        <v>58</v>
      </c>
      <c r="C3972" s="0" t="n">
        <v>13</v>
      </c>
      <c r="D3972" s="0" t="n">
        <v>0</v>
      </c>
      <c r="E3972" s="0" t="n">
        <f aca="false">VLOOKUP(B3972,'Babblefish-APUMA'!$A$1:$B$86,2)</f>
        <v>90</v>
      </c>
      <c r="F3972" s="0" t="n">
        <f aca="false">IF(C3972&gt;1,IF(C3972&lt;99,VLOOKUP(C3972,'Babblefish-APUMA'!$A$1:$B$86,2),C3972),C3972)</f>
        <v>100</v>
      </c>
    </row>
    <row r="3973" customFormat="false" ht="12.75" hidden="false" customHeight="false" outlineLevel="0" collapsed="false">
      <c r="A3973" s="0" t="n">
        <f aca="false">B3973*1000+C3973</f>
        <v>58014</v>
      </c>
      <c r="B3973" s="0" t="n">
        <v>58</v>
      </c>
      <c r="C3973" s="0" t="n">
        <v>14</v>
      </c>
      <c r="D3973" s="0" t="n">
        <v>0</v>
      </c>
      <c r="E3973" s="0" t="n">
        <f aca="false">VLOOKUP(B3973,'Babblefish-APUMA'!$A$1:$B$86,2)</f>
        <v>90</v>
      </c>
      <c r="F3973" s="0" t="n">
        <f aca="false">IF(C3973&gt;1,IF(C3973&lt;99,VLOOKUP(C3973,'Babblefish-APUMA'!$A$1:$B$86,2),C3973),C3973)</f>
        <v>100</v>
      </c>
    </row>
    <row r="3974" customFormat="false" ht="12.75" hidden="false" customHeight="false" outlineLevel="0" collapsed="false">
      <c r="A3974" s="0" t="n">
        <f aca="false">B3974*1000+C3974</f>
        <v>58015</v>
      </c>
      <c r="B3974" s="0" t="n">
        <v>58</v>
      </c>
      <c r="C3974" s="0" t="n">
        <v>15</v>
      </c>
      <c r="D3974" s="0" t="n">
        <v>0</v>
      </c>
      <c r="E3974" s="0" t="n">
        <f aca="false">VLOOKUP(B3974,'Babblefish-APUMA'!$A$1:$B$86,2)</f>
        <v>90</v>
      </c>
      <c r="F3974" s="0" t="n">
        <f aca="false">IF(C3974&gt;1,IF(C3974&lt;99,VLOOKUP(C3974,'Babblefish-APUMA'!$A$1:$B$86,2),C3974),C3974)</f>
        <v>15</v>
      </c>
    </row>
    <row r="3975" customFormat="false" ht="12.75" hidden="false" customHeight="false" outlineLevel="0" collapsed="false">
      <c r="A3975" s="0" t="n">
        <f aca="false">B3975*1000+C3975</f>
        <v>58016</v>
      </c>
      <c r="B3975" s="0" t="n">
        <v>58</v>
      </c>
      <c r="C3975" s="0" t="n">
        <v>16</v>
      </c>
      <c r="D3975" s="0" t="n">
        <v>0</v>
      </c>
      <c r="E3975" s="0" t="n">
        <f aca="false">VLOOKUP(B3975,'Babblefish-APUMA'!$A$1:$B$86,2)</f>
        <v>90</v>
      </c>
      <c r="F3975" s="0" t="n">
        <f aca="false">IF(C3975&gt;1,IF(C3975&lt;99,VLOOKUP(C3975,'Babblefish-APUMA'!$A$1:$B$86,2),C3975),C3975)</f>
        <v>99</v>
      </c>
    </row>
    <row r="3976" customFormat="false" ht="12.75" hidden="false" customHeight="false" outlineLevel="0" collapsed="false">
      <c r="A3976" s="0" t="n">
        <f aca="false">B3976*1000+C3976</f>
        <v>58017</v>
      </c>
      <c r="B3976" s="0" t="n">
        <v>58</v>
      </c>
      <c r="C3976" s="0" t="n">
        <v>17</v>
      </c>
      <c r="D3976" s="0" t="n">
        <v>0</v>
      </c>
      <c r="E3976" s="0" t="n">
        <f aca="false">VLOOKUP(B3976,'Babblefish-APUMA'!$A$1:$B$86,2)</f>
        <v>90</v>
      </c>
      <c r="F3976" s="0" t="n">
        <f aca="false">IF(C3976&gt;1,IF(C3976&lt;99,VLOOKUP(C3976,'Babblefish-APUMA'!$A$1:$B$86,2),C3976),C3976)</f>
        <v>87</v>
      </c>
    </row>
    <row r="3977" customFormat="false" ht="12.75" hidden="false" customHeight="false" outlineLevel="0" collapsed="false">
      <c r="A3977" s="0" t="n">
        <f aca="false">B3977*1000+C3977</f>
        <v>58018</v>
      </c>
      <c r="B3977" s="0" t="n">
        <v>58</v>
      </c>
      <c r="C3977" s="0" t="n">
        <v>18</v>
      </c>
      <c r="D3977" s="0" t="n">
        <v>0</v>
      </c>
      <c r="E3977" s="0" t="n">
        <f aca="false">VLOOKUP(B3977,'Babblefish-APUMA'!$A$1:$B$86,2)</f>
        <v>90</v>
      </c>
      <c r="F3977" s="0" t="n">
        <f aca="false">IF(C3977&gt;1,IF(C3977&lt;99,VLOOKUP(C3977,'Babblefish-APUMA'!$A$1:$B$86,2),C3977),C3977)</f>
        <v>87</v>
      </c>
    </row>
    <row r="3978" customFormat="false" ht="12.75" hidden="false" customHeight="false" outlineLevel="0" collapsed="false">
      <c r="A3978" s="0" t="n">
        <f aca="false">B3978*1000+C3978</f>
        <v>58019</v>
      </c>
      <c r="B3978" s="0" t="n">
        <v>58</v>
      </c>
      <c r="C3978" s="0" t="n">
        <v>19</v>
      </c>
      <c r="D3978" s="0" t="n">
        <v>0</v>
      </c>
      <c r="E3978" s="0" t="n">
        <f aca="false">VLOOKUP(B3978,'Babblefish-APUMA'!$A$1:$B$86,2)</f>
        <v>90</v>
      </c>
      <c r="F3978" s="0" t="n">
        <f aca="false">IF(C3978&gt;1,IF(C3978&lt;99,VLOOKUP(C3978,'Babblefish-APUMA'!$A$1:$B$86,2),C3978),C3978)</f>
        <v>19</v>
      </c>
    </row>
    <row r="3979" customFormat="false" ht="12.75" hidden="false" customHeight="false" outlineLevel="0" collapsed="false">
      <c r="A3979" s="0" t="n">
        <f aca="false">B3979*1000+C3979</f>
        <v>58020</v>
      </c>
      <c r="B3979" s="0" t="n">
        <v>58</v>
      </c>
      <c r="C3979" s="0" t="n">
        <v>20</v>
      </c>
      <c r="D3979" s="0" t="n">
        <v>0</v>
      </c>
      <c r="E3979" s="0" t="n">
        <f aca="false">VLOOKUP(B3979,'Babblefish-APUMA'!$A$1:$B$86,2)</f>
        <v>90</v>
      </c>
      <c r="F3979" s="0" t="n">
        <f aca="false">IF(C3979&gt;1,IF(C3979&lt;99,VLOOKUP(C3979,'Babblefish-APUMA'!$A$1:$B$86,2),C3979),C3979)</f>
        <v>86</v>
      </c>
    </row>
    <row r="3980" customFormat="false" ht="12.75" hidden="false" customHeight="false" outlineLevel="0" collapsed="false">
      <c r="A3980" s="0" t="n">
        <f aca="false">B3980*1000+C3980</f>
        <v>58021</v>
      </c>
      <c r="B3980" s="0" t="n">
        <v>58</v>
      </c>
      <c r="C3980" s="0" t="n">
        <v>21</v>
      </c>
      <c r="D3980" s="0" t="n">
        <v>0</v>
      </c>
      <c r="E3980" s="0" t="n">
        <f aca="false">VLOOKUP(B3980,'Babblefish-APUMA'!$A$1:$B$86,2)</f>
        <v>90</v>
      </c>
      <c r="F3980" s="0" t="n">
        <f aca="false">IF(C3980&gt;1,IF(C3980&lt;99,VLOOKUP(C3980,'Babblefish-APUMA'!$A$1:$B$86,2),C3980),C3980)</f>
        <v>86</v>
      </c>
    </row>
    <row r="3981" customFormat="false" ht="12.75" hidden="false" customHeight="false" outlineLevel="0" collapsed="false">
      <c r="A3981" s="0" t="n">
        <f aca="false">B3981*1000+C3981</f>
        <v>58022</v>
      </c>
      <c r="B3981" s="0" t="n">
        <v>58</v>
      </c>
      <c r="C3981" s="0" t="n">
        <v>22</v>
      </c>
      <c r="D3981" s="0" t="n">
        <v>0</v>
      </c>
      <c r="E3981" s="0" t="n">
        <f aca="false">VLOOKUP(B3981,'Babblefish-APUMA'!$A$1:$B$86,2)</f>
        <v>90</v>
      </c>
      <c r="F3981" s="0" t="n">
        <f aca="false">IF(C3981&gt;1,IF(C3981&lt;99,VLOOKUP(C3981,'Babblefish-APUMA'!$A$1:$B$86,2),C3981),C3981)</f>
        <v>22</v>
      </c>
    </row>
    <row r="3982" customFormat="false" ht="12.75" hidden="false" customHeight="false" outlineLevel="0" collapsed="false">
      <c r="A3982" s="0" t="n">
        <f aca="false">B3982*1000+C3982</f>
        <v>58023</v>
      </c>
      <c r="B3982" s="0" t="n">
        <v>58</v>
      </c>
      <c r="C3982" s="0" t="n">
        <v>23</v>
      </c>
      <c r="D3982" s="0" t="n">
        <v>0</v>
      </c>
      <c r="E3982" s="0" t="n">
        <f aca="false">VLOOKUP(B3982,'Babblefish-APUMA'!$A$1:$B$86,2)</f>
        <v>90</v>
      </c>
      <c r="F3982" s="0" t="n">
        <f aca="false">IF(C3982&gt;1,IF(C3982&lt;99,VLOOKUP(C3982,'Babblefish-APUMA'!$A$1:$B$86,2),C3982),C3982)</f>
        <v>97</v>
      </c>
    </row>
    <row r="3983" customFormat="false" ht="12.75" hidden="false" customHeight="false" outlineLevel="0" collapsed="false">
      <c r="A3983" s="0" t="n">
        <f aca="false">B3983*1000+C3983</f>
        <v>58024</v>
      </c>
      <c r="B3983" s="0" t="n">
        <v>58</v>
      </c>
      <c r="C3983" s="0" t="n">
        <v>24</v>
      </c>
      <c r="D3983" s="0" t="n">
        <v>0</v>
      </c>
      <c r="E3983" s="0" t="n">
        <f aca="false">VLOOKUP(B3983,'Babblefish-APUMA'!$A$1:$B$86,2)</f>
        <v>90</v>
      </c>
      <c r="F3983" s="0" t="n">
        <f aca="false">IF(C3983&gt;1,IF(C3983&lt;99,VLOOKUP(C3983,'Babblefish-APUMA'!$A$1:$B$86,2),C3983),C3983)</f>
        <v>101</v>
      </c>
    </row>
    <row r="3984" customFormat="false" ht="12.75" hidden="false" customHeight="false" outlineLevel="0" collapsed="false">
      <c r="A3984" s="0" t="n">
        <f aca="false">B3984*1000+C3984</f>
        <v>58025</v>
      </c>
      <c r="B3984" s="0" t="n">
        <v>58</v>
      </c>
      <c r="C3984" s="0" t="n">
        <v>25</v>
      </c>
      <c r="D3984" s="0" t="n">
        <v>0</v>
      </c>
      <c r="E3984" s="0" t="n">
        <f aca="false">VLOOKUP(B3984,'Babblefish-APUMA'!$A$1:$B$86,2)</f>
        <v>90</v>
      </c>
      <c r="F3984" s="0" t="n">
        <f aca="false">IF(C3984&gt;1,IF(C3984&lt;99,VLOOKUP(C3984,'Babblefish-APUMA'!$A$1:$B$86,2),C3984),C3984)</f>
        <v>101</v>
      </c>
    </row>
    <row r="3985" customFormat="false" ht="12.75" hidden="false" customHeight="false" outlineLevel="0" collapsed="false">
      <c r="A3985" s="0" t="n">
        <f aca="false">B3985*1000+C3985</f>
        <v>58026</v>
      </c>
      <c r="B3985" s="0" t="n">
        <v>58</v>
      </c>
      <c r="C3985" s="0" t="n">
        <v>26</v>
      </c>
      <c r="D3985" s="0" t="n">
        <v>0</v>
      </c>
      <c r="E3985" s="0" t="n">
        <f aca="false">VLOOKUP(B3985,'Babblefish-APUMA'!$A$1:$B$86,2)</f>
        <v>90</v>
      </c>
      <c r="F3985" s="0" t="n">
        <f aca="false">IF(C3985&gt;1,IF(C3985&lt;99,VLOOKUP(C3985,'Babblefish-APUMA'!$A$1:$B$86,2),C3985),C3985)</f>
        <v>26</v>
      </c>
    </row>
    <row r="3986" customFormat="false" ht="12.75" hidden="false" customHeight="false" outlineLevel="0" collapsed="false">
      <c r="A3986" s="0" t="n">
        <f aca="false">B3986*1000+C3986</f>
        <v>58027</v>
      </c>
      <c r="B3986" s="0" t="n">
        <v>58</v>
      </c>
      <c r="C3986" s="0" t="n">
        <v>27</v>
      </c>
      <c r="D3986" s="0" t="n">
        <v>0</v>
      </c>
      <c r="E3986" s="0" t="n">
        <f aca="false">VLOOKUP(B3986,'Babblefish-APUMA'!$A$1:$B$86,2)</f>
        <v>90</v>
      </c>
      <c r="F3986" s="0" t="n">
        <f aca="false">IF(C3986&gt;1,IF(C3986&lt;99,VLOOKUP(C3986,'Babblefish-APUMA'!$A$1:$B$86,2),C3986),C3986)</f>
        <v>27</v>
      </c>
    </row>
    <row r="3987" customFormat="false" ht="12.75" hidden="false" customHeight="false" outlineLevel="0" collapsed="false">
      <c r="A3987" s="0" t="n">
        <f aca="false">B3987*1000+C3987</f>
        <v>58028</v>
      </c>
      <c r="B3987" s="0" t="n">
        <v>58</v>
      </c>
      <c r="C3987" s="0" t="n">
        <v>28</v>
      </c>
      <c r="D3987" s="0" t="n">
        <v>0</v>
      </c>
      <c r="E3987" s="0" t="n">
        <f aca="false">VLOOKUP(B3987,'Babblefish-APUMA'!$A$1:$B$86,2)</f>
        <v>90</v>
      </c>
      <c r="F3987" s="0" t="n">
        <f aca="false">IF(C3987&gt;1,IF(C3987&lt;99,VLOOKUP(C3987,'Babblefish-APUMA'!$A$1:$B$86,2),C3987),C3987)</f>
        <v>94</v>
      </c>
    </row>
    <row r="3988" customFormat="false" ht="12.75" hidden="false" customHeight="false" outlineLevel="0" collapsed="false">
      <c r="A3988" s="0" t="n">
        <f aca="false">B3988*1000+C3988</f>
        <v>58029</v>
      </c>
      <c r="B3988" s="0" t="n">
        <v>58</v>
      </c>
      <c r="C3988" s="0" t="n">
        <v>29</v>
      </c>
      <c r="D3988" s="0" t="n">
        <v>0</v>
      </c>
      <c r="E3988" s="0" t="n">
        <f aca="false">VLOOKUP(B3988,'Babblefish-APUMA'!$A$1:$B$86,2)</f>
        <v>90</v>
      </c>
      <c r="F3988" s="0" t="n">
        <f aca="false">IF(C3988&gt;1,IF(C3988&lt;99,VLOOKUP(C3988,'Babblefish-APUMA'!$A$1:$B$86,2),C3988),C3988)</f>
        <v>94</v>
      </c>
    </row>
    <row r="3989" customFormat="false" ht="12.75" hidden="false" customHeight="false" outlineLevel="0" collapsed="false">
      <c r="A3989" s="0" t="n">
        <f aca="false">B3989*1000+C3989</f>
        <v>58030</v>
      </c>
      <c r="B3989" s="0" t="n">
        <v>58</v>
      </c>
      <c r="C3989" s="0" t="n">
        <v>30</v>
      </c>
      <c r="D3989" s="0" t="n">
        <v>0</v>
      </c>
      <c r="E3989" s="0" t="n">
        <f aca="false">VLOOKUP(B3989,'Babblefish-APUMA'!$A$1:$B$86,2)</f>
        <v>90</v>
      </c>
      <c r="F3989" s="0" t="n">
        <f aca="false">IF(C3989&gt;1,IF(C3989&lt;99,VLOOKUP(C3989,'Babblefish-APUMA'!$A$1:$B$86,2),C3989),C3989)</f>
        <v>30</v>
      </c>
    </row>
    <row r="3990" customFormat="false" ht="12.75" hidden="false" customHeight="false" outlineLevel="0" collapsed="false">
      <c r="A3990" s="0" t="n">
        <f aca="false">B3990*1000+C3990</f>
        <v>58031</v>
      </c>
      <c r="B3990" s="0" t="n">
        <v>58</v>
      </c>
      <c r="C3990" s="0" t="n">
        <v>31</v>
      </c>
      <c r="D3990" s="0" t="n">
        <v>0</v>
      </c>
      <c r="E3990" s="0" t="n">
        <f aca="false">VLOOKUP(B3990,'Babblefish-APUMA'!$A$1:$B$86,2)</f>
        <v>90</v>
      </c>
      <c r="F3990" s="0" t="n">
        <f aca="false">IF(C3990&gt;1,IF(C3990&lt;99,VLOOKUP(C3990,'Babblefish-APUMA'!$A$1:$B$86,2),C3990),C3990)</f>
        <v>31</v>
      </c>
    </row>
    <row r="3991" customFormat="false" ht="12.75" hidden="false" customHeight="false" outlineLevel="0" collapsed="false">
      <c r="A3991" s="0" t="n">
        <f aca="false">B3991*1000+C3991</f>
        <v>58032</v>
      </c>
      <c r="B3991" s="0" t="n">
        <v>58</v>
      </c>
      <c r="C3991" s="0" t="n">
        <v>32</v>
      </c>
      <c r="D3991" s="0" t="n">
        <v>0</v>
      </c>
      <c r="E3991" s="0" t="n">
        <f aca="false">VLOOKUP(B3991,'Babblefish-APUMA'!$A$1:$B$86,2)</f>
        <v>90</v>
      </c>
      <c r="F3991" s="0" t="n">
        <f aca="false">IF(C3991&gt;1,IF(C3991&lt;99,VLOOKUP(C3991,'Babblefish-APUMA'!$A$1:$B$86,2),C3991),C3991)</f>
        <v>32</v>
      </c>
    </row>
    <row r="3992" customFormat="false" ht="12.75" hidden="false" customHeight="false" outlineLevel="0" collapsed="false">
      <c r="A3992" s="0" t="n">
        <f aca="false">B3992*1000+C3992</f>
        <v>58033</v>
      </c>
      <c r="B3992" s="0" t="n">
        <v>58</v>
      </c>
      <c r="C3992" s="0" t="n">
        <v>33</v>
      </c>
      <c r="D3992" s="0" t="n">
        <v>0</v>
      </c>
      <c r="E3992" s="0" t="n">
        <f aca="false">VLOOKUP(B3992,'Babblefish-APUMA'!$A$1:$B$86,2)</f>
        <v>90</v>
      </c>
      <c r="F3992" s="0" t="n">
        <f aca="false">IF(C3992&gt;1,IF(C3992&lt;99,VLOOKUP(C3992,'Babblefish-APUMA'!$A$1:$B$86,2),C3992),C3992)</f>
        <v>96</v>
      </c>
    </row>
    <row r="3993" customFormat="false" ht="12.75" hidden="false" customHeight="false" outlineLevel="0" collapsed="false">
      <c r="A3993" s="0" t="n">
        <f aca="false">B3993*1000+C3993</f>
        <v>58034</v>
      </c>
      <c r="B3993" s="0" t="n">
        <v>58</v>
      </c>
      <c r="C3993" s="0" t="n">
        <v>34</v>
      </c>
      <c r="D3993" s="0" t="n">
        <v>0</v>
      </c>
      <c r="E3993" s="0" t="n">
        <f aca="false">VLOOKUP(B3993,'Babblefish-APUMA'!$A$1:$B$86,2)</f>
        <v>90</v>
      </c>
      <c r="F3993" s="0" t="n">
        <f aca="false">IF(C3993&gt;1,IF(C3993&lt;99,VLOOKUP(C3993,'Babblefish-APUMA'!$A$1:$B$86,2),C3993),C3993)</f>
        <v>96</v>
      </c>
    </row>
    <row r="3994" customFormat="false" ht="12.75" hidden="false" customHeight="false" outlineLevel="0" collapsed="false">
      <c r="A3994" s="0" t="n">
        <f aca="false">B3994*1000+C3994</f>
        <v>58035</v>
      </c>
      <c r="B3994" s="0" t="n">
        <v>58</v>
      </c>
      <c r="C3994" s="0" t="n">
        <v>35</v>
      </c>
      <c r="D3994" s="0" t="n">
        <v>0</v>
      </c>
      <c r="E3994" s="0" t="n">
        <f aca="false">VLOOKUP(B3994,'Babblefish-APUMA'!$A$1:$B$86,2)</f>
        <v>90</v>
      </c>
      <c r="F3994" s="0" t="n">
        <f aca="false">IF(C3994&gt;1,IF(C3994&lt;99,VLOOKUP(C3994,'Babblefish-APUMA'!$A$1:$B$86,2),C3994),C3994)</f>
        <v>96</v>
      </c>
    </row>
    <row r="3995" customFormat="false" ht="12.75" hidden="false" customHeight="false" outlineLevel="0" collapsed="false">
      <c r="A3995" s="0" t="n">
        <f aca="false">B3995*1000+C3995</f>
        <v>58036</v>
      </c>
      <c r="B3995" s="0" t="n">
        <v>58</v>
      </c>
      <c r="C3995" s="0" t="n">
        <v>36</v>
      </c>
      <c r="D3995" s="0" t="n">
        <v>0</v>
      </c>
      <c r="E3995" s="0" t="n">
        <f aca="false">VLOOKUP(B3995,'Babblefish-APUMA'!$A$1:$B$86,2)</f>
        <v>90</v>
      </c>
      <c r="F3995" s="0" t="n">
        <f aca="false">IF(C3995&gt;1,IF(C3995&lt;99,VLOOKUP(C3995,'Babblefish-APUMA'!$A$1:$B$86,2),C3995),C3995)</f>
        <v>96</v>
      </c>
    </row>
    <row r="3996" customFormat="false" ht="12.75" hidden="false" customHeight="false" outlineLevel="0" collapsed="false">
      <c r="A3996" s="0" t="n">
        <f aca="false">B3996*1000+C3996</f>
        <v>58037</v>
      </c>
      <c r="B3996" s="0" t="n">
        <v>58</v>
      </c>
      <c r="C3996" s="0" t="n">
        <v>37</v>
      </c>
      <c r="D3996" s="0" t="n">
        <v>0</v>
      </c>
      <c r="E3996" s="0" t="n">
        <f aca="false">VLOOKUP(B3996,'Babblefish-APUMA'!$A$1:$B$86,2)</f>
        <v>90</v>
      </c>
      <c r="F3996" s="0" t="n">
        <f aca="false">IF(C3996&gt;1,IF(C3996&lt;99,VLOOKUP(C3996,'Babblefish-APUMA'!$A$1:$B$86,2),C3996),C3996)</f>
        <v>96</v>
      </c>
    </row>
    <row r="3997" customFormat="false" ht="12.75" hidden="false" customHeight="false" outlineLevel="0" collapsed="false">
      <c r="A3997" s="0" t="n">
        <f aca="false">B3997*1000+C3997</f>
        <v>58038</v>
      </c>
      <c r="B3997" s="0" t="n">
        <v>58</v>
      </c>
      <c r="C3997" s="0" t="n">
        <v>38</v>
      </c>
      <c r="D3997" s="0" t="n">
        <v>0</v>
      </c>
      <c r="E3997" s="0" t="n">
        <f aca="false">VLOOKUP(B3997,'Babblefish-APUMA'!$A$1:$B$86,2)</f>
        <v>90</v>
      </c>
      <c r="F3997" s="0" t="n">
        <f aca="false">IF(C3997&gt;1,IF(C3997&lt;99,VLOOKUP(C3997,'Babblefish-APUMA'!$A$1:$B$86,2),C3997),C3997)</f>
        <v>91</v>
      </c>
    </row>
    <row r="3998" customFormat="false" ht="12.75" hidden="false" customHeight="false" outlineLevel="0" collapsed="false">
      <c r="A3998" s="0" t="n">
        <f aca="false">B3998*1000+C3998</f>
        <v>58039</v>
      </c>
      <c r="B3998" s="0" t="n">
        <v>58</v>
      </c>
      <c r="C3998" s="0" t="n">
        <v>39</v>
      </c>
      <c r="D3998" s="0" t="n">
        <v>0</v>
      </c>
      <c r="E3998" s="0" t="n">
        <f aca="false">VLOOKUP(B3998,'Babblefish-APUMA'!$A$1:$B$86,2)</f>
        <v>90</v>
      </c>
      <c r="F3998" s="0" t="n">
        <f aca="false">IF(C3998&gt;1,IF(C3998&lt;99,VLOOKUP(C3998,'Babblefish-APUMA'!$A$1:$B$86,2),C3998),C3998)</f>
        <v>91</v>
      </c>
    </row>
    <row r="3999" customFormat="false" ht="12.75" hidden="false" customHeight="false" outlineLevel="0" collapsed="false">
      <c r="A3999" s="0" t="n">
        <f aca="false">B3999*1000+C3999</f>
        <v>58040</v>
      </c>
      <c r="B3999" s="0" t="n">
        <v>58</v>
      </c>
      <c r="C3999" s="0" t="n">
        <v>40</v>
      </c>
      <c r="D3999" s="0" t="n">
        <v>0</v>
      </c>
      <c r="E3999" s="0" t="n">
        <f aca="false">VLOOKUP(B3999,'Babblefish-APUMA'!$A$1:$B$86,2)</f>
        <v>90</v>
      </c>
      <c r="F3999" s="0" t="n">
        <f aca="false">IF(C3999&gt;1,IF(C3999&lt;99,VLOOKUP(C3999,'Babblefish-APUMA'!$A$1:$B$86,2),C3999),C3999)</f>
        <v>88</v>
      </c>
    </row>
    <row r="4000" customFormat="false" ht="12.75" hidden="false" customHeight="false" outlineLevel="0" collapsed="false">
      <c r="A4000" s="0" t="n">
        <f aca="false">B4000*1000+C4000</f>
        <v>58041</v>
      </c>
      <c r="B4000" s="0" t="n">
        <v>58</v>
      </c>
      <c r="C4000" s="0" t="n">
        <v>41</v>
      </c>
      <c r="D4000" s="0" t="n">
        <v>0</v>
      </c>
      <c r="E4000" s="0" t="n">
        <f aca="false">VLOOKUP(B4000,'Babblefish-APUMA'!$A$1:$B$86,2)</f>
        <v>90</v>
      </c>
      <c r="F4000" s="0" t="n">
        <f aca="false">IF(C4000&gt;1,IF(C4000&lt;99,VLOOKUP(C4000,'Babblefish-APUMA'!$A$1:$B$86,2),C4000),C4000)</f>
        <v>88</v>
      </c>
    </row>
    <row r="4001" customFormat="false" ht="12.75" hidden="false" customHeight="false" outlineLevel="0" collapsed="false">
      <c r="A4001" s="0" t="n">
        <f aca="false">B4001*1000+C4001</f>
        <v>58042</v>
      </c>
      <c r="B4001" s="0" t="n">
        <v>58</v>
      </c>
      <c r="C4001" s="0" t="n">
        <v>42</v>
      </c>
      <c r="D4001" s="0" t="n">
        <v>65</v>
      </c>
      <c r="E4001" s="0" t="n">
        <f aca="false">VLOOKUP(B4001,'Babblefish-APUMA'!$A$1:$B$86,2)</f>
        <v>90</v>
      </c>
      <c r="F4001" s="0" t="n">
        <f aca="false">IF(C4001&gt;1,IF(C4001&lt;99,VLOOKUP(C4001,'Babblefish-APUMA'!$A$1:$B$86,2),C4001),C4001)</f>
        <v>92</v>
      </c>
    </row>
    <row r="4002" customFormat="false" ht="12.75" hidden="false" customHeight="false" outlineLevel="0" collapsed="false">
      <c r="A4002" s="0" t="n">
        <f aca="false">B4002*1000+C4002</f>
        <v>58043</v>
      </c>
      <c r="B4002" s="0" t="n">
        <v>58</v>
      </c>
      <c r="C4002" s="0" t="n">
        <v>43</v>
      </c>
      <c r="D4002" s="0" t="n">
        <v>0</v>
      </c>
      <c r="E4002" s="0" t="n">
        <f aca="false">VLOOKUP(B4002,'Babblefish-APUMA'!$A$1:$B$86,2)</f>
        <v>90</v>
      </c>
      <c r="F4002" s="0" t="n">
        <f aca="false">IF(C4002&gt;1,IF(C4002&lt;99,VLOOKUP(C4002,'Babblefish-APUMA'!$A$1:$B$86,2),C4002),C4002)</f>
        <v>92</v>
      </c>
    </row>
    <row r="4003" customFormat="false" ht="12.75" hidden="false" customHeight="false" outlineLevel="0" collapsed="false">
      <c r="A4003" s="0" t="n">
        <f aca="false">B4003*1000+C4003</f>
        <v>58044</v>
      </c>
      <c r="B4003" s="0" t="n">
        <v>58</v>
      </c>
      <c r="C4003" s="0" t="n">
        <v>44</v>
      </c>
      <c r="D4003" s="0" t="n">
        <v>0</v>
      </c>
      <c r="E4003" s="0" t="n">
        <f aca="false">VLOOKUP(B4003,'Babblefish-APUMA'!$A$1:$B$86,2)</f>
        <v>90</v>
      </c>
      <c r="F4003" s="0" t="n">
        <f aca="false">IF(C4003&gt;1,IF(C4003&lt;99,VLOOKUP(C4003,'Babblefish-APUMA'!$A$1:$B$86,2),C4003),C4003)</f>
        <v>92</v>
      </c>
    </row>
    <row r="4004" customFormat="false" ht="12.75" hidden="false" customHeight="false" outlineLevel="0" collapsed="false">
      <c r="A4004" s="0" t="n">
        <f aca="false">B4004*1000+C4004</f>
        <v>58045</v>
      </c>
      <c r="B4004" s="0" t="n">
        <v>58</v>
      </c>
      <c r="C4004" s="0" t="n">
        <v>45</v>
      </c>
      <c r="D4004" s="0" t="n">
        <v>143</v>
      </c>
      <c r="E4004" s="0" t="n">
        <f aca="false">VLOOKUP(B4004,'Babblefish-APUMA'!$A$1:$B$86,2)</f>
        <v>90</v>
      </c>
      <c r="F4004" s="0" t="n">
        <f aca="false">IF(C4004&gt;1,IF(C4004&lt;99,VLOOKUP(C4004,'Babblefish-APUMA'!$A$1:$B$86,2),C4004),C4004)</f>
        <v>92</v>
      </c>
    </row>
    <row r="4005" customFormat="false" ht="12.75" hidden="false" customHeight="false" outlineLevel="0" collapsed="false">
      <c r="A4005" s="0" t="n">
        <f aca="false">B4005*1000+C4005</f>
        <v>58046</v>
      </c>
      <c r="B4005" s="0" t="n">
        <v>58</v>
      </c>
      <c r="C4005" s="0" t="n">
        <v>46</v>
      </c>
      <c r="D4005" s="0" t="n">
        <v>0</v>
      </c>
      <c r="E4005" s="0" t="n">
        <f aca="false">VLOOKUP(B4005,'Babblefish-APUMA'!$A$1:$B$86,2)</f>
        <v>90</v>
      </c>
      <c r="F4005" s="0" t="n">
        <f aca="false">IF(C4005&gt;1,IF(C4005&lt;99,VLOOKUP(C4005,'Babblefish-APUMA'!$A$1:$B$86,2),C4005),C4005)</f>
        <v>92</v>
      </c>
    </row>
    <row r="4006" customFormat="false" ht="12.75" hidden="false" customHeight="false" outlineLevel="0" collapsed="false">
      <c r="A4006" s="0" t="n">
        <f aca="false">B4006*1000+C4006</f>
        <v>58047</v>
      </c>
      <c r="B4006" s="0" t="n">
        <v>58</v>
      </c>
      <c r="C4006" s="0" t="n">
        <v>47</v>
      </c>
      <c r="D4006" s="0" t="n">
        <v>0</v>
      </c>
      <c r="E4006" s="0" t="n">
        <f aca="false">VLOOKUP(B4006,'Babblefish-APUMA'!$A$1:$B$86,2)</f>
        <v>90</v>
      </c>
      <c r="F4006" s="0" t="n">
        <f aca="false">IF(C4006&gt;1,IF(C4006&lt;99,VLOOKUP(C4006,'Babblefish-APUMA'!$A$1:$B$86,2),C4006),C4006)</f>
        <v>92</v>
      </c>
    </row>
    <row r="4007" customFormat="false" ht="12.75" hidden="false" customHeight="false" outlineLevel="0" collapsed="false">
      <c r="A4007" s="0" t="n">
        <f aca="false">B4007*1000+C4007</f>
        <v>58048</v>
      </c>
      <c r="B4007" s="0" t="n">
        <v>58</v>
      </c>
      <c r="C4007" s="0" t="n">
        <v>48</v>
      </c>
      <c r="D4007" s="0" t="n">
        <v>702</v>
      </c>
      <c r="E4007" s="0" t="n">
        <f aca="false">VLOOKUP(B4007,'Babblefish-APUMA'!$A$1:$B$86,2)</f>
        <v>90</v>
      </c>
      <c r="F4007" s="0" t="n">
        <f aca="false">IF(C4007&gt;1,IF(C4007&lt;99,VLOOKUP(C4007,'Babblefish-APUMA'!$A$1:$B$86,2),C4007),C4007)</f>
        <v>92</v>
      </c>
    </row>
    <row r="4008" customFormat="false" ht="12.75" hidden="false" customHeight="false" outlineLevel="0" collapsed="false">
      <c r="A4008" s="0" t="n">
        <f aca="false">B4008*1000+C4008</f>
        <v>58049</v>
      </c>
      <c r="B4008" s="0" t="n">
        <v>58</v>
      </c>
      <c r="C4008" s="0" t="n">
        <v>49</v>
      </c>
      <c r="D4008" s="0" t="n">
        <v>0</v>
      </c>
      <c r="E4008" s="0" t="n">
        <f aca="false">VLOOKUP(B4008,'Babblefish-APUMA'!$A$1:$B$86,2)</f>
        <v>90</v>
      </c>
      <c r="F4008" s="0" t="n">
        <f aca="false">IF(C4008&gt;1,IF(C4008&lt;99,VLOOKUP(C4008,'Babblefish-APUMA'!$A$1:$B$86,2),C4008),C4008)</f>
        <v>98</v>
      </c>
    </row>
    <row r="4009" customFormat="false" ht="12.75" hidden="false" customHeight="false" outlineLevel="0" collapsed="false">
      <c r="A4009" s="0" t="n">
        <f aca="false">B4009*1000+C4009</f>
        <v>58050</v>
      </c>
      <c r="B4009" s="0" t="n">
        <v>58</v>
      </c>
      <c r="C4009" s="0" t="n">
        <v>50</v>
      </c>
      <c r="D4009" s="0" t="n">
        <v>0</v>
      </c>
      <c r="E4009" s="0" t="n">
        <f aca="false">VLOOKUP(B4009,'Babblefish-APUMA'!$A$1:$B$86,2)</f>
        <v>90</v>
      </c>
      <c r="F4009" s="0" t="n">
        <f aca="false">IF(C4009&gt;1,IF(C4009&lt;99,VLOOKUP(C4009,'Babblefish-APUMA'!$A$1:$B$86,2),C4009),C4009)</f>
        <v>98</v>
      </c>
    </row>
    <row r="4010" customFormat="false" ht="12.75" hidden="false" customHeight="false" outlineLevel="0" collapsed="false">
      <c r="A4010" s="0" t="n">
        <f aca="false">B4010*1000+C4010</f>
        <v>58051</v>
      </c>
      <c r="B4010" s="0" t="n">
        <v>58</v>
      </c>
      <c r="C4010" s="0" t="n">
        <v>51</v>
      </c>
      <c r="D4010" s="0" t="n">
        <v>0</v>
      </c>
      <c r="E4010" s="0" t="n">
        <f aca="false">VLOOKUP(B4010,'Babblefish-APUMA'!$A$1:$B$86,2)</f>
        <v>90</v>
      </c>
      <c r="F4010" s="0" t="n">
        <f aca="false">IF(C4010&gt;1,IF(C4010&lt;99,VLOOKUP(C4010,'Babblefish-APUMA'!$A$1:$B$86,2),C4010),C4010)</f>
        <v>98</v>
      </c>
    </row>
    <row r="4011" customFormat="false" ht="12.75" hidden="false" customHeight="false" outlineLevel="0" collapsed="false">
      <c r="A4011" s="0" t="n">
        <f aca="false">B4011*1000+C4011</f>
        <v>58052</v>
      </c>
      <c r="B4011" s="0" t="n">
        <v>58</v>
      </c>
      <c r="C4011" s="0" t="n">
        <v>52</v>
      </c>
      <c r="D4011" s="0" t="n">
        <v>260</v>
      </c>
      <c r="E4011" s="0" t="n">
        <f aca="false">VLOOKUP(B4011,'Babblefish-APUMA'!$A$1:$B$86,2)</f>
        <v>90</v>
      </c>
      <c r="F4011" s="0" t="n">
        <f aca="false">IF(C4011&gt;1,IF(C4011&lt;99,VLOOKUP(C4011,'Babblefish-APUMA'!$A$1:$B$86,2),C4011),C4011)</f>
        <v>90</v>
      </c>
    </row>
    <row r="4012" customFormat="false" ht="12.75" hidden="false" customHeight="false" outlineLevel="0" collapsed="false">
      <c r="A4012" s="0" t="n">
        <f aca="false">B4012*1000+C4012</f>
        <v>58053</v>
      </c>
      <c r="B4012" s="0" t="n">
        <v>58</v>
      </c>
      <c r="C4012" s="0" t="n">
        <v>53</v>
      </c>
      <c r="D4012" s="0" t="n">
        <v>260</v>
      </c>
      <c r="E4012" s="0" t="n">
        <f aca="false">VLOOKUP(B4012,'Babblefish-APUMA'!$A$1:$B$86,2)</f>
        <v>90</v>
      </c>
      <c r="F4012" s="0" t="n">
        <f aca="false">IF(C4012&gt;1,IF(C4012&lt;99,VLOOKUP(C4012,'Babblefish-APUMA'!$A$1:$B$86,2),C4012),C4012)</f>
        <v>90</v>
      </c>
    </row>
    <row r="4013" customFormat="false" ht="12.75" hidden="false" customHeight="false" outlineLevel="0" collapsed="false">
      <c r="A4013" s="0" t="n">
        <f aca="false">B4013*1000+C4013</f>
        <v>58054</v>
      </c>
      <c r="B4013" s="0" t="n">
        <v>58</v>
      </c>
      <c r="C4013" s="0" t="n">
        <v>54</v>
      </c>
      <c r="D4013" s="0" t="n">
        <v>2288</v>
      </c>
      <c r="E4013" s="0" t="n">
        <f aca="false">VLOOKUP(B4013,'Babblefish-APUMA'!$A$1:$B$86,2)</f>
        <v>90</v>
      </c>
      <c r="F4013" s="0" t="n">
        <f aca="false">IF(C4013&gt;1,IF(C4013&lt;99,VLOOKUP(C4013,'Babblefish-APUMA'!$A$1:$B$86,2),C4013),C4013)</f>
        <v>90</v>
      </c>
    </row>
    <row r="4014" customFormat="false" ht="12.75" hidden="false" customHeight="false" outlineLevel="0" collapsed="false">
      <c r="A4014" s="0" t="n">
        <f aca="false">B4014*1000+C4014</f>
        <v>58055</v>
      </c>
      <c r="B4014" s="0" t="n">
        <v>58</v>
      </c>
      <c r="C4014" s="0" t="n">
        <v>55</v>
      </c>
      <c r="D4014" s="0" t="n">
        <v>338</v>
      </c>
      <c r="E4014" s="0" t="n">
        <f aca="false">VLOOKUP(B4014,'Babblefish-APUMA'!$A$1:$B$86,2)</f>
        <v>90</v>
      </c>
      <c r="F4014" s="0" t="n">
        <f aca="false">IF(C4014&gt;1,IF(C4014&lt;99,VLOOKUP(C4014,'Babblefish-APUMA'!$A$1:$B$86,2),C4014),C4014)</f>
        <v>90</v>
      </c>
    </row>
    <row r="4015" customFormat="false" ht="12.75" hidden="false" customHeight="false" outlineLevel="0" collapsed="false">
      <c r="A4015" s="0" t="n">
        <f aca="false">B4015*1000+C4015</f>
        <v>58056</v>
      </c>
      <c r="B4015" s="0" t="n">
        <v>58</v>
      </c>
      <c r="C4015" s="0" t="n">
        <v>56</v>
      </c>
      <c r="D4015" s="0" t="n">
        <v>273</v>
      </c>
      <c r="E4015" s="0" t="n">
        <f aca="false">VLOOKUP(B4015,'Babblefish-APUMA'!$A$1:$B$86,2)</f>
        <v>90</v>
      </c>
      <c r="F4015" s="0" t="n">
        <f aca="false">IF(C4015&gt;1,IF(C4015&lt;99,VLOOKUP(C4015,'Babblefish-APUMA'!$A$1:$B$86,2),C4015),C4015)</f>
        <v>90</v>
      </c>
    </row>
    <row r="4016" customFormat="false" ht="12.75" hidden="false" customHeight="false" outlineLevel="0" collapsed="false">
      <c r="A4016" s="0" t="n">
        <f aca="false">B4016*1000+C4016</f>
        <v>58057</v>
      </c>
      <c r="B4016" s="0" t="n">
        <v>58</v>
      </c>
      <c r="C4016" s="0" t="n">
        <v>57</v>
      </c>
      <c r="D4016" s="0" t="n">
        <v>234</v>
      </c>
      <c r="E4016" s="0" t="n">
        <f aca="false">VLOOKUP(B4016,'Babblefish-APUMA'!$A$1:$B$86,2)</f>
        <v>90</v>
      </c>
      <c r="F4016" s="0" t="n">
        <f aca="false">IF(C4016&gt;1,IF(C4016&lt;99,VLOOKUP(C4016,'Babblefish-APUMA'!$A$1:$B$86,2),C4016),C4016)</f>
        <v>90</v>
      </c>
    </row>
    <row r="4017" customFormat="false" ht="12.75" hidden="false" customHeight="false" outlineLevel="0" collapsed="false">
      <c r="A4017" s="0" t="n">
        <f aca="false">B4017*1000+C4017</f>
        <v>58058</v>
      </c>
      <c r="B4017" s="0" t="n">
        <v>58</v>
      </c>
      <c r="C4017" s="0" t="n">
        <v>58</v>
      </c>
      <c r="D4017" s="0" t="n">
        <v>7917</v>
      </c>
      <c r="E4017" s="0" t="n">
        <f aca="false">VLOOKUP(B4017,'Babblefish-APUMA'!$A$1:$B$86,2)</f>
        <v>90</v>
      </c>
      <c r="F4017" s="0" t="n">
        <f aca="false">IF(C4017&gt;1,IF(C4017&lt;99,VLOOKUP(C4017,'Babblefish-APUMA'!$A$1:$B$86,2),C4017),C4017)</f>
        <v>90</v>
      </c>
    </row>
    <row r="4018" customFormat="false" ht="12.75" hidden="false" customHeight="false" outlineLevel="0" collapsed="false">
      <c r="A4018" s="0" t="n">
        <f aca="false">B4018*1000+C4018</f>
        <v>58059</v>
      </c>
      <c r="B4018" s="0" t="n">
        <v>58</v>
      </c>
      <c r="C4018" s="0" t="n">
        <v>59</v>
      </c>
      <c r="D4018" s="0" t="n">
        <v>91</v>
      </c>
      <c r="E4018" s="0" t="n">
        <f aca="false">VLOOKUP(B4018,'Babblefish-APUMA'!$A$1:$B$86,2)</f>
        <v>90</v>
      </c>
      <c r="F4018" s="0" t="n">
        <f aca="false">IF(C4018&gt;1,IF(C4018&lt;99,VLOOKUP(C4018,'Babblefish-APUMA'!$A$1:$B$86,2),C4018),C4018)</f>
        <v>90</v>
      </c>
    </row>
    <row r="4019" customFormat="false" ht="12.75" hidden="false" customHeight="false" outlineLevel="0" collapsed="false">
      <c r="A4019" s="0" t="n">
        <f aca="false">B4019*1000+C4019</f>
        <v>58060</v>
      </c>
      <c r="B4019" s="0" t="n">
        <v>58</v>
      </c>
      <c r="C4019" s="0" t="n">
        <v>60</v>
      </c>
      <c r="D4019" s="0" t="n">
        <v>130</v>
      </c>
      <c r="E4019" s="0" t="n">
        <f aca="false">VLOOKUP(B4019,'Babblefish-APUMA'!$A$1:$B$86,2)</f>
        <v>90</v>
      </c>
      <c r="F4019" s="0" t="n">
        <f aca="false">IF(C4019&gt;1,IF(C4019&lt;99,VLOOKUP(C4019,'Babblefish-APUMA'!$A$1:$B$86,2),C4019),C4019)</f>
        <v>90</v>
      </c>
    </row>
    <row r="4020" customFormat="false" ht="12.75" hidden="false" customHeight="false" outlineLevel="0" collapsed="false">
      <c r="A4020" s="0" t="n">
        <f aca="false">B4020*1000+C4020</f>
        <v>58061</v>
      </c>
      <c r="B4020" s="0" t="n">
        <v>58</v>
      </c>
      <c r="C4020" s="0" t="n">
        <v>61</v>
      </c>
      <c r="D4020" s="0" t="n">
        <v>260</v>
      </c>
      <c r="E4020" s="0" t="n">
        <f aca="false">VLOOKUP(B4020,'Babblefish-APUMA'!$A$1:$B$86,2)</f>
        <v>90</v>
      </c>
      <c r="F4020" s="0" t="n">
        <f aca="false">IF(C4020&gt;1,IF(C4020&lt;99,VLOOKUP(C4020,'Babblefish-APUMA'!$A$1:$B$86,2),C4020),C4020)</f>
        <v>90</v>
      </c>
    </row>
    <row r="4021" customFormat="false" ht="12.75" hidden="false" customHeight="false" outlineLevel="0" collapsed="false">
      <c r="A4021" s="0" t="n">
        <f aca="false">B4021*1000+C4021</f>
        <v>58062</v>
      </c>
      <c r="B4021" s="0" t="n">
        <v>58</v>
      </c>
      <c r="C4021" s="0" t="n">
        <v>62</v>
      </c>
      <c r="D4021" s="0" t="n">
        <v>364</v>
      </c>
      <c r="E4021" s="0" t="n">
        <f aca="false">VLOOKUP(B4021,'Babblefish-APUMA'!$A$1:$B$86,2)</f>
        <v>90</v>
      </c>
      <c r="F4021" s="0" t="n">
        <f aca="false">IF(C4021&gt;1,IF(C4021&lt;99,VLOOKUP(C4021,'Babblefish-APUMA'!$A$1:$B$86,2),C4021),C4021)</f>
        <v>90</v>
      </c>
    </row>
    <row r="4022" customFormat="false" ht="12.75" hidden="false" customHeight="false" outlineLevel="0" collapsed="false">
      <c r="A4022" s="0" t="n">
        <f aca="false">B4022*1000+C4022</f>
        <v>58063</v>
      </c>
      <c r="B4022" s="0" t="n">
        <v>58</v>
      </c>
      <c r="C4022" s="0" t="n">
        <v>63</v>
      </c>
      <c r="D4022" s="0" t="n">
        <v>780</v>
      </c>
      <c r="E4022" s="0" t="n">
        <f aca="false">VLOOKUP(B4022,'Babblefish-APUMA'!$A$1:$B$86,2)</f>
        <v>90</v>
      </c>
      <c r="F4022" s="0" t="n">
        <f aca="false">IF(C4022&gt;1,IF(C4022&lt;99,VLOOKUP(C4022,'Babblefish-APUMA'!$A$1:$B$86,2),C4022),C4022)</f>
        <v>90</v>
      </c>
    </row>
    <row r="4023" customFormat="false" ht="12.75" hidden="false" customHeight="false" outlineLevel="0" collapsed="false">
      <c r="A4023" s="0" t="n">
        <f aca="false">B4023*1000+C4023</f>
        <v>58064</v>
      </c>
      <c r="B4023" s="0" t="n">
        <v>58</v>
      </c>
      <c r="C4023" s="0" t="n">
        <v>64</v>
      </c>
      <c r="D4023" s="0" t="n">
        <v>17537</v>
      </c>
      <c r="E4023" s="0" t="n">
        <f aca="false">VLOOKUP(B4023,'Babblefish-APUMA'!$A$1:$B$86,2)</f>
        <v>90</v>
      </c>
      <c r="F4023" s="0" t="n">
        <f aca="false">IF(C4023&gt;1,IF(C4023&lt;99,VLOOKUP(C4023,'Babblefish-APUMA'!$A$1:$B$86,2),C4023),C4023)</f>
        <v>90</v>
      </c>
    </row>
    <row r="4024" customFormat="false" ht="12.75" hidden="false" customHeight="false" outlineLevel="0" collapsed="false">
      <c r="A4024" s="0" t="n">
        <f aca="false">B4024*1000+C4024</f>
        <v>58065</v>
      </c>
      <c r="B4024" s="0" t="n">
        <v>58</v>
      </c>
      <c r="C4024" s="0" t="n">
        <v>65</v>
      </c>
      <c r="D4024" s="0" t="n">
        <v>6487</v>
      </c>
      <c r="E4024" s="0" t="n">
        <f aca="false">VLOOKUP(B4024,'Babblefish-APUMA'!$A$1:$B$86,2)</f>
        <v>90</v>
      </c>
      <c r="F4024" s="0" t="n">
        <f aca="false">IF(C4024&gt;1,IF(C4024&lt;99,VLOOKUP(C4024,'Babblefish-APUMA'!$A$1:$B$86,2),C4024),C4024)</f>
        <v>90</v>
      </c>
    </row>
    <row r="4025" customFormat="false" ht="12.75" hidden="false" customHeight="false" outlineLevel="0" collapsed="false">
      <c r="A4025" s="0" t="n">
        <f aca="false">B4025*1000+C4025</f>
        <v>58066</v>
      </c>
      <c r="B4025" s="0" t="n">
        <v>58</v>
      </c>
      <c r="C4025" s="0" t="n">
        <v>66</v>
      </c>
      <c r="D4025" s="0" t="n">
        <v>286</v>
      </c>
      <c r="E4025" s="0" t="n">
        <f aca="false">VLOOKUP(B4025,'Babblefish-APUMA'!$A$1:$B$86,2)</f>
        <v>90</v>
      </c>
      <c r="F4025" s="0" t="n">
        <f aca="false">IF(C4025&gt;1,IF(C4025&lt;99,VLOOKUP(C4025,'Babblefish-APUMA'!$A$1:$B$86,2),C4025),C4025)</f>
        <v>90</v>
      </c>
    </row>
    <row r="4026" customFormat="false" ht="12.75" hidden="false" customHeight="false" outlineLevel="0" collapsed="false">
      <c r="A4026" s="0" t="n">
        <f aca="false">B4026*1000+C4026</f>
        <v>58067</v>
      </c>
      <c r="B4026" s="0" t="n">
        <v>58</v>
      </c>
      <c r="C4026" s="0" t="n">
        <v>67</v>
      </c>
      <c r="D4026" s="0" t="n">
        <v>0</v>
      </c>
      <c r="E4026" s="0" t="n">
        <f aca="false">VLOOKUP(B4026,'Babblefish-APUMA'!$A$1:$B$86,2)</f>
        <v>90</v>
      </c>
      <c r="F4026" s="0" t="n">
        <f aca="false">IF(C4026&gt;1,IF(C4026&lt;99,VLOOKUP(C4026,'Babblefish-APUMA'!$A$1:$B$86,2),C4026),C4026)</f>
        <v>103</v>
      </c>
    </row>
    <row r="4027" customFormat="false" ht="12.75" hidden="false" customHeight="false" outlineLevel="0" collapsed="false">
      <c r="A4027" s="0" t="n">
        <f aca="false">B4027*1000+C4027</f>
        <v>58068</v>
      </c>
      <c r="B4027" s="0" t="n">
        <v>58</v>
      </c>
      <c r="C4027" s="0" t="n">
        <v>68</v>
      </c>
      <c r="D4027" s="0" t="n">
        <v>104</v>
      </c>
      <c r="E4027" s="0" t="n">
        <f aca="false">VLOOKUP(B4027,'Babblefish-APUMA'!$A$1:$B$86,2)</f>
        <v>90</v>
      </c>
      <c r="F4027" s="0" t="n">
        <f aca="false">IF(C4027&gt;1,IF(C4027&lt;99,VLOOKUP(C4027,'Babblefish-APUMA'!$A$1:$B$86,2),C4027),C4027)</f>
        <v>93</v>
      </c>
    </row>
    <row r="4028" customFormat="false" ht="12.75" hidden="false" customHeight="false" outlineLevel="0" collapsed="false">
      <c r="A4028" s="0" t="n">
        <f aca="false">B4028*1000+C4028</f>
        <v>58069</v>
      </c>
      <c r="B4028" s="0" t="n">
        <v>58</v>
      </c>
      <c r="C4028" s="0" t="n">
        <v>69</v>
      </c>
      <c r="D4028" s="0" t="n">
        <v>195</v>
      </c>
      <c r="E4028" s="0" t="n">
        <f aca="false">VLOOKUP(B4028,'Babblefish-APUMA'!$A$1:$B$86,2)</f>
        <v>90</v>
      </c>
      <c r="F4028" s="0" t="n">
        <f aca="false">IF(C4028&gt;1,IF(C4028&lt;99,VLOOKUP(C4028,'Babblefish-APUMA'!$A$1:$B$86,2),C4028),C4028)</f>
        <v>93</v>
      </c>
    </row>
    <row r="4029" customFormat="false" ht="12.75" hidden="false" customHeight="false" outlineLevel="0" collapsed="false">
      <c r="A4029" s="0" t="n">
        <f aca="false">B4029*1000+C4029</f>
        <v>58070</v>
      </c>
      <c r="B4029" s="0" t="n">
        <v>58</v>
      </c>
      <c r="C4029" s="0" t="n">
        <v>70</v>
      </c>
      <c r="D4029" s="0" t="n">
        <v>0</v>
      </c>
      <c r="E4029" s="0" t="n">
        <f aca="false">VLOOKUP(B4029,'Babblefish-APUMA'!$A$1:$B$86,2)</f>
        <v>90</v>
      </c>
      <c r="F4029" s="0" t="n">
        <f aca="false">IF(C4029&gt;1,IF(C4029&lt;99,VLOOKUP(C4029,'Babblefish-APUMA'!$A$1:$B$86,2),C4029),C4029)</f>
        <v>95</v>
      </c>
    </row>
    <row r="4030" customFormat="false" ht="12.75" hidden="false" customHeight="false" outlineLevel="0" collapsed="false">
      <c r="A4030" s="0" t="n">
        <f aca="false">B4030*1000+C4030</f>
        <v>58071</v>
      </c>
      <c r="B4030" s="0" t="n">
        <v>58</v>
      </c>
      <c r="C4030" s="0" t="n">
        <v>71</v>
      </c>
      <c r="D4030" s="0" t="n">
        <v>195</v>
      </c>
      <c r="E4030" s="0" t="n">
        <f aca="false">VLOOKUP(B4030,'Babblefish-APUMA'!$A$1:$B$86,2)</f>
        <v>90</v>
      </c>
      <c r="F4030" s="0" t="n">
        <f aca="false">IF(C4030&gt;1,IF(C4030&lt;99,VLOOKUP(C4030,'Babblefish-APUMA'!$A$1:$B$86,2),C4030),C4030)</f>
        <v>95</v>
      </c>
    </row>
    <row r="4031" customFormat="false" ht="12.75" hidden="false" customHeight="false" outlineLevel="0" collapsed="false">
      <c r="A4031" s="0" t="n">
        <f aca="false">B4031*1000+C4031</f>
        <v>58072</v>
      </c>
      <c r="B4031" s="0" t="n">
        <v>58</v>
      </c>
      <c r="C4031" s="0" t="n">
        <v>72</v>
      </c>
      <c r="D4031" s="0" t="n">
        <v>351</v>
      </c>
      <c r="E4031" s="0" t="n">
        <f aca="false">VLOOKUP(B4031,'Babblefish-APUMA'!$A$1:$B$86,2)</f>
        <v>90</v>
      </c>
      <c r="F4031" s="0" t="n">
        <f aca="false">IF(C4031&gt;1,IF(C4031&lt;99,VLOOKUP(C4031,'Babblefish-APUMA'!$A$1:$B$86,2),C4031),C4031)</f>
        <v>95</v>
      </c>
    </row>
    <row r="4032" customFormat="false" ht="12.75" hidden="false" customHeight="false" outlineLevel="0" collapsed="false">
      <c r="A4032" s="0" t="n">
        <f aca="false">B4032*1000+C4032</f>
        <v>58073</v>
      </c>
      <c r="B4032" s="0" t="n">
        <v>58</v>
      </c>
      <c r="C4032" s="0" t="n">
        <v>73</v>
      </c>
      <c r="D4032" s="0" t="n">
        <v>0</v>
      </c>
      <c r="E4032" s="0" t="n">
        <f aca="false">VLOOKUP(B4032,'Babblefish-APUMA'!$A$1:$B$86,2)</f>
        <v>90</v>
      </c>
      <c r="F4032" s="0" t="n">
        <f aca="false">IF(C4032&gt;1,IF(C4032&lt;99,VLOOKUP(C4032,'Babblefish-APUMA'!$A$1:$B$86,2),C4032),C4032)</f>
        <v>99</v>
      </c>
    </row>
    <row r="4033" customFormat="false" ht="12.75" hidden="false" customHeight="false" outlineLevel="0" collapsed="false">
      <c r="A4033" s="0" t="n">
        <f aca="false">B4033*1000+C4033</f>
        <v>58075</v>
      </c>
      <c r="B4033" s="0" t="n">
        <v>58</v>
      </c>
      <c r="C4033" s="0" t="n">
        <v>75</v>
      </c>
      <c r="D4033" s="0" t="n">
        <v>0</v>
      </c>
      <c r="E4033" s="0" t="n">
        <f aca="false">VLOOKUP(B4033,'Babblefish-APUMA'!$A$1:$B$86,2)</f>
        <v>90</v>
      </c>
      <c r="F4033" s="0" t="n">
        <f aca="false">IF(C4033&gt;1,IF(C4033&lt;99,VLOOKUP(C4033,'Babblefish-APUMA'!$A$1:$B$86,2),C4033),C4033)</f>
        <v>75</v>
      </c>
    </row>
    <row r="4034" customFormat="false" ht="12.75" hidden="false" customHeight="false" outlineLevel="0" collapsed="false">
      <c r="A4034" s="0" t="n">
        <f aca="false">B4034*1000+C4034</f>
        <v>58076</v>
      </c>
      <c r="B4034" s="0" t="n">
        <v>58</v>
      </c>
      <c r="C4034" s="0" t="n">
        <v>76</v>
      </c>
      <c r="D4034" s="0" t="n">
        <v>0</v>
      </c>
      <c r="E4034" s="0" t="n">
        <f aca="false">VLOOKUP(B4034,'Babblefish-APUMA'!$A$1:$B$86,2)</f>
        <v>90</v>
      </c>
      <c r="F4034" s="0" t="n">
        <f aca="false">IF(C4034&gt;1,IF(C4034&lt;99,VLOOKUP(C4034,'Babblefish-APUMA'!$A$1:$B$86,2),C4034),C4034)</f>
        <v>76</v>
      </c>
    </row>
    <row r="4035" customFormat="false" ht="12.75" hidden="false" customHeight="false" outlineLevel="0" collapsed="false">
      <c r="A4035" s="0" t="n">
        <f aca="false">B4035*1000+C4035</f>
        <v>58077</v>
      </c>
      <c r="B4035" s="0" t="n">
        <v>58</v>
      </c>
      <c r="C4035" s="0" t="n">
        <v>77</v>
      </c>
      <c r="D4035" s="0" t="n">
        <v>0</v>
      </c>
      <c r="E4035" s="0" t="n">
        <f aca="false">VLOOKUP(B4035,'Babblefish-APUMA'!$A$1:$B$86,2)</f>
        <v>90</v>
      </c>
      <c r="F4035" s="0" t="n">
        <f aca="false">IF(C4035&gt;1,IF(C4035&lt;99,VLOOKUP(C4035,'Babblefish-APUMA'!$A$1:$B$86,2),C4035),C4035)</f>
        <v>77</v>
      </c>
    </row>
    <row r="4036" customFormat="false" ht="12.75" hidden="false" customHeight="false" outlineLevel="0" collapsed="false">
      <c r="A4036" s="0" t="n">
        <f aca="false">B4036*1000+C4036</f>
        <v>58078</v>
      </c>
      <c r="B4036" s="0" t="n">
        <v>58</v>
      </c>
      <c r="C4036" s="0" t="n">
        <v>78</v>
      </c>
      <c r="D4036" s="0" t="n">
        <v>0</v>
      </c>
      <c r="E4036" s="0" t="n">
        <f aca="false">VLOOKUP(B4036,'Babblefish-APUMA'!$A$1:$B$86,2)</f>
        <v>90</v>
      </c>
      <c r="F4036" s="0" t="n">
        <f aca="false">IF(C4036&gt;1,IF(C4036&lt;99,VLOOKUP(C4036,'Babblefish-APUMA'!$A$1:$B$86,2),C4036),C4036)</f>
        <v>89</v>
      </c>
    </row>
    <row r="4037" customFormat="false" ht="12.75" hidden="false" customHeight="false" outlineLevel="0" collapsed="false">
      <c r="A4037" s="0" t="n">
        <f aca="false">B4037*1000+C4037</f>
        <v>58079</v>
      </c>
      <c r="B4037" s="0" t="n">
        <v>58</v>
      </c>
      <c r="C4037" s="0" t="n">
        <v>79</v>
      </c>
      <c r="D4037" s="0" t="n">
        <v>0</v>
      </c>
      <c r="E4037" s="0" t="n">
        <f aca="false">VLOOKUP(B4037,'Babblefish-APUMA'!$A$1:$B$86,2)</f>
        <v>90</v>
      </c>
      <c r="F4037" s="0" t="n">
        <f aca="false">IF(C4037&gt;1,IF(C4037&lt;99,VLOOKUP(C4037,'Babblefish-APUMA'!$A$1:$B$86,2),C4037),C4037)</f>
        <v>89</v>
      </c>
    </row>
    <row r="4038" customFormat="false" ht="12.75" hidden="false" customHeight="false" outlineLevel="0" collapsed="false">
      <c r="A4038" s="0" t="n">
        <f aca="false">B4038*1000+C4038</f>
        <v>58080</v>
      </c>
      <c r="B4038" s="0" t="n">
        <v>58</v>
      </c>
      <c r="C4038" s="0" t="n">
        <v>80</v>
      </c>
      <c r="D4038" s="0" t="n">
        <v>0</v>
      </c>
      <c r="E4038" s="0" t="n">
        <f aca="false">VLOOKUP(B4038,'Babblefish-APUMA'!$A$1:$B$86,2)</f>
        <v>90</v>
      </c>
      <c r="F4038" s="0" t="n">
        <f aca="false">IF(C4038&gt;1,IF(C4038&lt;99,VLOOKUP(C4038,'Babblefish-APUMA'!$A$1:$B$86,2),C4038),C4038)</f>
        <v>80</v>
      </c>
    </row>
    <row r="4039" customFormat="false" ht="12.75" hidden="false" customHeight="false" outlineLevel="0" collapsed="false">
      <c r="A4039" s="0" t="n">
        <f aca="false">B4039*1000+C4039</f>
        <v>58081</v>
      </c>
      <c r="B4039" s="0" t="n">
        <v>58</v>
      </c>
      <c r="C4039" s="0" t="n">
        <v>81</v>
      </c>
      <c r="D4039" s="0" t="n">
        <v>0</v>
      </c>
      <c r="E4039" s="0" t="n">
        <f aca="false">VLOOKUP(B4039,'Babblefish-APUMA'!$A$1:$B$86,2)</f>
        <v>90</v>
      </c>
      <c r="F4039" s="0" t="n">
        <f aca="false">IF(C4039&gt;1,IF(C4039&lt;99,VLOOKUP(C4039,'Babblefish-APUMA'!$A$1:$B$86,2),C4039),C4039)</f>
        <v>93</v>
      </c>
    </row>
    <row r="4040" customFormat="false" ht="12.75" hidden="false" customHeight="false" outlineLevel="0" collapsed="false">
      <c r="A4040" s="0" t="n">
        <f aca="false">B4040*1000+C4040</f>
        <v>58082</v>
      </c>
      <c r="B4040" s="0" t="n">
        <v>58</v>
      </c>
      <c r="C4040" s="0" t="n">
        <v>82</v>
      </c>
      <c r="D4040" s="0" t="n">
        <v>0</v>
      </c>
      <c r="E4040" s="0" t="n">
        <f aca="false">VLOOKUP(B4040,'Babblefish-APUMA'!$A$1:$B$86,2)</f>
        <v>90</v>
      </c>
      <c r="F4040" s="0" t="n">
        <f aca="false">IF(C4040&gt;1,IF(C4040&lt;99,VLOOKUP(C4040,'Babblefish-APUMA'!$A$1:$B$86,2),C4040),C4040)</f>
        <v>95</v>
      </c>
    </row>
    <row r="4041" customFormat="false" ht="12.75" hidden="false" customHeight="false" outlineLevel="0" collapsed="false">
      <c r="A4041" s="0" t="n">
        <f aca="false">B4041*1000+C4041</f>
        <v>58083</v>
      </c>
      <c r="B4041" s="0" t="n">
        <v>58</v>
      </c>
      <c r="C4041" s="0" t="n">
        <v>83</v>
      </c>
      <c r="D4041" s="0" t="n">
        <v>0</v>
      </c>
      <c r="E4041" s="0" t="n">
        <f aca="false">VLOOKUP(B4041,'Babblefish-APUMA'!$A$1:$B$86,2)</f>
        <v>90</v>
      </c>
      <c r="F4041" s="0" t="n">
        <f aca="false">IF(C4041&gt;1,IF(C4041&lt;99,VLOOKUP(C4041,'Babblefish-APUMA'!$A$1:$B$86,2),C4041),C4041)</f>
        <v>103</v>
      </c>
    </row>
    <row r="4042" customFormat="false" ht="12.75" hidden="false" customHeight="false" outlineLevel="0" collapsed="false">
      <c r="A4042" s="0" t="n">
        <f aca="false">B4042*1000+C4042</f>
        <v>58084</v>
      </c>
      <c r="B4042" s="0" t="n">
        <v>58</v>
      </c>
      <c r="C4042" s="0" t="n">
        <v>84</v>
      </c>
      <c r="D4042" s="0" t="n">
        <v>117</v>
      </c>
      <c r="E4042" s="0" t="n">
        <f aca="false">VLOOKUP(B4042,'Babblefish-APUMA'!$A$1:$B$86,2)</f>
        <v>90</v>
      </c>
      <c r="F4042" s="0" t="n">
        <f aca="false">IF(C4042&gt;1,IF(C4042&lt;99,VLOOKUP(C4042,'Babblefish-APUMA'!$A$1:$B$86,2),C4042),C4042)</f>
        <v>92</v>
      </c>
    </row>
    <row r="4043" customFormat="false" ht="12.75" hidden="false" customHeight="false" outlineLevel="0" collapsed="false">
      <c r="A4043" s="0" t="n">
        <f aca="false">B4043*1000+C4043</f>
        <v>58085</v>
      </c>
      <c r="B4043" s="0" t="n">
        <v>58</v>
      </c>
      <c r="C4043" s="0" t="n">
        <v>85</v>
      </c>
      <c r="D4043" s="0" t="n">
        <v>0</v>
      </c>
      <c r="E4043" s="0" t="n">
        <f aca="false">VLOOKUP(B4043,'Babblefish-APUMA'!$A$1:$B$86,2)</f>
        <v>90</v>
      </c>
      <c r="F4043" s="0" t="n">
        <f aca="false">IF(C4043&gt;1,IF(C4043&lt;99,VLOOKUP(C4043,'Babblefish-APUMA'!$A$1:$B$86,2),C4043),C4043)</f>
        <v>97</v>
      </c>
    </row>
    <row r="4044" customFormat="false" ht="12.75" hidden="false" customHeight="false" outlineLevel="0" collapsed="false">
      <c r="A4044" s="0" t="n">
        <f aca="false">B4044*1000+C4044</f>
        <v>58858</v>
      </c>
      <c r="B4044" s="0" t="n">
        <v>58</v>
      </c>
      <c r="C4044" s="0" t="n">
        <v>858</v>
      </c>
      <c r="D4044" s="0" t="n">
        <v>0</v>
      </c>
      <c r="E4044" s="0" t="n">
        <f aca="false">VLOOKUP(B4044,'Babblefish-APUMA'!$A$1:$B$86,2)</f>
        <v>90</v>
      </c>
      <c r="F4044" s="0" t="n">
        <f aca="false">IF(C4044&gt;1,IF(C4044&lt;99,VLOOKUP(C4044,'Babblefish-APUMA'!$A$1:$B$86,2),C4044),C4044)</f>
        <v>858</v>
      </c>
    </row>
    <row r="4045" customFormat="false" ht="12.75" hidden="false" customHeight="false" outlineLevel="0" collapsed="false">
      <c r="A4045" s="0" t="n">
        <f aca="false">B4045*1000+C4045</f>
        <v>58983</v>
      </c>
      <c r="B4045" s="0" t="n">
        <v>58</v>
      </c>
      <c r="C4045" s="0" t="n">
        <v>983</v>
      </c>
      <c r="D4045" s="0" t="n">
        <v>0</v>
      </c>
      <c r="E4045" s="0" t="n">
        <f aca="false">VLOOKUP(B4045,'Babblefish-APUMA'!$A$1:$B$86,2)</f>
        <v>90</v>
      </c>
      <c r="F4045" s="0" t="n">
        <f aca="false">IF(C4045&gt;1,IF(C4045&lt;99,VLOOKUP(C4045,'Babblefish-APUMA'!$A$1:$B$86,2),C4045),C4045)</f>
        <v>983</v>
      </c>
    </row>
    <row r="4046" customFormat="false" ht="12.75" hidden="false" customHeight="false" outlineLevel="0" collapsed="false">
      <c r="A4046" s="0" t="n">
        <f aca="false">B4046*1000+C4046</f>
        <v>58999</v>
      </c>
      <c r="B4046" s="0" t="n">
        <v>58</v>
      </c>
      <c r="C4046" s="0" t="n">
        <v>999</v>
      </c>
      <c r="D4046" s="0" t="n">
        <v>0</v>
      </c>
      <c r="E4046" s="0" t="n">
        <f aca="false">VLOOKUP(B4046,'Babblefish-APUMA'!$A$1:$B$86,2)</f>
        <v>90</v>
      </c>
      <c r="F4046" s="0" t="n">
        <f aca="false">IF(C4046&gt;1,IF(C4046&lt;99,VLOOKUP(C4046,'Babblefish-APUMA'!$A$1:$B$86,2),C4046),C4046)</f>
        <v>999</v>
      </c>
    </row>
    <row r="4047" customFormat="false" ht="12.75" hidden="false" customHeight="false" outlineLevel="0" collapsed="false">
      <c r="A4047" s="0" t="n">
        <f aca="false">B4047*1000+C4047</f>
        <v>59000</v>
      </c>
      <c r="B4047" s="0" t="n">
        <v>59</v>
      </c>
      <c r="C4047" s="0" t="n">
        <v>0</v>
      </c>
      <c r="D4047" s="0" t="n">
        <v>73723</v>
      </c>
      <c r="E4047" s="0" t="n">
        <f aca="false">VLOOKUP(B4047,'Babblefish-APUMA'!$A$1:$B$86,2)</f>
        <v>90</v>
      </c>
      <c r="F4047" s="0" t="n">
        <f aca="false">IF(C4047&gt;1,IF(C4047&lt;99,VLOOKUP(C4047,'Babblefish-APUMA'!$A$1:$B$86,2),C4047),C4047)</f>
        <v>0</v>
      </c>
    </row>
    <row r="4048" customFormat="false" ht="12.75" hidden="false" customHeight="false" outlineLevel="0" collapsed="false">
      <c r="A4048" s="0" t="n">
        <f aca="false">B4048*1000+C4048</f>
        <v>59001</v>
      </c>
      <c r="B4048" s="0" t="n">
        <v>59</v>
      </c>
      <c r="C4048" s="0" t="n">
        <v>1</v>
      </c>
      <c r="D4048" s="0" t="n">
        <v>0</v>
      </c>
      <c r="E4048" s="0" t="n">
        <f aca="false">VLOOKUP(B4048,'Babblefish-APUMA'!$A$1:$B$86,2)</f>
        <v>90</v>
      </c>
      <c r="F4048" s="0" t="n">
        <f aca="false">IF(C4048&gt;1,IF(C4048&lt;99,VLOOKUP(C4048,'Babblefish-APUMA'!$A$1:$B$86,2),C4048),C4048)</f>
        <v>1</v>
      </c>
    </row>
    <row r="4049" customFormat="false" ht="12.75" hidden="false" customHeight="false" outlineLevel="0" collapsed="false">
      <c r="A4049" s="0" t="n">
        <f aca="false">B4049*1000+C4049</f>
        <v>59002</v>
      </c>
      <c r="B4049" s="0" t="n">
        <v>59</v>
      </c>
      <c r="C4049" s="0" t="n">
        <v>2</v>
      </c>
      <c r="D4049" s="0" t="n">
        <v>0</v>
      </c>
      <c r="E4049" s="0" t="n">
        <f aca="false">VLOOKUP(B4049,'Babblefish-APUMA'!$A$1:$B$86,2)</f>
        <v>90</v>
      </c>
      <c r="F4049" s="0" t="n">
        <f aca="false">IF(C4049&gt;1,IF(C4049&lt;99,VLOOKUP(C4049,'Babblefish-APUMA'!$A$1:$B$86,2),C4049),C4049)</f>
        <v>2</v>
      </c>
    </row>
    <row r="4050" customFormat="false" ht="12.75" hidden="false" customHeight="false" outlineLevel="0" collapsed="false">
      <c r="A4050" s="0" t="n">
        <f aca="false">B4050*1000+C4050</f>
        <v>59003</v>
      </c>
      <c r="B4050" s="0" t="n">
        <v>59</v>
      </c>
      <c r="C4050" s="0" t="n">
        <v>3</v>
      </c>
      <c r="D4050" s="0" t="n">
        <v>0</v>
      </c>
      <c r="E4050" s="0" t="n">
        <f aca="false">VLOOKUP(B4050,'Babblefish-APUMA'!$A$1:$B$86,2)</f>
        <v>90</v>
      </c>
      <c r="F4050" s="0" t="n">
        <f aca="false">IF(C4050&gt;1,IF(C4050&lt;99,VLOOKUP(C4050,'Babblefish-APUMA'!$A$1:$B$86,2),C4050),C4050)</f>
        <v>3</v>
      </c>
    </row>
    <row r="4051" customFormat="false" ht="12.75" hidden="false" customHeight="false" outlineLevel="0" collapsed="false">
      <c r="A4051" s="0" t="n">
        <f aca="false">B4051*1000+C4051</f>
        <v>59004</v>
      </c>
      <c r="B4051" s="0" t="n">
        <v>59</v>
      </c>
      <c r="C4051" s="0" t="n">
        <v>4</v>
      </c>
      <c r="D4051" s="0" t="n">
        <v>0</v>
      </c>
      <c r="E4051" s="0" t="n">
        <f aca="false">VLOOKUP(B4051,'Babblefish-APUMA'!$A$1:$B$86,2)</f>
        <v>90</v>
      </c>
      <c r="F4051" s="0" t="n">
        <f aca="false">IF(C4051&gt;1,IF(C4051&lt;99,VLOOKUP(C4051,'Babblefish-APUMA'!$A$1:$B$86,2),C4051),C4051)</f>
        <v>4</v>
      </c>
    </row>
    <row r="4052" customFormat="false" ht="12.75" hidden="false" customHeight="false" outlineLevel="0" collapsed="false">
      <c r="A4052" s="0" t="n">
        <f aca="false">B4052*1000+C4052</f>
        <v>59005</v>
      </c>
      <c r="B4052" s="0" t="n">
        <v>59</v>
      </c>
      <c r="C4052" s="0" t="n">
        <v>5</v>
      </c>
      <c r="D4052" s="0" t="n">
        <v>0</v>
      </c>
      <c r="E4052" s="0" t="n">
        <f aca="false">VLOOKUP(B4052,'Babblefish-APUMA'!$A$1:$B$86,2)</f>
        <v>90</v>
      </c>
      <c r="F4052" s="0" t="n">
        <f aca="false">IF(C4052&gt;1,IF(C4052&lt;99,VLOOKUP(C4052,'Babblefish-APUMA'!$A$1:$B$86,2),C4052),C4052)</f>
        <v>5</v>
      </c>
    </row>
    <row r="4053" customFormat="false" ht="12.75" hidden="false" customHeight="false" outlineLevel="0" collapsed="false">
      <c r="A4053" s="0" t="n">
        <f aca="false">B4053*1000+C4053</f>
        <v>59006</v>
      </c>
      <c r="B4053" s="0" t="n">
        <v>59</v>
      </c>
      <c r="C4053" s="0" t="n">
        <v>6</v>
      </c>
      <c r="D4053" s="0" t="n">
        <v>0</v>
      </c>
      <c r="E4053" s="0" t="n">
        <f aca="false">VLOOKUP(B4053,'Babblefish-APUMA'!$A$1:$B$86,2)</f>
        <v>90</v>
      </c>
      <c r="F4053" s="0" t="n">
        <f aca="false">IF(C4053&gt;1,IF(C4053&lt;99,VLOOKUP(C4053,'Babblefish-APUMA'!$A$1:$B$86,2),C4053),C4053)</f>
        <v>6</v>
      </c>
    </row>
    <row r="4054" customFormat="false" ht="12.75" hidden="false" customHeight="false" outlineLevel="0" collapsed="false">
      <c r="A4054" s="0" t="n">
        <f aca="false">B4054*1000+C4054</f>
        <v>59007</v>
      </c>
      <c r="B4054" s="0" t="n">
        <v>59</v>
      </c>
      <c r="C4054" s="0" t="n">
        <v>7</v>
      </c>
      <c r="D4054" s="0" t="n">
        <v>0</v>
      </c>
      <c r="E4054" s="0" t="n">
        <f aca="false">VLOOKUP(B4054,'Babblefish-APUMA'!$A$1:$B$86,2)</f>
        <v>90</v>
      </c>
      <c r="F4054" s="0" t="n">
        <f aca="false">IF(C4054&gt;1,IF(C4054&lt;99,VLOOKUP(C4054,'Babblefish-APUMA'!$A$1:$B$86,2),C4054),C4054)</f>
        <v>7</v>
      </c>
    </row>
    <row r="4055" customFormat="false" ht="12.75" hidden="false" customHeight="false" outlineLevel="0" collapsed="false">
      <c r="A4055" s="0" t="n">
        <f aca="false">B4055*1000+C4055</f>
        <v>59008</v>
      </c>
      <c r="B4055" s="0" t="n">
        <v>59</v>
      </c>
      <c r="C4055" s="0" t="n">
        <v>8</v>
      </c>
      <c r="D4055" s="0" t="n">
        <v>0</v>
      </c>
      <c r="E4055" s="0" t="n">
        <f aca="false">VLOOKUP(B4055,'Babblefish-APUMA'!$A$1:$B$86,2)</f>
        <v>90</v>
      </c>
      <c r="F4055" s="0" t="n">
        <f aca="false">IF(C4055&gt;1,IF(C4055&lt;99,VLOOKUP(C4055,'Babblefish-APUMA'!$A$1:$B$86,2),C4055),C4055)</f>
        <v>8</v>
      </c>
    </row>
    <row r="4056" customFormat="false" ht="12.75" hidden="false" customHeight="false" outlineLevel="0" collapsed="false">
      <c r="A4056" s="0" t="n">
        <f aca="false">B4056*1000+C4056</f>
        <v>59009</v>
      </c>
      <c r="B4056" s="0" t="n">
        <v>59</v>
      </c>
      <c r="C4056" s="0" t="n">
        <v>9</v>
      </c>
      <c r="D4056" s="0" t="n">
        <v>0</v>
      </c>
      <c r="E4056" s="0" t="n">
        <f aca="false">VLOOKUP(B4056,'Babblefish-APUMA'!$A$1:$B$86,2)</f>
        <v>90</v>
      </c>
      <c r="F4056" s="0" t="n">
        <f aca="false">IF(C4056&gt;1,IF(C4056&lt;99,VLOOKUP(C4056,'Babblefish-APUMA'!$A$1:$B$86,2),C4056),C4056)</f>
        <v>9</v>
      </c>
    </row>
    <row r="4057" customFormat="false" ht="12.75" hidden="false" customHeight="false" outlineLevel="0" collapsed="false">
      <c r="A4057" s="0" t="n">
        <f aca="false">B4057*1000+C4057</f>
        <v>59010</v>
      </c>
      <c r="B4057" s="0" t="n">
        <v>59</v>
      </c>
      <c r="C4057" s="0" t="n">
        <v>10</v>
      </c>
      <c r="D4057" s="0" t="n">
        <v>0</v>
      </c>
      <c r="E4057" s="0" t="n">
        <f aca="false">VLOOKUP(B4057,'Babblefish-APUMA'!$A$1:$B$86,2)</f>
        <v>90</v>
      </c>
      <c r="F4057" s="0" t="n">
        <f aca="false">IF(C4057&gt;1,IF(C4057&lt;99,VLOOKUP(C4057,'Babblefish-APUMA'!$A$1:$B$86,2),C4057),C4057)</f>
        <v>10</v>
      </c>
    </row>
    <row r="4058" customFormat="false" ht="12.75" hidden="false" customHeight="false" outlineLevel="0" collapsed="false">
      <c r="A4058" s="0" t="n">
        <f aca="false">B4058*1000+C4058</f>
        <v>59011</v>
      </c>
      <c r="B4058" s="0" t="n">
        <v>59</v>
      </c>
      <c r="C4058" s="0" t="n">
        <v>11</v>
      </c>
      <c r="D4058" s="0" t="n">
        <v>0</v>
      </c>
      <c r="E4058" s="0" t="n">
        <f aca="false">VLOOKUP(B4058,'Babblefish-APUMA'!$A$1:$B$86,2)</f>
        <v>90</v>
      </c>
      <c r="F4058" s="0" t="n">
        <f aca="false">IF(C4058&gt;1,IF(C4058&lt;99,VLOOKUP(C4058,'Babblefish-APUMA'!$A$1:$B$86,2),C4058),C4058)</f>
        <v>11</v>
      </c>
    </row>
    <row r="4059" customFormat="false" ht="12.75" hidden="false" customHeight="false" outlineLevel="0" collapsed="false">
      <c r="A4059" s="0" t="n">
        <f aca="false">B4059*1000+C4059</f>
        <v>59012</v>
      </c>
      <c r="B4059" s="0" t="n">
        <v>59</v>
      </c>
      <c r="C4059" s="0" t="n">
        <v>12</v>
      </c>
      <c r="D4059" s="0" t="n">
        <v>0</v>
      </c>
      <c r="E4059" s="0" t="n">
        <f aca="false">VLOOKUP(B4059,'Babblefish-APUMA'!$A$1:$B$86,2)</f>
        <v>90</v>
      </c>
      <c r="F4059" s="0" t="n">
        <f aca="false">IF(C4059&gt;1,IF(C4059&lt;99,VLOOKUP(C4059,'Babblefish-APUMA'!$A$1:$B$86,2),C4059),C4059)</f>
        <v>12</v>
      </c>
    </row>
    <row r="4060" customFormat="false" ht="12.75" hidden="false" customHeight="false" outlineLevel="0" collapsed="false">
      <c r="A4060" s="0" t="n">
        <f aca="false">B4060*1000+C4060</f>
        <v>59013</v>
      </c>
      <c r="B4060" s="0" t="n">
        <v>59</v>
      </c>
      <c r="C4060" s="0" t="n">
        <v>13</v>
      </c>
      <c r="D4060" s="0" t="n">
        <v>0</v>
      </c>
      <c r="E4060" s="0" t="n">
        <f aca="false">VLOOKUP(B4060,'Babblefish-APUMA'!$A$1:$B$86,2)</f>
        <v>90</v>
      </c>
      <c r="F4060" s="0" t="n">
        <f aca="false">IF(C4060&gt;1,IF(C4060&lt;99,VLOOKUP(C4060,'Babblefish-APUMA'!$A$1:$B$86,2),C4060),C4060)</f>
        <v>100</v>
      </c>
    </row>
    <row r="4061" customFormat="false" ht="12.75" hidden="false" customHeight="false" outlineLevel="0" collapsed="false">
      <c r="A4061" s="0" t="n">
        <f aca="false">B4061*1000+C4061</f>
        <v>59014</v>
      </c>
      <c r="B4061" s="0" t="n">
        <v>59</v>
      </c>
      <c r="C4061" s="0" t="n">
        <v>14</v>
      </c>
      <c r="D4061" s="0" t="n">
        <v>0</v>
      </c>
      <c r="E4061" s="0" t="n">
        <f aca="false">VLOOKUP(B4061,'Babblefish-APUMA'!$A$1:$B$86,2)</f>
        <v>90</v>
      </c>
      <c r="F4061" s="0" t="n">
        <f aca="false">IF(C4061&gt;1,IF(C4061&lt;99,VLOOKUP(C4061,'Babblefish-APUMA'!$A$1:$B$86,2),C4061),C4061)</f>
        <v>100</v>
      </c>
    </row>
    <row r="4062" customFormat="false" ht="12.75" hidden="false" customHeight="false" outlineLevel="0" collapsed="false">
      <c r="A4062" s="0" t="n">
        <f aca="false">B4062*1000+C4062</f>
        <v>59015</v>
      </c>
      <c r="B4062" s="0" t="n">
        <v>59</v>
      </c>
      <c r="C4062" s="0" t="n">
        <v>15</v>
      </c>
      <c r="D4062" s="0" t="n">
        <v>0</v>
      </c>
      <c r="E4062" s="0" t="n">
        <f aca="false">VLOOKUP(B4062,'Babblefish-APUMA'!$A$1:$B$86,2)</f>
        <v>90</v>
      </c>
      <c r="F4062" s="0" t="n">
        <f aca="false">IF(C4062&gt;1,IF(C4062&lt;99,VLOOKUP(C4062,'Babblefish-APUMA'!$A$1:$B$86,2),C4062),C4062)</f>
        <v>15</v>
      </c>
    </row>
    <row r="4063" customFormat="false" ht="12.75" hidden="false" customHeight="false" outlineLevel="0" collapsed="false">
      <c r="A4063" s="0" t="n">
        <f aca="false">B4063*1000+C4063</f>
        <v>59016</v>
      </c>
      <c r="B4063" s="0" t="n">
        <v>59</v>
      </c>
      <c r="C4063" s="0" t="n">
        <v>16</v>
      </c>
      <c r="D4063" s="0" t="n">
        <v>0</v>
      </c>
      <c r="E4063" s="0" t="n">
        <f aca="false">VLOOKUP(B4063,'Babblefish-APUMA'!$A$1:$B$86,2)</f>
        <v>90</v>
      </c>
      <c r="F4063" s="0" t="n">
        <f aca="false">IF(C4063&gt;1,IF(C4063&lt;99,VLOOKUP(C4063,'Babblefish-APUMA'!$A$1:$B$86,2),C4063),C4063)</f>
        <v>99</v>
      </c>
    </row>
    <row r="4064" customFormat="false" ht="12.75" hidden="false" customHeight="false" outlineLevel="0" collapsed="false">
      <c r="A4064" s="0" t="n">
        <f aca="false">B4064*1000+C4064</f>
        <v>59017</v>
      </c>
      <c r="B4064" s="0" t="n">
        <v>59</v>
      </c>
      <c r="C4064" s="0" t="n">
        <v>17</v>
      </c>
      <c r="D4064" s="0" t="n">
        <v>0</v>
      </c>
      <c r="E4064" s="0" t="n">
        <f aca="false">VLOOKUP(B4064,'Babblefish-APUMA'!$A$1:$B$86,2)</f>
        <v>90</v>
      </c>
      <c r="F4064" s="0" t="n">
        <f aca="false">IF(C4064&gt;1,IF(C4064&lt;99,VLOOKUP(C4064,'Babblefish-APUMA'!$A$1:$B$86,2),C4064),C4064)</f>
        <v>87</v>
      </c>
    </row>
    <row r="4065" customFormat="false" ht="12.75" hidden="false" customHeight="false" outlineLevel="0" collapsed="false">
      <c r="A4065" s="0" t="n">
        <f aca="false">B4065*1000+C4065</f>
        <v>59018</v>
      </c>
      <c r="B4065" s="0" t="n">
        <v>59</v>
      </c>
      <c r="C4065" s="0" t="n">
        <v>18</v>
      </c>
      <c r="D4065" s="0" t="n">
        <v>0</v>
      </c>
      <c r="E4065" s="0" t="n">
        <f aca="false">VLOOKUP(B4065,'Babblefish-APUMA'!$A$1:$B$86,2)</f>
        <v>90</v>
      </c>
      <c r="F4065" s="0" t="n">
        <f aca="false">IF(C4065&gt;1,IF(C4065&lt;99,VLOOKUP(C4065,'Babblefish-APUMA'!$A$1:$B$86,2),C4065),C4065)</f>
        <v>87</v>
      </c>
    </row>
    <row r="4066" customFormat="false" ht="12.75" hidden="false" customHeight="false" outlineLevel="0" collapsed="false">
      <c r="A4066" s="0" t="n">
        <f aca="false">B4066*1000+C4066</f>
        <v>59019</v>
      </c>
      <c r="B4066" s="0" t="n">
        <v>59</v>
      </c>
      <c r="C4066" s="0" t="n">
        <v>19</v>
      </c>
      <c r="D4066" s="0" t="n">
        <v>0</v>
      </c>
      <c r="E4066" s="0" t="n">
        <f aca="false">VLOOKUP(B4066,'Babblefish-APUMA'!$A$1:$B$86,2)</f>
        <v>90</v>
      </c>
      <c r="F4066" s="0" t="n">
        <f aca="false">IF(C4066&gt;1,IF(C4066&lt;99,VLOOKUP(C4066,'Babblefish-APUMA'!$A$1:$B$86,2),C4066),C4066)</f>
        <v>19</v>
      </c>
    </row>
    <row r="4067" customFormat="false" ht="12.75" hidden="false" customHeight="false" outlineLevel="0" collapsed="false">
      <c r="A4067" s="0" t="n">
        <f aca="false">B4067*1000+C4067</f>
        <v>59020</v>
      </c>
      <c r="B4067" s="0" t="n">
        <v>59</v>
      </c>
      <c r="C4067" s="0" t="n">
        <v>20</v>
      </c>
      <c r="D4067" s="0" t="n">
        <v>0</v>
      </c>
      <c r="E4067" s="0" t="n">
        <f aca="false">VLOOKUP(B4067,'Babblefish-APUMA'!$A$1:$B$86,2)</f>
        <v>90</v>
      </c>
      <c r="F4067" s="0" t="n">
        <f aca="false">IF(C4067&gt;1,IF(C4067&lt;99,VLOOKUP(C4067,'Babblefish-APUMA'!$A$1:$B$86,2),C4067),C4067)</f>
        <v>86</v>
      </c>
    </row>
    <row r="4068" customFormat="false" ht="12.75" hidden="false" customHeight="false" outlineLevel="0" collapsed="false">
      <c r="A4068" s="0" t="n">
        <f aca="false">B4068*1000+C4068</f>
        <v>59021</v>
      </c>
      <c r="B4068" s="0" t="n">
        <v>59</v>
      </c>
      <c r="C4068" s="0" t="n">
        <v>21</v>
      </c>
      <c r="D4068" s="0" t="n">
        <v>0</v>
      </c>
      <c r="E4068" s="0" t="n">
        <f aca="false">VLOOKUP(B4068,'Babblefish-APUMA'!$A$1:$B$86,2)</f>
        <v>90</v>
      </c>
      <c r="F4068" s="0" t="n">
        <f aca="false">IF(C4068&gt;1,IF(C4068&lt;99,VLOOKUP(C4068,'Babblefish-APUMA'!$A$1:$B$86,2),C4068),C4068)</f>
        <v>86</v>
      </c>
    </row>
    <row r="4069" customFormat="false" ht="12.75" hidden="false" customHeight="false" outlineLevel="0" collapsed="false">
      <c r="A4069" s="0" t="n">
        <f aca="false">B4069*1000+C4069</f>
        <v>59022</v>
      </c>
      <c r="B4069" s="0" t="n">
        <v>59</v>
      </c>
      <c r="C4069" s="0" t="n">
        <v>22</v>
      </c>
      <c r="D4069" s="0" t="n">
        <v>0</v>
      </c>
      <c r="E4069" s="0" t="n">
        <f aca="false">VLOOKUP(B4069,'Babblefish-APUMA'!$A$1:$B$86,2)</f>
        <v>90</v>
      </c>
      <c r="F4069" s="0" t="n">
        <f aca="false">IF(C4069&gt;1,IF(C4069&lt;99,VLOOKUP(C4069,'Babblefish-APUMA'!$A$1:$B$86,2),C4069),C4069)</f>
        <v>22</v>
      </c>
    </row>
    <row r="4070" customFormat="false" ht="12.75" hidden="false" customHeight="false" outlineLevel="0" collapsed="false">
      <c r="A4070" s="0" t="n">
        <f aca="false">B4070*1000+C4070</f>
        <v>59023</v>
      </c>
      <c r="B4070" s="0" t="n">
        <v>59</v>
      </c>
      <c r="C4070" s="0" t="n">
        <v>23</v>
      </c>
      <c r="D4070" s="0" t="n">
        <v>0</v>
      </c>
      <c r="E4070" s="0" t="n">
        <f aca="false">VLOOKUP(B4070,'Babblefish-APUMA'!$A$1:$B$86,2)</f>
        <v>90</v>
      </c>
      <c r="F4070" s="0" t="n">
        <f aca="false">IF(C4070&gt;1,IF(C4070&lt;99,VLOOKUP(C4070,'Babblefish-APUMA'!$A$1:$B$86,2),C4070),C4070)</f>
        <v>97</v>
      </c>
    </row>
    <row r="4071" customFormat="false" ht="12.75" hidden="false" customHeight="false" outlineLevel="0" collapsed="false">
      <c r="A4071" s="0" t="n">
        <f aca="false">B4071*1000+C4071</f>
        <v>59024</v>
      </c>
      <c r="B4071" s="0" t="n">
        <v>59</v>
      </c>
      <c r="C4071" s="0" t="n">
        <v>24</v>
      </c>
      <c r="D4071" s="0" t="n">
        <v>0</v>
      </c>
      <c r="E4071" s="0" t="n">
        <f aca="false">VLOOKUP(B4071,'Babblefish-APUMA'!$A$1:$B$86,2)</f>
        <v>90</v>
      </c>
      <c r="F4071" s="0" t="n">
        <f aca="false">IF(C4071&gt;1,IF(C4071&lt;99,VLOOKUP(C4071,'Babblefish-APUMA'!$A$1:$B$86,2),C4071),C4071)</f>
        <v>101</v>
      </c>
    </row>
    <row r="4072" customFormat="false" ht="12.75" hidden="false" customHeight="false" outlineLevel="0" collapsed="false">
      <c r="A4072" s="0" t="n">
        <f aca="false">B4072*1000+C4072</f>
        <v>59025</v>
      </c>
      <c r="B4072" s="0" t="n">
        <v>59</v>
      </c>
      <c r="C4072" s="0" t="n">
        <v>25</v>
      </c>
      <c r="D4072" s="0" t="n">
        <v>0</v>
      </c>
      <c r="E4072" s="0" t="n">
        <f aca="false">VLOOKUP(B4072,'Babblefish-APUMA'!$A$1:$B$86,2)</f>
        <v>90</v>
      </c>
      <c r="F4072" s="0" t="n">
        <f aca="false">IF(C4072&gt;1,IF(C4072&lt;99,VLOOKUP(C4072,'Babblefish-APUMA'!$A$1:$B$86,2),C4072),C4072)</f>
        <v>101</v>
      </c>
    </row>
    <row r="4073" customFormat="false" ht="12.75" hidden="false" customHeight="false" outlineLevel="0" collapsed="false">
      <c r="A4073" s="0" t="n">
        <f aca="false">B4073*1000+C4073</f>
        <v>59026</v>
      </c>
      <c r="B4073" s="0" t="n">
        <v>59</v>
      </c>
      <c r="C4073" s="0" t="n">
        <v>26</v>
      </c>
      <c r="D4073" s="0" t="n">
        <v>0</v>
      </c>
      <c r="E4073" s="0" t="n">
        <f aca="false">VLOOKUP(B4073,'Babblefish-APUMA'!$A$1:$B$86,2)</f>
        <v>90</v>
      </c>
      <c r="F4073" s="0" t="n">
        <f aca="false">IF(C4073&gt;1,IF(C4073&lt;99,VLOOKUP(C4073,'Babblefish-APUMA'!$A$1:$B$86,2),C4073),C4073)</f>
        <v>26</v>
      </c>
    </row>
    <row r="4074" customFormat="false" ht="12.75" hidden="false" customHeight="false" outlineLevel="0" collapsed="false">
      <c r="A4074" s="0" t="n">
        <f aca="false">B4074*1000+C4074</f>
        <v>59027</v>
      </c>
      <c r="B4074" s="0" t="n">
        <v>59</v>
      </c>
      <c r="C4074" s="0" t="n">
        <v>27</v>
      </c>
      <c r="D4074" s="0" t="n">
        <v>0</v>
      </c>
      <c r="E4074" s="0" t="n">
        <f aca="false">VLOOKUP(B4074,'Babblefish-APUMA'!$A$1:$B$86,2)</f>
        <v>90</v>
      </c>
      <c r="F4074" s="0" t="n">
        <f aca="false">IF(C4074&gt;1,IF(C4074&lt;99,VLOOKUP(C4074,'Babblefish-APUMA'!$A$1:$B$86,2),C4074),C4074)</f>
        <v>27</v>
      </c>
    </row>
    <row r="4075" customFormat="false" ht="12.75" hidden="false" customHeight="false" outlineLevel="0" collapsed="false">
      <c r="A4075" s="0" t="n">
        <f aca="false">B4075*1000+C4075</f>
        <v>59028</v>
      </c>
      <c r="B4075" s="0" t="n">
        <v>59</v>
      </c>
      <c r="C4075" s="0" t="n">
        <v>28</v>
      </c>
      <c r="D4075" s="0" t="n">
        <v>0</v>
      </c>
      <c r="E4075" s="0" t="n">
        <f aca="false">VLOOKUP(B4075,'Babblefish-APUMA'!$A$1:$B$86,2)</f>
        <v>90</v>
      </c>
      <c r="F4075" s="0" t="n">
        <f aca="false">IF(C4075&gt;1,IF(C4075&lt;99,VLOOKUP(C4075,'Babblefish-APUMA'!$A$1:$B$86,2),C4075),C4075)</f>
        <v>94</v>
      </c>
    </row>
    <row r="4076" customFormat="false" ht="12.75" hidden="false" customHeight="false" outlineLevel="0" collapsed="false">
      <c r="A4076" s="0" t="n">
        <f aca="false">B4076*1000+C4076</f>
        <v>59029</v>
      </c>
      <c r="B4076" s="0" t="n">
        <v>59</v>
      </c>
      <c r="C4076" s="0" t="n">
        <v>29</v>
      </c>
      <c r="D4076" s="0" t="n">
        <v>0</v>
      </c>
      <c r="E4076" s="0" t="n">
        <f aca="false">VLOOKUP(B4076,'Babblefish-APUMA'!$A$1:$B$86,2)</f>
        <v>90</v>
      </c>
      <c r="F4076" s="0" t="n">
        <f aca="false">IF(C4076&gt;1,IF(C4076&lt;99,VLOOKUP(C4076,'Babblefish-APUMA'!$A$1:$B$86,2),C4076),C4076)</f>
        <v>94</v>
      </c>
    </row>
    <row r="4077" customFormat="false" ht="12.75" hidden="false" customHeight="false" outlineLevel="0" collapsed="false">
      <c r="A4077" s="0" t="n">
        <f aca="false">B4077*1000+C4077</f>
        <v>59030</v>
      </c>
      <c r="B4077" s="0" t="n">
        <v>59</v>
      </c>
      <c r="C4077" s="0" t="n">
        <v>30</v>
      </c>
      <c r="D4077" s="0" t="n">
        <v>0</v>
      </c>
      <c r="E4077" s="0" t="n">
        <f aca="false">VLOOKUP(B4077,'Babblefish-APUMA'!$A$1:$B$86,2)</f>
        <v>90</v>
      </c>
      <c r="F4077" s="0" t="n">
        <f aca="false">IF(C4077&gt;1,IF(C4077&lt;99,VLOOKUP(C4077,'Babblefish-APUMA'!$A$1:$B$86,2),C4077),C4077)</f>
        <v>30</v>
      </c>
    </row>
    <row r="4078" customFormat="false" ht="12.75" hidden="false" customHeight="false" outlineLevel="0" collapsed="false">
      <c r="A4078" s="0" t="n">
        <f aca="false">B4078*1000+C4078</f>
        <v>59031</v>
      </c>
      <c r="B4078" s="0" t="n">
        <v>59</v>
      </c>
      <c r="C4078" s="0" t="n">
        <v>31</v>
      </c>
      <c r="D4078" s="0" t="n">
        <v>0</v>
      </c>
      <c r="E4078" s="0" t="n">
        <f aca="false">VLOOKUP(B4078,'Babblefish-APUMA'!$A$1:$B$86,2)</f>
        <v>90</v>
      </c>
      <c r="F4078" s="0" t="n">
        <f aca="false">IF(C4078&gt;1,IF(C4078&lt;99,VLOOKUP(C4078,'Babblefish-APUMA'!$A$1:$B$86,2),C4078),C4078)</f>
        <v>31</v>
      </c>
    </row>
    <row r="4079" customFormat="false" ht="12.75" hidden="false" customHeight="false" outlineLevel="0" collapsed="false">
      <c r="A4079" s="0" t="n">
        <f aca="false">B4079*1000+C4079</f>
        <v>59032</v>
      </c>
      <c r="B4079" s="0" t="n">
        <v>59</v>
      </c>
      <c r="C4079" s="0" t="n">
        <v>32</v>
      </c>
      <c r="D4079" s="0" t="n">
        <v>0</v>
      </c>
      <c r="E4079" s="0" t="n">
        <f aca="false">VLOOKUP(B4079,'Babblefish-APUMA'!$A$1:$B$86,2)</f>
        <v>90</v>
      </c>
      <c r="F4079" s="0" t="n">
        <f aca="false">IF(C4079&gt;1,IF(C4079&lt;99,VLOOKUP(C4079,'Babblefish-APUMA'!$A$1:$B$86,2),C4079),C4079)</f>
        <v>32</v>
      </c>
    </row>
    <row r="4080" customFormat="false" ht="12.75" hidden="false" customHeight="false" outlineLevel="0" collapsed="false">
      <c r="A4080" s="0" t="n">
        <f aca="false">B4080*1000+C4080</f>
        <v>59033</v>
      </c>
      <c r="B4080" s="0" t="n">
        <v>59</v>
      </c>
      <c r="C4080" s="0" t="n">
        <v>33</v>
      </c>
      <c r="D4080" s="0" t="n">
        <v>0</v>
      </c>
      <c r="E4080" s="0" t="n">
        <f aca="false">VLOOKUP(B4080,'Babblefish-APUMA'!$A$1:$B$86,2)</f>
        <v>90</v>
      </c>
      <c r="F4080" s="0" t="n">
        <f aca="false">IF(C4080&gt;1,IF(C4080&lt;99,VLOOKUP(C4080,'Babblefish-APUMA'!$A$1:$B$86,2),C4080),C4080)</f>
        <v>96</v>
      </c>
    </row>
    <row r="4081" customFormat="false" ht="12.75" hidden="false" customHeight="false" outlineLevel="0" collapsed="false">
      <c r="A4081" s="0" t="n">
        <f aca="false">B4081*1000+C4081</f>
        <v>59034</v>
      </c>
      <c r="B4081" s="0" t="n">
        <v>59</v>
      </c>
      <c r="C4081" s="0" t="n">
        <v>34</v>
      </c>
      <c r="D4081" s="0" t="n">
        <v>0</v>
      </c>
      <c r="E4081" s="0" t="n">
        <f aca="false">VLOOKUP(B4081,'Babblefish-APUMA'!$A$1:$B$86,2)</f>
        <v>90</v>
      </c>
      <c r="F4081" s="0" t="n">
        <f aca="false">IF(C4081&gt;1,IF(C4081&lt;99,VLOOKUP(C4081,'Babblefish-APUMA'!$A$1:$B$86,2),C4081),C4081)</f>
        <v>96</v>
      </c>
    </row>
    <row r="4082" customFormat="false" ht="12.75" hidden="false" customHeight="false" outlineLevel="0" collapsed="false">
      <c r="A4082" s="0" t="n">
        <f aca="false">B4082*1000+C4082</f>
        <v>59035</v>
      </c>
      <c r="B4082" s="0" t="n">
        <v>59</v>
      </c>
      <c r="C4082" s="0" t="n">
        <v>35</v>
      </c>
      <c r="D4082" s="0" t="n">
        <v>52</v>
      </c>
      <c r="E4082" s="0" t="n">
        <f aca="false">VLOOKUP(B4082,'Babblefish-APUMA'!$A$1:$B$86,2)</f>
        <v>90</v>
      </c>
      <c r="F4082" s="0" t="n">
        <f aca="false">IF(C4082&gt;1,IF(C4082&lt;99,VLOOKUP(C4082,'Babblefish-APUMA'!$A$1:$B$86,2),C4082),C4082)</f>
        <v>96</v>
      </c>
    </row>
    <row r="4083" customFormat="false" ht="12.75" hidden="false" customHeight="false" outlineLevel="0" collapsed="false">
      <c r="A4083" s="0" t="n">
        <f aca="false">B4083*1000+C4083</f>
        <v>59036</v>
      </c>
      <c r="B4083" s="0" t="n">
        <v>59</v>
      </c>
      <c r="C4083" s="0" t="n">
        <v>36</v>
      </c>
      <c r="D4083" s="0" t="n">
        <v>0</v>
      </c>
      <c r="E4083" s="0" t="n">
        <f aca="false">VLOOKUP(B4083,'Babblefish-APUMA'!$A$1:$B$86,2)</f>
        <v>90</v>
      </c>
      <c r="F4083" s="0" t="n">
        <f aca="false">IF(C4083&gt;1,IF(C4083&lt;99,VLOOKUP(C4083,'Babblefish-APUMA'!$A$1:$B$86,2),C4083),C4083)</f>
        <v>96</v>
      </c>
    </row>
    <row r="4084" customFormat="false" ht="12.75" hidden="false" customHeight="false" outlineLevel="0" collapsed="false">
      <c r="A4084" s="0" t="n">
        <f aca="false">B4084*1000+C4084</f>
        <v>59037</v>
      </c>
      <c r="B4084" s="0" t="n">
        <v>59</v>
      </c>
      <c r="C4084" s="0" t="n">
        <v>37</v>
      </c>
      <c r="D4084" s="0" t="n">
        <v>143</v>
      </c>
      <c r="E4084" s="0" t="n">
        <f aca="false">VLOOKUP(B4084,'Babblefish-APUMA'!$A$1:$B$86,2)</f>
        <v>90</v>
      </c>
      <c r="F4084" s="0" t="n">
        <f aca="false">IF(C4084&gt;1,IF(C4084&lt;99,VLOOKUP(C4084,'Babblefish-APUMA'!$A$1:$B$86,2),C4084),C4084)</f>
        <v>96</v>
      </c>
    </row>
    <row r="4085" customFormat="false" ht="12.75" hidden="false" customHeight="false" outlineLevel="0" collapsed="false">
      <c r="A4085" s="0" t="n">
        <f aca="false">B4085*1000+C4085</f>
        <v>59038</v>
      </c>
      <c r="B4085" s="0" t="n">
        <v>59</v>
      </c>
      <c r="C4085" s="0" t="n">
        <v>38</v>
      </c>
      <c r="D4085" s="0" t="n">
        <v>0</v>
      </c>
      <c r="E4085" s="0" t="n">
        <f aca="false">VLOOKUP(B4085,'Babblefish-APUMA'!$A$1:$B$86,2)</f>
        <v>90</v>
      </c>
      <c r="F4085" s="0" t="n">
        <f aca="false">IF(C4085&gt;1,IF(C4085&lt;99,VLOOKUP(C4085,'Babblefish-APUMA'!$A$1:$B$86,2),C4085),C4085)</f>
        <v>91</v>
      </c>
    </row>
    <row r="4086" customFormat="false" ht="12.75" hidden="false" customHeight="false" outlineLevel="0" collapsed="false">
      <c r="A4086" s="0" t="n">
        <f aca="false">B4086*1000+C4086</f>
        <v>59039</v>
      </c>
      <c r="B4086" s="0" t="n">
        <v>59</v>
      </c>
      <c r="C4086" s="0" t="n">
        <v>39</v>
      </c>
      <c r="D4086" s="0" t="n">
        <v>0</v>
      </c>
      <c r="E4086" s="0" t="n">
        <f aca="false">VLOOKUP(B4086,'Babblefish-APUMA'!$A$1:$B$86,2)</f>
        <v>90</v>
      </c>
      <c r="F4086" s="0" t="n">
        <f aca="false">IF(C4086&gt;1,IF(C4086&lt;99,VLOOKUP(C4086,'Babblefish-APUMA'!$A$1:$B$86,2),C4086),C4086)</f>
        <v>91</v>
      </c>
    </row>
    <row r="4087" customFormat="false" ht="12.75" hidden="false" customHeight="false" outlineLevel="0" collapsed="false">
      <c r="A4087" s="0" t="n">
        <f aca="false">B4087*1000+C4087</f>
        <v>59040</v>
      </c>
      <c r="B4087" s="0" t="n">
        <v>59</v>
      </c>
      <c r="C4087" s="0" t="n">
        <v>40</v>
      </c>
      <c r="D4087" s="0" t="n">
        <v>0</v>
      </c>
      <c r="E4087" s="0" t="n">
        <f aca="false">VLOOKUP(B4087,'Babblefish-APUMA'!$A$1:$B$86,2)</f>
        <v>90</v>
      </c>
      <c r="F4087" s="0" t="n">
        <f aca="false">IF(C4087&gt;1,IF(C4087&lt;99,VLOOKUP(C4087,'Babblefish-APUMA'!$A$1:$B$86,2),C4087),C4087)</f>
        <v>88</v>
      </c>
    </row>
    <row r="4088" customFormat="false" ht="12.75" hidden="false" customHeight="false" outlineLevel="0" collapsed="false">
      <c r="A4088" s="0" t="n">
        <f aca="false">B4088*1000+C4088</f>
        <v>59041</v>
      </c>
      <c r="B4088" s="0" t="n">
        <v>59</v>
      </c>
      <c r="C4088" s="0" t="n">
        <v>41</v>
      </c>
      <c r="D4088" s="0" t="n">
        <v>91</v>
      </c>
      <c r="E4088" s="0" t="n">
        <f aca="false">VLOOKUP(B4088,'Babblefish-APUMA'!$A$1:$B$86,2)</f>
        <v>90</v>
      </c>
      <c r="F4088" s="0" t="n">
        <f aca="false">IF(C4088&gt;1,IF(C4088&lt;99,VLOOKUP(C4088,'Babblefish-APUMA'!$A$1:$B$86,2),C4088),C4088)</f>
        <v>88</v>
      </c>
    </row>
    <row r="4089" customFormat="false" ht="12.75" hidden="false" customHeight="false" outlineLevel="0" collapsed="false">
      <c r="A4089" s="0" t="n">
        <f aca="false">B4089*1000+C4089</f>
        <v>59042</v>
      </c>
      <c r="B4089" s="0" t="n">
        <v>59</v>
      </c>
      <c r="C4089" s="0" t="n">
        <v>42</v>
      </c>
      <c r="D4089" s="0" t="n">
        <v>845</v>
      </c>
      <c r="E4089" s="0" t="n">
        <f aca="false">VLOOKUP(B4089,'Babblefish-APUMA'!$A$1:$B$86,2)</f>
        <v>90</v>
      </c>
      <c r="F4089" s="0" t="n">
        <f aca="false">IF(C4089&gt;1,IF(C4089&lt;99,VLOOKUP(C4089,'Babblefish-APUMA'!$A$1:$B$86,2),C4089),C4089)</f>
        <v>92</v>
      </c>
    </row>
    <row r="4090" customFormat="false" ht="12.75" hidden="false" customHeight="false" outlineLevel="0" collapsed="false">
      <c r="A4090" s="0" t="n">
        <f aca="false">B4090*1000+C4090</f>
        <v>59043</v>
      </c>
      <c r="B4090" s="0" t="n">
        <v>59</v>
      </c>
      <c r="C4090" s="0" t="n">
        <v>43</v>
      </c>
      <c r="D4090" s="0" t="n">
        <v>0</v>
      </c>
      <c r="E4090" s="0" t="n">
        <f aca="false">VLOOKUP(B4090,'Babblefish-APUMA'!$A$1:$B$86,2)</f>
        <v>90</v>
      </c>
      <c r="F4090" s="0" t="n">
        <f aca="false">IF(C4090&gt;1,IF(C4090&lt;99,VLOOKUP(C4090,'Babblefish-APUMA'!$A$1:$B$86,2),C4090),C4090)</f>
        <v>92</v>
      </c>
    </row>
    <row r="4091" customFormat="false" ht="12.75" hidden="false" customHeight="false" outlineLevel="0" collapsed="false">
      <c r="A4091" s="0" t="n">
        <f aca="false">B4091*1000+C4091</f>
        <v>59044</v>
      </c>
      <c r="B4091" s="0" t="n">
        <v>59</v>
      </c>
      <c r="C4091" s="0" t="n">
        <v>44</v>
      </c>
      <c r="D4091" s="0" t="n">
        <v>104</v>
      </c>
      <c r="E4091" s="0" t="n">
        <f aca="false">VLOOKUP(B4091,'Babblefish-APUMA'!$A$1:$B$86,2)</f>
        <v>90</v>
      </c>
      <c r="F4091" s="0" t="n">
        <f aca="false">IF(C4091&gt;1,IF(C4091&lt;99,VLOOKUP(C4091,'Babblefish-APUMA'!$A$1:$B$86,2),C4091),C4091)</f>
        <v>92</v>
      </c>
    </row>
    <row r="4092" customFormat="false" ht="12.75" hidden="false" customHeight="false" outlineLevel="0" collapsed="false">
      <c r="A4092" s="0" t="n">
        <f aca="false">B4092*1000+C4092</f>
        <v>59045</v>
      </c>
      <c r="B4092" s="0" t="n">
        <v>59</v>
      </c>
      <c r="C4092" s="0" t="n">
        <v>45</v>
      </c>
      <c r="D4092" s="0" t="n">
        <v>0</v>
      </c>
      <c r="E4092" s="0" t="n">
        <f aca="false">VLOOKUP(B4092,'Babblefish-APUMA'!$A$1:$B$86,2)</f>
        <v>90</v>
      </c>
      <c r="F4092" s="0" t="n">
        <f aca="false">IF(C4092&gt;1,IF(C4092&lt;99,VLOOKUP(C4092,'Babblefish-APUMA'!$A$1:$B$86,2),C4092),C4092)</f>
        <v>92</v>
      </c>
    </row>
    <row r="4093" customFormat="false" ht="12.75" hidden="false" customHeight="false" outlineLevel="0" collapsed="false">
      <c r="A4093" s="0" t="n">
        <f aca="false">B4093*1000+C4093</f>
        <v>59046</v>
      </c>
      <c r="B4093" s="0" t="n">
        <v>59</v>
      </c>
      <c r="C4093" s="0" t="n">
        <v>46</v>
      </c>
      <c r="D4093" s="0" t="n">
        <v>130</v>
      </c>
      <c r="E4093" s="0" t="n">
        <f aca="false">VLOOKUP(B4093,'Babblefish-APUMA'!$A$1:$B$86,2)</f>
        <v>90</v>
      </c>
      <c r="F4093" s="0" t="n">
        <f aca="false">IF(C4093&gt;1,IF(C4093&lt;99,VLOOKUP(C4093,'Babblefish-APUMA'!$A$1:$B$86,2),C4093),C4093)</f>
        <v>92</v>
      </c>
    </row>
    <row r="4094" customFormat="false" ht="12.75" hidden="false" customHeight="false" outlineLevel="0" collapsed="false">
      <c r="A4094" s="0" t="n">
        <f aca="false">B4094*1000+C4094</f>
        <v>59047</v>
      </c>
      <c r="B4094" s="0" t="n">
        <v>59</v>
      </c>
      <c r="C4094" s="0" t="n">
        <v>47</v>
      </c>
      <c r="D4094" s="0" t="n">
        <v>130</v>
      </c>
      <c r="E4094" s="0" t="n">
        <f aca="false">VLOOKUP(B4094,'Babblefish-APUMA'!$A$1:$B$86,2)</f>
        <v>90</v>
      </c>
      <c r="F4094" s="0" t="n">
        <f aca="false">IF(C4094&gt;1,IF(C4094&lt;99,VLOOKUP(C4094,'Babblefish-APUMA'!$A$1:$B$86,2),C4094),C4094)</f>
        <v>92</v>
      </c>
    </row>
    <row r="4095" customFormat="false" ht="12.75" hidden="false" customHeight="false" outlineLevel="0" collapsed="false">
      <c r="A4095" s="0" t="n">
        <f aca="false">B4095*1000+C4095</f>
        <v>59048</v>
      </c>
      <c r="B4095" s="0" t="n">
        <v>59</v>
      </c>
      <c r="C4095" s="0" t="n">
        <v>48</v>
      </c>
      <c r="D4095" s="0" t="n">
        <v>2405</v>
      </c>
      <c r="E4095" s="0" t="n">
        <f aca="false">VLOOKUP(B4095,'Babblefish-APUMA'!$A$1:$B$86,2)</f>
        <v>90</v>
      </c>
      <c r="F4095" s="0" t="n">
        <f aca="false">IF(C4095&gt;1,IF(C4095&lt;99,VLOOKUP(C4095,'Babblefish-APUMA'!$A$1:$B$86,2),C4095),C4095)</f>
        <v>92</v>
      </c>
    </row>
    <row r="4096" customFormat="false" ht="12.75" hidden="false" customHeight="false" outlineLevel="0" collapsed="false">
      <c r="A4096" s="0" t="n">
        <f aca="false">B4096*1000+C4096</f>
        <v>59049</v>
      </c>
      <c r="B4096" s="0" t="n">
        <v>59</v>
      </c>
      <c r="C4096" s="0" t="n">
        <v>49</v>
      </c>
      <c r="D4096" s="0" t="n">
        <v>0</v>
      </c>
      <c r="E4096" s="0" t="n">
        <f aca="false">VLOOKUP(B4096,'Babblefish-APUMA'!$A$1:$B$86,2)</f>
        <v>90</v>
      </c>
      <c r="F4096" s="0" t="n">
        <f aca="false">IF(C4096&gt;1,IF(C4096&lt;99,VLOOKUP(C4096,'Babblefish-APUMA'!$A$1:$B$86,2),C4096),C4096)</f>
        <v>98</v>
      </c>
    </row>
    <row r="4097" customFormat="false" ht="12.75" hidden="false" customHeight="false" outlineLevel="0" collapsed="false">
      <c r="A4097" s="0" t="n">
        <f aca="false">B4097*1000+C4097</f>
        <v>59050</v>
      </c>
      <c r="B4097" s="0" t="n">
        <v>59</v>
      </c>
      <c r="C4097" s="0" t="n">
        <v>50</v>
      </c>
      <c r="D4097" s="0" t="n">
        <v>0</v>
      </c>
      <c r="E4097" s="0" t="n">
        <f aca="false">VLOOKUP(B4097,'Babblefish-APUMA'!$A$1:$B$86,2)</f>
        <v>90</v>
      </c>
      <c r="F4097" s="0" t="n">
        <f aca="false">IF(C4097&gt;1,IF(C4097&lt;99,VLOOKUP(C4097,'Babblefish-APUMA'!$A$1:$B$86,2),C4097),C4097)</f>
        <v>98</v>
      </c>
    </row>
    <row r="4098" customFormat="false" ht="12.75" hidden="false" customHeight="false" outlineLevel="0" collapsed="false">
      <c r="A4098" s="0" t="n">
        <f aca="false">B4098*1000+C4098</f>
        <v>59051</v>
      </c>
      <c r="B4098" s="0" t="n">
        <v>59</v>
      </c>
      <c r="C4098" s="0" t="n">
        <v>51</v>
      </c>
      <c r="D4098" s="0" t="n">
        <v>0</v>
      </c>
      <c r="E4098" s="0" t="n">
        <f aca="false">VLOOKUP(B4098,'Babblefish-APUMA'!$A$1:$B$86,2)</f>
        <v>90</v>
      </c>
      <c r="F4098" s="0" t="n">
        <f aca="false">IF(C4098&gt;1,IF(C4098&lt;99,VLOOKUP(C4098,'Babblefish-APUMA'!$A$1:$B$86,2),C4098),C4098)</f>
        <v>98</v>
      </c>
    </row>
    <row r="4099" customFormat="false" ht="12.75" hidden="false" customHeight="false" outlineLevel="0" collapsed="false">
      <c r="A4099" s="0" t="n">
        <f aca="false">B4099*1000+C4099</f>
        <v>59052</v>
      </c>
      <c r="B4099" s="0" t="n">
        <v>59</v>
      </c>
      <c r="C4099" s="0" t="n">
        <v>52</v>
      </c>
      <c r="D4099" s="0" t="n">
        <v>65</v>
      </c>
      <c r="E4099" s="0" t="n">
        <f aca="false">VLOOKUP(B4099,'Babblefish-APUMA'!$A$1:$B$86,2)</f>
        <v>90</v>
      </c>
      <c r="F4099" s="0" t="n">
        <f aca="false">IF(C4099&gt;1,IF(C4099&lt;99,VLOOKUP(C4099,'Babblefish-APUMA'!$A$1:$B$86,2),C4099),C4099)</f>
        <v>90</v>
      </c>
    </row>
    <row r="4100" customFormat="false" ht="12.75" hidden="false" customHeight="false" outlineLevel="0" collapsed="false">
      <c r="A4100" s="0" t="n">
        <f aca="false">B4100*1000+C4100</f>
        <v>59053</v>
      </c>
      <c r="B4100" s="0" t="n">
        <v>59</v>
      </c>
      <c r="C4100" s="0" t="n">
        <v>53</v>
      </c>
      <c r="D4100" s="0" t="n">
        <v>169</v>
      </c>
      <c r="E4100" s="0" t="n">
        <f aca="false">VLOOKUP(B4100,'Babblefish-APUMA'!$A$1:$B$86,2)</f>
        <v>90</v>
      </c>
      <c r="F4100" s="0" t="n">
        <f aca="false">IF(C4100&gt;1,IF(C4100&lt;99,VLOOKUP(C4100,'Babblefish-APUMA'!$A$1:$B$86,2),C4100),C4100)</f>
        <v>90</v>
      </c>
    </row>
    <row r="4101" customFormat="false" ht="12.75" hidden="false" customHeight="false" outlineLevel="0" collapsed="false">
      <c r="A4101" s="0" t="n">
        <f aca="false">B4101*1000+C4101</f>
        <v>59054</v>
      </c>
      <c r="B4101" s="0" t="n">
        <v>59</v>
      </c>
      <c r="C4101" s="0" t="n">
        <v>54</v>
      </c>
      <c r="D4101" s="0" t="n">
        <v>260</v>
      </c>
      <c r="E4101" s="0" t="n">
        <f aca="false">VLOOKUP(B4101,'Babblefish-APUMA'!$A$1:$B$86,2)</f>
        <v>90</v>
      </c>
      <c r="F4101" s="0" t="n">
        <f aca="false">IF(C4101&gt;1,IF(C4101&lt;99,VLOOKUP(C4101,'Babblefish-APUMA'!$A$1:$B$86,2),C4101),C4101)</f>
        <v>90</v>
      </c>
    </row>
    <row r="4102" customFormat="false" ht="12.75" hidden="false" customHeight="false" outlineLevel="0" collapsed="false">
      <c r="A4102" s="0" t="n">
        <f aca="false">B4102*1000+C4102</f>
        <v>59055</v>
      </c>
      <c r="B4102" s="0" t="n">
        <v>59</v>
      </c>
      <c r="C4102" s="0" t="n">
        <v>55</v>
      </c>
      <c r="D4102" s="0" t="n">
        <v>52</v>
      </c>
      <c r="E4102" s="0" t="n">
        <f aca="false">VLOOKUP(B4102,'Babblefish-APUMA'!$A$1:$B$86,2)</f>
        <v>90</v>
      </c>
      <c r="F4102" s="0" t="n">
        <f aca="false">IF(C4102&gt;1,IF(C4102&lt;99,VLOOKUP(C4102,'Babblefish-APUMA'!$A$1:$B$86,2),C4102),C4102)</f>
        <v>90</v>
      </c>
    </row>
    <row r="4103" customFormat="false" ht="12.75" hidden="false" customHeight="false" outlineLevel="0" collapsed="false">
      <c r="A4103" s="0" t="n">
        <f aca="false">B4103*1000+C4103</f>
        <v>59056</v>
      </c>
      <c r="B4103" s="0" t="n">
        <v>59</v>
      </c>
      <c r="C4103" s="0" t="n">
        <v>56</v>
      </c>
      <c r="D4103" s="0" t="n">
        <v>182</v>
      </c>
      <c r="E4103" s="0" t="n">
        <f aca="false">VLOOKUP(B4103,'Babblefish-APUMA'!$A$1:$B$86,2)</f>
        <v>90</v>
      </c>
      <c r="F4103" s="0" t="n">
        <f aca="false">IF(C4103&gt;1,IF(C4103&lt;99,VLOOKUP(C4103,'Babblefish-APUMA'!$A$1:$B$86,2),C4103),C4103)</f>
        <v>90</v>
      </c>
    </row>
    <row r="4104" customFormat="false" ht="12.75" hidden="false" customHeight="false" outlineLevel="0" collapsed="false">
      <c r="A4104" s="0" t="n">
        <f aca="false">B4104*1000+C4104</f>
        <v>59057</v>
      </c>
      <c r="B4104" s="0" t="n">
        <v>59</v>
      </c>
      <c r="C4104" s="0" t="n">
        <v>57</v>
      </c>
      <c r="D4104" s="0" t="n">
        <v>104</v>
      </c>
      <c r="E4104" s="0" t="n">
        <f aca="false">VLOOKUP(B4104,'Babblefish-APUMA'!$A$1:$B$86,2)</f>
        <v>90</v>
      </c>
      <c r="F4104" s="0" t="n">
        <f aca="false">IF(C4104&gt;1,IF(C4104&lt;99,VLOOKUP(C4104,'Babblefish-APUMA'!$A$1:$B$86,2),C4104),C4104)</f>
        <v>90</v>
      </c>
    </row>
    <row r="4105" customFormat="false" ht="12.75" hidden="false" customHeight="false" outlineLevel="0" collapsed="false">
      <c r="A4105" s="0" t="n">
        <f aca="false">B4105*1000+C4105</f>
        <v>59058</v>
      </c>
      <c r="B4105" s="0" t="n">
        <v>59</v>
      </c>
      <c r="C4105" s="0" t="n">
        <v>58</v>
      </c>
      <c r="D4105" s="0" t="n">
        <v>234</v>
      </c>
      <c r="E4105" s="0" t="n">
        <f aca="false">VLOOKUP(B4105,'Babblefish-APUMA'!$A$1:$B$86,2)</f>
        <v>90</v>
      </c>
      <c r="F4105" s="0" t="n">
        <f aca="false">IF(C4105&gt;1,IF(C4105&lt;99,VLOOKUP(C4105,'Babblefish-APUMA'!$A$1:$B$86,2),C4105),C4105)</f>
        <v>90</v>
      </c>
    </row>
    <row r="4106" customFormat="false" ht="12.75" hidden="false" customHeight="false" outlineLevel="0" collapsed="false">
      <c r="A4106" s="0" t="n">
        <f aca="false">B4106*1000+C4106</f>
        <v>59059</v>
      </c>
      <c r="B4106" s="0" t="n">
        <v>59</v>
      </c>
      <c r="C4106" s="0" t="n">
        <v>59</v>
      </c>
      <c r="D4106" s="0" t="n">
        <v>12337</v>
      </c>
      <c r="E4106" s="0" t="n">
        <f aca="false">VLOOKUP(B4106,'Babblefish-APUMA'!$A$1:$B$86,2)</f>
        <v>90</v>
      </c>
      <c r="F4106" s="0" t="n">
        <f aca="false">IF(C4106&gt;1,IF(C4106&lt;99,VLOOKUP(C4106,'Babblefish-APUMA'!$A$1:$B$86,2),C4106),C4106)</f>
        <v>90</v>
      </c>
    </row>
    <row r="4107" customFormat="false" ht="12.75" hidden="false" customHeight="false" outlineLevel="0" collapsed="false">
      <c r="A4107" s="0" t="n">
        <f aca="false">B4107*1000+C4107</f>
        <v>59060</v>
      </c>
      <c r="B4107" s="0" t="n">
        <v>59</v>
      </c>
      <c r="C4107" s="0" t="n">
        <v>60</v>
      </c>
      <c r="D4107" s="0" t="n">
        <v>0</v>
      </c>
      <c r="E4107" s="0" t="n">
        <f aca="false">VLOOKUP(B4107,'Babblefish-APUMA'!$A$1:$B$86,2)</f>
        <v>90</v>
      </c>
      <c r="F4107" s="0" t="n">
        <f aca="false">IF(C4107&gt;1,IF(C4107&lt;99,VLOOKUP(C4107,'Babblefish-APUMA'!$A$1:$B$86,2),C4107),C4107)</f>
        <v>90</v>
      </c>
    </row>
    <row r="4108" customFormat="false" ht="12.75" hidden="false" customHeight="false" outlineLevel="0" collapsed="false">
      <c r="A4108" s="0" t="n">
        <f aca="false">B4108*1000+C4108</f>
        <v>59061</v>
      </c>
      <c r="B4108" s="0" t="n">
        <v>59</v>
      </c>
      <c r="C4108" s="0" t="n">
        <v>61</v>
      </c>
      <c r="D4108" s="0" t="n">
        <v>78</v>
      </c>
      <c r="E4108" s="0" t="n">
        <f aca="false">VLOOKUP(B4108,'Babblefish-APUMA'!$A$1:$B$86,2)</f>
        <v>90</v>
      </c>
      <c r="F4108" s="0" t="n">
        <f aca="false">IF(C4108&gt;1,IF(C4108&lt;99,VLOOKUP(C4108,'Babblefish-APUMA'!$A$1:$B$86,2),C4108),C4108)</f>
        <v>90</v>
      </c>
    </row>
    <row r="4109" customFormat="false" ht="12.75" hidden="false" customHeight="false" outlineLevel="0" collapsed="false">
      <c r="A4109" s="0" t="n">
        <f aca="false">B4109*1000+C4109</f>
        <v>59062</v>
      </c>
      <c r="B4109" s="0" t="n">
        <v>59</v>
      </c>
      <c r="C4109" s="0" t="n">
        <v>62</v>
      </c>
      <c r="D4109" s="0" t="n">
        <v>130</v>
      </c>
      <c r="E4109" s="0" t="n">
        <f aca="false">VLOOKUP(B4109,'Babblefish-APUMA'!$A$1:$B$86,2)</f>
        <v>90</v>
      </c>
      <c r="F4109" s="0" t="n">
        <f aca="false">IF(C4109&gt;1,IF(C4109&lt;99,VLOOKUP(C4109,'Babblefish-APUMA'!$A$1:$B$86,2),C4109),C4109)</f>
        <v>90</v>
      </c>
    </row>
    <row r="4110" customFormat="false" ht="12.75" hidden="false" customHeight="false" outlineLevel="0" collapsed="false">
      <c r="A4110" s="0" t="n">
        <f aca="false">B4110*1000+C4110</f>
        <v>59063</v>
      </c>
      <c r="B4110" s="0" t="n">
        <v>59</v>
      </c>
      <c r="C4110" s="0" t="n">
        <v>63</v>
      </c>
      <c r="D4110" s="0" t="n">
        <v>689</v>
      </c>
      <c r="E4110" s="0" t="n">
        <f aca="false">VLOOKUP(B4110,'Babblefish-APUMA'!$A$1:$B$86,2)</f>
        <v>90</v>
      </c>
      <c r="F4110" s="0" t="n">
        <f aca="false">IF(C4110&gt;1,IF(C4110&lt;99,VLOOKUP(C4110,'Babblefish-APUMA'!$A$1:$B$86,2),C4110),C4110)</f>
        <v>90</v>
      </c>
    </row>
    <row r="4111" customFormat="false" ht="12.75" hidden="false" customHeight="false" outlineLevel="0" collapsed="false">
      <c r="A4111" s="0" t="n">
        <f aca="false">B4111*1000+C4111</f>
        <v>59064</v>
      </c>
      <c r="B4111" s="0" t="n">
        <v>59</v>
      </c>
      <c r="C4111" s="0" t="n">
        <v>64</v>
      </c>
      <c r="D4111" s="0" t="n">
        <v>17784</v>
      </c>
      <c r="E4111" s="0" t="n">
        <f aca="false">VLOOKUP(B4111,'Babblefish-APUMA'!$A$1:$B$86,2)</f>
        <v>90</v>
      </c>
      <c r="F4111" s="0" t="n">
        <f aca="false">IF(C4111&gt;1,IF(C4111&lt;99,VLOOKUP(C4111,'Babblefish-APUMA'!$A$1:$B$86,2),C4111),C4111)</f>
        <v>90</v>
      </c>
    </row>
    <row r="4112" customFormat="false" ht="12.75" hidden="false" customHeight="false" outlineLevel="0" collapsed="false">
      <c r="A4112" s="0" t="n">
        <f aca="false">B4112*1000+C4112</f>
        <v>59065</v>
      </c>
      <c r="B4112" s="0" t="n">
        <v>59</v>
      </c>
      <c r="C4112" s="0" t="n">
        <v>65</v>
      </c>
      <c r="D4112" s="0" t="n">
        <v>4849</v>
      </c>
      <c r="E4112" s="0" t="n">
        <f aca="false">VLOOKUP(B4112,'Babblefish-APUMA'!$A$1:$B$86,2)</f>
        <v>90</v>
      </c>
      <c r="F4112" s="0" t="n">
        <f aca="false">IF(C4112&gt;1,IF(C4112&lt;99,VLOOKUP(C4112,'Babblefish-APUMA'!$A$1:$B$86,2),C4112),C4112)</f>
        <v>90</v>
      </c>
    </row>
    <row r="4113" customFormat="false" ht="12.75" hidden="false" customHeight="false" outlineLevel="0" collapsed="false">
      <c r="A4113" s="0" t="n">
        <f aca="false">B4113*1000+C4113</f>
        <v>59066</v>
      </c>
      <c r="B4113" s="0" t="n">
        <v>59</v>
      </c>
      <c r="C4113" s="0" t="n">
        <v>66</v>
      </c>
      <c r="D4113" s="0" t="n">
        <v>715</v>
      </c>
      <c r="E4113" s="0" t="n">
        <f aca="false">VLOOKUP(B4113,'Babblefish-APUMA'!$A$1:$B$86,2)</f>
        <v>90</v>
      </c>
      <c r="F4113" s="0" t="n">
        <f aca="false">IF(C4113&gt;1,IF(C4113&lt;99,VLOOKUP(C4113,'Babblefish-APUMA'!$A$1:$B$86,2),C4113),C4113)</f>
        <v>90</v>
      </c>
    </row>
    <row r="4114" customFormat="false" ht="12.75" hidden="false" customHeight="false" outlineLevel="0" collapsed="false">
      <c r="A4114" s="0" t="n">
        <f aca="false">B4114*1000+C4114</f>
        <v>59067</v>
      </c>
      <c r="B4114" s="0" t="n">
        <v>59</v>
      </c>
      <c r="C4114" s="0" t="n">
        <v>67</v>
      </c>
      <c r="D4114" s="0" t="n">
        <v>117</v>
      </c>
      <c r="E4114" s="0" t="n">
        <f aca="false">VLOOKUP(B4114,'Babblefish-APUMA'!$A$1:$B$86,2)</f>
        <v>90</v>
      </c>
      <c r="F4114" s="0" t="n">
        <f aca="false">IF(C4114&gt;1,IF(C4114&lt;99,VLOOKUP(C4114,'Babblefish-APUMA'!$A$1:$B$86,2),C4114),C4114)</f>
        <v>103</v>
      </c>
    </row>
    <row r="4115" customFormat="false" ht="12.75" hidden="false" customHeight="false" outlineLevel="0" collapsed="false">
      <c r="A4115" s="0" t="n">
        <f aca="false">B4115*1000+C4115</f>
        <v>59068</v>
      </c>
      <c r="B4115" s="0" t="n">
        <v>59</v>
      </c>
      <c r="C4115" s="0" t="n">
        <v>68</v>
      </c>
      <c r="D4115" s="0" t="n">
        <v>0</v>
      </c>
      <c r="E4115" s="0" t="n">
        <f aca="false">VLOOKUP(B4115,'Babblefish-APUMA'!$A$1:$B$86,2)</f>
        <v>90</v>
      </c>
      <c r="F4115" s="0" t="n">
        <f aca="false">IF(C4115&gt;1,IF(C4115&lt;99,VLOOKUP(C4115,'Babblefish-APUMA'!$A$1:$B$86,2),C4115),C4115)</f>
        <v>93</v>
      </c>
    </row>
    <row r="4116" customFormat="false" ht="12.75" hidden="false" customHeight="false" outlineLevel="0" collapsed="false">
      <c r="A4116" s="0" t="n">
        <f aca="false">B4116*1000+C4116</f>
        <v>59069</v>
      </c>
      <c r="B4116" s="0" t="n">
        <v>59</v>
      </c>
      <c r="C4116" s="0" t="n">
        <v>69</v>
      </c>
      <c r="D4116" s="0" t="n">
        <v>845</v>
      </c>
      <c r="E4116" s="0" t="n">
        <f aca="false">VLOOKUP(B4116,'Babblefish-APUMA'!$A$1:$B$86,2)</f>
        <v>90</v>
      </c>
      <c r="F4116" s="0" t="n">
        <f aca="false">IF(C4116&gt;1,IF(C4116&lt;99,VLOOKUP(C4116,'Babblefish-APUMA'!$A$1:$B$86,2),C4116),C4116)</f>
        <v>93</v>
      </c>
    </row>
    <row r="4117" customFormat="false" ht="12.75" hidden="false" customHeight="false" outlineLevel="0" collapsed="false">
      <c r="A4117" s="0" t="n">
        <f aca="false">B4117*1000+C4117</f>
        <v>59070</v>
      </c>
      <c r="B4117" s="0" t="n">
        <v>59</v>
      </c>
      <c r="C4117" s="0" t="n">
        <v>70</v>
      </c>
      <c r="D4117" s="0" t="n">
        <v>572</v>
      </c>
      <c r="E4117" s="0" t="n">
        <f aca="false">VLOOKUP(B4117,'Babblefish-APUMA'!$A$1:$B$86,2)</f>
        <v>90</v>
      </c>
      <c r="F4117" s="0" t="n">
        <f aca="false">IF(C4117&gt;1,IF(C4117&lt;99,VLOOKUP(C4117,'Babblefish-APUMA'!$A$1:$B$86,2),C4117),C4117)</f>
        <v>95</v>
      </c>
    </row>
    <row r="4118" customFormat="false" ht="12.75" hidden="false" customHeight="false" outlineLevel="0" collapsed="false">
      <c r="A4118" s="0" t="n">
        <f aca="false">B4118*1000+C4118</f>
        <v>59071</v>
      </c>
      <c r="B4118" s="0" t="n">
        <v>59</v>
      </c>
      <c r="C4118" s="0" t="n">
        <v>71</v>
      </c>
      <c r="D4118" s="0" t="n">
        <v>2093</v>
      </c>
      <c r="E4118" s="0" t="n">
        <f aca="false">VLOOKUP(B4118,'Babblefish-APUMA'!$A$1:$B$86,2)</f>
        <v>90</v>
      </c>
      <c r="F4118" s="0" t="n">
        <f aca="false">IF(C4118&gt;1,IF(C4118&lt;99,VLOOKUP(C4118,'Babblefish-APUMA'!$A$1:$B$86,2),C4118),C4118)</f>
        <v>95</v>
      </c>
    </row>
    <row r="4119" customFormat="false" ht="12.75" hidden="false" customHeight="false" outlineLevel="0" collapsed="false">
      <c r="A4119" s="0" t="n">
        <f aca="false">B4119*1000+C4119</f>
        <v>59072</v>
      </c>
      <c r="B4119" s="0" t="n">
        <v>59</v>
      </c>
      <c r="C4119" s="0" t="n">
        <v>72</v>
      </c>
      <c r="D4119" s="0" t="n">
        <v>7631</v>
      </c>
      <c r="E4119" s="0" t="n">
        <f aca="false">VLOOKUP(B4119,'Babblefish-APUMA'!$A$1:$B$86,2)</f>
        <v>90</v>
      </c>
      <c r="F4119" s="0" t="n">
        <f aca="false">IF(C4119&gt;1,IF(C4119&lt;99,VLOOKUP(C4119,'Babblefish-APUMA'!$A$1:$B$86,2),C4119),C4119)</f>
        <v>95</v>
      </c>
    </row>
    <row r="4120" customFormat="false" ht="12.75" hidden="false" customHeight="false" outlineLevel="0" collapsed="false">
      <c r="A4120" s="0" t="n">
        <f aca="false">B4120*1000+C4120</f>
        <v>59073</v>
      </c>
      <c r="B4120" s="0" t="n">
        <v>59</v>
      </c>
      <c r="C4120" s="0" t="n">
        <v>73</v>
      </c>
      <c r="D4120" s="0" t="n">
        <v>0</v>
      </c>
      <c r="E4120" s="0" t="n">
        <f aca="false">VLOOKUP(B4120,'Babblefish-APUMA'!$A$1:$B$86,2)</f>
        <v>90</v>
      </c>
      <c r="F4120" s="0" t="n">
        <f aca="false">IF(C4120&gt;1,IF(C4120&lt;99,VLOOKUP(C4120,'Babblefish-APUMA'!$A$1:$B$86,2),C4120),C4120)</f>
        <v>99</v>
      </c>
    </row>
    <row r="4121" customFormat="false" ht="12.75" hidden="false" customHeight="false" outlineLevel="0" collapsed="false">
      <c r="A4121" s="0" t="n">
        <f aca="false">B4121*1000+C4121</f>
        <v>59075</v>
      </c>
      <c r="B4121" s="0" t="n">
        <v>59</v>
      </c>
      <c r="C4121" s="0" t="n">
        <v>75</v>
      </c>
      <c r="D4121" s="0" t="n">
        <v>0</v>
      </c>
      <c r="E4121" s="0" t="n">
        <f aca="false">VLOOKUP(B4121,'Babblefish-APUMA'!$A$1:$B$86,2)</f>
        <v>90</v>
      </c>
      <c r="F4121" s="0" t="n">
        <f aca="false">IF(C4121&gt;1,IF(C4121&lt;99,VLOOKUP(C4121,'Babblefish-APUMA'!$A$1:$B$86,2),C4121),C4121)</f>
        <v>75</v>
      </c>
    </row>
    <row r="4122" customFormat="false" ht="12.75" hidden="false" customHeight="false" outlineLevel="0" collapsed="false">
      <c r="A4122" s="0" t="n">
        <f aca="false">B4122*1000+C4122</f>
        <v>59076</v>
      </c>
      <c r="B4122" s="0" t="n">
        <v>59</v>
      </c>
      <c r="C4122" s="0" t="n">
        <v>76</v>
      </c>
      <c r="D4122" s="0" t="n">
        <v>0</v>
      </c>
      <c r="E4122" s="0" t="n">
        <f aca="false">VLOOKUP(B4122,'Babblefish-APUMA'!$A$1:$B$86,2)</f>
        <v>90</v>
      </c>
      <c r="F4122" s="0" t="n">
        <f aca="false">IF(C4122&gt;1,IF(C4122&lt;99,VLOOKUP(C4122,'Babblefish-APUMA'!$A$1:$B$86,2),C4122),C4122)</f>
        <v>76</v>
      </c>
    </row>
    <row r="4123" customFormat="false" ht="12.75" hidden="false" customHeight="false" outlineLevel="0" collapsed="false">
      <c r="A4123" s="0" t="n">
        <f aca="false">B4123*1000+C4123</f>
        <v>59077</v>
      </c>
      <c r="B4123" s="0" t="n">
        <v>59</v>
      </c>
      <c r="C4123" s="0" t="n">
        <v>77</v>
      </c>
      <c r="D4123" s="0" t="n">
        <v>0</v>
      </c>
      <c r="E4123" s="0" t="n">
        <f aca="false">VLOOKUP(B4123,'Babblefish-APUMA'!$A$1:$B$86,2)</f>
        <v>90</v>
      </c>
      <c r="F4123" s="0" t="n">
        <f aca="false">IF(C4123&gt;1,IF(C4123&lt;99,VLOOKUP(C4123,'Babblefish-APUMA'!$A$1:$B$86,2),C4123),C4123)</f>
        <v>77</v>
      </c>
    </row>
    <row r="4124" customFormat="false" ht="12.75" hidden="false" customHeight="false" outlineLevel="0" collapsed="false">
      <c r="A4124" s="0" t="n">
        <f aca="false">B4124*1000+C4124</f>
        <v>59078</v>
      </c>
      <c r="B4124" s="0" t="n">
        <v>59</v>
      </c>
      <c r="C4124" s="0" t="n">
        <v>78</v>
      </c>
      <c r="D4124" s="0" t="n">
        <v>0</v>
      </c>
      <c r="E4124" s="0" t="n">
        <f aca="false">VLOOKUP(B4124,'Babblefish-APUMA'!$A$1:$B$86,2)</f>
        <v>90</v>
      </c>
      <c r="F4124" s="0" t="n">
        <f aca="false">IF(C4124&gt;1,IF(C4124&lt;99,VLOOKUP(C4124,'Babblefish-APUMA'!$A$1:$B$86,2),C4124),C4124)</f>
        <v>89</v>
      </c>
    </row>
    <row r="4125" customFormat="false" ht="12.75" hidden="false" customHeight="false" outlineLevel="0" collapsed="false">
      <c r="A4125" s="0" t="n">
        <f aca="false">B4125*1000+C4125</f>
        <v>59079</v>
      </c>
      <c r="B4125" s="0" t="n">
        <v>59</v>
      </c>
      <c r="C4125" s="0" t="n">
        <v>79</v>
      </c>
      <c r="D4125" s="0" t="n">
        <v>0</v>
      </c>
      <c r="E4125" s="0" t="n">
        <f aca="false">VLOOKUP(B4125,'Babblefish-APUMA'!$A$1:$B$86,2)</f>
        <v>90</v>
      </c>
      <c r="F4125" s="0" t="n">
        <f aca="false">IF(C4125&gt;1,IF(C4125&lt;99,VLOOKUP(C4125,'Babblefish-APUMA'!$A$1:$B$86,2),C4125),C4125)</f>
        <v>89</v>
      </c>
    </row>
    <row r="4126" customFormat="false" ht="12.75" hidden="false" customHeight="false" outlineLevel="0" collapsed="false">
      <c r="A4126" s="0" t="n">
        <f aca="false">B4126*1000+C4126</f>
        <v>59080</v>
      </c>
      <c r="B4126" s="0" t="n">
        <v>59</v>
      </c>
      <c r="C4126" s="0" t="n">
        <v>80</v>
      </c>
      <c r="D4126" s="0" t="n">
        <v>0</v>
      </c>
      <c r="E4126" s="0" t="n">
        <f aca="false">VLOOKUP(B4126,'Babblefish-APUMA'!$A$1:$B$86,2)</f>
        <v>90</v>
      </c>
      <c r="F4126" s="0" t="n">
        <f aca="false">IF(C4126&gt;1,IF(C4126&lt;99,VLOOKUP(C4126,'Babblefish-APUMA'!$A$1:$B$86,2),C4126),C4126)</f>
        <v>80</v>
      </c>
    </row>
    <row r="4127" customFormat="false" ht="12.75" hidden="false" customHeight="false" outlineLevel="0" collapsed="false">
      <c r="A4127" s="0" t="n">
        <f aca="false">B4127*1000+C4127</f>
        <v>59081</v>
      </c>
      <c r="B4127" s="0" t="n">
        <v>59</v>
      </c>
      <c r="C4127" s="0" t="n">
        <v>81</v>
      </c>
      <c r="D4127" s="0" t="n">
        <v>390</v>
      </c>
      <c r="E4127" s="0" t="n">
        <f aca="false">VLOOKUP(B4127,'Babblefish-APUMA'!$A$1:$B$86,2)</f>
        <v>90</v>
      </c>
      <c r="F4127" s="0" t="n">
        <f aca="false">IF(C4127&gt;1,IF(C4127&lt;99,VLOOKUP(C4127,'Babblefish-APUMA'!$A$1:$B$86,2),C4127),C4127)</f>
        <v>93</v>
      </c>
    </row>
    <row r="4128" customFormat="false" ht="12.75" hidden="false" customHeight="false" outlineLevel="0" collapsed="false">
      <c r="A4128" s="0" t="n">
        <f aca="false">B4128*1000+C4128</f>
        <v>59082</v>
      </c>
      <c r="B4128" s="0" t="n">
        <v>59</v>
      </c>
      <c r="C4128" s="0" t="n">
        <v>82</v>
      </c>
      <c r="D4128" s="0" t="n">
        <v>130</v>
      </c>
      <c r="E4128" s="0" t="n">
        <f aca="false">VLOOKUP(B4128,'Babblefish-APUMA'!$A$1:$B$86,2)</f>
        <v>90</v>
      </c>
      <c r="F4128" s="0" t="n">
        <f aca="false">IF(C4128&gt;1,IF(C4128&lt;99,VLOOKUP(C4128,'Babblefish-APUMA'!$A$1:$B$86,2),C4128),C4128)</f>
        <v>95</v>
      </c>
    </row>
    <row r="4129" customFormat="false" ht="12.75" hidden="false" customHeight="false" outlineLevel="0" collapsed="false">
      <c r="A4129" s="0" t="n">
        <f aca="false">B4129*1000+C4129</f>
        <v>59083</v>
      </c>
      <c r="B4129" s="0" t="n">
        <v>59</v>
      </c>
      <c r="C4129" s="0" t="n">
        <v>83</v>
      </c>
      <c r="D4129" s="0" t="n">
        <v>0</v>
      </c>
      <c r="E4129" s="0" t="n">
        <f aca="false">VLOOKUP(B4129,'Babblefish-APUMA'!$A$1:$B$86,2)</f>
        <v>90</v>
      </c>
      <c r="F4129" s="0" t="n">
        <f aca="false">IF(C4129&gt;1,IF(C4129&lt;99,VLOOKUP(C4129,'Babblefish-APUMA'!$A$1:$B$86,2),C4129),C4129)</f>
        <v>103</v>
      </c>
    </row>
    <row r="4130" customFormat="false" ht="12.75" hidden="false" customHeight="false" outlineLevel="0" collapsed="false">
      <c r="A4130" s="0" t="n">
        <f aca="false">B4130*1000+C4130</f>
        <v>59084</v>
      </c>
      <c r="B4130" s="0" t="n">
        <v>59</v>
      </c>
      <c r="C4130" s="0" t="n">
        <v>84</v>
      </c>
      <c r="D4130" s="0" t="n">
        <v>1170</v>
      </c>
      <c r="E4130" s="0" t="n">
        <f aca="false">VLOOKUP(B4130,'Babblefish-APUMA'!$A$1:$B$86,2)</f>
        <v>90</v>
      </c>
      <c r="F4130" s="0" t="n">
        <f aca="false">IF(C4130&gt;1,IF(C4130&lt;99,VLOOKUP(C4130,'Babblefish-APUMA'!$A$1:$B$86,2),C4130),C4130)</f>
        <v>92</v>
      </c>
    </row>
    <row r="4131" customFormat="false" ht="12.75" hidden="false" customHeight="false" outlineLevel="0" collapsed="false">
      <c r="A4131" s="0" t="n">
        <f aca="false">B4131*1000+C4131</f>
        <v>59085</v>
      </c>
      <c r="B4131" s="0" t="n">
        <v>59</v>
      </c>
      <c r="C4131" s="0" t="n">
        <v>85</v>
      </c>
      <c r="D4131" s="0" t="n">
        <v>0</v>
      </c>
      <c r="E4131" s="0" t="n">
        <f aca="false">VLOOKUP(B4131,'Babblefish-APUMA'!$A$1:$B$86,2)</f>
        <v>90</v>
      </c>
      <c r="F4131" s="0" t="n">
        <f aca="false">IF(C4131&gt;1,IF(C4131&lt;99,VLOOKUP(C4131,'Babblefish-APUMA'!$A$1:$B$86,2),C4131),C4131)</f>
        <v>97</v>
      </c>
    </row>
    <row r="4132" customFormat="false" ht="12.75" hidden="false" customHeight="false" outlineLevel="0" collapsed="false">
      <c r="A4132" s="0" t="n">
        <f aca="false">B4132*1000+C4132</f>
        <v>59858</v>
      </c>
      <c r="B4132" s="0" t="n">
        <v>59</v>
      </c>
      <c r="C4132" s="0" t="n">
        <v>858</v>
      </c>
      <c r="D4132" s="0" t="n">
        <v>0</v>
      </c>
      <c r="E4132" s="0" t="n">
        <f aca="false">VLOOKUP(B4132,'Babblefish-APUMA'!$A$1:$B$86,2)</f>
        <v>90</v>
      </c>
      <c r="F4132" s="0" t="n">
        <f aca="false">IF(C4132&gt;1,IF(C4132&lt;99,VLOOKUP(C4132,'Babblefish-APUMA'!$A$1:$B$86,2),C4132),C4132)</f>
        <v>858</v>
      </c>
    </row>
    <row r="4133" customFormat="false" ht="12.75" hidden="false" customHeight="false" outlineLevel="0" collapsed="false">
      <c r="A4133" s="0" t="n">
        <f aca="false">B4133*1000+C4133</f>
        <v>59983</v>
      </c>
      <c r="B4133" s="0" t="n">
        <v>59</v>
      </c>
      <c r="C4133" s="0" t="n">
        <v>983</v>
      </c>
      <c r="D4133" s="0" t="n">
        <v>0</v>
      </c>
      <c r="E4133" s="0" t="n">
        <f aca="false">VLOOKUP(B4133,'Babblefish-APUMA'!$A$1:$B$86,2)</f>
        <v>90</v>
      </c>
      <c r="F4133" s="0" t="n">
        <f aca="false">IF(C4133&gt;1,IF(C4133&lt;99,VLOOKUP(C4133,'Babblefish-APUMA'!$A$1:$B$86,2),C4133),C4133)</f>
        <v>983</v>
      </c>
    </row>
    <row r="4134" customFormat="false" ht="12.75" hidden="false" customHeight="false" outlineLevel="0" collapsed="false">
      <c r="A4134" s="0" t="n">
        <f aca="false">B4134*1000+C4134</f>
        <v>59999</v>
      </c>
      <c r="B4134" s="0" t="n">
        <v>59</v>
      </c>
      <c r="C4134" s="0" t="n">
        <v>999</v>
      </c>
      <c r="D4134" s="0" t="n">
        <v>0</v>
      </c>
      <c r="E4134" s="0" t="n">
        <f aca="false">VLOOKUP(B4134,'Babblefish-APUMA'!$A$1:$B$86,2)</f>
        <v>90</v>
      </c>
      <c r="F4134" s="0" t="n">
        <f aca="false">IF(C4134&gt;1,IF(C4134&lt;99,VLOOKUP(C4134,'Babblefish-APUMA'!$A$1:$B$86,2),C4134),C4134)</f>
        <v>999</v>
      </c>
    </row>
    <row r="4135" customFormat="false" ht="12.75" hidden="false" customHeight="false" outlineLevel="0" collapsed="false">
      <c r="A4135" s="0" t="n">
        <f aca="false">B4135*1000+C4135</f>
        <v>60000</v>
      </c>
      <c r="B4135" s="0" t="n">
        <v>60</v>
      </c>
      <c r="C4135" s="0" t="n">
        <v>0</v>
      </c>
      <c r="D4135" s="0" t="n">
        <v>49257</v>
      </c>
      <c r="E4135" s="0" t="n">
        <f aca="false">VLOOKUP(B4135,'Babblefish-APUMA'!$A$1:$B$86,2)</f>
        <v>90</v>
      </c>
      <c r="F4135" s="0" t="n">
        <f aca="false">IF(C4135&gt;1,IF(C4135&lt;99,VLOOKUP(C4135,'Babblefish-APUMA'!$A$1:$B$86,2),C4135),C4135)</f>
        <v>0</v>
      </c>
    </row>
    <row r="4136" customFormat="false" ht="12.75" hidden="false" customHeight="false" outlineLevel="0" collapsed="false">
      <c r="A4136" s="0" t="n">
        <f aca="false">B4136*1000+C4136</f>
        <v>60001</v>
      </c>
      <c r="B4136" s="0" t="n">
        <v>60</v>
      </c>
      <c r="C4136" s="0" t="n">
        <v>1</v>
      </c>
      <c r="D4136" s="0" t="n">
        <v>0</v>
      </c>
      <c r="E4136" s="0" t="n">
        <f aca="false">VLOOKUP(B4136,'Babblefish-APUMA'!$A$1:$B$86,2)</f>
        <v>90</v>
      </c>
      <c r="F4136" s="0" t="n">
        <f aca="false">IF(C4136&gt;1,IF(C4136&lt;99,VLOOKUP(C4136,'Babblefish-APUMA'!$A$1:$B$86,2),C4136),C4136)</f>
        <v>1</v>
      </c>
    </row>
    <row r="4137" customFormat="false" ht="12.75" hidden="false" customHeight="false" outlineLevel="0" collapsed="false">
      <c r="A4137" s="0" t="n">
        <f aca="false">B4137*1000+C4137</f>
        <v>60002</v>
      </c>
      <c r="B4137" s="0" t="n">
        <v>60</v>
      </c>
      <c r="C4137" s="0" t="n">
        <v>2</v>
      </c>
      <c r="D4137" s="0" t="n">
        <v>0</v>
      </c>
      <c r="E4137" s="0" t="n">
        <f aca="false">VLOOKUP(B4137,'Babblefish-APUMA'!$A$1:$B$86,2)</f>
        <v>90</v>
      </c>
      <c r="F4137" s="0" t="n">
        <f aca="false">IF(C4137&gt;1,IF(C4137&lt;99,VLOOKUP(C4137,'Babblefish-APUMA'!$A$1:$B$86,2),C4137),C4137)</f>
        <v>2</v>
      </c>
    </row>
    <row r="4138" customFormat="false" ht="12.75" hidden="false" customHeight="false" outlineLevel="0" collapsed="false">
      <c r="A4138" s="0" t="n">
        <f aca="false">B4138*1000+C4138</f>
        <v>60003</v>
      </c>
      <c r="B4138" s="0" t="n">
        <v>60</v>
      </c>
      <c r="C4138" s="0" t="n">
        <v>3</v>
      </c>
      <c r="D4138" s="0" t="n">
        <v>0</v>
      </c>
      <c r="E4138" s="0" t="n">
        <f aca="false">VLOOKUP(B4138,'Babblefish-APUMA'!$A$1:$B$86,2)</f>
        <v>90</v>
      </c>
      <c r="F4138" s="0" t="n">
        <f aca="false">IF(C4138&gt;1,IF(C4138&lt;99,VLOOKUP(C4138,'Babblefish-APUMA'!$A$1:$B$86,2),C4138),C4138)</f>
        <v>3</v>
      </c>
    </row>
    <row r="4139" customFormat="false" ht="12.75" hidden="false" customHeight="false" outlineLevel="0" collapsed="false">
      <c r="A4139" s="0" t="n">
        <f aca="false">B4139*1000+C4139</f>
        <v>60004</v>
      </c>
      <c r="B4139" s="0" t="n">
        <v>60</v>
      </c>
      <c r="C4139" s="0" t="n">
        <v>4</v>
      </c>
      <c r="D4139" s="0" t="n">
        <v>117</v>
      </c>
      <c r="E4139" s="0" t="n">
        <f aca="false">VLOOKUP(B4139,'Babblefish-APUMA'!$A$1:$B$86,2)</f>
        <v>90</v>
      </c>
      <c r="F4139" s="0" t="n">
        <f aca="false">IF(C4139&gt;1,IF(C4139&lt;99,VLOOKUP(C4139,'Babblefish-APUMA'!$A$1:$B$86,2),C4139),C4139)</f>
        <v>4</v>
      </c>
    </row>
    <row r="4140" customFormat="false" ht="12.75" hidden="false" customHeight="false" outlineLevel="0" collapsed="false">
      <c r="A4140" s="0" t="n">
        <f aca="false">B4140*1000+C4140</f>
        <v>60005</v>
      </c>
      <c r="B4140" s="0" t="n">
        <v>60</v>
      </c>
      <c r="C4140" s="0" t="n">
        <v>5</v>
      </c>
      <c r="D4140" s="0" t="n">
        <v>0</v>
      </c>
      <c r="E4140" s="0" t="n">
        <f aca="false">VLOOKUP(B4140,'Babblefish-APUMA'!$A$1:$B$86,2)</f>
        <v>90</v>
      </c>
      <c r="F4140" s="0" t="n">
        <f aca="false">IF(C4140&gt;1,IF(C4140&lt;99,VLOOKUP(C4140,'Babblefish-APUMA'!$A$1:$B$86,2),C4140),C4140)</f>
        <v>5</v>
      </c>
    </row>
    <row r="4141" customFormat="false" ht="12.75" hidden="false" customHeight="false" outlineLevel="0" collapsed="false">
      <c r="A4141" s="0" t="n">
        <f aca="false">B4141*1000+C4141</f>
        <v>60006</v>
      </c>
      <c r="B4141" s="0" t="n">
        <v>60</v>
      </c>
      <c r="C4141" s="0" t="n">
        <v>6</v>
      </c>
      <c r="D4141" s="0" t="n">
        <v>0</v>
      </c>
      <c r="E4141" s="0" t="n">
        <f aca="false">VLOOKUP(B4141,'Babblefish-APUMA'!$A$1:$B$86,2)</f>
        <v>90</v>
      </c>
      <c r="F4141" s="0" t="n">
        <f aca="false">IF(C4141&gt;1,IF(C4141&lt;99,VLOOKUP(C4141,'Babblefish-APUMA'!$A$1:$B$86,2),C4141),C4141)</f>
        <v>6</v>
      </c>
    </row>
    <row r="4142" customFormat="false" ht="12.75" hidden="false" customHeight="false" outlineLevel="0" collapsed="false">
      <c r="A4142" s="0" t="n">
        <f aca="false">B4142*1000+C4142</f>
        <v>60007</v>
      </c>
      <c r="B4142" s="0" t="n">
        <v>60</v>
      </c>
      <c r="C4142" s="0" t="n">
        <v>7</v>
      </c>
      <c r="D4142" s="0" t="n">
        <v>0</v>
      </c>
      <c r="E4142" s="0" t="n">
        <f aca="false">VLOOKUP(B4142,'Babblefish-APUMA'!$A$1:$B$86,2)</f>
        <v>90</v>
      </c>
      <c r="F4142" s="0" t="n">
        <f aca="false">IF(C4142&gt;1,IF(C4142&lt;99,VLOOKUP(C4142,'Babblefish-APUMA'!$A$1:$B$86,2),C4142),C4142)</f>
        <v>7</v>
      </c>
    </row>
    <row r="4143" customFormat="false" ht="12.75" hidden="false" customHeight="false" outlineLevel="0" collapsed="false">
      <c r="A4143" s="0" t="n">
        <f aca="false">B4143*1000+C4143</f>
        <v>60008</v>
      </c>
      <c r="B4143" s="0" t="n">
        <v>60</v>
      </c>
      <c r="C4143" s="0" t="n">
        <v>8</v>
      </c>
      <c r="D4143" s="0" t="n">
        <v>0</v>
      </c>
      <c r="E4143" s="0" t="n">
        <f aca="false">VLOOKUP(B4143,'Babblefish-APUMA'!$A$1:$B$86,2)</f>
        <v>90</v>
      </c>
      <c r="F4143" s="0" t="n">
        <f aca="false">IF(C4143&gt;1,IF(C4143&lt;99,VLOOKUP(C4143,'Babblefish-APUMA'!$A$1:$B$86,2),C4143),C4143)</f>
        <v>8</v>
      </c>
    </row>
    <row r="4144" customFormat="false" ht="12.75" hidden="false" customHeight="false" outlineLevel="0" collapsed="false">
      <c r="A4144" s="0" t="n">
        <f aca="false">B4144*1000+C4144</f>
        <v>60009</v>
      </c>
      <c r="B4144" s="0" t="n">
        <v>60</v>
      </c>
      <c r="C4144" s="0" t="n">
        <v>9</v>
      </c>
      <c r="D4144" s="0" t="n">
        <v>0</v>
      </c>
      <c r="E4144" s="0" t="n">
        <f aca="false">VLOOKUP(B4144,'Babblefish-APUMA'!$A$1:$B$86,2)</f>
        <v>90</v>
      </c>
      <c r="F4144" s="0" t="n">
        <f aca="false">IF(C4144&gt;1,IF(C4144&lt;99,VLOOKUP(C4144,'Babblefish-APUMA'!$A$1:$B$86,2),C4144),C4144)</f>
        <v>9</v>
      </c>
    </row>
    <row r="4145" customFormat="false" ht="12.75" hidden="false" customHeight="false" outlineLevel="0" collapsed="false">
      <c r="A4145" s="0" t="n">
        <f aca="false">B4145*1000+C4145</f>
        <v>60010</v>
      </c>
      <c r="B4145" s="0" t="n">
        <v>60</v>
      </c>
      <c r="C4145" s="0" t="n">
        <v>10</v>
      </c>
      <c r="D4145" s="0" t="n">
        <v>0</v>
      </c>
      <c r="E4145" s="0" t="n">
        <f aca="false">VLOOKUP(B4145,'Babblefish-APUMA'!$A$1:$B$86,2)</f>
        <v>90</v>
      </c>
      <c r="F4145" s="0" t="n">
        <f aca="false">IF(C4145&gt;1,IF(C4145&lt;99,VLOOKUP(C4145,'Babblefish-APUMA'!$A$1:$B$86,2),C4145),C4145)</f>
        <v>10</v>
      </c>
    </row>
    <row r="4146" customFormat="false" ht="12.75" hidden="false" customHeight="false" outlineLevel="0" collapsed="false">
      <c r="A4146" s="0" t="n">
        <f aca="false">B4146*1000+C4146</f>
        <v>60011</v>
      </c>
      <c r="B4146" s="0" t="n">
        <v>60</v>
      </c>
      <c r="C4146" s="0" t="n">
        <v>11</v>
      </c>
      <c r="D4146" s="0" t="n">
        <v>0</v>
      </c>
      <c r="E4146" s="0" t="n">
        <f aca="false">VLOOKUP(B4146,'Babblefish-APUMA'!$A$1:$B$86,2)</f>
        <v>90</v>
      </c>
      <c r="F4146" s="0" t="n">
        <f aca="false">IF(C4146&gt;1,IF(C4146&lt;99,VLOOKUP(C4146,'Babblefish-APUMA'!$A$1:$B$86,2),C4146),C4146)</f>
        <v>11</v>
      </c>
    </row>
    <row r="4147" customFormat="false" ht="12.75" hidden="false" customHeight="false" outlineLevel="0" collapsed="false">
      <c r="A4147" s="0" t="n">
        <f aca="false">B4147*1000+C4147</f>
        <v>60012</v>
      </c>
      <c r="B4147" s="0" t="n">
        <v>60</v>
      </c>
      <c r="C4147" s="0" t="n">
        <v>12</v>
      </c>
      <c r="D4147" s="0" t="n">
        <v>0</v>
      </c>
      <c r="E4147" s="0" t="n">
        <f aca="false">VLOOKUP(B4147,'Babblefish-APUMA'!$A$1:$B$86,2)</f>
        <v>90</v>
      </c>
      <c r="F4147" s="0" t="n">
        <f aca="false">IF(C4147&gt;1,IF(C4147&lt;99,VLOOKUP(C4147,'Babblefish-APUMA'!$A$1:$B$86,2),C4147),C4147)</f>
        <v>12</v>
      </c>
    </row>
    <row r="4148" customFormat="false" ht="12.75" hidden="false" customHeight="false" outlineLevel="0" collapsed="false">
      <c r="A4148" s="0" t="n">
        <f aca="false">B4148*1000+C4148</f>
        <v>60013</v>
      </c>
      <c r="B4148" s="0" t="n">
        <v>60</v>
      </c>
      <c r="C4148" s="0" t="n">
        <v>13</v>
      </c>
      <c r="D4148" s="0" t="n">
        <v>0</v>
      </c>
      <c r="E4148" s="0" t="n">
        <f aca="false">VLOOKUP(B4148,'Babblefish-APUMA'!$A$1:$B$86,2)</f>
        <v>90</v>
      </c>
      <c r="F4148" s="0" t="n">
        <f aca="false">IF(C4148&gt;1,IF(C4148&lt;99,VLOOKUP(C4148,'Babblefish-APUMA'!$A$1:$B$86,2),C4148),C4148)</f>
        <v>100</v>
      </c>
    </row>
    <row r="4149" customFormat="false" ht="12.75" hidden="false" customHeight="false" outlineLevel="0" collapsed="false">
      <c r="A4149" s="0" t="n">
        <f aca="false">B4149*1000+C4149</f>
        <v>60014</v>
      </c>
      <c r="B4149" s="0" t="n">
        <v>60</v>
      </c>
      <c r="C4149" s="0" t="n">
        <v>14</v>
      </c>
      <c r="D4149" s="0" t="n">
        <v>0</v>
      </c>
      <c r="E4149" s="0" t="n">
        <f aca="false">VLOOKUP(B4149,'Babblefish-APUMA'!$A$1:$B$86,2)</f>
        <v>90</v>
      </c>
      <c r="F4149" s="0" t="n">
        <f aca="false">IF(C4149&gt;1,IF(C4149&lt;99,VLOOKUP(C4149,'Babblefish-APUMA'!$A$1:$B$86,2),C4149),C4149)</f>
        <v>100</v>
      </c>
    </row>
    <row r="4150" customFormat="false" ht="12.75" hidden="false" customHeight="false" outlineLevel="0" collapsed="false">
      <c r="A4150" s="0" t="n">
        <f aca="false">B4150*1000+C4150</f>
        <v>60015</v>
      </c>
      <c r="B4150" s="0" t="n">
        <v>60</v>
      </c>
      <c r="C4150" s="0" t="n">
        <v>15</v>
      </c>
      <c r="D4150" s="0" t="n">
        <v>0</v>
      </c>
      <c r="E4150" s="0" t="n">
        <f aca="false">VLOOKUP(B4150,'Babblefish-APUMA'!$A$1:$B$86,2)</f>
        <v>90</v>
      </c>
      <c r="F4150" s="0" t="n">
        <f aca="false">IF(C4150&gt;1,IF(C4150&lt;99,VLOOKUP(C4150,'Babblefish-APUMA'!$A$1:$B$86,2),C4150),C4150)</f>
        <v>15</v>
      </c>
    </row>
    <row r="4151" customFormat="false" ht="12.75" hidden="false" customHeight="false" outlineLevel="0" collapsed="false">
      <c r="A4151" s="0" t="n">
        <f aca="false">B4151*1000+C4151</f>
        <v>60016</v>
      </c>
      <c r="B4151" s="0" t="n">
        <v>60</v>
      </c>
      <c r="C4151" s="0" t="n">
        <v>16</v>
      </c>
      <c r="D4151" s="0" t="n">
        <v>0</v>
      </c>
      <c r="E4151" s="0" t="n">
        <f aca="false">VLOOKUP(B4151,'Babblefish-APUMA'!$A$1:$B$86,2)</f>
        <v>90</v>
      </c>
      <c r="F4151" s="0" t="n">
        <f aca="false">IF(C4151&gt;1,IF(C4151&lt;99,VLOOKUP(C4151,'Babblefish-APUMA'!$A$1:$B$86,2),C4151),C4151)</f>
        <v>99</v>
      </c>
    </row>
    <row r="4152" customFormat="false" ht="12.75" hidden="false" customHeight="false" outlineLevel="0" collapsed="false">
      <c r="A4152" s="0" t="n">
        <f aca="false">B4152*1000+C4152</f>
        <v>60017</v>
      </c>
      <c r="B4152" s="0" t="n">
        <v>60</v>
      </c>
      <c r="C4152" s="0" t="n">
        <v>17</v>
      </c>
      <c r="D4152" s="0" t="n">
        <v>0</v>
      </c>
      <c r="E4152" s="0" t="n">
        <f aca="false">VLOOKUP(B4152,'Babblefish-APUMA'!$A$1:$B$86,2)</f>
        <v>90</v>
      </c>
      <c r="F4152" s="0" t="n">
        <f aca="false">IF(C4152&gt;1,IF(C4152&lt;99,VLOOKUP(C4152,'Babblefish-APUMA'!$A$1:$B$86,2),C4152),C4152)</f>
        <v>87</v>
      </c>
    </row>
    <row r="4153" customFormat="false" ht="12.75" hidden="false" customHeight="false" outlineLevel="0" collapsed="false">
      <c r="A4153" s="0" t="n">
        <f aca="false">B4153*1000+C4153</f>
        <v>60018</v>
      </c>
      <c r="B4153" s="0" t="n">
        <v>60</v>
      </c>
      <c r="C4153" s="0" t="n">
        <v>18</v>
      </c>
      <c r="D4153" s="0" t="n">
        <v>0</v>
      </c>
      <c r="E4153" s="0" t="n">
        <f aca="false">VLOOKUP(B4153,'Babblefish-APUMA'!$A$1:$B$86,2)</f>
        <v>90</v>
      </c>
      <c r="F4153" s="0" t="n">
        <f aca="false">IF(C4153&gt;1,IF(C4153&lt;99,VLOOKUP(C4153,'Babblefish-APUMA'!$A$1:$B$86,2),C4153),C4153)</f>
        <v>87</v>
      </c>
    </row>
    <row r="4154" customFormat="false" ht="12.75" hidden="false" customHeight="false" outlineLevel="0" collapsed="false">
      <c r="A4154" s="0" t="n">
        <f aca="false">B4154*1000+C4154</f>
        <v>60019</v>
      </c>
      <c r="B4154" s="0" t="n">
        <v>60</v>
      </c>
      <c r="C4154" s="0" t="n">
        <v>19</v>
      </c>
      <c r="D4154" s="0" t="n">
        <v>0</v>
      </c>
      <c r="E4154" s="0" t="n">
        <f aca="false">VLOOKUP(B4154,'Babblefish-APUMA'!$A$1:$B$86,2)</f>
        <v>90</v>
      </c>
      <c r="F4154" s="0" t="n">
        <f aca="false">IF(C4154&gt;1,IF(C4154&lt;99,VLOOKUP(C4154,'Babblefish-APUMA'!$A$1:$B$86,2),C4154),C4154)</f>
        <v>19</v>
      </c>
    </row>
    <row r="4155" customFormat="false" ht="12.75" hidden="false" customHeight="false" outlineLevel="0" collapsed="false">
      <c r="A4155" s="0" t="n">
        <f aca="false">B4155*1000+C4155</f>
        <v>60020</v>
      </c>
      <c r="B4155" s="0" t="n">
        <v>60</v>
      </c>
      <c r="C4155" s="0" t="n">
        <v>20</v>
      </c>
      <c r="D4155" s="0" t="n">
        <v>0</v>
      </c>
      <c r="E4155" s="0" t="n">
        <f aca="false">VLOOKUP(B4155,'Babblefish-APUMA'!$A$1:$B$86,2)</f>
        <v>90</v>
      </c>
      <c r="F4155" s="0" t="n">
        <f aca="false">IF(C4155&gt;1,IF(C4155&lt;99,VLOOKUP(C4155,'Babblefish-APUMA'!$A$1:$B$86,2),C4155),C4155)</f>
        <v>86</v>
      </c>
    </row>
    <row r="4156" customFormat="false" ht="12.75" hidden="false" customHeight="false" outlineLevel="0" collapsed="false">
      <c r="A4156" s="0" t="n">
        <f aca="false">B4156*1000+C4156</f>
        <v>60021</v>
      </c>
      <c r="B4156" s="0" t="n">
        <v>60</v>
      </c>
      <c r="C4156" s="0" t="n">
        <v>21</v>
      </c>
      <c r="D4156" s="0" t="n">
        <v>91</v>
      </c>
      <c r="E4156" s="0" t="n">
        <f aca="false">VLOOKUP(B4156,'Babblefish-APUMA'!$A$1:$B$86,2)</f>
        <v>90</v>
      </c>
      <c r="F4156" s="0" t="n">
        <f aca="false">IF(C4156&gt;1,IF(C4156&lt;99,VLOOKUP(C4156,'Babblefish-APUMA'!$A$1:$B$86,2),C4156),C4156)</f>
        <v>86</v>
      </c>
    </row>
    <row r="4157" customFormat="false" ht="12.75" hidden="false" customHeight="false" outlineLevel="0" collapsed="false">
      <c r="A4157" s="0" t="n">
        <f aca="false">B4157*1000+C4157</f>
        <v>60022</v>
      </c>
      <c r="B4157" s="0" t="n">
        <v>60</v>
      </c>
      <c r="C4157" s="0" t="n">
        <v>22</v>
      </c>
      <c r="D4157" s="0" t="n">
        <v>0</v>
      </c>
      <c r="E4157" s="0" t="n">
        <f aca="false">VLOOKUP(B4157,'Babblefish-APUMA'!$A$1:$B$86,2)</f>
        <v>90</v>
      </c>
      <c r="F4157" s="0" t="n">
        <f aca="false">IF(C4157&gt;1,IF(C4157&lt;99,VLOOKUP(C4157,'Babblefish-APUMA'!$A$1:$B$86,2),C4157),C4157)</f>
        <v>22</v>
      </c>
    </row>
    <row r="4158" customFormat="false" ht="12.75" hidden="false" customHeight="false" outlineLevel="0" collapsed="false">
      <c r="A4158" s="0" t="n">
        <f aca="false">B4158*1000+C4158</f>
        <v>60023</v>
      </c>
      <c r="B4158" s="0" t="n">
        <v>60</v>
      </c>
      <c r="C4158" s="0" t="n">
        <v>23</v>
      </c>
      <c r="D4158" s="0" t="n">
        <v>0</v>
      </c>
      <c r="E4158" s="0" t="n">
        <f aca="false">VLOOKUP(B4158,'Babblefish-APUMA'!$A$1:$B$86,2)</f>
        <v>90</v>
      </c>
      <c r="F4158" s="0" t="n">
        <f aca="false">IF(C4158&gt;1,IF(C4158&lt;99,VLOOKUP(C4158,'Babblefish-APUMA'!$A$1:$B$86,2),C4158),C4158)</f>
        <v>97</v>
      </c>
    </row>
    <row r="4159" customFormat="false" ht="12.75" hidden="false" customHeight="false" outlineLevel="0" collapsed="false">
      <c r="A4159" s="0" t="n">
        <f aca="false">B4159*1000+C4159</f>
        <v>60024</v>
      </c>
      <c r="B4159" s="0" t="n">
        <v>60</v>
      </c>
      <c r="C4159" s="0" t="n">
        <v>24</v>
      </c>
      <c r="D4159" s="0" t="n">
        <v>0</v>
      </c>
      <c r="E4159" s="0" t="n">
        <f aca="false">VLOOKUP(B4159,'Babblefish-APUMA'!$A$1:$B$86,2)</f>
        <v>90</v>
      </c>
      <c r="F4159" s="0" t="n">
        <f aca="false">IF(C4159&gt;1,IF(C4159&lt;99,VLOOKUP(C4159,'Babblefish-APUMA'!$A$1:$B$86,2),C4159),C4159)</f>
        <v>101</v>
      </c>
    </row>
    <row r="4160" customFormat="false" ht="12.75" hidden="false" customHeight="false" outlineLevel="0" collapsed="false">
      <c r="A4160" s="0" t="n">
        <f aca="false">B4160*1000+C4160</f>
        <v>60025</v>
      </c>
      <c r="B4160" s="0" t="n">
        <v>60</v>
      </c>
      <c r="C4160" s="0" t="n">
        <v>25</v>
      </c>
      <c r="D4160" s="0" t="n">
        <v>0</v>
      </c>
      <c r="E4160" s="0" t="n">
        <f aca="false">VLOOKUP(B4160,'Babblefish-APUMA'!$A$1:$B$86,2)</f>
        <v>90</v>
      </c>
      <c r="F4160" s="0" t="n">
        <f aca="false">IF(C4160&gt;1,IF(C4160&lt;99,VLOOKUP(C4160,'Babblefish-APUMA'!$A$1:$B$86,2),C4160),C4160)</f>
        <v>101</v>
      </c>
    </row>
    <row r="4161" customFormat="false" ht="12.75" hidden="false" customHeight="false" outlineLevel="0" collapsed="false">
      <c r="A4161" s="0" t="n">
        <f aca="false">B4161*1000+C4161</f>
        <v>60026</v>
      </c>
      <c r="B4161" s="0" t="n">
        <v>60</v>
      </c>
      <c r="C4161" s="0" t="n">
        <v>26</v>
      </c>
      <c r="D4161" s="0" t="n">
        <v>0</v>
      </c>
      <c r="E4161" s="0" t="n">
        <f aca="false">VLOOKUP(B4161,'Babblefish-APUMA'!$A$1:$B$86,2)</f>
        <v>90</v>
      </c>
      <c r="F4161" s="0" t="n">
        <f aca="false">IF(C4161&gt;1,IF(C4161&lt;99,VLOOKUP(C4161,'Babblefish-APUMA'!$A$1:$B$86,2),C4161),C4161)</f>
        <v>26</v>
      </c>
    </row>
    <row r="4162" customFormat="false" ht="12.75" hidden="false" customHeight="false" outlineLevel="0" collapsed="false">
      <c r="A4162" s="0" t="n">
        <f aca="false">B4162*1000+C4162</f>
        <v>60027</v>
      </c>
      <c r="B4162" s="0" t="n">
        <v>60</v>
      </c>
      <c r="C4162" s="0" t="n">
        <v>27</v>
      </c>
      <c r="D4162" s="0" t="n">
        <v>0</v>
      </c>
      <c r="E4162" s="0" t="n">
        <f aca="false">VLOOKUP(B4162,'Babblefish-APUMA'!$A$1:$B$86,2)</f>
        <v>90</v>
      </c>
      <c r="F4162" s="0" t="n">
        <f aca="false">IF(C4162&gt;1,IF(C4162&lt;99,VLOOKUP(C4162,'Babblefish-APUMA'!$A$1:$B$86,2),C4162),C4162)</f>
        <v>27</v>
      </c>
    </row>
    <row r="4163" customFormat="false" ht="12.75" hidden="false" customHeight="false" outlineLevel="0" collapsed="false">
      <c r="A4163" s="0" t="n">
        <f aca="false">B4163*1000+C4163</f>
        <v>60028</v>
      </c>
      <c r="B4163" s="0" t="n">
        <v>60</v>
      </c>
      <c r="C4163" s="0" t="n">
        <v>28</v>
      </c>
      <c r="D4163" s="0" t="n">
        <v>0</v>
      </c>
      <c r="E4163" s="0" t="n">
        <f aca="false">VLOOKUP(B4163,'Babblefish-APUMA'!$A$1:$B$86,2)</f>
        <v>90</v>
      </c>
      <c r="F4163" s="0" t="n">
        <f aca="false">IF(C4163&gt;1,IF(C4163&lt;99,VLOOKUP(C4163,'Babblefish-APUMA'!$A$1:$B$86,2),C4163),C4163)</f>
        <v>94</v>
      </c>
    </row>
    <row r="4164" customFormat="false" ht="12.75" hidden="false" customHeight="false" outlineLevel="0" collapsed="false">
      <c r="A4164" s="0" t="n">
        <f aca="false">B4164*1000+C4164</f>
        <v>60029</v>
      </c>
      <c r="B4164" s="0" t="n">
        <v>60</v>
      </c>
      <c r="C4164" s="0" t="n">
        <v>29</v>
      </c>
      <c r="D4164" s="0" t="n">
        <v>0</v>
      </c>
      <c r="E4164" s="0" t="n">
        <f aca="false">VLOOKUP(B4164,'Babblefish-APUMA'!$A$1:$B$86,2)</f>
        <v>90</v>
      </c>
      <c r="F4164" s="0" t="n">
        <f aca="false">IF(C4164&gt;1,IF(C4164&lt;99,VLOOKUP(C4164,'Babblefish-APUMA'!$A$1:$B$86,2),C4164),C4164)</f>
        <v>94</v>
      </c>
    </row>
    <row r="4165" customFormat="false" ht="12.75" hidden="false" customHeight="false" outlineLevel="0" collapsed="false">
      <c r="A4165" s="0" t="n">
        <f aca="false">B4165*1000+C4165</f>
        <v>60030</v>
      </c>
      <c r="B4165" s="0" t="n">
        <v>60</v>
      </c>
      <c r="C4165" s="0" t="n">
        <v>30</v>
      </c>
      <c r="D4165" s="0" t="n">
        <v>0</v>
      </c>
      <c r="E4165" s="0" t="n">
        <f aca="false">VLOOKUP(B4165,'Babblefish-APUMA'!$A$1:$B$86,2)</f>
        <v>90</v>
      </c>
      <c r="F4165" s="0" t="n">
        <f aca="false">IF(C4165&gt;1,IF(C4165&lt;99,VLOOKUP(C4165,'Babblefish-APUMA'!$A$1:$B$86,2),C4165),C4165)</f>
        <v>30</v>
      </c>
    </row>
    <row r="4166" customFormat="false" ht="12.75" hidden="false" customHeight="false" outlineLevel="0" collapsed="false">
      <c r="A4166" s="0" t="n">
        <f aca="false">B4166*1000+C4166</f>
        <v>60031</v>
      </c>
      <c r="B4166" s="0" t="n">
        <v>60</v>
      </c>
      <c r="C4166" s="0" t="n">
        <v>31</v>
      </c>
      <c r="D4166" s="0" t="n">
        <v>0</v>
      </c>
      <c r="E4166" s="0" t="n">
        <f aca="false">VLOOKUP(B4166,'Babblefish-APUMA'!$A$1:$B$86,2)</f>
        <v>90</v>
      </c>
      <c r="F4166" s="0" t="n">
        <f aca="false">IF(C4166&gt;1,IF(C4166&lt;99,VLOOKUP(C4166,'Babblefish-APUMA'!$A$1:$B$86,2),C4166),C4166)</f>
        <v>31</v>
      </c>
    </row>
    <row r="4167" customFormat="false" ht="12.75" hidden="false" customHeight="false" outlineLevel="0" collapsed="false">
      <c r="A4167" s="0" t="n">
        <f aca="false">B4167*1000+C4167</f>
        <v>60032</v>
      </c>
      <c r="B4167" s="0" t="n">
        <v>60</v>
      </c>
      <c r="C4167" s="0" t="n">
        <v>32</v>
      </c>
      <c r="D4167" s="0" t="n">
        <v>0</v>
      </c>
      <c r="E4167" s="0" t="n">
        <f aca="false">VLOOKUP(B4167,'Babblefish-APUMA'!$A$1:$B$86,2)</f>
        <v>90</v>
      </c>
      <c r="F4167" s="0" t="n">
        <f aca="false">IF(C4167&gt;1,IF(C4167&lt;99,VLOOKUP(C4167,'Babblefish-APUMA'!$A$1:$B$86,2),C4167),C4167)</f>
        <v>32</v>
      </c>
    </row>
    <row r="4168" customFormat="false" ht="12.75" hidden="false" customHeight="false" outlineLevel="0" collapsed="false">
      <c r="A4168" s="0" t="n">
        <f aca="false">B4168*1000+C4168</f>
        <v>60033</v>
      </c>
      <c r="B4168" s="0" t="n">
        <v>60</v>
      </c>
      <c r="C4168" s="0" t="n">
        <v>33</v>
      </c>
      <c r="D4168" s="0" t="n">
        <v>0</v>
      </c>
      <c r="E4168" s="0" t="n">
        <f aca="false">VLOOKUP(B4168,'Babblefish-APUMA'!$A$1:$B$86,2)</f>
        <v>90</v>
      </c>
      <c r="F4168" s="0" t="n">
        <f aca="false">IF(C4168&gt;1,IF(C4168&lt;99,VLOOKUP(C4168,'Babblefish-APUMA'!$A$1:$B$86,2),C4168),C4168)</f>
        <v>96</v>
      </c>
    </row>
    <row r="4169" customFormat="false" ht="12.75" hidden="false" customHeight="false" outlineLevel="0" collapsed="false">
      <c r="A4169" s="0" t="n">
        <f aca="false">B4169*1000+C4169</f>
        <v>60034</v>
      </c>
      <c r="B4169" s="0" t="n">
        <v>60</v>
      </c>
      <c r="C4169" s="0" t="n">
        <v>34</v>
      </c>
      <c r="D4169" s="0" t="n">
        <v>0</v>
      </c>
      <c r="E4169" s="0" t="n">
        <f aca="false">VLOOKUP(B4169,'Babblefish-APUMA'!$A$1:$B$86,2)</f>
        <v>90</v>
      </c>
      <c r="F4169" s="0" t="n">
        <f aca="false">IF(C4169&gt;1,IF(C4169&lt;99,VLOOKUP(C4169,'Babblefish-APUMA'!$A$1:$B$86,2),C4169),C4169)</f>
        <v>96</v>
      </c>
    </row>
    <row r="4170" customFormat="false" ht="12.75" hidden="false" customHeight="false" outlineLevel="0" collapsed="false">
      <c r="A4170" s="0" t="n">
        <f aca="false">B4170*1000+C4170</f>
        <v>60035</v>
      </c>
      <c r="B4170" s="0" t="n">
        <v>60</v>
      </c>
      <c r="C4170" s="0" t="n">
        <v>35</v>
      </c>
      <c r="D4170" s="0" t="n">
        <v>0</v>
      </c>
      <c r="E4170" s="0" t="n">
        <f aca="false">VLOOKUP(B4170,'Babblefish-APUMA'!$A$1:$B$86,2)</f>
        <v>90</v>
      </c>
      <c r="F4170" s="0" t="n">
        <f aca="false">IF(C4170&gt;1,IF(C4170&lt;99,VLOOKUP(C4170,'Babblefish-APUMA'!$A$1:$B$86,2),C4170),C4170)</f>
        <v>96</v>
      </c>
    </row>
    <row r="4171" customFormat="false" ht="12.75" hidden="false" customHeight="false" outlineLevel="0" collapsed="false">
      <c r="A4171" s="0" t="n">
        <f aca="false">B4171*1000+C4171</f>
        <v>60036</v>
      </c>
      <c r="B4171" s="0" t="n">
        <v>60</v>
      </c>
      <c r="C4171" s="0" t="n">
        <v>36</v>
      </c>
      <c r="D4171" s="0" t="n">
        <v>0</v>
      </c>
      <c r="E4171" s="0" t="n">
        <f aca="false">VLOOKUP(B4171,'Babblefish-APUMA'!$A$1:$B$86,2)</f>
        <v>90</v>
      </c>
      <c r="F4171" s="0" t="n">
        <f aca="false">IF(C4171&gt;1,IF(C4171&lt;99,VLOOKUP(C4171,'Babblefish-APUMA'!$A$1:$B$86,2),C4171),C4171)</f>
        <v>96</v>
      </c>
    </row>
    <row r="4172" customFormat="false" ht="12.75" hidden="false" customHeight="false" outlineLevel="0" collapsed="false">
      <c r="A4172" s="0" t="n">
        <f aca="false">B4172*1000+C4172</f>
        <v>60037</v>
      </c>
      <c r="B4172" s="0" t="n">
        <v>60</v>
      </c>
      <c r="C4172" s="0" t="n">
        <v>37</v>
      </c>
      <c r="D4172" s="0" t="n">
        <v>0</v>
      </c>
      <c r="E4172" s="0" t="n">
        <f aca="false">VLOOKUP(B4172,'Babblefish-APUMA'!$A$1:$B$86,2)</f>
        <v>90</v>
      </c>
      <c r="F4172" s="0" t="n">
        <f aca="false">IF(C4172&gt;1,IF(C4172&lt;99,VLOOKUP(C4172,'Babblefish-APUMA'!$A$1:$B$86,2),C4172),C4172)</f>
        <v>96</v>
      </c>
    </row>
    <row r="4173" customFormat="false" ht="12.75" hidden="false" customHeight="false" outlineLevel="0" collapsed="false">
      <c r="A4173" s="0" t="n">
        <f aca="false">B4173*1000+C4173</f>
        <v>60038</v>
      </c>
      <c r="B4173" s="0" t="n">
        <v>60</v>
      </c>
      <c r="C4173" s="0" t="n">
        <v>38</v>
      </c>
      <c r="D4173" s="0" t="n">
        <v>0</v>
      </c>
      <c r="E4173" s="0" t="n">
        <f aca="false">VLOOKUP(B4173,'Babblefish-APUMA'!$A$1:$B$86,2)</f>
        <v>90</v>
      </c>
      <c r="F4173" s="0" t="n">
        <f aca="false">IF(C4173&gt;1,IF(C4173&lt;99,VLOOKUP(C4173,'Babblefish-APUMA'!$A$1:$B$86,2),C4173),C4173)</f>
        <v>91</v>
      </c>
    </row>
    <row r="4174" customFormat="false" ht="12.75" hidden="false" customHeight="false" outlineLevel="0" collapsed="false">
      <c r="A4174" s="0" t="n">
        <f aca="false">B4174*1000+C4174</f>
        <v>60039</v>
      </c>
      <c r="B4174" s="0" t="n">
        <v>60</v>
      </c>
      <c r="C4174" s="0" t="n">
        <v>39</v>
      </c>
      <c r="D4174" s="0" t="n">
        <v>65</v>
      </c>
      <c r="E4174" s="0" t="n">
        <f aca="false">VLOOKUP(B4174,'Babblefish-APUMA'!$A$1:$B$86,2)</f>
        <v>90</v>
      </c>
      <c r="F4174" s="0" t="n">
        <f aca="false">IF(C4174&gt;1,IF(C4174&lt;99,VLOOKUP(C4174,'Babblefish-APUMA'!$A$1:$B$86,2),C4174),C4174)</f>
        <v>91</v>
      </c>
    </row>
    <row r="4175" customFormat="false" ht="12.75" hidden="false" customHeight="false" outlineLevel="0" collapsed="false">
      <c r="A4175" s="0" t="n">
        <f aca="false">B4175*1000+C4175</f>
        <v>60040</v>
      </c>
      <c r="B4175" s="0" t="n">
        <v>60</v>
      </c>
      <c r="C4175" s="0" t="n">
        <v>40</v>
      </c>
      <c r="D4175" s="0" t="n">
        <v>0</v>
      </c>
      <c r="E4175" s="0" t="n">
        <f aca="false">VLOOKUP(B4175,'Babblefish-APUMA'!$A$1:$B$86,2)</f>
        <v>90</v>
      </c>
      <c r="F4175" s="0" t="n">
        <f aca="false">IF(C4175&gt;1,IF(C4175&lt;99,VLOOKUP(C4175,'Babblefish-APUMA'!$A$1:$B$86,2),C4175),C4175)</f>
        <v>88</v>
      </c>
    </row>
    <row r="4176" customFormat="false" ht="12.75" hidden="false" customHeight="false" outlineLevel="0" collapsed="false">
      <c r="A4176" s="0" t="n">
        <f aca="false">B4176*1000+C4176</f>
        <v>60041</v>
      </c>
      <c r="B4176" s="0" t="n">
        <v>60</v>
      </c>
      <c r="C4176" s="0" t="n">
        <v>41</v>
      </c>
      <c r="D4176" s="0" t="n">
        <v>0</v>
      </c>
      <c r="E4176" s="0" t="n">
        <f aca="false">VLOOKUP(B4176,'Babblefish-APUMA'!$A$1:$B$86,2)</f>
        <v>90</v>
      </c>
      <c r="F4176" s="0" t="n">
        <f aca="false">IF(C4176&gt;1,IF(C4176&lt;99,VLOOKUP(C4176,'Babblefish-APUMA'!$A$1:$B$86,2),C4176),C4176)</f>
        <v>88</v>
      </c>
    </row>
    <row r="4177" customFormat="false" ht="12.75" hidden="false" customHeight="false" outlineLevel="0" collapsed="false">
      <c r="A4177" s="0" t="n">
        <f aca="false">B4177*1000+C4177</f>
        <v>60042</v>
      </c>
      <c r="B4177" s="0" t="n">
        <v>60</v>
      </c>
      <c r="C4177" s="0" t="n">
        <v>42</v>
      </c>
      <c r="D4177" s="0" t="n">
        <v>182</v>
      </c>
      <c r="E4177" s="0" t="n">
        <f aca="false">VLOOKUP(B4177,'Babblefish-APUMA'!$A$1:$B$86,2)</f>
        <v>90</v>
      </c>
      <c r="F4177" s="0" t="n">
        <f aca="false">IF(C4177&gt;1,IF(C4177&lt;99,VLOOKUP(C4177,'Babblefish-APUMA'!$A$1:$B$86,2),C4177),C4177)</f>
        <v>92</v>
      </c>
    </row>
    <row r="4178" customFormat="false" ht="12.75" hidden="false" customHeight="false" outlineLevel="0" collapsed="false">
      <c r="A4178" s="0" t="n">
        <f aca="false">B4178*1000+C4178</f>
        <v>60043</v>
      </c>
      <c r="B4178" s="0" t="n">
        <v>60</v>
      </c>
      <c r="C4178" s="0" t="n">
        <v>43</v>
      </c>
      <c r="D4178" s="0" t="n">
        <v>0</v>
      </c>
      <c r="E4178" s="0" t="n">
        <f aca="false">VLOOKUP(B4178,'Babblefish-APUMA'!$A$1:$B$86,2)</f>
        <v>90</v>
      </c>
      <c r="F4178" s="0" t="n">
        <f aca="false">IF(C4178&gt;1,IF(C4178&lt;99,VLOOKUP(C4178,'Babblefish-APUMA'!$A$1:$B$86,2),C4178),C4178)</f>
        <v>92</v>
      </c>
    </row>
    <row r="4179" customFormat="false" ht="12.75" hidden="false" customHeight="false" outlineLevel="0" collapsed="false">
      <c r="A4179" s="0" t="n">
        <f aca="false">B4179*1000+C4179</f>
        <v>60044</v>
      </c>
      <c r="B4179" s="0" t="n">
        <v>60</v>
      </c>
      <c r="C4179" s="0" t="n">
        <v>44</v>
      </c>
      <c r="D4179" s="0" t="n">
        <v>0</v>
      </c>
      <c r="E4179" s="0" t="n">
        <f aca="false">VLOOKUP(B4179,'Babblefish-APUMA'!$A$1:$B$86,2)</f>
        <v>90</v>
      </c>
      <c r="F4179" s="0" t="n">
        <f aca="false">IF(C4179&gt;1,IF(C4179&lt;99,VLOOKUP(C4179,'Babblefish-APUMA'!$A$1:$B$86,2),C4179),C4179)</f>
        <v>92</v>
      </c>
    </row>
    <row r="4180" customFormat="false" ht="12.75" hidden="false" customHeight="false" outlineLevel="0" collapsed="false">
      <c r="A4180" s="0" t="n">
        <f aca="false">B4180*1000+C4180</f>
        <v>60045</v>
      </c>
      <c r="B4180" s="0" t="n">
        <v>60</v>
      </c>
      <c r="C4180" s="0" t="n">
        <v>45</v>
      </c>
      <c r="D4180" s="0" t="n">
        <v>0</v>
      </c>
      <c r="E4180" s="0" t="n">
        <f aca="false">VLOOKUP(B4180,'Babblefish-APUMA'!$A$1:$B$86,2)</f>
        <v>90</v>
      </c>
      <c r="F4180" s="0" t="n">
        <f aca="false">IF(C4180&gt;1,IF(C4180&lt;99,VLOOKUP(C4180,'Babblefish-APUMA'!$A$1:$B$86,2),C4180),C4180)</f>
        <v>92</v>
      </c>
    </row>
    <row r="4181" customFormat="false" ht="12.75" hidden="false" customHeight="false" outlineLevel="0" collapsed="false">
      <c r="A4181" s="0" t="n">
        <f aca="false">B4181*1000+C4181</f>
        <v>60046</v>
      </c>
      <c r="B4181" s="0" t="n">
        <v>60</v>
      </c>
      <c r="C4181" s="0" t="n">
        <v>46</v>
      </c>
      <c r="D4181" s="0" t="n">
        <v>195</v>
      </c>
      <c r="E4181" s="0" t="n">
        <f aca="false">VLOOKUP(B4181,'Babblefish-APUMA'!$A$1:$B$86,2)</f>
        <v>90</v>
      </c>
      <c r="F4181" s="0" t="n">
        <f aca="false">IF(C4181&gt;1,IF(C4181&lt;99,VLOOKUP(C4181,'Babblefish-APUMA'!$A$1:$B$86,2),C4181),C4181)</f>
        <v>92</v>
      </c>
    </row>
    <row r="4182" customFormat="false" ht="12.75" hidden="false" customHeight="false" outlineLevel="0" collapsed="false">
      <c r="A4182" s="0" t="n">
        <f aca="false">B4182*1000+C4182</f>
        <v>60047</v>
      </c>
      <c r="B4182" s="0" t="n">
        <v>60</v>
      </c>
      <c r="C4182" s="0" t="n">
        <v>47</v>
      </c>
      <c r="D4182" s="0" t="n">
        <v>130</v>
      </c>
      <c r="E4182" s="0" t="n">
        <f aca="false">VLOOKUP(B4182,'Babblefish-APUMA'!$A$1:$B$86,2)</f>
        <v>90</v>
      </c>
      <c r="F4182" s="0" t="n">
        <f aca="false">IF(C4182&gt;1,IF(C4182&lt;99,VLOOKUP(C4182,'Babblefish-APUMA'!$A$1:$B$86,2),C4182),C4182)</f>
        <v>92</v>
      </c>
    </row>
    <row r="4183" customFormat="false" ht="12.75" hidden="false" customHeight="false" outlineLevel="0" collapsed="false">
      <c r="A4183" s="0" t="n">
        <f aca="false">B4183*1000+C4183</f>
        <v>60048</v>
      </c>
      <c r="B4183" s="0" t="n">
        <v>60</v>
      </c>
      <c r="C4183" s="0" t="n">
        <v>48</v>
      </c>
      <c r="D4183" s="0" t="n">
        <v>1287</v>
      </c>
      <c r="E4183" s="0" t="n">
        <f aca="false">VLOOKUP(B4183,'Babblefish-APUMA'!$A$1:$B$86,2)</f>
        <v>90</v>
      </c>
      <c r="F4183" s="0" t="n">
        <f aca="false">IF(C4183&gt;1,IF(C4183&lt;99,VLOOKUP(C4183,'Babblefish-APUMA'!$A$1:$B$86,2),C4183),C4183)</f>
        <v>92</v>
      </c>
    </row>
    <row r="4184" customFormat="false" ht="12.75" hidden="false" customHeight="false" outlineLevel="0" collapsed="false">
      <c r="A4184" s="0" t="n">
        <f aca="false">B4184*1000+C4184</f>
        <v>60049</v>
      </c>
      <c r="B4184" s="0" t="n">
        <v>60</v>
      </c>
      <c r="C4184" s="0" t="n">
        <v>49</v>
      </c>
      <c r="D4184" s="0" t="n">
        <v>0</v>
      </c>
      <c r="E4184" s="0" t="n">
        <f aca="false">VLOOKUP(B4184,'Babblefish-APUMA'!$A$1:$B$86,2)</f>
        <v>90</v>
      </c>
      <c r="F4184" s="0" t="n">
        <f aca="false">IF(C4184&gt;1,IF(C4184&lt;99,VLOOKUP(C4184,'Babblefish-APUMA'!$A$1:$B$86,2),C4184),C4184)</f>
        <v>98</v>
      </c>
    </row>
    <row r="4185" customFormat="false" ht="12.75" hidden="false" customHeight="false" outlineLevel="0" collapsed="false">
      <c r="A4185" s="0" t="n">
        <f aca="false">B4185*1000+C4185</f>
        <v>60050</v>
      </c>
      <c r="B4185" s="0" t="n">
        <v>60</v>
      </c>
      <c r="C4185" s="0" t="n">
        <v>50</v>
      </c>
      <c r="D4185" s="0" t="n">
        <v>0</v>
      </c>
      <c r="E4185" s="0" t="n">
        <f aca="false">VLOOKUP(B4185,'Babblefish-APUMA'!$A$1:$B$86,2)</f>
        <v>90</v>
      </c>
      <c r="F4185" s="0" t="n">
        <f aca="false">IF(C4185&gt;1,IF(C4185&lt;99,VLOOKUP(C4185,'Babblefish-APUMA'!$A$1:$B$86,2),C4185),C4185)</f>
        <v>98</v>
      </c>
    </row>
    <row r="4186" customFormat="false" ht="12.75" hidden="false" customHeight="false" outlineLevel="0" collapsed="false">
      <c r="A4186" s="0" t="n">
        <f aca="false">B4186*1000+C4186</f>
        <v>60051</v>
      </c>
      <c r="B4186" s="0" t="n">
        <v>60</v>
      </c>
      <c r="C4186" s="0" t="n">
        <v>51</v>
      </c>
      <c r="D4186" s="0" t="n">
        <v>0</v>
      </c>
      <c r="E4186" s="0" t="n">
        <f aca="false">VLOOKUP(B4186,'Babblefish-APUMA'!$A$1:$B$86,2)</f>
        <v>90</v>
      </c>
      <c r="F4186" s="0" t="n">
        <f aca="false">IF(C4186&gt;1,IF(C4186&lt;99,VLOOKUP(C4186,'Babblefish-APUMA'!$A$1:$B$86,2),C4186),C4186)</f>
        <v>98</v>
      </c>
    </row>
    <row r="4187" customFormat="false" ht="12.75" hidden="false" customHeight="false" outlineLevel="0" collapsed="false">
      <c r="A4187" s="0" t="n">
        <f aca="false">B4187*1000+C4187</f>
        <v>60052</v>
      </c>
      <c r="B4187" s="0" t="n">
        <v>60</v>
      </c>
      <c r="C4187" s="0" t="n">
        <v>52</v>
      </c>
      <c r="D4187" s="0" t="n">
        <v>91</v>
      </c>
      <c r="E4187" s="0" t="n">
        <f aca="false">VLOOKUP(B4187,'Babblefish-APUMA'!$A$1:$B$86,2)</f>
        <v>90</v>
      </c>
      <c r="F4187" s="0" t="n">
        <f aca="false">IF(C4187&gt;1,IF(C4187&lt;99,VLOOKUP(C4187,'Babblefish-APUMA'!$A$1:$B$86,2),C4187),C4187)</f>
        <v>90</v>
      </c>
    </row>
    <row r="4188" customFormat="false" ht="12.75" hidden="false" customHeight="false" outlineLevel="0" collapsed="false">
      <c r="A4188" s="0" t="n">
        <f aca="false">B4188*1000+C4188</f>
        <v>60053</v>
      </c>
      <c r="B4188" s="0" t="n">
        <v>60</v>
      </c>
      <c r="C4188" s="0" t="n">
        <v>53</v>
      </c>
      <c r="D4188" s="0" t="n">
        <v>169</v>
      </c>
      <c r="E4188" s="0" t="n">
        <f aca="false">VLOOKUP(B4188,'Babblefish-APUMA'!$A$1:$B$86,2)</f>
        <v>90</v>
      </c>
      <c r="F4188" s="0" t="n">
        <f aca="false">IF(C4188&gt;1,IF(C4188&lt;99,VLOOKUP(C4188,'Babblefish-APUMA'!$A$1:$B$86,2),C4188),C4188)</f>
        <v>90</v>
      </c>
    </row>
    <row r="4189" customFormat="false" ht="12.75" hidden="false" customHeight="false" outlineLevel="0" collapsed="false">
      <c r="A4189" s="0" t="n">
        <f aca="false">B4189*1000+C4189</f>
        <v>60054</v>
      </c>
      <c r="B4189" s="0" t="n">
        <v>60</v>
      </c>
      <c r="C4189" s="0" t="n">
        <v>54</v>
      </c>
      <c r="D4189" s="0" t="n">
        <v>0</v>
      </c>
      <c r="E4189" s="0" t="n">
        <f aca="false">VLOOKUP(B4189,'Babblefish-APUMA'!$A$1:$B$86,2)</f>
        <v>90</v>
      </c>
      <c r="F4189" s="0" t="n">
        <f aca="false">IF(C4189&gt;1,IF(C4189&lt;99,VLOOKUP(C4189,'Babblefish-APUMA'!$A$1:$B$86,2),C4189),C4189)</f>
        <v>90</v>
      </c>
    </row>
    <row r="4190" customFormat="false" ht="12.75" hidden="false" customHeight="false" outlineLevel="0" collapsed="false">
      <c r="A4190" s="0" t="n">
        <f aca="false">B4190*1000+C4190</f>
        <v>60055</v>
      </c>
      <c r="B4190" s="0" t="n">
        <v>60</v>
      </c>
      <c r="C4190" s="0" t="n">
        <v>55</v>
      </c>
      <c r="D4190" s="0" t="n">
        <v>91</v>
      </c>
      <c r="E4190" s="0" t="n">
        <f aca="false">VLOOKUP(B4190,'Babblefish-APUMA'!$A$1:$B$86,2)</f>
        <v>90</v>
      </c>
      <c r="F4190" s="0" t="n">
        <f aca="false">IF(C4190&gt;1,IF(C4190&lt;99,VLOOKUP(C4190,'Babblefish-APUMA'!$A$1:$B$86,2),C4190),C4190)</f>
        <v>90</v>
      </c>
    </row>
    <row r="4191" customFormat="false" ht="12.75" hidden="false" customHeight="false" outlineLevel="0" collapsed="false">
      <c r="A4191" s="0" t="n">
        <f aca="false">B4191*1000+C4191</f>
        <v>60056</v>
      </c>
      <c r="B4191" s="0" t="n">
        <v>60</v>
      </c>
      <c r="C4191" s="0" t="n">
        <v>56</v>
      </c>
      <c r="D4191" s="0" t="n">
        <v>364</v>
      </c>
      <c r="E4191" s="0" t="n">
        <f aca="false">VLOOKUP(B4191,'Babblefish-APUMA'!$A$1:$B$86,2)</f>
        <v>90</v>
      </c>
      <c r="F4191" s="0" t="n">
        <f aca="false">IF(C4191&gt;1,IF(C4191&lt;99,VLOOKUP(C4191,'Babblefish-APUMA'!$A$1:$B$86,2),C4191),C4191)</f>
        <v>90</v>
      </c>
    </row>
    <row r="4192" customFormat="false" ht="12.75" hidden="false" customHeight="false" outlineLevel="0" collapsed="false">
      <c r="A4192" s="0" t="n">
        <f aca="false">B4192*1000+C4192</f>
        <v>60057</v>
      </c>
      <c r="B4192" s="0" t="n">
        <v>60</v>
      </c>
      <c r="C4192" s="0" t="n">
        <v>57</v>
      </c>
      <c r="D4192" s="0" t="n">
        <v>104</v>
      </c>
      <c r="E4192" s="0" t="n">
        <f aca="false">VLOOKUP(B4192,'Babblefish-APUMA'!$A$1:$B$86,2)</f>
        <v>90</v>
      </c>
      <c r="F4192" s="0" t="n">
        <f aca="false">IF(C4192&gt;1,IF(C4192&lt;99,VLOOKUP(C4192,'Babblefish-APUMA'!$A$1:$B$86,2),C4192),C4192)</f>
        <v>90</v>
      </c>
    </row>
    <row r="4193" customFormat="false" ht="12.75" hidden="false" customHeight="false" outlineLevel="0" collapsed="false">
      <c r="A4193" s="0" t="n">
        <f aca="false">B4193*1000+C4193</f>
        <v>60058</v>
      </c>
      <c r="B4193" s="0" t="n">
        <v>60</v>
      </c>
      <c r="C4193" s="0" t="n">
        <v>58</v>
      </c>
      <c r="D4193" s="0" t="n">
        <v>0</v>
      </c>
      <c r="E4193" s="0" t="n">
        <f aca="false">VLOOKUP(B4193,'Babblefish-APUMA'!$A$1:$B$86,2)</f>
        <v>90</v>
      </c>
      <c r="F4193" s="0" t="n">
        <f aca="false">IF(C4193&gt;1,IF(C4193&lt;99,VLOOKUP(C4193,'Babblefish-APUMA'!$A$1:$B$86,2),C4193),C4193)</f>
        <v>90</v>
      </c>
    </row>
    <row r="4194" customFormat="false" ht="12.75" hidden="false" customHeight="false" outlineLevel="0" collapsed="false">
      <c r="A4194" s="0" t="n">
        <f aca="false">B4194*1000+C4194</f>
        <v>60059</v>
      </c>
      <c r="B4194" s="0" t="n">
        <v>60</v>
      </c>
      <c r="C4194" s="0" t="n">
        <v>59</v>
      </c>
      <c r="D4194" s="0" t="n">
        <v>0</v>
      </c>
      <c r="E4194" s="0" t="n">
        <f aca="false">VLOOKUP(B4194,'Babblefish-APUMA'!$A$1:$B$86,2)</f>
        <v>90</v>
      </c>
      <c r="F4194" s="0" t="n">
        <f aca="false">IF(C4194&gt;1,IF(C4194&lt;99,VLOOKUP(C4194,'Babblefish-APUMA'!$A$1:$B$86,2),C4194),C4194)</f>
        <v>90</v>
      </c>
    </row>
    <row r="4195" customFormat="false" ht="12.75" hidden="false" customHeight="false" outlineLevel="0" collapsed="false">
      <c r="A4195" s="0" t="n">
        <f aca="false">B4195*1000+C4195</f>
        <v>60060</v>
      </c>
      <c r="B4195" s="0" t="n">
        <v>60</v>
      </c>
      <c r="C4195" s="0" t="n">
        <v>60</v>
      </c>
      <c r="D4195" s="0" t="n">
        <v>9555</v>
      </c>
      <c r="E4195" s="0" t="n">
        <f aca="false">VLOOKUP(B4195,'Babblefish-APUMA'!$A$1:$B$86,2)</f>
        <v>90</v>
      </c>
      <c r="F4195" s="0" t="n">
        <f aca="false">IF(C4195&gt;1,IF(C4195&lt;99,VLOOKUP(C4195,'Babblefish-APUMA'!$A$1:$B$86,2),C4195),C4195)</f>
        <v>90</v>
      </c>
    </row>
    <row r="4196" customFormat="false" ht="12.75" hidden="false" customHeight="false" outlineLevel="0" collapsed="false">
      <c r="A4196" s="0" t="n">
        <f aca="false">B4196*1000+C4196</f>
        <v>60061</v>
      </c>
      <c r="B4196" s="0" t="n">
        <v>60</v>
      </c>
      <c r="C4196" s="0" t="n">
        <v>61</v>
      </c>
      <c r="D4196" s="0" t="n">
        <v>910</v>
      </c>
      <c r="E4196" s="0" t="n">
        <f aca="false">VLOOKUP(B4196,'Babblefish-APUMA'!$A$1:$B$86,2)</f>
        <v>90</v>
      </c>
      <c r="F4196" s="0" t="n">
        <f aca="false">IF(C4196&gt;1,IF(C4196&lt;99,VLOOKUP(C4196,'Babblefish-APUMA'!$A$1:$B$86,2),C4196),C4196)</f>
        <v>90</v>
      </c>
    </row>
    <row r="4197" customFormat="false" ht="12.75" hidden="false" customHeight="false" outlineLevel="0" collapsed="false">
      <c r="A4197" s="0" t="n">
        <f aca="false">B4197*1000+C4197</f>
        <v>60062</v>
      </c>
      <c r="B4197" s="0" t="n">
        <v>60</v>
      </c>
      <c r="C4197" s="0" t="n">
        <v>62</v>
      </c>
      <c r="D4197" s="0" t="n">
        <v>520</v>
      </c>
      <c r="E4197" s="0" t="n">
        <f aca="false">VLOOKUP(B4197,'Babblefish-APUMA'!$A$1:$B$86,2)</f>
        <v>90</v>
      </c>
      <c r="F4197" s="0" t="n">
        <f aca="false">IF(C4197&gt;1,IF(C4197&lt;99,VLOOKUP(C4197,'Babblefish-APUMA'!$A$1:$B$86,2),C4197),C4197)</f>
        <v>90</v>
      </c>
    </row>
    <row r="4198" customFormat="false" ht="12.75" hidden="false" customHeight="false" outlineLevel="0" collapsed="false">
      <c r="A4198" s="0" t="n">
        <f aca="false">B4198*1000+C4198</f>
        <v>60063</v>
      </c>
      <c r="B4198" s="0" t="n">
        <v>60</v>
      </c>
      <c r="C4198" s="0" t="n">
        <v>63</v>
      </c>
      <c r="D4198" s="0" t="n">
        <v>0</v>
      </c>
      <c r="E4198" s="0" t="n">
        <f aca="false">VLOOKUP(B4198,'Babblefish-APUMA'!$A$1:$B$86,2)</f>
        <v>90</v>
      </c>
      <c r="F4198" s="0" t="n">
        <f aca="false">IF(C4198&gt;1,IF(C4198&lt;99,VLOOKUP(C4198,'Babblefish-APUMA'!$A$1:$B$86,2),C4198),C4198)</f>
        <v>90</v>
      </c>
    </row>
    <row r="4199" customFormat="false" ht="12.75" hidden="false" customHeight="false" outlineLevel="0" collapsed="false">
      <c r="A4199" s="0" t="n">
        <f aca="false">B4199*1000+C4199</f>
        <v>60064</v>
      </c>
      <c r="B4199" s="0" t="n">
        <v>60</v>
      </c>
      <c r="C4199" s="0" t="n">
        <v>64</v>
      </c>
      <c r="D4199" s="0" t="n">
        <v>19968</v>
      </c>
      <c r="E4199" s="0" t="n">
        <f aca="false">VLOOKUP(B4199,'Babblefish-APUMA'!$A$1:$B$86,2)</f>
        <v>90</v>
      </c>
      <c r="F4199" s="0" t="n">
        <f aca="false">IF(C4199&gt;1,IF(C4199&lt;99,VLOOKUP(C4199,'Babblefish-APUMA'!$A$1:$B$86,2),C4199),C4199)</f>
        <v>90</v>
      </c>
    </row>
    <row r="4200" customFormat="false" ht="12.75" hidden="false" customHeight="false" outlineLevel="0" collapsed="false">
      <c r="A4200" s="0" t="n">
        <f aca="false">B4200*1000+C4200</f>
        <v>60065</v>
      </c>
      <c r="B4200" s="0" t="n">
        <v>60</v>
      </c>
      <c r="C4200" s="0" t="n">
        <v>65</v>
      </c>
      <c r="D4200" s="0" t="n">
        <v>11674</v>
      </c>
      <c r="E4200" s="0" t="n">
        <f aca="false">VLOOKUP(B4200,'Babblefish-APUMA'!$A$1:$B$86,2)</f>
        <v>90</v>
      </c>
      <c r="F4200" s="0" t="n">
        <f aca="false">IF(C4200&gt;1,IF(C4200&lt;99,VLOOKUP(C4200,'Babblefish-APUMA'!$A$1:$B$86,2),C4200),C4200)</f>
        <v>90</v>
      </c>
    </row>
    <row r="4201" customFormat="false" ht="12.75" hidden="false" customHeight="false" outlineLevel="0" collapsed="false">
      <c r="A4201" s="0" t="n">
        <f aca="false">B4201*1000+C4201</f>
        <v>60066</v>
      </c>
      <c r="B4201" s="0" t="n">
        <v>60</v>
      </c>
      <c r="C4201" s="0" t="n">
        <v>66</v>
      </c>
      <c r="D4201" s="0" t="n">
        <v>4381</v>
      </c>
      <c r="E4201" s="0" t="n">
        <f aca="false">VLOOKUP(B4201,'Babblefish-APUMA'!$A$1:$B$86,2)</f>
        <v>90</v>
      </c>
      <c r="F4201" s="0" t="n">
        <f aca="false">IF(C4201&gt;1,IF(C4201&lt;99,VLOOKUP(C4201,'Babblefish-APUMA'!$A$1:$B$86,2),C4201),C4201)</f>
        <v>90</v>
      </c>
    </row>
    <row r="4202" customFormat="false" ht="12.75" hidden="false" customHeight="false" outlineLevel="0" collapsed="false">
      <c r="A4202" s="0" t="n">
        <f aca="false">B4202*1000+C4202</f>
        <v>60067</v>
      </c>
      <c r="B4202" s="0" t="n">
        <v>60</v>
      </c>
      <c r="C4202" s="0" t="n">
        <v>67</v>
      </c>
      <c r="D4202" s="0" t="n">
        <v>0</v>
      </c>
      <c r="E4202" s="0" t="n">
        <f aca="false">VLOOKUP(B4202,'Babblefish-APUMA'!$A$1:$B$86,2)</f>
        <v>90</v>
      </c>
      <c r="F4202" s="0" t="n">
        <f aca="false">IF(C4202&gt;1,IF(C4202&lt;99,VLOOKUP(C4202,'Babblefish-APUMA'!$A$1:$B$86,2),C4202),C4202)</f>
        <v>103</v>
      </c>
    </row>
    <row r="4203" customFormat="false" ht="12.75" hidden="false" customHeight="false" outlineLevel="0" collapsed="false">
      <c r="A4203" s="0" t="n">
        <f aca="false">B4203*1000+C4203</f>
        <v>60068</v>
      </c>
      <c r="B4203" s="0" t="n">
        <v>60</v>
      </c>
      <c r="C4203" s="0" t="n">
        <v>68</v>
      </c>
      <c r="D4203" s="0" t="n">
        <v>0</v>
      </c>
      <c r="E4203" s="0" t="n">
        <f aca="false">VLOOKUP(B4203,'Babblefish-APUMA'!$A$1:$B$86,2)</f>
        <v>90</v>
      </c>
      <c r="F4203" s="0" t="n">
        <f aca="false">IF(C4203&gt;1,IF(C4203&lt;99,VLOOKUP(C4203,'Babblefish-APUMA'!$A$1:$B$86,2),C4203),C4203)</f>
        <v>93</v>
      </c>
    </row>
    <row r="4204" customFormat="false" ht="12.75" hidden="false" customHeight="false" outlineLevel="0" collapsed="false">
      <c r="A4204" s="0" t="n">
        <f aca="false">B4204*1000+C4204</f>
        <v>60069</v>
      </c>
      <c r="B4204" s="0" t="n">
        <v>60</v>
      </c>
      <c r="C4204" s="0" t="n">
        <v>69</v>
      </c>
      <c r="D4204" s="0" t="n">
        <v>65</v>
      </c>
      <c r="E4204" s="0" t="n">
        <f aca="false">VLOOKUP(B4204,'Babblefish-APUMA'!$A$1:$B$86,2)</f>
        <v>90</v>
      </c>
      <c r="F4204" s="0" t="n">
        <f aca="false">IF(C4204&gt;1,IF(C4204&lt;99,VLOOKUP(C4204,'Babblefish-APUMA'!$A$1:$B$86,2),C4204),C4204)</f>
        <v>93</v>
      </c>
    </row>
    <row r="4205" customFormat="false" ht="12.75" hidden="false" customHeight="false" outlineLevel="0" collapsed="false">
      <c r="A4205" s="0" t="n">
        <f aca="false">B4205*1000+C4205</f>
        <v>60070</v>
      </c>
      <c r="B4205" s="0" t="n">
        <v>60</v>
      </c>
      <c r="C4205" s="0" t="n">
        <v>70</v>
      </c>
      <c r="D4205" s="0" t="n">
        <v>0</v>
      </c>
      <c r="E4205" s="0" t="n">
        <f aca="false">VLOOKUP(B4205,'Babblefish-APUMA'!$A$1:$B$86,2)</f>
        <v>90</v>
      </c>
      <c r="F4205" s="0" t="n">
        <f aca="false">IF(C4205&gt;1,IF(C4205&lt;99,VLOOKUP(C4205,'Babblefish-APUMA'!$A$1:$B$86,2),C4205),C4205)</f>
        <v>95</v>
      </c>
    </row>
    <row r="4206" customFormat="false" ht="12.75" hidden="false" customHeight="false" outlineLevel="0" collapsed="false">
      <c r="A4206" s="0" t="n">
        <f aca="false">B4206*1000+C4206</f>
        <v>60071</v>
      </c>
      <c r="B4206" s="0" t="n">
        <v>60</v>
      </c>
      <c r="C4206" s="0" t="n">
        <v>71</v>
      </c>
      <c r="D4206" s="0" t="n">
        <v>182</v>
      </c>
      <c r="E4206" s="0" t="n">
        <f aca="false">VLOOKUP(B4206,'Babblefish-APUMA'!$A$1:$B$86,2)</f>
        <v>90</v>
      </c>
      <c r="F4206" s="0" t="n">
        <f aca="false">IF(C4206&gt;1,IF(C4206&lt;99,VLOOKUP(C4206,'Babblefish-APUMA'!$A$1:$B$86,2),C4206),C4206)</f>
        <v>95</v>
      </c>
    </row>
    <row r="4207" customFormat="false" ht="12.75" hidden="false" customHeight="false" outlineLevel="0" collapsed="false">
      <c r="A4207" s="0" t="n">
        <f aca="false">B4207*1000+C4207</f>
        <v>60072</v>
      </c>
      <c r="B4207" s="0" t="n">
        <v>60</v>
      </c>
      <c r="C4207" s="0" t="n">
        <v>72</v>
      </c>
      <c r="D4207" s="0" t="n">
        <v>0</v>
      </c>
      <c r="E4207" s="0" t="n">
        <f aca="false">VLOOKUP(B4207,'Babblefish-APUMA'!$A$1:$B$86,2)</f>
        <v>90</v>
      </c>
      <c r="F4207" s="0" t="n">
        <f aca="false">IF(C4207&gt;1,IF(C4207&lt;99,VLOOKUP(C4207,'Babblefish-APUMA'!$A$1:$B$86,2),C4207),C4207)</f>
        <v>95</v>
      </c>
    </row>
    <row r="4208" customFormat="false" ht="12.75" hidden="false" customHeight="false" outlineLevel="0" collapsed="false">
      <c r="A4208" s="0" t="n">
        <f aca="false">B4208*1000+C4208</f>
        <v>60073</v>
      </c>
      <c r="B4208" s="0" t="n">
        <v>60</v>
      </c>
      <c r="C4208" s="0" t="n">
        <v>73</v>
      </c>
      <c r="D4208" s="0" t="n">
        <v>0</v>
      </c>
      <c r="E4208" s="0" t="n">
        <f aca="false">VLOOKUP(B4208,'Babblefish-APUMA'!$A$1:$B$86,2)</f>
        <v>90</v>
      </c>
      <c r="F4208" s="0" t="n">
        <f aca="false">IF(C4208&gt;1,IF(C4208&lt;99,VLOOKUP(C4208,'Babblefish-APUMA'!$A$1:$B$86,2),C4208),C4208)</f>
        <v>99</v>
      </c>
    </row>
    <row r="4209" customFormat="false" ht="12.75" hidden="false" customHeight="false" outlineLevel="0" collapsed="false">
      <c r="A4209" s="0" t="n">
        <f aca="false">B4209*1000+C4209</f>
        <v>60075</v>
      </c>
      <c r="B4209" s="0" t="n">
        <v>60</v>
      </c>
      <c r="C4209" s="0" t="n">
        <v>75</v>
      </c>
      <c r="D4209" s="0" t="n">
        <v>0</v>
      </c>
      <c r="E4209" s="0" t="n">
        <f aca="false">VLOOKUP(B4209,'Babblefish-APUMA'!$A$1:$B$86,2)</f>
        <v>90</v>
      </c>
      <c r="F4209" s="0" t="n">
        <f aca="false">IF(C4209&gt;1,IF(C4209&lt;99,VLOOKUP(C4209,'Babblefish-APUMA'!$A$1:$B$86,2),C4209),C4209)</f>
        <v>75</v>
      </c>
    </row>
    <row r="4210" customFormat="false" ht="12.75" hidden="false" customHeight="false" outlineLevel="0" collapsed="false">
      <c r="A4210" s="0" t="n">
        <f aca="false">B4210*1000+C4210</f>
        <v>60076</v>
      </c>
      <c r="B4210" s="0" t="n">
        <v>60</v>
      </c>
      <c r="C4210" s="0" t="n">
        <v>76</v>
      </c>
      <c r="D4210" s="0" t="n">
        <v>0</v>
      </c>
      <c r="E4210" s="0" t="n">
        <f aca="false">VLOOKUP(B4210,'Babblefish-APUMA'!$A$1:$B$86,2)</f>
        <v>90</v>
      </c>
      <c r="F4210" s="0" t="n">
        <f aca="false">IF(C4210&gt;1,IF(C4210&lt;99,VLOOKUP(C4210,'Babblefish-APUMA'!$A$1:$B$86,2),C4210),C4210)</f>
        <v>76</v>
      </c>
    </row>
    <row r="4211" customFormat="false" ht="12.75" hidden="false" customHeight="false" outlineLevel="0" collapsed="false">
      <c r="A4211" s="0" t="n">
        <f aca="false">B4211*1000+C4211</f>
        <v>60077</v>
      </c>
      <c r="B4211" s="0" t="n">
        <v>60</v>
      </c>
      <c r="C4211" s="0" t="n">
        <v>77</v>
      </c>
      <c r="D4211" s="0" t="n">
        <v>0</v>
      </c>
      <c r="E4211" s="0" t="n">
        <f aca="false">VLOOKUP(B4211,'Babblefish-APUMA'!$A$1:$B$86,2)</f>
        <v>90</v>
      </c>
      <c r="F4211" s="0" t="n">
        <f aca="false">IF(C4211&gt;1,IF(C4211&lt;99,VLOOKUP(C4211,'Babblefish-APUMA'!$A$1:$B$86,2),C4211),C4211)</f>
        <v>77</v>
      </c>
    </row>
    <row r="4212" customFormat="false" ht="12.75" hidden="false" customHeight="false" outlineLevel="0" collapsed="false">
      <c r="A4212" s="0" t="n">
        <f aca="false">B4212*1000+C4212</f>
        <v>60078</v>
      </c>
      <c r="B4212" s="0" t="n">
        <v>60</v>
      </c>
      <c r="C4212" s="0" t="n">
        <v>78</v>
      </c>
      <c r="D4212" s="0" t="n">
        <v>0</v>
      </c>
      <c r="E4212" s="0" t="n">
        <f aca="false">VLOOKUP(B4212,'Babblefish-APUMA'!$A$1:$B$86,2)</f>
        <v>90</v>
      </c>
      <c r="F4212" s="0" t="n">
        <f aca="false">IF(C4212&gt;1,IF(C4212&lt;99,VLOOKUP(C4212,'Babblefish-APUMA'!$A$1:$B$86,2),C4212),C4212)</f>
        <v>89</v>
      </c>
    </row>
    <row r="4213" customFormat="false" ht="12.75" hidden="false" customHeight="false" outlineLevel="0" collapsed="false">
      <c r="A4213" s="0" t="n">
        <f aca="false">B4213*1000+C4213</f>
        <v>60079</v>
      </c>
      <c r="B4213" s="0" t="n">
        <v>60</v>
      </c>
      <c r="C4213" s="0" t="n">
        <v>79</v>
      </c>
      <c r="D4213" s="0" t="n">
        <v>0</v>
      </c>
      <c r="E4213" s="0" t="n">
        <f aca="false">VLOOKUP(B4213,'Babblefish-APUMA'!$A$1:$B$86,2)</f>
        <v>90</v>
      </c>
      <c r="F4213" s="0" t="n">
        <f aca="false">IF(C4213&gt;1,IF(C4213&lt;99,VLOOKUP(C4213,'Babblefish-APUMA'!$A$1:$B$86,2),C4213),C4213)</f>
        <v>89</v>
      </c>
    </row>
    <row r="4214" customFormat="false" ht="12.75" hidden="false" customHeight="false" outlineLevel="0" collapsed="false">
      <c r="A4214" s="0" t="n">
        <f aca="false">B4214*1000+C4214</f>
        <v>60080</v>
      </c>
      <c r="B4214" s="0" t="n">
        <v>60</v>
      </c>
      <c r="C4214" s="0" t="n">
        <v>80</v>
      </c>
      <c r="D4214" s="0" t="n">
        <v>0</v>
      </c>
      <c r="E4214" s="0" t="n">
        <f aca="false">VLOOKUP(B4214,'Babblefish-APUMA'!$A$1:$B$86,2)</f>
        <v>90</v>
      </c>
      <c r="F4214" s="0" t="n">
        <f aca="false">IF(C4214&gt;1,IF(C4214&lt;99,VLOOKUP(C4214,'Babblefish-APUMA'!$A$1:$B$86,2),C4214),C4214)</f>
        <v>80</v>
      </c>
    </row>
    <row r="4215" customFormat="false" ht="12.75" hidden="false" customHeight="false" outlineLevel="0" collapsed="false">
      <c r="A4215" s="0" t="n">
        <f aca="false">B4215*1000+C4215</f>
        <v>60081</v>
      </c>
      <c r="B4215" s="0" t="n">
        <v>60</v>
      </c>
      <c r="C4215" s="0" t="n">
        <v>81</v>
      </c>
      <c r="D4215" s="0" t="n">
        <v>0</v>
      </c>
      <c r="E4215" s="0" t="n">
        <f aca="false">VLOOKUP(B4215,'Babblefish-APUMA'!$A$1:$B$86,2)</f>
        <v>90</v>
      </c>
      <c r="F4215" s="0" t="n">
        <f aca="false">IF(C4215&gt;1,IF(C4215&lt;99,VLOOKUP(C4215,'Babblefish-APUMA'!$A$1:$B$86,2),C4215),C4215)</f>
        <v>93</v>
      </c>
    </row>
    <row r="4216" customFormat="false" ht="12.75" hidden="false" customHeight="false" outlineLevel="0" collapsed="false">
      <c r="A4216" s="0" t="n">
        <f aca="false">B4216*1000+C4216</f>
        <v>60082</v>
      </c>
      <c r="B4216" s="0" t="n">
        <v>60</v>
      </c>
      <c r="C4216" s="0" t="n">
        <v>82</v>
      </c>
      <c r="D4216" s="0" t="n">
        <v>0</v>
      </c>
      <c r="E4216" s="0" t="n">
        <f aca="false">VLOOKUP(B4216,'Babblefish-APUMA'!$A$1:$B$86,2)</f>
        <v>90</v>
      </c>
      <c r="F4216" s="0" t="n">
        <f aca="false">IF(C4216&gt;1,IF(C4216&lt;99,VLOOKUP(C4216,'Babblefish-APUMA'!$A$1:$B$86,2),C4216),C4216)</f>
        <v>95</v>
      </c>
    </row>
    <row r="4217" customFormat="false" ht="12.75" hidden="false" customHeight="false" outlineLevel="0" collapsed="false">
      <c r="A4217" s="0" t="n">
        <f aca="false">B4217*1000+C4217</f>
        <v>60083</v>
      </c>
      <c r="B4217" s="0" t="n">
        <v>60</v>
      </c>
      <c r="C4217" s="0" t="n">
        <v>83</v>
      </c>
      <c r="D4217" s="0" t="n">
        <v>0</v>
      </c>
      <c r="E4217" s="0" t="n">
        <f aca="false">VLOOKUP(B4217,'Babblefish-APUMA'!$A$1:$B$86,2)</f>
        <v>90</v>
      </c>
      <c r="F4217" s="0" t="n">
        <f aca="false">IF(C4217&gt;1,IF(C4217&lt;99,VLOOKUP(C4217,'Babblefish-APUMA'!$A$1:$B$86,2),C4217),C4217)</f>
        <v>103</v>
      </c>
    </row>
    <row r="4218" customFormat="false" ht="12.75" hidden="false" customHeight="false" outlineLevel="0" collapsed="false">
      <c r="A4218" s="0" t="n">
        <f aca="false">B4218*1000+C4218</f>
        <v>60084</v>
      </c>
      <c r="B4218" s="0" t="n">
        <v>60</v>
      </c>
      <c r="C4218" s="0" t="n">
        <v>84</v>
      </c>
      <c r="D4218" s="0" t="n">
        <v>689</v>
      </c>
      <c r="E4218" s="0" t="n">
        <f aca="false">VLOOKUP(B4218,'Babblefish-APUMA'!$A$1:$B$86,2)</f>
        <v>90</v>
      </c>
      <c r="F4218" s="0" t="n">
        <f aca="false">IF(C4218&gt;1,IF(C4218&lt;99,VLOOKUP(C4218,'Babblefish-APUMA'!$A$1:$B$86,2),C4218),C4218)</f>
        <v>92</v>
      </c>
    </row>
    <row r="4219" customFormat="false" ht="12.75" hidden="false" customHeight="false" outlineLevel="0" collapsed="false">
      <c r="A4219" s="0" t="n">
        <f aca="false">B4219*1000+C4219</f>
        <v>60085</v>
      </c>
      <c r="B4219" s="0" t="n">
        <v>60</v>
      </c>
      <c r="C4219" s="0" t="n">
        <v>85</v>
      </c>
      <c r="D4219" s="0" t="n">
        <v>0</v>
      </c>
      <c r="E4219" s="0" t="n">
        <f aca="false">VLOOKUP(B4219,'Babblefish-APUMA'!$A$1:$B$86,2)</f>
        <v>90</v>
      </c>
      <c r="F4219" s="0" t="n">
        <f aca="false">IF(C4219&gt;1,IF(C4219&lt;99,VLOOKUP(C4219,'Babblefish-APUMA'!$A$1:$B$86,2),C4219),C4219)</f>
        <v>97</v>
      </c>
    </row>
    <row r="4220" customFormat="false" ht="12.75" hidden="false" customHeight="false" outlineLevel="0" collapsed="false">
      <c r="A4220" s="0" t="n">
        <f aca="false">B4220*1000+C4220</f>
        <v>60858</v>
      </c>
      <c r="B4220" s="0" t="n">
        <v>60</v>
      </c>
      <c r="C4220" s="0" t="n">
        <v>858</v>
      </c>
      <c r="D4220" s="0" t="n">
        <v>0</v>
      </c>
      <c r="E4220" s="0" t="n">
        <f aca="false">VLOOKUP(B4220,'Babblefish-APUMA'!$A$1:$B$86,2)</f>
        <v>90</v>
      </c>
      <c r="F4220" s="0" t="n">
        <f aca="false">IF(C4220&gt;1,IF(C4220&lt;99,VLOOKUP(C4220,'Babblefish-APUMA'!$A$1:$B$86,2),C4220),C4220)</f>
        <v>858</v>
      </c>
    </row>
    <row r="4221" customFormat="false" ht="12.75" hidden="false" customHeight="false" outlineLevel="0" collapsed="false">
      <c r="A4221" s="0" t="n">
        <f aca="false">B4221*1000+C4221</f>
        <v>60983</v>
      </c>
      <c r="B4221" s="0" t="n">
        <v>60</v>
      </c>
      <c r="C4221" s="0" t="n">
        <v>983</v>
      </c>
      <c r="D4221" s="0" t="n">
        <v>0</v>
      </c>
      <c r="E4221" s="0" t="n">
        <f aca="false">VLOOKUP(B4221,'Babblefish-APUMA'!$A$1:$B$86,2)</f>
        <v>90</v>
      </c>
      <c r="F4221" s="0" t="n">
        <f aca="false">IF(C4221&gt;1,IF(C4221&lt;99,VLOOKUP(C4221,'Babblefish-APUMA'!$A$1:$B$86,2),C4221),C4221)</f>
        <v>983</v>
      </c>
    </row>
    <row r="4222" customFormat="false" ht="12.75" hidden="false" customHeight="false" outlineLevel="0" collapsed="false">
      <c r="A4222" s="0" t="n">
        <f aca="false">B4222*1000+C4222</f>
        <v>60999</v>
      </c>
      <c r="B4222" s="0" t="n">
        <v>60</v>
      </c>
      <c r="C4222" s="0" t="n">
        <v>999</v>
      </c>
      <c r="D4222" s="0" t="n">
        <v>91</v>
      </c>
      <c r="E4222" s="0" t="n">
        <f aca="false">VLOOKUP(B4222,'Babblefish-APUMA'!$A$1:$B$86,2)</f>
        <v>90</v>
      </c>
      <c r="F4222" s="0" t="n">
        <f aca="false">IF(C4222&gt;1,IF(C4222&lt;99,VLOOKUP(C4222,'Babblefish-APUMA'!$A$1:$B$86,2),C4222),C4222)</f>
        <v>999</v>
      </c>
    </row>
    <row r="4223" customFormat="false" ht="12.75" hidden="false" customHeight="false" outlineLevel="0" collapsed="false">
      <c r="A4223" s="0" t="n">
        <f aca="false">B4223*1000+C4223</f>
        <v>61000</v>
      </c>
      <c r="B4223" s="0" t="n">
        <v>61</v>
      </c>
      <c r="C4223" s="0" t="n">
        <v>0</v>
      </c>
      <c r="D4223" s="0" t="n">
        <v>56628</v>
      </c>
      <c r="E4223" s="0" t="n">
        <f aca="false">VLOOKUP(B4223,'Babblefish-APUMA'!$A$1:$B$86,2)</f>
        <v>90</v>
      </c>
      <c r="F4223" s="0" t="n">
        <f aca="false">IF(C4223&gt;1,IF(C4223&lt;99,VLOOKUP(C4223,'Babblefish-APUMA'!$A$1:$B$86,2),C4223),C4223)</f>
        <v>0</v>
      </c>
    </row>
    <row r="4224" customFormat="false" ht="12.75" hidden="false" customHeight="false" outlineLevel="0" collapsed="false">
      <c r="A4224" s="0" t="n">
        <f aca="false">B4224*1000+C4224</f>
        <v>61001</v>
      </c>
      <c r="B4224" s="0" t="n">
        <v>61</v>
      </c>
      <c r="C4224" s="0" t="n">
        <v>1</v>
      </c>
      <c r="D4224" s="0" t="n">
        <v>0</v>
      </c>
      <c r="E4224" s="0" t="n">
        <f aca="false">VLOOKUP(B4224,'Babblefish-APUMA'!$A$1:$B$86,2)</f>
        <v>90</v>
      </c>
      <c r="F4224" s="0" t="n">
        <f aca="false">IF(C4224&gt;1,IF(C4224&lt;99,VLOOKUP(C4224,'Babblefish-APUMA'!$A$1:$B$86,2),C4224),C4224)</f>
        <v>1</v>
      </c>
    </row>
    <row r="4225" customFormat="false" ht="12.75" hidden="false" customHeight="false" outlineLevel="0" collapsed="false">
      <c r="A4225" s="0" t="n">
        <f aca="false">B4225*1000+C4225</f>
        <v>61002</v>
      </c>
      <c r="B4225" s="0" t="n">
        <v>61</v>
      </c>
      <c r="C4225" s="0" t="n">
        <v>2</v>
      </c>
      <c r="D4225" s="0" t="n">
        <v>0</v>
      </c>
      <c r="E4225" s="0" t="n">
        <f aca="false">VLOOKUP(B4225,'Babblefish-APUMA'!$A$1:$B$86,2)</f>
        <v>90</v>
      </c>
      <c r="F4225" s="0" t="n">
        <f aca="false">IF(C4225&gt;1,IF(C4225&lt;99,VLOOKUP(C4225,'Babblefish-APUMA'!$A$1:$B$86,2),C4225),C4225)</f>
        <v>2</v>
      </c>
    </row>
    <row r="4226" customFormat="false" ht="12.75" hidden="false" customHeight="false" outlineLevel="0" collapsed="false">
      <c r="A4226" s="0" t="n">
        <f aca="false">B4226*1000+C4226</f>
        <v>61003</v>
      </c>
      <c r="B4226" s="0" t="n">
        <v>61</v>
      </c>
      <c r="C4226" s="0" t="n">
        <v>3</v>
      </c>
      <c r="D4226" s="0" t="n">
        <v>0</v>
      </c>
      <c r="E4226" s="0" t="n">
        <f aca="false">VLOOKUP(B4226,'Babblefish-APUMA'!$A$1:$B$86,2)</f>
        <v>90</v>
      </c>
      <c r="F4226" s="0" t="n">
        <f aca="false">IF(C4226&gt;1,IF(C4226&lt;99,VLOOKUP(C4226,'Babblefish-APUMA'!$A$1:$B$86,2),C4226),C4226)</f>
        <v>3</v>
      </c>
    </row>
    <row r="4227" customFormat="false" ht="12.75" hidden="false" customHeight="false" outlineLevel="0" collapsed="false">
      <c r="A4227" s="0" t="n">
        <f aca="false">B4227*1000+C4227</f>
        <v>61004</v>
      </c>
      <c r="B4227" s="0" t="n">
        <v>61</v>
      </c>
      <c r="C4227" s="0" t="n">
        <v>4</v>
      </c>
      <c r="D4227" s="0" t="n">
        <v>0</v>
      </c>
      <c r="E4227" s="0" t="n">
        <f aca="false">VLOOKUP(B4227,'Babblefish-APUMA'!$A$1:$B$86,2)</f>
        <v>90</v>
      </c>
      <c r="F4227" s="0" t="n">
        <f aca="false">IF(C4227&gt;1,IF(C4227&lt;99,VLOOKUP(C4227,'Babblefish-APUMA'!$A$1:$B$86,2),C4227),C4227)</f>
        <v>4</v>
      </c>
    </row>
    <row r="4228" customFormat="false" ht="12.75" hidden="false" customHeight="false" outlineLevel="0" collapsed="false">
      <c r="A4228" s="0" t="n">
        <f aca="false">B4228*1000+C4228</f>
        <v>61005</v>
      </c>
      <c r="B4228" s="0" t="n">
        <v>61</v>
      </c>
      <c r="C4228" s="0" t="n">
        <v>5</v>
      </c>
      <c r="D4228" s="0" t="n">
        <v>0</v>
      </c>
      <c r="E4228" s="0" t="n">
        <f aca="false">VLOOKUP(B4228,'Babblefish-APUMA'!$A$1:$B$86,2)</f>
        <v>90</v>
      </c>
      <c r="F4228" s="0" t="n">
        <f aca="false">IF(C4228&gt;1,IF(C4228&lt;99,VLOOKUP(C4228,'Babblefish-APUMA'!$A$1:$B$86,2),C4228),C4228)</f>
        <v>5</v>
      </c>
    </row>
    <row r="4229" customFormat="false" ht="12.75" hidden="false" customHeight="false" outlineLevel="0" collapsed="false">
      <c r="A4229" s="0" t="n">
        <f aca="false">B4229*1000+C4229</f>
        <v>61006</v>
      </c>
      <c r="B4229" s="0" t="n">
        <v>61</v>
      </c>
      <c r="C4229" s="0" t="n">
        <v>6</v>
      </c>
      <c r="D4229" s="0" t="n">
        <v>0</v>
      </c>
      <c r="E4229" s="0" t="n">
        <f aca="false">VLOOKUP(B4229,'Babblefish-APUMA'!$A$1:$B$86,2)</f>
        <v>90</v>
      </c>
      <c r="F4229" s="0" t="n">
        <f aca="false">IF(C4229&gt;1,IF(C4229&lt;99,VLOOKUP(C4229,'Babblefish-APUMA'!$A$1:$B$86,2),C4229),C4229)</f>
        <v>6</v>
      </c>
    </row>
    <row r="4230" customFormat="false" ht="12.75" hidden="false" customHeight="false" outlineLevel="0" collapsed="false">
      <c r="A4230" s="0" t="n">
        <f aca="false">B4230*1000+C4230</f>
        <v>61007</v>
      </c>
      <c r="B4230" s="0" t="n">
        <v>61</v>
      </c>
      <c r="C4230" s="0" t="n">
        <v>7</v>
      </c>
      <c r="D4230" s="0" t="n">
        <v>0</v>
      </c>
      <c r="E4230" s="0" t="n">
        <f aca="false">VLOOKUP(B4230,'Babblefish-APUMA'!$A$1:$B$86,2)</f>
        <v>90</v>
      </c>
      <c r="F4230" s="0" t="n">
        <f aca="false">IF(C4230&gt;1,IF(C4230&lt;99,VLOOKUP(C4230,'Babblefish-APUMA'!$A$1:$B$86,2),C4230),C4230)</f>
        <v>7</v>
      </c>
    </row>
    <row r="4231" customFormat="false" ht="12.75" hidden="false" customHeight="false" outlineLevel="0" collapsed="false">
      <c r="A4231" s="0" t="n">
        <f aca="false">B4231*1000+C4231</f>
        <v>61008</v>
      </c>
      <c r="B4231" s="0" t="n">
        <v>61</v>
      </c>
      <c r="C4231" s="0" t="n">
        <v>8</v>
      </c>
      <c r="D4231" s="0" t="n">
        <v>0</v>
      </c>
      <c r="E4231" s="0" t="n">
        <f aca="false">VLOOKUP(B4231,'Babblefish-APUMA'!$A$1:$B$86,2)</f>
        <v>90</v>
      </c>
      <c r="F4231" s="0" t="n">
        <f aca="false">IF(C4231&gt;1,IF(C4231&lt;99,VLOOKUP(C4231,'Babblefish-APUMA'!$A$1:$B$86,2),C4231),C4231)</f>
        <v>8</v>
      </c>
    </row>
    <row r="4232" customFormat="false" ht="12.75" hidden="false" customHeight="false" outlineLevel="0" collapsed="false">
      <c r="A4232" s="0" t="n">
        <f aca="false">B4232*1000+C4232</f>
        <v>61009</v>
      </c>
      <c r="B4232" s="0" t="n">
        <v>61</v>
      </c>
      <c r="C4232" s="0" t="n">
        <v>9</v>
      </c>
      <c r="D4232" s="0" t="n">
        <v>0</v>
      </c>
      <c r="E4232" s="0" t="n">
        <f aca="false">VLOOKUP(B4232,'Babblefish-APUMA'!$A$1:$B$86,2)</f>
        <v>90</v>
      </c>
      <c r="F4232" s="0" t="n">
        <f aca="false">IF(C4232&gt;1,IF(C4232&lt;99,VLOOKUP(C4232,'Babblefish-APUMA'!$A$1:$B$86,2),C4232),C4232)</f>
        <v>9</v>
      </c>
    </row>
    <row r="4233" customFormat="false" ht="12.75" hidden="false" customHeight="false" outlineLevel="0" collapsed="false">
      <c r="A4233" s="0" t="n">
        <f aca="false">B4233*1000+C4233</f>
        <v>61010</v>
      </c>
      <c r="B4233" s="0" t="n">
        <v>61</v>
      </c>
      <c r="C4233" s="0" t="n">
        <v>10</v>
      </c>
      <c r="D4233" s="0" t="n">
        <v>0</v>
      </c>
      <c r="E4233" s="0" t="n">
        <f aca="false">VLOOKUP(B4233,'Babblefish-APUMA'!$A$1:$B$86,2)</f>
        <v>90</v>
      </c>
      <c r="F4233" s="0" t="n">
        <f aca="false">IF(C4233&gt;1,IF(C4233&lt;99,VLOOKUP(C4233,'Babblefish-APUMA'!$A$1:$B$86,2),C4233),C4233)</f>
        <v>10</v>
      </c>
    </row>
    <row r="4234" customFormat="false" ht="12.75" hidden="false" customHeight="false" outlineLevel="0" collapsed="false">
      <c r="A4234" s="0" t="n">
        <f aca="false">B4234*1000+C4234</f>
        <v>61011</v>
      </c>
      <c r="B4234" s="0" t="n">
        <v>61</v>
      </c>
      <c r="C4234" s="0" t="n">
        <v>11</v>
      </c>
      <c r="D4234" s="0" t="n">
        <v>0</v>
      </c>
      <c r="E4234" s="0" t="n">
        <f aca="false">VLOOKUP(B4234,'Babblefish-APUMA'!$A$1:$B$86,2)</f>
        <v>90</v>
      </c>
      <c r="F4234" s="0" t="n">
        <f aca="false">IF(C4234&gt;1,IF(C4234&lt;99,VLOOKUP(C4234,'Babblefish-APUMA'!$A$1:$B$86,2),C4234),C4234)</f>
        <v>11</v>
      </c>
    </row>
    <row r="4235" customFormat="false" ht="12.75" hidden="false" customHeight="false" outlineLevel="0" collapsed="false">
      <c r="A4235" s="0" t="n">
        <f aca="false">B4235*1000+C4235</f>
        <v>61012</v>
      </c>
      <c r="B4235" s="0" t="n">
        <v>61</v>
      </c>
      <c r="C4235" s="0" t="n">
        <v>12</v>
      </c>
      <c r="D4235" s="0" t="n">
        <v>0</v>
      </c>
      <c r="E4235" s="0" t="n">
        <f aca="false">VLOOKUP(B4235,'Babblefish-APUMA'!$A$1:$B$86,2)</f>
        <v>90</v>
      </c>
      <c r="F4235" s="0" t="n">
        <f aca="false">IF(C4235&gt;1,IF(C4235&lt;99,VLOOKUP(C4235,'Babblefish-APUMA'!$A$1:$B$86,2),C4235),C4235)</f>
        <v>12</v>
      </c>
    </row>
    <row r="4236" customFormat="false" ht="12.75" hidden="false" customHeight="false" outlineLevel="0" collapsed="false">
      <c r="A4236" s="0" t="n">
        <f aca="false">B4236*1000+C4236</f>
        <v>61013</v>
      </c>
      <c r="B4236" s="0" t="n">
        <v>61</v>
      </c>
      <c r="C4236" s="0" t="n">
        <v>13</v>
      </c>
      <c r="D4236" s="0" t="n">
        <v>0</v>
      </c>
      <c r="E4236" s="0" t="n">
        <f aca="false">VLOOKUP(B4236,'Babblefish-APUMA'!$A$1:$B$86,2)</f>
        <v>90</v>
      </c>
      <c r="F4236" s="0" t="n">
        <f aca="false">IF(C4236&gt;1,IF(C4236&lt;99,VLOOKUP(C4236,'Babblefish-APUMA'!$A$1:$B$86,2),C4236),C4236)</f>
        <v>100</v>
      </c>
    </row>
    <row r="4237" customFormat="false" ht="12.75" hidden="false" customHeight="false" outlineLevel="0" collapsed="false">
      <c r="A4237" s="0" t="n">
        <f aca="false">B4237*1000+C4237</f>
        <v>61014</v>
      </c>
      <c r="B4237" s="0" t="n">
        <v>61</v>
      </c>
      <c r="C4237" s="0" t="n">
        <v>14</v>
      </c>
      <c r="D4237" s="0" t="n">
        <v>0</v>
      </c>
      <c r="E4237" s="0" t="n">
        <f aca="false">VLOOKUP(B4237,'Babblefish-APUMA'!$A$1:$B$86,2)</f>
        <v>90</v>
      </c>
      <c r="F4237" s="0" t="n">
        <f aca="false">IF(C4237&gt;1,IF(C4237&lt;99,VLOOKUP(C4237,'Babblefish-APUMA'!$A$1:$B$86,2),C4237),C4237)</f>
        <v>100</v>
      </c>
    </row>
    <row r="4238" customFormat="false" ht="12.75" hidden="false" customHeight="false" outlineLevel="0" collapsed="false">
      <c r="A4238" s="0" t="n">
        <f aca="false">B4238*1000+C4238</f>
        <v>61015</v>
      </c>
      <c r="B4238" s="0" t="n">
        <v>61</v>
      </c>
      <c r="C4238" s="0" t="n">
        <v>15</v>
      </c>
      <c r="D4238" s="0" t="n">
        <v>0</v>
      </c>
      <c r="E4238" s="0" t="n">
        <f aca="false">VLOOKUP(B4238,'Babblefish-APUMA'!$A$1:$B$86,2)</f>
        <v>90</v>
      </c>
      <c r="F4238" s="0" t="n">
        <f aca="false">IF(C4238&gt;1,IF(C4238&lt;99,VLOOKUP(C4238,'Babblefish-APUMA'!$A$1:$B$86,2),C4238),C4238)</f>
        <v>15</v>
      </c>
    </row>
    <row r="4239" customFormat="false" ht="12.75" hidden="false" customHeight="false" outlineLevel="0" collapsed="false">
      <c r="A4239" s="0" t="n">
        <f aca="false">B4239*1000+C4239</f>
        <v>61016</v>
      </c>
      <c r="B4239" s="0" t="n">
        <v>61</v>
      </c>
      <c r="C4239" s="0" t="n">
        <v>16</v>
      </c>
      <c r="D4239" s="0" t="n">
        <v>0</v>
      </c>
      <c r="E4239" s="0" t="n">
        <f aca="false">VLOOKUP(B4239,'Babblefish-APUMA'!$A$1:$B$86,2)</f>
        <v>90</v>
      </c>
      <c r="F4239" s="0" t="n">
        <f aca="false">IF(C4239&gt;1,IF(C4239&lt;99,VLOOKUP(C4239,'Babblefish-APUMA'!$A$1:$B$86,2),C4239),C4239)</f>
        <v>99</v>
      </c>
    </row>
    <row r="4240" customFormat="false" ht="12.75" hidden="false" customHeight="false" outlineLevel="0" collapsed="false">
      <c r="A4240" s="0" t="n">
        <f aca="false">B4240*1000+C4240</f>
        <v>61017</v>
      </c>
      <c r="B4240" s="0" t="n">
        <v>61</v>
      </c>
      <c r="C4240" s="0" t="n">
        <v>17</v>
      </c>
      <c r="D4240" s="0" t="n">
        <v>0</v>
      </c>
      <c r="E4240" s="0" t="n">
        <f aca="false">VLOOKUP(B4240,'Babblefish-APUMA'!$A$1:$B$86,2)</f>
        <v>90</v>
      </c>
      <c r="F4240" s="0" t="n">
        <f aca="false">IF(C4240&gt;1,IF(C4240&lt;99,VLOOKUP(C4240,'Babblefish-APUMA'!$A$1:$B$86,2),C4240),C4240)</f>
        <v>87</v>
      </c>
    </row>
    <row r="4241" customFormat="false" ht="12.75" hidden="false" customHeight="false" outlineLevel="0" collapsed="false">
      <c r="A4241" s="0" t="n">
        <f aca="false">B4241*1000+C4241</f>
        <v>61018</v>
      </c>
      <c r="B4241" s="0" t="n">
        <v>61</v>
      </c>
      <c r="C4241" s="0" t="n">
        <v>18</v>
      </c>
      <c r="D4241" s="0" t="n">
        <v>0</v>
      </c>
      <c r="E4241" s="0" t="n">
        <f aca="false">VLOOKUP(B4241,'Babblefish-APUMA'!$A$1:$B$86,2)</f>
        <v>90</v>
      </c>
      <c r="F4241" s="0" t="n">
        <f aca="false">IF(C4241&gt;1,IF(C4241&lt;99,VLOOKUP(C4241,'Babblefish-APUMA'!$A$1:$B$86,2),C4241),C4241)</f>
        <v>87</v>
      </c>
    </row>
    <row r="4242" customFormat="false" ht="12.75" hidden="false" customHeight="false" outlineLevel="0" collapsed="false">
      <c r="A4242" s="0" t="n">
        <f aca="false">B4242*1000+C4242</f>
        <v>61019</v>
      </c>
      <c r="B4242" s="0" t="n">
        <v>61</v>
      </c>
      <c r="C4242" s="0" t="n">
        <v>19</v>
      </c>
      <c r="D4242" s="0" t="n">
        <v>0</v>
      </c>
      <c r="E4242" s="0" t="n">
        <f aca="false">VLOOKUP(B4242,'Babblefish-APUMA'!$A$1:$B$86,2)</f>
        <v>90</v>
      </c>
      <c r="F4242" s="0" t="n">
        <f aca="false">IF(C4242&gt;1,IF(C4242&lt;99,VLOOKUP(C4242,'Babblefish-APUMA'!$A$1:$B$86,2),C4242),C4242)</f>
        <v>19</v>
      </c>
    </row>
    <row r="4243" customFormat="false" ht="12.75" hidden="false" customHeight="false" outlineLevel="0" collapsed="false">
      <c r="A4243" s="0" t="n">
        <f aca="false">B4243*1000+C4243</f>
        <v>61020</v>
      </c>
      <c r="B4243" s="0" t="n">
        <v>61</v>
      </c>
      <c r="C4243" s="0" t="n">
        <v>20</v>
      </c>
      <c r="D4243" s="0" t="n">
        <v>0</v>
      </c>
      <c r="E4243" s="0" t="n">
        <f aca="false">VLOOKUP(B4243,'Babblefish-APUMA'!$A$1:$B$86,2)</f>
        <v>90</v>
      </c>
      <c r="F4243" s="0" t="n">
        <f aca="false">IF(C4243&gt;1,IF(C4243&lt;99,VLOOKUP(C4243,'Babblefish-APUMA'!$A$1:$B$86,2),C4243),C4243)</f>
        <v>86</v>
      </c>
    </row>
    <row r="4244" customFormat="false" ht="12.75" hidden="false" customHeight="false" outlineLevel="0" collapsed="false">
      <c r="A4244" s="0" t="n">
        <f aca="false">B4244*1000+C4244</f>
        <v>61021</v>
      </c>
      <c r="B4244" s="0" t="n">
        <v>61</v>
      </c>
      <c r="C4244" s="0" t="n">
        <v>21</v>
      </c>
      <c r="D4244" s="0" t="n">
        <v>0</v>
      </c>
      <c r="E4244" s="0" t="n">
        <f aca="false">VLOOKUP(B4244,'Babblefish-APUMA'!$A$1:$B$86,2)</f>
        <v>90</v>
      </c>
      <c r="F4244" s="0" t="n">
        <f aca="false">IF(C4244&gt;1,IF(C4244&lt;99,VLOOKUP(C4244,'Babblefish-APUMA'!$A$1:$B$86,2),C4244),C4244)</f>
        <v>86</v>
      </c>
    </row>
    <row r="4245" customFormat="false" ht="12.75" hidden="false" customHeight="false" outlineLevel="0" collapsed="false">
      <c r="A4245" s="0" t="n">
        <f aca="false">B4245*1000+C4245</f>
        <v>61022</v>
      </c>
      <c r="B4245" s="0" t="n">
        <v>61</v>
      </c>
      <c r="C4245" s="0" t="n">
        <v>22</v>
      </c>
      <c r="D4245" s="0" t="n">
        <v>377</v>
      </c>
      <c r="E4245" s="0" t="n">
        <f aca="false">VLOOKUP(B4245,'Babblefish-APUMA'!$A$1:$B$86,2)</f>
        <v>90</v>
      </c>
      <c r="F4245" s="0" t="n">
        <f aca="false">IF(C4245&gt;1,IF(C4245&lt;99,VLOOKUP(C4245,'Babblefish-APUMA'!$A$1:$B$86,2),C4245),C4245)</f>
        <v>22</v>
      </c>
    </row>
    <row r="4246" customFormat="false" ht="12.75" hidden="false" customHeight="false" outlineLevel="0" collapsed="false">
      <c r="A4246" s="0" t="n">
        <f aca="false">B4246*1000+C4246</f>
        <v>61023</v>
      </c>
      <c r="B4246" s="0" t="n">
        <v>61</v>
      </c>
      <c r="C4246" s="0" t="n">
        <v>23</v>
      </c>
      <c r="D4246" s="0" t="n">
        <v>0</v>
      </c>
      <c r="E4246" s="0" t="n">
        <f aca="false">VLOOKUP(B4246,'Babblefish-APUMA'!$A$1:$B$86,2)</f>
        <v>90</v>
      </c>
      <c r="F4246" s="0" t="n">
        <f aca="false">IF(C4246&gt;1,IF(C4246&lt;99,VLOOKUP(C4246,'Babblefish-APUMA'!$A$1:$B$86,2),C4246),C4246)</f>
        <v>97</v>
      </c>
    </row>
    <row r="4247" customFormat="false" ht="12.75" hidden="false" customHeight="false" outlineLevel="0" collapsed="false">
      <c r="A4247" s="0" t="n">
        <f aca="false">B4247*1000+C4247</f>
        <v>61024</v>
      </c>
      <c r="B4247" s="0" t="n">
        <v>61</v>
      </c>
      <c r="C4247" s="0" t="n">
        <v>24</v>
      </c>
      <c r="D4247" s="0" t="n">
        <v>0</v>
      </c>
      <c r="E4247" s="0" t="n">
        <f aca="false">VLOOKUP(B4247,'Babblefish-APUMA'!$A$1:$B$86,2)</f>
        <v>90</v>
      </c>
      <c r="F4247" s="0" t="n">
        <f aca="false">IF(C4247&gt;1,IF(C4247&lt;99,VLOOKUP(C4247,'Babblefish-APUMA'!$A$1:$B$86,2),C4247),C4247)</f>
        <v>101</v>
      </c>
    </row>
    <row r="4248" customFormat="false" ht="12.75" hidden="false" customHeight="false" outlineLevel="0" collapsed="false">
      <c r="A4248" s="0" t="n">
        <f aca="false">B4248*1000+C4248</f>
        <v>61025</v>
      </c>
      <c r="B4248" s="0" t="n">
        <v>61</v>
      </c>
      <c r="C4248" s="0" t="n">
        <v>25</v>
      </c>
      <c r="D4248" s="0" t="n">
        <v>0</v>
      </c>
      <c r="E4248" s="0" t="n">
        <f aca="false">VLOOKUP(B4248,'Babblefish-APUMA'!$A$1:$B$86,2)</f>
        <v>90</v>
      </c>
      <c r="F4248" s="0" t="n">
        <f aca="false">IF(C4248&gt;1,IF(C4248&lt;99,VLOOKUP(C4248,'Babblefish-APUMA'!$A$1:$B$86,2),C4248),C4248)</f>
        <v>101</v>
      </c>
    </row>
    <row r="4249" customFormat="false" ht="12.75" hidden="false" customHeight="false" outlineLevel="0" collapsed="false">
      <c r="A4249" s="0" t="n">
        <f aca="false">B4249*1000+C4249</f>
        <v>61026</v>
      </c>
      <c r="B4249" s="0" t="n">
        <v>61</v>
      </c>
      <c r="C4249" s="0" t="n">
        <v>26</v>
      </c>
      <c r="D4249" s="0" t="n">
        <v>0</v>
      </c>
      <c r="E4249" s="0" t="n">
        <f aca="false">VLOOKUP(B4249,'Babblefish-APUMA'!$A$1:$B$86,2)</f>
        <v>90</v>
      </c>
      <c r="F4249" s="0" t="n">
        <f aca="false">IF(C4249&gt;1,IF(C4249&lt;99,VLOOKUP(C4249,'Babblefish-APUMA'!$A$1:$B$86,2),C4249),C4249)</f>
        <v>26</v>
      </c>
    </row>
    <row r="4250" customFormat="false" ht="12.75" hidden="false" customHeight="false" outlineLevel="0" collapsed="false">
      <c r="A4250" s="0" t="n">
        <f aca="false">B4250*1000+C4250</f>
        <v>61027</v>
      </c>
      <c r="B4250" s="0" t="n">
        <v>61</v>
      </c>
      <c r="C4250" s="0" t="n">
        <v>27</v>
      </c>
      <c r="D4250" s="0" t="n">
        <v>0</v>
      </c>
      <c r="E4250" s="0" t="n">
        <f aca="false">VLOOKUP(B4250,'Babblefish-APUMA'!$A$1:$B$86,2)</f>
        <v>90</v>
      </c>
      <c r="F4250" s="0" t="n">
        <f aca="false">IF(C4250&gt;1,IF(C4250&lt;99,VLOOKUP(C4250,'Babblefish-APUMA'!$A$1:$B$86,2),C4250),C4250)</f>
        <v>27</v>
      </c>
    </row>
    <row r="4251" customFormat="false" ht="12.75" hidden="false" customHeight="false" outlineLevel="0" collapsed="false">
      <c r="A4251" s="0" t="n">
        <f aca="false">B4251*1000+C4251</f>
        <v>61028</v>
      </c>
      <c r="B4251" s="0" t="n">
        <v>61</v>
      </c>
      <c r="C4251" s="0" t="n">
        <v>28</v>
      </c>
      <c r="D4251" s="0" t="n">
        <v>0</v>
      </c>
      <c r="E4251" s="0" t="n">
        <f aca="false">VLOOKUP(B4251,'Babblefish-APUMA'!$A$1:$B$86,2)</f>
        <v>90</v>
      </c>
      <c r="F4251" s="0" t="n">
        <f aca="false">IF(C4251&gt;1,IF(C4251&lt;99,VLOOKUP(C4251,'Babblefish-APUMA'!$A$1:$B$86,2),C4251),C4251)</f>
        <v>94</v>
      </c>
    </row>
    <row r="4252" customFormat="false" ht="12.75" hidden="false" customHeight="false" outlineLevel="0" collapsed="false">
      <c r="A4252" s="0" t="n">
        <f aca="false">B4252*1000+C4252</f>
        <v>61029</v>
      </c>
      <c r="B4252" s="0" t="n">
        <v>61</v>
      </c>
      <c r="C4252" s="0" t="n">
        <v>29</v>
      </c>
      <c r="D4252" s="0" t="n">
        <v>0</v>
      </c>
      <c r="E4252" s="0" t="n">
        <f aca="false">VLOOKUP(B4252,'Babblefish-APUMA'!$A$1:$B$86,2)</f>
        <v>90</v>
      </c>
      <c r="F4252" s="0" t="n">
        <f aca="false">IF(C4252&gt;1,IF(C4252&lt;99,VLOOKUP(C4252,'Babblefish-APUMA'!$A$1:$B$86,2),C4252),C4252)</f>
        <v>94</v>
      </c>
    </row>
    <row r="4253" customFormat="false" ht="12.75" hidden="false" customHeight="false" outlineLevel="0" collapsed="false">
      <c r="A4253" s="0" t="n">
        <f aca="false">B4253*1000+C4253</f>
        <v>61030</v>
      </c>
      <c r="B4253" s="0" t="n">
        <v>61</v>
      </c>
      <c r="C4253" s="0" t="n">
        <v>30</v>
      </c>
      <c r="D4253" s="0" t="n">
        <v>0</v>
      </c>
      <c r="E4253" s="0" t="n">
        <f aca="false">VLOOKUP(B4253,'Babblefish-APUMA'!$A$1:$B$86,2)</f>
        <v>90</v>
      </c>
      <c r="F4253" s="0" t="n">
        <f aca="false">IF(C4253&gt;1,IF(C4253&lt;99,VLOOKUP(C4253,'Babblefish-APUMA'!$A$1:$B$86,2),C4253),C4253)</f>
        <v>30</v>
      </c>
    </row>
    <row r="4254" customFormat="false" ht="12.75" hidden="false" customHeight="false" outlineLevel="0" collapsed="false">
      <c r="A4254" s="0" t="n">
        <f aca="false">B4254*1000+C4254</f>
        <v>61031</v>
      </c>
      <c r="B4254" s="0" t="n">
        <v>61</v>
      </c>
      <c r="C4254" s="0" t="n">
        <v>31</v>
      </c>
      <c r="D4254" s="0" t="n">
        <v>0</v>
      </c>
      <c r="E4254" s="0" t="n">
        <f aca="false">VLOOKUP(B4254,'Babblefish-APUMA'!$A$1:$B$86,2)</f>
        <v>90</v>
      </c>
      <c r="F4254" s="0" t="n">
        <f aca="false">IF(C4254&gt;1,IF(C4254&lt;99,VLOOKUP(C4254,'Babblefish-APUMA'!$A$1:$B$86,2),C4254),C4254)</f>
        <v>31</v>
      </c>
    </row>
    <row r="4255" customFormat="false" ht="12.75" hidden="false" customHeight="false" outlineLevel="0" collapsed="false">
      <c r="A4255" s="0" t="n">
        <f aca="false">B4255*1000+C4255</f>
        <v>61032</v>
      </c>
      <c r="B4255" s="0" t="n">
        <v>61</v>
      </c>
      <c r="C4255" s="0" t="n">
        <v>32</v>
      </c>
      <c r="D4255" s="0" t="n">
        <v>0</v>
      </c>
      <c r="E4255" s="0" t="n">
        <f aca="false">VLOOKUP(B4255,'Babblefish-APUMA'!$A$1:$B$86,2)</f>
        <v>90</v>
      </c>
      <c r="F4255" s="0" t="n">
        <f aca="false">IF(C4255&gt;1,IF(C4255&lt;99,VLOOKUP(C4255,'Babblefish-APUMA'!$A$1:$B$86,2),C4255),C4255)</f>
        <v>32</v>
      </c>
    </row>
    <row r="4256" customFormat="false" ht="12.75" hidden="false" customHeight="false" outlineLevel="0" collapsed="false">
      <c r="A4256" s="0" t="n">
        <f aca="false">B4256*1000+C4256</f>
        <v>61033</v>
      </c>
      <c r="B4256" s="0" t="n">
        <v>61</v>
      </c>
      <c r="C4256" s="0" t="n">
        <v>33</v>
      </c>
      <c r="D4256" s="0" t="n">
        <v>0</v>
      </c>
      <c r="E4256" s="0" t="n">
        <f aca="false">VLOOKUP(B4256,'Babblefish-APUMA'!$A$1:$B$86,2)</f>
        <v>90</v>
      </c>
      <c r="F4256" s="0" t="n">
        <f aca="false">IF(C4256&gt;1,IF(C4256&lt;99,VLOOKUP(C4256,'Babblefish-APUMA'!$A$1:$B$86,2),C4256),C4256)</f>
        <v>96</v>
      </c>
    </row>
    <row r="4257" customFormat="false" ht="12.75" hidden="false" customHeight="false" outlineLevel="0" collapsed="false">
      <c r="A4257" s="0" t="n">
        <f aca="false">B4257*1000+C4257</f>
        <v>61034</v>
      </c>
      <c r="B4257" s="0" t="n">
        <v>61</v>
      </c>
      <c r="C4257" s="0" t="n">
        <v>34</v>
      </c>
      <c r="D4257" s="0" t="n">
        <v>0</v>
      </c>
      <c r="E4257" s="0" t="n">
        <f aca="false">VLOOKUP(B4257,'Babblefish-APUMA'!$A$1:$B$86,2)</f>
        <v>90</v>
      </c>
      <c r="F4257" s="0" t="n">
        <f aca="false">IF(C4257&gt;1,IF(C4257&lt;99,VLOOKUP(C4257,'Babblefish-APUMA'!$A$1:$B$86,2),C4257),C4257)</f>
        <v>96</v>
      </c>
    </row>
    <row r="4258" customFormat="false" ht="12.75" hidden="false" customHeight="false" outlineLevel="0" collapsed="false">
      <c r="A4258" s="0" t="n">
        <f aca="false">B4258*1000+C4258</f>
        <v>61035</v>
      </c>
      <c r="B4258" s="0" t="n">
        <v>61</v>
      </c>
      <c r="C4258" s="0" t="n">
        <v>35</v>
      </c>
      <c r="D4258" s="0" t="n">
        <v>0</v>
      </c>
      <c r="E4258" s="0" t="n">
        <f aca="false">VLOOKUP(B4258,'Babblefish-APUMA'!$A$1:$B$86,2)</f>
        <v>90</v>
      </c>
      <c r="F4258" s="0" t="n">
        <f aca="false">IF(C4258&gt;1,IF(C4258&lt;99,VLOOKUP(C4258,'Babblefish-APUMA'!$A$1:$B$86,2),C4258),C4258)</f>
        <v>96</v>
      </c>
    </row>
    <row r="4259" customFormat="false" ht="12.75" hidden="false" customHeight="false" outlineLevel="0" collapsed="false">
      <c r="A4259" s="0" t="n">
        <f aca="false">B4259*1000+C4259</f>
        <v>61036</v>
      </c>
      <c r="B4259" s="0" t="n">
        <v>61</v>
      </c>
      <c r="C4259" s="0" t="n">
        <v>36</v>
      </c>
      <c r="D4259" s="0" t="n">
        <v>0</v>
      </c>
      <c r="E4259" s="0" t="n">
        <f aca="false">VLOOKUP(B4259,'Babblefish-APUMA'!$A$1:$B$86,2)</f>
        <v>90</v>
      </c>
      <c r="F4259" s="0" t="n">
        <f aca="false">IF(C4259&gt;1,IF(C4259&lt;99,VLOOKUP(C4259,'Babblefish-APUMA'!$A$1:$B$86,2),C4259),C4259)</f>
        <v>96</v>
      </c>
    </row>
    <row r="4260" customFormat="false" ht="12.75" hidden="false" customHeight="false" outlineLevel="0" collapsed="false">
      <c r="A4260" s="0" t="n">
        <f aca="false">B4260*1000+C4260</f>
        <v>61037</v>
      </c>
      <c r="B4260" s="0" t="n">
        <v>61</v>
      </c>
      <c r="C4260" s="0" t="n">
        <v>37</v>
      </c>
      <c r="D4260" s="0" t="n">
        <v>0</v>
      </c>
      <c r="E4260" s="0" t="n">
        <f aca="false">VLOOKUP(B4260,'Babblefish-APUMA'!$A$1:$B$86,2)</f>
        <v>90</v>
      </c>
      <c r="F4260" s="0" t="n">
        <f aca="false">IF(C4260&gt;1,IF(C4260&lt;99,VLOOKUP(C4260,'Babblefish-APUMA'!$A$1:$B$86,2),C4260),C4260)</f>
        <v>96</v>
      </c>
    </row>
    <row r="4261" customFormat="false" ht="12.75" hidden="false" customHeight="false" outlineLevel="0" collapsed="false">
      <c r="A4261" s="0" t="n">
        <f aca="false">B4261*1000+C4261</f>
        <v>61038</v>
      </c>
      <c r="B4261" s="0" t="n">
        <v>61</v>
      </c>
      <c r="C4261" s="0" t="n">
        <v>38</v>
      </c>
      <c r="D4261" s="0" t="n">
        <v>0</v>
      </c>
      <c r="E4261" s="0" t="n">
        <f aca="false">VLOOKUP(B4261,'Babblefish-APUMA'!$A$1:$B$86,2)</f>
        <v>90</v>
      </c>
      <c r="F4261" s="0" t="n">
        <f aca="false">IF(C4261&gt;1,IF(C4261&lt;99,VLOOKUP(C4261,'Babblefish-APUMA'!$A$1:$B$86,2),C4261),C4261)</f>
        <v>91</v>
      </c>
    </row>
    <row r="4262" customFormat="false" ht="12.75" hidden="false" customHeight="false" outlineLevel="0" collapsed="false">
      <c r="A4262" s="0" t="n">
        <f aca="false">B4262*1000+C4262</f>
        <v>61039</v>
      </c>
      <c r="B4262" s="0" t="n">
        <v>61</v>
      </c>
      <c r="C4262" s="0" t="n">
        <v>39</v>
      </c>
      <c r="D4262" s="0" t="n">
        <v>130</v>
      </c>
      <c r="E4262" s="0" t="n">
        <f aca="false">VLOOKUP(B4262,'Babblefish-APUMA'!$A$1:$B$86,2)</f>
        <v>90</v>
      </c>
      <c r="F4262" s="0" t="n">
        <f aca="false">IF(C4262&gt;1,IF(C4262&lt;99,VLOOKUP(C4262,'Babblefish-APUMA'!$A$1:$B$86,2),C4262),C4262)</f>
        <v>91</v>
      </c>
    </row>
    <row r="4263" customFormat="false" ht="12.75" hidden="false" customHeight="false" outlineLevel="0" collapsed="false">
      <c r="A4263" s="0" t="n">
        <f aca="false">B4263*1000+C4263</f>
        <v>61040</v>
      </c>
      <c r="B4263" s="0" t="n">
        <v>61</v>
      </c>
      <c r="C4263" s="0" t="n">
        <v>40</v>
      </c>
      <c r="D4263" s="0" t="n">
        <v>0</v>
      </c>
      <c r="E4263" s="0" t="n">
        <f aca="false">VLOOKUP(B4263,'Babblefish-APUMA'!$A$1:$B$86,2)</f>
        <v>90</v>
      </c>
      <c r="F4263" s="0" t="n">
        <f aca="false">IF(C4263&gt;1,IF(C4263&lt;99,VLOOKUP(C4263,'Babblefish-APUMA'!$A$1:$B$86,2),C4263),C4263)</f>
        <v>88</v>
      </c>
    </row>
    <row r="4264" customFormat="false" ht="12.75" hidden="false" customHeight="false" outlineLevel="0" collapsed="false">
      <c r="A4264" s="0" t="n">
        <f aca="false">B4264*1000+C4264</f>
        <v>61041</v>
      </c>
      <c r="B4264" s="0" t="n">
        <v>61</v>
      </c>
      <c r="C4264" s="0" t="n">
        <v>41</v>
      </c>
      <c r="D4264" s="0" t="n">
        <v>0</v>
      </c>
      <c r="E4264" s="0" t="n">
        <f aca="false">VLOOKUP(B4264,'Babblefish-APUMA'!$A$1:$B$86,2)</f>
        <v>90</v>
      </c>
      <c r="F4264" s="0" t="n">
        <f aca="false">IF(C4264&gt;1,IF(C4264&lt;99,VLOOKUP(C4264,'Babblefish-APUMA'!$A$1:$B$86,2),C4264),C4264)</f>
        <v>88</v>
      </c>
    </row>
    <row r="4265" customFormat="false" ht="12.75" hidden="false" customHeight="false" outlineLevel="0" collapsed="false">
      <c r="A4265" s="0" t="n">
        <f aca="false">B4265*1000+C4265</f>
        <v>61042</v>
      </c>
      <c r="B4265" s="0" t="n">
        <v>61</v>
      </c>
      <c r="C4265" s="0" t="n">
        <v>42</v>
      </c>
      <c r="D4265" s="0" t="n">
        <v>52</v>
      </c>
      <c r="E4265" s="0" t="n">
        <f aca="false">VLOOKUP(B4265,'Babblefish-APUMA'!$A$1:$B$86,2)</f>
        <v>90</v>
      </c>
      <c r="F4265" s="0" t="n">
        <f aca="false">IF(C4265&gt;1,IF(C4265&lt;99,VLOOKUP(C4265,'Babblefish-APUMA'!$A$1:$B$86,2),C4265),C4265)</f>
        <v>92</v>
      </c>
    </row>
    <row r="4266" customFormat="false" ht="12.75" hidden="false" customHeight="false" outlineLevel="0" collapsed="false">
      <c r="A4266" s="0" t="n">
        <f aca="false">B4266*1000+C4266</f>
        <v>61043</v>
      </c>
      <c r="B4266" s="0" t="n">
        <v>61</v>
      </c>
      <c r="C4266" s="0" t="n">
        <v>43</v>
      </c>
      <c r="D4266" s="0" t="n">
        <v>0</v>
      </c>
      <c r="E4266" s="0" t="n">
        <f aca="false">VLOOKUP(B4266,'Babblefish-APUMA'!$A$1:$B$86,2)</f>
        <v>90</v>
      </c>
      <c r="F4266" s="0" t="n">
        <f aca="false">IF(C4266&gt;1,IF(C4266&lt;99,VLOOKUP(C4266,'Babblefish-APUMA'!$A$1:$B$86,2),C4266),C4266)</f>
        <v>92</v>
      </c>
    </row>
    <row r="4267" customFormat="false" ht="12.75" hidden="false" customHeight="false" outlineLevel="0" collapsed="false">
      <c r="A4267" s="0" t="n">
        <f aca="false">B4267*1000+C4267</f>
        <v>61044</v>
      </c>
      <c r="B4267" s="0" t="n">
        <v>61</v>
      </c>
      <c r="C4267" s="0" t="n">
        <v>44</v>
      </c>
      <c r="D4267" s="0" t="n">
        <v>0</v>
      </c>
      <c r="E4267" s="0" t="n">
        <f aca="false">VLOOKUP(B4267,'Babblefish-APUMA'!$A$1:$B$86,2)</f>
        <v>90</v>
      </c>
      <c r="F4267" s="0" t="n">
        <f aca="false">IF(C4267&gt;1,IF(C4267&lt;99,VLOOKUP(C4267,'Babblefish-APUMA'!$A$1:$B$86,2),C4267),C4267)</f>
        <v>92</v>
      </c>
    </row>
    <row r="4268" customFormat="false" ht="12.75" hidden="false" customHeight="false" outlineLevel="0" collapsed="false">
      <c r="A4268" s="0" t="n">
        <f aca="false">B4268*1000+C4268</f>
        <v>61045</v>
      </c>
      <c r="B4268" s="0" t="n">
        <v>61</v>
      </c>
      <c r="C4268" s="0" t="n">
        <v>45</v>
      </c>
      <c r="D4268" s="0" t="n">
        <v>0</v>
      </c>
      <c r="E4268" s="0" t="n">
        <f aca="false">VLOOKUP(B4268,'Babblefish-APUMA'!$A$1:$B$86,2)</f>
        <v>90</v>
      </c>
      <c r="F4268" s="0" t="n">
        <f aca="false">IF(C4268&gt;1,IF(C4268&lt;99,VLOOKUP(C4268,'Babblefish-APUMA'!$A$1:$B$86,2),C4268),C4268)</f>
        <v>92</v>
      </c>
    </row>
    <row r="4269" customFormat="false" ht="12.75" hidden="false" customHeight="false" outlineLevel="0" collapsed="false">
      <c r="A4269" s="0" t="n">
        <f aca="false">B4269*1000+C4269</f>
        <v>61046</v>
      </c>
      <c r="B4269" s="0" t="n">
        <v>61</v>
      </c>
      <c r="C4269" s="0" t="n">
        <v>46</v>
      </c>
      <c r="D4269" s="0" t="n">
        <v>0</v>
      </c>
      <c r="E4269" s="0" t="n">
        <f aca="false">VLOOKUP(B4269,'Babblefish-APUMA'!$A$1:$B$86,2)</f>
        <v>90</v>
      </c>
      <c r="F4269" s="0" t="n">
        <f aca="false">IF(C4269&gt;1,IF(C4269&lt;99,VLOOKUP(C4269,'Babblefish-APUMA'!$A$1:$B$86,2),C4269),C4269)</f>
        <v>92</v>
      </c>
    </row>
    <row r="4270" customFormat="false" ht="12.75" hidden="false" customHeight="false" outlineLevel="0" collapsed="false">
      <c r="A4270" s="0" t="n">
        <f aca="false">B4270*1000+C4270</f>
        <v>61047</v>
      </c>
      <c r="B4270" s="0" t="n">
        <v>61</v>
      </c>
      <c r="C4270" s="0" t="n">
        <v>47</v>
      </c>
      <c r="D4270" s="0" t="n">
        <v>65</v>
      </c>
      <c r="E4270" s="0" t="n">
        <f aca="false">VLOOKUP(B4270,'Babblefish-APUMA'!$A$1:$B$86,2)</f>
        <v>90</v>
      </c>
      <c r="F4270" s="0" t="n">
        <f aca="false">IF(C4270&gt;1,IF(C4270&lt;99,VLOOKUP(C4270,'Babblefish-APUMA'!$A$1:$B$86,2),C4270),C4270)</f>
        <v>92</v>
      </c>
    </row>
    <row r="4271" customFormat="false" ht="12.75" hidden="false" customHeight="false" outlineLevel="0" collapsed="false">
      <c r="A4271" s="0" t="n">
        <f aca="false">B4271*1000+C4271</f>
        <v>61048</v>
      </c>
      <c r="B4271" s="0" t="n">
        <v>61</v>
      </c>
      <c r="C4271" s="0" t="n">
        <v>48</v>
      </c>
      <c r="D4271" s="0" t="n">
        <v>247</v>
      </c>
      <c r="E4271" s="0" t="n">
        <f aca="false">VLOOKUP(B4271,'Babblefish-APUMA'!$A$1:$B$86,2)</f>
        <v>90</v>
      </c>
      <c r="F4271" s="0" t="n">
        <f aca="false">IF(C4271&gt;1,IF(C4271&lt;99,VLOOKUP(C4271,'Babblefish-APUMA'!$A$1:$B$86,2),C4271),C4271)</f>
        <v>92</v>
      </c>
    </row>
    <row r="4272" customFormat="false" ht="12.75" hidden="false" customHeight="false" outlineLevel="0" collapsed="false">
      <c r="A4272" s="0" t="n">
        <f aca="false">B4272*1000+C4272</f>
        <v>61049</v>
      </c>
      <c r="B4272" s="0" t="n">
        <v>61</v>
      </c>
      <c r="C4272" s="0" t="n">
        <v>49</v>
      </c>
      <c r="D4272" s="0" t="n">
        <v>0</v>
      </c>
      <c r="E4272" s="0" t="n">
        <f aca="false">VLOOKUP(B4272,'Babblefish-APUMA'!$A$1:$B$86,2)</f>
        <v>90</v>
      </c>
      <c r="F4272" s="0" t="n">
        <f aca="false">IF(C4272&gt;1,IF(C4272&lt;99,VLOOKUP(C4272,'Babblefish-APUMA'!$A$1:$B$86,2),C4272),C4272)</f>
        <v>98</v>
      </c>
    </row>
    <row r="4273" customFormat="false" ht="12.75" hidden="false" customHeight="false" outlineLevel="0" collapsed="false">
      <c r="A4273" s="0" t="n">
        <f aca="false">B4273*1000+C4273</f>
        <v>61050</v>
      </c>
      <c r="B4273" s="0" t="n">
        <v>61</v>
      </c>
      <c r="C4273" s="0" t="n">
        <v>50</v>
      </c>
      <c r="D4273" s="0" t="n">
        <v>0</v>
      </c>
      <c r="E4273" s="0" t="n">
        <f aca="false">VLOOKUP(B4273,'Babblefish-APUMA'!$A$1:$B$86,2)</f>
        <v>90</v>
      </c>
      <c r="F4273" s="0" t="n">
        <f aca="false">IF(C4273&gt;1,IF(C4273&lt;99,VLOOKUP(C4273,'Babblefish-APUMA'!$A$1:$B$86,2),C4273),C4273)</f>
        <v>98</v>
      </c>
    </row>
    <row r="4274" customFormat="false" ht="12.75" hidden="false" customHeight="false" outlineLevel="0" collapsed="false">
      <c r="A4274" s="0" t="n">
        <f aca="false">B4274*1000+C4274</f>
        <v>61051</v>
      </c>
      <c r="B4274" s="0" t="n">
        <v>61</v>
      </c>
      <c r="C4274" s="0" t="n">
        <v>51</v>
      </c>
      <c r="D4274" s="0" t="n">
        <v>0</v>
      </c>
      <c r="E4274" s="0" t="n">
        <f aca="false">VLOOKUP(B4274,'Babblefish-APUMA'!$A$1:$B$86,2)</f>
        <v>90</v>
      </c>
      <c r="F4274" s="0" t="n">
        <f aca="false">IF(C4274&gt;1,IF(C4274&lt;99,VLOOKUP(C4274,'Babblefish-APUMA'!$A$1:$B$86,2),C4274),C4274)</f>
        <v>98</v>
      </c>
    </row>
    <row r="4275" customFormat="false" ht="12.75" hidden="false" customHeight="false" outlineLevel="0" collapsed="false">
      <c r="A4275" s="0" t="n">
        <f aca="false">B4275*1000+C4275</f>
        <v>61052</v>
      </c>
      <c r="B4275" s="0" t="n">
        <v>61</v>
      </c>
      <c r="C4275" s="0" t="n">
        <v>52</v>
      </c>
      <c r="D4275" s="0" t="n">
        <v>273</v>
      </c>
      <c r="E4275" s="0" t="n">
        <f aca="false">VLOOKUP(B4275,'Babblefish-APUMA'!$A$1:$B$86,2)</f>
        <v>90</v>
      </c>
      <c r="F4275" s="0" t="n">
        <f aca="false">IF(C4275&gt;1,IF(C4275&lt;99,VLOOKUP(C4275,'Babblefish-APUMA'!$A$1:$B$86,2),C4275),C4275)</f>
        <v>90</v>
      </c>
    </row>
    <row r="4276" customFormat="false" ht="12.75" hidden="false" customHeight="false" outlineLevel="0" collapsed="false">
      <c r="A4276" s="0" t="n">
        <f aca="false">B4276*1000+C4276</f>
        <v>61053</v>
      </c>
      <c r="B4276" s="0" t="n">
        <v>61</v>
      </c>
      <c r="C4276" s="0" t="n">
        <v>53</v>
      </c>
      <c r="D4276" s="0" t="n">
        <v>0</v>
      </c>
      <c r="E4276" s="0" t="n">
        <f aca="false">VLOOKUP(B4276,'Babblefish-APUMA'!$A$1:$B$86,2)</f>
        <v>90</v>
      </c>
      <c r="F4276" s="0" t="n">
        <f aca="false">IF(C4276&gt;1,IF(C4276&lt;99,VLOOKUP(C4276,'Babblefish-APUMA'!$A$1:$B$86,2),C4276),C4276)</f>
        <v>90</v>
      </c>
    </row>
    <row r="4277" customFormat="false" ht="12.75" hidden="false" customHeight="false" outlineLevel="0" collapsed="false">
      <c r="A4277" s="0" t="n">
        <f aca="false">B4277*1000+C4277</f>
        <v>61054</v>
      </c>
      <c r="B4277" s="0" t="n">
        <v>61</v>
      </c>
      <c r="C4277" s="0" t="n">
        <v>54</v>
      </c>
      <c r="D4277" s="0" t="n">
        <v>260</v>
      </c>
      <c r="E4277" s="0" t="n">
        <f aca="false">VLOOKUP(B4277,'Babblefish-APUMA'!$A$1:$B$86,2)</f>
        <v>90</v>
      </c>
      <c r="F4277" s="0" t="n">
        <f aca="false">IF(C4277&gt;1,IF(C4277&lt;99,VLOOKUP(C4277,'Babblefish-APUMA'!$A$1:$B$86,2),C4277),C4277)</f>
        <v>90</v>
      </c>
    </row>
    <row r="4278" customFormat="false" ht="12.75" hidden="false" customHeight="false" outlineLevel="0" collapsed="false">
      <c r="A4278" s="0" t="n">
        <f aca="false">B4278*1000+C4278</f>
        <v>61055</v>
      </c>
      <c r="B4278" s="0" t="n">
        <v>61</v>
      </c>
      <c r="C4278" s="0" t="n">
        <v>55</v>
      </c>
      <c r="D4278" s="0" t="n">
        <v>0</v>
      </c>
      <c r="E4278" s="0" t="n">
        <f aca="false">VLOOKUP(B4278,'Babblefish-APUMA'!$A$1:$B$86,2)</f>
        <v>90</v>
      </c>
      <c r="F4278" s="0" t="n">
        <f aca="false">IF(C4278&gt;1,IF(C4278&lt;99,VLOOKUP(C4278,'Babblefish-APUMA'!$A$1:$B$86,2),C4278),C4278)</f>
        <v>90</v>
      </c>
    </row>
    <row r="4279" customFormat="false" ht="12.75" hidden="false" customHeight="false" outlineLevel="0" collapsed="false">
      <c r="A4279" s="0" t="n">
        <f aca="false">B4279*1000+C4279</f>
        <v>61056</v>
      </c>
      <c r="B4279" s="0" t="n">
        <v>61</v>
      </c>
      <c r="C4279" s="0" t="n">
        <v>56</v>
      </c>
      <c r="D4279" s="0" t="n">
        <v>819</v>
      </c>
      <c r="E4279" s="0" t="n">
        <f aca="false">VLOOKUP(B4279,'Babblefish-APUMA'!$A$1:$B$86,2)</f>
        <v>90</v>
      </c>
      <c r="F4279" s="0" t="n">
        <f aca="false">IF(C4279&gt;1,IF(C4279&lt;99,VLOOKUP(C4279,'Babblefish-APUMA'!$A$1:$B$86,2),C4279),C4279)</f>
        <v>90</v>
      </c>
    </row>
    <row r="4280" customFormat="false" ht="12.75" hidden="false" customHeight="false" outlineLevel="0" collapsed="false">
      <c r="A4280" s="0" t="n">
        <f aca="false">B4280*1000+C4280</f>
        <v>61057</v>
      </c>
      <c r="B4280" s="0" t="n">
        <v>61</v>
      </c>
      <c r="C4280" s="0" t="n">
        <v>57</v>
      </c>
      <c r="D4280" s="0" t="n">
        <v>481</v>
      </c>
      <c r="E4280" s="0" t="n">
        <f aca="false">VLOOKUP(B4280,'Babblefish-APUMA'!$A$1:$B$86,2)</f>
        <v>90</v>
      </c>
      <c r="F4280" s="0" t="n">
        <f aca="false">IF(C4280&gt;1,IF(C4280&lt;99,VLOOKUP(C4280,'Babblefish-APUMA'!$A$1:$B$86,2),C4280),C4280)</f>
        <v>90</v>
      </c>
    </row>
    <row r="4281" customFormat="false" ht="12.75" hidden="false" customHeight="false" outlineLevel="0" collapsed="false">
      <c r="A4281" s="0" t="n">
        <f aca="false">B4281*1000+C4281</f>
        <v>61058</v>
      </c>
      <c r="B4281" s="0" t="n">
        <v>61</v>
      </c>
      <c r="C4281" s="0" t="n">
        <v>58</v>
      </c>
      <c r="D4281" s="0" t="n">
        <v>39</v>
      </c>
      <c r="E4281" s="0" t="n">
        <f aca="false">VLOOKUP(B4281,'Babblefish-APUMA'!$A$1:$B$86,2)</f>
        <v>90</v>
      </c>
      <c r="F4281" s="0" t="n">
        <f aca="false">IF(C4281&gt;1,IF(C4281&lt;99,VLOOKUP(C4281,'Babblefish-APUMA'!$A$1:$B$86,2),C4281),C4281)</f>
        <v>90</v>
      </c>
    </row>
    <row r="4282" customFormat="false" ht="12.75" hidden="false" customHeight="false" outlineLevel="0" collapsed="false">
      <c r="A4282" s="0" t="n">
        <f aca="false">B4282*1000+C4282</f>
        <v>61059</v>
      </c>
      <c r="B4282" s="0" t="n">
        <v>61</v>
      </c>
      <c r="C4282" s="0" t="n">
        <v>59</v>
      </c>
      <c r="D4282" s="0" t="n">
        <v>0</v>
      </c>
      <c r="E4282" s="0" t="n">
        <f aca="false">VLOOKUP(B4282,'Babblefish-APUMA'!$A$1:$B$86,2)</f>
        <v>90</v>
      </c>
      <c r="F4282" s="0" t="n">
        <f aca="false">IF(C4282&gt;1,IF(C4282&lt;99,VLOOKUP(C4282,'Babblefish-APUMA'!$A$1:$B$86,2),C4282),C4282)</f>
        <v>90</v>
      </c>
    </row>
    <row r="4283" customFormat="false" ht="12.75" hidden="false" customHeight="false" outlineLevel="0" collapsed="false">
      <c r="A4283" s="0" t="n">
        <f aca="false">B4283*1000+C4283</f>
        <v>61060</v>
      </c>
      <c r="B4283" s="0" t="n">
        <v>61</v>
      </c>
      <c r="C4283" s="0" t="n">
        <v>60</v>
      </c>
      <c r="D4283" s="0" t="n">
        <v>611</v>
      </c>
      <c r="E4283" s="0" t="n">
        <f aca="false">VLOOKUP(B4283,'Babblefish-APUMA'!$A$1:$B$86,2)</f>
        <v>90</v>
      </c>
      <c r="F4283" s="0" t="n">
        <f aca="false">IF(C4283&gt;1,IF(C4283&lt;99,VLOOKUP(C4283,'Babblefish-APUMA'!$A$1:$B$86,2),C4283),C4283)</f>
        <v>90</v>
      </c>
    </row>
    <row r="4284" customFormat="false" ht="12.75" hidden="false" customHeight="false" outlineLevel="0" collapsed="false">
      <c r="A4284" s="0" t="n">
        <f aca="false">B4284*1000+C4284</f>
        <v>61061</v>
      </c>
      <c r="B4284" s="0" t="n">
        <v>61</v>
      </c>
      <c r="C4284" s="0" t="n">
        <v>61</v>
      </c>
      <c r="D4284" s="0" t="n">
        <v>8996</v>
      </c>
      <c r="E4284" s="0" t="n">
        <f aca="false">VLOOKUP(B4284,'Babblefish-APUMA'!$A$1:$B$86,2)</f>
        <v>90</v>
      </c>
      <c r="F4284" s="0" t="n">
        <f aca="false">IF(C4284&gt;1,IF(C4284&lt;99,VLOOKUP(C4284,'Babblefish-APUMA'!$A$1:$B$86,2),C4284),C4284)</f>
        <v>90</v>
      </c>
    </row>
    <row r="4285" customFormat="false" ht="12.75" hidden="false" customHeight="false" outlineLevel="0" collapsed="false">
      <c r="A4285" s="0" t="n">
        <f aca="false">B4285*1000+C4285</f>
        <v>61062</v>
      </c>
      <c r="B4285" s="0" t="n">
        <v>61</v>
      </c>
      <c r="C4285" s="0" t="n">
        <v>62</v>
      </c>
      <c r="D4285" s="0" t="n">
        <v>2925</v>
      </c>
      <c r="E4285" s="0" t="n">
        <f aca="false">VLOOKUP(B4285,'Babblefish-APUMA'!$A$1:$B$86,2)</f>
        <v>90</v>
      </c>
      <c r="F4285" s="0" t="n">
        <f aca="false">IF(C4285&gt;1,IF(C4285&lt;99,VLOOKUP(C4285,'Babblefish-APUMA'!$A$1:$B$86,2),C4285),C4285)</f>
        <v>90</v>
      </c>
    </row>
    <row r="4286" customFormat="false" ht="12.75" hidden="false" customHeight="false" outlineLevel="0" collapsed="false">
      <c r="A4286" s="0" t="n">
        <f aca="false">B4286*1000+C4286</f>
        <v>61063</v>
      </c>
      <c r="B4286" s="0" t="n">
        <v>61</v>
      </c>
      <c r="C4286" s="0" t="n">
        <v>63</v>
      </c>
      <c r="D4286" s="0" t="n">
        <v>429</v>
      </c>
      <c r="E4286" s="0" t="n">
        <f aca="false">VLOOKUP(B4286,'Babblefish-APUMA'!$A$1:$B$86,2)</f>
        <v>90</v>
      </c>
      <c r="F4286" s="0" t="n">
        <f aca="false">IF(C4286&gt;1,IF(C4286&lt;99,VLOOKUP(C4286,'Babblefish-APUMA'!$A$1:$B$86,2),C4286),C4286)</f>
        <v>90</v>
      </c>
    </row>
    <row r="4287" customFormat="false" ht="12.75" hidden="false" customHeight="false" outlineLevel="0" collapsed="false">
      <c r="A4287" s="0" t="n">
        <f aca="false">B4287*1000+C4287</f>
        <v>61064</v>
      </c>
      <c r="B4287" s="0" t="n">
        <v>61</v>
      </c>
      <c r="C4287" s="0" t="n">
        <v>64</v>
      </c>
      <c r="D4287" s="0" t="n">
        <v>13611</v>
      </c>
      <c r="E4287" s="0" t="n">
        <f aca="false">VLOOKUP(B4287,'Babblefish-APUMA'!$A$1:$B$86,2)</f>
        <v>90</v>
      </c>
      <c r="F4287" s="0" t="n">
        <f aca="false">IF(C4287&gt;1,IF(C4287&lt;99,VLOOKUP(C4287,'Babblefish-APUMA'!$A$1:$B$86,2),C4287),C4287)</f>
        <v>90</v>
      </c>
    </row>
    <row r="4288" customFormat="false" ht="12.75" hidden="false" customHeight="false" outlineLevel="0" collapsed="false">
      <c r="A4288" s="0" t="n">
        <f aca="false">B4288*1000+C4288</f>
        <v>61065</v>
      </c>
      <c r="B4288" s="0" t="n">
        <v>61</v>
      </c>
      <c r="C4288" s="0" t="n">
        <v>65</v>
      </c>
      <c r="D4288" s="0" t="n">
        <v>19682</v>
      </c>
      <c r="E4288" s="0" t="n">
        <f aca="false">VLOOKUP(B4288,'Babblefish-APUMA'!$A$1:$B$86,2)</f>
        <v>90</v>
      </c>
      <c r="F4288" s="0" t="n">
        <f aca="false">IF(C4288&gt;1,IF(C4288&lt;99,VLOOKUP(C4288,'Babblefish-APUMA'!$A$1:$B$86,2),C4288),C4288)</f>
        <v>90</v>
      </c>
    </row>
    <row r="4289" customFormat="false" ht="12.75" hidden="false" customHeight="false" outlineLevel="0" collapsed="false">
      <c r="A4289" s="0" t="n">
        <f aca="false">B4289*1000+C4289</f>
        <v>61066</v>
      </c>
      <c r="B4289" s="0" t="n">
        <v>61</v>
      </c>
      <c r="C4289" s="0" t="n">
        <v>66</v>
      </c>
      <c r="D4289" s="0" t="n">
        <v>1300</v>
      </c>
      <c r="E4289" s="0" t="n">
        <f aca="false">VLOOKUP(B4289,'Babblefish-APUMA'!$A$1:$B$86,2)</f>
        <v>90</v>
      </c>
      <c r="F4289" s="0" t="n">
        <f aca="false">IF(C4289&gt;1,IF(C4289&lt;99,VLOOKUP(C4289,'Babblefish-APUMA'!$A$1:$B$86,2),C4289),C4289)</f>
        <v>90</v>
      </c>
    </row>
    <row r="4290" customFormat="false" ht="12.75" hidden="false" customHeight="false" outlineLevel="0" collapsed="false">
      <c r="A4290" s="0" t="n">
        <f aca="false">B4290*1000+C4290</f>
        <v>61067</v>
      </c>
      <c r="B4290" s="0" t="n">
        <v>61</v>
      </c>
      <c r="C4290" s="0" t="n">
        <v>67</v>
      </c>
      <c r="D4290" s="0" t="n">
        <v>195</v>
      </c>
      <c r="E4290" s="0" t="n">
        <f aca="false">VLOOKUP(B4290,'Babblefish-APUMA'!$A$1:$B$86,2)</f>
        <v>90</v>
      </c>
      <c r="F4290" s="0" t="n">
        <f aca="false">IF(C4290&gt;1,IF(C4290&lt;99,VLOOKUP(C4290,'Babblefish-APUMA'!$A$1:$B$86,2),C4290),C4290)</f>
        <v>103</v>
      </c>
    </row>
    <row r="4291" customFormat="false" ht="12.75" hidden="false" customHeight="false" outlineLevel="0" collapsed="false">
      <c r="A4291" s="0" t="n">
        <f aca="false">B4291*1000+C4291</f>
        <v>61068</v>
      </c>
      <c r="B4291" s="0" t="n">
        <v>61</v>
      </c>
      <c r="C4291" s="0" t="n">
        <v>68</v>
      </c>
      <c r="D4291" s="0" t="n">
        <v>0</v>
      </c>
      <c r="E4291" s="0" t="n">
        <f aca="false">VLOOKUP(B4291,'Babblefish-APUMA'!$A$1:$B$86,2)</f>
        <v>90</v>
      </c>
      <c r="F4291" s="0" t="n">
        <f aca="false">IF(C4291&gt;1,IF(C4291&lt;99,VLOOKUP(C4291,'Babblefish-APUMA'!$A$1:$B$86,2),C4291),C4291)</f>
        <v>93</v>
      </c>
    </row>
    <row r="4292" customFormat="false" ht="12.75" hidden="false" customHeight="false" outlineLevel="0" collapsed="false">
      <c r="A4292" s="0" t="n">
        <f aca="false">B4292*1000+C4292</f>
        <v>61069</v>
      </c>
      <c r="B4292" s="0" t="n">
        <v>61</v>
      </c>
      <c r="C4292" s="0" t="n">
        <v>69</v>
      </c>
      <c r="D4292" s="0" t="n">
        <v>156</v>
      </c>
      <c r="E4292" s="0" t="n">
        <f aca="false">VLOOKUP(B4292,'Babblefish-APUMA'!$A$1:$B$86,2)</f>
        <v>90</v>
      </c>
      <c r="F4292" s="0" t="n">
        <f aca="false">IF(C4292&gt;1,IF(C4292&lt;99,VLOOKUP(C4292,'Babblefish-APUMA'!$A$1:$B$86,2),C4292),C4292)</f>
        <v>93</v>
      </c>
    </row>
    <row r="4293" customFormat="false" ht="12.75" hidden="false" customHeight="false" outlineLevel="0" collapsed="false">
      <c r="A4293" s="0" t="n">
        <f aca="false">B4293*1000+C4293</f>
        <v>61070</v>
      </c>
      <c r="B4293" s="0" t="n">
        <v>61</v>
      </c>
      <c r="C4293" s="0" t="n">
        <v>70</v>
      </c>
      <c r="D4293" s="0" t="n">
        <v>0</v>
      </c>
      <c r="E4293" s="0" t="n">
        <f aca="false">VLOOKUP(B4293,'Babblefish-APUMA'!$A$1:$B$86,2)</f>
        <v>90</v>
      </c>
      <c r="F4293" s="0" t="n">
        <f aca="false">IF(C4293&gt;1,IF(C4293&lt;99,VLOOKUP(C4293,'Babblefish-APUMA'!$A$1:$B$86,2),C4293),C4293)</f>
        <v>95</v>
      </c>
    </row>
    <row r="4294" customFormat="false" ht="12.75" hidden="false" customHeight="false" outlineLevel="0" collapsed="false">
      <c r="A4294" s="0" t="n">
        <f aca="false">B4294*1000+C4294</f>
        <v>61071</v>
      </c>
      <c r="B4294" s="0" t="n">
        <v>61</v>
      </c>
      <c r="C4294" s="0" t="n">
        <v>71</v>
      </c>
      <c r="D4294" s="0" t="n">
        <v>299</v>
      </c>
      <c r="E4294" s="0" t="n">
        <f aca="false">VLOOKUP(B4294,'Babblefish-APUMA'!$A$1:$B$86,2)</f>
        <v>90</v>
      </c>
      <c r="F4294" s="0" t="n">
        <f aca="false">IF(C4294&gt;1,IF(C4294&lt;99,VLOOKUP(C4294,'Babblefish-APUMA'!$A$1:$B$86,2),C4294),C4294)</f>
        <v>95</v>
      </c>
    </row>
    <row r="4295" customFormat="false" ht="12.75" hidden="false" customHeight="false" outlineLevel="0" collapsed="false">
      <c r="A4295" s="0" t="n">
        <f aca="false">B4295*1000+C4295</f>
        <v>61072</v>
      </c>
      <c r="B4295" s="0" t="n">
        <v>61</v>
      </c>
      <c r="C4295" s="0" t="n">
        <v>72</v>
      </c>
      <c r="D4295" s="0" t="n">
        <v>0</v>
      </c>
      <c r="E4295" s="0" t="n">
        <f aca="false">VLOOKUP(B4295,'Babblefish-APUMA'!$A$1:$B$86,2)</f>
        <v>90</v>
      </c>
      <c r="F4295" s="0" t="n">
        <f aca="false">IF(C4295&gt;1,IF(C4295&lt;99,VLOOKUP(C4295,'Babblefish-APUMA'!$A$1:$B$86,2),C4295),C4295)</f>
        <v>95</v>
      </c>
    </row>
    <row r="4296" customFormat="false" ht="12.75" hidden="false" customHeight="false" outlineLevel="0" collapsed="false">
      <c r="A4296" s="0" t="n">
        <f aca="false">B4296*1000+C4296</f>
        <v>61073</v>
      </c>
      <c r="B4296" s="0" t="n">
        <v>61</v>
      </c>
      <c r="C4296" s="0" t="n">
        <v>73</v>
      </c>
      <c r="D4296" s="0" t="n">
        <v>0</v>
      </c>
      <c r="E4296" s="0" t="n">
        <f aca="false">VLOOKUP(B4296,'Babblefish-APUMA'!$A$1:$B$86,2)</f>
        <v>90</v>
      </c>
      <c r="F4296" s="0" t="n">
        <f aca="false">IF(C4296&gt;1,IF(C4296&lt;99,VLOOKUP(C4296,'Babblefish-APUMA'!$A$1:$B$86,2),C4296),C4296)</f>
        <v>99</v>
      </c>
    </row>
    <row r="4297" customFormat="false" ht="12.75" hidden="false" customHeight="false" outlineLevel="0" collapsed="false">
      <c r="A4297" s="0" t="n">
        <f aca="false">B4297*1000+C4297</f>
        <v>61075</v>
      </c>
      <c r="B4297" s="0" t="n">
        <v>61</v>
      </c>
      <c r="C4297" s="0" t="n">
        <v>75</v>
      </c>
      <c r="D4297" s="0" t="n">
        <v>0</v>
      </c>
      <c r="E4297" s="0" t="n">
        <f aca="false">VLOOKUP(B4297,'Babblefish-APUMA'!$A$1:$B$86,2)</f>
        <v>90</v>
      </c>
      <c r="F4297" s="0" t="n">
        <f aca="false">IF(C4297&gt;1,IF(C4297&lt;99,VLOOKUP(C4297,'Babblefish-APUMA'!$A$1:$B$86,2),C4297),C4297)</f>
        <v>75</v>
      </c>
    </row>
    <row r="4298" customFormat="false" ht="12.75" hidden="false" customHeight="false" outlineLevel="0" collapsed="false">
      <c r="A4298" s="0" t="n">
        <f aca="false">B4298*1000+C4298</f>
        <v>61076</v>
      </c>
      <c r="B4298" s="0" t="n">
        <v>61</v>
      </c>
      <c r="C4298" s="0" t="n">
        <v>76</v>
      </c>
      <c r="D4298" s="0" t="n">
        <v>0</v>
      </c>
      <c r="E4298" s="0" t="n">
        <f aca="false">VLOOKUP(B4298,'Babblefish-APUMA'!$A$1:$B$86,2)</f>
        <v>90</v>
      </c>
      <c r="F4298" s="0" t="n">
        <f aca="false">IF(C4298&gt;1,IF(C4298&lt;99,VLOOKUP(C4298,'Babblefish-APUMA'!$A$1:$B$86,2),C4298),C4298)</f>
        <v>76</v>
      </c>
    </row>
    <row r="4299" customFormat="false" ht="12.75" hidden="false" customHeight="false" outlineLevel="0" collapsed="false">
      <c r="A4299" s="0" t="n">
        <f aca="false">B4299*1000+C4299</f>
        <v>61077</v>
      </c>
      <c r="B4299" s="0" t="n">
        <v>61</v>
      </c>
      <c r="C4299" s="0" t="n">
        <v>77</v>
      </c>
      <c r="D4299" s="0" t="n">
        <v>0</v>
      </c>
      <c r="E4299" s="0" t="n">
        <f aca="false">VLOOKUP(B4299,'Babblefish-APUMA'!$A$1:$B$86,2)</f>
        <v>90</v>
      </c>
      <c r="F4299" s="0" t="n">
        <f aca="false">IF(C4299&gt;1,IF(C4299&lt;99,VLOOKUP(C4299,'Babblefish-APUMA'!$A$1:$B$86,2),C4299),C4299)</f>
        <v>77</v>
      </c>
    </row>
    <row r="4300" customFormat="false" ht="12.75" hidden="false" customHeight="false" outlineLevel="0" collapsed="false">
      <c r="A4300" s="0" t="n">
        <f aca="false">B4300*1000+C4300</f>
        <v>61078</v>
      </c>
      <c r="B4300" s="0" t="n">
        <v>61</v>
      </c>
      <c r="C4300" s="0" t="n">
        <v>78</v>
      </c>
      <c r="D4300" s="0" t="n">
        <v>0</v>
      </c>
      <c r="E4300" s="0" t="n">
        <f aca="false">VLOOKUP(B4300,'Babblefish-APUMA'!$A$1:$B$86,2)</f>
        <v>90</v>
      </c>
      <c r="F4300" s="0" t="n">
        <f aca="false">IF(C4300&gt;1,IF(C4300&lt;99,VLOOKUP(C4300,'Babblefish-APUMA'!$A$1:$B$86,2),C4300),C4300)</f>
        <v>89</v>
      </c>
    </row>
    <row r="4301" customFormat="false" ht="12.75" hidden="false" customHeight="false" outlineLevel="0" collapsed="false">
      <c r="A4301" s="0" t="n">
        <f aca="false">B4301*1000+C4301</f>
        <v>61079</v>
      </c>
      <c r="B4301" s="0" t="n">
        <v>61</v>
      </c>
      <c r="C4301" s="0" t="n">
        <v>79</v>
      </c>
      <c r="D4301" s="0" t="n">
        <v>0</v>
      </c>
      <c r="E4301" s="0" t="n">
        <f aca="false">VLOOKUP(B4301,'Babblefish-APUMA'!$A$1:$B$86,2)</f>
        <v>90</v>
      </c>
      <c r="F4301" s="0" t="n">
        <f aca="false">IF(C4301&gt;1,IF(C4301&lt;99,VLOOKUP(C4301,'Babblefish-APUMA'!$A$1:$B$86,2),C4301),C4301)</f>
        <v>89</v>
      </c>
    </row>
    <row r="4302" customFormat="false" ht="12.75" hidden="false" customHeight="false" outlineLevel="0" collapsed="false">
      <c r="A4302" s="0" t="n">
        <f aca="false">B4302*1000+C4302</f>
        <v>61080</v>
      </c>
      <c r="B4302" s="0" t="n">
        <v>61</v>
      </c>
      <c r="C4302" s="0" t="n">
        <v>80</v>
      </c>
      <c r="D4302" s="0" t="n">
        <v>0</v>
      </c>
      <c r="E4302" s="0" t="n">
        <f aca="false">VLOOKUP(B4302,'Babblefish-APUMA'!$A$1:$B$86,2)</f>
        <v>90</v>
      </c>
      <c r="F4302" s="0" t="n">
        <f aca="false">IF(C4302&gt;1,IF(C4302&lt;99,VLOOKUP(C4302,'Babblefish-APUMA'!$A$1:$B$86,2),C4302),C4302)</f>
        <v>80</v>
      </c>
    </row>
    <row r="4303" customFormat="false" ht="12.75" hidden="false" customHeight="false" outlineLevel="0" collapsed="false">
      <c r="A4303" s="0" t="n">
        <f aca="false">B4303*1000+C4303</f>
        <v>61081</v>
      </c>
      <c r="B4303" s="0" t="n">
        <v>61</v>
      </c>
      <c r="C4303" s="0" t="n">
        <v>81</v>
      </c>
      <c r="D4303" s="0" t="n">
        <v>117</v>
      </c>
      <c r="E4303" s="0" t="n">
        <f aca="false">VLOOKUP(B4303,'Babblefish-APUMA'!$A$1:$B$86,2)</f>
        <v>90</v>
      </c>
      <c r="F4303" s="0" t="n">
        <f aca="false">IF(C4303&gt;1,IF(C4303&lt;99,VLOOKUP(C4303,'Babblefish-APUMA'!$A$1:$B$86,2),C4303),C4303)</f>
        <v>93</v>
      </c>
    </row>
    <row r="4304" customFormat="false" ht="12.75" hidden="false" customHeight="false" outlineLevel="0" collapsed="false">
      <c r="A4304" s="0" t="n">
        <f aca="false">B4304*1000+C4304</f>
        <v>61082</v>
      </c>
      <c r="B4304" s="0" t="n">
        <v>61</v>
      </c>
      <c r="C4304" s="0" t="n">
        <v>82</v>
      </c>
      <c r="D4304" s="0" t="n">
        <v>0</v>
      </c>
      <c r="E4304" s="0" t="n">
        <f aca="false">VLOOKUP(B4304,'Babblefish-APUMA'!$A$1:$B$86,2)</f>
        <v>90</v>
      </c>
      <c r="F4304" s="0" t="n">
        <f aca="false">IF(C4304&gt;1,IF(C4304&lt;99,VLOOKUP(C4304,'Babblefish-APUMA'!$A$1:$B$86,2),C4304),C4304)</f>
        <v>95</v>
      </c>
    </row>
    <row r="4305" customFormat="false" ht="12.75" hidden="false" customHeight="false" outlineLevel="0" collapsed="false">
      <c r="A4305" s="0" t="n">
        <f aca="false">B4305*1000+C4305</f>
        <v>61083</v>
      </c>
      <c r="B4305" s="0" t="n">
        <v>61</v>
      </c>
      <c r="C4305" s="0" t="n">
        <v>83</v>
      </c>
      <c r="D4305" s="0" t="n">
        <v>0</v>
      </c>
      <c r="E4305" s="0" t="n">
        <f aca="false">VLOOKUP(B4305,'Babblefish-APUMA'!$A$1:$B$86,2)</f>
        <v>90</v>
      </c>
      <c r="F4305" s="0" t="n">
        <f aca="false">IF(C4305&gt;1,IF(C4305&lt;99,VLOOKUP(C4305,'Babblefish-APUMA'!$A$1:$B$86,2),C4305),C4305)</f>
        <v>103</v>
      </c>
    </row>
    <row r="4306" customFormat="false" ht="12.75" hidden="false" customHeight="false" outlineLevel="0" collapsed="false">
      <c r="A4306" s="0" t="n">
        <f aca="false">B4306*1000+C4306</f>
        <v>61084</v>
      </c>
      <c r="B4306" s="0" t="n">
        <v>61</v>
      </c>
      <c r="C4306" s="0" t="n">
        <v>84</v>
      </c>
      <c r="D4306" s="0" t="n">
        <v>117</v>
      </c>
      <c r="E4306" s="0" t="n">
        <f aca="false">VLOOKUP(B4306,'Babblefish-APUMA'!$A$1:$B$86,2)</f>
        <v>90</v>
      </c>
      <c r="F4306" s="0" t="n">
        <f aca="false">IF(C4306&gt;1,IF(C4306&lt;99,VLOOKUP(C4306,'Babblefish-APUMA'!$A$1:$B$86,2),C4306),C4306)</f>
        <v>92</v>
      </c>
    </row>
    <row r="4307" customFormat="false" ht="12.75" hidden="false" customHeight="false" outlineLevel="0" collapsed="false">
      <c r="A4307" s="0" t="n">
        <f aca="false">B4307*1000+C4307</f>
        <v>61085</v>
      </c>
      <c r="B4307" s="0" t="n">
        <v>61</v>
      </c>
      <c r="C4307" s="0" t="n">
        <v>85</v>
      </c>
      <c r="D4307" s="0" t="n">
        <v>0</v>
      </c>
      <c r="E4307" s="0" t="n">
        <f aca="false">VLOOKUP(B4307,'Babblefish-APUMA'!$A$1:$B$86,2)</f>
        <v>90</v>
      </c>
      <c r="F4307" s="0" t="n">
        <f aca="false">IF(C4307&gt;1,IF(C4307&lt;99,VLOOKUP(C4307,'Babblefish-APUMA'!$A$1:$B$86,2),C4307),C4307)</f>
        <v>97</v>
      </c>
    </row>
    <row r="4308" customFormat="false" ht="12.75" hidden="false" customHeight="false" outlineLevel="0" collapsed="false">
      <c r="A4308" s="0" t="n">
        <f aca="false">B4308*1000+C4308</f>
        <v>61858</v>
      </c>
      <c r="B4308" s="0" t="n">
        <v>61</v>
      </c>
      <c r="C4308" s="0" t="n">
        <v>858</v>
      </c>
      <c r="D4308" s="0" t="n">
        <v>0</v>
      </c>
      <c r="E4308" s="0" t="n">
        <f aca="false">VLOOKUP(B4308,'Babblefish-APUMA'!$A$1:$B$86,2)</f>
        <v>90</v>
      </c>
      <c r="F4308" s="0" t="n">
        <f aca="false">IF(C4308&gt;1,IF(C4308&lt;99,VLOOKUP(C4308,'Babblefish-APUMA'!$A$1:$B$86,2),C4308),C4308)</f>
        <v>858</v>
      </c>
    </row>
    <row r="4309" customFormat="false" ht="12.75" hidden="false" customHeight="false" outlineLevel="0" collapsed="false">
      <c r="A4309" s="0" t="n">
        <f aca="false">B4309*1000+C4309</f>
        <v>61983</v>
      </c>
      <c r="B4309" s="0" t="n">
        <v>61</v>
      </c>
      <c r="C4309" s="0" t="n">
        <v>983</v>
      </c>
      <c r="D4309" s="0" t="n">
        <v>0</v>
      </c>
      <c r="E4309" s="0" t="n">
        <f aca="false">VLOOKUP(B4309,'Babblefish-APUMA'!$A$1:$B$86,2)</f>
        <v>90</v>
      </c>
      <c r="F4309" s="0" t="n">
        <f aca="false">IF(C4309&gt;1,IF(C4309&lt;99,VLOOKUP(C4309,'Babblefish-APUMA'!$A$1:$B$86,2),C4309),C4309)</f>
        <v>983</v>
      </c>
    </row>
    <row r="4310" customFormat="false" ht="12.75" hidden="false" customHeight="false" outlineLevel="0" collapsed="false">
      <c r="A4310" s="0" t="n">
        <f aca="false">B4310*1000+C4310</f>
        <v>61999</v>
      </c>
      <c r="B4310" s="0" t="n">
        <v>61</v>
      </c>
      <c r="C4310" s="0" t="n">
        <v>999</v>
      </c>
      <c r="D4310" s="0" t="n">
        <v>0</v>
      </c>
      <c r="E4310" s="0" t="n">
        <f aca="false">VLOOKUP(B4310,'Babblefish-APUMA'!$A$1:$B$86,2)</f>
        <v>90</v>
      </c>
      <c r="F4310" s="0" t="n">
        <f aca="false">IF(C4310&gt;1,IF(C4310&lt;99,VLOOKUP(C4310,'Babblefish-APUMA'!$A$1:$B$86,2),C4310),C4310)</f>
        <v>999</v>
      </c>
    </row>
    <row r="4311" customFormat="false" ht="12.75" hidden="false" customHeight="false" outlineLevel="0" collapsed="false">
      <c r="A4311" s="0" t="n">
        <f aca="false">B4311*1000+C4311</f>
        <v>62000</v>
      </c>
      <c r="B4311" s="0" t="n">
        <v>62</v>
      </c>
      <c r="C4311" s="0" t="n">
        <v>0</v>
      </c>
      <c r="D4311" s="0" t="n">
        <v>56004</v>
      </c>
      <c r="E4311" s="0" t="n">
        <f aca="false">VLOOKUP(B4311,'Babblefish-APUMA'!$A$1:$B$86,2)</f>
        <v>90</v>
      </c>
      <c r="F4311" s="0" t="n">
        <f aca="false">IF(C4311&gt;1,IF(C4311&lt;99,VLOOKUP(C4311,'Babblefish-APUMA'!$A$1:$B$86,2),C4311),C4311)</f>
        <v>0</v>
      </c>
    </row>
    <row r="4312" customFormat="false" ht="12.75" hidden="false" customHeight="false" outlineLevel="0" collapsed="false">
      <c r="A4312" s="0" t="n">
        <f aca="false">B4312*1000+C4312</f>
        <v>62001</v>
      </c>
      <c r="B4312" s="0" t="n">
        <v>62</v>
      </c>
      <c r="C4312" s="0" t="n">
        <v>1</v>
      </c>
      <c r="D4312" s="0" t="n">
        <v>156</v>
      </c>
      <c r="E4312" s="0" t="n">
        <f aca="false">VLOOKUP(B4312,'Babblefish-APUMA'!$A$1:$B$86,2)</f>
        <v>90</v>
      </c>
      <c r="F4312" s="0" t="n">
        <f aca="false">IF(C4312&gt;1,IF(C4312&lt;99,VLOOKUP(C4312,'Babblefish-APUMA'!$A$1:$B$86,2),C4312),C4312)</f>
        <v>1</v>
      </c>
    </row>
    <row r="4313" customFormat="false" ht="12.75" hidden="false" customHeight="false" outlineLevel="0" collapsed="false">
      <c r="A4313" s="0" t="n">
        <f aca="false">B4313*1000+C4313</f>
        <v>62002</v>
      </c>
      <c r="B4313" s="0" t="n">
        <v>62</v>
      </c>
      <c r="C4313" s="0" t="n">
        <v>2</v>
      </c>
      <c r="D4313" s="0" t="n">
        <v>104</v>
      </c>
      <c r="E4313" s="0" t="n">
        <f aca="false">VLOOKUP(B4313,'Babblefish-APUMA'!$A$1:$B$86,2)</f>
        <v>90</v>
      </c>
      <c r="F4313" s="0" t="n">
        <f aca="false">IF(C4313&gt;1,IF(C4313&lt;99,VLOOKUP(C4313,'Babblefish-APUMA'!$A$1:$B$86,2),C4313),C4313)</f>
        <v>2</v>
      </c>
    </row>
    <row r="4314" customFormat="false" ht="12.75" hidden="false" customHeight="false" outlineLevel="0" collapsed="false">
      <c r="A4314" s="0" t="n">
        <f aca="false">B4314*1000+C4314</f>
        <v>62003</v>
      </c>
      <c r="B4314" s="0" t="n">
        <v>62</v>
      </c>
      <c r="C4314" s="0" t="n">
        <v>3</v>
      </c>
      <c r="D4314" s="0" t="n">
        <v>0</v>
      </c>
      <c r="E4314" s="0" t="n">
        <f aca="false">VLOOKUP(B4314,'Babblefish-APUMA'!$A$1:$B$86,2)</f>
        <v>90</v>
      </c>
      <c r="F4314" s="0" t="n">
        <f aca="false">IF(C4314&gt;1,IF(C4314&lt;99,VLOOKUP(C4314,'Babblefish-APUMA'!$A$1:$B$86,2),C4314),C4314)</f>
        <v>3</v>
      </c>
    </row>
    <row r="4315" customFormat="false" ht="12.75" hidden="false" customHeight="false" outlineLevel="0" collapsed="false">
      <c r="A4315" s="0" t="n">
        <f aca="false">B4315*1000+C4315</f>
        <v>62004</v>
      </c>
      <c r="B4315" s="0" t="n">
        <v>62</v>
      </c>
      <c r="C4315" s="0" t="n">
        <v>4</v>
      </c>
      <c r="D4315" s="0" t="n">
        <v>0</v>
      </c>
      <c r="E4315" s="0" t="n">
        <f aca="false">VLOOKUP(B4315,'Babblefish-APUMA'!$A$1:$B$86,2)</f>
        <v>90</v>
      </c>
      <c r="F4315" s="0" t="n">
        <f aca="false">IF(C4315&gt;1,IF(C4315&lt;99,VLOOKUP(C4315,'Babblefish-APUMA'!$A$1:$B$86,2),C4315),C4315)</f>
        <v>4</v>
      </c>
    </row>
    <row r="4316" customFormat="false" ht="12.75" hidden="false" customHeight="false" outlineLevel="0" collapsed="false">
      <c r="A4316" s="0" t="n">
        <f aca="false">B4316*1000+C4316</f>
        <v>62005</v>
      </c>
      <c r="B4316" s="0" t="n">
        <v>62</v>
      </c>
      <c r="C4316" s="0" t="n">
        <v>5</v>
      </c>
      <c r="D4316" s="0" t="n">
        <v>0</v>
      </c>
      <c r="E4316" s="0" t="n">
        <f aca="false">VLOOKUP(B4316,'Babblefish-APUMA'!$A$1:$B$86,2)</f>
        <v>90</v>
      </c>
      <c r="F4316" s="0" t="n">
        <f aca="false">IF(C4316&gt;1,IF(C4316&lt;99,VLOOKUP(C4316,'Babblefish-APUMA'!$A$1:$B$86,2),C4316),C4316)</f>
        <v>5</v>
      </c>
    </row>
    <row r="4317" customFormat="false" ht="12.75" hidden="false" customHeight="false" outlineLevel="0" collapsed="false">
      <c r="A4317" s="0" t="n">
        <f aca="false">B4317*1000+C4317</f>
        <v>62006</v>
      </c>
      <c r="B4317" s="0" t="n">
        <v>62</v>
      </c>
      <c r="C4317" s="0" t="n">
        <v>6</v>
      </c>
      <c r="D4317" s="0" t="n">
        <v>0</v>
      </c>
      <c r="E4317" s="0" t="n">
        <f aca="false">VLOOKUP(B4317,'Babblefish-APUMA'!$A$1:$B$86,2)</f>
        <v>90</v>
      </c>
      <c r="F4317" s="0" t="n">
        <f aca="false">IF(C4317&gt;1,IF(C4317&lt;99,VLOOKUP(C4317,'Babblefish-APUMA'!$A$1:$B$86,2),C4317),C4317)</f>
        <v>6</v>
      </c>
    </row>
    <row r="4318" customFormat="false" ht="12.75" hidden="false" customHeight="false" outlineLevel="0" collapsed="false">
      <c r="A4318" s="0" t="n">
        <f aca="false">B4318*1000+C4318</f>
        <v>62007</v>
      </c>
      <c r="B4318" s="0" t="n">
        <v>62</v>
      </c>
      <c r="C4318" s="0" t="n">
        <v>7</v>
      </c>
      <c r="D4318" s="0" t="n">
        <v>0</v>
      </c>
      <c r="E4318" s="0" t="n">
        <f aca="false">VLOOKUP(B4318,'Babblefish-APUMA'!$A$1:$B$86,2)</f>
        <v>90</v>
      </c>
      <c r="F4318" s="0" t="n">
        <f aca="false">IF(C4318&gt;1,IF(C4318&lt;99,VLOOKUP(C4318,'Babblefish-APUMA'!$A$1:$B$86,2),C4318),C4318)</f>
        <v>7</v>
      </c>
    </row>
    <row r="4319" customFormat="false" ht="12.75" hidden="false" customHeight="false" outlineLevel="0" collapsed="false">
      <c r="A4319" s="0" t="n">
        <f aca="false">B4319*1000+C4319</f>
        <v>62008</v>
      </c>
      <c r="B4319" s="0" t="n">
        <v>62</v>
      </c>
      <c r="C4319" s="0" t="n">
        <v>8</v>
      </c>
      <c r="D4319" s="0" t="n">
        <v>0</v>
      </c>
      <c r="E4319" s="0" t="n">
        <f aca="false">VLOOKUP(B4319,'Babblefish-APUMA'!$A$1:$B$86,2)</f>
        <v>90</v>
      </c>
      <c r="F4319" s="0" t="n">
        <f aca="false">IF(C4319&gt;1,IF(C4319&lt;99,VLOOKUP(C4319,'Babblefish-APUMA'!$A$1:$B$86,2),C4319),C4319)</f>
        <v>8</v>
      </c>
    </row>
    <row r="4320" customFormat="false" ht="12.75" hidden="false" customHeight="false" outlineLevel="0" collapsed="false">
      <c r="A4320" s="0" t="n">
        <f aca="false">B4320*1000+C4320</f>
        <v>62009</v>
      </c>
      <c r="B4320" s="0" t="n">
        <v>62</v>
      </c>
      <c r="C4320" s="0" t="n">
        <v>9</v>
      </c>
      <c r="D4320" s="0" t="n">
        <v>0</v>
      </c>
      <c r="E4320" s="0" t="n">
        <f aca="false">VLOOKUP(B4320,'Babblefish-APUMA'!$A$1:$B$86,2)</f>
        <v>90</v>
      </c>
      <c r="F4320" s="0" t="n">
        <f aca="false">IF(C4320&gt;1,IF(C4320&lt;99,VLOOKUP(C4320,'Babblefish-APUMA'!$A$1:$B$86,2),C4320),C4320)</f>
        <v>9</v>
      </c>
    </row>
    <row r="4321" customFormat="false" ht="12.75" hidden="false" customHeight="false" outlineLevel="0" collapsed="false">
      <c r="A4321" s="0" t="n">
        <f aca="false">B4321*1000+C4321</f>
        <v>62010</v>
      </c>
      <c r="B4321" s="0" t="n">
        <v>62</v>
      </c>
      <c r="C4321" s="0" t="n">
        <v>10</v>
      </c>
      <c r="D4321" s="0" t="n">
        <v>0</v>
      </c>
      <c r="E4321" s="0" t="n">
        <f aca="false">VLOOKUP(B4321,'Babblefish-APUMA'!$A$1:$B$86,2)</f>
        <v>90</v>
      </c>
      <c r="F4321" s="0" t="n">
        <f aca="false">IF(C4321&gt;1,IF(C4321&lt;99,VLOOKUP(C4321,'Babblefish-APUMA'!$A$1:$B$86,2),C4321),C4321)</f>
        <v>10</v>
      </c>
    </row>
    <row r="4322" customFormat="false" ht="12.75" hidden="false" customHeight="false" outlineLevel="0" collapsed="false">
      <c r="A4322" s="0" t="n">
        <f aca="false">B4322*1000+C4322</f>
        <v>62011</v>
      </c>
      <c r="B4322" s="0" t="n">
        <v>62</v>
      </c>
      <c r="C4322" s="0" t="n">
        <v>11</v>
      </c>
      <c r="D4322" s="0" t="n">
        <v>0</v>
      </c>
      <c r="E4322" s="0" t="n">
        <f aca="false">VLOOKUP(B4322,'Babblefish-APUMA'!$A$1:$B$86,2)</f>
        <v>90</v>
      </c>
      <c r="F4322" s="0" t="n">
        <f aca="false">IF(C4322&gt;1,IF(C4322&lt;99,VLOOKUP(C4322,'Babblefish-APUMA'!$A$1:$B$86,2),C4322),C4322)</f>
        <v>11</v>
      </c>
    </row>
    <row r="4323" customFormat="false" ht="12.75" hidden="false" customHeight="false" outlineLevel="0" collapsed="false">
      <c r="A4323" s="0" t="n">
        <f aca="false">B4323*1000+C4323</f>
        <v>62012</v>
      </c>
      <c r="B4323" s="0" t="n">
        <v>62</v>
      </c>
      <c r="C4323" s="0" t="n">
        <v>12</v>
      </c>
      <c r="D4323" s="0" t="n">
        <v>0</v>
      </c>
      <c r="E4323" s="0" t="n">
        <f aca="false">VLOOKUP(B4323,'Babblefish-APUMA'!$A$1:$B$86,2)</f>
        <v>90</v>
      </c>
      <c r="F4323" s="0" t="n">
        <f aca="false">IF(C4323&gt;1,IF(C4323&lt;99,VLOOKUP(C4323,'Babblefish-APUMA'!$A$1:$B$86,2),C4323),C4323)</f>
        <v>12</v>
      </c>
    </row>
    <row r="4324" customFormat="false" ht="12.75" hidden="false" customHeight="false" outlineLevel="0" collapsed="false">
      <c r="A4324" s="0" t="n">
        <f aca="false">B4324*1000+C4324</f>
        <v>62013</v>
      </c>
      <c r="B4324" s="0" t="n">
        <v>62</v>
      </c>
      <c r="C4324" s="0" t="n">
        <v>13</v>
      </c>
      <c r="D4324" s="0" t="n">
        <v>0</v>
      </c>
      <c r="E4324" s="0" t="n">
        <f aca="false">VLOOKUP(B4324,'Babblefish-APUMA'!$A$1:$B$86,2)</f>
        <v>90</v>
      </c>
      <c r="F4324" s="0" t="n">
        <f aca="false">IF(C4324&gt;1,IF(C4324&lt;99,VLOOKUP(C4324,'Babblefish-APUMA'!$A$1:$B$86,2),C4324),C4324)</f>
        <v>100</v>
      </c>
    </row>
    <row r="4325" customFormat="false" ht="12.75" hidden="false" customHeight="false" outlineLevel="0" collapsed="false">
      <c r="A4325" s="0" t="n">
        <f aca="false">B4325*1000+C4325</f>
        <v>62014</v>
      </c>
      <c r="B4325" s="0" t="n">
        <v>62</v>
      </c>
      <c r="C4325" s="0" t="n">
        <v>14</v>
      </c>
      <c r="D4325" s="0" t="n">
        <v>0</v>
      </c>
      <c r="E4325" s="0" t="n">
        <f aca="false">VLOOKUP(B4325,'Babblefish-APUMA'!$A$1:$B$86,2)</f>
        <v>90</v>
      </c>
      <c r="F4325" s="0" t="n">
        <f aca="false">IF(C4325&gt;1,IF(C4325&lt;99,VLOOKUP(C4325,'Babblefish-APUMA'!$A$1:$B$86,2),C4325),C4325)</f>
        <v>100</v>
      </c>
    </row>
    <row r="4326" customFormat="false" ht="12.75" hidden="false" customHeight="false" outlineLevel="0" collapsed="false">
      <c r="A4326" s="0" t="n">
        <f aca="false">B4326*1000+C4326</f>
        <v>62015</v>
      </c>
      <c r="B4326" s="0" t="n">
        <v>62</v>
      </c>
      <c r="C4326" s="0" t="n">
        <v>15</v>
      </c>
      <c r="D4326" s="0" t="n">
        <v>0</v>
      </c>
      <c r="E4326" s="0" t="n">
        <f aca="false">VLOOKUP(B4326,'Babblefish-APUMA'!$A$1:$B$86,2)</f>
        <v>90</v>
      </c>
      <c r="F4326" s="0" t="n">
        <f aca="false">IF(C4326&gt;1,IF(C4326&lt;99,VLOOKUP(C4326,'Babblefish-APUMA'!$A$1:$B$86,2),C4326),C4326)</f>
        <v>15</v>
      </c>
    </row>
    <row r="4327" customFormat="false" ht="12.75" hidden="false" customHeight="false" outlineLevel="0" collapsed="false">
      <c r="A4327" s="0" t="n">
        <f aca="false">B4327*1000+C4327</f>
        <v>62016</v>
      </c>
      <c r="B4327" s="0" t="n">
        <v>62</v>
      </c>
      <c r="C4327" s="0" t="n">
        <v>16</v>
      </c>
      <c r="D4327" s="0" t="n">
        <v>0</v>
      </c>
      <c r="E4327" s="0" t="n">
        <f aca="false">VLOOKUP(B4327,'Babblefish-APUMA'!$A$1:$B$86,2)</f>
        <v>90</v>
      </c>
      <c r="F4327" s="0" t="n">
        <f aca="false">IF(C4327&gt;1,IF(C4327&lt;99,VLOOKUP(C4327,'Babblefish-APUMA'!$A$1:$B$86,2),C4327),C4327)</f>
        <v>99</v>
      </c>
    </row>
    <row r="4328" customFormat="false" ht="12.75" hidden="false" customHeight="false" outlineLevel="0" collapsed="false">
      <c r="A4328" s="0" t="n">
        <f aca="false">B4328*1000+C4328</f>
        <v>62017</v>
      </c>
      <c r="B4328" s="0" t="n">
        <v>62</v>
      </c>
      <c r="C4328" s="0" t="n">
        <v>17</v>
      </c>
      <c r="D4328" s="0" t="n">
        <v>0</v>
      </c>
      <c r="E4328" s="0" t="n">
        <f aca="false">VLOOKUP(B4328,'Babblefish-APUMA'!$A$1:$B$86,2)</f>
        <v>90</v>
      </c>
      <c r="F4328" s="0" t="n">
        <f aca="false">IF(C4328&gt;1,IF(C4328&lt;99,VLOOKUP(C4328,'Babblefish-APUMA'!$A$1:$B$86,2),C4328),C4328)</f>
        <v>87</v>
      </c>
    </row>
    <row r="4329" customFormat="false" ht="12.75" hidden="false" customHeight="false" outlineLevel="0" collapsed="false">
      <c r="A4329" s="0" t="n">
        <f aca="false">B4329*1000+C4329</f>
        <v>62018</v>
      </c>
      <c r="B4329" s="0" t="n">
        <v>62</v>
      </c>
      <c r="C4329" s="0" t="n">
        <v>18</v>
      </c>
      <c r="D4329" s="0" t="n">
        <v>0</v>
      </c>
      <c r="E4329" s="0" t="n">
        <f aca="false">VLOOKUP(B4329,'Babblefish-APUMA'!$A$1:$B$86,2)</f>
        <v>90</v>
      </c>
      <c r="F4329" s="0" t="n">
        <f aca="false">IF(C4329&gt;1,IF(C4329&lt;99,VLOOKUP(C4329,'Babblefish-APUMA'!$A$1:$B$86,2),C4329),C4329)</f>
        <v>87</v>
      </c>
    </row>
    <row r="4330" customFormat="false" ht="12.75" hidden="false" customHeight="false" outlineLevel="0" collapsed="false">
      <c r="A4330" s="0" t="n">
        <f aca="false">B4330*1000+C4330</f>
        <v>62019</v>
      </c>
      <c r="B4330" s="0" t="n">
        <v>62</v>
      </c>
      <c r="C4330" s="0" t="n">
        <v>19</v>
      </c>
      <c r="D4330" s="0" t="n">
        <v>0</v>
      </c>
      <c r="E4330" s="0" t="n">
        <f aca="false">VLOOKUP(B4330,'Babblefish-APUMA'!$A$1:$B$86,2)</f>
        <v>90</v>
      </c>
      <c r="F4330" s="0" t="n">
        <f aca="false">IF(C4330&gt;1,IF(C4330&lt;99,VLOOKUP(C4330,'Babblefish-APUMA'!$A$1:$B$86,2),C4330),C4330)</f>
        <v>19</v>
      </c>
    </row>
    <row r="4331" customFormat="false" ht="12.75" hidden="false" customHeight="false" outlineLevel="0" collapsed="false">
      <c r="A4331" s="0" t="n">
        <f aca="false">B4331*1000+C4331</f>
        <v>62020</v>
      </c>
      <c r="B4331" s="0" t="n">
        <v>62</v>
      </c>
      <c r="C4331" s="0" t="n">
        <v>20</v>
      </c>
      <c r="D4331" s="0" t="n">
        <v>0</v>
      </c>
      <c r="E4331" s="0" t="n">
        <f aca="false">VLOOKUP(B4331,'Babblefish-APUMA'!$A$1:$B$86,2)</f>
        <v>90</v>
      </c>
      <c r="F4331" s="0" t="n">
        <f aca="false">IF(C4331&gt;1,IF(C4331&lt;99,VLOOKUP(C4331,'Babblefish-APUMA'!$A$1:$B$86,2),C4331),C4331)</f>
        <v>86</v>
      </c>
    </row>
    <row r="4332" customFormat="false" ht="12.75" hidden="false" customHeight="false" outlineLevel="0" collapsed="false">
      <c r="A4332" s="0" t="n">
        <f aca="false">B4332*1000+C4332</f>
        <v>62021</v>
      </c>
      <c r="B4332" s="0" t="n">
        <v>62</v>
      </c>
      <c r="C4332" s="0" t="n">
        <v>21</v>
      </c>
      <c r="D4332" s="0" t="n">
        <v>0</v>
      </c>
      <c r="E4332" s="0" t="n">
        <f aca="false">VLOOKUP(B4332,'Babblefish-APUMA'!$A$1:$B$86,2)</f>
        <v>90</v>
      </c>
      <c r="F4332" s="0" t="n">
        <f aca="false">IF(C4332&gt;1,IF(C4332&lt;99,VLOOKUP(C4332,'Babblefish-APUMA'!$A$1:$B$86,2),C4332),C4332)</f>
        <v>86</v>
      </c>
    </row>
    <row r="4333" customFormat="false" ht="12.75" hidden="false" customHeight="false" outlineLevel="0" collapsed="false">
      <c r="A4333" s="0" t="n">
        <f aca="false">B4333*1000+C4333</f>
        <v>62022</v>
      </c>
      <c r="B4333" s="0" t="n">
        <v>62</v>
      </c>
      <c r="C4333" s="0" t="n">
        <v>22</v>
      </c>
      <c r="D4333" s="0" t="n">
        <v>0</v>
      </c>
      <c r="E4333" s="0" t="n">
        <f aca="false">VLOOKUP(B4333,'Babblefish-APUMA'!$A$1:$B$86,2)</f>
        <v>90</v>
      </c>
      <c r="F4333" s="0" t="n">
        <f aca="false">IF(C4333&gt;1,IF(C4333&lt;99,VLOOKUP(C4333,'Babblefish-APUMA'!$A$1:$B$86,2),C4333),C4333)</f>
        <v>22</v>
      </c>
    </row>
    <row r="4334" customFormat="false" ht="12.75" hidden="false" customHeight="false" outlineLevel="0" collapsed="false">
      <c r="A4334" s="0" t="n">
        <f aca="false">B4334*1000+C4334</f>
        <v>62023</v>
      </c>
      <c r="B4334" s="0" t="n">
        <v>62</v>
      </c>
      <c r="C4334" s="0" t="n">
        <v>23</v>
      </c>
      <c r="D4334" s="0" t="n">
        <v>0</v>
      </c>
      <c r="E4334" s="0" t="n">
        <f aca="false">VLOOKUP(B4334,'Babblefish-APUMA'!$A$1:$B$86,2)</f>
        <v>90</v>
      </c>
      <c r="F4334" s="0" t="n">
        <f aca="false">IF(C4334&gt;1,IF(C4334&lt;99,VLOOKUP(C4334,'Babblefish-APUMA'!$A$1:$B$86,2),C4334),C4334)</f>
        <v>97</v>
      </c>
    </row>
    <row r="4335" customFormat="false" ht="12.75" hidden="false" customHeight="false" outlineLevel="0" collapsed="false">
      <c r="A4335" s="0" t="n">
        <f aca="false">B4335*1000+C4335</f>
        <v>62024</v>
      </c>
      <c r="B4335" s="0" t="n">
        <v>62</v>
      </c>
      <c r="C4335" s="0" t="n">
        <v>24</v>
      </c>
      <c r="D4335" s="0" t="n">
        <v>0</v>
      </c>
      <c r="E4335" s="0" t="n">
        <f aca="false">VLOOKUP(B4335,'Babblefish-APUMA'!$A$1:$B$86,2)</f>
        <v>90</v>
      </c>
      <c r="F4335" s="0" t="n">
        <f aca="false">IF(C4335&gt;1,IF(C4335&lt;99,VLOOKUP(C4335,'Babblefish-APUMA'!$A$1:$B$86,2),C4335),C4335)</f>
        <v>101</v>
      </c>
    </row>
    <row r="4336" customFormat="false" ht="12.75" hidden="false" customHeight="false" outlineLevel="0" collapsed="false">
      <c r="A4336" s="0" t="n">
        <f aca="false">B4336*1000+C4336</f>
        <v>62025</v>
      </c>
      <c r="B4336" s="0" t="n">
        <v>62</v>
      </c>
      <c r="C4336" s="0" t="n">
        <v>25</v>
      </c>
      <c r="D4336" s="0" t="n">
        <v>0</v>
      </c>
      <c r="E4336" s="0" t="n">
        <f aca="false">VLOOKUP(B4336,'Babblefish-APUMA'!$A$1:$B$86,2)</f>
        <v>90</v>
      </c>
      <c r="F4336" s="0" t="n">
        <f aca="false">IF(C4336&gt;1,IF(C4336&lt;99,VLOOKUP(C4336,'Babblefish-APUMA'!$A$1:$B$86,2),C4336),C4336)</f>
        <v>101</v>
      </c>
    </row>
    <row r="4337" customFormat="false" ht="12.75" hidden="false" customHeight="false" outlineLevel="0" collapsed="false">
      <c r="A4337" s="0" t="n">
        <f aca="false">B4337*1000+C4337</f>
        <v>62026</v>
      </c>
      <c r="B4337" s="0" t="n">
        <v>62</v>
      </c>
      <c r="C4337" s="0" t="n">
        <v>26</v>
      </c>
      <c r="D4337" s="0" t="n">
        <v>0</v>
      </c>
      <c r="E4337" s="0" t="n">
        <f aca="false">VLOOKUP(B4337,'Babblefish-APUMA'!$A$1:$B$86,2)</f>
        <v>90</v>
      </c>
      <c r="F4337" s="0" t="n">
        <f aca="false">IF(C4337&gt;1,IF(C4337&lt;99,VLOOKUP(C4337,'Babblefish-APUMA'!$A$1:$B$86,2),C4337),C4337)</f>
        <v>26</v>
      </c>
    </row>
    <row r="4338" customFormat="false" ht="12.75" hidden="false" customHeight="false" outlineLevel="0" collapsed="false">
      <c r="A4338" s="0" t="n">
        <f aca="false">B4338*1000+C4338</f>
        <v>62027</v>
      </c>
      <c r="B4338" s="0" t="n">
        <v>62</v>
      </c>
      <c r="C4338" s="0" t="n">
        <v>27</v>
      </c>
      <c r="D4338" s="0" t="n">
        <v>0</v>
      </c>
      <c r="E4338" s="0" t="n">
        <f aca="false">VLOOKUP(B4338,'Babblefish-APUMA'!$A$1:$B$86,2)</f>
        <v>90</v>
      </c>
      <c r="F4338" s="0" t="n">
        <f aca="false">IF(C4338&gt;1,IF(C4338&lt;99,VLOOKUP(C4338,'Babblefish-APUMA'!$A$1:$B$86,2),C4338),C4338)</f>
        <v>27</v>
      </c>
    </row>
    <row r="4339" customFormat="false" ht="12.75" hidden="false" customHeight="false" outlineLevel="0" collapsed="false">
      <c r="A4339" s="0" t="n">
        <f aca="false">B4339*1000+C4339</f>
        <v>62028</v>
      </c>
      <c r="B4339" s="0" t="n">
        <v>62</v>
      </c>
      <c r="C4339" s="0" t="n">
        <v>28</v>
      </c>
      <c r="D4339" s="0" t="n">
        <v>0</v>
      </c>
      <c r="E4339" s="0" t="n">
        <f aca="false">VLOOKUP(B4339,'Babblefish-APUMA'!$A$1:$B$86,2)</f>
        <v>90</v>
      </c>
      <c r="F4339" s="0" t="n">
        <f aca="false">IF(C4339&gt;1,IF(C4339&lt;99,VLOOKUP(C4339,'Babblefish-APUMA'!$A$1:$B$86,2),C4339),C4339)</f>
        <v>94</v>
      </c>
    </row>
    <row r="4340" customFormat="false" ht="12.75" hidden="false" customHeight="false" outlineLevel="0" collapsed="false">
      <c r="A4340" s="0" t="n">
        <f aca="false">B4340*1000+C4340</f>
        <v>62029</v>
      </c>
      <c r="B4340" s="0" t="n">
        <v>62</v>
      </c>
      <c r="C4340" s="0" t="n">
        <v>29</v>
      </c>
      <c r="D4340" s="0" t="n">
        <v>0</v>
      </c>
      <c r="E4340" s="0" t="n">
        <f aca="false">VLOOKUP(B4340,'Babblefish-APUMA'!$A$1:$B$86,2)</f>
        <v>90</v>
      </c>
      <c r="F4340" s="0" t="n">
        <f aca="false">IF(C4340&gt;1,IF(C4340&lt;99,VLOOKUP(C4340,'Babblefish-APUMA'!$A$1:$B$86,2),C4340),C4340)</f>
        <v>94</v>
      </c>
    </row>
    <row r="4341" customFormat="false" ht="12.75" hidden="false" customHeight="false" outlineLevel="0" collapsed="false">
      <c r="A4341" s="0" t="n">
        <f aca="false">B4341*1000+C4341</f>
        <v>62030</v>
      </c>
      <c r="B4341" s="0" t="n">
        <v>62</v>
      </c>
      <c r="C4341" s="0" t="n">
        <v>30</v>
      </c>
      <c r="D4341" s="0" t="n">
        <v>0</v>
      </c>
      <c r="E4341" s="0" t="n">
        <f aca="false">VLOOKUP(B4341,'Babblefish-APUMA'!$A$1:$B$86,2)</f>
        <v>90</v>
      </c>
      <c r="F4341" s="0" t="n">
        <f aca="false">IF(C4341&gt;1,IF(C4341&lt;99,VLOOKUP(C4341,'Babblefish-APUMA'!$A$1:$B$86,2),C4341),C4341)</f>
        <v>30</v>
      </c>
    </row>
    <row r="4342" customFormat="false" ht="12.75" hidden="false" customHeight="false" outlineLevel="0" collapsed="false">
      <c r="A4342" s="0" t="n">
        <f aca="false">B4342*1000+C4342</f>
        <v>62031</v>
      </c>
      <c r="B4342" s="0" t="n">
        <v>62</v>
      </c>
      <c r="C4342" s="0" t="n">
        <v>31</v>
      </c>
      <c r="D4342" s="0" t="n">
        <v>0</v>
      </c>
      <c r="E4342" s="0" t="n">
        <f aca="false">VLOOKUP(B4342,'Babblefish-APUMA'!$A$1:$B$86,2)</f>
        <v>90</v>
      </c>
      <c r="F4342" s="0" t="n">
        <f aca="false">IF(C4342&gt;1,IF(C4342&lt;99,VLOOKUP(C4342,'Babblefish-APUMA'!$A$1:$B$86,2),C4342),C4342)</f>
        <v>31</v>
      </c>
    </row>
    <row r="4343" customFormat="false" ht="12.75" hidden="false" customHeight="false" outlineLevel="0" collapsed="false">
      <c r="A4343" s="0" t="n">
        <f aca="false">B4343*1000+C4343</f>
        <v>62032</v>
      </c>
      <c r="B4343" s="0" t="n">
        <v>62</v>
      </c>
      <c r="C4343" s="0" t="n">
        <v>32</v>
      </c>
      <c r="D4343" s="0" t="n">
        <v>0</v>
      </c>
      <c r="E4343" s="0" t="n">
        <f aca="false">VLOOKUP(B4343,'Babblefish-APUMA'!$A$1:$B$86,2)</f>
        <v>90</v>
      </c>
      <c r="F4343" s="0" t="n">
        <f aca="false">IF(C4343&gt;1,IF(C4343&lt;99,VLOOKUP(C4343,'Babblefish-APUMA'!$A$1:$B$86,2),C4343),C4343)</f>
        <v>32</v>
      </c>
    </row>
    <row r="4344" customFormat="false" ht="12.75" hidden="false" customHeight="false" outlineLevel="0" collapsed="false">
      <c r="A4344" s="0" t="n">
        <f aca="false">B4344*1000+C4344</f>
        <v>62033</v>
      </c>
      <c r="B4344" s="0" t="n">
        <v>62</v>
      </c>
      <c r="C4344" s="0" t="n">
        <v>33</v>
      </c>
      <c r="D4344" s="0" t="n">
        <v>0</v>
      </c>
      <c r="E4344" s="0" t="n">
        <f aca="false">VLOOKUP(B4344,'Babblefish-APUMA'!$A$1:$B$86,2)</f>
        <v>90</v>
      </c>
      <c r="F4344" s="0" t="n">
        <f aca="false">IF(C4344&gt;1,IF(C4344&lt;99,VLOOKUP(C4344,'Babblefish-APUMA'!$A$1:$B$86,2),C4344),C4344)</f>
        <v>96</v>
      </c>
    </row>
    <row r="4345" customFormat="false" ht="12.75" hidden="false" customHeight="false" outlineLevel="0" collapsed="false">
      <c r="A4345" s="0" t="n">
        <f aca="false">B4345*1000+C4345</f>
        <v>62034</v>
      </c>
      <c r="B4345" s="0" t="n">
        <v>62</v>
      </c>
      <c r="C4345" s="0" t="n">
        <v>34</v>
      </c>
      <c r="D4345" s="0" t="n">
        <v>117</v>
      </c>
      <c r="E4345" s="0" t="n">
        <f aca="false">VLOOKUP(B4345,'Babblefish-APUMA'!$A$1:$B$86,2)</f>
        <v>90</v>
      </c>
      <c r="F4345" s="0" t="n">
        <f aca="false">IF(C4345&gt;1,IF(C4345&lt;99,VLOOKUP(C4345,'Babblefish-APUMA'!$A$1:$B$86,2),C4345),C4345)</f>
        <v>96</v>
      </c>
    </row>
    <row r="4346" customFormat="false" ht="12.75" hidden="false" customHeight="false" outlineLevel="0" collapsed="false">
      <c r="A4346" s="0" t="n">
        <f aca="false">B4346*1000+C4346</f>
        <v>62035</v>
      </c>
      <c r="B4346" s="0" t="n">
        <v>62</v>
      </c>
      <c r="C4346" s="0" t="n">
        <v>35</v>
      </c>
      <c r="D4346" s="0" t="n">
        <v>0</v>
      </c>
      <c r="E4346" s="0" t="n">
        <f aca="false">VLOOKUP(B4346,'Babblefish-APUMA'!$A$1:$B$86,2)</f>
        <v>90</v>
      </c>
      <c r="F4346" s="0" t="n">
        <f aca="false">IF(C4346&gt;1,IF(C4346&lt;99,VLOOKUP(C4346,'Babblefish-APUMA'!$A$1:$B$86,2),C4346),C4346)</f>
        <v>96</v>
      </c>
    </row>
    <row r="4347" customFormat="false" ht="12.75" hidden="false" customHeight="false" outlineLevel="0" collapsed="false">
      <c r="A4347" s="0" t="n">
        <f aca="false">B4347*1000+C4347</f>
        <v>62036</v>
      </c>
      <c r="B4347" s="0" t="n">
        <v>62</v>
      </c>
      <c r="C4347" s="0" t="n">
        <v>36</v>
      </c>
      <c r="D4347" s="0" t="n">
        <v>0</v>
      </c>
      <c r="E4347" s="0" t="n">
        <f aca="false">VLOOKUP(B4347,'Babblefish-APUMA'!$A$1:$B$86,2)</f>
        <v>90</v>
      </c>
      <c r="F4347" s="0" t="n">
        <f aca="false">IF(C4347&gt;1,IF(C4347&lt;99,VLOOKUP(C4347,'Babblefish-APUMA'!$A$1:$B$86,2),C4347),C4347)</f>
        <v>96</v>
      </c>
    </row>
    <row r="4348" customFormat="false" ht="12.75" hidden="false" customHeight="false" outlineLevel="0" collapsed="false">
      <c r="A4348" s="0" t="n">
        <f aca="false">B4348*1000+C4348</f>
        <v>62037</v>
      </c>
      <c r="B4348" s="0" t="n">
        <v>62</v>
      </c>
      <c r="C4348" s="0" t="n">
        <v>37</v>
      </c>
      <c r="D4348" s="0" t="n">
        <v>0</v>
      </c>
      <c r="E4348" s="0" t="n">
        <f aca="false">VLOOKUP(B4348,'Babblefish-APUMA'!$A$1:$B$86,2)</f>
        <v>90</v>
      </c>
      <c r="F4348" s="0" t="n">
        <f aca="false">IF(C4348&gt;1,IF(C4348&lt;99,VLOOKUP(C4348,'Babblefish-APUMA'!$A$1:$B$86,2),C4348),C4348)</f>
        <v>96</v>
      </c>
    </row>
    <row r="4349" customFormat="false" ht="12.75" hidden="false" customHeight="false" outlineLevel="0" collapsed="false">
      <c r="A4349" s="0" t="n">
        <f aca="false">B4349*1000+C4349</f>
        <v>62038</v>
      </c>
      <c r="B4349" s="0" t="n">
        <v>62</v>
      </c>
      <c r="C4349" s="0" t="n">
        <v>38</v>
      </c>
      <c r="D4349" s="0" t="n">
        <v>0</v>
      </c>
      <c r="E4349" s="0" t="n">
        <f aca="false">VLOOKUP(B4349,'Babblefish-APUMA'!$A$1:$B$86,2)</f>
        <v>90</v>
      </c>
      <c r="F4349" s="0" t="n">
        <f aca="false">IF(C4349&gt;1,IF(C4349&lt;99,VLOOKUP(C4349,'Babblefish-APUMA'!$A$1:$B$86,2),C4349),C4349)</f>
        <v>91</v>
      </c>
    </row>
    <row r="4350" customFormat="false" ht="12.75" hidden="false" customHeight="false" outlineLevel="0" collapsed="false">
      <c r="A4350" s="0" t="n">
        <f aca="false">B4350*1000+C4350</f>
        <v>62039</v>
      </c>
      <c r="B4350" s="0" t="n">
        <v>62</v>
      </c>
      <c r="C4350" s="0" t="n">
        <v>39</v>
      </c>
      <c r="D4350" s="0" t="n">
        <v>0</v>
      </c>
      <c r="E4350" s="0" t="n">
        <f aca="false">VLOOKUP(B4350,'Babblefish-APUMA'!$A$1:$B$86,2)</f>
        <v>90</v>
      </c>
      <c r="F4350" s="0" t="n">
        <f aca="false">IF(C4350&gt;1,IF(C4350&lt;99,VLOOKUP(C4350,'Babblefish-APUMA'!$A$1:$B$86,2),C4350),C4350)</f>
        <v>91</v>
      </c>
    </row>
    <row r="4351" customFormat="false" ht="12.75" hidden="false" customHeight="false" outlineLevel="0" collapsed="false">
      <c r="A4351" s="0" t="n">
        <f aca="false">B4351*1000+C4351</f>
        <v>62040</v>
      </c>
      <c r="B4351" s="0" t="n">
        <v>62</v>
      </c>
      <c r="C4351" s="0" t="n">
        <v>40</v>
      </c>
      <c r="D4351" s="0" t="n">
        <v>0</v>
      </c>
      <c r="E4351" s="0" t="n">
        <f aca="false">VLOOKUP(B4351,'Babblefish-APUMA'!$A$1:$B$86,2)</f>
        <v>90</v>
      </c>
      <c r="F4351" s="0" t="n">
        <f aca="false">IF(C4351&gt;1,IF(C4351&lt;99,VLOOKUP(C4351,'Babblefish-APUMA'!$A$1:$B$86,2),C4351),C4351)</f>
        <v>88</v>
      </c>
    </row>
    <row r="4352" customFormat="false" ht="12.75" hidden="false" customHeight="false" outlineLevel="0" collapsed="false">
      <c r="A4352" s="0" t="n">
        <f aca="false">B4352*1000+C4352</f>
        <v>62041</v>
      </c>
      <c r="B4352" s="0" t="n">
        <v>62</v>
      </c>
      <c r="C4352" s="0" t="n">
        <v>41</v>
      </c>
      <c r="D4352" s="0" t="n">
        <v>0</v>
      </c>
      <c r="E4352" s="0" t="n">
        <f aca="false">VLOOKUP(B4352,'Babblefish-APUMA'!$A$1:$B$86,2)</f>
        <v>90</v>
      </c>
      <c r="F4352" s="0" t="n">
        <f aca="false">IF(C4352&gt;1,IF(C4352&lt;99,VLOOKUP(C4352,'Babblefish-APUMA'!$A$1:$B$86,2),C4352),C4352)</f>
        <v>88</v>
      </c>
    </row>
    <row r="4353" customFormat="false" ht="12.75" hidden="false" customHeight="false" outlineLevel="0" collapsed="false">
      <c r="A4353" s="0" t="n">
        <f aca="false">B4353*1000+C4353</f>
        <v>62042</v>
      </c>
      <c r="B4353" s="0" t="n">
        <v>62</v>
      </c>
      <c r="C4353" s="0" t="n">
        <v>42</v>
      </c>
      <c r="D4353" s="0" t="n">
        <v>0</v>
      </c>
      <c r="E4353" s="0" t="n">
        <f aca="false">VLOOKUP(B4353,'Babblefish-APUMA'!$A$1:$B$86,2)</f>
        <v>90</v>
      </c>
      <c r="F4353" s="0" t="n">
        <f aca="false">IF(C4353&gt;1,IF(C4353&lt;99,VLOOKUP(C4353,'Babblefish-APUMA'!$A$1:$B$86,2),C4353),C4353)</f>
        <v>92</v>
      </c>
    </row>
    <row r="4354" customFormat="false" ht="12.75" hidden="false" customHeight="false" outlineLevel="0" collapsed="false">
      <c r="A4354" s="0" t="n">
        <f aca="false">B4354*1000+C4354</f>
        <v>62043</v>
      </c>
      <c r="B4354" s="0" t="n">
        <v>62</v>
      </c>
      <c r="C4354" s="0" t="n">
        <v>43</v>
      </c>
      <c r="D4354" s="0" t="n">
        <v>0</v>
      </c>
      <c r="E4354" s="0" t="n">
        <f aca="false">VLOOKUP(B4354,'Babblefish-APUMA'!$A$1:$B$86,2)</f>
        <v>90</v>
      </c>
      <c r="F4354" s="0" t="n">
        <f aca="false">IF(C4354&gt;1,IF(C4354&lt;99,VLOOKUP(C4354,'Babblefish-APUMA'!$A$1:$B$86,2),C4354),C4354)</f>
        <v>92</v>
      </c>
    </row>
    <row r="4355" customFormat="false" ht="12.75" hidden="false" customHeight="false" outlineLevel="0" collapsed="false">
      <c r="A4355" s="0" t="n">
        <f aca="false">B4355*1000+C4355</f>
        <v>62044</v>
      </c>
      <c r="B4355" s="0" t="n">
        <v>62</v>
      </c>
      <c r="C4355" s="0" t="n">
        <v>44</v>
      </c>
      <c r="D4355" s="0" t="n">
        <v>0</v>
      </c>
      <c r="E4355" s="0" t="n">
        <f aca="false">VLOOKUP(B4355,'Babblefish-APUMA'!$A$1:$B$86,2)</f>
        <v>90</v>
      </c>
      <c r="F4355" s="0" t="n">
        <f aca="false">IF(C4355&gt;1,IF(C4355&lt;99,VLOOKUP(C4355,'Babblefish-APUMA'!$A$1:$B$86,2),C4355),C4355)</f>
        <v>92</v>
      </c>
    </row>
    <row r="4356" customFormat="false" ht="12.75" hidden="false" customHeight="false" outlineLevel="0" collapsed="false">
      <c r="A4356" s="0" t="n">
        <f aca="false">B4356*1000+C4356</f>
        <v>62045</v>
      </c>
      <c r="B4356" s="0" t="n">
        <v>62</v>
      </c>
      <c r="C4356" s="0" t="n">
        <v>45</v>
      </c>
      <c r="D4356" s="0" t="n">
        <v>0</v>
      </c>
      <c r="E4356" s="0" t="n">
        <f aca="false">VLOOKUP(B4356,'Babblefish-APUMA'!$A$1:$B$86,2)</f>
        <v>90</v>
      </c>
      <c r="F4356" s="0" t="n">
        <f aca="false">IF(C4356&gt;1,IF(C4356&lt;99,VLOOKUP(C4356,'Babblefish-APUMA'!$A$1:$B$86,2),C4356),C4356)</f>
        <v>92</v>
      </c>
    </row>
    <row r="4357" customFormat="false" ht="12.75" hidden="false" customHeight="false" outlineLevel="0" collapsed="false">
      <c r="A4357" s="0" t="n">
        <f aca="false">B4357*1000+C4357</f>
        <v>62046</v>
      </c>
      <c r="B4357" s="0" t="n">
        <v>62</v>
      </c>
      <c r="C4357" s="0" t="n">
        <v>46</v>
      </c>
      <c r="D4357" s="0" t="n">
        <v>143</v>
      </c>
      <c r="E4357" s="0" t="n">
        <f aca="false">VLOOKUP(B4357,'Babblefish-APUMA'!$A$1:$B$86,2)</f>
        <v>90</v>
      </c>
      <c r="F4357" s="0" t="n">
        <f aca="false">IF(C4357&gt;1,IF(C4357&lt;99,VLOOKUP(C4357,'Babblefish-APUMA'!$A$1:$B$86,2),C4357),C4357)</f>
        <v>92</v>
      </c>
    </row>
    <row r="4358" customFormat="false" ht="12.75" hidden="false" customHeight="false" outlineLevel="0" collapsed="false">
      <c r="A4358" s="0" t="n">
        <f aca="false">B4358*1000+C4358</f>
        <v>62047</v>
      </c>
      <c r="B4358" s="0" t="n">
        <v>62</v>
      </c>
      <c r="C4358" s="0" t="n">
        <v>47</v>
      </c>
      <c r="D4358" s="0" t="n">
        <v>0</v>
      </c>
      <c r="E4358" s="0" t="n">
        <f aca="false">VLOOKUP(B4358,'Babblefish-APUMA'!$A$1:$B$86,2)</f>
        <v>90</v>
      </c>
      <c r="F4358" s="0" t="n">
        <f aca="false">IF(C4358&gt;1,IF(C4358&lt;99,VLOOKUP(C4358,'Babblefish-APUMA'!$A$1:$B$86,2),C4358),C4358)</f>
        <v>92</v>
      </c>
    </row>
    <row r="4359" customFormat="false" ht="12.75" hidden="false" customHeight="false" outlineLevel="0" collapsed="false">
      <c r="A4359" s="0" t="n">
        <f aca="false">B4359*1000+C4359</f>
        <v>62048</v>
      </c>
      <c r="B4359" s="0" t="n">
        <v>62</v>
      </c>
      <c r="C4359" s="0" t="n">
        <v>48</v>
      </c>
      <c r="D4359" s="0" t="n">
        <v>650</v>
      </c>
      <c r="E4359" s="0" t="n">
        <f aca="false">VLOOKUP(B4359,'Babblefish-APUMA'!$A$1:$B$86,2)</f>
        <v>90</v>
      </c>
      <c r="F4359" s="0" t="n">
        <f aca="false">IF(C4359&gt;1,IF(C4359&lt;99,VLOOKUP(C4359,'Babblefish-APUMA'!$A$1:$B$86,2),C4359),C4359)</f>
        <v>92</v>
      </c>
    </row>
    <row r="4360" customFormat="false" ht="12.75" hidden="false" customHeight="false" outlineLevel="0" collapsed="false">
      <c r="A4360" s="0" t="n">
        <f aca="false">B4360*1000+C4360</f>
        <v>62049</v>
      </c>
      <c r="B4360" s="0" t="n">
        <v>62</v>
      </c>
      <c r="C4360" s="0" t="n">
        <v>49</v>
      </c>
      <c r="D4360" s="0" t="n">
        <v>0</v>
      </c>
      <c r="E4360" s="0" t="n">
        <f aca="false">VLOOKUP(B4360,'Babblefish-APUMA'!$A$1:$B$86,2)</f>
        <v>90</v>
      </c>
      <c r="F4360" s="0" t="n">
        <f aca="false">IF(C4360&gt;1,IF(C4360&lt;99,VLOOKUP(C4360,'Babblefish-APUMA'!$A$1:$B$86,2),C4360),C4360)</f>
        <v>98</v>
      </c>
    </row>
    <row r="4361" customFormat="false" ht="12.75" hidden="false" customHeight="false" outlineLevel="0" collapsed="false">
      <c r="A4361" s="0" t="n">
        <f aca="false">B4361*1000+C4361</f>
        <v>62050</v>
      </c>
      <c r="B4361" s="0" t="n">
        <v>62</v>
      </c>
      <c r="C4361" s="0" t="n">
        <v>50</v>
      </c>
      <c r="D4361" s="0" t="n">
        <v>0</v>
      </c>
      <c r="E4361" s="0" t="n">
        <f aca="false">VLOOKUP(B4361,'Babblefish-APUMA'!$A$1:$B$86,2)</f>
        <v>90</v>
      </c>
      <c r="F4361" s="0" t="n">
        <f aca="false">IF(C4361&gt;1,IF(C4361&lt;99,VLOOKUP(C4361,'Babblefish-APUMA'!$A$1:$B$86,2),C4361),C4361)</f>
        <v>98</v>
      </c>
    </row>
    <row r="4362" customFormat="false" ht="12.75" hidden="false" customHeight="false" outlineLevel="0" collapsed="false">
      <c r="A4362" s="0" t="n">
        <f aca="false">B4362*1000+C4362</f>
        <v>62051</v>
      </c>
      <c r="B4362" s="0" t="n">
        <v>62</v>
      </c>
      <c r="C4362" s="0" t="n">
        <v>51</v>
      </c>
      <c r="D4362" s="0" t="n">
        <v>0</v>
      </c>
      <c r="E4362" s="0" t="n">
        <f aca="false">VLOOKUP(B4362,'Babblefish-APUMA'!$A$1:$B$86,2)</f>
        <v>90</v>
      </c>
      <c r="F4362" s="0" t="n">
        <f aca="false">IF(C4362&gt;1,IF(C4362&lt;99,VLOOKUP(C4362,'Babblefish-APUMA'!$A$1:$B$86,2),C4362),C4362)</f>
        <v>98</v>
      </c>
    </row>
    <row r="4363" customFormat="false" ht="12.75" hidden="false" customHeight="false" outlineLevel="0" collapsed="false">
      <c r="A4363" s="0" t="n">
        <f aca="false">B4363*1000+C4363</f>
        <v>62052</v>
      </c>
      <c r="B4363" s="0" t="n">
        <v>62</v>
      </c>
      <c r="C4363" s="0" t="n">
        <v>52</v>
      </c>
      <c r="D4363" s="0" t="n">
        <v>1560</v>
      </c>
      <c r="E4363" s="0" t="n">
        <f aca="false">VLOOKUP(B4363,'Babblefish-APUMA'!$A$1:$B$86,2)</f>
        <v>90</v>
      </c>
      <c r="F4363" s="0" t="n">
        <f aca="false">IF(C4363&gt;1,IF(C4363&lt;99,VLOOKUP(C4363,'Babblefish-APUMA'!$A$1:$B$86,2),C4363),C4363)</f>
        <v>90</v>
      </c>
    </row>
    <row r="4364" customFormat="false" ht="12.75" hidden="false" customHeight="false" outlineLevel="0" collapsed="false">
      <c r="A4364" s="0" t="n">
        <f aca="false">B4364*1000+C4364</f>
        <v>62053</v>
      </c>
      <c r="B4364" s="0" t="n">
        <v>62</v>
      </c>
      <c r="C4364" s="0" t="n">
        <v>53</v>
      </c>
      <c r="D4364" s="0" t="n">
        <v>143</v>
      </c>
      <c r="E4364" s="0" t="n">
        <f aca="false">VLOOKUP(B4364,'Babblefish-APUMA'!$A$1:$B$86,2)</f>
        <v>90</v>
      </c>
      <c r="F4364" s="0" t="n">
        <f aca="false">IF(C4364&gt;1,IF(C4364&lt;99,VLOOKUP(C4364,'Babblefish-APUMA'!$A$1:$B$86,2),C4364),C4364)</f>
        <v>90</v>
      </c>
    </row>
    <row r="4365" customFormat="false" ht="12.75" hidden="false" customHeight="false" outlineLevel="0" collapsed="false">
      <c r="A4365" s="0" t="n">
        <f aca="false">B4365*1000+C4365</f>
        <v>62054</v>
      </c>
      <c r="B4365" s="0" t="n">
        <v>62</v>
      </c>
      <c r="C4365" s="0" t="n">
        <v>54</v>
      </c>
      <c r="D4365" s="0" t="n">
        <v>65</v>
      </c>
      <c r="E4365" s="0" t="n">
        <f aca="false">VLOOKUP(B4365,'Babblefish-APUMA'!$A$1:$B$86,2)</f>
        <v>90</v>
      </c>
      <c r="F4365" s="0" t="n">
        <f aca="false">IF(C4365&gt;1,IF(C4365&lt;99,VLOOKUP(C4365,'Babblefish-APUMA'!$A$1:$B$86,2),C4365),C4365)</f>
        <v>90</v>
      </c>
    </row>
    <row r="4366" customFormat="false" ht="12.75" hidden="false" customHeight="false" outlineLevel="0" collapsed="false">
      <c r="A4366" s="0" t="n">
        <f aca="false">B4366*1000+C4366</f>
        <v>62055</v>
      </c>
      <c r="B4366" s="0" t="n">
        <v>62</v>
      </c>
      <c r="C4366" s="0" t="n">
        <v>55</v>
      </c>
      <c r="D4366" s="0" t="n">
        <v>0</v>
      </c>
      <c r="E4366" s="0" t="n">
        <f aca="false">VLOOKUP(B4366,'Babblefish-APUMA'!$A$1:$B$86,2)</f>
        <v>90</v>
      </c>
      <c r="F4366" s="0" t="n">
        <f aca="false">IF(C4366&gt;1,IF(C4366&lt;99,VLOOKUP(C4366,'Babblefish-APUMA'!$A$1:$B$86,2),C4366),C4366)</f>
        <v>90</v>
      </c>
    </row>
    <row r="4367" customFormat="false" ht="12.75" hidden="false" customHeight="false" outlineLevel="0" collapsed="false">
      <c r="A4367" s="0" t="n">
        <f aca="false">B4367*1000+C4367</f>
        <v>62056</v>
      </c>
      <c r="B4367" s="0" t="n">
        <v>62</v>
      </c>
      <c r="C4367" s="0" t="n">
        <v>56</v>
      </c>
      <c r="D4367" s="0" t="n">
        <v>104</v>
      </c>
      <c r="E4367" s="0" t="n">
        <f aca="false">VLOOKUP(B4367,'Babblefish-APUMA'!$A$1:$B$86,2)</f>
        <v>90</v>
      </c>
      <c r="F4367" s="0" t="n">
        <f aca="false">IF(C4367&gt;1,IF(C4367&lt;99,VLOOKUP(C4367,'Babblefish-APUMA'!$A$1:$B$86,2),C4367),C4367)</f>
        <v>90</v>
      </c>
    </row>
    <row r="4368" customFormat="false" ht="12.75" hidden="false" customHeight="false" outlineLevel="0" collapsed="false">
      <c r="A4368" s="0" t="n">
        <f aca="false">B4368*1000+C4368</f>
        <v>62057</v>
      </c>
      <c r="B4368" s="0" t="n">
        <v>62</v>
      </c>
      <c r="C4368" s="0" t="n">
        <v>57</v>
      </c>
      <c r="D4368" s="0" t="n">
        <v>195</v>
      </c>
      <c r="E4368" s="0" t="n">
        <f aca="false">VLOOKUP(B4368,'Babblefish-APUMA'!$A$1:$B$86,2)</f>
        <v>90</v>
      </c>
      <c r="F4368" s="0" t="n">
        <f aca="false">IF(C4368&gt;1,IF(C4368&lt;99,VLOOKUP(C4368,'Babblefish-APUMA'!$A$1:$B$86,2),C4368),C4368)</f>
        <v>90</v>
      </c>
    </row>
    <row r="4369" customFormat="false" ht="12.75" hidden="false" customHeight="false" outlineLevel="0" collapsed="false">
      <c r="A4369" s="0" t="n">
        <f aca="false">B4369*1000+C4369</f>
        <v>62058</v>
      </c>
      <c r="B4369" s="0" t="n">
        <v>62</v>
      </c>
      <c r="C4369" s="0" t="n">
        <v>58</v>
      </c>
      <c r="D4369" s="0" t="n">
        <v>117</v>
      </c>
      <c r="E4369" s="0" t="n">
        <f aca="false">VLOOKUP(B4369,'Babblefish-APUMA'!$A$1:$B$86,2)</f>
        <v>90</v>
      </c>
      <c r="F4369" s="0" t="n">
        <f aca="false">IF(C4369&gt;1,IF(C4369&lt;99,VLOOKUP(C4369,'Babblefish-APUMA'!$A$1:$B$86,2),C4369),C4369)</f>
        <v>90</v>
      </c>
    </row>
    <row r="4370" customFormat="false" ht="12.75" hidden="false" customHeight="false" outlineLevel="0" collapsed="false">
      <c r="A4370" s="0" t="n">
        <f aca="false">B4370*1000+C4370</f>
        <v>62059</v>
      </c>
      <c r="B4370" s="0" t="n">
        <v>62</v>
      </c>
      <c r="C4370" s="0" t="n">
        <v>59</v>
      </c>
      <c r="D4370" s="0" t="n">
        <v>260</v>
      </c>
      <c r="E4370" s="0" t="n">
        <f aca="false">VLOOKUP(B4370,'Babblefish-APUMA'!$A$1:$B$86,2)</f>
        <v>90</v>
      </c>
      <c r="F4370" s="0" t="n">
        <f aca="false">IF(C4370&gt;1,IF(C4370&lt;99,VLOOKUP(C4370,'Babblefish-APUMA'!$A$1:$B$86,2),C4370),C4370)</f>
        <v>90</v>
      </c>
    </row>
    <row r="4371" customFormat="false" ht="12.75" hidden="false" customHeight="false" outlineLevel="0" collapsed="false">
      <c r="A4371" s="0" t="n">
        <f aca="false">B4371*1000+C4371</f>
        <v>62060</v>
      </c>
      <c r="B4371" s="0" t="n">
        <v>62</v>
      </c>
      <c r="C4371" s="0" t="n">
        <v>60</v>
      </c>
      <c r="D4371" s="0" t="n">
        <v>338</v>
      </c>
      <c r="E4371" s="0" t="n">
        <f aca="false">VLOOKUP(B4371,'Babblefish-APUMA'!$A$1:$B$86,2)</f>
        <v>90</v>
      </c>
      <c r="F4371" s="0" t="n">
        <f aca="false">IF(C4371&gt;1,IF(C4371&lt;99,VLOOKUP(C4371,'Babblefish-APUMA'!$A$1:$B$86,2),C4371),C4371)</f>
        <v>90</v>
      </c>
    </row>
    <row r="4372" customFormat="false" ht="12.75" hidden="false" customHeight="false" outlineLevel="0" collapsed="false">
      <c r="A4372" s="0" t="n">
        <f aca="false">B4372*1000+C4372</f>
        <v>62061</v>
      </c>
      <c r="B4372" s="0" t="n">
        <v>62</v>
      </c>
      <c r="C4372" s="0" t="n">
        <v>61</v>
      </c>
      <c r="D4372" s="0" t="n">
        <v>806</v>
      </c>
      <c r="E4372" s="0" t="n">
        <f aca="false">VLOOKUP(B4372,'Babblefish-APUMA'!$A$1:$B$86,2)</f>
        <v>90</v>
      </c>
      <c r="F4372" s="0" t="n">
        <f aca="false">IF(C4372&gt;1,IF(C4372&lt;99,VLOOKUP(C4372,'Babblefish-APUMA'!$A$1:$B$86,2),C4372),C4372)</f>
        <v>90</v>
      </c>
    </row>
    <row r="4373" customFormat="false" ht="12.75" hidden="false" customHeight="false" outlineLevel="0" collapsed="false">
      <c r="A4373" s="0" t="n">
        <f aca="false">B4373*1000+C4373</f>
        <v>62062</v>
      </c>
      <c r="B4373" s="0" t="n">
        <v>62</v>
      </c>
      <c r="C4373" s="0" t="n">
        <v>62</v>
      </c>
      <c r="D4373" s="0" t="n">
        <v>19799</v>
      </c>
      <c r="E4373" s="0" t="n">
        <f aca="false">VLOOKUP(B4373,'Babblefish-APUMA'!$A$1:$B$86,2)</f>
        <v>90</v>
      </c>
      <c r="F4373" s="0" t="n">
        <f aca="false">IF(C4373&gt;1,IF(C4373&lt;99,VLOOKUP(C4373,'Babblefish-APUMA'!$A$1:$B$86,2),C4373),C4373)</f>
        <v>90</v>
      </c>
    </row>
    <row r="4374" customFormat="false" ht="12.75" hidden="false" customHeight="false" outlineLevel="0" collapsed="false">
      <c r="A4374" s="0" t="n">
        <f aca="false">B4374*1000+C4374</f>
        <v>62063</v>
      </c>
      <c r="B4374" s="0" t="n">
        <v>62</v>
      </c>
      <c r="C4374" s="0" t="n">
        <v>63</v>
      </c>
      <c r="D4374" s="0" t="n">
        <v>312</v>
      </c>
      <c r="E4374" s="0" t="n">
        <f aca="false">VLOOKUP(B4374,'Babblefish-APUMA'!$A$1:$B$86,2)</f>
        <v>90</v>
      </c>
      <c r="F4374" s="0" t="n">
        <f aca="false">IF(C4374&gt;1,IF(C4374&lt;99,VLOOKUP(C4374,'Babblefish-APUMA'!$A$1:$B$86,2),C4374),C4374)</f>
        <v>90</v>
      </c>
    </row>
    <row r="4375" customFormat="false" ht="12.75" hidden="false" customHeight="false" outlineLevel="0" collapsed="false">
      <c r="A4375" s="0" t="n">
        <f aca="false">B4375*1000+C4375</f>
        <v>62064</v>
      </c>
      <c r="B4375" s="0" t="n">
        <v>62</v>
      </c>
      <c r="C4375" s="0" t="n">
        <v>64</v>
      </c>
      <c r="D4375" s="0" t="n">
        <v>9711</v>
      </c>
      <c r="E4375" s="0" t="n">
        <f aca="false">VLOOKUP(B4375,'Babblefish-APUMA'!$A$1:$B$86,2)</f>
        <v>90</v>
      </c>
      <c r="F4375" s="0" t="n">
        <f aca="false">IF(C4375&gt;1,IF(C4375&lt;99,VLOOKUP(C4375,'Babblefish-APUMA'!$A$1:$B$86,2),C4375),C4375)</f>
        <v>90</v>
      </c>
    </row>
    <row r="4376" customFormat="false" ht="12.75" hidden="false" customHeight="false" outlineLevel="0" collapsed="false">
      <c r="A4376" s="0" t="n">
        <f aca="false">B4376*1000+C4376</f>
        <v>62065</v>
      </c>
      <c r="B4376" s="0" t="n">
        <v>62</v>
      </c>
      <c r="C4376" s="0" t="n">
        <v>65</v>
      </c>
      <c r="D4376" s="0" t="n">
        <v>38376</v>
      </c>
      <c r="E4376" s="0" t="n">
        <f aca="false">VLOOKUP(B4376,'Babblefish-APUMA'!$A$1:$B$86,2)</f>
        <v>90</v>
      </c>
      <c r="F4376" s="0" t="n">
        <f aca="false">IF(C4376&gt;1,IF(C4376&lt;99,VLOOKUP(C4376,'Babblefish-APUMA'!$A$1:$B$86,2),C4376),C4376)</f>
        <v>90</v>
      </c>
    </row>
    <row r="4377" customFormat="false" ht="12.75" hidden="false" customHeight="false" outlineLevel="0" collapsed="false">
      <c r="A4377" s="0" t="n">
        <f aca="false">B4377*1000+C4377</f>
        <v>62066</v>
      </c>
      <c r="B4377" s="0" t="n">
        <v>62</v>
      </c>
      <c r="C4377" s="0" t="n">
        <v>66</v>
      </c>
      <c r="D4377" s="0" t="n">
        <v>377</v>
      </c>
      <c r="E4377" s="0" t="n">
        <f aca="false">VLOOKUP(B4377,'Babblefish-APUMA'!$A$1:$B$86,2)</f>
        <v>90</v>
      </c>
      <c r="F4377" s="0" t="n">
        <f aca="false">IF(C4377&gt;1,IF(C4377&lt;99,VLOOKUP(C4377,'Babblefish-APUMA'!$A$1:$B$86,2),C4377),C4377)</f>
        <v>90</v>
      </c>
    </row>
    <row r="4378" customFormat="false" ht="12.75" hidden="false" customHeight="false" outlineLevel="0" collapsed="false">
      <c r="A4378" s="0" t="n">
        <f aca="false">B4378*1000+C4378</f>
        <v>62067</v>
      </c>
      <c r="B4378" s="0" t="n">
        <v>62</v>
      </c>
      <c r="C4378" s="0" t="n">
        <v>67</v>
      </c>
      <c r="D4378" s="0" t="n">
        <v>39</v>
      </c>
      <c r="E4378" s="0" t="n">
        <f aca="false">VLOOKUP(B4378,'Babblefish-APUMA'!$A$1:$B$86,2)</f>
        <v>90</v>
      </c>
      <c r="F4378" s="0" t="n">
        <f aca="false">IF(C4378&gt;1,IF(C4378&lt;99,VLOOKUP(C4378,'Babblefish-APUMA'!$A$1:$B$86,2),C4378),C4378)</f>
        <v>103</v>
      </c>
    </row>
    <row r="4379" customFormat="false" ht="12.75" hidden="false" customHeight="false" outlineLevel="0" collapsed="false">
      <c r="A4379" s="0" t="n">
        <f aca="false">B4379*1000+C4379</f>
        <v>62068</v>
      </c>
      <c r="B4379" s="0" t="n">
        <v>62</v>
      </c>
      <c r="C4379" s="0" t="n">
        <v>68</v>
      </c>
      <c r="D4379" s="0" t="n">
        <v>0</v>
      </c>
      <c r="E4379" s="0" t="n">
        <f aca="false">VLOOKUP(B4379,'Babblefish-APUMA'!$A$1:$B$86,2)</f>
        <v>90</v>
      </c>
      <c r="F4379" s="0" t="n">
        <f aca="false">IF(C4379&gt;1,IF(C4379&lt;99,VLOOKUP(C4379,'Babblefish-APUMA'!$A$1:$B$86,2),C4379),C4379)</f>
        <v>93</v>
      </c>
    </row>
    <row r="4380" customFormat="false" ht="12.75" hidden="false" customHeight="false" outlineLevel="0" collapsed="false">
      <c r="A4380" s="0" t="n">
        <f aca="false">B4380*1000+C4380</f>
        <v>62069</v>
      </c>
      <c r="B4380" s="0" t="n">
        <v>62</v>
      </c>
      <c r="C4380" s="0" t="n">
        <v>69</v>
      </c>
      <c r="D4380" s="0" t="n">
        <v>0</v>
      </c>
      <c r="E4380" s="0" t="n">
        <f aca="false">VLOOKUP(B4380,'Babblefish-APUMA'!$A$1:$B$86,2)</f>
        <v>90</v>
      </c>
      <c r="F4380" s="0" t="n">
        <f aca="false">IF(C4380&gt;1,IF(C4380&lt;99,VLOOKUP(C4380,'Babblefish-APUMA'!$A$1:$B$86,2),C4380),C4380)</f>
        <v>93</v>
      </c>
    </row>
    <row r="4381" customFormat="false" ht="12.75" hidden="false" customHeight="false" outlineLevel="0" collapsed="false">
      <c r="A4381" s="0" t="n">
        <f aca="false">B4381*1000+C4381</f>
        <v>62070</v>
      </c>
      <c r="B4381" s="0" t="n">
        <v>62</v>
      </c>
      <c r="C4381" s="0" t="n">
        <v>70</v>
      </c>
      <c r="D4381" s="0" t="n">
        <v>0</v>
      </c>
      <c r="E4381" s="0" t="n">
        <f aca="false">VLOOKUP(B4381,'Babblefish-APUMA'!$A$1:$B$86,2)</f>
        <v>90</v>
      </c>
      <c r="F4381" s="0" t="n">
        <f aca="false">IF(C4381&gt;1,IF(C4381&lt;99,VLOOKUP(C4381,'Babblefish-APUMA'!$A$1:$B$86,2),C4381),C4381)</f>
        <v>95</v>
      </c>
    </row>
    <row r="4382" customFormat="false" ht="12.75" hidden="false" customHeight="false" outlineLevel="0" collapsed="false">
      <c r="A4382" s="0" t="n">
        <f aca="false">B4382*1000+C4382</f>
        <v>62071</v>
      </c>
      <c r="B4382" s="0" t="n">
        <v>62</v>
      </c>
      <c r="C4382" s="0" t="n">
        <v>71</v>
      </c>
      <c r="D4382" s="0" t="n">
        <v>0</v>
      </c>
      <c r="E4382" s="0" t="n">
        <f aca="false">VLOOKUP(B4382,'Babblefish-APUMA'!$A$1:$B$86,2)</f>
        <v>90</v>
      </c>
      <c r="F4382" s="0" t="n">
        <f aca="false">IF(C4382&gt;1,IF(C4382&lt;99,VLOOKUP(C4382,'Babblefish-APUMA'!$A$1:$B$86,2),C4382),C4382)</f>
        <v>95</v>
      </c>
    </row>
    <row r="4383" customFormat="false" ht="12.75" hidden="false" customHeight="false" outlineLevel="0" collapsed="false">
      <c r="A4383" s="0" t="n">
        <f aca="false">B4383*1000+C4383</f>
        <v>62072</v>
      </c>
      <c r="B4383" s="0" t="n">
        <v>62</v>
      </c>
      <c r="C4383" s="0" t="n">
        <v>72</v>
      </c>
      <c r="D4383" s="0" t="n">
        <v>0</v>
      </c>
      <c r="E4383" s="0" t="n">
        <f aca="false">VLOOKUP(B4383,'Babblefish-APUMA'!$A$1:$B$86,2)</f>
        <v>90</v>
      </c>
      <c r="F4383" s="0" t="n">
        <f aca="false">IF(C4383&gt;1,IF(C4383&lt;99,VLOOKUP(C4383,'Babblefish-APUMA'!$A$1:$B$86,2),C4383),C4383)</f>
        <v>95</v>
      </c>
    </row>
    <row r="4384" customFormat="false" ht="12.75" hidden="false" customHeight="false" outlineLevel="0" collapsed="false">
      <c r="A4384" s="0" t="n">
        <f aca="false">B4384*1000+C4384</f>
        <v>62073</v>
      </c>
      <c r="B4384" s="0" t="n">
        <v>62</v>
      </c>
      <c r="C4384" s="0" t="n">
        <v>73</v>
      </c>
      <c r="D4384" s="0" t="n">
        <v>0</v>
      </c>
      <c r="E4384" s="0" t="n">
        <f aca="false">VLOOKUP(B4384,'Babblefish-APUMA'!$A$1:$B$86,2)</f>
        <v>90</v>
      </c>
      <c r="F4384" s="0" t="n">
        <f aca="false">IF(C4384&gt;1,IF(C4384&lt;99,VLOOKUP(C4384,'Babblefish-APUMA'!$A$1:$B$86,2),C4384),C4384)</f>
        <v>99</v>
      </c>
    </row>
    <row r="4385" customFormat="false" ht="12.75" hidden="false" customHeight="false" outlineLevel="0" collapsed="false">
      <c r="A4385" s="0" t="n">
        <f aca="false">B4385*1000+C4385</f>
        <v>62075</v>
      </c>
      <c r="B4385" s="0" t="n">
        <v>62</v>
      </c>
      <c r="C4385" s="0" t="n">
        <v>75</v>
      </c>
      <c r="D4385" s="0" t="n">
        <v>0</v>
      </c>
      <c r="E4385" s="0" t="n">
        <f aca="false">VLOOKUP(B4385,'Babblefish-APUMA'!$A$1:$B$86,2)</f>
        <v>90</v>
      </c>
      <c r="F4385" s="0" t="n">
        <f aca="false">IF(C4385&gt;1,IF(C4385&lt;99,VLOOKUP(C4385,'Babblefish-APUMA'!$A$1:$B$86,2),C4385),C4385)</f>
        <v>75</v>
      </c>
    </row>
    <row r="4386" customFormat="false" ht="12.75" hidden="false" customHeight="false" outlineLevel="0" collapsed="false">
      <c r="A4386" s="0" t="n">
        <f aca="false">B4386*1000+C4386</f>
        <v>62076</v>
      </c>
      <c r="B4386" s="0" t="n">
        <v>62</v>
      </c>
      <c r="C4386" s="0" t="n">
        <v>76</v>
      </c>
      <c r="D4386" s="0" t="n">
        <v>0</v>
      </c>
      <c r="E4386" s="0" t="n">
        <f aca="false">VLOOKUP(B4386,'Babblefish-APUMA'!$A$1:$B$86,2)</f>
        <v>90</v>
      </c>
      <c r="F4386" s="0" t="n">
        <f aca="false">IF(C4386&gt;1,IF(C4386&lt;99,VLOOKUP(C4386,'Babblefish-APUMA'!$A$1:$B$86,2),C4386),C4386)</f>
        <v>76</v>
      </c>
    </row>
    <row r="4387" customFormat="false" ht="12.75" hidden="false" customHeight="false" outlineLevel="0" collapsed="false">
      <c r="A4387" s="0" t="n">
        <f aca="false">B4387*1000+C4387</f>
        <v>62077</v>
      </c>
      <c r="B4387" s="0" t="n">
        <v>62</v>
      </c>
      <c r="C4387" s="0" t="n">
        <v>77</v>
      </c>
      <c r="D4387" s="0" t="n">
        <v>0</v>
      </c>
      <c r="E4387" s="0" t="n">
        <f aca="false">VLOOKUP(B4387,'Babblefish-APUMA'!$A$1:$B$86,2)</f>
        <v>90</v>
      </c>
      <c r="F4387" s="0" t="n">
        <f aca="false">IF(C4387&gt;1,IF(C4387&lt;99,VLOOKUP(C4387,'Babblefish-APUMA'!$A$1:$B$86,2),C4387),C4387)</f>
        <v>77</v>
      </c>
    </row>
    <row r="4388" customFormat="false" ht="12.75" hidden="false" customHeight="false" outlineLevel="0" collapsed="false">
      <c r="A4388" s="0" t="n">
        <f aca="false">B4388*1000+C4388</f>
        <v>62078</v>
      </c>
      <c r="B4388" s="0" t="n">
        <v>62</v>
      </c>
      <c r="C4388" s="0" t="n">
        <v>78</v>
      </c>
      <c r="D4388" s="0" t="n">
        <v>0</v>
      </c>
      <c r="E4388" s="0" t="n">
        <f aca="false">VLOOKUP(B4388,'Babblefish-APUMA'!$A$1:$B$86,2)</f>
        <v>90</v>
      </c>
      <c r="F4388" s="0" t="n">
        <f aca="false">IF(C4388&gt;1,IF(C4388&lt;99,VLOOKUP(C4388,'Babblefish-APUMA'!$A$1:$B$86,2),C4388),C4388)</f>
        <v>89</v>
      </c>
    </row>
    <row r="4389" customFormat="false" ht="12.75" hidden="false" customHeight="false" outlineLevel="0" collapsed="false">
      <c r="A4389" s="0" t="n">
        <f aca="false">B4389*1000+C4389</f>
        <v>62079</v>
      </c>
      <c r="B4389" s="0" t="n">
        <v>62</v>
      </c>
      <c r="C4389" s="0" t="n">
        <v>79</v>
      </c>
      <c r="D4389" s="0" t="n">
        <v>0</v>
      </c>
      <c r="E4389" s="0" t="n">
        <f aca="false">VLOOKUP(B4389,'Babblefish-APUMA'!$A$1:$B$86,2)</f>
        <v>90</v>
      </c>
      <c r="F4389" s="0" t="n">
        <f aca="false">IF(C4389&gt;1,IF(C4389&lt;99,VLOOKUP(C4389,'Babblefish-APUMA'!$A$1:$B$86,2),C4389),C4389)</f>
        <v>89</v>
      </c>
    </row>
    <row r="4390" customFormat="false" ht="12.75" hidden="false" customHeight="false" outlineLevel="0" collapsed="false">
      <c r="A4390" s="0" t="n">
        <f aca="false">B4390*1000+C4390</f>
        <v>62080</v>
      </c>
      <c r="B4390" s="0" t="n">
        <v>62</v>
      </c>
      <c r="C4390" s="0" t="n">
        <v>80</v>
      </c>
      <c r="D4390" s="0" t="n">
        <v>0</v>
      </c>
      <c r="E4390" s="0" t="n">
        <f aca="false">VLOOKUP(B4390,'Babblefish-APUMA'!$A$1:$B$86,2)</f>
        <v>90</v>
      </c>
      <c r="F4390" s="0" t="n">
        <f aca="false">IF(C4390&gt;1,IF(C4390&lt;99,VLOOKUP(C4390,'Babblefish-APUMA'!$A$1:$B$86,2),C4390),C4390)</f>
        <v>80</v>
      </c>
    </row>
    <row r="4391" customFormat="false" ht="12.75" hidden="false" customHeight="false" outlineLevel="0" collapsed="false">
      <c r="A4391" s="0" t="n">
        <f aca="false">B4391*1000+C4391</f>
        <v>62081</v>
      </c>
      <c r="B4391" s="0" t="n">
        <v>62</v>
      </c>
      <c r="C4391" s="0" t="n">
        <v>81</v>
      </c>
      <c r="D4391" s="0" t="n">
        <v>0</v>
      </c>
      <c r="E4391" s="0" t="n">
        <f aca="false">VLOOKUP(B4391,'Babblefish-APUMA'!$A$1:$B$86,2)</f>
        <v>90</v>
      </c>
      <c r="F4391" s="0" t="n">
        <f aca="false">IF(C4391&gt;1,IF(C4391&lt;99,VLOOKUP(C4391,'Babblefish-APUMA'!$A$1:$B$86,2),C4391),C4391)</f>
        <v>93</v>
      </c>
    </row>
    <row r="4392" customFormat="false" ht="12.75" hidden="false" customHeight="false" outlineLevel="0" collapsed="false">
      <c r="A4392" s="0" t="n">
        <f aca="false">B4392*1000+C4392</f>
        <v>62082</v>
      </c>
      <c r="B4392" s="0" t="n">
        <v>62</v>
      </c>
      <c r="C4392" s="0" t="n">
        <v>82</v>
      </c>
      <c r="D4392" s="0" t="n">
        <v>0</v>
      </c>
      <c r="E4392" s="0" t="n">
        <f aca="false">VLOOKUP(B4392,'Babblefish-APUMA'!$A$1:$B$86,2)</f>
        <v>90</v>
      </c>
      <c r="F4392" s="0" t="n">
        <f aca="false">IF(C4392&gt;1,IF(C4392&lt;99,VLOOKUP(C4392,'Babblefish-APUMA'!$A$1:$B$86,2),C4392),C4392)</f>
        <v>95</v>
      </c>
    </row>
    <row r="4393" customFormat="false" ht="12.75" hidden="false" customHeight="false" outlineLevel="0" collapsed="false">
      <c r="A4393" s="0" t="n">
        <f aca="false">B4393*1000+C4393</f>
        <v>62083</v>
      </c>
      <c r="B4393" s="0" t="n">
        <v>62</v>
      </c>
      <c r="C4393" s="0" t="n">
        <v>83</v>
      </c>
      <c r="D4393" s="0" t="n">
        <v>0</v>
      </c>
      <c r="E4393" s="0" t="n">
        <f aca="false">VLOOKUP(B4393,'Babblefish-APUMA'!$A$1:$B$86,2)</f>
        <v>90</v>
      </c>
      <c r="F4393" s="0" t="n">
        <f aca="false">IF(C4393&gt;1,IF(C4393&lt;99,VLOOKUP(C4393,'Babblefish-APUMA'!$A$1:$B$86,2),C4393),C4393)</f>
        <v>103</v>
      </c>
    </row>
    <row r="4394" customFormat="false" ht="12.75" hidden="false" customHeight="false" outlineLevel="0" collapsed="false">
      <c r="A4394" s="0" t="n">
        <f aca="false">B4394*1000+C4394</f>
        <v>62084</v>
      </c>
      <c r="B4394" s="0" t="n">
        <v>62</v>
      </c>
      <c r="C4394" s="0" t="n">
        <v>84</v>
      </c>
      <c r="D4394" s="0" t="n">
        <v>0</v>
      </c>
      <c r="E4394" s="0" t="n">
        <f aca="false">VLOOKUP(B4394,'Babblefish-APUMA'!$A$1:$B$86,2)</f>
        <v>90</v>
      </c>
      <c r="F4394" s="0" t="n">
        <f aca="false">IF(C4394&gt;1,IF(C4394&lt;99,VLOOKUP(C4394,'Babblefish-APUMA'!$A$1:$B$86,2),C4394),C4394)</f>
        <v>92</v>
      </c>
    </row>
    <row r="4395" customFormat="false" ht="12.75" hidden="false" customHeight="false" outlineLevel="0" collapsed="false">
      <c r="A4395" s="0" t="n">
        <f aca="false">B4395*1000+C4395</f>
        <v>62085</v>
      </c>
      <c r="B4395" s="0" t="n">
        <v>62</v>
      </c>
      <c r="C4395" s="0" t="n">
        <v>85</v>
      </c>
      <c r="D4395" s="0" t="n">
        <v>0</v>
      </c>
      <c r="E4395" s="0" t="n">
        <f aca="false">VLOOKUP(B4395,'Babblefish-APUMA'!$A$1:$B$86,2)</f>
        <v>90</v>
      </c>
      <c r="F4395" s="0" t="n">
        <f aca="false">IF(C4395&gt;1,IF(C4395&lt;99,VLOOKUP(C4395,'Babblefish-APUMA'!$A$1:$B$86,2),C4395),C4395)</f>
        <v>97</v>
      </c>
    </row>
    <row r="4396" customFormat="false" ht="12.75" hidden="false" customHeight="false" outlineLevel="0" collapsed="false">
      <c r="A4396" s="0" t="n">
        <f aca="false">B4396*1000+C4396</f>
        <v>62858</v>
      </c>
      <c r="B4396" s="0" t="n">
        <v>62</v>
      </c>
      <c r="C4396" s="0" t="n">
        <v>858</v>
      </c>
      <c r="D4396" s="0" t="n">
        <v>0</v>
      </c>
      <c r="E4396" s="0" t="n">
        <f aca="false">VLOOKUP(B4396,'Babblefish-APUMA'!$A$1:$B$86,2)</f>
        <v>90</v>
      </c>
      <c r="F4396" s="0" t="n">
        <f aca="false">IF(C4396&gt;1,IF(C4396&lt;99,VLOOKUP(C4396,'Babblefish-APUMA'!$A$1:$B$86,2),C4396),C4396)</f>
        <v>858</v>
      </c>
    </row>
    <row r="4397" customFormat="false" ht="12.75" hidden="false" customHeight="false" outlineLevel="0" collapsed="false">
      <c r="A4397" s="0" t="n">
        <f aca="false">B4397*1000+C4397</f>
        <v>62983</v>
      </c>
      <c r="B4397" s="0" t="n">
        <v>62</v>
      </c>
      <c r="C4397" s="0" t="n">
        <v>983</v>
      </c>
      <c r="D4397" s="0" t="n">
        <v>0</v>
      </c>
      <c r="E4397" s="0" t="n">
        <f aca="false">VLOOKUP(B4397,'Babblefish-APUMA'!$A$1:$B$86,2)</f>
        <v>90</v>
      </c>
      <c r="F4397" s="0" t="n">
        <f aca="false">IF(C4397&gt;1,IF(C4397&lt;99,VLOOKUP(C4397,'Babblefish-APUMA'!$A$1:$B$86,2),C4397),C4397)</f>
        <v>983</v>
      </c>
    </row>
    <row r="4398" customFormat="false" ht="12.75" hidden="false" customHeight="false" outlineLevel="0" collapsed="false">
      <c r="A4398" s="0" t="n">
        <f aca="false">B4398*1000+C4398</f>
        <v>62999</v>
      </c>
      <c r="B4398" s="0" t="n">
        <v>62</v>
      </c>
      <c r="C4398" s="0" t="n">
        <v>999</v>
      </c>
      <c r="D4398" s="0" t="n">
        <v>104</v>
      </c>
      <c r="E4398" s="0" t="n">
        <f aca="false">VLOOKUP(B4398,'Babblefish-APUMA'!$A$1:$B$86,2)</f>
        <v>90</v>
      </c>
      <c r="F4398" s="0" t="n">
        <f aca="false">IF(C4398&gt;1,IF(C4398&lt;99,VLOOKUP(C4398,'Babblefish-APUMA'!$A$1:$B$86,2),C4398),C4398)</f>
        <v>999</v>
      </c>
    </row>
    <row r="4399" customFormat="false" ht="12.75" hidden="false" customHeight="false" outlineLevel="0" collapsed="false">
      <c r="A4399" s="0" t="n">
        <f aca="false">B4399*1000+C4399</f>
        <v>63000</v>
      </c>
      <c r="B4399" s="0" t="n">
        <v>63</v>
      </c>
      <c r="C4399" s="0" t="n">
        <v>0</v>
      </c>
      <c r="D4399" s="0" t="n">
        <v>67782</v>
      </c>
      <c r="E4399" s="0" t="n">
        <f aca="false">VLOOKUP(B4399,'Babblefish-APUMA'!$A$1:$B$86,2)</f>
        <v>90</v>
      </c>
      <c r="F4399" s="0" t="n">
        <f aca="false">IF(C4399&gt;1,IF(C4399&lt;99,VLOOKUP(C4399,'Babblefish-APUMA'!$A$1:$B$86,2),C4399),C4399)</f>
        <v>0</v>
      </c>
    </row>
    <row r="4400" customFormat="false" ht="12.75" hidden="false" customHeight="false" outlineLevel="0" collapsed="false">
      <c r="A4400" s="0" t="n">
        <f aca="false">B4400*1000+C4400</f>
        <v>63001</v>
      </c>
      <c r="B4400" s="0" t="n">
        <v>63</v>
      </c>
      <c r="C4400" s="0" t="n">
        <v>1</v>
      </c>
      <c r="D4400" s="0" t="n">
        <v>0</v>
      </c>
      <c r="E4400" s="0" t="n">
        <f aca="false">VLOOKUP(B4400,'Babblefish-APUMA'!$A$1:$B$86,2)</f>
        <v>90</v>
      </c>
      <c r="F4400" s="0" t="n">
        <f aca="false">IF(C4400&gt;1,IF(C4400&lt;99,VLOOKUP(C4400,'Babblefish-APUMA'!$A$1:$B$86,2),C4400),C4400)</f>
        <v>1</v>
      </c>
    </row>
    <row r="4401" customFormat="false" ht="12.75" hidden="false" customHeight="false" outlineLevel="0" collapsed="false">
      <c r="A4401" s="0" t="n">
        <f aca="false">B4401*1000+C4401</f>
        <v>63002</v>
      </c>
      <c r="B4401" s="0" t="n">
        <v>63</v>
      </c>
      <c r="C4401" s="0" t="n">
        <v>2</v>
      </c>
      <c r="D4401" s="0" t="n">
        <v>0</v>
      </c>
      <c r="E4401" s="0" t="n">
        <f aca="false">VLOOKUP(B4401,'Babblefish-APUMA'!$A$1:$B$86,2)</f>
        <v>90</v>
      </c>
      <c r="F4401" s="0" t="n">
        <f aca="false">IF(C4401&gt;1,IF(C4401&lt;99,VLOOKUP(C4401,'Babblefish-APUMA'!$A$1:$B$86,2),C4401),C4401)</f>
        <v>2</v>
      </c>
    </row>
    <row r="4402" customFormat="false" ht="12.75" hidden="false" customHeight="false" outlineLevel="0" collapsed="false">
      <c r="A4402" s="0" t="n">
        <f aca="false">B4402*1000+C4402</f>
        <v>63003</v>
      </c>
      <c r="B4402" s="0" t="n">
        <v>63</v>
      </c>
      <c r="C4402" s="0" t="n">
        <v>3</v>
      </c>
      <c r="D4402" s="0" t="n">
        <v>0</v>
      </c>
      <c r="E4402" s="0" t="n">
        <f aca="false">VLOOKUP(B4402,'Babblefish-APUMA'!$A$1:$B$86,2)</f>
        <v>90</v>
      </c>
      <c r="F4402" s="0" t="n">
        <f aca="false">IF(C4402&gt;1,IF(C4402&lt;99,VLOOKUP(C4402,'Babblefish-APUMA'!$A$1:$B$86,2),C4402),C4402)</f>
        <v>3</v>
      </c>
    </row>
    <row r="4403" customFormat="false" ht="12.75" hidden="false" customHeight="false" outlineLevel="0" collapsed="false">
      <c r="A4403" s="0" t="n">
        <f aca="false">B4403*1000+C4403</f>
        <v>63004</v>
      </c>
      <c r="B4403" s="0" t="n">
        <v>63</v>
      </c>
      <c r="C4403" s="0" t="n">
        <v>4</v>
      </c>
      <c r="D4403" s="0" t="n">
        <v>0</v>
      </c>
      <c r="E4403" s="0" t="n">
        <f aca="false">VLOOKUP(B4403,'Babblefish-APUMA'!$A$1:$B$86,2)</f>
        <v>90</v>
      </c>
      <c r="F4403" s="0" t="n">
        <f aca="false">IF(C4403&gt;1,IF(C4403&lt;99,VLOOKUP(C4403,'Babblefish-APUMA'!$A$1:$B$86,2),C4403),C4403)</f>
        <v>4</v>
      </c>
    </row>
    <row r="4404" customFormat="false" ht="12.75" hidden="false" customHeight="false" outlineLevel="0" collapsed="false">
      <c r="A4404" s="0" t="n">
        <f aca="false">B4404*1000+C4404</f>
        <v>63005</v>
      </c>
      <c r="B4404" s="0" t="n">
        <v>63</v>
      </c>
      <c r="C4404" s="0" t="n">
        <v>5</v>
      </c>
      <c r="D4404" s="0" t="n">
        <v>0</v>
      </c>
      <c r="E4404" s="0" t="n">
        <f aca="false">VLOOKUP(B4404,'Babblefish-APUMA'!$A$1:$B$86,2)</f>
        <v>90</v>
      </c>
      <c r="F4404" s="0" t="n">
        <f aca="false">IF(C4404&gt;1,IF(C4404&lt;99,VLOOKUP(C4404,'Babblefish-APUMA'!$A$1:$B$86,2),C4404),C4404)</f>
        <v>5</v>
      </c>
    </row>
    <row r="4405" customFormat="false" ht="12.75" hidden="false" customHeight="false" outlineLevel="0" collapsed="false">
      <c r="A4405" s="0" t="n">
        <f aca="false">B4405*1000+C4405</f>
        <v>63006</v>
      </c>
      <c r="B4405" s="0" t="n">
        <v>63</v>
      </c>
      <c r="C4405" s="0" t="n">
        <v>6</v>
      </c>
      <c r="D4405" s="0" t="n">
        <v>0</v>
      </c>
      <c r="E4405" s="0" t="n">
        <f aca="false">VLOOKUP(B4405,'Babblefish-APUMA'!$A$1:$B$86,2)</f>
        <v>90</v>
      </c>
      <c r="F4405" s="0" t="n">
        <f aca="false">IF(C4405&gt;1,IF(C4405&lt;99,VLOOKUP(C4405,'Babblefish-APUMA'!$A$1:$B$86,2),C4405),C4405)</f>
        <v>6</v>
      </c>
    </row>
    <row r="4406" customFormat="false" ht="12.75" hidden="false" customHeight="false" outlineLevel="0" collapsed="false">
      <c r="A4406" s="0" t="n">
        <f aca="false">B4406*1000+C4406</f>
        <v>63007</v>
      </c>
      <c r="B4406" s="0" t="n">
        <v>63</v>
      </c>
      <c r="C4406" s="0" t="n">
        <v>7</v>
      </c>
      <c r="D4406" s="0" t="n">
        <v>0</v>
      </c>
      <c r="E4406" s="0" t="n">
        <f aca="false">VLOOKUP(B4406,'Babblefish-APUMA'!$A$1:$B$86,2)</f>
        <v>90</v>
      </c>
      <c r="F4406" s="0" t="n">
        <f aca="false">IF(C4406&gt;1,IF(C4406&lt;99,VLOOKUP(C4406,'Babblefish-APUMA'!$A$1:$B$86,2),C4406),C4406)</f>
        <v>7</v>
      </c>
    </row>
    <row r="4407" customFormat="false" ht="12.75" hidden="false" customHeight="false" outlineLevel="0" collapsed="false">
      <c r="A4407" s="0" t="n">
        <f aca="false">B4407*1000+C4407</f>
        <v>63008</v>
      </c>
      <c r="B4407" s="0" t="n">
        <v>63</v>
      </c>
      <c r="C4407" s="0" t="n">
        <v>8</v>
      </c>
      <c r="D4407" s="0" t="n">
        <v>0</v>
      </c>
      <c r="E4407" s="0" t="n">
        <f aca="false">VLOOKUP(B4407,'Babblefish-APUMA'!$A$1:$B$86,2)</f>
        <v>90</v>
      </c>
      <c r="F4407" s="0" t="n">
        <f aca="false">IF(C4407&gt;1,IF(C4407&lt;99,VLOOKUP(C4407,'Babblefish-APUMA'!$A$1:$B$86,2),C4407),C4407)</f>
        <v>8</v>
      </c>
    </row>
    <row r="4408" customFormat="false" ht="12.75" hidden="false" customHeight="false" outlineLevel="0" collapsed="false">
      <c r="A4408" s="0" t="n">
        <f aca="false">B4408*1000+C4408</f>
        <v>63009</v>
      </c>
      <c r="B4408" s="0" t="n">
        <v>63</v>
      </c>
      <c r="C4408" s="0" t="n">
        <v>9</v>
      </c>
      <c r="D4408" s="0" t="n">
        <v>0</v>
      </c>
      <c r="E4408" s="0" t="n">
        <f aca="false">VLOOKUP(B4408,'Babblefish-APUMA'!$A$1:$B$86,2)</f>
        <v>90</v>
      </c>
      <c r="F4408" s="0" t="n">
        <f aca="false">IF(C4408&gt;1,IF(C4408&lt;99,VLOOKUP(C4408,'Babblefish-APUMA'!$A$1:$B$86,2),C4408),C4408)</f>
        <v>9</v>
      </c>
    </row>
    <row r="4409" customFormat="false" ht="12.75" hidden="false" customHeight="false" outlineLevel="0" collapsed="false">
      <c r="A4409" s="0" t="n">
        <f aca="false">B4409*1000+C4409</f>
        <v>63010</v>
      </c>
      <c r="B4409" s="0" t="n">
        <v>63</v>
      </c>
      <c r="C4409" s="0" t="n">
        <v>10</v>
      </c>
      <c r="D4409" s="0" t="n">
        <v>0</v>
      </c>
      <c r="E4409" s="0" t="n">
        <f aca="false">VLOOKUP(B4409,'Babblefish-APUMA'!$A$1:$B$86,2)</f>
        <v>90</v>
      </c>
      <c r="F4409" s="0" t="n">
        <f aca="false">IF(C4409&gt;1,IF(C4409&lt;99,VLOOKUP(C4409,'Babblefish-APUMA'!$A$1:$B$86,2),C4409),C4409)</f>
        <v>10</v>
      </c>
    </row>
    <row r="4410" customFormat="false" ht="12.75" hidden="false" customHeight="false" outlineLevel="0" collapsed="false">
      <c r="A4410" s="0" t="n">
        <f aca="false">B4410*1000+C4410</f>
        <v>63011</v>
      </c>
      <c r="B4410" s="0" t="n">
        <v>63</v>
      </c>
      <c r="C4410" s="0" t="n">
        <v>11</v>
      </c>
      <c r="D4410" s="0" t="n">
        <v>0</v>
      </c>
      <c r="E4410" s="0" t="n">
        <f aca="false">VLOOKUP(B4410,'Babblefish-APUMA'!$A$1:$B$86,2)</f>
        <v>90</v>
      </c>
      <c r="F4410" s="0" t="n">
        <f aca="false">IF(C4410&gt;1,IF(C4410&lt;99,VLOOKUP(C4410,'Babblefish-APUMA'!$A$1:$B$86,2),C4410),C4410)</f>
        <v>11</v>
      </c>
    </row>
    <row r="4411" customFormat="false" ht="12.75" hidden="false" customHeight="false" outlineLevel="0" collapsed="false">
      <c r="A4411" s="0" t="n">
        <f aca="false">B4411*1000+C4411</f>
        <v>63012</v>
      </c>
      <c r="B4411" s="0" t="n">
        <v>63</v>
      </c>
      <c r="C4411" s="0" t="n">
        <v>12</v>
      </c>
      <c r="D4411" s="0" t="n">
        <v>0</v>
      </c>
      <c r="E4411" s="0" t="n">
        <f aca="false">VLOOKUP(B4411,'Babblefish-APUMA'!$A$1:$B$86,2)</f>
        <v>90</v>
      </c>
      <c r="F4411" s="0" t="n">
        <f aca="false">IF(C4411&gt;1,IF(C4411&lt;99,VLOOKUP(C4411,'Babblefish-APUMA'!$A$1:$B$86,2),C4411),C4411)</f>
        <v>12</v>
      </c>
    </row>
    <row r="4412" customFormat="false" ht="12.75" hidden="false" customHeight="false" outlineLevel="0" collapsed="false">
      <c r="A4412" s="0" t="n">
        <f aca="false">B4412*1000+C4412</f>
        <v>63013</v>
      </c>
      <c r="B4412" s="0" t="n">
        <v>63</v>
      </c>
      <c r="C4412" s="0" t="n">
        <v>13</v>
      </c>
      <c r="D4412" s="0" t="n">
        <v>0</v>
      </c>
      <c r="E4412" s="0" t="n">
        <f aca="false">VLOOKUP(B4412,'Babblefish-APUMA'!$A$1:$B$86,2)</f>
        <v>90</v>
      </c>
      <c r="F4412" s="0" t="n">
        <f aca="false">IF(C4412&gt;1,IF(C4412&lt;99,VLOOKUP(C4412,'Babblefish-APUMA'!$A$1:$B$86,2),C4412),C4412)</f>
        <v>100</v>
      </c>
    </row>
    <row r="4413" customFormat="false" ht="12.75" hidden="false" customHeight="false" outlineLevel="0" collapsed="false">
      <c r="A4413" s="0" t="n">
        <f aca="false">B4413*1000+C4413</f>
        <v>63014</v>
      </c>
      <c r="B4413" s="0" t="n">
        <v>63</v>
      </c>
      <c r="C4413" s="0" t="n">
        <v>14</v>
      </c>
      <c r="D4413" s="0" t="n">
        <v>0</v>
      </c>
      <c r="E4413" s="0" t="n">
        <f aca="false">VLOOKUP(B4413,'Babblefish-APUMA'!$A$1:$B$86,2)</f>
        <v>90</v>
      </c>
      <c r="F4413" s="0" t="n">
        <f aca="false">IF(C4413&gt;1,IF(C4413&lt;99,VLOOKUP(C4413,'Babblefish-APUMA'!$A$1:$B$86,2),C4413),C4413)</f>
        <v>100</v>
      </c>
    </row>
    <row r="4414" customFormat="false" ht="12.75" hidden="false" customHeight="false" outlineLevel="0" collapsed="false">
      <c r="A4414" s="0" t="n">
        <f aca="false">B4414*1000+C4414</f>
        <v>63015</v>
      </c>
      <c r="B4414" s="0" t="n">
        <v>63</v>
      </c>
      <c r="C4414" s="0" t="n">
        <v>15</v>
      </c>
      <c r="D4414" s="0" t="n">
        <v>0</v>
      </c>
      <c r="E4414" s="0" t="n">
        <f aca="false">VLOOKUP(B4414,'Babblefish-APUMA'!$A$1:$B$86,2)</f>
        <v>90</v>
      </c>
      <c r="F4414" s="0" t="n">
        <f aca="false">IF(C4414&gt;1,IF(C4414&lt;99,VLOOKUP(C4414,'Babblefish-APUMA'!$A$1:$B$86,2),C4414),C4414)</f>
        <v>15</v>
      </c>
    </row>
    <row r="4415" customFormat="false" ht="12.75" hidden="false" customHeight="false" outlineLevel="0" collapsed="false">
      <c r="A4415" s="0" t="n">
        <f aca="false">B4415*1000+C4415</f>
        <v>63016</v>
      </c>
      <c r="B4415" s="0" t="n">
        <v>63</v>
      </c>
      <c r="C4415" s="0" t="n">
        <v>16</v>
      </c>
      <c r="D4415" s="0" t="n">
        <v>0</v>
      </c>
      <c r="E4415" s="0" t="n">
        <f aca="false">VLOOKUP(B4415,'Babblefish-APUMA'!$A$1:$B$86,2)</f>
        <v>90</v>
      </c>
      <c r="F4415" s="0" t="n">
        <f aca="false">IF(C4415&gt;1,IF(C4415&lt;99,VLOOKUP(C4415,'Babblefish-APUMA'!$A$1:$B$86,2),C4415),C4415)</f>
        <v>99</v>
      </c>
    </row>
    <row r="4416" customFormat="false" ht="12.75" hidden="false" customHeight="false" outlineLevel="0" collapsed="false">
      <c r="A4416" s="0" t="n">
        <f aca="false">B4416*1000+C4416</f>
        <v>63017</v>
      </c>
      <c r="B4416" s="0" t="n">
        <v>63</v>
      </c>
      <c r="C4416" s="0" t="n">
        <v>17</v>
      </c>
      <c r="D4416" s="0" t="n">
        <v>0</v>
      </c>
      <c r="E4416" s="0" t="n">
        <f aca="false">VLOOKUP(B4416,'Babblefish-APUMA'!$A$1:$B$86,2)</f>
        <v>90</v>
      </c>
      <c r="F4416" s="0" t="n">
        <f aca="false">IF(C4416&gt;1,IF(C4416&lt;99,VLOOKUP(C4416,'Babblefish-APUMA'!$A$1:$B$86,2),C4416),C4416)</f>
        <v>87</v>
      </c>
    </row>
    <row r="4417" customFormat="false" ht="12.75" hidden="false" customHeight="false" outlineLevel="0" collapsed="false">
      <c r="A4417" s="0" t="n">
        <f aca="false">B4417*1000+C4417</f>
        <v>63018</v>
      </c>
      <c r="B4417" s="0" t="n">
        <v>63</v>
      </c>
      <c r="C4417" s="0" t="n">
        <v>18</v>
      </c>
      <c r="D4417" s="0" t="n">
        <v>0</v>
      </c>
      <c r="E4417" s="0" t="n">
        <f aca="false">VLOOKUP(B4417,'Babblefish-APUMA'!$A$1:$B$86,2)</f>
        <v>90</v>
      </c>
      <c r="F4417" s="0" t="n">
        <f aca="false">IF(C4417&gt;1,IF(C4417&lt;99,VLOOKUP(C4417,'Babblefish-APUMA'!$A$1:$B$86,2),C4417),C4417)</f>
        <v>87</v>
      </c>
    </row>
    <row r="4418" customFormat="false" ht="12.75" hidden="false" customHeight="false" outlineLevel="0" collapsed="false">
      <c r="A4418" s="0" t="n">
        <f aca="false">B4418*1000+C4418</f>
        <v>63019</v>
      </c>
      <c r="B4418" s="0" t="n">
        <v>63</v>
      </c>
      <c r="C4418" s="0" t="n">
        <v>19</v>
      </c>
      <c r="D4418" s="0" t="n">
        <v>0</v>
      </c>
      <c r="E4418" s="0" t="n">
        <f aca="false">VLOOKUP(B4418,'Babblefish-APUMA'!$A$1:$B$86,2)</f>
        <v>90</v>
      </c>
      <c r="F4418" s="0" t="n">
        <f aca="false">IF(C4418&gt;1,IF(C4418&lt;99,VLOOKUP(C4418,'Babblefish-APUMA'!$A$1:$B$86,2),C4418),C4418)</f>
        <v>19</v>
      </c>
    </row>
    <row r="4419" customFormat="false" ht="12.75" hidden="false" customHeight="false" outlineLevel="0" collapsed="false">
      <c r="A4419" s="0" t="n">
        <f aca="false">B4419*1000+C4419</f>
        <v>63020</v>
      </c>
      <c r="B4419" s="0" t="n">
        <v>63</v>
      </c>
      <c r="C4419" s="0" t="n">
        <v>20</v>
      </c>
      <c r="D4419" s="0" t="n">
        <v>0</v>
      </c>
      <c r="E4419" s="0" t="n">
        <f aca="false">VLOOKUP(B4419,'Babblefish-APUMA'!$A$1:$B$86,2)</f>
        <v>90</v>
      </c>
      <c r="F4419" s="0" t="n">
        <f aca="false">IF(C4419&gt;1,IF(C4419&lt;99,VLOOKUP(C4419,'Babblefish-APUMA'!$A$1:$B$86,2),C4419),C4419)</f>
        <v>86</v>
      </c>
    </row>
    <row r="4420" customFormat="false" ht="12.75" hidden="false" customHeight="false" outlineLevel="0" collapsed="false">
      <c r="A4420" s="0" t="n">
        <f aca="false">B4420*1000+C4420</f>
        <v>63021</v>
      </c>
      <c r="B4420" s="0" t="n">
        <v>63</v>
      </c>
      <c r="C4420" s="0" t="n">
        <v>21</v>
      </c>
      <c r="D4420" s="0" t="n">
        <v>0</v>
      </c>
      <c r="E4420" s="0" t="n">
        <f aca="false">VLOOKUP(B4420,'Babblefish-APUMA'!$A$1:$B$86,2)</f>
        <v>90</v>
      </c>
      <c r="F4420" s="0" t="n">
        <f aca="false">IF(C4420&gt;1,IF(C4420&lt;99,VLOOKUP(C4420,'Babblefish-APUMA'!$A$1:$B$86,2),C4420),C4420)</f>
        <v>86</v>
      </c>
    </row>
    <row r="4421" customFormat="false" ht="12.75" hidden="false" customHeight="false" outlineLevel="0" collapsed="false">
      <c r="A4421" s="0" t="n">
        <f aca="false">B4421*1000+C4421</f>
        <v>63022</v>
      </c>
      <c r="B4421" s="0" t="n">
        <v>63</v>
      </c>
      <c r="C4421" s="0" t="n">
        <v>22</v>
      </c>
      <c r="D4421" s="0" t="n">
        <v>0</v>
      </c>
      <c r="E4421" s="0" t="n">
        <f aca="false">VLOOKUP(B4421,'Babblefish-APUMA'!$A$1:$B$86,2)</f>
        <v>90</v>
      </c>
      <c r="F4421" s="0" t="n">
        <f aca="false">IF(C4421&gt;1,IF(C4421&lt;99,VLOOKUP(C4421,'Babblefish-APUMA'!$A$1:$B$86,2),C4421),C4421)</f>
        <v>22</v>
      </c>
    </row>
    <row r="4422" customFormat="false" ht="12.75" hidden="false" customHeight="false" outlineLevel="0" collapsed="false">
      <c r="A4422" s="0" t="n">
        <f aca="false">B4422*1000+C4422</f>
        <v>63023</v>
      </c>
      <c r="B4422" s="0" t="n">
        <v>63</v>
      </c>
      <c r="C4422" s="0" t="n">
        <v>23</v>
      </c>
      <c r="D4422" s="0" t="n">
        <v>0</v>
      </c>
      <c r="E4422" s="0" t="n">
        <f aca="false">VLOOKUP(B4422,'Babblefish-APUMA'!$A$1:$B$86,2)</f>
        <v>90</v>
      </c>
      <c r="F4422" s="0" t="n">
        <f aca="false">IF(C4422&gt;1,IF(C4422&lt;99,VLOOKUP(C4422,'Babblefish-APUMA'!$A$1:$B$86,2),C4422),C4422)</f>
        <v>97</v>
      </c>
    </row>
    <row r="4423" customFormat="false" ht="12.75" hidden="false" customHeight="false" outlineLevel="0" collapsed="false">
      <c r="A4423" s="0" t="n">
        <f aca="false">B4423*1000+C4423</f>
        <v>63024</v>
      </c>
      <c r="B4423" s="0" t="n">
        <v>63</v>
      </c>
      <c r="C4423" s="0" t="n">
        <v>24</v>
      </c>
      <c r="D4423" s="0" t="n">
        <v>0</v>
      </c>
      <c r="E4423" s="0" t="n">
        <f aca="false">VLOOKUP(B4423,'Babblefish-APUMA'!$A$1:$B$86,2)</f>
        <v>90</v>
      </c>
      <c r="F4423" s="0" t="n">
        <f aca="false">IF(C4423&gt;1,IF(C4423&lt;99,VLOOKUP(C4423,'Babblefish-APUMA'!$A$1:$B$86,2),C4423),C4423)</f>
        <v>101</v>
      </c>
    </row>
    <row r="4424" customFormat="false" ht="12.75" hidden="false" customHeight="false" outlineLevel="0" collapsed="false">
      <c r="A4424" s="0" t="n">
        <f aca="false">B4424*1000+C4424</f>
        <v>63025</v>
      </c>
      <c r="B4424" s="0" t="n">
        <v>63</v>
      </c>
      <c r="C4424" s="0" t="n">
        <v>25</v>
      </c>
      <c r="D4424" s="0" t="n">
        <v>0</v>
      </c>
      <c r="E4424" s="0" t="n">
        <f aca="false">VLOOKUP(B4424,'Babblefish-APUMA'!$A$1:$B$86,2)</f>
        <v>90</v>
      </c>
      <c r="F4424" s="0" t="n">
        <f aca="false">IF(C4424&gt;1,IF(C4424&lt;99,VLOOKUP(C4424,'Babblefish-APUMA'!$A$1:$B$86,2),C4424),C4424)</f>
        <v>101</v>
      </c>
    </row>
    <row r="4425" customFormat="false" ht="12.75" hidden="false" customHeight="false" outlineLevel="0" collapsed="false">
      <c r="A4425" s="0" t="n">
        <f aca="false">B4425*1000+C4425</f>
        <v>63026</v>
      </c>
      <c r="B4425" s="0" t="n">
        <v>63</v>
      </c>
      <c r="C4425" s="0" t="n">
        <v>26</v>
      </c>
      <c r="D4425" s="0" t="n">
        <v>0</v>
      </c>
      <c r="E4425" s="0" t="n">
        <f aca="false">VLOOKUP(B4425,'Babblefish-APUMA'!$A$1:$B$86,2)</f>
        <v>90</v>
      </c>
      <c r="F4425" s="0" t="n">
        <f aca="false">IF(C4425&gt;1,IF(C4425&lt;99,VLOOKUP(C4425,'Babblefish-APUMA'!$A$1:$B$86,2),C4425),C4425)</f>
        <v>26</v>
      </c>
    </row>
    <row r="4426" customFormat="false" ht="12.75" hidden="false" customHeight="false" outlineLevel="0" collapsed="false">
      <c r="A4426" s="0" t="n">
        <f aca="false">B4426*1000+C4426</f>
        <v>63027</v>
      </c>
      <c r="B4426" s="0" t="n">
        <v>63</v>
      </c>
      <c r="C4426" s="0" t="n">
        <v>27</v>
      </c>
      <c r="D4426" s="0" t="n">
        <v>0</v>
      </c>
      <c r="E4426" s="0" t="n">
        <f aca="false">VLOOKUP(B4426,'Babblefish-APUMA'!$A$1:$B$86,2)</f>
        <v>90</v>
      </c>
      <c r="F4426" s="0" t="n">
        <f aca="false">IF(C4426&gt;1,IF(C4426&lt;99,VLOOKUP(C4426,'Babblefish-APUMA'!$A$1:$B$86,2),C4426),C4426)</f>
        <v>27</v>
      </c>
    </row>
    <row r="4427" customFormat="false" ht="12.75" hidden="false" customHeight="false" outlineLevel="0" collapsed="false">
      <c r="A4427" s="0" t="n">
        <f aca="false">B4427*1000+C4427</f>
        <v>63028</v>
      </c>
      <c r="B4427" s="0" t="n">
        <v>63</v>
      </c>
      <c r="C4427" s="0" t="n">
        <v>28</v>
      </c>
      <c r="D4427" s="0" t="n">
        <v>0</v>
      </c>
      <c r="E4427" s="0" t="n">
        <f aca="false">VLOOKUP(B4427,'Babblefish-APUMA'!$A$1:$B$86,2)</f>
        <v>90</v>
      </c>
      <c r="F4427" s="0" t="n">
        <f aca="false">IF(C4427&gt;1,IF(C4427&lt;99,VLOOKUP(C4427,'Babblefish-APUMA'!$A$1:$B$86,2),C4427),C4427)</f>
        <v>94</v>
      </c>
    </row>
    <row r="4428" customFormat="false" ht="12.75" hidden="false" customHeight="false" outlineLevel="0" collapsed="false">
      <c r="A4428" s="0" t="n">
        <f aca="false">B4428*1000+C4428</f>
        <v>63029</v>
      </c>
      <c r="B4428" s="0" t="n">
        <v>63</v>
      </c>
      <c r="C4428" s="0" t="n">
        <v>29</v>
      </c>
      <c r="D4428" s="0" t="n">
        <v>0</v>
      </c>
      <c r="E4428" s="0" t="n">
        <f aca="false">VLOOKUP(B4428,'Babblefish-APUMA'!$A$1:$B$86,2)</f>
        <v>90</v>
      </c>
      <c r="F4428" s="0" t="n">
        <f aca="false">IF(C4428&gt;1,IF(C4428&lt;99,VLOOKUP(C4428,'Babblefish-APUMA'!$A$1:$B$86,2),C4428),C4428)</f>
        <v>94</v>
      </c>
    </row>
    <row r="4429" customFormat="false" ht="12.75" hidden="false" customHeight="false" outlineLevel="0" collapsed="false">
      <c r="A4429" s="0" t="n">
        <f aca="false">B4429*1000+C4429</f>
        <v>63030</v>
      </c>
      <c r="B4429" s="0" t="n">
        <v>63</v>
      </c>
      <c r="C4429" s="0" t="n">
        <v>30</v>
      </c>
      <c r="D4429" s="0" t="n">
        <v>0</v>
      </c>
      <c r="E4429" s="0" t="n">
        <f aca="false">VLOOKUP(B4429,'Babblefish-APUMA'!$A$1:$B$86,2)</f>
        <v>90</v>
      </c>
      <c r="F4429" s="0" t="n">
        <f aca="false">IF(C4429&gt;1,IF(C4429&lt;99,VLOOKUP(C4429,'Babblefish-APUMA'!$A$1:$B$86,2),C4429),C4429)</f>
        <v>30</v>
      </c>
    </row>
    <row r="4430" customFormat="false" ht="12.75" hidden="false" customHeight="false" outlineLevel="0" collapsed="false">
      <c r="A4430" s="0" t="n">
        <f aca="false">B4430*1000+C4430</f>
        <v>63031</v>
      </c>
      <c r="B4430" s="0" t="n">
        <v>63</v>
      </c>
      <c r="C4430" s="0" t="n">
        <v>31</v>
      </c>
      <c r="D4430" s="0" t="n">
        <v>0</v>
      </c>
      <c r="E4430" s="0" t="n">
        <f aca="false">VLOOKUP(B4430,'Babblefish-APUMA'!$A$1:$B$86,2)</f>
        <v>90</v>
      </c>
      <c r="F4430" s="0" t="n">
        <f aca="false">IF(C4430&gt;1,IF(C4430&lt;99,VLOOKUP(C4430,'Babblefish-APUMA'!$A$1:$B$86,2),C4430),C4430)</f>
        <v>31</v>
      </c>
    </row>
    <row r="4431" customFormat="false" ht="12.75" hidden="false" customHeight="false" outlineLevel="0" collapsed="false">
      <c r="A4431" s="0" t="n">
        <f aca="false">B4431*1000+C4431</f>
        <v>63032</v>
      </c>
      <c r="B4431" s="0" t="n">
        <v>63</v>
      </c>
      <c r="C4431" s="0" t="n">
        <v>32</v>
      </c>
      <c r="D4431" s="0" t="n">
        <v>0</v>
      </c>
      <c r="E4431" s="0" t="n">
        <f aca="false">VLOOKUP(B4431,'Babblefish-APUMA'!$A$1:$B$86,2)</f>
        <v>90</v>
      </c>
      <c r="F4431" s="0" t="n">
        <f aca="false">IF(C4431&gt;1,IF(C4431&lt;99,VLOOKUP(C4431,'Babblefish-APUMA'!$A$1:$B$86,2),C4431),C4431)</f>
        <v>32</v>
      </c>
    </row>
    <row r="4432" customFormat="false" ht="12.75" hidden="false" customHeight="false" outlineLevel="0" collapsed="false">
      <c r="A4432" s="0" t="n">
        <f aca="false">B4432*1000+C4432</f>
        <v>63033</v>
      </c>
      <c r="B4432" s="0" t="n">
        <v>63</v>
      </c>
      <c r="C4432" s="0" t="n">
        <v>33</v>
      </c>
      <c r="D4432" s="0" t="n">
        <v>39</v>
      </c>
      <c r="E4432" s="0" t="n">
        <f aca="false">VLOOKUP(B4432,'Babblefish-APUMA'!$A$1:$B$86,2)</f>
        <v>90</v>
      </c>
      <c r="F4432" s="0" t="n">
        <f aca="false">IF(C4432&gt;1,IF(C4432&lt;99,VLOOKUP(C4432,'Babblefish-APUMA'!$A$1:$B$86,2),C4432),C4432)</f>
        <v>96</v>
      </c>
    </row>
    <row r="4433" customFormat="false" ht="12.75" hidden="false" customHeight="false" outlineLevel="0" collapsed="false">
      <c r="A4433" s="0" t="n">
        <f aca="false">B4433*1000+C4433</f>
        <v>63034</v>
      </c>
      <c r="B4433" s="0" t="n">
        <v>63</v>
      </c>
      <c r="C4433" s="0" t="n">
        <v>34</v>
      </c>
      <c r="D4433" s="0" t="n">
        <v>0</v>
      </c>
      <c r="E4433" s="0" t="n">
        <f aca="false">VLOOKUP(B4433,'Babblefish-APUMA'!$A$1:$B$86,2)</f>
        <v>90</v>
      </c>
      <c r="F4433" s="0" t="n">
        <f aca="false">IF(C4433&gt;1,IF(C4433&lt;99,VLOOKUP(C4433,'Babblefish-APUMA'!$A$1:$B$86,2),C4433),C4433)</f>
        <v>96</v>
      </c>
    </row>
    <row r="4434" customFormat="false" ht="12.75" hidden="false" customHeight="false" outlineLevel="0" collapsed="false">
      <c r="A4434" s="0" t="n">
        <f aca="false">B4434*1000+C4434</f>
        <v>63035</v>
      </c>
      <c r="B4434" s="0" t="n">
        <v>63</v>
      </c>
      <c r="C4434" s="0" t="n">
        <v>35</v>
      </c>
      <c r="D4434" s="0" t="n">
        <v>0</v>
      </c>
      <c r="E4434" s="0" t="n">
        <f aca="false">VLOOKUP(B4434,'Babblefish-APUMA'!$A$1:$B$86,2)</f>
        <v>90</v>
      </c>
      <c r="F4434" s="0" t="n">
        <f aca="false">IF(C4434&gt;1,IF(C4434&lt;99,VLOOKUP(C4434,'Babblefish-APUMA'!$A$1:$B$86,2),C4434),C4434)</f>
        <v>96</v>
      </c>
    </row>
    <row r="4435" customFormat="false" ht="12.75" hidden="false" customHeight="false" outlineLevel="0" collapsed="false">
      <c r="A4435" s="0" t="n">
        <f aca="false">B4435*1000+C4435</f>
        <v>63036</v>
      </c>
      <c r="B4435" s="0" t="n">
        <v>63</v>
      </c>
      <c r="C4435" s="0" t="n">
        <v>36</v>
      </c>
      <c r="D4435" s="0" t="n">
        <v>0</v>
      </c>
      <c r="E4435" s="0" t="n">
        <f aca="false">VLOOKUP(B4435,'Babblefish-APUMA'!$A$1:$B$86,2)</f>
        <v>90</v>
      </c>
      <c r="F4435" s="0" t="n">
        <f aca="false">IF(C4435&gt;1,IF(C4435&lt;99,VLOOKUP(C4435,'Babblefish-APUMA'!$A$1:$B$86,2),C4435),C4435)</f>
        <v>96</v>
      </c>
    </row>
    <row r="4436" customFormat="false" ht="12.75" hidden="false" customHeight="false" outlineLevel="0" collapsed="false">
      <c r="A4436" s="0" t="n">
        <f aca="false">B4436*1000+C4436</f>
        <v>63037</v>
      </c>
      <c r="B4436" s="0" t="n">
        <v>63</v>
      </c>
      <c r="C4436" s="0" t="n">
        <v>37</v>
      </c>
      <c r="D4436" s="0" t="n">
        <v>143</v>
      </c>
      <c r="E4436" s="0" t="n">
        <f aca="false">VLOOKUP(B4436,'Babblefish-APUMA'!$A$1:$B$86,2)</f>
        <v>90</v>
      </c>
      <c r="F4436" s="0" t="n">
        <f aca="false">IF(C4436&gt;1,IF(C4436&lt;99,VLOOKUP(C4436,'Babblefish-APUMA'!$A$1:$B$86,2),C4436),C4436)</f>
        <v>96</v>
      </c>
    </row>
    <row r="4437" customFormat="false" ht="12.75" hidden="false" customHeight="false" outlineLevel="0" collapsed="false">
      <c r="A4437" s="0" t="n">
        <f aca="false">B4437*1000+C4437</f>
        <v>63038</v>
      </c>
      <c r="B4437" s="0" t="n">
        <v>63</v>
      </c>
      <c r="C4437" s="0" t="n">
        <v>38</v>
      </c>
      <c r="D4437" s="0" t="n">
        <v>0</v>
      </c>
      <c r="E4437" s="0" t="n">
        <f aca="false">VLOOKUP(B4437,'Babblefish-APUMA'!$A$1:$B$86,2)</f>
        <v>90</v>
      </c>
      <c r="F4437" s="0" t="n">
        <f aca="false">IF(C4437&gt;1,IF(C4437&lt;99,VLOOKUP(C4437,'Babblefish-APUMA'!$A$1:$B$86,2),C4437),C4437)</f>
        <v>91</v>
      </c>
    </row>
    <row r="4438" customFormat="false" ht="12.75" hidden="false" customHeight="false" outlineLevel="0" collapsed="false">
      <c r="A4438" s="0" t="n">
        <f aca="false">B4438*1000+C4438</f>
        <v>63039</v>
      </c>
      <c r="B4438" s="0" t="n">
        <v>63</v>
      </c>
      <c r="C4438" s="0" t="n">
        <v>39</v>
      </c>
      <c r="D4438" s="0" t="n">
        <v>0</v>
      </c>
      <c r="E4438" s="0" t="n">
        <f aca="false">VLOOKUP(B4438,'Babblefish-APUMA'!$A$1:$B$86,2)</f>
        <v>90</v>
      </c>
      <c r="F4438" s="0" t="n">
        <f aca="false">IF(C4438&gt;1,IF(C4438&lt;99,VLOOKUP(C4438,'Babblefish-APUMA'!$A$1:$B$86,2),C4438),C4438)</f>
        <v>91</v>
      </c>
    </row>
    <row r="4439" customFormat="false" ht="12.75" hidden="false" customHeight="false" outlineLevel="0" collapsed="false">
      <c r="A4439" s="0" t="n">
        <f aca="false">B4439*1000+C4439</f>
        <v>63040</v>
      </c>
      <c r="B4439" s="0" t="n">
        <v>63</v>
      </c>
      <c r="C4439" s="0" t="n">
        <v>40</v>
      </c>
      <c r="D4439" s="0" t="n">
        <v>0</v>
      </c>
      <c r="E4439" s="0" t="n">
        <f aca="false">VLOOKUP(B4439,'Babblefish-APUMA'!$A$1:$B$86,2)</f>
        <v>90</v>
      </c>
      <c r="F4439" s="0" t="n">
        <f aca="false">IF(C4439&gt;1,IF(C4439&lt;99,VLOOKUP(C4439,'Babblefish-APUMA'!$A$1:$B$86,2),C4439),C4439)</f>
        <v>88</v>
      </c>
    </row>
    <row r="4440" customFormat="false" ht="12.75" hidden="false" customHeight="false" outlineLevel="0" collapsed="false">
      <c r="A4440" s="0" t="n">
        <f aca="false">B4440*1000+C4440</f>
        <v>63041</v>
      </c>
      <c r="B4440" s="0" t="n">
        <v>63</v>
      </c>
      <c r="C4440" s="0" t="n">
        <v>41</v>
      </c>
      <c r="D4440" s="0" t="n">
        <v>0</v>
      </c>
      <c r="E4440" s="0" t="n">
        <f aca="false">VLOOKUP(B4440,'Babblefish-APUMA'!$A$1:$B$86,2)</f>
        <v>90</v>
      </c>
      <c r="F4440" s="0" t="n">
        <f aca="false">IF(C4440&gt;1,IF(C4440&lt;99,VLOOKUP(C4440,'Babblefish-APUMA'!$A$1:$B$86,2),C4440),C4440)</f>
        <v>88</v>
      </c>
    </row>
    <row r="4441" customFormat="false" ht="12.75" hidden="false" customHeight="false" outlineLevel="0" collapsed="false">
      <c r="A4441" s="0" t="n">
        <f aca="false">B4441*1000+C4441</f>
        <v>63042</v>
      </c>
      <c r="B4441" s="0" t="n">
        <v>63</v>
      </c>
      <c r="C4441" s="0" t="n">
        <v>42</v>
      </c>
      <c r="D4441" s="0" t="n">
        <v>0</v>
      </c>
      <c r="E4441" s="0" t="n">
        <f aca="false">VLOOKUP(B4441,'Babblefish-APUMA'!$A$1:$B$86,2)</f>
        <v>90</v>
      </c>
      <c r="F4441" s="0" t="n">
        <f aca="false">IF(C4441&gt;1,IF(C4441&lt;99,VLOOKUP(C4441,'Babblefish-APUMA'!$A$1:$B$86,2),C4441),C4441)</f>
        <v>92</v>
      </c>
    </row>
    <row r="4442" customFormat="false" ht="12.75" hidden="false" customHeight="false" outlineLevel="0" collapsed="false">
      <c r="A4442" s="0" t="n">
        <f aca="false">B4442*1000+C4442</f>
        <v>63043</v>
      </c>
      <c r="B4442" s="0" t="n">
        <v>63</v>
      </c>
      <c r="C4442" s="0" t="n">
        <v>43</v>
      </c>
      <c r="D4442" s="0" t="n">
        <v>0</v>
      </c>
      <c r="E4442" s="0" t="n">
        <f aca="false">VLOOKUP(B4442,'Babblefish-APUMA'!$A$1:$B$86,2)</f>
        <v>90</v>
      </c>
      <c r="F4442" s="0" t="n">
        <f aca="false">IF(C4442&gt;1,IF(C4442&lt;99,VLOOKUP(C4442,'Babblefish-APUMA'!$A$1:$B$86,2),C4442),C4442)</f>
        <v>92</v>
      </c>
    </row>
    <row r="4443" customFormat="false" ht="12.75" hidden="false" customHeight="false" outlineLevel="0" collapsed="false">
      <c r="A4443" s="0" t="n">
        <f aca="false">B4443*1000+C4443</f>
        <v>63044</v>
      </c>
      <c r="B4443" s="0" t="n">
        <v>63</v>
      </c>
      <c r="C4443" s="0" t="n">
        <v>44</v>
      </c>
      <c r="D4443" s="0" t="n">
        <v>0</v>
      </c>
      <c r="E4443" s="0" t="n">
        <f aca="false">VLOOKUP(B4443,'Babblefish-APUMA'!$A$1:$B$86,2)</f>
        <v>90</v>
      </c>
      <c r="F4443" s="0" t="n">
        <f aca="false">IF(C4443&gt;1,IF(C4443&lt;99,VLOOKUP(C4443,'Babblefish-APUMA'!$A$1:$B$86,2),C4443),C4443)</f>
        <v>92</v>
      </c>
    </row>
    <row r="4444" customFormat="false" ht="12.75" hidden="false" customHeight="false" outlineLevel="0" collapsed="false">
      <c r="A4444" s="0" t="n">
        <f aca="false">B4444*1000+C4444</f>
        <v>63045</v>
      </c>
      <c r="B4444" s="0" t="n">
        <v>63</v>
      </c>
      <c r="C4444" s="0" t="n">
        <v>45</v>
      </c>
      <c r="D4444" s="0" t="n">
        <v>0</v>
      </c>
      <c r="E4444" s="0" t="n">
        <f aca="false">VLOOKUP(B4444,'Babblefish-APUMA'!$A$1:$B$86,2)</f>
        <v>90</v>
      </c>
      <c r="F4444" s="0" t="n">
        <f aca="false">IF(C4444&gt;1,IF(C4444&lt;99,VLOOKUP(C4444,'Babblefish-APUMA'!$A$1:$B$86,2),C4444),C4444)</f>
        <v>92</v>
      </c>
    </row>
    <row r="4445" customFormat="false" ht="12.75" hidden="false" customHeight="false" outlineLevel="0" collapsed="false">
      <c r="A4445" s="0" t="n">
        <f aca="false">B4445*1000+C4445</f>
        <v>63046</v>
      </c>
      <c r="B4445" s="0" t="n">
        <v>63</v>
      </c>
      <c r="C4445" s="0" t="n">
        <v>46</v>
      </c>
      <c r="D4445" s="0" t="n">
        <v>0</v>
      </c>
      <c r="E4445" s="0" t="n">
        <f aca="false">VLOOKUP(B4445,'Babblefish-APUMA'!$A$1:$B$86,2)</f>
        <v>90</v>
      </c>
      <c r="F4445" s="0" t="n">
        <f aca="false">IF(C4445&gt;1,IF(C4445&lt;99,VLOOKUP(C4445,'Babblefish-APUMA'!$A$1:$B$86,2),C4445),C4445)</f>
        <v>92</v>
      </c>
    </row>
    <row r="4446" customFormat="false" ht="12.75" hidden="false" customHeight="false" outlineLevel="0" collapsed="false">
      <c r="A4446" s="0" t="n">
        <f aca="false">B4446*1000+C4446</f>
        <v>63047</v>
      </c>
      <c r="B4446" s="0" t="n">
        <v>63</v>
      </c>
      <c r="C4446" s="0" t="n">
        <v>47</v>
      </c>
      <c r="D4446" s="0" t="n">
        <v>156</v>
      </c>
      <c r="E4446" s="0" t="n">
        <f aca="false">VLOOKUP(B4446,'Babblefish-APUMA'!$A$1:$B$86,2)</f>
        <v>90</v>
      </c>
      <c r="F4446" s="0" t="n">
        <f aca="false">IF(C4446&gt;1,IF(C4446&lt;99,VLOOKUP(C4446,'Babblefish-APUMA'!$A$1:$B$86,2),C4446),C4446)</f>
        <v>92</v>
      </c>
    </row>
    <row r="4447" customFormat="false" ht="12.75" hidden="false" customHeight="false" outlineLevel="0" collapsed="false">
      <c r="A4447" s="0" t="n">
        <f aca="false">B4447*1000+C4447</f>
        <v>63048</v>
      </c>
      <c r="B4447" s="0" t="n">
        <v>63</v>
      </c>
      <c r="C4447" s="0" t="n">
        <v>48</v>
      </c>
      <c r="D4447" s="0" t="n">
        <v>247</v>
      </c>
      <c r="E4447" s="0" t="n">
        <f aca="false">VLOOKUP(B4447,'Babblefish-APUMA'!$A$1:$B$86,2)</f>
        <v>90</v>
      </c>
      <c r="F4447" s="0" t="n">
        <f aca="false">IF(C4447&gt;1,IF(C4447&lt;99,VLOOKUP(C4447,'Babblefish-APUMA'!$A$1:$B$86,2),C4447),C4447)</f>
        <v>92</v>
      </c>
    </row>
    <row r="4448" customFormat="false" ht="12.75" hidden="false" customHeight="false" outlineLevel="0" collapsed="false">
      <c r="A4448" s="0" t="n">
        <f aca="false">B4448*1000+C4448</f>
        <v>63049</v>
      </c>
      <c r="B4448" s="0" t="n">
        <v>63</v>
      </c>
      <c r="C4448" s="0" t="n">
        <v>49</v>
      </c>
      <c r="D4448" s="0" t="n">
        <v>0</v>
      </c>
      <c r="E4448" s="0" t="n">
        <f aca="false">VLOOKUP(B4448,'Babblefish-APUMA'!$A$1:$B$86,2)</f>
        <v>90</v>
      </c>
      <c r="F4448" s="0" t="n">
        <f aca="false">IF(C4448&gt;1,IF(C4448&lt;99,VLOOKUP(C4448,'Babblefish-APUMA'!$A$1:$B$86,2),C4448),C4448)</f>
        <v>98</v>
      </c>
    </row>
    <row r="4449" customFormat="false" ht="12.75" hidden="false" customHeight="false" outlineLevel="0" collapsed="false">
      <c r="A4449" s="0" t="n">
        <f aca="false">B4449*1000+C4449</f>
        <v>63050</v>
      </c>
      <c r="B4449" s="0" t="n">
        <v>63</v>
      </c>
      <c r="C4449" s="0" t="n">
        <v>50</v>
      </c>
      <c r="D4449" s="0" t="n">
        <v>0</v>
      </c>
      <c r="E4449" s="0" t="n">
        <f aca="false">VLOOKUP(B4449,'Babblefish-APUMA'!$A$1:$B$86,2)</f>
        <v>90</v>
      </c>
      <c r="F4449" s="0" t="n">
        <f aca="false">IF(C4449&gt;1,IF(C4449&lt;99,VLOOKUP(C4449,'Babblefish-APUMA'!$A$1:$B$86,2),C4449),C4449)</f>
        <v>98</v>
      </c>
    </row>
    <row r="4450" customFormat="false" ht="12.75" hidden="false" customHeight="false" outlineLevel="0" collapsed="false">
      <c r="A4450" s="0" t="n">
        <f aca="false">B4450*1000+C4450</f>
        <v>63051</v>
      </c>
      <c r="B4450" s="0" t="n">
        <v>63</v>
      </c>
      <c r="C4450" s="0" t="n">
        <v>51</v>
      </c>
      <c r="D4450" s="0" t="n">
        <v>0</v>
      </c>
      <c r="E4450" s="0" t="n">
        <f aca="false">VLOOKUP(B4450,'Babblefish-APUMA'!$A$1:$B$86,2)</f>
        <v>90</v>
      </c>
      <c r="F4450" s="0" t="n">
        <f aca="false">IF(C4450&gt;1,IF(C4450&lt;99,VLOOKUP(C4450,'Babblefish-APUMA'!$A$1:$B$86,2),C4450),C4450)</f>
        <v>98</v>
      </c>
    </row>
    <row r="4451" customFormat="false" ht="12.75" hidden="false" customHeight="false" outlineLevel="0" collapsed="false">
      <c r="A4451" s="0" t="n">
        <f aca="false">B4451*1000+C4451</f>
        <v>63052</v>
      </c>
      <c r="B4451" s="0" t="n">
        <v>63</v>
      </c>
      <c r="C4451" s="0" t="n">
        <v>52</v>
      </c>
      <c r="D4451" s="0" t="n">
        <v>936</v>
      </c>
      <c r="E4451" s="0" t="n">
        <f aca="false">VLOOKUP(B4451,'Babblefish-APUMA'!$A$1:$B$86,2)</f>
        <v>90</v>
      </c>
      <c r="F4451" s="0" t="n">
        <f aca="false">IF(C4451&gt;1,IF(C4451&lt;99,VLOOKUP(C4451,'Babblefish-APUMA'!$A$1:$B$86,2),C4451),C4451)</f>
        <v>90</v>
      </c>
    </row>
    <row r="4452" customFormat="false" ht="12.75" hidden="false" customHeight="false" outlineLevel="0" collapsed="false">
      <c r="A4452" s="0" t="n">
        <f aca="false">B4452*1000+C4452</f>
        <v>63053</v>
      </c>
      <c r="B4452" s="0" t="n">
        <v>63</v>
      </c>
      <c r="C4452" s="0" t="n">
        <v>53</v>
      </c>
      <c r="D4452" s="0" t="n">
        <v>2652</v>
      </c>
      <c r="E4452" s="0" t="n">
        <f aca="false">VLOOKUP(B4452,'Babblefish-APUMA'!$A$1:$B$86,2)</f>
        <v>90</v>
      </c>
      <c r="F4452" s="0" t="n">
        <f aca="false">IF(C4452&gt;1,IF(C4452&lt;99,VLOOKUP(C4452,'Babblefish-APUMA'!$A$1:$B$86,2),C4452),C4452)</f>
        <v>90</v>
      </c>
    </row>
    <row r="4453" customFormat="false" ht="12.75" hidden="false" customHeight="false" outlineLevel="0" collapsed="false">
      <c r="A4453" s="0" t="n">
        <f aca="false">B4453*1000+C4453</f>
        <v>63054</v>
      </c>
      <c r="B4453" s="0" t="n">
        <v>63</v>
      </c>
      <c r="C4453" s="0" t="n">
        <v>54</v>
      </c>
      <c r="D4453" s="0" t="n">
        <v>624</v>
      </c>
      <c r="E4453" s="0" t="n">
        <f aca="false">VLOOKUP(B4453,'Babblefish-APUMA'!$A$1:$B$86,2)</f>
        <v>90</v>
      </c>
      <c r="F4453" s="0" t="n">
        <f aca="false">IF(C4453&gt;1,IF(C4453&lt;99,VLOOKUP(C4453,'Babblefish-APUMA'!$A$1:$B$86,2),C4453),C4453)</f>
        <v>90</v>
      </c>
    </row>
    <row r="4454" customFormat="false" ht="12.75" hidden="false" customHeight="false" outlineLevel="0" collapsed="false">
      <c r="A4454" s="0" t="n">
        <f aca="false">B4454*1000+C4454</f>
        <v>63055</v>
      </c>
      <c r="B4454" s="0" t="n">
        <v>63</v>
      </c>
      <c r="C4454" s="0" t="n">
        <v>55</v>
      </c>
      <c r="D4454" s="0" t="n">
        <v>221</v>
      </c>
      <c r="E4454" s="0" t="n">
        <f aca="false">VLOOKUP(B4454,'Babblefish-APUMA'!$A$1:$B$86,2)</f>
        <v>90</v>
      </c>
      <c r="F4454" s="0" t="n">
        <f aca="false">IF(C4454&gt;1,IF(C4454&lt;99,VLOOKUP(C4454,'Babblefish-APUMA'!$A$1:$B$86,2),C4454),C4454)</f>
        <v>90</v>
      </c>
    </row>
    <row r="4455" customFormat="false" ht="12.75" hidden="false" customHeight="false" outlineLevel="0" collapsed="false">
      <c r="A4455" s="0" t="n">
        <f aca="false">B4455*1000+C4455</f>
        <v>63056</v>
      </c>
      <c r="B4455" s="0" t="n">
        <v>63</v>
      </c>
      <c r="C4455" s="0" t="n">
        <v>56</v>
      </c>
      <c r="D4455" s="0" t="n">
        <v>104</v>
      </c>
      <c r="E4455" s="0" t="n">
        <f aca="false">VLOOKUP(B4455,'Babblefish-APUMA'!$A$1:$B$86,2)</f>
        <v>90</v>
      </c>
      <c r="F4455" s="0" t="n">
        <f aca="false">IF(C4455&gt;1,IF(C4455&lt;99,VLOOKUP(C4455,'Babblefish-APUMA'!$A$1:$B$86,2),C4455),C4455)</f>
        <v>90</v>
      </c>
    </row>
    <row r="4456" customFormat="false" ht="12.75" hidden="false" customHeight="false" outlineLevel="0" collapsed="false">
      <c r="A4456" s="0" t="n">
        <f aca="false">B4456*1000+C4456</f>
        <v>63057</v>
      </c>
      <c r="B4456" s="0" t="n">
        <v>63</v>
      </c>
      <c r="C4456" s="0" t="n">
        <v>57</v>
      </c>
      <c r="D4456" s="0" t="n">
        <v>0</v>
      </c>
      <c r="E4456" s="0" t="n">
        <f aca="false">VLOOKUP(B4456,'Babblefish-APUMA'!$A$1:$B$86,2)</f>
        <v>90</v>
      </c>
      <c r="F4456" s="0" t="n">
        <f aca="false">IF(C4456&gt;1,IF(C4456&lt;99,VLOOKUP(C4456,'Babblefish-APUMA'!$A$1:$B$86,2),C4456),C4456)</f>
        <v>90</v>
      </c>
    </row>
    <row r="4457" customFormat="false" ht="12.75" hidden="false" customHeight="false" outlineLevel="0" collapsed="false">
      <c r="A4457" s="0" t="n">
        <f aca="false">B4457*1000+C4457</f>
        <v>63058</v>
      </c>
      <c r="B4457" s="0" t="n">
        <v>63</v>
      </c>
      <c r="C4457" s="0" t="n">
        <v>58</v>
      </c>
      <c r="D4457" s="0" t="n">
        <v>572</v>
      </c>
      <c r="E4457" s="0" t="n">
        <f aca="false">VLOOKUP(B4457,'Babblefish-APUMA'!$A$1:$B$86,2)</f>
        <v>90</v>
      </c>
      <c r="F4457" s="0" t="n">
        <f aca="false">IF(C4457&gt;1,IF(C4457&lt;99,VLOOKUP(C4457,'Babblefish-APUMA'!$A$1:$B$86,2),C4457),C4457)</f>
        <v>90</v>
      </c>
    </row>
    <row r="4458" customFormat="false" ht="12.75" hidden="false" customHeight="false" outlineLevel="0" collapsed="false">
      <c r="A4458" s="0" t="n">
        <f aca="false">B4458*1000+C4458</f>
        <v>63059</v>
      </c>
      <c r="B4458" s="0" t="n">
        <v>63</v>
      </c>
      <c r="C4458" s="0" t="n">
        <v>59</v>
      </c>
      <c r="D4458" s="0" t="n">
        <v>195</v>
      </c>
      <c r="E4458" s="0" t="n">
        <f aca="false">VLOOKUP(B4458,'Babblefish-APUMA'!$A$1:$B$86,2)</f>
        <v>90</v>
      </c>
      <c r="F4458" s="0" t="n">
        <f aca="false">IF(C4458&gt;1,IF(C4458&lt;99,VLOOKUP(C4458,'Babblefish-APUMA'!$A$1:$B$86,2),C4458),C4458)</f>
        <v>90</v>
      </c>
    </row>
    <row r="4459" customFormat="false" ht="12.75" hidden="false" customHeight="false" outlineLevel="0" collapsed="false">
      <c r="A4459" s="0" t="n">
        <f aca="false">B4459*1000+C4459</f>
        <v>63060</v>
      </c>
      <c r="B4459" s="0" t="n">
        <v>63</v>
      </c>
      <c r="C4459" s="0" t="n">
        <v>60</v>
      </c>
      <c r="D4459" s="0" t="n">
        <v>65</v>
      </c>
      <c r="E4459" s="0" t="n">
        <f aca="false">VLOOKUP(B4459,'Babblefish-APUMA'!$A$1:$B$86,2)</f>
        <v>90</v>
      </c>
      <c r="F4459" s="0" t="n">
        <f aca="false">IF(C4459&gt;1,IF(C4459&lt;99,VLOOKUP(C4459,'Babblefish-APUMA'!$A$1:$B$86,2),C4459),C4459)</f>
        <v>90</v>
      </c>
    </row>
    <row r="4460" customFormat="false" ht="12.75" hidden="false" customHeight="false" outlineLevel="0" collapsed="false">
      <c r="A4460" s="0" t="n">
        <f aca="false">B4460*1000+C4460</f>
        <v>63061</v>
      </c>
      <c r="B4460" s="0" t="n">
        <v>63</v>
      </c>
      <c r="C4460" s="0" t="n">
        <v>61</v>
      </c>
      <c r="D4460" s="0" t="n">
        <v>0</v>
      </c>
      <c r="E4460" s="0" t="n">
        <f aca="false">VLOOKUP(B4460,'Babblefish-APUMA'!$A$1:$B$86,2)</f>
        <v>90</v>
      </c>
      <c r="F4460" s="0" t="n">
        <f aca="false">IF(C4460&gt;1,IF(C4460&lt;99,VLOOKUP(C4460,'Babblefish-APUMA'!$A$1:$B$86,2),C4460),C4460)</f>
        <v>90</v>
      </c>
    </row>
    <row r="4461" customFormat="false" ht="12.75" hidden="false" customHeight="false" outlineLevel="0" collapsed="false">
      <c r="A4461" s="0" t="n">
        <f aca="false">B4461*1000+C4461</f>
        <v>63062</v>
      </c>
      <c r="B4461" s="0" t="n">
        <v>63</v>
      </c>
      <c r="C4461" s="0" t="n">
        <v>62</v>
      </c>
      <c r="D4461" s="0" t="n">
        <v>286</v>
      </c>
      <c r="E4461" s="0" t="n">
        <f aca="false">VLOOKUP(B4461,'Babblefish-APUMA'!$A$1:$B$86,2)</f>
        <v>90</v>
      </c>
      <c r="F4461" s="0" t="n">
        <f aca="false">IF(C4461&gt;1,IF(C4461&lt;99,VLOOKUP(C4461,'Babblefish-APUMA'!$A$1:$B$86,2),C4461),C4461)</f>
        <v>90</v>
      </c>
    </row>
    <row r="4462" customFormat="false" ht="12.75" hidden="false" customHeight="false" outlineLevel="0" collapsed="false">
      <c r="A4462" s="0" t="n">
        <f aca="false">B4462*1000+C4462</f>
        <v>63063</v>
      </c>
      <c r="B4462" s="0" t="n">
        <v>63</v>
      </c>
      <c r="C4462" s="0" t="n">
        <v>63</v>
      </c>
      <c r="D4462" s="0" t="n">
        <v>23192</v>
      </c>
      <c r="E4462" s="0" t="n">
        <f aca="false">VLOOKUP(B4462,'Babblefish-APUMA'!$A$1:$B$86,2)</f>
        <v>90</v>
      </c>
      <c r="F4462" s="0" t="n">
        <f aca="false">IF(C4462&gt;1,IF(C4462&lt;99,VLOOKUP(C4462,'Babblefish-APUMA'!$A$1:$B$86,2),C4462),C4462)</f>
        <v>90</v>
      </c>
    </row>
    <row r="4463" customFormat="false" ht="12.75" hidden="false" customHeight="false" outlineLevel="0" collapsed="false">
      <c r="A4463" s="0" t="n">
        <f aca="false">B4463*1000+C4463</f>
        <v>63064</v>
      </c>
      <c r="B4463" s="0" t="n">
        <v>63</v>
      </c>
      <c r="C4463" s="0" t="n">
        <v>64</v>
      </c>
      <c r="D4463" s="0" t="n">
        <v>13468</v>
      </c>
      <c r="E4463" s="0" t="n">
        <f aca="false">VLOOKUP(B4463,'Babblefish-APUMA'!$A$1:$B$86,2)</f>
        <v>90</v>
      </c>
      <c r="F4463" s="0" t="n">
        <f aca="false">IF(C4463&gt;1,IF(C4463&lt;99,VLOOKUP(C4463,'Babblefish-APUMA'!$A$1:$B$86,2),C4463),C4463)</f>
        <v>90</v>
      </c>
    </row>
    <row r="4464" customFormat="false" ht="12.75" hidden="false" customHeight="false" outlineLevel="0" collapsed="false">
      <c r="A4464" s="0" t="n">
        <f aca="false">B4464*1000+C4464</f>
        <v>63065</v>
      </c>
      <c r="B4464" s="0" t="n">
        <v>63</v>
      </c>
      <c r="C4464" s="0" t="n">
        <v>65</v>
      </c>
      <c r="D4464" s="0" t="n">
        <v>17498</v>
      </c>
      <c r="E4464" s="0" t="n">
        <f aca="false">VLOOKUP(B4464,'Babblefish-APUMA'!$A$1:$B$86,2)</f>
        <v>90</v>
      </c>
      <c r="F4464" s="0" t="n">
        <f aca="false">IF(C4464&gt;1,IF(C4464&lt;99,VLOOKUP(C4464,'Babblefish-APUMA'!$A$1:$B$86,2),C4464),C4464)</f>
        <v>90</v>
      </c>
    </row>
    <row r="4465" customFormat="false" ht="12.75" hidden="false" customHeight="false" outlineLevel="0" collapsed="false">
      <c r="A4465" s="0" t="n">
        <f aca="false">B4465*1000+C4465</f>
        <v>63066</v>
      </c>
      <c r="B4465" s="0" t="n">
        <v>63</v>
      </c>
      <c r="C4465" s="0" t="n">
        <v>66</v>
      </c>
      <c r="D4465" s="0" t="n">
        <v>182</v>
      </c>
      <c r="E4465" s="0" t="n">
        <f aca="false">VLOOKUP(B4465,'Babblefish-APUMA'!$A$1:$B$86,2)</f>
        <v>90</v>
      </c>
      <c r="F4465" s="0" t="n">
        <f aca="false">IF(C4465&gt;1,IF(C4465&lt;99,VLOOKUP(C4465,'Babblefish-APUMA'!$A$1:$B$86,2),C4465),C4465)</f>
        <v>90</v>
      </c>
    </row>
    <row r="4466" customFormat="false" ht="12.75" hidden="false" customHeight="false" outlineLevel="0" collapsed="false">
      <c r="A4466" s="0" t="n">
        <f aca="false">B4466*1000+C4466</f>
        <v>63067</v>
      </c>
      <c r="B4466" s="0" t="n">
        <v>63</v>
      </c>
      <c r="C4466" s="0" t="n">
        <v>67</v>
      </c>
      <c r="D4466" s="0" t="n">
        <v>0</v>
      </c>
      <c r="E4466" s="0" t="n">
        <f aca="false">VLOOKUP(B4466,'Babblefish-APUMA'!$A$1:$B$86,2)</f>
        <v>90</v>
      </c>
      <c r="F4466" s="0" t="n">
        <f aca="false">IF(C4466&gt;1,IF(C4466&lt;99,VLOOKUP(C4466,'Babblefish-APUMA'!$A$1:$B$86,2),C4466),C4466)</f>
        <v>103</v>
      </c>
    </row>
    <row r="4467" customFormat="false" ht="12.75" hidden="false" customHeight="false" outlineLevel="0" collapsed="false">
      <c r="A4467" s="0" t="n">
        <f aca="false">B4467*1000+C4467</f>
        <v>63068</v>
      </c>
      <c r="B4467" s="0" t="n">
        <v>63</v>
      </c>
      <c r="C4467" s="0" t="n">
        <v>68</v>
      </c>
      <c r="D4467" s="0" t="n">
        <v>0</v>
      </c>
      <c r="E4467" s="0" t="n">
        <f aca="false">VLOOKUP(B4467,'Babblefish-APUMA'!$A$1:$B$86,2)</f>
        <v>90</v>
      </c>
      <c r="F4467" s="0" t="n">
        <f aca="false">IF(C4467&gt;1,IF(C4467&lt;99,VLOOKUP(C4467,'Babblefish-APUMA'!$A$1:$B$86,2),C4467),C4467)</f>
        <v>93</v>
      </c>
    </row>
    <row r="4468" customFormat="false" ht="12.75" hidden="false" customHeight="false" outlineLevel="0" collapsed="false">
      <c r="A4468" s="0" t="n">
        <f aca="false">B4468*1000+C4468</f>
        <v>63069</v>
      </c>
      <c r="B4468" s="0" t="n">
        <v>63</v>
      </c>
      <c r="C4468" s="0" t="n">
        <v>69</v>
      </c>
      <c r="D4468" s="0" t="n">
        <v>0</v>
      </c>
      <c r="E4468" s="0" t="n">
        <f aca="false">VLOOKUP(B4468,'Babblefish-APUMA'!$A$1:$B$86,2)</f>
        <v>90</v>
      </c>
      <c r="F4468" s="0" t="n">
        <f aca="false">IF(C4468&gt;1,IF(C4468&lt;99,VLOOKUP(C4468,'Babblefish-APUMA'!$A$1:$B$86,2),C4468),C4468)</f>
        <v>93</v>
      </c>
    </row>
    <row r="4469" customFormat="false" ht="12.75" hidden="false" customHeight="false" outlineLevel="0" collapsed="false">
      <c r="A4469" s="0" t="n">
        <f aca="false">B4469*1000+C4469</f>
        <v>63070</v>
      </c>
      <c r="B4469" s="0" t="n">
        <v>63</v>
      </c>
      <c r="C4469" s="0" t="n">
        <v>70</v>
      </c>
      <c r="D4469" s="0" t="n">
        <v>0</v>
      </c>
      <c r="E4469" s="0" t="n">
        <f aca="false">VLOOKUP(B4469,'Babblefish-APUMA'!$A$1:$B$86,2)</f>
        <v>90</v>
      </c>
      <c r="F4469" s="0" t="n">
        <f aca="false">IF(C4469&gt;1,IF(C4469&lt;99,VLOOKUP(C4469,'Babblefish-APUMA'!$A$1:$B$86,2),C4469),C4469)</f>
        <v>95</v>
      </c>
    </row>
    <row r="4470" customFormat="false" ht="12.75" hidden="false" customHeight="false" outlineLevel="0" collapsed="false">
      <c r="A4470" s="0" t="n">
        <f aca="false">B4470*1000+C4470</f>
        <v>63071</v>
      </c>
      <c r="B4470" s="0" t="n">
        <v>63</v>
      </c>
      <c r="C4470" s="0" t="n">
        <v>71</v>
      </c>
      <c r="D4470" s="0" t="n">
        <v>0</v>
      </c>
      <c r="E4470" s="0" t="n">
        <f aca="false">VLOOKUP(B4470,'Babblefish-APUMA'!$A$1:$B$86,2)</f>
        <v>90</v>
      </c>
      <c r="F4470" s="0" t="n">
        <f aca="false">IF(C4470&gt;1,IF(C4470&lt;99,VLOOKUP(C4470,'Babblefish-APUMA'!$A$1:$B$86,2),C4470),C4470)</f>
        <v>95</v>
      </c>
    </row>
    <row r="4471" customFormat="false" ht="12.75" hidden="false" customHeight="false" outlineLevel="0" collapsed="false">
      <c r="A4471" s="0" t="n">
        <f aca="false">B4471*1000+C4471</f>
        <v>63072</v>
      </c>
      <c r="B4471" s="0" t="n">
        <v>63</v>
      </c>
      <c r="C4471" s="0" t="n">
        <v>72</v>
      </c>
      <c r="D4471" s="0" t="n">
        <v>299</v>
      </c>
      <c r="E4471" s="0" t="n">
        <f aca="false">VLOOKUP(B4471,'Babblefish-APUMA'!$A$1:$B$86,2)</f>
        <v>90</v>
      </c>
      <c r="F4471" s="0" t="n">
        <f aca="false">IF(C4471&gt;1,IF(C4471&lt;99,VLOOKUP(C4471,'Babblefish-APUMA'!$A$1:$B$86,2),C4471),C4471)</f>
        <v>95</v>
      </c>
    </row>
    <row r="4472" customFormat="false" ht="12.75" hidden="false" customHeight="false" outlineLevel="0" collapsed="false">
      <c r="A4472" s="0" t="n">
        <f aca="false">B4472*1000+C4472</f>
        <v>63073</v>
      </c>
      <c r="B4472" s="0" t="n">
        <v>63</v>
      </c>
      <c r="C4472" s="0" t="n">
        <v>73</v>
      </c>
      <c r="D4472" s="0" t="n">
        <v>0</v>
      </c>
      <c r="E4472" s="0" t="n">
        <f aca="false">VLOOKUP(B4472,'Babblefish-APUMA'!$A$1:$B$86,2)</f>
        <v>90</v>
      </c>
      <c r="F4472" s="0" t="n">
        <f aca="false">IF(C4472&gt;1,IF(C4472&lt;99,VLOOKUP(C4472,'Babblefish-APUMA'!$A$1:$B$86,2),C4472),C4472)</f>
        <v>99</v>
      </c>
    </row>
    <row r="4473" customFormat="false" ht="12.75" hidden="false" customHeight="false" outlineLevel="0" collapsed="false">
      <c r="A4473" s="0" t="n">
        <f aca="false">B4473*1000+C4473</f>
        <v>63075</v>
      </c>
      <c r="B4473" s="0" t="n">
        <v>63</v>
      </c>
      <c r="C4473" s="0" t="n">
        <v>75</v>
      </c>
      <c r="D4473" s="0" t="n">
        <v>0</v>
      </c>
      <c r="E4473" s="0" t="n">
        <f aca="false">VLOOKUP(B4473,'Babblefish-APUMA'!$A$1:$B$86,2)</f>
        <v>90</v>
      </c>
      <c r="F4473" s="0" t="n">
        <f aca="false">IF(C4473&gt;1,IF(C4473&lt;99,VLOOKUP(C4473,'Babblefish-APUMA'!$A$1:$B$86,2),C4473),C4473)</f>
        <v>75</v>
      </c>
    </row>
    <row r="4474" customFormat="false" ht="12.75" hidden="false" customHeight="false" outlineLevel="0" collapsed="false">
      <c r="A4474" s="0" t="n">
        <f aca="false">B4474*1000+C4474</f>
        <v>63076</v>
      </c>
      <c r="B4474" s="0" t="n">
        <v>63</v>
      </c>
      <c r="C4474" s="0" t="n">
        <v>76</v>
      </c>
      <c r="D4474" s="0" t="n">
        <v>0</v>
      </c>
      <c r="E4474" s="0" t="n">
        <f aca="false">VLOOKUP(B4474,'Babblefish-APUMA'!$A$1:$B$86,2)</f>
        <v>90</v>
      </c>
      <c r="F4474" s="0" t="n">
        <f aca="false">IF(C4474&gt;1,IF(C4474&lt;99,VLOOKUP(C4474,'Babblefish-APUMA'!$A$1:$B$86,2),C4474),C4474)</f>
        <v>76</v>
      </c>
    </row>
    <row r="4475" customFormat="false" ht="12.75" hidden="false" customHeight="false" outlineLevel="0" collapsed="false">
      <c r="A4475" s="0" t="n">
        <f aca="false">B4475*1000+C4475</f>
        <v>63077</v>
      </c>
      <c r="B4475" s="0" t="n">
        <v>63</v>
      </c>
      <c r="C4475" s="0" t="n">
        <v>77</v>
      </c>
      <c r="D4475" s="0" t="n">
        <v>0</v>
      </c>
      <c r="E4475" s="0" t="n">
        <f aca="false">VLOOKUP(B4475,'Babblefish-APUMA'!$A$1:$B$86,2)</f>
        <v>90</v>
      </c>
      <c r="F4475" s="0" t="n">
        <f aca="false">IF(C4475&gt;1,IF(C4475&lt;99,VLOOKUP(C4475,'Babblefish-APUMA'!$A$1:$B$86,2),C4475),C4475)</f>
        <v>77</v>
      </c>
    </row>
    <row r="4476" customFormat="false" ht="12.75" hidden="false" customHeight="false" outlineLevel="0" collapsed="false">
      <c r="A4476" s="0" t="n">
        <f aca="false">B4476*1000+C4476</f>
        <v>63078</v>
      </c>
      <c r="B4476" s="0" t="n">
        <v>63</v>
      </c>
      <c r="C4476" s="0" t="n">
        <v>78</v>
      </c>
      <c r="D4476" s="0" t="n">
        <v>0</v>
      </c>
      <c r="E4476" s="0" t="n">
        <f aca="false">VLOOKUP(B4476,'Babblefish-APUMA'!$A$1:$B$86,2)</f>
        <v>90</v>
      </c>
      <c r="F4476" s="0" t="n">
        <f aca="false">IF(C4476&gt;1,IF(C4476&lt;99,VLOOKUP(C4476,'Babblefish-APUMA'!$A$1:$B$86,2),C4476),C4476)</f>
        <v>89</v>
      </c>
    </row>
    <row r="4477" customFormat="false" ht="12.75" hidden="false" customHeight="false" outlineLevel="0" collapsed="false">
      <c r="A4477" s="0" t="n">
        <f aca="false">B4477*1000+C4477</f>
        <v>63079</v>
      </c>
      <c r="B4477" s="0" t="n">
        <v>63</v>
      </c>
      <c r="C4477" s="0" t="n">
        <v>79</v>
      </c>
      <c r="D4477" s="0" t="n">
        <v>0</v>
      </c>
      <c r="E4477" s="0" t="n">
        <f aca="false">VLOOKUP(B4477,'Babblefish-APUMA'!$A$1:$B$86,2)</f>
        <v>90</v>
      </c>
      <c r="F4477" s="0" t="n">
        <f aca="false">IF(C4477&gt;1,IF(C4477&lt;99,VLOOKUP(C4477,'Babblefish-APUMA'!$A$1:$B$86,2),C4477),C4477)</f>
        <v>89</v>
      </c>
    </row>
    <row r="4478" customFormat="false" ht="12.75" hidden="false" customHeight="false" outlineLevel="0" collapsed="false">
      <c r="A4478" s="0" t="n">
        <f aca="false">B4478*1000+C4478</f>
        <v>63080</v>
      </c>
      <c r="B4478" s="0" t="n">
        <v>63</v>
      </c>
      <c r="C4478" s="0" t="n">
        <v>80</v>
      </c>
      <c r="D4478" s="0" t="n">
        <v>0</v>
      </c>
      <c r="E4478" s="0" t="n">
        <f aca="false">VLOOKUP(B4478,'Babblefish-APUMA'!$A$1:$B$86,2)</f>
        <v>90</v>
      </c>
      <c r="F4478" s="0" t="n">
        <f aca="false">IF(C4478&gt;1,IF(C4478&lt;99,VLOOKUP(C4478,'Babblefish-APUMA'!$A$1:$B$86,2),C4478),C4478)</f>
        <v>80</v>
      </c>
    </row>
    <row r="4479" customFormat="false" ht="12.75" hidden="false" customHeight="false" outlineLevel="0" collapsed="false">
      <c r="A4479" s="0" t="n">
        <f aca="false">B4479*1000+C4479</f>
        <v>63081</v>
      </c>
      <c r="B4479" s="0" t="n">
        <v>63</v>
      </c>
      <c r="C4479" s="0" t="n">
        <v>81</v>
      </c>
      <c r="D4479" s="0" t="n">
        <v>0</v>
      </c>
      <c r="E4479" s="0" t="n">
        <f aca="false">VLOOKUP(B4479,'Babblefish-APUMA'!$A$1:$B$86,2)</f>
        <v>90</v>
      </c>
      <c r="F4479" s="0" t="n">
        <f aca="false">IF(C4479&gt;1,IF(C4479&lt;99,VLOOKUP(C4479,'Babblefish-APUMA'!$A$1:$B$86,2),C4479),C4479)</f>
        <v>93</v>
      </c>
    </row>
    <row r="4480" customFormat="false" ht="12.75" hidden="false" customHeight="false" outlineLevel="0" collapsed="false">
      <c r="A4480" s="0" t="n">
        <f aca="false">B4480*1000+C4480</f>
        <v>63082</v>
      </c>
      <c r="B4480" s="0" t="n">
        <v>63</v>
      </c>
      <c r="C4480" s="0" t="n">
        <v>82</v>
      </c>
      <c r="D4480" s="0" t="n">
        <v>0</v>
      </c>
      <c r="E4480" s="0" t="n">
        <f aca="false">VLOOKUP(B4480,'Babblefish-APUMA'!$A$1:$B$86,2)</f>
        <v>90</v>
      </c>
      <c r="F4480" s="0" t="n">
        <f aca="false">IF(C4480&gt;1,IF(C4480&lt;99,VLOOKUP(C4480,'Babblefish-APUMA'!$A$1:$B$86,2),C4480),C4480)</f>
        <v>95</v>
      </c>
    </row>
    <row r="4481" customFormat="false" ht="12.75" hidden="false" customHeight="false" outlineLevel="0" collapsed="false">
      <c r="A4481" s="0" t="n">
        <f aca="false">B4481*1000+C4481</f>
        <v>63083</v>
      </c>
      <c r="B4481" s="0" t="n">
        <v>63</v>
      </c>
      <c r="C4481" s="0" t="n">
        <v>83</v>
      </c>
      <c r="D4481" s="0" t="n">
        <v>104</v>
      </c>
      <c r="E4481" s="0" t="n">
        <f aca="false">VLOOKUP(B4481,'Babblefish-APUMA'!$A$1:$B$86,2)</f>
        <v>90</v>
      </c>
      <c r="F4481" s="0" t="n">
        <f aca="false">IF(C4481&gt;1,IF(C4481&lt;99,VLOOKUP(C4481,'Babblefish-APUMA'!$A$1:$B$86,2),C4481),C4481)</f>
        <v>103</v>
      </c>
    </row>
    <row r="4482" customFormat="false" ht="12.75" hidden="false" customHeight="false" outlineLevel="0" collapsed="false">
      <c r="A4482" s="0" t="n">
        <f aca="false">B4482*1000+C4482</f>
        <v>63084</v>
      </c>
      <c r="B4482" s="0" t="n">
        <v>63</v>
      </c>
      <c r="C4482" s="0" t="n">
        <v>84</v>
      </c>
      <c r="D4482" s="0" t="n">
        <v>52</v>
      </c>
      <c r="E4482" s="0" t="n">
        <f aca="false">VLOOKUP(B4482,'Babblefish-APUMA'!$A$1:$B$86,2)</f>
        <v>90</v>
      </c>
      <c r="F4482" s="0" t="n">
        <f aca="false">IF(C4482&gt;1,IF(C4482&lt;99,VLOOKUP(C4482,'Babblefish-APUMA'!$A$1:$B$86,2),C4482),C4482)</f>
        <v>92</v>
      </c>
    </row>
    <row r="4483" customFormat="false" ht="12.75" hidden="false" customHeight="false" outlineLevel="0" collapsed="false">
      <c r="A4483" s="0" t="n">
        <f aca="false">B4483*1000+C4483</f>
        <v>63085</v>
      </c>
      <c r="B4483" s="0" t="n">
        <v>63</v>
      </c>
      <c r="C4483" s="0" t="n">
        <v>85</v>
      </c>
      <c r="D4483" s="0" t="n">
        <v>0</v>
      </c>
      <c r="E4483" s="0" t="n">
        <f aca="false">VLOOKUP(B4483,'Babblefish-APUMA'!$A$1:$B$86,2)</f>
        <v>90</v>
      </c>
      <c r="F4483" s="0" t="n">
        <f aca="false">IF(C4483&gt;1,IF(C4483&lt;99,VLOOKUP(C4483,'Babblefish-APUMA'!$A$1:$B$86,2),C4483),C4483)</f>
        <v>97</v>
      </c>
    </row>
    <row r="4484" customFormat="false" ht="12.75" hidden="false" customHeight="false" outlineLevel="0" collapsed="false">
      <c r="A4484" s="0" t="n">
        <f aca="false">B4484*1000+C4484</f>
        <v>63858</v>
      </c>
      <c r="B4484" s="0" t="n">
        <v>63</v>
      </c>
      <c r="C4484" s="0" t="n">
        <v>858</v>
      </c>
      <c r="D4484" s="0" t="n">
        <v>0</v>
      </c>
      <c r="E4484" s="0" t="n">
        <f aca="false">VLOOKUP(B4484,'Babblefish-APUMA'!$A$1:$B$86,2)</f>
        <v>90</v>
      </c>
      <c r="F4484" s="0" t="n">
        <f aca="false">IF(C4484&gt;1,IF(C4484&lt;99,VLOOKUP(C4484,'Babblefish-APUMA'!$A$1:$B$86,2),C4484),C4484)</f>
        <v>858</v>
      </c>
    </row>
    <row r="4485" customFormat="false" ht="12.75" hidden="false" customHeight="false" outlineLevel="0" collapsed="false">
      <c r="A4485" s="0" t="n">
        <f aca="false">B4485*1000+C4485</f>
        <v>63983</v>
      </c>
      <c r="B4485" s="0" t="n">
        <v>63</v>
      </c>
      <c r="C4485" s="0" t="n">
        <v>983</v>
      </c>
      <c r="D4485" s="0" t="n">
        <v>0</v>
      </c>
      <c r="E4485" s="0" t="n">
        <f aca="false">VLOOKUP(B4485,'Babblefish-APUMA'!$A$1:$B$86,2)</f>
        <v>90</v>
      </c>
      <c r="F4485" s="0" t="n">
        <f aca="false">IF(C4485&gt;1,IF(C4485&lt;99,VLOOKUP(C4485,'Babblefish-APUMA'!$A$1:$B$86,2),C4485),C4485)</f>
        <v>983</v>
      </c>
    </row>
    <row r="4486" customFormat="false" ht="12.75" hidden="false" customHeight="false" outlineLevel="0" collapsed="false">
      <c r="A4486" s="0" t="n">
        <f aca="false">B4486*1000+C4486</f>
        <v>63999</v>
      </c>
      <c r="B4486" s="0" t="n">
        <v>63</v>
      </c>
      <c r="C4486" s="0" t="n">
        <v>999</v>
      </c>
      <c r="D4486" s="0" t="n">
        <v>78</v>
      </c>
      <c r="E4486" s="0" t="n">
        <f aca="false">VLOOKUP(B4486,'Babblefish-APUMA'!$A$1:$B$86,2)</f>
        <v>90</v>
      </c>
      <c r="F4486" s="0" t="n">
        <f aca="false">IF(C4486&gt;1,IF(C4486&lt;99,VLOOKUP(C4486,'Babblefish-APUMA'!$A$1:$B$86,2),C4486),C4486)</f>
        <v>999</v>
      </c>
    </row>
    <row r="4487" customFormat="false" ht="12.75" hidden="false" customHeight="false" outlineLevel="0" collapsed="false">
      <c r="A4487" s="0" t="n">
        <f aca="false">B4487*1000+C4487</f>
        <v>64000</v>
      </c>
      <c r="B4487" s="0" t="n">
        <v>64</v>
      </c>
      <c r="C4487" s="0" t="n">
        <v>0</v>
      </c>
      <c r="D4487" s="45" t="n">
        <v>1797110</v>
      </c>
      <c r="E4487" s="0" t="n">
        <f aca="false">VLOOKUP(B4487,'Babblefish-APUMA'!$A$1:$B$86,2)</f>
        <v>90</v>
      </c>
      <c r="F4487" s="0" t="n">
        <f aca="false">IF(C4487&gt;1,IF(C4487&lt;99,VLOOKUP(C4487,'Babblefish-APUMA'!$A$1:$B$86,2),C4487),C4487)</f>
        <v>0</v>
      </c>
    </row>
    <row r="4488" customFormat="false" ht="12.75" hidden="false" customHeight="false" outlineLevel="0" collapsed="false">
      <c r="A4488" s="0" t="n">
        <f aca="false">B4488*1000+C4488</f>
        <v>64001</v>
      </c>
      <c r="B4488" s="0" t="n">
        <v>64</v>
      </c>
      <c r="C4488" s="0" t="n">
        <v>1</v>
      </c>
      <c r="D4488" s="0" t="n">
        <v>1040</v>
      </c>
      <c r="E4488" s="0" t="n">
        <f aca="false">VLOOKUP(B4488,'Babblefish-APUMA'!$A$1:$B$86,2)</f>
        <v>90</v>
      </c>
      <c r="F4488" s="0" t="n">
        <f aca="false">IF(C4488&gt;1,IF(C4488&lt;99,VLOOKUP(C4488,'Babblefish-APUMA'!$A$1:$B$86,2),C4488),C4488)</f>
        <v>1</v>
      </c>
    </row>
    <row r="4489" customFormat="false" ht="12.75" hidden="false" customHeight="false" outlineLevel="0" collapsed="false">
      <c r="A4489" s="0" t="n">
        <f aca="false">B4489*1000+C4489</f>
        <v>64002</v>
      </c>
      <c r="B4489" s="0" t="n">
        <v>64</v>
      </c>
      <c r="C4489" s="0" t="n">
        <v>2</v>
      </c>
      <c r="D4489" s="0" t="n">
        <v>884</v>
      </c>
      <c r="E4489" s="0" t="n">
        <f aca="false">VLOOKUP(B4489,'Babblefish-APUMA'!$A$1:$B$86,2)</f>
        <v>90</v>
      </c>
      <c r="F4489" s="0" t="n">
        <f aca="false">IF(C4489&gt;1,IF(C4489&lt;99,VLOOKUP(C4489,'Babblefish-APUMA'!$A$1:$B$86,2),C4489),C4489)</f>
        <v>2</v>
      </c>
    </row>
    <row r="4490" customFormat="false" ht="12.75" hidden="false" customHeight="false" outlineLevel="0" collapsed="false">
      <c r="A4490" s="0" t="n">
        <f aca="false">B4490*1000+C4490</f>
        <v>64003</v>
      </c>
      <c r="B4490" s="0" t="n">
        <v>64</v>
      </c>
      <c r="C4490" s="0" t="n">
        <v>3</v>
      </c>
      <c r="D4490" s="0" t="n">
        <v>728</v>
      </c>
      <c r="E4490" s="0" t="n">
        <f aca="false">VLOOKUP(B4490,'Babblefish-APUMA'!$A$1:$B$86,2)</f>
        <v>90</v>
      </c>
      <c r="F4490" s="0" t="n">
        <f aca="false">IF(C4490&gt;1,IF(C4490&lt;99,VLOOKUP(C4490,'Babblefish-APUMA'!$A$1:$B$86,2),C4490),C4490)</f>
        <v>3</v>
      </c>
    </row>
    <row r="4491" customFormat="false" ht="12.75" hidden="false" customHeight="false" outlineLevel="0" collapsed="false">
      <c r="A4491" s="0" t="n">
        <f aca="false">B4491*1000+C4491</f>
        <v>64004</v>
      </c>
      <c r="B4491" s="0" t="n">
        <v>64</v>
      </c>
      <c r="C4491" s="0" t="n">
        <v>4</v>
      </c>
      <c r="D4491" s="0" t="n">
        <v>208</v>
      </c>
      <c r="E4491" s="0" t="n">
        <f aca="false">VLOOKUP(B4491,'Babblefish-APUMA'!$A$1:$B$86,2)</f>
        <v>90</v>
      </c>
      <c r="F4491" s="0" t="n">
        <f aca="false">IF(C4491&gt;1,IF(C4491&lt;99,VLOOKUP(C4491,'Babblefish-APUMA'!$A$1:$B$86,2),C4491),C4491)</f>
        <v>4</v>
      </c>
    </row>
    <row r="4492" customFormat="false" ht="12.75" hidden="false" customHeight="false" outlineLevel="0" collapsed="false">
      <c r="A4492" s="0" t="n">
        <f aca="false">B4492*1000+C4492</f>
        <v>64005</v>
      </c>
      <c r="B4492" s="0" t="n">
        <v>64</v>
      </c>
      <c r="C4492" s="0" t="n">
        <v>5</v>
      </c>
      <c r="D4492" s="0" t="n">
        <v>156</v>
      </c>
      <c r="E4492" s="0" t="n">
        <f aca="false">VLOOKUP(B4492,'Babblefish-APUMA'!$A$1:$B$86,2)</f>
        <v>90</v>
      </c>
      <c r="F4492" s="0" t="n">
        <f aca="false">IF(C4492&gt;1,IF(C4492&lt;99,VLOOKUP(C4492,'Babblefish-APUMA'!$A$1:$B$86,2),C4492),C4492)</f>
        <v>5</v>
      </c>
    </row>
    <row r="4493" customFormat="false" ht="12.75" hidden="false" customHeight="false" outlineLevel="0" collapsed="false">
      <c r="A4493" s="0" t="n">
        <f aca="false">B4493*1000+C4493</f>
        <v>64006</v>
      </c>
      <c r="B4493" s="0" t="n">
        <v>64</v>
      </c>
      <c r="C4493" s="0" t="n">
        <v>6</v>
      </c>
      <c r="D4493" s="0" t="n">
        <v>143</v>
      </c>
      <c r="E4493" s="0" t="n">
        <f aca="false">VLOOKUP(B4493,'Babblefish-APUMA'!$A$1:$B$86,2)</f>
        <v>90</v>
      </c>
      <c r="F4493" s="0" t="n">
        <f aca="false">IF(C4493&gt;1,IF(C4493&lt;99,VLOOKUP(C4493,'Babblefish-APUMA'!$A$1:$B$86,2),C4493),C4493)</f>
        <v>6</v>
      </c>
    </row>
    <row r="4494" customFormat="false" ht="12.75" hidden="false" customHeight="false" outlineLevel="0" collapsed="false">
      <c r="A4494" s="0" t="n">
        <f aca="false">B4494*1000+C4494</f>
        <v>64007</v>
      </c>
      <c r="B4494" s="0" t="n">
        <v>64</v>
      </c>
      <c r="C4494" s="0" t="n">
        <v>7</v>
      </c>
      <c r="D4494" s="0" t="n">
        <v>208</v>
      </c>
      <c r="E4494" s="0" t="n">
        <f aca="false">VLOOKUP(B4494,'Babblefish-APUMA'!$A$1:$B$86,2)</f>
        <v>90</v>
      </c>
      <c r="F4494" s="0" t="n">
        <f aca="false">IF(C4494&gt;1,IF(C4494&lt;99,VLOOKUP(C4494,'Babblefish-APUMA'!$A$1:$B$86,2),C4494),C4494)</f>
        <v>7</v>
      </c>
    </row>
    <row r="4495" customFormat="false" ht="12.75" hidden="false" customHeight="false" outlineLevel="0" collapsed="false">
      <c r="A4495" s="0" t="n">
        <f aca="false">B4495*1000+C4495</f>
        <v>64008</v>
      </c>
      <c r="B4495" s="0" t="n">
        <v>64</v>
      </c>
      <c r="C4495" s="0" t="n">
        <v>8</v>
      </c>
      <c r="D4495" s="0" t="n">
        <v>0</v>
      </c>
      <c r="E4495" s="0" t="n">
        <f aca="false">VLOOKUP(B4495,'Babblefish-APUMA'!$A$1:$B$86,2)</f>
        <v>90</v>
      </c>
      <c r="F4495" s="0" t="n">
        <f aca="false">IF(C4495&gt;1,IF(C4495&lt;99,VLOOKUP(C4495,'Babblefish-APUMA'!$A$1:$B$86,2),C4495),C4495)</f>
        <v>8</v>
      </c>
    </row>
    <row r="4496" customFormat="false" ht="12.75" hidden="false" customHeight="false" outlineLevel="0" collapsed="false">
      <c r="A4496" s="0" t="n">
        <f aca="false">B4496*1000+C4496</f>
        <v>64009</v>
      </c>
      <c r="B4496" s="0" t="n">
        <v>64</v>
      </c>
      <c r="C4496" s="0" t="n">
        <v>9</v>
      </c>
      <c r="D4496" s="0" t="n">
        <v>0</v>
      </c>
      <c r="E4496" s="0" t="n">
        <f aca="false">VLOOKUP(B4496,'Babblefish-APUMA'!$A$1:$B$86,2)</f>
        <v>90</v>
      </c>
      <c r="F4496" s="0" t="n">
        <f aca="false">IF(C4496&gt;1,IF(C4496&lt;99,VLOOKUP(C4496,'Babblefish-APUMA'!$A$1:$B$86,2),C4496),C4496)</f>
        <v>9</v>
      </c>
    </row>
    <row r="4497" customFormat="false" ht="12.75" hidden="false" customHeight="false" outlineLevel="0" collapsed="false">
      <c r="A4497" s="0" t="n">
        <f aca="false">B4497*1000+C4497</f>
        <v>64010</v>
      </c>
      <c r="B4497" s="0" t="n">
        <v>64</v>
      </c>
      <c r="C4497" s="0" t="n">
        <v>10</v>
      </c>
      <c r="D4497" s="0" t="n">
        <v>156</v>
      </c>
      <c r="E4497" s="0" t="n">
        <f aca="false">VLOOKUP(B4497,'Babblefish-APUMA'!$A$1:$B$86,2)</f>
        <v>90</v>
      </c>
      <c r="F4497" s="0" t="n">
        <f aca="false">IF(C4497&gt;1,IF(C4497&lt;99,VLOOKUP(C4497,'Babblefish-APUMA'!$A$1:$B$86,2),C4497),C4497)</f>
        <v>10</v>
      </c>
    </row>
    <row r="4498" customFormat="false" ht="12.75" hidden="false" customHeight="false" outlineLevel="0" collapsed="false">
      <c r="A4498" s="0" t="n">
        <f aca="false">B4498*1000+C4498</f>
        <v>64011</v>
      </c>
      <c r="B4498" s="0" t="n">
        <v>64</v>
      </c>
      <c r="C4498" s="0" t="n">
        <v>11</v>
      </c>
      <c r="D4498" s="0" t="n">
        <v>286</v>
      </c>
      <c r="E4498" s="0" t="n">
        <f aca="false">VLOOKUP(B4498,'Babblefish-APUMA'!$A$1:$B$86,2)</f>
        <v>90</v>
      </c>
      <c r="F4498" s="0" t="n">
        <f aca="false">IF(C4498&gt;1,IF(C4498&lt;99,VLOOKUP(C4498,'Babblefish-APUMA'!$A$1:$B$86,2),C4498),C4498)</f>
        <v>11</v>
      </c>
    </row>
    <row r="4499" customFormat="false" ht="12.75" hidden="false" customHeight="false" outlineLevel="0" collapsed="false">
      <c r="A4499" s="0" t="n">
        <f aca="false">B4499*1000+C4499</f>
        <v>64012</v>
      </c>
      <c r="B4499" s="0" t="n">
        <v>64</v>
      </c>
      <c r="C4499" s="0" t="n">
        <v>12</v>
      </c>
      <c r="D4499" s="0" t="n">
        <v>91</v>
      </c>
      <c r="E4499" s="0" t="n">
        <f aca="false">VLOOKUP(B4499,'Babblefish-APUMA'!$A$1:$B$86,2)</f>
        <v>90</v>
      </c>
      <c r="F4499" s="0" t="n">
        <f aca="false">IF(C4499&gt;1,IF(C4499&lt;99,VLOOKUP(C4499,'Babblefish-APUMA'!$A$1:$B$86,2),C4499),C4499)</f>
        <v>12</v>
      </c>
    </row>
    <row r="4500" customFormat="false" ht="12.75" hidden="false" customHeight="false" outlineLevel="0" collapsed="false">
      <c r="A4500" s="0" t="n">
        <f aca="false">B4500*1000+C4500</f>
        <v>64013</v>
      </c>
      <c r="B4500" s="0" t="n">
        <v>64</v>
      </c>
      <c r="C4500" s="0" t="n">
        <v>13</v>
      </c>
      <c r="D4500" s="0" t="n">
        <v>0</v>
      </c>
      <c r="E4500" s="0" t="n">
        <f aca="false">VLOOKUP(B4500,'Babblefish-APUMA'!$A$1:$B$86,2)</f>
        <v>90</v>
      </c>
      <c r="F4500" s="0" t="n">
        <f aca="false">IF(C4500&gt;1,IF(C4500&lt;99,VLOOKUP(C4500,'Babblefish-APUMA'!$A$1:$B$86,2),C4500),C4500)</f>
        <v>100</v>
      </c>
    </row>
    <row r="4501" customFormat="false" ht="12.75" hidden="false" customHeight="false" outlineLevel="0" collapsed="false">
      <c r="A4501" s="0" t="n">
        <f aca="false">B4501*1000+C4501</f>
        <v>64014</v>
      </c>
      <c r="B4501" s="0" t="n">
        <v>64</v>
      </c>
      <c r="C4501" s="0" t="n">
        <v>14</v>
      </c>
      <c r="D4501" s="0" t="n">
        <v>0</v>
      </c>
      <c r="E4501" s="0" t="n">
        <f aca="false">VLOOKUP(B4501,'Babblefish-APUMA'!$A$1:$B$86,2)</f>
        <v>90</v>
      </c>
      <c r="F4501" s="0" t="n">
        <f aca="false">IF(C4501&gt;1,IF(C4501&lt;99,VLOOKUP(C4501,'Babblefish-APUMA'!$A$1:$B$86,2),C4501),C4501)</f>
        <v>100</v>
      </c>
    </row>
    <row r="4502" customFormat="false" ht="12.75" hidden="false" customHeight="false" outlineLevel="0" collapsed="false">
      <c r="A4502" s="0" t="n">
        <f aca="false">B4502*1000+C4502</f>
        <v>64015</v>
      </c>
      <c r="B4502" s="0" t="n">
        <v>64</v>
      </c>
      <c r="C4502" s="0" t="n">
        <v>15</v>
      </c>
      <c r="D4502" s="0" t="n">
        <v>65</v>
      </c>
      <c r="E4502" s="0" t="n">
        <f aca="false">VLOOKUP(B4502,'Babblefish-APUMA'!$A$1:$B$86,2)</f>
        <v>90</v>
      </c>
      <c r="F4502" s="0" t="n">
        <f aca="false">IF(C4502&gt;1,IF(C4502&lt;99,VLOOKUP(C4502,'Babblefish-APUMA'!$A$1:$B$86,2),C4502),C4502)</f>
        <v>15</v>
      </c>
    </row>
    <row r="4503" customFormat="false" ht="12.75" hidden="false" customHeight="false" outlineLevel="0" collapsed="false">
      <c r="A4503" s="0" t="n">
        <f aca="false">B4503*1000+C4503</f>
        <v>64016</v>
      </c>
      <c r="B4503" s="0" t="n">
        <v>64</v>
      </c>
      <c r="C4503" s="0" t="n">
        <v>16</v>
      </c>
      <c r="D4503" s="0" t="n">
        <v>143</v>
      </c>
      <c r="E4503" s="0" t="n">
        <f aca="false">VLOOKUP(B4503,'Babblefish-APUMA'!$A$1:$B$86,2)</f>
        <v>90</v>
      </c>
      <c r="F4503" s="0" t="n">
        <f aca="false">IF(C4503&gt;1,IF(C4503&lt;99,VLOOKUP(C4503,'Babblefish-APUMA'!$A$1:$B$86,2),C4503),C4503)</f>
        <v>99</v>
      </c>
    </row>
    <row r="4504" customFormat="false" ht="12.75" hidden="false" customHeight="false" outlineLevel="0" collapsed="false">
      <c r="A4504" s="0" t="n">
        <f aca="false">B4504*1000+C4504</f>
        <v>64017</v>
      </c>
      <c r="B4504" s="0" t="n">
        <v>64</v>
      </c>
      <c r="C4504" s="0" t="n">
        <v>17</v>
      </c>
      <c r="D4504" s="0" t="n">
        <v>130</v>
      </c>
      <c r="E4504" s="0" t="n">
        <f aca="false">VLOOKUP(B4504,'Babblefish-APUMA'!$A$1:$B$86,2)</f>
        <v>90</v>
      </c>
      <c r="F4504" s="0" t="n">
        <f aca="false">IF(C4504&gt;1,IF(C4504&lt;99,VLOOKUP(C4504,'Babblefish-APUMA'!$A$1:$B$86,2),C4504),C4504)</f>
        <v>87</v>
      </c>
    </row>
    <row r="4505" customFormat="false" ht="12.75" hidden="false" customHeight="false" outlineLevel="0" collapsed="false">
      <c r="A4505" s="0" t="n">
        <f aca="false">B4505*1000+C4505</f>
        <v>64018</v>
      </c>
      <c r="B4505" s="0" t="n">
        <v>64</v>
      </c>
      <c r="C4505" s="0" t="n">
        <v>18</v>
      </c>
      <c r="D4505" s="0" t="n">
        <v>351</v>
      </c>
      <c r="E4505" s="0" t="n">
        <f aca="false">VLOOKUP(B4505,'Babblefish-APUMA'!$A$1:$B$86,2)</f>
        <v>90</v>
      </c>
      <c r="F4505" s="0" t="n">
        <f aca="false">IF(C4505&gt;1,IF(C4505&lt;99,VLOOKUP(C4505,'Babblefish-APUMA'!$A$1:$B$86,2),C4505),C4505)</f>
        <v>87</v>
      </c>
    </row>
    <row r="4506" customFormat="false" ht="12.75" hidden="false" customHeight="false" outlineLevel="0" collapsed="false">
      <c r="A4506" s="0" t="n">
        <f aca="false">B4506*1000+C4506</f>
        <v>64019</v>
      </c>
      <c r="B4506" s="0" t="n">
        <v>64</v>
      </c>
      <c r="C4506" s="0" t="n">
        <v>19</v>
      </c>
      <c r="D4506" s="0" t="n">
        <v>442</v>
      </c>
      <c r="E4506" s="0" t="n">
        <f aca="false">VLOOKUP(B4506,'Babblefish-APUMA'!$A$1:$B$86,2)</f>
        <v>90</v>
      </c>
      <c r="F4506" s="0" t="n">
        <f aca="false">IF(C4506&gt;1,IF(C4506&lt;99,VLOOKUP(C4506,'Babblefish-APUMA'!$A$1:$B$86,2),C4506),C4506)</f>
        <v>19</v>
      </c>
    </row>
    <row r="4507" customFormat="false" ht="12.75" hidden="false" customHeight="false" outlineLevel="0" collapsed="false">
      <c r="A4507" s="0" t="n">
        <f aca="false">B4507*1000+C4507</f>
        <v>64020</v>
      </c>
      <c r="B4507" s="0" t="n">
        <v>64</v>
      </c>
      <c r="C4507" s="0" t="n">
        <v>20</v>
      </c>
      <c r="D4507" s="0" t="n">
        <v>0</v>
      </c>
      <c r="E4507" s="0" t="n">
        <f aca="false">VLOOKUP(B4507,'Babblefish-APUMA'!$A$1:$B$86,2)</f>
        <v>90</v>
      </c>
      <c r="F4507" s="0" t="n">
        <f aca="false">IF(C4507&gt;1,IF(C4507&lt;99,VLOOKUP(C4507,'Babblefish-APUMA'!$A$1:$B$86,2),C4507),C4507)</f>
        <v>86</v>
      </c>
    </row>
    <row r="4508" customFormat="false" ht="12.75" hidden="false" customHeight="false" outlineLevel="0" collapsed="false">
      <c r="A4508" s="0" t="n">
        <f aca="false">B4508*1000+C4508</f>
        <v>64021</v>
      </c>
      <c r="B4508" s="0" t="n">
        <v>64</v>
      </c>
      <c r="C4508" s="0" t="n">
        <v>21</v>
      </c>
      <c r="D4508" s="0" t="n">
        <v>585</v>
      </c>
      <c r="E4508" s="0" t="n">
        <f aca="false">VLOOKUP(B4508,'Babblefish-APUMA'!$A$1:$B$86,2)</f>
        <v>90</v>
      </c>
      <c r="F4508" s="0" t="n">
        <f aca="false">IF(C4508&gt;1,IF(C4508&lt;99,VLOOKUP(C4508,'Babblefish-APUMA'!$A$1:$B$86,2),C4508),C4508)</f>
        <v>86</v>
      </c>
    </row>
    <row r="4509" customFormat="false" ht="12.75" hidden="false" customHeight="false" outlineLevel="0" collapsed="false">
      <c r="A4509" s="0" t="n">
        <f aca="false">B4509*1000+C4509</f>
        <v>64022</v>
      </c>
      <c r="B4509" s="0" t="n">
        <v>64</v>
      </c>
      <c r="C4509" s="0" t="n">
        <v>22</v>
      </c>
      <c r="D4509" s="0" t="n">
        <v>286</v>
      </c>
      <c r="E4509" s="0" t="n">
        <f aca="false">VLOOKUP(B4509,'Babblefish-APUMA'!$A$1:$B$86,2)</f>
        <v>90</v>
      </c>
      <c r="F4509" s="0" t="n">
        <f aca="false">IF(C4509&gt;1,IF(C4509&lt;99,VLOOKUP(C4509,'Babblefish-APUMA'!$A$1:$B$86,2),C4509),C4509)</f>
        <v>22</v>
      </c>
    </row>
    <row r="4510" customFormat="false" ht="12.75" hidden="false" customHeight="false" outlineLevel="0" collapsed="false">
      <c r="A4510" s="0" t="n">
        <f aca="false">B4510*1000+C4510</f>
        <v>64023</v>
      </c>
      <c r="B4510" s="0" t="n">
        <v>64</v>
      </c>
      <c r="C4510" s="0" t="n">
        <v>23</v>
      </c>
      <c r="D4510" s="0" t="n">
        <v>156</v>
      </c>
      <c r="E4510" s="0" t="n">
        <f aca="false">VLOOKUP(B4510,'Babblefish-APUMA'!$A$1:$B$86,2)</f>
        <v>90</v>
      </c>
      <c r="F4510" s="0" t="n">
        <f aca="false">IF(C4510&gt;1,IF(C4510&lt;99,VLOOKUP(C4510,'Babblefish-APUMA'!$A$1:$B$86,2),C4510),C4510)</f>
        <v>97</v>
      </c>
    </row>
    <row r="4511" customFormat="false" ht="12.75" hidden="false" customHeight="false" outlineLevel="0" collapsed="false">
      <c r="A4511" s="0" t="n">
        <f aca="false">B4511*1000+C4511</f>
        <v>64024</v>
      </c>
      <c r="B4511" s="0" t="n">
        <v>64</v>
      </c>
      <c r="C4511" s="0" t="n">
        <v>24</v>
      </c>
      <c r="D4511" s="0" t="n">
        <v>0</v>
      </c>
      <c r="E4511" s="0" t="n">
        <f aca="false">VLOOKUP(B4511,'Babblefish-APUMA'!$A$1:$B$86,2)</f>
        <v>90</v>
      </c>
      <c r="F4511" s="0" t="n">
        <f aca="false">IF(C4511&gt;1,IF(C4511&lt;99,VLOOKUP(C4511,'Babblefish-APUMA'!$A$1:$B$86,2),C4511),C4511)</f>
        <v>101</v>
      </c>
    </row>
    <row r="4512" customFormat="false" ht="12.75" hidden="false" customHeight="false" outlineLevel="0" collapsed="false">
      <c r="A4512" s="0" t="n">
        <f aca="false">B4512*1000+C4512</f>
        <v>64025</v>
      </c>
      <c r="B4512" s="0" t="n">
        <v>64</v>
      </c>
      <c r="C4512" s="0" t="n">
        <v>25</v>
      </c>
      <c r="D4512" s="0" t="n">
        <v>78</v>
      </c>
      <c r="E4512" s="0" t="n">
        <f aca="false">VLOOKUP(B4512,'Babblefish-APUMA'!$A$1:$B$86,2)</f>
        <v>90</v>
      </c>
      <c r="F4512" s="0" t="n">
        <f aca="false">IF(C4512&gt;1,IF(C4512&lt;99,VLOOKUP(C4512,'Babblefish-APUMA'!$A$1:$B$86,2),C4512),C4512)</f>
        <v>101</v>
      </c>
    </row>
    <row r="4513" customFormat="false" ht="12.75" hidden="false" customHeight="false" outlineLevel="0" collapsed="false">
      <c r="A4513" s="0" t="n">
        <f aca="false">B4513*1000+C4513</f>
        <v>64026</v>
      </c>
      <c r="B4513" s="0" t="n">
        <v>64</v>
      </c>
      <c r="C4513" s="0" t="n">
        <v>26</v>
      </c>
      <c r="D4513" s="0" t="n">
        <v>182</v>
      </c>
      <c r="E4513" s="0" t="n">
        <f aca="false">VLOOKUP(B4513,'Babblefish-APUMA'!$A$1:$B$86,2)</f>
        <v>90</v>
      </c>
      <c r="F4513" s="0" t="n">
        <f aca="false">IF(C4513&gt;1,IF(C4513&lt;99,VLOOKUP(C4513,'Babblefish-APUMA'!$A$1:$B$86,2),C4513),C4513)</f>
        <v>26</v>
      </c>
    </row>
    <row r="4514" customFormat="false" ht="12.75" hidden="false" customHeight="false" outlineLevel="0" collapsed="false">
      <c r="A4514" s="0" t="n">
        <f aca="false">B4514*1000+C4514</f>
        <v>64027</v>
      </c>
      <c r="B4514" s="0" t="n">
        <v>64</v>
      </c>
      <c r="C4514" s="0" t="n">
        <v>27</v>
      </c>
      <c r="D4514" s="0" t="n">
        <v>91</v>
      </c>
      <c r="E4514" s="0" t="n">
        <f aca="false">VLOOKUP(B4514,'Babblefish-APUMA'!$A$1:$B$86,2)</f>
        <v>90</v>
      </c>
      <c r="F4514" s="0" t="n">
        <f aca="false">IF(C4514&gt;1,IF(C4514&lt;99,VLOOKUP(C4514,'Babblefish-APUMA'!$A$1:$B$86,2),C4514),C4514)</f>
        <v>27</v>
      </c>
    </row>
    <row r="4515" customFormat="false" ht="12.75" hidden="false" customHeight="false" outlineLevel="0" collapsed="false">
      <c r="A4515" s="0" t="n">
        <f aca="false">B4515*1000+C4515</f>
        <v>64028</v>
      </c>
      <c r="B4515" s="0" t="n">
        <v>64</v>
      </c>
      <c r="C4515" s="0" t="n">
        <v>28</v>
      </c>
      <c r="D4515" s="0" t="n">
        <v>65</v>
      </c>
      <c r="E4515" s="0" t="n">
        <f aca="false">VLOOKUP(B4515,'Babblefish-APUMA'!$A$1:$B$86,2)</f>
        <v>90</v>
      </c>
      <c r="F4515" s="0" t="n">
        <f aca="false">IF(C4515&gt;1,IF(C4515&lt;99,VLOOKUP(C4515,'Babblefish-APUMA'!$A$1:$B$86,2),C4515),C4515)</f>
        <v>94</v>
      </c>
    </row>
    <row r="4516" customFormat="false" ht="12.75" hidden="false" customHeight="false" outlineLevel="0" collapsed="false">
      <c r="A4516" s="0" t="n">
        <f aca="false">B4516*1000+C4516</f>
        <v>64029</v>
      </c>
      <c r="B4516" s="0" t="n">
        <v>64</v>
      </c>
      <c r="C4516" s="0" t="n">
        <v>29</v>
      </c>
      <c r="D4516" s="0" t="n">
        <v>299</v>
      </c>
      <c r="E4516" s="0" t="n">
        <f aca="false">VLOOKUP(B4516,'Babblefish-APUMA'!$A$1:$B$86,2)</f>
        <v>90</v>
      </c>
      <c r="F4516" s="0" t="n">
        <f aca="false">IF(C4516&gt;1,IF(C4516&lt;99,VLOOKUP(C4516,'Babblefish-APUMA'!$A$1:$B$86,2),C4516),C4516)</f>
        <v>94</v>
      </c>
    </row>
    <row r="4517" customFormat="false" ht="12.75" hidden="false" customHeight="false" outlineLevel="0" collapsed="false">
      <c r="A4517" s="0" t="n">
        <f aca="false">B4517*1000+C4517</f>
        <v>64030</v>
      </c>
      <c r="B4517" s="0" t="n">
        <v>64</v>
      </c>
      <c r="C4517" s="0" t="n">
        <v>30</v>
      </c>
      <c r="D4517" s="0" t="n">
        <v>0</v>
      </c>
      <c r="E4517" s="0" t="n">
        <f aca="false">VLOOKUP(B4517,'Babblefish-APUMA'!$A$1:$B$86,2)</f>
        <v>90</v>
      </c>
      <c r="F4517" s="0" t="n">
        <f aca="false">IF(C4517&gt;1,IF(C4517&lt;99,VLOOKUP(C4517,'Babblefish-APUMA'!$A$1:$B$86,2),C4517),C4517)</f>
        <v>30</v>
      </c>
    </row>
    <row r="4518" customFormat="false" ht="12.75" hidden="false" customHeight="false" outlineLevel="0" collapsed="false">
      <c r="A4518" s="0" t="n">
        <f aca="false">B4518*1000+C4518</f>
        <v>64031</v>
      </c>
      <c r="B4518" s="0" t="n">
        <v>64</v>
      </c>
      <c r="C4518" s="0" t="n">
        <v>31</v>
      </c>
      <c r="D4518" s="0" t="n">
        <v>624</v>
      </c>
      <c r="E4518" s="0" t="n">
        <f aca="false">VLOOKUP(B4518,'Babblefish-APUMA'!$A$1:$B$86,2)</f>
        <v>90</v>
      </c>
      <c r="F4518" s="0" t="n">
        <f aca="false">IF(C4518&gt;1,IF(C4518&lt;99,VLOOKUP(C4518,'Babblefish-APUMA'!$A$1:$B$86,2),C4518),C4518)</f>
        <v>31</v>
      </c>
    </row>
    <row r="4519" customFormat="false" ht="12.75" hidden="false" customHeight="false" outlineLevel="0" collapsed="false">
      <c r="A4519" s="0" t="n">
        <f aca="false">B4519*1000+C4519</f>
        <v>64032</v>
      </c>
      <c r="B4519" s="0" t="n">
        <v>64</v>
      </c>
      <c r="C4519" s="0" t="n">
        <v>32</v>
      </c>
      <c r="D4519" s="0" t="n">
        <v>299</v>
      </c>
      <c r="E4519" s="0" t="n">
        <f aca="false">VLOOKUP(B4519,'Babblefish-APUMA'!$A$1:$B$86,2)</f>
        <v>90</v>
      </c>
      <c r="F4519" s="0" t="n">
        <f aca="false">IF(C4519&gt;1,IF(C4519&lt;99,VLOOKUP(C4519,'Babblefish-APUMA'!$A$1:$B$86,2),C4519),C4519)</f>
        <v>32</v>
      </c>
    </row>
    <row r="4520" customFormat="false" ht="12.75" hidden="false" customHeight="false" outlineLevel="0" collapsed="false">
      <c r="A4520" s="0" t="n">
        <f aca="false">B4520*1000+C4520</f>
        <v>64033</v>
      </c>
      <c r="B4520" s="0" t="n">
        <v>64</v>
      </c>
      <c r="C4520" s="0" t="n">
        <v>33</v>
      </c>
      <c r="D4520" s="0" t="n">
        <v>689</v>
      </c>
      <c r="E4520" s="0" t="n">
        <f aca="false">VLOOKUP(B4520,'Babblefish-APUMA'!$A$1:$B$86,2)</f>
        <v>90</v>
      </c>
      <c r="F4520" s="0" t="n">
        <f aca="false">IF(C4520&gt;1,IF(C4520&lt;99,VLOOKUP(C4520,'Babblefish-APUMA'!$A$1:$B$86,2),C4520),C4520)</f>
        <v>96</v>
      </c>
    </row>
    <row r="4521" customFormat="false" ht="12.75" hidden="false" customHeight="false" outlineLevel="0" collapsed="false">
      <c r="A4521" s="0" t="n">
        <f aca="false">B4521*1000+C4521</f>
        <v>64034</v>
      </c>
      <c r="B4521" s="0" t="n">
        <v>64</v>
      </c>
      <c r="C4521" s="0" t="n">
        <v>34</v>
      </c>
      <c r="D4521" s="0" t="n">
        <v>0</v>
      </c>
      <c r="E4521" s="0" t="n">
        <f aca="false">VLOOKUP(B4521,'Babblefish-APUMA'!$A$1:$B$86,2)</f>
        <v>90</v>
      </c>
      <c r="F4521" s="0" t="n">
        <f aca="false">IF(C4521&gt;1,IF(C4521&lt;99,VLOOKUP(C4521,'Babblefish-APUMA'!$A$1:$B$86,2),C4521),C4521)</f>
        <v>96</v>
      </c>
    </row>
    <row r="4522" customFormat="false" ht="12.75" hidden="false" customHeight="false" outlineLevel="0" collapsed="false">
      <c r="A4522" s="0" t="n">
        <f aca="false">B4522*1000+C4522</f>
        <v>64035</v>
      </c>
      <c r="B4522" s="0" t="n">
        <v>64</v>
      </c>
      <c r="C4522" s="0" t="n">
        <v>35</v>
      </c>
      <c r="D4522" s="0" t="n">
        <v>52</v>
      </c>
      <c r="E4522" s="0" t="n">
        <f aca="false">VLOOKUP(B4522,'Babblefish-APUMA'!$A$1:$B$86,2)</f>
        <v>90</v>
      </c>
      <c r="F4522" s="0" t="n">
        <f aca="false">IF(C4522&gt;1,IF(C4522&lt;99,VLOOKUP(C4522,'Babblefish-APUMA'!$A$1:$B$86,2),C4522),C4522)</f>
        <v>96</v>
      </c>
    </row>
    <row r="4523" customFormat="false" ht="12.75" hidden="false" customHeight="false" outlineLevel="0" collapsed="false">
      <c r="A4523" s="0" t="n">
        <f aca="false">B4523*1000+C4523</f>
        <v>64036</v>
      </c>
      <c r="B4523" s="0" t="n">
        <v>64</v>
      </c>
      <c r="C4523" s="0" t="n">
        <v>36</v>
      </c>
      <c r="D4523" s="0" t="n">
        <v>0</v>
      </c>
      <c r="E4523" s="0" t="n">
        <f aca="false">VLOOKUP(B4523,'Babblefish-APUMA'!$A$1:$B$86,2)</f>
        <v>90</v>
      </c>
      <c r="F4523" s="0" t="n">
        <f aca="false">IF(C4523&gt;1,IF(C4523&lt;99,VLOOKUP(C4523,'Babblefish-APUMA'!$A$1:$B$86,2),C4523),C4523)</f>
        <v>96</v>
      </c>
    </row>
    <row r="4524" customFormat="false" ht="12.75" hidden="false" customHeight="false" outlineLevel="0" collapsed="false">
      <c r="A4524" s="0" t="n">
        <f aca="false">B4524*1000+C4524</f>
        <v>64037</v>
      </c>
      <c r="B4524" s="0" t="n">
        <v>64</v>
      </c>
      <c r="C4524" s="0" t="n">
        <v>37</v>
      </c>
      <c r="D4524" s="0" t="n">
        <v>273</v>
      </c>
      <c r="E4524" s="0" t="n">
        <f aca="false">VLOOKUP(B4524,'Babblefish-APUMA'!$A$1:$B$86,2)</f>
        <v>90</v>
      </c>
      <c r="F4524" s="0" t="n">
        <f aca="false">IF(C4524&gt;1,IF(C4524&lt;99,VLOOKUP(C4524,'Babblefish-APUMA'!$A$1:$B$86,2),C4524),C4524)</f>
        <v>96</v>
      </c>
    </row>
    <row r="4525" customFormat="false" ht="12.75" hidden="false" customHeight="false" outlineLevel="0" collapsed="false">
      <c r="A4525" s="0" t="n">
        <f aca="false">B4525*1000+C4525</f>
        <v>64038</v>
      </c>
      <c r="B4525" s="0" t="n">
        <v>64</v>
      </c>
      <c r="C4525" s="0" t="n">
        <v>38</v>
      </c>
      <c r="D4525" s="0" t="n">
        <v>0</v>
      </c>
      <c r="E4525" s="0" t="n">
        <f aca="false">VLOOKUP(B4525,'Babblefish-APUMA'!$A$1:$B$86,2)</f>
        <v>90</v>
      </c>
      <c r="F4525" s="0" t="n">
        <f aca="false">IF(C4525&gt;1,IF(C4525&lt;99,VLOOKUP(C4525,'Babblefish-APUMA'!$A$1:$B$86,2),C4525),C4525)</f>
        <v>91</v>
      </c>
    </row>
    <row r="4526" customFormat="false" ht="12.75" hidden="false" customHeight="false" outlineLevel="0" collapsed="false">
      <c r="A4526" s="0" t="n">
        <f aca="false">B4526*1000+C4526</f>
        <v>64039</v>
      </c>
      <c r="B4526" s="0" t="n">
        <v>64</v>
      </c>
      <c r="C4526" s="0" t="n">
        <v>39</v>
      </c>
      <c r="D4526" s="0" t="n">
        <v>117</v>
      </c>
      <c r="E4526" s="0" t="n">
        <f aca="false">VLOOKUP(B4526,'Babblefish-APUMA'!$A$1:$B$86,2)</f>
        <v>90</v>
      </c>
      <c r="F4526" s="0" t="n">
        <f aca="false">IF(C4526&gt;1,IF(C4526&lt;99,VLOOKUP(C4526,'Babblefish-APUMA'!$A$1:$B$86,2),C4526),C4526)</f>
        <v>91</v>
      </c>
    </row>
    <row r="4527" customFormat="false" ht="12.75" hidden="false" customHeight="false" outlineLevel="0" collapsed="false">
      <c r="A4527" s="0" t="n">
        <f aca="false">B4527*1000+C4527</f>
        <v>64040</v>
      </c>
      <c r="B4527" s="0" t="n">
        <v>64</v>
      </c>
      <c r="C4527" s="0" t="n">
        <v>40</v>
      </c>
      <c r="D4527" s="0" t="n">
        <v>221</v>
      </c>
      <c r="E4527" s="0" t="n">
        <f aca="false">VLOOKUP(B4527,'Babblefish-APUMA'!$A$1:$B$86,2)</f>
        <v>90</v>
      </c>
      <c r="F4527" s="0" t="n">
        <f aca="false">IF(C4527&gt;1,IF(C4527&lt;99,VLOOKUP(C4527,'Babblefish-APUMA'!$A$1:$B$86,2),C4527),C4527)</f>
        <v>88</v>
      </c>
    </row>
    <row r="4528" customFormat="false" ht="12.75" hidden="false" customHeight="false" outlineLevel="0" collapsed="false">
      <c r="A4528" s="0" t="n">
        <f aca="false">B4528*1000+C4528</f>
        <v>64041</v>
      </c>
      <c r="B4528" s="0" t="n">
        <v>64</v>
      </c>
      <c r="C4528" s="0" t="n">
        <v>41</v>
      </c>
      <c r="D4528" s="0" t="n">
        <v>65</v>
      </c>
      <c r="E4528" s="0" t="n">
        <f aca="false">VLOOKUP(B4528,'Babblefish-APUMA'!$A$1:$B$86,2)</f>
        <v>90</v>
      </c>
      <c r="F4528" s="0" t="n">
        <f aca="false">IF(C4528&gt;1,IF(C4528&lt;99,VLOOKUP(C4528,'Babblefish-APUMA'!$A$1:$B$86,2),C4528),C4528)</f>
        <v>88</v>
      </c>
    </row>
    <row r="4529" customFormat="false" ht="12.75" hidden="false" customHeight="false" outlineLevel="0" collapsed="false">
      <c r="A4529" s="0" t="n">
        <f aca="false">B4529*1000+C4529</f>
        <v>64042</v>
      </c>
      <c r="B4529" s="0" t="n">
        <v>64</v>
      </c>
      <c r="C4529" s="0" t="n">
        <v>42</v>
      </c>
      <c r="D4529" s="0" t="n">
        <v>4524</v>
      </c>
      <c r="E4529" s="0" t="n">
        <f aca="false">VLOOKUP(B4529,'Babblefish-APUMA'!$A$1:$B$86,2)</f>
        <v>90</v>
      </c>
      <c r="F4529" s="0" t="n">
        <f aca="false">IF(C4529&gt;1,IF(C4529&lt;99,VLOOKUP(C4529,'Babblefish-APUMA'!$A$1:$B$86,2),C4529),C4529)</f>
        <v>92</v>
      </c>
    </row>
    <row r="4530" customFormat="false" ht="12.75" hidden="false" customHeight="false" outlineLevel="0" collapsed="false">
      <c r="A4530" s="0" t="n">
        <f aca="false">B4530*1000+C4530</f>
        <v>64043</v>
      </c>
      <c r="B4530" s="0" t="n">
        <v>64</v>
      </c>
      <c r="C4530" s="0" t="n">
        <v>43</v>
      </c>
      <c r="D4530" s="0" t="n">
        <v>1118</v>
      </c>
      <c r="E4530" s="0" t="n">
        <f aca="false">VLOOKUP(B4530,'Babblefish-APUMA'!$A$1:$B$86,2)</f>
        <v>90</v>
      </c>
      <c r="F4530" s="0" t="n">
        <f aca="false">IF(C4530&gt;1,IF(C4530&lt;99,VLOOKUP(C4530,'Babblefish-APUMA'!$A$1:$B$86,2),C4530),C4530)</f>
        <v>92</v>
      </c>
    </row>
    <row r="4531" customFormat="false" ht="12.75" hidden="false" customHeight="false" outlineLevel="0" collapsed="false">
      <c r="A4531" s="0" t="n">
        <f aca="false">B4531*1000+C4531</f>
        <v>64044</v>
      </c>
      <c r="B4531" s="0" t="n">
        <v>64</v>
      </c>
      <c r="C4531" s="0" t="n">
        <v>44</v>
      </c>
      <c r="D4531" s="0" t="n">
        <v>429</v>
      </c>
      <c r="E4531" s="0" t="n">
        <f aca="false">VLOOKUP(B4531,'Babblefish-APUMA'!$A$1:$B$86,2)</f>
        <v>90</v>
      </c>
      <c r="F4531" s="0" t="n">
        <f aca="false">IF(C4531&gt;1,IF(C4531&lt;99,VLOOKUP(C4531,'Babblefish-APUMA'!$A$1:$B$86,2),C4531),C4531)</f>
        <v>92</v>
      </c>
    </row>
    <row r="4532" customFormat="false" ht="12.75" hidden="false" customHeight="false" outlineLevel="0" collapsed="false">
      <c r="A4532" s="0" t="n">
        <f aca="false">B4532*1000+C4532</f>
        <v>64045</v>
      </c>
      <c r="B4532" s="0" t="n">
        <v>64</v>
      </c>
      <c r="C4532" s="0" t="n">
        <v>45</v>
      </c>
      <c r="D4532" s="0" t="n">
        <v>91</v>
      </c>
      <c r="E4532" s="0" t="n">
        <f aca="false">VLOOKUP(B4532,'Babblefish-APUMA'!$A$1:$B$86,2)</f>
        <v>90</v>
      </c>
      <c r="F4532" s="0" t="n">
        <f aca="false">IF(C4532&gt;1,IF(C4532&lt;99,VLOOKUP(C4532,'Babblefish-APUMA'!$A$1:$B$86,2),C4532),C4532)</f>
        <v>92</v>
      </c>
    </row>
    <row r="4533" customFormat="false" ht="12.75" hidden="false" customHeight="false" outlineLevel="0" collapsed="false">
      <c r="A4533" s="0" t="n">
        <f aca="false">B4533*1000+C4533</f>
        <v>64046</v>
      </c>
      <c r="B4533" s="0" t="n">
        <v>64</v>
      </c>
      <c r="C4533" s="0" t="n">
        <v>46</v>
      </c>
      <c r="D4533" s="0" t="n">
        <v>1937</v>
      </c>
      <c r="E4533" s="0" t="n">
        <f aca="false">VLOOKUP(B4533,'Babblefish-APUMA'!$A$1:$B$86,2)</f>
        <v>90</v>
      </c>
      <c r="F4533" s="0" t="n">
        <f aca="false">IF(C4533&gt;1,IF(C4533&lt;99,VLOOKUP(C4533,'Babblefish-APUMA'!$A$1:$B$86,2),C4533),C4533)</f>
        <v>92</v>
      </c>
    </row>
    <row r="4534" customFormat="false" ht="12.75" hidden="false" customHeight="false" outlineLevel="0" collapsed="false">
      <c r="A4534" s="0" t="n">
        <f aca="false">B4534*1000+C4534</f>
        <v>64047</v>
      </c>
      <c r="B4534" s="0" t="n">
        <v>64</v>
      </c>
      <c r="C4534" s="0" t="n">
        <v>47</v>
      </c>
      <c r="D4534" s="0" t="n">
        <v>4095</v>
      </c>
      <c r="E4534" s="0" t="n">
        <f aca="false">VLOOKUP(B4534,'Babblefish-APUMA'!$A$1:$B$86,2)</f>
        <v>90</v>
      </c>
      <c r="F4534" s="0" t="n">
        <f aca="false">IF(C4534&gt;1,IF(C4534&lt;99,VLOOKUP(C4534,'Babblefish-APUMA'!$A$1:$B$86,2),C4534),C4534)</f>
        <v>92</v>
      </c>
    </row>
    <row r="4535" customFormat="false" ht="12.75" hidden="false" customHeight="false" outlineLevel="0" collapsed="false">
      <c r="A4535" s="0" t="n">
        <f aca="false">B4535*1000+C4535</f>
        <v>64048</v>
      </c>
      <c r="B4535" s="0" t="n">
        <v>64</v>
      </c>
      <c r="C4535" s="0" t="n">
        <v>48</v>
      </c>
      <c r="D4535" s="0" t="n">
        <v>50973</v>
      </c>
      <c r="E4535" s="0" t="n">
        <f aca="false">VLOOKUP(B4535,'Babblefish-APUMA'!$A$1:$B$86,2)</f>
        <v>90</v>
      </c>
      <c r="F4535" s="0" t="n">
        <f aca="false">IF(C4535&gt;1,IF(C4535&lt;99,VLOOKUP(C4535,'Babblefish-APUMA'!$A$1:$B$86,2),C4535),C4535)</f>
        <v>92</v>
      </c>
    </row>
    <row r="4536" customFormat="false" ht="12.75" hidden="false" customHeight="false" outlineLevel="0" collapsed="false">
      <c r="A4536" s="0" t="n">
        <f aca="false">B4536*1000+C4536</f>
        <v>64049</v>
      </c>
      <c r="B4536" s="0" t="n">
        <v>64</v>
      </c>
      <c r="C4536" s="0" t="n">
        <v>49</v>
      </c>
      <c r="D4536" s="0" t="n">
        <v>65</v>
      </c>
      <c r="E4536" s="0" t="n">
        <f aca="false">VLOOKUP(B4536,'Babblefish-APUMA'!$A$1:$B$86,2)</f>
        <v>90</v>
      </c>
      <c r="F4536" s="0" t="n">
        <f aca="false">IF(C4536&gt;1,IF(C4536&lt;99,VLOOKUP(C4536,'Babblefish-APUMA'!$A$1:$B$86,2),C4536),C4536)</f>
        <v>98</v>
      </c>
    </row>
    <row r="4537" customFormat="false" ht="12.75" hidden="false" customHeight="false" outlineLevel="0" collapsed="false">
      <c r="A4537" s="0" t="n">
        <f aca="false">B4537*1000+C4537</f>
        <v>64050</v>
      </c>
      <c r="B4537" s="0" t="n">
        <v>64</v>
      </c>
      <c r="C4537" s="0" t="n">
        <v>50</v>
      </c>
      <c r="D4537" s="0" t="n">
        <v>65</v>
      </c>
      <c r="E4537" s="0" t="n">
        <f aca="false">VLOOKUP(B4537,'Babblefish-APUMA'!$A$1:$B$86,2)</f>
        <v>90</v>
      </c>
      <c r="F4537" s="0" t="n">
        <f aca="false">IF(C4537&gt;1,IF(C4537&lt;99,VLOOKUP(C4537,'Babblefish-APUMA'!$A$1:$B$86,2),C4537),C4537)</f>
        <v>98</v>
      </c>
    </row>
    <row r="4538" customFormat="false" ht="12.75" hidden="false" customHeight="false" outlineLevel="0" collapsed="false">
      <c r="A4538" s="0" t="n">
        <f aca="false">B4538*1000+C4538</f>
        <v>64051</v>
      </c>
      <c r="B4538" s="0" t="n">
        <v>64</v>
      </c>
      <c r="C4538" s="0" t="n">
        <v>51</v>
      </c>
      <c r="D4538" s="0" t="n">
        <v>169</v>
      </c>
      <c r="E4538" s="0" t="n">
        <f aca="false">VLOOKUP(B4538,'Babblefish-APUMA'!$A$1:$B$86,2)</f>
        <v>90</v>
      </c>
      <c r="F4538" s="0" t="n">
        <f aca="false">IF(C4538&gt;1,IF(C4538&lt;99,VLOOKUP(C4538,'Babblefish-APUMA'!$A$1:$B$86,2),C4538),C4538)</f>
        <v>98</v>
      </c>
    </row>
    <row r="4539" customFormat="false" ht="12.75" hidden="false" customHeight="false" outlineLevel="0" collapsed="false">
      <c r="A4539" s="0" t="n">
        <f aca="false">B4539*1000+C4539</f>
        <v>64052</v>
      </c>
      <c r="B4539" s="0" t="n">
        <v>64</v>
      </c>
      <c r="C4539" s="0" t="n">
        <v>52</v>
      </c>
      <c r="D4539" s="0" t="n">
        <v>17498</v>
      </c>
      <c r="E4539" s="0" t="n">
        <f aca="false">VLOOKUP(B4539,'Babblefish-APUMA'!$A$1:$B$86,2)</f>
        <v>90</v>
      </c>
      <c r="F4539" s="0" t="n">
        <f aca="false">IF(C4539&gt;1,IF(C4539&lt;99,VLOOKUP(C4539,'Babblefish-APUMA'!$A$1:$B$86,2),C4539),C4539)</f>
        <v>90</v>
      </c>
    </row>
    <row r="4540" customFormat="false" ht="12.75" hidden="false" customHeight="false" outlineLevel="0" collapsed="false">
      <c r="A4540" s="0" t="n">
        <f aca="false">B4540*1000+C4540</f>
        <v>64053</v>
      </c>
      <c r="B4540" s="0" t="n">
        <v>64</v>
      </c>
      <c r="C4540" s="0" t="n">
        <v>53</v>
      </c>
      <c r="D4540" s="0" t="n">
        <v>15054</v>
      </c>
      <c r="E4540" s="0" t="n">
        <f aca="false">VLOOKUP(B4540,'Babblefish-APUMA'!$A$1:$B$86,2)</f>
        <v>90</v>
      </c>
      <c r="F4540" s="0" t="n">
        <f aca="false">IF(C4540&gt;1,IF(C4540&lt;99,VLOOKUP(C4540,'Babblefish-APUMA'!$A$1:$B$86,2),C4540),C4540)</f>
        <v>90</v>
      </c>
    </row>
    <row r="4541" customFormat="false" ht="12.75" hidden="false" customHeight="false" outlineLevel="0" collapsed="false">
      <c r="A4541" s="0" t="n">
        <f aca="false">B4541*1000+C4541</f>
        <v>64054</v>
      </c>
      <c r="B4541" s="0" t="n">
        <v>64</v>
      </c>
      <c r="C4541" s="0" t="n">
        <v>54</v>
      </c>
      <c r="D4541" s="0" t="n">
        <v>19383</v>
      </c>
      <c r="E4541" s="0" t="n">
        <f aca="false">VLOOKUP(B4541,'Babblefish-APUMA'!$A$1:$B$86,2)</f>
        <v>90</v>
      </c>
      <c r="F4541" s="0" t="n">
        <f aca="false">IF(C4541&gt;1,IF(C4541&lt;99,VLOOKUP(C4541,'Babblefish-APUMA'!$A$1:$B$86,2),C4541),C4541)</f>
        <v>90</v>
      </c>
    </row>
    <row r="4542" customFormat="false" ht="12.75" hidden="false" customHeight="false" outlineLevel="0" collapsed="false">
      <c r="A4542" s="0" t="n">
        <f aca="false">B4542*1000+C4542</f>
        <v>64055</v>
      </c>
      <c r="B4542" s="0" t="n">
        <v>64</v>
      </c>
      <c r="C4542" s="0" t="n">
        <v>55</v>
      </c>
      <c r="D4542" s="0" t="n">
        <v>6604</v>
      </c>
      <c r="E4542" s="0" t="n">
        <f aca="false">VLOOKUP(B4542,'Babblefish-APUMA'!$A$1:$B$86,2)</f>
        <v>90</v>
      </c>
      <c r="F4542" s="0" t="n">
        <f aca="false">IF(C4542&gt;1,IF(C4542&lt;99,VLOOKUP(C4542,'Babblefish-APUMA'!$A$1:$B$86,2),C4542),C4542)</f>
        <v>90</v>
      </c>
    </row>
    <row r="4543" customFormat="false" ht="12.75" hidden="false" customHeight="false" outlineLevel="0" collapsed="false">
      <c r="A4543" s="0" t="n">
        <f aca="false">B4543*1000+C4543</f>
        <v>64056</v>
      </c>
      <c r="B4543" s="0" t="n">
        <v>64</v>
      </c>
      <c r="C4543" s="0" t="n">
        <v>56</v>
      </c>
      <c r="D4543" s="0" t="n">
        <v>6721</v>
      </c>
      <c r="E4543" s="0" t="n">
        <f aca="false">VLOOKUP(B4543,'Babblefish-APUMA'!$A$1:$B$86,2)</f>
        <v>90</v>
      </c>
      <c r="F4543" s="0" t="n">
        <f aca="false">IF(C4543&gt;1,IF(C4543&lt;99,VLOOKUP(C4543,'Babblefish-APUMA'!$A$1:$B$86,2),C4543),C4543)</f>
        <v>90</v>
      </c>
    </row>
    <row r="4544" customFormat="false" ht="12.75" hidden="false" customHeight="false" outlineLevel="0" collapsed="false">
      <c r="A4544" s="0" t="n">
        <f aca="false">B4544*1000+C4544</f>
        <v>64057</v>
      </c>
      <c r="B4544" s="0" t="n">
        <v>64</v>
      </c>
      <c r="C4544" s="0" t="n">
        <v>57</v>
      </c>
      <c r="D4544" s="0" t="n">
        <v>13234</v>
      </c>
      <c r="E4544" s="0" t="n">
        <f aca="false">VLOOKUP(B4544,'Babblefish-APUMA'!$A$1:$B$86,2)</f>
        <v>90</v>
      </c>
      <c r="F4544" s="0" t="n">
        <f aca="false">IF(C4544&gt;1,IF(C4544&lt;99,VLOOKUP(C4544,'Babblefish-APUMA'!$A$1:$B$86,2),C4544),C4544)</f>
        <v>90</v>
      </c>
    </row>
    <row r="4545" customFormat="false" ht="12.75" hidden="false" customHeight="false" outlineLevel="0" collapsed="false">
      <c r="A4545" s="0" t="n">
        <f aca="false">B4545*1000+C4545</f>
        <v>64058</v>
      </c>
      <c r="B4545" s="0" t="n">
        <v>64</v>
      </c>
      <c r="C4545" s="0" t="n">
        <v>58</v>
      </c>
      <c r="D4545" s="0" t="n">
        <v>14352</v>
      </c>
      <c r="E4545" s="0" t="n">
        <f aca="false">VLOOKUP(B4545,'Babblefish-APUMA'!$A$1:$B$86,2)</f>
        <v>90</v>
      </c>
      <c r="F4545" s="0" t="n">
        <f aca="false">IF(C4545&gt;1,IF(C4545&lt;99,VLOOKUP(C4545,'Babblefish-APUMA'!$A$1:$B$86,2),C4545),C4545)</f>
        <v>90</v>
      </c>
    </row>
    <row r="4546" customFormat="false" ht="12.75" hidden="false" customHeight="false" outlineLevel="0" collapsed="false">
      <c r="A4546" s="0" t="n">
        <f aca="false">B4546*1000+C4546</f>
        <v>64059</v>
      </c>
      <c r="B4546" s="0" t="n">
        <v>64</v>
      </c>
      <c r="C4546" s="0" t="n">
        <v>59</v>
      </c>
      <c r="D4546" s="0" t="n">
        <v>13780</v>
      </c>
      <c r="E4546" s="0" t="n">
        <f aca="false">VLOOKUP(B4546,'Babblefish-APUMA'!$A$1:$B$86,2)</f>
        <v>90</v>
      </c>
      <c r="F4546" s="0" t="n">
        <f aca="false">IF(C4546&gt;1,IF(C4546&lt;99,VLOOKUP(C4546,'Babblefish-APUMA'!$A$1:$B$86,2),C4546),C4546)</f>
        <v>90</v>
      </c>
    </row>
    <row r="4547" customFormat="false" ht="12.75" hidden="false" customHeight="false" outlineLevel="0" collapsed="false">
      <c r="A4547" s="0" t="n">
        <f aca="false">B4547*1000+C4547</f>
        <v>64060</v>
      </c>
      <c r="B4547" s="0" t="n">
        <v>64</v>
      </c>
      <c r="C4547" s="0" t="n">
        <v>60</v>
      </c>
      <c r="D4547" s="0" t="n">
        <v>18629</v>
      </c>
      <c r="E4547" s="0" t="n">
        <f aca="false">VLOOKUP(B4547,'Babblefish-APUMA'!$A$1:$B$86,2)</f>
        <v>90</v>
      </c>
      <c r="F4547" s="0" t="n">
        <f aca="false">IF(C4547&gt;1,IF(C4547&lt;99,VLOOKUP(C4547,'Babblefish-APUMA'!$A$1:$B$86,2),C4547),C4547)</f>
        <v>90</v>
      </c>
    </row>
    <row r="4548" customFormat="false" ht="12.75" hidden="false" customHeight="false" outlineLevel="0" collapsed="false">
      <c r="A4548" s="0" t="n">
        <f aca="false">B4548*1000+C4548</f>
        <v>64061</v>
      </c>
      <c r="B4548" s="0" t="n">
        <v>64</v>
      </c>
      <c r="C4548" s="0" t="n">
        <v>61</v>
      </c>
      <c r="D4548" s="0" t="n">
        <v>11219</v>
      </c>
      <c r="E4548" s="0" t="n">
        <f aca="false">VLOOKUP(B4548,'Babblefish-APUMA'!$A$1:$B$86,2)</f>
        <v>90</v>
      </c>
      <c r="F4548" s="0" t="n">
        <f aca="false">IF(C4548&gt;1,IF(C4548&lt;99,VLOOKUP(C4548,'Babblefish-APUMA'!$A$1:$B$86,2),C4548),C4548)</f>
        <v>90</v>
      </c>
    </row>
    <row r="4549" customFormat="false" ht="12.75" hidden="false" customHeight="false" outlineLevel="0" collapsed="false">
      <c r="A4549" s="0" t="n">
        <f aca="false">B4549*1000+C4549</f>
        <v>64062</v>
      </c>
      <c r="B4549" s="0" t="n">
        <v>64</v>
      </c>
      <c r="C4549" s="0" t="n">
        <v>62</v>
      </c>
      <c r="D4549" s="0" t="n">
        <v>17758</v>
      </c>
      <c r="E4549" s="0" t="n">
        <f aca="false">VLOOKUP(B4549,'Babblefish-APUMA'!$A$1:$B$86,2)</f>
        <v>90</v>
      </c>
      <c r="F4549" s="0" t="n">
        <f aca="false">IF(C4549&gt;1,IF(C4549&lt;99,VLOOKUP(C4549,'Babblefish-APUMA'!$A$1:$B$86,2),C4549),C4549)</f>
        <v>90</v>
      </c>
    </row>
    <row r="4550" customFormat="false" ht="12.75" hidden="false" customHeight="false" outlineLevel="0" collapsed="false">
      <c r="A4550" s="0" t="n">
        <f aca="false">B4550*1000+C4550</f>
        <v>64063</v>
      </c>
      <c r="B4550" s="0" t="n">
        <v>64</v>
      </c>
      <c r="C4550" s="0" t="n">
        <v>63</v>
      </c>
      <c r="D4550" s="0" t="n">
        <v>38259</v>
      </c>
      <c r="E4550" s="0" t="n">
        <f aca="false">VLOOKUP(B4550,'Babblefish-APUMA'!$A$1:$B$86,2)</f>
        <v>90</v>
      </c>
      <c r="F4550" s="0" t="n">
        <f aca="false">IF(C4550&gt;1,IF(C4550&lt;99,VLOOKUP(C4550,'Babblefish-APUMA'!$A$1:$B$86,2),C4550),C4550)</f>
        <v>90</v>
      </c>
    </row>
    <row r="4551" customFormat="false" ht="12.75" hidden="false" customHeight="false" outlineLevel="0" collapsed="false">
      <c r="A4551" s="0" t="n">
        <f aca="false">B4551*1000+C4551</f>
        <v>64064</v>
      </c>
      <c r="B4551" s="0" t="n">
        <v>64</v>
      </c>
      <c r="C4551" s="0" t="n">
        <v>64</v>
      </c>
      <c r="D4551" s="0" t="n">
        <v>885469</v>
      </c>
      <c r="E4551" s="0" t="n">
        <f aca="false">VLOOKUP(B4551,'Babblefish-APUMA'!$A$1:$B$86,2)</f>
        <v>90</v>
      </c>
      <c r="F4551" s="0" t="n">
        <f aca="false">IF(C4551&gt;1,IF(C4551&lt;99,VLOOKUP(C4551,'Babblefish-APUMA'!$A$1:$B$86,2),C4551),C4551)</f>
        <v>90</v>
      </c>
    </row>
    <row r="4552" customFormat="false" ht="12.75" hidden="false" customHeight="false" outlineLevel="0" collapsed="false">
      <c r="A4552" s="0" t="n">
        <f aca="false">B4552*1000+C4552</f>
        <v>64065</v>
      </c>
      <c r="B4552" s="0" t="n">
        <v>64</v>
      </c>
      <c r="C4552" s="0" t="n">
        <v>65</v>
      </c>
      <c r="D4552" s="0" t="n">
        <v>337857</v>
      </c>
      <c r="E4552" s="0" t="n">
        <f aca="false">VLOOKUP(B4552,'Babblefish-APUMA'!$A$1:$B$86,2)</f>
        <v>90</v>
      </c>
      <c r="F4552" s="0" t="n">
        <f aca="false">IF(C4552&gt;1,IF(C4552&lt;99,VLOOKUP(C4552,'Babblefish-APUMA'!$A$1:$B$86,2),C4552),C4552)</f>
        <v>90</v>
      </c>
    </row>
    <row r="4553" customFormat="false" ht="12.75" hidden="false" customHeight="false" outlineLevel="0" collapsed="false">
      <c r="A4553" s="0" t="n">
        <f aca="false">B4553*1000+C4553</f>
        <v>64066</v>
      </c>
      <c r="B4553" s="0" t="n">
        <v>64</v>
      </c>
      <c r="C4553" s="0" t="n">
        <v>66</v>
      </c>
      <c r="D4553" s="0" t="n">
        <v>49153</v>
      </c>
      <c r="E4553" s="0" t="n">
        <f aca="false">VLOOKUP(B4553,'Babblefish-APUMA'!$A$1:$B$86,2)</f>
        <v>90</v>
      </c>
      <c r="F4553" s="0" t="n">
        <f aca="false">IF(C4553&gt;1,IF(C4553&lt;99,VLOOKUP(C4553,'Babblefish-APUMA'!$A$1:$B$86,2),C4553),C4553)</f>
        <v>90</v>
      </c>
    </row>
    <row r="4554" customFormat="false" ht="12.75" hidden="false" customHeight="false" outlineLevel="0" collapsed="false">
      <c r="A4554" s="0" t="n">
        <f aca="false">B4554*1000+C4554</f>
        <v>64067</v>
      </c>
      <c r="B4554" s="0" t="n">
        <v>64</v>
      </c>
      <c r="C4554" s="0" t="n">
        <v>67</v>
      </c>
      <c r="D4554" s="0" t="n">
        <v>5174</v>
      </c>
      <c r="E4554" s="0" t="n">
        <f aca="false">VLOOKUP(B4554,'Babblefish-APUMA'!$A$1:$B$86,2)</f>
        <v>90</v>
      </c>
      <c r="F4554" s="0" t="n">
        <f aca="false">IF(C4554&gt;1,IF(C4554&lt;99,VLOOKUP(C4554,'Babblefish-APUMA'!$A$1:$B$86,2),C4554),C4554)</f>
        <v>103</v>
      </c>
    </row>
    <row r="4555" customFormat="false" ht="12.75" hidden="false" customHeight="false" outlineLevel="0" collapsed="false">
      <c r="A4555" s="0" t="n">
        <f aca="false">B4555*1000+C4555</f>
        <v>64068</v>
      </c>
      <c r="B4555" s="0" t="n">
        <v>64</v>
      </c>
      <c r="C4555" s="0" t="n">
        <v>68</v>
      </c>
      <c r="D4555" s="0" t="n">
        <v>221</v>
      </c>
      <c r="E4555" s="0" t="n">
        <f aca="false">VLOOKUP(B4555,'Babblefish-APUMA'!$A$1:$B$86,2)</f>
        <v>90</v>
      </c>
      <c r="F4555" s="0" t="n">
        <f aca="false">IF(C4555&gt;1,IF(C4555&lt;99,VLOOKUP(C4555,'Babblefish-APUMA'!$A$1:$B$86,2),C4555),C4555)</f>
        <v>93</v>
      </c>
    </row>
    <row r="4556" customFormat="false" ht="12.75" hidden="false" customHeight="false" outlineLevel="0" collapsed="false">
      <c r="A4556" s="0" t="n">
        <f aca="false">B4556*1000+C4556</f>
        <v>64069</v>
      </c>
      <c r="B4556" s="0" t="n">
        <v>64</v>
      </c>
      <c r="C4556" s="0" t="n">
        <v>69</v>
      </c>
      <c r="D4556" s="0" t="n">
        <v>1807</v>
      </c>
      <c r="E4556" s="0" t="n">
        <f aca="false">VLOOKUP(B4556,'Babblefish-APUMA'!$A$1:$B$86,2)</f>
        <v>90</v>
      </c>
      <c r="F4556" s="0" t="n">
        <f aca="false">IF(C4556&gt;1,IF(C4556&lt;99,VLOOKUP(C4556,'Babblefish-APUMA'!$A$1:$B$86,2),C4556),C4556)</f>
        <v>93</v>
      </c>
    </row>
    <row r="4557" customFormat="false" ht="12.75" hidden="false" customHeight="false" outlineLevel="0" collapsed="false">
      <c r="A4557" s="0" t="n">
        <f aca="false">B4557*1000+C4557</f>
        <v>64070</v>
      </c>
      <c r="B4557" s="0" t="n">
        <v>64</v>
      </c>
      <c r="C4557" s="0" t="n">
        <v>70</v>
      </c>
      <c r="D4557" s="0" t="n">
        <v>1053</v>
      </c>
      <c r="E4557" s="0" t="n">
        <f aca="false">VLOOKUP(B4557,'Babblefish-APUMA'!$A$1:$B$86,2)</f>
        <v>90</v>
      </c>
      <c r="F4557" s="0" t="n">
        <f aca="false">IF(C4557&gt;1,IF(C4557&lt;99,VLOOKUP(C4557,'Babblefish-APUMA'!$A$1:$B$86,2),C4557),C4557)</f>
        <v>95</v>
      </c>
    </row>
    <row r="4558" customFormat="false" ht="12.75" hidden="false" customHeight="false" outlineLevel="0" collapsed="false">
      <c r="A4558" s="0" t="n">
        <f aca="false">B4558*1000+C4558</f>
        <v>64071</v>
      </c>
      <c r="B4558" s="0" t="n">
        <v>64</v>
      </c>
      <c r="C4558" s="0" t="n">
        <v>71</v>
      </c>
      <c r="D4558" s="0" t="n">
        <v>4095</v>
      </c>
      <c r="E4558" s="0" t="n">
        <f aca="false">VLOOKUP(B4558,'Babblefish-APUMA'!$A$1:$B$86,2)</f>
        <v>90</v>
      </c>
      <c r="F4558" s="0" t="n">
        <f aca="false">IF(C4558&gt;1,IF(C4558&lt;99,VLOOKUP(C4558,'Babblefish-APUMA'!$A$1:$B$86,2),C4558),C4558)</f>
        <v>95</v>
      </c>
    </row>
    <row r="4559" customFormat="false" ht="12.75" hidden="false" customHeight="false" outlineLevel="0" collapsed="false">
      <c r="A4559" s="0" t="n">
        <f aca="false">B4559*1000+C4559</f>
        <v>64072</v>
      </c>
      <c r="B4559" s="0" t="n">
        <v>64</v>
      </c>
      <c r="C4559" s="0" t="n">
        <v>72</v>
      </c>
      <c r="D4559" s="0" t="n">
        <v>9750</v>
      </c>
      <c r="E4559" s="0" t="n">
        <f aca="false">VLOOKUP(B4559,'Babblefish-APUMA'!$A$1:$B$86,2)</f>
        <v>90</v>
      </c>
      <c r="F4559" s="0" t="n">
        <f aca="false">IF(C4559&gt;1,IF(C4559&lt;99,VLOOKUP(C4559,'Babblefish-APUMA'!$A$1:$B$86,2),C4559),C4559)</f>
        <v>95</v>
      </c>
    </row>
    <row r="4560" customFormat="false" ht="12.75" hidden="false" customHeight="false" outlineLevel="0" collapsed="false">
      <c r="A4560" s="0" t="n">
        <f aca="false">B4560*1000+C4560</f>
        <v>64073</v>
      </c>
      <c r="B4560" s="0" t="n">
        <v>64</v>
      </c>
      <c r="C4560" s="0" t="n">
        <v>73</v>
      </c>
      <c r="D4560" s="0" t="n">
        <v>65</v>
      </c>
      <c r="E4560" s="0" t="n">
        <f aca="false">VLOOKUP(B4560,'Babblefish-APUMA'!$A$1:$B$86,2)</f>
        <v>90</v>
      </c>
      <c r="F4560" s="0" t="n">
        <f aca="false">IF(C4560&gt;1,IF(C4560&lt;99,VLOOKUP(C4560,'Babblefish-APUMA'!$A$1:$B$86,2),C4560),C4560)</f>
        <v>99</v>
      </c>
    </row>
    <row r="4561" customFormat="false" ht="12.75" hidden="false" customHeight="false" outlineLevel="0" collapsed="false">
      <c r="A4561" s="0" t="n">
        <f aca="false">B4561*1000+C4561</f>
        <v>64075</v>
      </c>
      <c r="B4561" s="0" t="n">
        <v>64</v>
      </c>
      <c r="C4561" s="0" t="n">
        <v>75</v>
      </c>
      <c r="D4561" s="0" t="n">
        <v>0</v>
      </c>
      <c r="E4561" s="0" t="n">
        <f aca="false">VLOOKUP(B4561,'Babblefish-APUMA'!$A$1:$B$86,2)</f>
        <v>90</v>
      </c>
      <c r="F4561" s="0" t="n">
        <f aca="false">IF(C4561&gt;1,IF(C4561&lt;99,VLOOKUP(C4561,'Babblefish-APUMA'!$A$1:$B$86,2),C4561),C4561)</f>
        <v>75</v>
      </c>
    </row>
    <row r="4562" customFormat="false" ht="12.75" hidden="false" customHeight="false" outlineLevel="0" collapsed="false">
      <c r="A4562" s="0" t="n">
        <f aca="false">B4562*1000+C4562</f>
        <v>64076</v>
      </c>
      <c r="B4562" s="0" t="n">
        <v>64</v>
      </c>
      <c r="C4562" s="0" t="n">
        <v>76</v>
      </c>
      <c r="D4562" s="0" t="n">
        <v>0</v>
      </c>
      <c r="E4562" s="0" t="n">
        <f aca="false">VLOOKUP(B4562,'Babblefish-APUMA'!$A$1:$B$86,2)</f>
        <v>90</v>
      </c>
      <c r="F4562" s="0" t="n">
        <f aca="false">IF(C4562&gt;1,IF(C4562&lt;99,VLOOKUP(C4562,'Babblefish-APUMA'!$A$1:$B$86,2),C4562),C4562)</f>
        <v>76</v>
      </c>
    </row>
    <row r="4563" customFormat="false" ht="12.75" hidden="false" customHeight="false" outlineLevel="0" collapsed="false">
      <c r="A4563" s="0" t="n">
        <f aca="false">B4563*1000+C4563</f>
        <v>64077</v>
      </c>
      <c r="B4563" s="0" t="n">
        <v>64</v>
      </c>
      <c r="C4563" s="0" t="n">
        <v>77</v>
      </c>
      <c r="D4563" s="0" t="n">
        <v>117</v>
      </c>
      <c r="E4563" s="0" t="n">
        <f aca="false">VLOOKUP(B4563,'Babblefish-APUMA'!$A$1:$B$86,2)</f>
        <v>90</v>
      </c>
      <c r="F4563" s="0" t="n">
        <f aca="false">IF(C4563&gt;1,IF(C4563&lt;99,VLOOKUP(C4563,'Babblefish-APUMA'!$A$1:$B$86,2),C4563),C4563)</f>
        <v>77</v>
      </c>
    </row>
    <row r="4564" customFormat="false" ht="12.75" hidden="false" customHeight="false" outlineLevel="0" collapsed="false">
      <c r="A4564" s="0" t="n">
        <f aca="false">B4564*1000+C4564</f>
        <v>64078</v>
      </c>
      <c r="B4564" s="0" t="n">
        <v>64</v>
      </c>
      <c r="C4564" s="0" t="n">
        <v>78</v>
      </c>
      <c r="D4564" s="0" t="n">
        <v>650</v>
      </c>
      <c r="E4564" s="0" t="n">
        <f aca="false">VLOOKUP(B4564,'Babblefish-APUMA'!$A$1:$B$86,2)</f>
        <v>90</v>
      </c>
      <c r="F4564" s="0" t="n">
        <f aca="false">IF(C4564&gt;1,IF(C4564&lt;99,VLOOKUP(C4564,'Babblefish-APUMA'!$A$1:$B$86,2),C4564),C4564)</f>
        <v>89</v>
      </c>
    </row>
    <row r="4565" customFormat="false" ht="12.75" hidden="false" customHeight="false" outlineLevel="0" collapsed="false">
      <c r="A4565" s="0" t="n">
        <f aca="false">B4565*1000+C4565</f>
        <v>64079</v>
      </c>
      <c r="B4565" s="0" t="n">
        <v>64</v>
      </c>
      <c r="C4565" s="0" t="n">
        <v>79</v>
      </c>
      <c r="D4565" s="0" t="n">
        <v>8060</v>
      </c>
      <c r="E4565" s="0" t="n">
        <f aca="false">VLOOKUP(B4565,'Babblefish-APUMA'!$A$1:$B$86,2)</f>
        <v>90</v>
      </c>
      <c r="F4565" s="0" t="n">
        <f aca="false">IF(C4565&gt;1,IF(C4565&lt;99,VLOOKUP(C4565,'Babblefish-APUMA'!$A$1:$B$86,2),C4565),C4565)</f>
        <v>89</v>
      </c>
    </row>
    <row r="4566" customFormat="false" ht="12.75" hidden="false" customHeight="false" outlineLevel="0" collapsed="false">
      <c r="A4566" s="0" t="n">
        <f aca="false">B4566*1000+C4566</f>
        <v>64080</v>
      </c>
      <c r="B4566" s="0" t="n">
        <v>64</v>
      </c>
      <c r="C4566" s="0" t="n">
        <v>80</v>
      </c>
      <c r="D4566" s="0" t="n">
        <v>182</v>
      </c>
      <c r="E4566" s="0" t="n">
        <f aca="false">VLOOKUP(B4566,'Babblefish-APUMA'!$A$1:$B$86,2)</f>
        <v>90</v>
      </c>
      <c r="F4566" s="0" t="n">
        <f aca="false">IF(C4566&gt;1,IF(C4566&lt;99,VLOOKUP(C4566,'Babblefish-APUMA'!$A$1:$B$86,2),C4566),C4566)</f>
        <v>80</v>
      </c>
    </row>
    <row r="4567" customFormat="false" ht="12.75" hidden="false" customHeight="false" outlineLevel="0" collapsed="false">
      <c r="A4567" s="0" t="n">
        <f aca="false">B4567*1000+C4567</f>
        <v>64081</v>
      </c>
      <c r="B4567" s="0" t="n">
        <v>64</v>
      </c>
      <c r="C4567" s="0" t="n">
        <v>81</v>
      </c>
      <c r="D4567" s="0" t="n">
        <v>1365</v>
      </c>
      <c r="E4567" s="0" t="n">
        <f aca="false">VLOOKUP(B4567,'Babblefish-APUMA'!$A$1:$B$86,2)</f>
        <v>90</v>
      </c>
      <c r="F4567" s="0" t="n">
        <f aca="false">IF(C4567&gt;1,IF(C4567&lt;99,VLOOKUP(C4567,'Babblefish-APUMA'!$A$1:$B$86,2),C4567),C4567)</f>
        <v>93</v>
      </c>
    </row>
    <row r="4568" customFormat="false" ht="12.75" hidden="false" customHeight="false" outlineLevel="0" collapsed="false">
      <c r="A4568" s="0" t="n">
        <f aca="false">B4568*1000+C4568</f>
        <v>64082</v>
      </c>
      <c r="B4568" s="0" t="n">
        <v>64</v>
      </c>
      <c r="C4568" s="0" t="n">
        <v>82</v>
      </c>
      <c r="D4568" s="0" t="n">
        <v>884</v>
      </c>
      <c r="E4568" s="0" t="n">
        <f aca="false">VLOOKUP(B4568,'Babblefish-APUMA'!$A$1:$B$86,2)</f>
        <v>90</v>
      </c>
      <c r="F4568" s="0" t="n">
        <f aca="false">IF(C4568&gt;1,IF(C4568&lt;99,VLOOKUP(C4568,'Babblefish-APUMA'!$A$1:$B$86,2),C4568),C4568)</f>
        <v>95</v>
      </c>
    </row>
    <row r="4569" customFormat="false" ht="12.75" hidden="false" customHeight="false" outlineLevel="0" collapsed="false">
      <c r="A4569" s="0" t="n">
        <f aca="false">B4569*1000+C4569</f>
        <v>64083</v>
      </c>
      <c r="B4569" s="0" t="n">
        <v>64</v>
      </c>
      <c r="C4569" s="0" t="n">
        <v>83</v>
      </c>
      <c r="D4569" s="0" t="n">
        <v>338</v>
      </c>
      <c r="E4569" s="0" t="n">
        <f aca="false">VLOOKUP(B4569,'Babblefish-APUMA'!$A$1:$B$86,2)</f>
        <v>90</v>
      </c>
      <c r="F4569" s="0" t="n">
        <f aca="false">IF(C4569&gt;1,IF(C4569&lt;99,VLOOKUP(C4569,'Babblefish-APUMA'!$A$1:$B$86,2),C4569),C4569)</f>
        <v>103</v>
      </c>
    </row>
    <row r="4570" customFormat="false" ht="12.75" hidden="false" customHeight="false" outlineLevel="0" collapsed="false">
      <c r="A4570" s="0" t="n">
        <f aca="false">B4570*1000+C4570</f>
        <v>64084</v>
      </c>
      <c r="B4570" s="0" t="n">
        <v>64</v>
      </c>
      <c r="C4570" s="0" t="n">
        <v>84</v>
      </c>
      <c r="D4570" s="0" t="n">
        <v>13793</v>
      </c>
      <c r="E4570" s="0" t="n">
        <f aca="false">VLOOKUP(B4570,'Babblefish-APUMA'!$A$1:$B$86,2)</f>
        <v>90</v>
      </c>
      <c r="F4570" s="0" t="n">
        <f aca="false">IF(C4570&gt;1,IF(C4570&lt;99,VLOOKUP(C4570,'Babblefish-APUMA'!$A$1:$B$86,2),C4570),C4570)</f>
        <v>92</v>
      </c>
    </row>
    <row r="4571" customFormat="false" ht="12.75" hidden="false" customHeight="false" outlineLevel="0" collapsed="false">
      <c r="A4571" s="0" t="n">
        <f aca="false">B4571*1000+C4571</f>
        <v>64085</v>
      </c>
      <c r="B4571" s="0" t="n">
        <v>64</v>
      </c>
      <c r="C4571" s="0" t="n">
        <v>85</v>
      </c>
      <c r="D4571" s="0" t="n">
        <v>0</v>
      </c>
      <c r="E4571" s="0" t="n">
        <f aca="false">VLOOKUP(B4571,'Babblefish-APUMA'!$A$1:$B$86,2)</f>
        <v>90</v>
      </c>
      <c r="F4571" s="0" t="n">
        <f aca="false">IF(C4571&gt;1,IF(C4571&lt;99,VLOOKUP(C4571,'Babblefish-APUMA'!$A$1:$B$86,2),C4571),C4571)</f>
        <v>97</v>
      </c>
    </row>
    <row r="4572" customFormat="false" ht="12.75" hidden="false" customHeight="false" outlineLevel="0" collapsed="false">
      <c r="A4572" s="0" t="n">
        <f aca="false">B4572*1000+C4572</f>
        <v>64858</v>
      </c>
      <c r="B4572" s="0" t="n">
        <v>64</v>
      </c>
      <c r="C4572" s="0" t="n">
        <v>858</v>
      </c>
      <c r="D4572" s="0" t="n">
        <v>0</v>
      </c>
      <c r="E4572" s="0" t="n">
        <f aca="false">VLOOKUP(B4572,'Babblefish-APUMA'!$A$1:$B$86,2)</f>
        <v>90</v>
      </c>
      <c r="F4572" s="0" t="n">
        <f aca="false">IF(C4572&gt;1,IF(C4572&lt;99,VLOOKUP(C4572,'Babblefish-APUMA'!$A$1:$B$86,2),C4572),C4572)</f>
        <v>858</v>
      </c>
    </row>
    <row r="4573" customFormat="false" ht="12.75" hidden="false" customHeight="false" outlineLevel="0" collapsed="false">
      <c r="A4573" s="0" t="n">
        <f aca="false">B4573*1000+C4573</f>
        <v>64983</v>
      </c>
      <c r="B4573" s="0" t="n">
        <v>64</v>
      </c>
      <c r="C4573" s="0" t="n">
        <v>983</v>
      </c>
      <c r="D4573" s="0" t="n">
        <v>0</v>
      </c>
      <c r="E4573" s="0" t="n">
        <f aca="false">VLOOKUP(B4573,'Babblefish-APUMA'!$A$1:$B$86,2)</f>
        <v>90</v>
      </c>
      <c r="F4573" s="0" t="n">
        <f aca="false">IF(C4573&gt;1,IF(C4573&lt;99,VLOOKUP(C4573,'Babblefish-APUMA'!$A$1:$B$86,2),C4573),C4573)</f>
        <v>983</v>
      </c>
    </row>
    <row r="4574" customFormat="false" ht="12.75" hidden="false" customHeight="false" outlineLevel="0" collapsed="false">
      <c r="A4574" s="0" t="n">
        <f aca="false">B4574*1000+C4574</f>
        <v>64999</v>
      </c>
      <c r="B4574" s="0" t="n">
        <v>64</v>
      </c>
      <c r="C4574" s="0" t="n">
        <v>999</v>
      </c>
      <c r="D4574" s="0" t="n">
        <v>663</v>
      </c>
      <c r="E4574" s="0" t="n">
        <f aca="false">VLOOKUP(B4574,'Babblefish-APUMA'!$A$1:$B$86,2)</f>
        <v>90</v>
      </c>
      <c r="F4574" s="0" t="n">
        <f aca="false">IF(C4574&gt;1,IF(C4574&lt;99,VLOOKUP(C4574,'Babblefish-APUMA'!$A$1:$B$86,2),C4574),C4574)</f>
        <v>999</v>
      </c>
    </row>
    <row r="4575" customFormat="false" ht="12.75" hidden="false" customHeight="false" outlineLevel="0" collapsed="false">
      <c r="A4575" s="0" t="n">
        <f aca="false">B4575*1000+C4575</f>
        <v>65000</v>
      </c>
      <c r="B4575" s="0" t="n">
        <v>65</v>
      </c>
      <c r="C4575" s="0" t="n">
        <v>0</v>
      </c>
      <c r="D4575" s="0" t="n">
        <v>1845064</v>
      </c>
      <c r="E4575" s="0" t="n">
        <f aca="false">VLOOKUP(B4575,'Babblefish-APUMA'!$A$1:$B$86,2)</f>
        <v>90</v>
      </c>
      <c r="F4575" s="0" t="n">
        <f aca="false">IF(C4575&gt;1,IF(C4575&lt;99,VLOOKUP(C4575,'Babblefish-APUMA'!$A$1:$B$86,2),C4575),C4575)</f>
        <v>0</v>
      </c>
    </row>
    <row r="4576" customFormat="false" ht="12.75" hidden="false" customHeight="false" outlineLevel="0" collapsed="false">
      <c r="A4576" s="0" t="n">
        <f aca="false">B4576*1000+C4576</f>
        <v>65001</v>
      </c>
      <c r="B4576" s="0" t="n">
        <v>65</v>
      </c>
      <c r="C4576" s="0" t="n">
        <v>1</v>
      </c>
      <c r="D4576" s="0" t="n">
        <v>299</v>
      </c>
      <c r="E4576" s="0" t="n">
        <f aca="false">VLOOKUP(B4576,'Babblefish-APUMA'!$A$1:$B$86,2)</f>
        <v>90</v>
      </c>
      <c r="F4576" s="0" t="n">
        <f aca="false">IF(C4576&gt;1,IF(C4576&lt;99,VLOOKUP(C4576,'Babblefish-APUMA'!$A$1:$B$86,2),C4576),C4576)</f>
        <v>1</v>
      </c>
    </row>
    <row r="4577" customFormat="false" ht="12.75" hidden="false" customHeight="false" outlineLevel="0" collapsed="false">
      <c r="A4577" s="0" t="n">
        <f aca="false">B4577*1000+C4577</f>
        <v>65002</v>
      </c>
      <c r="B4577" s="0" t="n">
        <v>65</v>
      </c>
      <c r="C4577" s="0" t="n">
        <v>2</v>
      </c>
      <c r="D4577" s="0" t="n">
        <v>1235</v>
      </c>
      <c r="E4577" s="0" t="n">
        <f aca="false">VLOOKUP(B4577,'Babblefish-APUMA'!$A$1:$B$86,2)</f>
        <v>90</v>
      </c>
      <c r="F4577" s="0" t="n">
        <f aca="false">IF(C4577&gt;1,IF(C4577&lt;99,VLOOKUP(C4577,'Babblefish-APUMA'!$A$1:$B$86,2),C4577),C4577)</f>
        <v>2</v>
      </c>
    </row>
    <row r="4578" customFormat="false" ht="12.75" hidden="false" customHeight="false" outlineLevel="0" collapsed="false">
      <c r="A4578" s="0" t="n">
        <f aca="false">B4578*1000+C4578</f>
        <v>65003</v>
      </c>
      <c r="B4578" s="0" t="n">
        <v>65</v>
      </c>
      <c r="C4578" s="0" t="n">
        <v>3</v>
      </c>
      <c r="D4578" s="0" t="n">
        <v>351</v>
      </c>
      <c r="E4578" s="0" t="n">
        <f aca="false">VLOOKUP(B4578,'Babblefish-APUMA'!$A$1:$B$86,2)</f>
        <v>90</v>
      </c>
      <c r="F4578" s="0" t="n">
        <f aca="false">IF(C4578&gt;1,IF(C4578&lt;99,VLOOKUP(C4578,'Babblefish-APUMA'!$A$1:$B$86,2),C4578),C4578)</f>
        <v>3</v>
      </c>
    </row>
    <row r="4579" customFormat="false" ht="12.75" hidden="false" customHeight="false" outlineLevel="0" collapsed="false">
      <c r="A4579" s="0" t="n">
        <f aca="false">B4579*1000+C4579</f>
        <v>65004</v>
      </c>
      <c r="B4579" s="0" t="n">
        <v>65</v>
      </c>
      <c r="C4579" s="0" t="n">
        <v>4</v>
      </c>
      <c r="D4579" s="0" t="n">
        <v>65</v>
      </c>
      <c r="E4579" s="0" t="n">
        <f aca="false">VLOOKUP(B4579,'Babblefish-APUMA'!$A$1:$B$86,2)</f>
        <v>90</v>
      </c>
      <c r="F4579" s="0" t="n">
        <f aca="false">IF(C4579&gt;1,IF(C4579&lt;99,VLOOKUP(C4579,'Babblefish-APUMA'!$A$1:$B$86,2),C4579),C4579)</f>
        <v>4</v>
      </c>
    </row>
    <row r="4580" customFormat="false" ht="12.75" hidden="false" customHeight="false" outlineLevel="0" collapsed="false">
      <c r="A4580" s="0" t="n">
        <f aca="false">B4580*1000+C4580</f>
        <v>65005</v>
      </c>
      <c r="B4580" s="0" t="n">
        <v>65</v>
      </c>
      <c r="C4580" s="0" t="n">
        <v>5</v>
      </c>
      <c r="D4580" s="0" t="n">
        <v>156</v>
      </c>
      <c r="E4580" s="0" t="n">
        <f aca="false">VLOOKUP(B4580,'Babblefish-APUMA'!$A$1:$B$86,2)</f>
        <v>90</v>
      </c>
      <c r="F4580" s="0" t="n">
        <f aca="false">IF(C4580&gt;1,IF(C4580&lt;99,VLOOKUP(C4580,'Babblefish-APUMA'!$A$1:$B$86,2),C4580),C4580)</f>
        <v>5</v>
      </c>
    </row>
    <row r="4581" customFormat="false" ht="12.75" hidden="false" customHeight="false" outlineLevel="0" collapsed="false">
      <c r="A4581" s="0" t="n">
        <f aca="false">B4581*1000+C4581</f>
        <v>65006</v>
      </c>
      <c r="B4581" s="0" t="n">
        <v>65</v>
      </c>
      <c r="C4581" s="0" t="n">
        <v>6</v>
      </c>
      <c r="D4581" s="0" t="n">
        <v>130</v>
      </c>
      <c r="E4581" s="0" t="n">
        <f aca="false">VLOOKUP(B4581,'Babblefish-APUMA'!$A$1:$B$86,2)</f>
        <v>90</v>
      </c>
      <c r="F4581" s="0" t="n">
        <f aca="false">IF(C4581&gt;1,IF(C4581&lt;99,VLOOKUP(C4581,'Babblefish-APUMA'!$A$1:$B$86,2),C4581),C4581)</f>
        <v>6</v>
      </c>
    </row>
    <row r="4582" customFormat="false" ht="12.75" hidden="false" customHeight="false" outlineLevel="0" collapsed="false">
      <c r="A4582" s="0" t="n">
        <f aca="false">B4582*1000+C4582</f>
        <v>65007</v>
      </c>
      <c r="B4582" s="0" t="n">
        <v>65</v>
      </c>
      <c r="C4582" s="0" t="n">
        <v>7</v>
      </c>
      <c r="D4582" s="0" t="n">
        <v>65</v>
      </c>
      <c r="E4582" s="0" t="n">
        <f aca="false">VLOOKUP(B4582,'Babblefish-APUMA'!$A$1:$B$86,2)</f>
        <v>90</v>
      </c>
      <c r="F4582" s="0" t="n">
        <f aca="false">IF(C4582&gt;1,IF(C4582&lt;99,VLOOKUP(C4582,'Babblefish-APUMA'!$A$1:$B$86,2),C4582),C4582)</f>
        <v>7</v>
      </c>
    </row>
    <row r="4583" customFormat="false" ht="12.75" hidden="false" customHeight="false" outlineLevel="0" collapsed="false">
      <c r="A4583" s="0" t="n">
        <f aca="false">B4583*1000+C4583</f>
        <v>65008</v>
      </c>
      <c r="B4583" s="0" t="n">
        <v>65</v>
      </c>
      <c r="C4583" s="0" t="n">
        <v>8</v>
      </c>
      <c r="D4583" s="0" t="n">
        <v>364</v>
      </c>
      <c r="E4583" s="0" t="n">
        <f aca="false">VLOOKUP(B4583,'Babblefish-APUMA'!$A$1:$B$86,2)</f>
        <v>90</v>
      </c>
      <c r="F4583" s="0" t="n">
        <f aca="false">IF(C4583&gt;1,IF(C4583&lt;99,VLOOKUP(C4583,'Babblefish-APUMA'!$A$1:$B$86,2),C4583),C4583)</f>
        <v>8</v>
      </c>
    </row>
    <row r="4584" customFormat="false" ht="12.75" hidden="false" customHeight="false" outlineLevel="0" collapsed="false">
      <c r="A4584" s="0" t="n">
        <f aca="false">B4584*1000+C4584</f>
        <v>65009</v>
      </c>
      <c r="B4584" s="0" t="n">
        <v>65</v>
      </c>
      <c r="C4584" s="0" t="n">
        <v>9</v>
      </c>
      <c r="D4584" s="0" t="n">
        <v>156</v>
      </c>
      <c r="E4584" s="0" t="n">
        <f aca="false">VLOOKUP(B4584,'Babblefish-APUMA'!$A$1:$B$86,2)</f>
        <v>90</v>
      </c>
      <c r="F4584" s="0" t="n">
        <f aca="false">IF(C4584&gt;1,IF(C4584&lt;99,VLOOKUP(C4584,'Babblefish-APUMA'!$A$1:$B$86,2),C4584),C4584)</f>
        <v>9</v>
      </c>
    </row>
    <row r="4585" customFormat="false" ht="12.75" hidden="false" customHeight="false" outlineLevel="0" collapsed="false">
      <c r="A4585" s="0" t="n">
        <f aca="false">B4585*1000+C4585</f>
        <v>65010</v>
      </c>
      <c r="B4585" s="0" t="n">
        <v>65</v>
      </c>
      <c r="C4585" s="0" t="n">
        <v>10</v>
      </c>
      <c r="D4585" s="0" t="n">
        <v>0</v>
      </c>
      <c r="E4585" s="0" t="n">
        <f aca="false">VLOOKUP(B4585,'Babblefish-APUMA'!$A$1:$B$86,2)</f>
        <v>90</v>
      </c>
      <c r="F4585" s="0" t="n">
        <f aca="false">IF(C4585&gt;1,IF(C4585&lt;99,VLOOKUP(C4585,'Babblefish-APUMA'!$A$1:$B$86,2),C4585),C4585)</f>
        <v>10</v>
      </c>
    </row>
    <row r="4586" customFormat="false" ht="12.75" hidden="false" customHeight="false" outlineLevel="0" collapsed="false">
      <c r="A4586" s="0" t="n">
        <f aca="false">B4586*1000+C4586</f>
        <v>65011</v>
      </c>
      <c r="B4586" s="0" t="n">
        <v>65</v>
      </c>
      <c r="C4586" s="0" t="n">
        <v>11</v>
      </c>
      <c r="D4586" s="0" t="n">
        <v>234</v>
      </c>
      <c r="E4586" s="0" t="n">
        <f aca="false">VLOOKUP(B4586,'Babblefish-APUMA'!$A$1:$B$86,2)</f>
        <v>90</v>
      </c>
      <c r="F4586" s="0" t="n">
        <f aca="false">IF(C4586&gt;1,IF(C4586&lt;99,VLOOKUP(C4586,'Babblefish-APUMA'!$A$1:$B$86,2),C4586),C4586)</f>
        <v>11</v>
      </c>
    </row>
    <row r="4587" customFormat="false" ht="12.75" hidden="false" customHeight="false" outlineLevel="0" collapsed="false">
      <c r="A4587" s="0" t="n">
        <f aca="false">B4587*1000+C4587</f>
        <v>65012</v>
      </c>
      <c r="B4587" s="0" t="n">
        <v>65</v>
      </c>
      <c r="C4587" s="0" t="n">
        <v>12</v>
      </c>
      <c r="D4587" s="0" t="n">
        <v>0</v>
      </c>
      <c r="E4587" s="0" t="n">
        <f aca="false">VLOOKUP(B4587,'Babblefish-APUMA'!$A$1:$B$86,2)</f>
        <v>90</v>
      </c>
      <c r="F4587" s="0" t="n">
        <f aca="false">IF(C4587&gt;1,IF(C4587&lt;99,VLOOKUP(C4587,'Babblefish-APUMA'!$A$1:$B$86,2),C4587),C4587)</f>
        <v>12</v>
      </c>
    </row>
    <row r="4588" customFormat="false" ht="12.75" hidden="false" customHeight="false" outlineLevel="0" collapsed="false">
      <c r="A4588" s="0" t="n">
        <f aca="false">B4588*1000+C4588</f>
        <v>65013</v>
      </c>
      <c r="B4588" s="0" t="n">
        <v>65</v>
      </c>
      <c r="C4588" s="0" t="n">
        <v>13</v>
      </c>
      <c r="D4588" s="0" t="n">
        <v>0</v>
      </c>
      <c r="E4588" s="0" t="n">
        <f aca="false">VLOOKUP(B4588,'Babblefish-APUMA'!$A$1:$B$86,2)</f>
        <v>90</v>
      </c>
      <c r="F4588" s="0" t="n">
        <f aca="false">IF(C4588&gt;1,IF(C4588&lt;99,VLOOKUP(C4588,'Babblefish-APUMA'!$A$1:$B$86,2),C4588),C4588)</f>
        <v>100</v>
      </c>
    </row>
    <row r="4589" customFormat="false" ht="12.75" hidden="false" customHeight="false" outlineLevel="0" collapsed="false">
      <c r="A4589" s="0" t="n">
        <f aca="false">B4589*1000+C4589</f>
        <v>65014</v>
      </c>
      <c r="B4589" s="0" t="n">
        <v>65</v>
      </c>
      <c r="C4589" s="0" t="n">
        <v>14</v>
      </c>
      <c r="D4589" s="0" t="n">
        <v>0</v>
      </c>
      <c r="E4589" s="0" t="n">
        <f aca="false">VLOOKUP(B4589,'Babblefish-APUMA'!$A$1:$B$86,2)</f>
        <v>90</v>
      </c>
      <c r="F4589" s="0" t="n">
        <f aca="false">IF(C4589&gt;1,IF(C4589&lt;99,VLOOKUP(C4589,'Babblefish-APUMA'!$A$1:$B$86,2),C4589),C4589)</f>
        <v>100</v>
      </c>
    </row>
    <row r="4590" customFormat="false" ht="12.75" hidden="false" customHeight="false" outlineLevel="0" collapsed="false">
      <c r="A4590" s="0" t="n">
        <f aca="false">B4590*1000+C4590</f>
        <v>65015</v>
      </c>
      <c r="B4590" s="0" t="n">
        <v>65</v>
      </c>
      <c r="C4590" s="0" t="n">
        <v>15</v>
      </c>
      <c r="D4590" s="0" t="n">
        <v>0</v>
      </c>
      <c r="E4590" s="0" t="n">
        <f aca="false">VLOOKUP(B4590,'Babblefish-APUMA'!$A$1:$B$86,2)</f>
        <v>90</v>
      </c>
      <c r="F4590" s="0" t="n">
        <f aca="false">IF(C4590&gt;1,IF(C4590&lt;99,VLOOKUP(C4590,'Babblefish-APUMA'!$A$1:$B$86,2),C4590),C4590)</f>
        <v>15</v>
      </c>
    </row>
    <row r="4591" customFormat="false" ht="12.75" hidden="false" customHeight="false" outlineLevel="0" collapsed="false">
      <c r="A4591" s="0" t="n">
        <f aca="false">B4591*1000+C4591</f>
        <v>65016</v>
      </c>
      <c r="B4591" s="0" t="n">
        <v>65</v>
      </c>
      <c r="C4591" s="0" t="n">
        <v>16</v>
      </c>
      <c r="D4591" s="0" t="n">
        <v>247</v>
      </c>
      <c r="E4591" s="0" t="n">
        <f aca="false">VLOOKUP(B4591,'Babblefish-APUMA'!$A$1:$B$86,2)</f>
        <v>90</v>
      </c>
      <c r="F4591" s="0" t="n">
        <f aca="false">IF(C4591&gt;1,IF(C4591&lt;99,VLOOKUP(C4591,'Babblefish-APUMA'!$A$1:$B$86,2),C4591),C4591)</f>
        <v>99</v>
      </c>
    </row>
    <row r="4592" customFormat="false" ht="12.75" hidden="false" customHeight="false" outlineLevel="0" collapsed="false">
      <c r="A4592" s="0" t="n">
        <f aca="false">B4592*1000+C4592</f>
        <v>65017</v>
      </c>
      <c r="B4592" s="0" t="n">
        <v>65</v>
      </c>
      <c r="C4592" s="0" t="n">
        <v>17</v>
      </c>
      <c r="D4592" s="0" t="n">
        <v>91</v>
      </c>
      <c r="E4592" s="0" t="n">
        <f aca="false">VLOOKUP(B4592,'Babblefish-APUMA'!$A$1:$B$86,2)</f>
        <v>90</v>
      </c>
      <c r="F4592" s="0" t="n">
        <f aca="false">IF(C4592&gt;1,IF(C4592&lt;99,VLOOKUP(C4592,'Babblefish-APUMA'!$A$1:$B$86,2),C4592),C4592)</f>
        <v>87</v>
      </c>
    </row>
    <row r="4593" customFormat="false" ht="12.75" hidden="false" customHeight="false" outlineLevel="0" collapsed="false">
      <c r="A4593" s="0" t="n">
        <f aca="false">B4593*1000+C4593</f>
        <v>65018</v>
      </c>
      <c r="B4593" s="0" t="n">
        <v>65</v>
      </c>
      <c r="C4593" s="0" t="n">
        <v>18</v>
      </c>
      <c r="D4593" s="0" t="n">
        <v>559</v>
      </c>
      <c r="E4593" s="0" t="n">
        <f aca="false">VLOOKUP(B4593,'Babblefish-APUMA'!$A$1:$B$86,2)</f>
        <v>90</v>
      </c>
      <c r="F4593" s="0" t="n">
        <f aca="false">IF(C4593&gt;1,IF(C4593&lt;99,VLOOKUP(C4593,'Babblefish-APUMA'!$A$1:$B$86,2),C4593),C4593)</f>
        <v>87</v>
      </c>
    </row>
    <row r="4594" customFormat="false" ht="12.75" hidden="false" customHeight="false" outlineLevel="0" collapsed="false">
      <c r="A4594" s="0" t="n">
        <f aca="false">B4594*1000+C4594</f>
        <v>65019</v>
      </c>
      <c r="B4594" s="0" t="n">
        <v>65</v>
      </c>
      <c r="C4594" s="0" t="n">
        <v>19</v>
      </c>
      <c r="D4594" s="0" t="n">
        <v>806</v>
      </c>
      <c r="E4594" s="0" t="n">
        <f aca="false">VLOOKUP(B4594,'Babblefish-APUMA'!$A$1:$B$86,2)</f>
        <v>90</v>
      </c>
      <c r="F4594" s="0" t="n">
        <f aca="false">IF(C4594&gt;1,IF(C4594&lt;99,VLOOKUP(C4594,'Babblefish-APUMA'!$A$1:$B$86,2),C4594),C4594)</f>
        <v>19</v>
      </c>
    </row>
    <row r="4595" customFormat="false" ht="12.75" hidden="false" customHeight="false" outlineLevel="0" collapsed="false">
      <c r="A4595" s="0" t="n">
        <f aca="false">B4595*1000+C4595</f>
        <v>65020</v>
      </c>
      <c r="B4595" s="0" t="n">
        <v>65</v>
      </c>
      <c r="C4595" s="0" t="n">
        <v>20</v>
      </c>
      <c r="D4595" s="0" t="n">
        <v>0</v>
      </c>
      <c r="E4595" s="0" t="n">
        <f aca="false">VLOOKUP(B4595,'Babblefish-APUMA'!$A$1:$B$86,2)</f>
        <v>90</v>
      </c>
      <c r="F4595" s="0" t="n">
        <f aca="false">IF(C4595&gt;1,IF(C4595&lt;99,VLOOKUP(C4595,'Babblefish-APUMA'!$A$1:$B$86,2),C4595),C4595)</f>
        <v>86</v>
      </c>
    </row>
    <row r="4596" customFormat="false" ht="12.75" hidden="false" customHeight="false" outlineLevel="0" collapsed="false">
      <c r="A4596" s="0" t="n">
        <f aca="false">B4596*1000+C4596</f>
        <v>65021</v>
      </c>
      <c r="B4596" s="0" t="n">
        <v>65</v>
      </c>
      <c r="C4596" s="0" t="n">
        <v>21</v>
      </c>
      <c r="D4596" s="0" t="n">
        <v>455</v>
      </c>
      <c r="E4596" s="0" t="n">
        <f aca="false">VLOOKUP(B4596,'Babblefish-APUMA'!$A$1:$B$86,2)</f>
        <v>90</v>
      </c>
      <c r="F4596" s="0" t="n">
        <f aca="false">IF(C4596&gt;1,IF(C4596&lt;99,VLOOKUP(C4596,'Babblefish-APUMA'!$A$1:$B$86,2),C4596),C4596)</f>
        <v>86</v>
      </c>
    </row>
    <row r="4597" customFormat="false" ht="12.75" hidden="false" customHeight="false" outlineLevel="0" collapsed="false">
      <c r="A4597" s="0" t="n">
        <f aca="false">B4597*1000+C4597</f>
        <v>65022</v>
      </c>
      <c r="B4597" s="0" t="n">
        <v>65</v>
      </c>
      <c r="C4597" s="0" t="n">
        <v>22</v>
      </c>
      <c r="D4597" s="0" t="n">
        <v>1508</v>
      </c>
      <c r="E4597" s="0" t="n">
        <f aca="false">VLOOKUP(B4597,'Babblefish-APUMA'!$A$1:$B$86,2)</f>
        <v>90</v>
      </c>
      <c r="F4597" s="0" t="n">
        <f aca="false">IF(C4597&gt;1,IF(C4597&lt;99,VLOOKUP(C4597,'Babblefish-APUMA'!$A$1:$B$86,2),C4597),C4597)</f>
        <v>22</v>
      </c>
    </row>
    <row r="4598" customFormat="false" ht="12.75" hidden="false" customHeight="false" outlineLevel="0" collapsed="false">
      <c r="A4598" s="0" t="n">
        <f aca="false">B4598*1000+C4598</f>
        <v>65023</v>
      </c>
      <c r="B4598" s="0" t="n">
        <v>65</v>
      </c>
      <c r="C4598" s="0" t="n">
        <v>23</v>
      </c>
      <c r="D4598" s="0" t="n">
        <v>0</v>
      </c>
      <c r="E4598" s="0" t="n">
        <f aca="false">VLOOKUP(B4598,'Babblefish-APUMA'!$A$1:$B$86,2)</f>
        <v>90</v>
      </c>
      <c r="F4598" s="0" t="n">
        <f aca="false">IF(C4598&gt;1,IF(C4598&lt;99,VLOOKUP(C4598,'Babblefish-APUMA'!$A$1:$B$86,2),C4598),C4598)</f>
        <v>97</v>
      </c>
    </row>
    <row r="4599" customFormat="false" ht="12.75" hidden="false" customHeight="false" outlineLevel="0" collapsed="false">
      <c r="A4599" s="0" t="n">
        <f aca="false">B4599*1000+C4599</f>
        <v>65024</v>
      </c>
      <c r="B4599" s="0" t="n">
        <v>65</v>
      </c>
      <c r="C4599" s="0" t="n">
        <v>24</v>
      </c>
      <c r="D4599" s="0" t="n">
        <v>0</v>
      </c>
      <c r="E4599" s="0" t="n">
        <f aca="false">VLOOKUP(B4599,'Babblefish-APUMA'!$A$1:$B$86,2)</f>
        <v>90</v>
      </c>
      <c r="F4599" s="0" t="n">
        <f aca="false">IF(C4599&gt;1,IF(C4599&lt;99,VLOOKUP(C4599,'Babblefish-APUMA'!$A$1:$B$86,2),C4599),C4599)</f>
        <v>101</v>
      </c>
    </row>
    <row r="4600" customFormat="false" ht="12.75" hidden="false" customHeight="false" outlineLevel="0" collapsed="false">
      <c r="A4600" s="0" t="n">
        <f aca="false">B4600*1000+C4600</f>
        <v>65025</v>
      </c>
      <c r="B4600" s="0" t="n">
        <v>65</v>
      </c>
      <c r="C4600" s="0" t="n">
        <v>25</v>
      </c>
      <c r="D4600" s="0" t="n">
        <v>0</v>
      </c>
      <c r="E4600" s="0" t="n">
        <f aca="false">VLOOKUP(B4600,'Babblefish-APUMA'!$A$1:$B$86,2)</f>
        <v>90</v>
      </c>
      <c r="F4600" s="0" t="n">
        <f aca="false">IF(C4600&gt;1,IF(C4600&lt;99,VLOOKUP(C4600,'Babblefish-APUMA'!$A$1:$B$86,2),C4600),C4600)</f>
        <v>101</v>
      </c>
    </row>
    <row r="4601" customFormat="false" ht="12.75" hidden="false" customHeight="false" outlineLevel="0" collapsed="false">
      <c r="A4601" s="0" t="n">
        <f aca="false">B4601*1000+C4601</f>
        <v>65026</v>
      </c>
      <c r="B4601" s="0" t="n">
        <v>65</v>
      </c>
      <c r="C4601" s="0" t="n">
        <v>26</v>
      </c>
      <c r="D4601" s="0" t="n">
        <v>507</v>
      </c>
      <c r="E4601" s="0" t="n">
        <f aca="false">VLOOKUP(B4601,'Babblefish-APUMA'!$A$1:$B$86,2)</f>
        <v>90</v>
      </c>
      <c r="F4601" s="0" t="n">
        <f aca="false">IF(C4601&gt;1,IF(C4601&lt;99,VLOOKUP(C4601,'Babblefish-APUMA'!$A$1:$B$86,2),C4601),C4601)</f>
        <v>26</v>
      </c>
    </row>
    <row r="4602" customFormat="false" ht="12.75" hidden="false" customHeight="false" outlineLevel="0" collapsed="false">
      <c r="A4602" s="0" t="n">
        <f aca="false">B4602*1000+C4602</f>
        <v>65027</v>
      </c>
      <c r="B4602" s="0" t="n">
        <v>65</v>
      </c>
      <c r="C4602" s="0" t="n">
        <v>27</v>
      </c>
      <c r="D4602" s="0" t="n">
        <v>0</v>
      </c>
      <c r="E4602" s="0" t="n">
        <f aca="false">VLOOKUP(B4602,'Babblefish-APUMA'!$A$1:$B$86,2)</f>
        <v>90</v>
      </c>
      <c r="F4602" s="0" t="n">
        <f aca="false">IF(C4602&gt;1,IF(C4602&lt;99,VLOOKUP(C4602,'Babblefish-APUMA'!$A$1:$B$86,2),C4602),C4602)</f>
        <v>27</v>
      </c>
    </row>
    <row r="4603" customFormat="false" ht="12.75" hidden="false" customHeight="false" outlineLevel="0" collapsed="false">
      <c r="A4603" s="0" t="n">
        <f aca="false">B4603*1000+C4603</f>
        <v>65028</v>
      </c>
      <c r="B4603" s="0" t="n">
        <v>65</v>
      </c>
      <c r="C4603" s="0" t="n">
        <v>28</v>
      </c>
      <c r="D4603" s="0" t="n">
        <v>0</v>
      </c>
      <c r="E4603" s="0" t="n">
        <f aca="false">VLOOKUP(B4603,'Babblefish-APUMA'!$A$1:$B$86,2)</f>
        <v>90</v>
      </c>
      <c r="F4603" s="0" t="n">
        <f aca="false">IF(C4603&gt;1,IF(C4603&lt;99,VLOOKUP(C4603,'Babblefish-APUMA'!$A$1:$B$86,2),C4603),C4603)</f>
        <v>94</v>
      </c>
    </row>
    <row r="4604" customFormat="false" ht="12.75" hidden="false" customHeight="false" outlineLevel="0" collapsed="false">
      <c r="A4604" s="0" t="n">
        <f aca="false">B4604*1000+C4604</f>
        <v>65029</v>
      </c>
      <c r="B4604" s="0" t="n">
        <v>65</v>
      </c>
      <c r="C4604" s="0" t="n">
        <v>29</v>
      </c>
      <c r="D4604" s="0" t="n">
        <v>0</v>
      </c>
      <c r="E4604" s="0" t="n">
        <f aca="false">VLOOKUP(B4604,'Babblefish-APUMA'!$A$1:$B$86,2)</f>
        <v>90</v>
      </c>
      <c r="F4604" s="0" t="n">
        <f aca="false">IF(C4604&gt;1,IF(C4604&lt;99,VLOOKUP(C4604,'Babblefish-APUMA'!$A$1:$B$86,2),C4604),C4604)</f>
        <v>94</v>
      </c>
    </row>
    <row r="4605" customFormat="false" ht="12.75" hidden="false" customHeight="false" outlineLevel="0" collapsed="false">
      <c r="A4605" s="0" t="n">
        <f aca="false">B4605*1000+C4605</f>
        <v>65030</v>
      </c>
      <c r="B4605" s="0" t="n">
        <v>65</v>
      </c>
      <c r="C4605" s="0" t="n">
        <v>30</v>
      </c>
      <c r="D4605" s="0" t="n">
        <v>0</v>
      </c>
      <c r="E4605" s="0" t="n">
        <f aca="false">VLOOKUP(B4605,'Babblefish-APUMA'!$A$1:$B$86,2)</f>
        <v>90</v>
      </c>
      <c r="F4605" s="0" t="n">
        <f aca="false">IF(C4605&gt;1,IF(C4605&lt;99,VLOOKUP(C4605,'Babblefish-APUMA'!$A$1:$B$86,2),C4605),C4605)</f>
        <v>30</v>
      </c>
    </row>
    <row r="4606" customFormat="false" ht="12.75" hidden="false" customHeight="false" outlineLevel="0" collapsed="false">
      <c r="A4606" s="0" t="n">
        <f aca="false">B4606*1000+C4606</f>
        <v>65031</v>
      </c>
      <c r="B4606" s="0" t="n">
        <v>65</v>
      </c>
      <c r="C4606" s="0" t="n">
        <v>31</v>
      </c>
      <c r="D4606" s="0" t="n">
        <v>78</v>
      </c>
      <c r="E4606" s="0" t="n">
        <f aca="false">VLOOKUP(B4606,'Babblefish-APUMA'!$A$1:$B$86,2)</f>
        <v>90</v>
      </c>
      <c r="F4606" s="0" t="n">
        <f aca="false">IF(C4606&gt;1,IF(C4606&lt;99,VLOOKUP(C4606,'Babblefish-APUMA'!$A$1:$B$86,2),C4606),C4606)</f>
        <v>31</v>
      </c>
    </row>
    <row r="4607" customFormat="false" ht="12.75" hidden="false" customHeight="false" outlineLevel="0" collapsed="false">
      <c r="A4607" s="0" t="n">
        <f aca="false">B4607*1000+C4607</f>
        <v>65032</v>
      </c>
      <c r="B4607" s="0" t="n">
        <v>65</v>
      </c>
      <c r="C4607" s="0" t="n">
        <v>32</v>
      </c>
      <c r="D4607" s="0" t="n">
        <v>754</v>
      </c>
      <c r="E4607" s="0" t="n">
        <f aca="false">VLOOKUP(B4607,'Babblefish-APUMA'!$A$1:$B$86,2)</f>
        <v>90</v>
      </c>
      <c r="F4607" s="0" t="n">
        <f aca="false">IF(C4607&gt;1,IF(C4607&lt;99,VLOOKUP(C4607,'Babblefish-APUMA'!$A$1:$B$86,2),C4607),C4607)</f>
        <v>32</v>
      </c>
    </row>
    <row r="4608" customFormat="false" ht="12.75" hidden="false" customHeight="false" outlineLevel="0" collapsed="false">
      <c r="A4608" s="0" t="n">
        <f aca="false">B4608*1000+C4608</f>
        <v>65033</v>
      </c>
      <c r="B4608" s="0" t="n">
        <v>65</v>
      </c>
      <c r="C4608" s="0" t="n">
        <v>33</v>
      </c>
      <c r="D4608" s="0" t="n">
        <v>676</v>
      </c>
      <c r="E4608" s="0" t="n">
        <f aca="false">VLOOKUP(B4608,'Babblefish-APUMA'!$A$1:$B$86,2)</f>
        <v>90</v>
      </c>
      <c r="F4608" s="0" t="n">
        <f aca="false">IF(C4608&gt;1,IF(C4608&lt;99,VLOOKUP(C4608,'Babblefish-APUMA'!$A$1:$B$86,2),C4608),C4608)</f>
        <v>96</v>
      </c>
    </row>
    <row r="4609" customFormat="false" ht="12.75" hidden="false" customHeight="false" outlineLevel="0" collapsed="false">
      <c r="A4609" s="0" t="n">
        <f aca="false">B4609*1000+C4609</f>
        <v>65034</v>
      </c>
      <c r="B4609" s="0" t="n">
        <v>65</v>
      </c>
      <c r="C4609" s="0" t="n">
        <v>34</v>
      </c>
      <c r="D4609" s="0" t="n">
        <v>0</v>
      </c>
      <c r="E4609" s="0" t="n">
        <f aca="false">VLOOKUP(B4609,'Babblefish-APUMA'!$A$1:$B$86,2)</f>
        <v>90</v>
      </c>
      <c r="F4609" s="0" t="n">
        <f aca="false">IF(C4609&gt;1,IF(C4609&lt;99,VLOOKUP(C4609,'Babblefish-APUMA'!$A$1:$B$86,2),C4609),C4609)</f>
        <v>96</v>
      </c>
    </row>
    <row r="4610" customFormat="false" ht="12.75" hidden="false" customHeight="false" outlineLevel="0" collapsed="false">
      <c r="A4610" s="0" t="n">
        <f aca="false">B4610*1000+C4610</f>
        <v>65035</v>
      </c>
      <c r="B4610" s="0" t="n">
        <v>65</v>
      </c>
      <c r="C4610" s="0" t="n">
        <v>35</v>
      </c>
      <c r="D4610" s="0" t="n">
        <v>130</v>
      </c>
      <c r="E4610" s="0" t="n">
        <f aca="false">VLOOKUP(B4610,'Babblefish-APUMA'!$A$1:$B$86,2)</f>
        <v>90</v>
      </c>
      <c r="F4610" s="0" t="n">
        <f aca="false">IF(C4610&gt;1,IF(C4610&lt;99,VLOOKUP(C4610,'Babblefish-APUMA'!$A$1:$B$86,2),C4610),C4610)</f>
        <v>96</v>
      </c>
    </row>
    <row r="4611" customFormat="false" ht="12.75" hidden="false" customHeight="false" outlineLevel="0" collapsed="false">
      <c r="A4611" s="0" t="n">
        <f aca="false">B4611*1000+C4611</f>
        <v>65036</v>
      </c>
      <c r="B4611" s="0" t="n">
        <v>65</v>
      </c>
      <c r="C4611" s="0" t="n">
        <v>36</v>
      </c>
      <c r="D4611" s="0" t="n">
        <v>104</v>
      </c>
      <c r="E4611" s="0" t="n">
        <f aca="false">VLOOKUP(B4611,'Babblefish-APUMA'!$A$1:$B$86,2)</f>
        <v>90</v>
      </c>
      <c r="F4611" s="0" t="n">
        <f aca="false">IF(C4611&gt;1,IF(C4611&lt;99,VLOOKUP(C4611,'Babblefish-APUMA'!$A$1:$B$86,2),C4611),C4611)</f>
        <v>96</v>
      </c>
    </row>
    <row r="4612" customFormat="false" ht="12.75" hidden="false" customHeight="false" outlineLevel="0" collapsed="false">
      <c r="A4612" s="0" t="n">
        <f aca="false">B4612*1000+C4612</f>
        <v>65037</v>
      </c>
      <c r="B4612" s="0" t="n">
        <v>65</v>
      </c>
      <c r="C4612" s="0" t="n">
        <v>37</v>
      </c>
      <c r="D4612" s="0" t="n">
        <v>507</v>
      </c>
      <c r="E4612" s="0" t="n">
        <f aca="false">VLOOKUP(B4612,'Babblefish-APUMA'!$A$1:$B$86,2)</f>
        <v>90</v>
      </c>
      <c r="F4612" s="0" t="n">
        <f aca="false">IF(C4612&gt;1,IF(C4612&lt;99,VLOOKUP(C4612,'Babblefish-APUMA'!$A$1:$B$86,2),C4612),C4612)</f>
        <v>96</v>
      </c>
    </row>
    <row r="4613" customFormat="false" ht="12.75" hidden="false" customHeight="false" outlineLevel="0" collapsed="false">
      <c r="A4613" s="0" t="n">
        <f aca="false">B4613*1000+C4613</f>
        <v>65038</v>
      </c>
      <c r="B4613" s="0" t="n">
        <v>65</v>
      </c>
      <c r="C4613" s="0" t="n">
        <v>38</v>
      </c>
      <c r="D4613" s="0" t="n">
        <v>0</v>
      </c>
      <c r="E4613" s="0" t="n">
        <f aca="false">VLOOKUP(B4613,'Babblefish-APUMA'!$A$1:$B$86,2)</f>
        <v>90</v>
      </c>
      <c r="F4613" s="0" t="n">
        <f aca="false">IF(C4613&gt;1,IF(C4613&lt;99,VLOOKUP(C4613,'Babblefish-APUMA'!$A$1:$B$86,2),C4613),C4613)</f>
        <v>91</v>
      </c>
    </row>
    <row r="4614" customFormat="false" ht="12.75" hidden="false" customHeight="false" outlineLevel="0" collapsed="false">
      <c r="A4614" s="0" t="n">
        <f aca="false">B4614*1000+C4614</f>
        <v>65039</v>
      </c>
      <c r="B4614" s="0" t="n">
        <v>65</v>
      </c>
      <c r="C4614" s="0" t="n">
        <v>39</v>
      </c>
      <c r="D4614" s="0" t="n">
        <v>390</v>
      </c>
      <c r="E4614" s="0" t="n">
        <f aca="false">VLOOKUP(B4614,'Babblefish-APUMA'!$A$1:$B$86,2)</f>
        <v>90</v>
      </c>
      <c r="F4614" s="0" t="n">
        <f aca="false">IF(C4614&gt;1,IF(C4614&lt;99,VLOOKUP(C4614,'Babblefish-APUMA'!$A$1:$B$86,2),C4614),C4614)</f>
        <v>91</v>
      </c>
    </row>
    <row r="4615" customFormat="false" ht="12.75" hidden="false" customHeight="false" outlineLevel="0" collapsed="false">
      <c r="A4615" s="0" t="n">
        <f aca="false">B4615*1000+C4615</f>
        <v>65040</v>
      </c>
      <c r="B4615" s="0" t="n">
        <v>65</v>
      </c>
      <c r="C4615" s="0" t="n">
        <v>40</v>
      </c>
      <c r="D4615" s="0" t="n">
        <v>143</v>
      </c>
      <c r="E4615" s="0" t="n">
        <f aca="false">VLOOKUP(B4615,'Babblefish-APUMA'!$A$1:$B$86,2)</f>
        <v>90</v>
      </c>
      <c r="F4615" s="0" t="n">
        <f aca="false">IF(C4615&gt;1,IF(C4615&lt;99,VLOOKUP(C4615,'Babblefish-APUMA'!$A$1:$B$86,2),C4615),C4615)</f>
        <v>88</v>
      </c>
    </row>
    <row r="4616" customFormat="false" ht="12.75" hidden="false" customHeight="false" outlineLevel="0" collapsed="false">
      <c r="A4616" s="0" t="n">
        <f aca="false">B4616*1000+C4616</f>
        <v>65041</v>
      </c>
      <c r="B4616" s="0" t="n">
        <v>65</v>
      </c>
      <c r="C4616" s="0" t="n">
        <v>41</v>
      </c>
      <c r="D4616" s="0" t="n">
        <v>0</v>
      </c>
      <c r="E4616" s="0" t="n">
        <f aca="false">VLOOKUP(B4616,'Babblefish-APUMA'!$A$1:$B$86,2)</f>
        <v>90</v>
      </c>
      <c r="F4616" s="0" t="n">
        <f aca="false">IF(C4616&gt;1,IF(C4616&lt;99,VLOOKUP(C4616,'Babblefish-APUMA'!$A$1:$B$86,2),C4616),C4616)</f>
        <v>88</v>
      </c>
    </row>
    <row r="4617" customFormat="false" ht="12.75" hidden="false" customHeight="false" outlineLevel="0" collapsed="false">
      <c r="A4617" s="0" t="n">
        <f aca="false">B4617*1000+C4617</f>
        <v>65042</v>
      </c>
      <c r="B4617" s="0" t="n">
        <v>65</v>
      </c>
      <c r="C4617" s="0" t="n">
        <v>42</v>
      </c>
      <c r="D4617" s="0" t="n">
        <v>598</v>
      </c>
      <c r="E4617" s="0" t="n">
        <f aca="false">VLOOKUP(B4617,'Babblefish-APUMA'!$A$1:$B$86,2)</f>
        <v>90</v>
      </c>
      <c r="F4617" s="0" t="n">
        <f aca="false">IF(C4617&gt;1,IF(C4617&lt;99,VLOOKUP(C4617,'Babblefish-APUMA'!$A$1:$B$86,2),C4617),C4617)</f>
        <v>92</v>
      </c>
    </row>
    <row r="4618" customFormat="false" ht="12.75" hidden="false" customHeight="false" outlineLevel="0" collapsed="false">
      <c r="A4618" s="0" t="n">
        <f aca="false">B4618*1000+C4618</f>
        <v>65043</v>
      </c>
      <c r="B4618" s="0" t="n">
        <v>65</v>
      </c>
      <c r="C4618" s="0" t="n">
        <v>43</v>
      </c>
      <c r="D4618" s="0" t="n">
        <v>117</v>
      </c>
      <c r="E4618" s="0" t="n">
        <f aca="false">VLOOKUP(B4618,'Babblefish-APUMA'!$A$1:$B$86,2)</f>
        <v>90</v>
      </c>
      <c r="F4618" s="0" t="n">
        <f aca="false">IF(C4618&gt;1,IF(C4618&lt;99,VLOOKUP(C4618,'Babblefish-APUMA'!$A$1:$B$86,2),C4618),C4618)</f>
        <v>92</v>
      </c>
    </row>
    <row r="4619" customFormat="false" ht="12.75" hidden="false" customHeight="false" outlineLevel="0" collapsed="false">
      <c r="A4619" s="0" t="n">
        <f aca="false">B4619*1000+C4619</f>
        <v>65044</v>
      </c>
      <c r="B4619" s="0" t="n">
        <v>65</v>
      </c>
      <c r="C4619" s="0" t="n">
        <v>44</v>
      </c>
      <c r="D4619" s="0" t="n">
        <v>0</v>
      </c>
      <c r="E4619" s="0" t="n">
        <f aca="false">VLOOKUP(B4619,'Babblefish-APUMA'!$A$1:$B$86,2)</f>
        <v>90</v>
      </c>
      <c r="F4619" s="0" t="n">
        <f aca="false">IF(C4619&gt;1,IF(C4619&lt;99,VLOOKUP(C4619,'Babblefish-APUMA'!$A$1:$B$86,2),C4619),C4619)</f>
        <v>92</v>
      </c>
    </row>
    <row r="4620" customFormat="false" ht="12.75" hidden="false" customHeight="false" outlineLevel="0" collapsed="false">
      <c r="A4620" s="0" t="n">
        <f aca="false">B4620*1000+C4620</f>
        <v>65045</v>
      </c>
      <c r="B4620" s="0" t="n">
        <v>65</v>
      </c>
      <c r="C4620" s="0" t="n">
        <v>45</v>
      </c>
      <c r="D4620" s="0" t="n">
        <v>65</v>
      </c>
      <c r="E4620" s="0" t="n">
        <f aca="false">VLOOKUP(B4620,'Babblefish-APUMA'!$A$1:$B$86,2)</f>
        <v>90</v>
      </c>
      <c r="F4620" s="0" t="n">
        <f aca="false">IF(C4620&gt;1,IF(C4620&lt;99,VLOOKUP(C4620,'Babblefish-APUMA'!$A$1:$B$86,2),C4620),C4620)</f>
        <v>92</v>
      </c>
    </row>
    <row r="4621" customFormat="false" ht="12.75" hidden="false" customHeight="false" outlineLevel="0" collapsed="false">
      <c r="A4621" s="0" t="n">
        <f aca="false">B4621*1000+C4621</f>
        <v>65046</v>
      </c>
      <c r="B4621" s="0" t="n">
        <v>65</v>
      </c>
      <c r="C4621" s="0" t="n">
        <v>46</v>
      </c>
      <c r="D4621" s="0" t="n">
        <v>1209</v>
      </c>
      <c r="E4621" s="0" t="n">
        <f aca="false">VLOOKUP(B4621,'Babblefish-APUMA'!$A$1:$B$86,2)</f>
        <v>90</v>
      </c>
      <c r="F4621" s="0" t="n">
        <f aca="false">IF(C4621&gt;1,IF(C4621&lt;99,VLOOKUP(C4621,'Babblefish-APUMA'!$A$1:$B$86,2),C4621),C4621)</f>
        <v>92</v>
      </c>
    </row>
    <row r="4622" customFormat="false" ht="12.75" hidden="false" customHeight="false" outlineLevel="0" collapsed="false">
      <c r="A4622" s="0" t="n">
        <f aca="false">B4622*1000+C4622</f>
        <v>65047</v>
      </c>
      <c r="B4622" s="0" t="n">
        <v>65</v>
      </c>
      <c r="C4622" s="0" t="n">
        <v>47</v>
      </c>
      <c r="D4622" s="0" t="n">
        <v>65</v>
      </c>
      <c r="E4622" s="0" t="n">
        <f aca="false">VLOOKUP(B4622,'Babblefish-APUMA'!$A$1:$B$86,2)</f>
        <v>90</v>
      </c>
      <c r="F4622" s="0" t="n">
        <f aca="false">IF(C4622&gt;1,IF(C4622&lt;99,VLOOKUP(C4622,'Babblefish-APUMA'!$A$1:$B$86,2),C4622),C4622)</f>
        <v>92</v>
      </c>
    </row>
    <row r="4623" customFormat="false" ht="12.75" hidden="false" customHeight="false" outlineLevel="0" collapsed="false">
      <c r="A4623" s="0" t="n">
        <f aca="false">B4623*1000+C4623</f>
        <v>65048</v>
      </c>
      <c r="B4623" s="0" t="n">
        <v>65</v>
      </c>
      <c r="C4623" s="0" t="n">
        <v>48</v>
      </c>
      <c r="D4623" s="0" t="n">
        <v>9841</v>
      </c>
      <c r="E4623" s="0" t="n">
        <f aca="false">VLOOKUP(B4623,'Babblefish-APUMA'!$A$1:$B$86,2)</f>
        <v>90</v>
      </c>
      <c r="F4623" s="0" t="n">
        <f aca="false">IF(C4623&gt;1,IF(C4623&lt;99,VLOOKUP(C4623,'Babblefish-APUMA'!$A$1:$B$86,2),C4623),C4623)</f>
        <v>92</v>
      </c>
    </row>
    <row r="4624" customFormat="false" ht="12.75" hidden="false" customHeight="false" outlineLevel="0" collapsed="false">
      <c r="A4624" s="0" t="n">
        <f aca="false">B4624*1000+C4624</f>
        <v>65049</v>
      </c>
      <c r="B4624" s="0" t="n">
        <v>65</v>
      </c>
      <c r="C4624" s="0" t="n">
        <v>49</v>
      </c>
      <c r="D4624" s="0" t="n">
        <v>0</v>
      </c>
      <c r="E4624" s="0" t="n">
        <f aca="false">VLOOKUP(B4624,'Babblefish-APUMA'!$A$1:$B$86,2)</f>
        <v>90</v>
      </c>
      <c r="F4624" s="0" t="n">
        <f aca="false">IF(C4624&gt;1,IF(C4624&lt;99,VLOOKUP(C4624,'Babblefish-APUMA'!$A$1:$B$86,2),C4624),C4624)</f>
        <v>98</v>
      </c>
    </row>
    <row r="4625" customFormat="false" ht="12.75" hidden="false" customHeight="false" outlineLevel="0" collapsed="false">
      <c r="A4625" s="0" t="n">
        <f aca="false">B4625*1000+C4625</f>
        <v>65050</v>
      </c>
      <c r="B4625" s="0" t="n">
        <v>65</v>
      </c>
      <c r="C4625" s="0" t="n">
        <v>50</v>
      </c>
      <c r="D4625" s="0" t="n">
        <v>104</v>
      </c>
      <c r="E4625" s="0" t="n">
        <f aca="false">VLOOKUP(B4625,'Babblefish-APUMA'!$A$1:$B$86,2)</f>
        <v>90</v>
      </c>
      <c r="F4625" s="0" t="n">
        <f aca="false">IF(C4625&gt;1,IF(C4625&lt;99,VLOOKUP(C4625,'Babblefish-APUMA'!$A$1:$B$86,2),C4625),C4625)</f>
        <v>98</v>
      </c>
    </row>
    <row r="4626" customFormat="false" ht="12.75" hidden="false" customHeight="false" outlineLevel="0" collapsed="false">
      <c r="A4626" s="0" t="n">
        <f aca="false">B4626*1000+C4626</f>
        <v>65051</v>
      </c>
      <c r="B4626" s="0" t="n">
        <v>65</v>
      </c>
      <c r="C4626" s="0" t="n">
        <v>51</v>
      </c>
      <c r="D4626" s="0" t="n">
        <v>117</v>
      </c>
      <c r="E4626" s="0" t="n">
        <f aca="false">VLOOKUP(B4626,'Babblefish-APUMA'!$A$1:$B$86,2)</f>
        <v>90</v>
      </c>
      <c r="F4626" s="0" t="n">
        <f aca="false">IF(C4626&gt;1,IF(C4626&lt;99,VLOOKUP(C4626,'Babblefish-APUMA'!$A$1:$B$86,2),C4626),C4626)</f>
        <v>98</v>
      </c>
    </row>
    <row r="4627" customFormat="false" ht="12.75" hidden="false" customHeight="false" outlineLevel="0" collapsed="false">
      <c r="A4627" s="0" t="n">
        <f aca="false">B4627*1000+C4627</f>
        <v>65052</v>
      </c>
      <c r="B4627" s="0" t="n">
        <v>65</v>
      </c>
      <c r="C4627" s="0" t="n">
        <v>52</v>
      </c>
      <c r="D4627" s="0" t="n">
        <v>53742</v>
      </c>
      <c r="E4627" s="0" t="n">
        <f aca="false">VLOOKUP(B4627,'Babblefish-APUMA'!$A$1:$B$86,2)</f>
        <v>90</v>
      </c>
      <c r="F4627" s="0" t="n">
        <f aca="false">IF(C4627&gt;1,IF(C4627&lt;99,VLOOKUP(C4627,'Babblefish-APUMA'!$A$1:$B$86,2),C4627),C4627)</f>
        <v>90</v>
      </c>
    </row>
    <row r="4628" customFormat="false" ht="12.75" hidden="false" customHeight="false" outlineLevel="0" collapsed="false">
      <c r="A4628" s="0" t="n">
        <f aca="false">B4628*1000+C4628</f>
        <v>65053</v>
      </c>
      <c r="B4628" s="0" t="n">
        <v>65</v>
      </c>
      <c r="C4628" s="0" t="n">
        <v>53</v>
      </c>
      <c r="D4628" s="0" t="n">
        <v>27274</v>
      </c>
      <c r="E4628" s="0" t="n">
        <f aca="false">VLOOKUP(B4628,'Babblefish-APUMA'!$A$1:$B$86,2)</f>
        <v>90</v>
      </c>
      <c r="F4628" s="0" t="n">
        <f aca="false">IF(C4628&gt;1,IF(C4628&lt;99,VLOOKUP(C4628,'Babblefish-APUMA'!$A$1:$B$86,2),C4628),C4628)</f>
        <v>90</v>
      </c>
    </row>
    <row r="4629" customFormat="false" ht="12.75" hidden="false" customHeight="false" outlineLevel="0" collapsed="false">
      <c r="A4629" s="0" t="n">
        <f aca="false">B4629*1000+C4629</f>
        <v>65054</v>
      </c>
      <c r="B4629" s="0" t="n">
        <v>65</v>
      </c>
      <c r="C4629" s="0" t="n">
        <v>54</v>
      </c>
      <c r="D4629" s="0" t="n">
        <v>4355</v>
      </c>
      <c r="E4629" s="0" t="n">
        <f aca="false">VLOOKUP(B4629,'Babblefish-APUMA'!$A$1:$B$86,2)</f>
        <v>90</v>
      </c>
      <c r="F4629" s="0" t="n">
        <f aca="false">IF(C4629&gt;1,IF(C4629&lt;99,VLOOKUP(C4629,'Babblefish-APUMA'!$A$1:$B$86,2),C4629),C4629)</f>
        <v>90</v>
      </c>
    </row>
    <row r="4630" customFormat="false" ht="12.75" hidden="false" customHeight="false" outlineLevel="0" collapsed="false">
      <c r="A4630" s="0" t="n">
        <f aca="false">B4630*1000+C4630</f>
        <v>65055</v>
      </c>
      <c r="B4630" s="0" t="n">
        <v>65</v>
      </c>
      <c r="C4630" s="0" t="n">
        <v>55</v>
      </c>
      <c r="D4630" s="0" t="n">
        <v>6903</v>
      </c>
      <c r="E4630" s="0" t="n">
        <f aca="false">VLOOKUP(B4630,'Babblefish-APUMA'!$A$1:$B$86,2)</f>
        <v>90</v>
      </c>
      <c r="F4630" s="0" t="n">
        <f aca="false">IF(C4630&gt;1,IF(C4630&lt;99,VLOOKUP(C4630,'Babblefish-APUMA'!$A$1:$B$86,2),C4630),C4630)</f>
        <v>90</v>
      </c>
    </row>
    <row r="4631" customFormat="false" ht="12.75" hidden="false" customHeight="false" outlineLevel="0" collapsed="false">
      <c r="A4631" s="0" t="n">
        <f aca="false">B4631*1000+C4631</f>
        <v>65056</v>
      </c>
      <c r="B4631" s="0" t="n">
        <v>65</v>
      </c>
      <c r="C4631" s="0" t="n">
        <v>56</v>
      </c>
      <c r="D4631" s="0" t="n">
        <v>5122</v>
      </c>
      <c r="E4631" s="0" t="n">
        <f aca="false">VLOOKUP(B4631,'Babblefish-APUMA'!$A$1:$B$86,2)</f>
        <v>90</v>
      </c>
      <c r="F4631" s="0" t="n">
        <f aca="false">IF(C4631&gt;1,IF(C4631&lt;99,VLOOKUP(C4631,'Babblefish-APUMA'!$A$1:$B$86,2),C4631),C4631)</f>
        <v>90</v>
      </c>
    </row>
    <row r="4632" customFormat="false" ht="12.75" hidden="false" customHeight="false" outlineLevel="0" collapsed="false">
      <c r="A4632" s="0" t="n">
        <f aca="false">B4632*1000+C4632</f>
        <v>65057</v>
      </c>
      <c r="B4632" s="0" t="n">
        <v>65</v>
      </c>
      <c r="C4632" s="0" t="n">
        <v>57</v>
      </c>
      <c r="D4632" s="0" t="n">
        <v>4030</v>
      </c>
      <c r="E4632" s="0" t="n">
        <f aca="false">VLOOKUP(B4632,'Babblefish-APUMA'!$A$1:$B$86,2)</f>
        <v>90</v>
      </c>
      <c r="F4632" s="0" t="n">
        <f aca="false">IF(C4632&gt;1,IF(C4632&lt;99,VLOOKUP(C4632,'Babblefish-APUMA'!$A$1:$B$86,2),C4632),C4632)</f>
        <v>90</v>
      </c>
    </row>
    <row r="4633" customFormat="false" ht="12.75" hidden="false" customHeight="false" outlineLevel="0" collapsed="false">
      <c r="A4633" s="0" t="n">
        <f aca="false">B4633*1000+C4633</f>
        <v>65058</v>
      </c>
      <c r="B4633" s="0" t="n">
        <v>65</v>
      </c>
      <c r="C4633" s="0" t="n">
        <v>58</v>
      </c>
      <c r="D4633" s="0" t="n">
        <v>2054</v>
      </c>
      <c r="E4633" s="0" t="n">
        <f aca="false">VLOOKUP(B4633,'Babblefish-APUMA'!$A$1:$B$86,2)</f>
        <v>90</v>
      </c>
      <c r="F4633" s="0" t="n">
        <f aca="false">IF(C4633&gt;1,IF(C4633&lt;99,VLOOKUP(C4633,'Babblefish-APUMA'!$A$1:$B$86,2),C4633),C4633)</f>
        <v>90</v>
      </c>
    </row>
    <row r="4634" customFormat="false" ht="12.75" hidden="false" customHeight="false" outlineLevel="0" collapsed="false">
      <c r="A4634" s="0" t="n">
        <f aca="false">B4634*1000+C4634</f>
        <v>65059</v>
      </c>
      <c r="B4634" s="0" t="n">
        <v>65</v>
      </c>
      <c r="C4634" s="0" t="n">
        <v>59</v>
      </c>
      <c r="D4634" s="0" t="n">
        <v>2054</v>
      </c>
      <c r="E4634" s="0" t="n">
        <f aca="false">VLOOKUP(B4634,'Babblefish-APUMA'!$A$1:$B$86,2)</f>
        <v>90</v>
      </c>
      <c r="F4634" s="0" t="n">
        <f aca="false">IF(C4634&gt;1,IF(C4634&lt;99,VLOOKUP(C4634,'Babblefish-APUMA'!$A$1:$B$86,2),C4634),C4634)</f>
        <v>90</v>
      </c>
    </row>
    <row r="4635" customFormat="false" ht="12.75" hidden="false" customHeight="false" outlineLevel="0" collapsed="false">
      <c r="A4635" s="0" t="n">
        <f aca="false">B4635*1000+C4635</f>
        <v>65060</v>
      </c>
      <c r="B4635" s="0" t="n">
        <v>65</v>
      </c>
      <c r="C4635" s="0" t="n">
        <v>60</v>
      </c>
      <c r="D4635" s="0" t="n">
        <v>13494</v>
      </c>
      <c r="E4635" s="0" t="n">
        <f aca="false">VLOOKUP(B4635,'Babblefish-APUMA'!$A$1:$B$86,2)</f>
        <v>90</v>
      </c>
      <c r="F4635" s="0" t="n">
        <f aca="false">IF(C4635&gt;1,IF(C4635&lt;99,VLOOKUP(C4635,'Babblefish-APUMA'!$A$1:$B$86,2),C4635),C4635)</f>
        <v>90</v>
      </c>
    </row>
    <row r="4636" customFormat="false" ht="12.75" hidden="false" customHeight="false" outlineLevel="0" collapsed="false">
      <c r="A4636" s="0" t="n">
        <f aca="false">B4636*1000+C4636</f>
        <v>65061</v>
      </c>
      <c r="B4636" s="0" t="n">
        <v>65</v>
      </c>
      <c r="C4636" s="0" t="n">
        <v>61</v>
      </c>
      <c r="D4636" s="0" t="n">
        <v>10283</v>
      </c>
      <c r="E4636" s="0" t="n">
        <f aca="false">VLOOKUP(B4636,'Babblefish-APUMA'!$A$1:$B$86,2)</f>
        <v>90</v>
      </c>
      <c r="F4636" s="0" t="n">
        <f aca="false">IF(C4636&gt;1,IF(C4636&lt;99,VLOOKUP(C4636,'Babblefish-APUMA'!$A$1:$B$86,2),C4636),C4636)</f>
        <v>90</v>
      </c>
    </row>
    <row r="4637" customFormat="false" ht="12.75" hidden="false" customHeight="false" outlineLevel="0" collapsed="false">
      <c r="A4637" s="0" t="n">
        <f aca="false">B4637*1000+C4637</f>
        <v>65062</v>
      </c>
      <c r="B4637" s="0" t="n">
        <v>65</v>
      </c>
      <c r="C4637" s="0" t="n">
        <v>62</v>
      </c>
      <c r="D4637" s="0" t="n">
        <v>67041</v>
      </c>
      <c r="E4637" s="0" t="n">
        <f aca="false">VLOOKUP(B4637,'Babblefish-APUMA'!$A$1:$B$86,2)</f>
        <v>90</v>
      </c>
      <c r="F4637" s="0" t="n">
        <f aca="false">IF(C4637&gt;1,IF(C4637&lt;99,VLOOKUP(C4637,'Babblefish-APUMA'!$A$1:$B$86,2),C4637),C4637)</f>
        <v>90</v>
      </c>
    </row>
    <row r="4638" customFormat="false" ht="12.75" hidden="false" customHeight="false" outlineLevel="0" collapsed="false">
      <c r="A4638" s="0" t="n">
        <f aca="false">B4638*1000+C4638</f>
        <v>65063</v>
      </c>
      <c r="B4638" s="0" t="n">
        <v>65</v>
      </c>
      <c r="C4638" s="0" t="n">
        <v>63</v>
      </c>
      <c r="D4638" s="0" t="n">
        <v>15015</v>
      </c>
      <c r="E4638" s="0" t="n">
        <f aca="false">VLOOKUP(B4638,'Babblefish-APUMA'!$A$1:$B$86,2)</f>
        <v>90</v>
      </c>
      <c r="F4638" s="0" t="n">
        <f aca="false">IF(C4638&gt;1,IF(C4638&lt;99,VLOOKUP(C4638,'Babblefish-APUMA'!$A$1:$B$86,2),C4638),C4638)</f>
        <v>90</v>
      </c>
    </row>
    <row r="4639" customFormat="false" ht="12.75" hidden="false" customHeight="false" outlineLevel="0" collapsed="false">
      <c r="A4639" s="0" t="n">
        <f aca="false">B4639*1000+C4639</f>
        <v>65064</v>
      </c>
      <c r="B4639" s="0" t="n">
        <v>65</v>
      </c>
      <c r="C4639" s="0" t="n">
        <v>64</v>
      </c>
      <c r="D4639" s="0" t="n">
        <v>230763</v>
      </c>
      <c r="E4639" s="0" t="n">
        <f aca="false">VLOOKUP(B4639,'Babblefish-APUMA'!$A$1:$B$86,2)</f>
        <v>90</v>
      </c>
      <c r="F4639" s="0" t="n">
        <f aca="false">IF(C4639&gt;1,IF(C4639&lt;99,VLOOKUP(C4639,'Babblefish-APUMA'!$A$1:$B$86,2),C4639),C4639)</f>
        <v>90</v>
      </c>
    </row>
    <row r="4640" customFormat="false" ht="12.75" hidden="false" customHeight="false" outlineLevel="0" collapsed="false">
      <c r="A4640" s="0" t="n">
        <f aca="false">B4640*1000+C4640</f>
        <v>65065</v>
      </c>
      <c r="B4640" s="0" t="n">
        <v>65</v>
      </c>
      <c r="C4640" s="0" t="n">
        <v>65</v>
      </c>
      <c r="D4640" s="0" t="n">
        <v>1126294</v>
      </c>
      <c r="E4640" s="0" t="n">
        <f aca="false">VLOOKUP(B4640,'Babblefish-APUMA'!$A$1:$B$86,2)</f>
        <v>90</v>
      </c>
      <c r="F4640" s="0" t="n">
        <f aca="false">IF(C4640&gt;1,IF(C4640&lt;99,VLOOKUP(C4640,'Babblefish-APUMA'!$A$1:$B$86,2),C4640),C4640)</f>
        <v>90</v>
      </c>
    </row>
    <row r="4641" customFormat="false" ht="12.75" hidden="false" customHeight="false" outlineLevel="0" collapsed="false">
      <c r="A4641" s="0" t="n">
        <f aca="false">B4641*1000+C4641</f>
        <v>65066</v>
      </c>
      <c r="B4641" s="0" t="n">
        <v>65</v>
      </c>
      <c r="C4641" s="0" t="n">
        <v>66</v>
      </c>
      <c r="D4641" s="0" t="n">
        <v>16029</v>
      </c>
      <c r="E4641" s="0" t="n">
        <f aca="false">VLOOKUP(B4641,'Babblefish-APUMA'!$A$1:$B$86,2)</f>
        <v>90</v>
      </c>
      <c r="F4641" s="0" t="n">
        <f aca="false">IF(C4641&gt;1,IF(C4641&lt;99,VLOOKUP(C4641,'Babblefish-APUMA'!$A$1:$B$86,2),C4641),C4641)</f>
        <v>90</v>
      </c>
    </row>
    <row r="4642" customFormat="false" ht="12.75" hidden="false" customHeight="false" outlineLevel="0" collapsed="false">
      <c r="A4642" s="0" t="n">
        <f aca="false">B4642*1000+C4642</f>
        <v>65067</v>
      </c>
      <c r="B4642" s="0" t="n">
        <v>65</v>
      </c>
      <c r="C4642" s="0" t="n">
        <v>67</v>
      </c>
      <c r="D4642" s="0" t="n">
        <v>14222</v>
      </c>
      <c r="E4642" s="0" t="n">
        <f aca="false">VLOOKUP(B4642,'Babblefish-APUMA'!$A$1:$B$86,2)</f>
        <v>90</v>
      </c>
      <c r="F4642" s="0" t="n">
        <f aca="false">IF(C4642&gt;1,IF(C4642&lt;99,VLOOKUP(C4642,'Babblefish-APUMA'!$A$1:$B$86,2),C4642),C4642)</f>
        <v>103</v>
      </c>
    </row>
    <row r="4643" customFormat="false" ht="12.75" hidden="false" customHeight="false" outlineLevel="0" collapsed="false">
      <c r="A4643" s="0" t="n">
        <f aca="false">B4643*1000+C4643</f>
        <v>65068</v>
      </c>
      <c r="B4643" s="0" t="n">
        <v>65</v>
      </c>
      <c r="C4643" s="0" t="n">
        <v>68</v>
      </c>
      <c r="D4643" s="0" t="n">
        <v>0</v>
      </c>
      <c r="E4643" s="0" t="n">
        <f aca="false">VLOOKUP(B4643,'Babblefish-APUMA'!$A$1:$B$86,2)</f>
        <v>90</v>
      </c>
      <c r="F4643" s="0" t="n">
        <f aca="false">IF(C4643&gt;1,IF(C4643&lt;99,VLOOKUP(C4643,'Babblefish-APUMA'!$A$1:$B$86,2),C4643),C4643)</f>
        <v>93</v>
      </c>
    </row>
    <row r="4644" customFormat="false" ht="12.75" hidden="false" customHeight="false" outlineLevel="0" collapsed="false">
      <c r="A4644" s="0" t="n">
        <f aca="false">B4644*1000+C4644</f>
        <v>65069</v>
      </c>
      <c r="B4644" s="0" t="n">
        <v>65</v>
      </c>
      <c r="C4644" s="0" t="n">
        <v>69</v>
      </c>
      <c r="D4644" s="0" t="n">
        <v>442</v>
      </c>
      <c r="E4644" s="0" t="n">
        <f aca="false">VLOOKUP(B4644,'Babblefish-APUMA'!$A$1:$B$86,2)</f>
        <v>90</v>
      </c>
      <c r="F4644" s="0" t="n">
        <f aca="false">IF(C4644&gt;1,IF(C4644&lt;99,VLOOKUP(C4644,'Babblefish-APUMA'!$A$1:$B$86,2),C4644),C4644)</f>
        <v>93</v>
      </c>
    </row>
    <row r="4645" customFormat="false" ht="12.75" hidden="false" customHeight="false" outlineLevel="0" collapsed="false">
      <c r="A4645" s="0" t="n">
        <f aca="false">B4645*1000+C4645</f>
        <v>65070</v>
      </c>
      <c r="B4645" s="0" t="n">
        <v>65</v>
      </c>
      <c r="C4645" s="0" t="n">
        <v>70</v>
      </c>
      <c r="D4645" s="0" t="n">
        <v>0</v>
      </c>
      <c r="E4645" s="0" t="n">
        <f aca="false">VLOOKUP(B4645,'Babblefish-APUMA'!$A$1:$B$86,2)</f>
        <v>90</v>
      </c>
      <c r="F4645" s="0" t="n">
        <f aca="false">IF(C4645&gt;1,IF(C4645&lt;99,VLOOKUP(C4645,'Babblefish-APUMA'!$A$1:$B$86,2),C4645),C4645)</f>
        <v>95</v>
      </c>
    </row>
    <row r="4646" customFormat="false" ht="12.75" hidden="false" customHeight="false" outlineLevel="0" collapsed="false">
      <c r="A4646" s="0" t="n">
        <f aca="false">B4646*1000+C4646</f>
        <v>65071</v>
      </c>
      <c r="B4646" s="0" t="n">
        <v>65</v>
      </c>
      <c r="C4646" s="0" t="n">
        <v>71</v>
      </c>
      <c r="D4646" s="0" t="n">
        <v>1456</v>
      </c>
      <c r="E4646" s="0" t="n">
        <f aca="false">VLOOKUP(B4646,'Babblefish-APUMA'!$A$1:$B$86,2)</f>
        <v>90</v>
      </c>
      <c r="F4646" s="0" t="n">
        <f aca="false">IF(C4646&gt;1,IF(C4646&lt;99,VLOOKUP(C4646,'Babblefish-APUMA'!$A$1:$B$86,2),C4646),C4646)</f>
        <v>95</v>
      </c>
    </row>
    <row r="4647" customFormat="false" ht="12.75" hidden="false" customHeight="false" outlineLevel="0" collapsed="false">
      <c r="A4647" s="0" t="n">
        <f aca="false">B4647*1000+C4647</f>
        <v>65072</v>
      </c>
      <c r="B4647" s="0" t="n">
        <v>65</v>
      </c>
      <c r="C4647" s="0" t="n">
        <v>72</v>
      </c>
      <c r="D4647" s="0" t="n">
        <v>1820</v>
      </c>
      <c r="E4647" s="0" t="n">
        <f aca="false">VLOOKUP(B4647,'Babblefish-APUMA'!$A$1:$B$86,2)</f>
        <v>90</v>
      </c>
      <c r="F4647" s="0" t="n">
        <f aca="false">IF(C4647&gt;1,IF(C4647&lt;99,VLOOKUP(C4647,'Babblefish-APUMA'!$A$1:$B$86,2),C4647),C4647)</f>
        <v>95</v>
      </c>
    </row>
    <row r="4648" customFormat="false" ht="12.75" hidden="false" customHeight="false" outlineLevel="0" collapsed="false">
      <c r="A4648" s="0" t="n">
        <f aca="false">B4648*1000+C4648</f>
        <v>65073</v>
      </c>
      <c r="B4648" s="0" t="n">
        <v>65</v>
      </c>
      <c r="C4648" s="0" t="n">
        <v>73</v>
      </c>
      <c r="D4648" s="0" t="n">
        <v>0</v>
      </c>
      <c r="E4648" s="0" t="n">
        <f aca="false">VLOOKUP(B4648,'Babblefish-APUMA'!$A$1:$B$86,2)</f>
        <v>90</v>
      </c>
      <c r="F4648" s="0" t="n">
        <f aca="false">IF(C4648&gt;1,IF(C4648&lt;99,VLOOKUP(C4648,'Babblefish-APUMA'!$A$1:$B$86,2),C4648),C4648)</f>
        <v>99</v>
      </c>
    </row>
    <row r="4649" customFormat="false" ht="12.75" hidden="false" customHeight="false" outlineLevel="0" collapsed="false">
      <c r="A4649" s="0" t="n">
        <f aca="false">B4649*1000+C4649</f>
        <v>65075</v>
      </c>
      <c r="B4649" s="0" t="n">
        <v>65</v>
      </c>
      <c r="C4649" s="0" t="n">
        <v>75</v>
      </c>
      <c r="D4649" s="0" t="n">
        <v>0</v>
      </c>
      <c r="E4649" s="0" t="n">
        <f aca="false">VLOOKUP(B4649,'Babblefish-APUMA'!$A$1:$B$86,2)</f>
        <v>90</v>
      </c>
      <c r="F4649" s="0" t="n">
        <f aca="false">IF(C4649&gt;1,IF(C4649&lt;99,VLOOKUP(C4649,'Babblefish-APUMA'!$A$1:$B$86,2),C4649),C4649)</f>
        <v>75</v>
      </c>
    </row>
    <row r="4650" customFormat="false" ht="12.75" hidden="false" customHeight="false" outlineLevel="0" collapsed="false">
      <c r="A4650" s="0" t="n">
        <f aca="false">B4650*1000+C4650</f>
        <v>65076</v>
      </c>
      <c r="B4650" s="0" t="n">
        <v>65</v>
      </c>
      <c r="C4650" s="0" t="n">
        <v>76</v>
      </c>
      <c r="D4650" s="0" t="n">
        <v>0</v>
      </c>
      <c r="E4650" s="0" t="n">
        <f aca="false">VLOOKUP(B4650,'Babblefish-APUMA'!$A$1:$B$86,2)</f>
        <v>90</v>
      </c>
      <c r="F4650" s="0" t="n">
        <f aca="false">IF(C4650&gt;1,IF(C4650&lt;99,VLOOKUP(C4650,'Babblefish-APUMA'!$A$1:$B$86,2),C4650),C4650)</f>
        <v>76</v>
      </c>
    </row>
    <row r="4651" customFormat="false" ht="12.75" hidden="false" customHeight="false" outlineLevel="0" collapsed="false">
      <c r="A4651" s="0" t="n">
        <f aca="false">B4651*1000+C4651</f>
        <v>65077</v>
      </c>
      <c r="B4651" s="0" t="n">
        <v>65</v>
      </c>
      <c r="C4651" s="0" t="n">
        <v>77</v>
      </c>
      <c r="D4651" s="0" t="n">
        <v>91</v>
      </c>
      <c r="E4651" s="0" t="n">
        <f aca="false">VLOOKUP(B4651,'Babblefish-APUMA'!$A$1:$B$86,2)</f>
        <v>90</v>
      </c>
      <c r="F4651" s="0" t="n">
        <f aca="false">IF(C4651&gt;1,IF(C4651&lt;99,VLOOKUP(C4651,'Babblefish-APUMA'!$A$1:$B$86,2),C4651),C4651)</f>
        <v>77</v>
      </c>
    </row>
    <row r="4652" customFormat="false" ht="12.75" hidden="false" customHeight="false" outlineLevel="0" collapsed="false">
      <c r="A4652" s="0" t="n">
        <f aca="false">B4652*1000+C4652</f>
        <v>65078</v>
      </c>
      <c r="B4652" s="0" t="n">
        <v>65</v>
      </c>
      <c r="C4652" s="0" t="n">
        <v>78</v>
      </c>
      <c r="D4652" s="0" t="n">
        <v>0</v>
      </c>
      <c r="E4652" s="0" t="n">
        <f aca="false">VLOOKUP(B4652,'Babblefish-APUMA'!$A$1:$B$86,2)</f>
        <v>90</v>
      </c>
      <c r="F4652" s="0" t="n">
        <f aca="false">IF(C4652&gt;1,IF(C4652&lt;99,VLOOKUP(C4652,'Babblefish-APUMA'!$A$1:$B$86,2),C4652),C4652)</f>
        <v>89</v>
      </c>
    </row>
    <row r="4653" customFormat="false" ht="12.75" hidden="false" customHeight="false" outlineLevel="0" collapsed="false">
      <c r="A4653" s="0" t="n">
        <f aca="false">B4653*1000+C4653</f>
        <v>65079</v>
      </c>
      <c r="B4653" s="0" t="n">
        <v>65</v>
      </c>
      <c r="C4653" s="0" t="n">
        <v>79</v>
      </c>
      <c r="D4653" s="0" t="n">
        <v>793</v>
      </c>
      <c r="E4653" s="0" t="n">
        <f aca="false">VLOOKUP(B4653,'Babblefish-APUMA'!$A$1:$B$86,2)</f>
        <v>90</v>
      </c>
      <c r="F4653" s="0" t="n">
        <f aca="false">IF(C4653&gt;1,IF(C4653&lt;99,VLOOKUP(C4653,'Babblefish-APUMA'!$A$1:$B$86,2),C4653),C4653)</f>
        <v>89</v>
      </c>
    </row>
    <row r="4654" customFormat="false" ht="12.75" hidden="false" customHeight="false" outlineLevel="0" collapsed="false">
      <c r="A4654" s="0" t="n">
        <f aca="false">B4654*1000+C4654</f>
        <v>65080</v>
      </c>
      <c r="B4654" s="0" t="n">
        <v>65</v>
      </c>
      <c r="C4654" s="0" t="n">
        <v>80</v>
      </c>
      <c r="D4654" s="0" t="n">
        <v>247</v>
      </c>
      <c r="E4654" s="0" t="n">
        <f aca="false">VLOOKUP(B4654,'Babblefish-APUMA'!$A$1:$B$86,2)</f>
        <v>90</v>
      </c>
      <c r="F4654" s="0" t="n">
        <f aca="false">IF(C4654&gt;1,IF(C4654&lt;99,VLOOKUP(C4654,'Babblefish-APUMA'!$A$1:$B$86,2),C4654),C4654)</f>
        <v>80</v>
      </c>
    </row>
    <row r="4655" customFormat="false" ht="12.75" hidden="false" customHeight="false" outlineLevel="0" collapsed="false">
      <c r="A4655" s="0" t="n">
        <f aca="false">B4655*1000+C4655</f>
        <v>65081</v>
      </c>
      <c r="B4655" s="0" t="n">
        <v>65</v>
      </c>
      <c r="C4655" s="0" t="n">
        <v>81</v>
      </c>
      <c r="D4655" s="0" t="n">
        <v>247</v>
      </c>
      <c r="E4655" s="0" t="n">
        <f aca="false">VLOOKUP(B4655,'Babblefish-APUMA'!$A$1:$B$86,2)</f>
        <v>90</v>
      </c>
      <c r="F4655" s="0" t="n">
        <f aca="false">IF(C4655&gt;1,IF(C4655&lt;99,VLOOKUP(C4655,'Babblefish-APUMA'!$A$1:$B$86,2),C4655),C4655)</f>
        <v>93</v>
      </c>
    </row>
    <row r="4656" customFormat="false" ht="12.75" hidden="false" customHeight="false" outlineLevel="0" collapsed="false">
      <c r="A4656" s="0" t="n">
        <f aca="false">B4656*1000+C4656</f>
        <v>65082</v>
      </c>
      <c r="B4656" s="0" t="n">
        <v>65</v>
      </c>
      <c r="C4656" s="0" t="n">
        <v>82</v>
      </c>
      <c r="D4656" s="0" t="n">
        <v>52</v>
      </c>
      <c r="E4656" s="0" t="n">
        <f aca="false">VLOOKUP(B4656,'Babblefish-APUMA'!$A$1:$B$86,2)</f>
        <v>90</v>
      </c>
      <c r="F4656" s="0" t="n">
        <f aca="false">IF(C4656&gt;1,IF(C4656&lt;99,VLOOKUP(C4656,'Babblefish-APUMA'!$A$1:$B$86,2),C4656),C4656)</f>
        <v>95</v>
      </c>
    </row>
    <row r="4657" customFormat="false" ht="12.75" hidden="false" customHeight="false" outlineLevel="0" collapsed="false">
      <c r="A4657" s="0" t="n">
        <f aca="false">B4657*1000+C4657</f>
        <v>65083</v>
      </c>
      <c r="B4657" s="0" t="n">
        <v>65</v>
      </c>
      <c r="C4657" s="0" t="n">
        <v>83</v>
      </c>
      <c r="D4657" s="0" t="n">
        <v>429</v>
      </c>
      <c r="E4657" s="0" t="n">
        <f aca="false">VLOOKUP(B4657,'Babblefish-APUMA'!$A$1:$B$86,2)</f>
        <v>90</v>
      </c>
      <c r="F4657" s="0" t="n">
        <f aca="false">IF(C4657&gt;1,IF(C4657&lt;99,VLOOKUP(C4657,'Babblefish-APUMA'!$A$1:$B$86,2),C4657),C4657)</f>
        <v>103</v>
      </c>
    </row>
    <row r="4658" customFormat="false" ht="12.75" hidden="false" customHeight="false" outlineLevel="0" collapsed="false">
      <c r="A4658" s="0" t="n">
        <f aca="false">B4658*1000+C4658</f>
        <v>65084</v>
      </c>
      <c r="B4658" s="0" t="n">
        <v>65</v>
      </c>
      <c r="C4658" s="0" t="n">
        <v>84</v>
      </c>
      <c r="D4658" s="0" t="n">
        <v>1625</v>
      </c>
      <c r="E4658" s="0" t="n">
        <f aca="false">VLOOKUP(B4658,'Babblefish-APUMA'!$A$1:$B$86,2)</f>
        <v>90</v>
      </c>
      <c r="F4658" s="0" t="n">
        <f aca="false">IF(C4658&gt;1,IF(C4658&lt;99,VLOOKUP(C4658,'Babblefish-APUMA'!$A$1:$B$86,2),C4658),C4658)</f>
        <v>92</v>
      </c>
    </row>
    <row r="4659" customFormat="false" ht="12.75" hidden="false" customHeight="false" outlineLevel="0" collapsed="false">
      <c r="A4659" s="0" t="n">
        <f aca="false">B4659*1000+C4659</f>
        <v>65085</v>
      </c>
      <c r="B4659" s="0" t="n">
        <v>65</v>
      </c>
      <c r="C4659" s="0" t="n">
        <v>85</v>
      </c>
      <c r="D4659" s="0" t="n">
        <v>0</v>
      </c>
      <c r="E4659" s="0" t="n">
        <f aca="false">VLOOKUP(B4659,'Babblefish-APUMA'!$A$1:$B$86,2)</f>
        <v>90</v>
      </c>
      <c r="F4659" s="0" t="n">
        <f aca="false">IF(C4659&gt;1,IF(C4659&lt;99,VLOOKUP(C4659,'Babblefish-APUMA'!$A$1:$B$86,2),C4659),C4659)</f>
        <v>97</v>
      </c>
    </row>
    <row r="4660" customFormat="false" ht="12.75" hidden="false" customHeight="false" outlineLevel="0" collapsed="false">
      <c r="A4660" s="0" t="n">
        <f aca="false">B4660*1000+C4660</f>
        <v>65858</v>
      </c>
      <c r="B4660" s="0" t="n">
        <v>65</v>
      </c>
      <c r="C4660" s="0" t="n">
        <v>858</v>
      </c>
      <c r="D4660" s="0" t="n">
        <v>0</v>
      </c>
      <c r="E4660" s="0" t="n">
        <f aca="false">VLOOKUP(B4660,'Babblefish-APUMA'!$A$1:$B$86,2)</f>
        <v>90</v>
      </c>
      <c r="F4660" s="0" t="n">
        <f aca="false">IF(C4660&gt;1,IF(C4660&lt;99,VLOOKUP(C4660,'Babblefish-APUMA'!$A$1:$B$86,2),C4660),C4660)</f>
        <v>858</v>
      </c>
    </row>
    <row r="4661" customFormat="false" ht="12.75" hidden="false" customHeight="false" outlineLevel="0" collapsed="false">
      <c r="A4661" s="0" t="n">
        <f aca="false">B4661*1000+C4661</f>
        <v>65983</v>
      </c>
      <c r="B4661" s="0" t="n">
        <v>65</v>
      </c>
      <c r="C4661" s="0" t="n">
        <v>983</v>
      </c>
      <c r="D4661" s="0" t="n">
        <v>0</v>
      </c>
      <c r="E4661" s="0" t="n">
        <f aca="false">VLOOKUP(B4661,'Babblefish-APUMA'!$A$1:$B$86,2)</f>
        <v>90</v>
      </c>
      <c r="F4661" s="0" t="n">
        <f aca="false">IF(C4661&gt;1,IF(C4661&lt;99,VLOOKUP(C4661,'Babblefish-APUMA'!$A$1:$B$86,2),C4661),C4661)</f>
        <v>983</v>
      </c>
    </row>
    <row r="4662" customFormat="false" ht="12.75" hidden="false" customHeight="false" outlineLevel="0" collapsed="false">
      <c r="A4662" s="0" t="n">
        <f aca="false">B4662*1000+C4662</f>
        <v>65999</v>
      </c>
      <c r="B4662" s="0" t="n">
        <v>65</v>
      </c>
      <c r="C4662" s="0" t="n">
        <v>999</v>
      </c>
      <c r="D4662" s="0" t="n">
        <v>1209</v>
      </c>
      <c r="E4662" s="0" t="n">
        <f aca="false">VLOOKUP(B4662,'Babblefish-APUMA'!$A$1:$B$86,2)</f>
        <v>90</v>
      </c>
      <c r="F4662" s="0" t="n">
        <f aca="false">IF(C4662&gt;1,IF(C4662&lt;99,VLOOKUP(C4662,'Babblefish-APUMA'!$A$1:$B$86,2),C4662),C4662)</f>
        <v>999</v>
      </c>
    </row>
    <row r="4663" customFormat="false" ht="12.75" hidden="false" customHeight="false" outlineLevel="0" collapsed="false">
      <c r="A4663" s="0" t="n">
        <f aca="false">B4663*1000+C4663</f>
        <v>66000</v>
      </c>
      <c r="B4663" s="0" t="n">
        <v>66</v>
      </c>
      <c r="C4663" s="0" t="n">
        <v>0</v>
      </c>
      <c r="D4663" s="0" t="n">
        <v>225030</v>
      </c>
      <c r="E4663" s="0" t="n">
        <f aca="false">VLOOKUP(B4663,'Babblefish-APUMA'!$A$1:$B$86,2)</f>
        <v>90</v>
      </c>
      <c r="F4663" s="0" t="n">
        <f aca="false">IF(C4663&gt;1,IF(C4663&lt;99,VLOOKUP(C4663,'Babblefish-APUMA'!$A$1:$B$86,2),C4663),C4663)</f>
        <v>0</v>
      </c>
    </row>
    <row r="4664" customFormat="false" ht="12.75" hidden="false" customHeight="false" outlineLevel="0" collapsed="false">
      <c r="A4664" s="0" t="n">
        <f aca="false">B4664*1000+C4664</f>
        <v>66001</v>
      </c>
      <c r="B4664" s="0" t="n">
        <v>66</v>
      </c>
      <c r="C4664" s="0" t="n">
        <v>1</v>
      </c>
      <c r="D4664" s="0" t="n">
        <v>78</v>
      </c>
      <c r="E4664" s="0" t="n">
        <f aca="false">VLOOKUP(B4664,'Babblefish-APUMA'!$A$1:$B$86,2)</f>
        <v>90</v>
      </c>
      <c r="F4664" s="0" t="n">
        <f aca="false">IF(C4664&gt;1,IF(C4664&lt;99,VLOOKUP(C4664,'Babblefish-APUMA'!$A$1:$B$86,2),C4664),C4664)</f>
        <v>1</v>
      </c>
    </row>
    <row r="4665" customFormat="false" ht="12.75" hidden="false" customHeight="false" outlineLevel="0" collapsed="false">
      <c r="A4665" s="0" t="n">
        <f aca="false">B4665*1000+C4665</f>
        <v>66002</v>
      </c>
      <c r="B4665" s="0" t="n">
        <v>66</v>
      </c>
      <c r="C4665" s="0" t="n">
        <v>2</v>
      </c>
      <c r="D4665" s="0" t="n">
        <v>0</v>
      </c>
      <c r="E4665" s="0" t="n">
        <f aca="false">VLOOKUP(B4665,'Babblefish-APUMA'!$A$1:$B$86,2)</f>
        <v>90</v>
      </c>
      <c r="F4665" s="0" t="n">
        <f aca="false">IF(C4665&gt;1,IF(C4665&lt;99,VLOOKUP(C4665,'Babblefish-APUMA'!$A$1:$B$86,2),C4665),C4665)</f>
        <v>2</v>
      </c>
    </row>
    <row r="4666" customFormat="false" ht="12.75" hidden="false" customHeight="false" outlineLevel="0" collapsed="false">
      <c r="A4666" s="0" t="n">
        <f aca="false">B4666*1000+C4666</f>
        <v>66003</v>
      </c>
      <c r="B4666" s="0" t="n">
        <v>66</v>
      </c>
      <c r="C4666" s="0" t="n">
        <v>3</v>
      </c>
      <c r="D4666" s="0" t="n">
        <v>0</v>
      </c>
      <c r="E4666" s="0" t="n">
        <f aca="false">VLOOKUP(B4666,'Babblefish-APUMA'!$A$1:$B$86,2)</f>
        <v>90</v>
      </c>
      <c r="F4666" s="0" t="n">
        <f aca="false">IF(C4666&gt;1,IF(C4666&lt;99,VLOOKUP(C4666,'Babblefish-APUMA'!$A$1:$B$86,2),C4666),C4666)</f>
        <v>3</v>
      </c>
    </row>
    <row r="4667" customFormat="false" ht="12.75" hidden="false" customHeight="false" outlineLevel="0" collapsed="false">
      <c r="A4667" s="0" t="n">
        <f aca="false">B4667*1000+C4667</f>
        <v>66004</v>
      </c>
      <c r="B4667" s="0" t="n">
        <v>66</v>
      </c>
      <c r="C4667" s="0" t="n">
        <v>4</v>
      </c>
      <c r="D4667" s="0" t="n">
        <v>0</v>
      </c>
      <c r="E4667" s="0" t="n">
        <f aca="false">VLOOKUP(B4667,'Babblefish-APUMA'!$A$1:$B$86,2)</f>
        <v>90</v>
      </c>
      <c r="F4667" s="0" t="n">
        <f aca="false">IF(C4667&gt;1,IF(C4667&lt;99,VLOOKUP(C4667,'Babblefish-APUMA'!$A$1:$B$86,2),C4667),C4667)</f>
        <v>4</v>
      </c>
    </row>
    <row r="4668" customFormat="false" ht="12.75" hidden="false" customHeight="false" outlineLevel="0" collapsed="false">
      <c r="A4668" s="0" t="n">
        <f aca="false">B4668*1000+C4668</f>
        <v>66005</v>
      </c>
      <c r="B4668" s="0" t="n">
        <v>66</v>
      </c>
      <c r="C4668" s="0" t="n">
        <v>5</v>
      </c>
      <c r="D4668" s="0" t="n">
        <v>0</v>
      </c>
      <c r="E4668" s="0" t="n">
        <f aca="false">VLOOKUP(B4668,'Babblefish-APUMA'!$A$1:$B$86,2)</f>
        <v>90</v>
      </c>
      <c r="F4668" s="0" t="n">
        <f aca="false">IF(C4668&gt;1,IF(C4668&lt;99,VLOOKUP(C4668,'Babblefish-APUMA'!$A$1:$B$86,2),C4668),C4668)</f>
        <v>5</v>
      </c>
    </row>
    <row r="4669" customFormat="false" ht="12.75" hidden="false" customHeight="false" outlineLevel="0" collapsed="false">
      <c r="A4669" s="0" t="n">
        <f aca="false">B4669*1000+C4669</f>
        <v>66006</v>
      </c>
      <c r="B4669" s="0" t="n">
        <v>66</v>
      </c>
      <c r="C4669" s="0" t="n">
        <v>6</v>
      </c>
      <c r="D4669" s="0" t="n">
        <v>0</v>
      </c>
      <c r="E4669" s="0" t="n">
        <f aca="false">VLOOKUP(B4669,'Babblefish-APUMA'!$A$1:$B$86,2)</f>
        <v>90</v>
      </c>
      <c r="F4669" s="0" t="n">
        <f aca="false">IF(C4669&gt;1,IF(C4669&lt;99,VLOOKUP(C4669,'Babblefish-APUMA'!$A$1:$B$86,2),C4669),C4669)</f>
        <v>6</v>
      </c>
    </row>
    <row r="4670" customFormat="false" ht="12.75" hidden="false" customHeight="false" outlineLevel="0" collapsed="false">
      <c r="A4670" s="0" t="n">
        <f aca="false">B4670*1000+C4670</f>
        <v>66007</v>
      </c>
      <c r="B4670" s="0" t="n">
        <v>66</v>
      </c>
      <c r="C4670" s="0" t="n">
        <v>7</v>
      </c>
      <c r="D4670" s="0" t="n">
        <v>0</v>
      </c>
      <c r="E4670" s="0" t="n">
        <f aca="false">VLOOKUP(B4670,'Babblefish-APUMA'!$A$1:$B$86,2)</f>
        <v>90</v>
      </c>
      <c r="F4670" s="0" t="n">
        <f aca="false">IF(C4670&gt;1,IF(C4670&lt;99,VLOOKUP(C4670,'Babblefish-APUMA'!$A$1:$B$86,2),C4670),C4670)</f>
        <v>7</v>
      </c>
    </row>
    <row r="4671" customFormat="false" ht="12.75" hidden="false" customHeight="false" outlineLevel="0" collapsed="false">
      <c r="A4671" s="0" t="n">
        <f aca="false">B4671*1000+C4671</f>
        <v>66008</v>
      </c>
      <c r="B4671" s="0" t="n">
        <v>66</v>
      </c>
      <c r="C4671" s="0" t="n">
        <v>8</v>
      </c>
      <c r="D4671" s="0" t="n">
        <v>0</v>
      </c>
      <c r="E4671" s="0" t="n">
        <f aca="false">VLOOKUP(B4671,'Babblefish-APUMA'!$A$1:$B$86,2)</f>
        <v>90</v>
      </c>
      <c r="F4671" s="0" t="n">
        <f aca="false">IF(C4671&gt;1,IF(C4671&lt;99,VLOOKUP(C4671,'Babblefish-APUMA'!$A$1:$B$86,2),C4671),C4671)</f>
        <v>8</v>
      </c>
    </row>
    <row r="4672" customFormat="false" ht="12.75" hidden="false" customHeight="false" outlineLevel="0" collapsed="false">
      <c r="A4672" s="0" t="n">
        <f aca="false">B4672*1000+C4672</f>
        <v>66009</v>
      </c>
      <c r="B4672" s="0" t="n">
        <v>66</v>
      </c>
      <c r="C4672" s="0" t="n">
        <v>9</v>
      </c>
      <c r="D4672" s="0" t="n">
        <v>0</v>
      </c>
      <c r="E4672" s="0" t="n">
        <f aca="false">VLOOKUP(B4672,'Babblefish-APUMA'!$A$1:$B$86,2)</f>
        <v>90</v>
      </c>
      <c r="F4672" s="0" t="n">
        <f aca="false">IF(C4672&gt;1,IF(C4672&lt;99,VLOOKUP(C4672,'Babblefish-APUMA'!$A$1:$B$86,2),C4672),C4672)</f>
        <v>9</v>
      </c>
    </row>
    <row r="4673" customFormat="false" ht="12.75" hidden="false" customHeight="false" outlineLevel="0" collapsed="false">
      <c r="A4673" s="0" t="n">
        <f aca="false">B4673*1000+C4673</f>
        <v>66010</v>
      </c>
      <c r="B4673" s="0" t="n">
        <v>66</v>
      </c>
      <c r="C4673" s="0" t="n">
        <v>10</v>
      </c>
      <c r="D4673" s="0" t="n">
        <v>0</v>
      </c>
      <c r="E4673" s="0" t="n">
        <f aca="false">VLOOKUP(B4673,'Babblefish-APUMA'!$A$1:$B$86,2)</f>
        <v>90</v>
      </c>
      <c r="F4673" s="0" t="n">
        <f aca="false">IF(C4673&gt;1,IF(C4673&lt;99,VLOOKUP(C4673,'Babblefish-APUMA'!$A$1:$B$86,2),C4673),C4673)</f>
        <v>10</v>
      </c>
    </row>
    <row r="4674" customFormat="false" ht="12.75" hidden="false" customHeight="false" outlineLevel="0" collapsed="false">
      <c r="A4674" s="0" t="n">
        <f aca="false">B4674*1000+C4674</f>
        <v>66011</v>
      </c>
      <c r="B4674" s="0" t="n">
        <v>66</v>
      </c>
      <c r="C4674" s="0" t="n">
        <v>11</v>
      </c>
      <c r="D4674" s="0" t="n">
        <v>0</v>
      </c>
      <c r="E4674" s="0" t="n">
        <f aca="false">VLOOKUP(B4674,'Babblefish-APUMA'!$A$1:$B$86,2)</f>
        <v>90</v>
      </c>
      <c r="F4674" s="0" t="n">
        <f aca="false">IF(C4674&gt;1,IF(C4674&lt;99,VLOOKUP(C4674,'Babblefish-APUMA'!$A$1:$B$86,2),C4674),C4674)</f>
        <v>11</v>
      </c>
    </row>
    <row r="4675" customFormat="false" ht="12.75" hidden="false" customHeight="false" outlineLevel="0" collapsed="false">
      <c r="A4675" s="0" t="n">
        <f aca="false">B4675*1000+C4675</f>
        <v>66012</v>
      </c>
      <c r="B4675" s="0" t="n">
        <v>66</v>
      </c>
      <c r="C4675" s="0" t="n">
        <v>12</v>
      </c>
      <c r="D4675" s="0" t="n">
        <v>0</v>
      </c>
      <c r="E4675" s="0" t="n">
        <f aca="false">VLOOKUP(B4675,'Babblefish-APUMA'!$A$1:$B$86,2)</f>
        <v>90</v>
      </c>
      <c r="F4675" s="0" t="n">
        <f aca="false">IF(C4675&gt;1,IF(C4675&lt;99,VLOOKUP(C4675,'Babblefish-APUMA'!$A$1:$B$86,2),C4675),C4675)</f>
        <v>12</v>
      </c>
    </row>
    <row r="4676" customFormat="false" ht="12.75" hidden="false" customHeight="false" outlineLevel="0" collapsed="false">
      <c r="A4676" s="0" t="n">
        <f aca="false">B4676*1000+C4676</f>
        <v>66013</v>
      </c>
      <c r="B4676" s="0" t="n">
        <v>66</v>
      </c>
      <c r="C4676" s="0" t="n">
        <v>13</v>
      </c>
      <c r="D4676" s="0" t="n">
        <v>0</v>
      </c>
      <c r="E4676" s="0" t="n">
        <f aca="false">VLOOKUP(B4676,'Babblefish-APUMA'!$A$1:$B$86,2)</f>
        <v>90</v>
      </c>
      <c r="F4676" s="0" t="n">
        <f aca="false">IF(C4676&gt;1,IF(C4676&lt;99,VLOOKUP(C4676,'Babblefish-APUMA'!$A$1:$B$86,2),C4676),C4676)</f>
        <v>100</v>
      </c>
    </row>
    <row r="4677" customFormat="false" ht="12.75" hidden="false" customHeight="false" outlineLevel="0" collapsed="false">
      <c r="A4677" s="0" t="n">
        <f aca="false">B4677*1000+C4677</f>
        <v>66014</v>
      </c>
      <c r="B4677" s="0" t="n">
        <v>66</v>
      </c>
      <c r="C4677" s="0" t="n">
        <v>14</v>
      </c>
      <c r="D4677" s="0" t="n">
        <v>0</v>
      </c>
      <c r="E4677" s="0" t="n">
        <f aca="false">VLOOKUP(B4677,'Babblefish-APUMA'!$A$1:$B$86,2)</f>
        <v>90</v>
      </c>
      <c r="F4677" s="0" t="n">
        <f aca="false">IF(C4677&gt;1,IF(C4677&lt;99,VLOOKUP(C4677,'Babblefish-APUMA'!$A$1:$B$86,2),C4677),C4677)</f>
        <v>100</v>
      </c>
    </row>
    <row r="4678" customFormat="false" ht="12.75" hidden="false" customHeight="false" outlineLevel="0" collapsed="false">
      <c r="A4678" s="0" t="n">
        <f aca="false">B4678*1000+C4678</f>
        <v>66015</v>
      </c>
      <c r="B4678" s="0" t="n">
        <v>66</v>
      </c>
      <c r="C4678" s="0" t="n">
        <v>15</v>
      </c>
      <c r="D4678" s="0" t="n">
        <v>0</v>
      </c>
      <c r="E4678" s="0" t="n">
        <f aca="false">VLOOKUP(B4678,'Babblefish-APUMA'!$A$1:$B$86,2)</f>
        <v>90</v>
      </c>
      <c r="F4678" s="0" t="n">
        <f aca="false">IF(C4678&gt;1,IF(C4678&lt;99,VLOOKUP(C4678,'Babblefish-APUMA'!$A$1:$B$86,2),C4678),C4678)</f>
        <v>15</v>
      </c>
    </row>
    <row r="4679" customFormat="false" ht="12.75" hidden="false" customHeight="false" outlineLevel="0" collapsed="false">
      <c r="A4679" s="0" t="n">
        <f aca="false">B4679*1000+C4679</f>
        <v>66016</v>
      </c>
      <c r="B4679" s="0" t="n">
        <v>66</v>
      </c>
      <c r="C4679" s="0" t="n">
        <v>16</v>
      </c>
      <c r="D4679" s="0" t="n">
        <v>0</v>
      </c>
      <c r="E4679" s="0" t="n">
        <f aca="false">VLOOKUP(B4679,'Babblefish-APUMA'!$A$1:$B$86,2)</f>
        <v>90</v>
      </c>
      <c r="F4679" s="0" t="n">
        <f aca="false">IF(C4679&gt;1,IF(C4679&lt;99,VLOOKUP(C4679,'Babblefish-APUMA'!$A$1:$B$86,2),C4679),C4679)</f>
        <v>99</v>
      </c>
    </row>
    <row r="4680" customFormat="false" ht="12.75" hidden="false" customHeight="false" outlineLevel="0" collapsed="false">
      <c r="A4680" s="0" t="n">
        <f aca="false">B4680*1000+C4680</f>
        <v>66017</v>
      </c>
      <c r="B4680" s="0" t="n">
        <v>66</v>
      </c>
      <c r="C4680" s="0" t="n">
        <v>17</v>
      </c>
      <c r="D4680" s="0" t="n">
        <v>0</v>
      </c>
      <c r="E4680" s="0" t="n">
        <f aca="false">VLOOKUP(B4680,'Babblefish-APUMA'!$A$1:$B$86,2)</f>
        <v>90</v>
      </c>
      <c r="F4680" s="0" t="n">
        <f aca="false">IF(C4680&gt;1,IF(C4680&lt;99,VLOOKUP(C4680,'Babblefish-APUMA'!$A$1:$B$86,2),C4680),C4680)</f>
        <v>87</v>
      </c>
    </row>
    <row r="4681" customFormat="false" ht="12.75" hidden="false" customHeight="false" outlineLevel="0" collapsed="false">
      <c r="A4681" s="0" t="n">
        <f aca="false">B4681*1000+C4681</f>
        <v>66018</v>
      </c>
      <c r="B4681" s="0" t="n">
        <v>66</v>
      </c>
      <c r="C4681" s="0" t="n">
        <v>18</v>
      </c>
      <c r="D4681" s="0" t="n">
        <v>169</v>
      </c>
      <c r="E4681" s="0" t="n">
        <f aca="false">VLOOKUP(B4681,'Babblefish-APUMA'!$A$1:$B$86,2)</f>
        <v>90</v>
      </c>
      <c r="F4681" s="0" t="n">
        <f aca="false">IF(C4681&gt;1,IF(C4681&lt;99,VLOOKUP(C4681,'Babblefish-APUMA'!$A$1:$B$86,2),C4681),C4681)</f>
        <v>87</v>
      </c>
    </row>
    <row r="4682" customFormat="false" ht="12.75" hidden="false" customHeight="false" outlineLevel="0" collapsed="false">
      <c r="A4682" s="0" t="n">
        <f aca="false">B4682*1000+C4682</f>
        <v>66019</v>
      </c>
      <c r="B4682" s="0" t="n">
        <v>66</v>
      </c>
      <c r="C4682" s="0" t="n">
        <v>19</v>
      </c>
      <c r="D4682" s="0" t="n">
        <v>208</v>
      </c>
      <c r="E4682" s="0" t="n">
        <f aca="false">VLOOKUP(B4682,'Babblefish-APUMA'!$A$1:$B$86,2)</f>
        <v>90</v>
      </c>
      <c r="F4682" s="0" t="n">
        <f aca="false">IF(C4682&gt;1,IF(C4682&lt;99,VLOOKUP(C4682,'Babblefish-APUMA'!$A$1:$B$86,2),C4682),C4682)</f>
        <v>19</v>
      </c>
    </row>
    <row r="4683" customFormat="false" ht="12.75" hidden="false" customHeight="false" outlineLevel="0" collapsed="false">
      <c r="A4683" s="0" t="n">
        <f aca="false">B4683*1000+C4683</f>
        <v>66020</v>
      </c>
      <c r="B4683" s="0" t="n">
        <v>66</v>
      </c>
      <c r="C4683" s="0" t="n">
        <v>20</v>
      </c>
      <c r="D4683" s="0" t="n">
        <v>0</v>
      </c>
      <c r="E4683" s="0" t="n">
        <f aca="false">VLOOKUP(B4683,'Babblefish-APUMA'!$A$1:$B$86,2)</f>
        <v>90</v>
      </c>
      <c r="F4683" s="0" t="n">
        <f aca="false">IF(C4683&gt;1,IF(C4683&lt;99,VLOOKUP(C4683,'Babblefish-APUMA'!$A$1:$B$86,2),C4683),C4683)</f>
        <v>86</v>
      </c>
    </row>
    <row r="4684" customFormat="false" ht="12.75" hidden="false" customHeight="false" outlineLevel="0" collapsed="false">
      <c r="A4684" s="0" t="n">
        <f aca="false">B4684*1000+C4684</f>
        <v>66021</v>
      </c>
      <c r="B4684" s="0" t="n">
        <v>66</v>
      </c>
      <c r="C4684" s="0" t="n">
        <v>21</v>
      </c>
      <c r="D4684" s="0" t="n">
        <v>0</v>
      </c>
      <c r="E4684" s="0" t="n">
        <f aca="false">VLOOKUP(B4684,'Babblefish-APUMA'!$A$1:$B$86,2)</f>
        <v>90</v>
      </c>
      <c r="F4684" s="0" t="n">
        <f aca="false">IF(C4684&gt;1,IF(C4684&lt;99,VLOOKUP(C4684,'Babblefish-APUMA'!$A$1:$B$86,2),C4684),C4684)</f>
        <v>86</v>
      </c>
    </row>
    <row r="4685" customFormat="false" ht="12.75" hidden="false" customHeight="false" outlineLevel="0" collapsed="false">
      <c r="A4685" s="0" t="n">
        <f aca="false">B4685*1000+C4685</f>
        <v>66022</v>
      </c>
      <c r="B4685" s="0" t="n">
        <v>66</v>
      </c>
      <c r="C4685" s="0" t="n">
        <v>22</v>
      </c>
      <c r="D4685" s="0" t="n">
        <v>182</v>
      </c>
      <c r="E4685" s="0" t="n">
        <f aca="false">VLOOKUP(B4685,'Babblefish-APUMA'!$A$1:$B$86,2)</f>
        <v>90</v>
      </c>
      <c r="F4685" s="0" t="n">
        <f aca="false">IF(C4685&gt;1,IF(C4685&lt;99,VLOOKUP(C4685,'Babblefish-APUMA'!$A$1:$B$86,2),C4685),C4685)</f>
        <v>22</v>
      </c>
    </row>
    <row r="4686" customFormat="false" ht="12.75" hidden="false" customHeight="false" outlineLevel="0" collapsed="false">
      <c r="A4686" s="0" t="n">
        <f aca="false">B4686*1000+C4686</f>
        <v>66023</v>
      </c>
      <c r="B4686" s="0" t="n">
        <v>66</v>
      </c>
      <c r="C4686" s="0" t="n">
        <v>23</v>
      </c>
      <c r="D4686" s="0" t="n">
        <v>0</v>
      </c>
      <c r="E4686" s="0" t="n">
        <f aca="false">VLOOKUP(B4686,'Babblefish-APUMA'!$A$1:$B$86,2)</f>
        <v>90</v>
      </c>
      <c r="F4686" s="0" t="n">
        <f aca="false">IF(C4686&gt;1,IF(C4686&lt;99,VLOOKUP(C4686,'Babblefish-APUMA'!$A$1:$B$86,2),C4686),C4686)</f>
        <v>97</v>
      </c>
    </row>
    <row r="4687" customFormat="false" ht="12.75" hidden="false" customHeight="false" outlineLevel="0" collapsed="false">
      <c r="A4687" s="0" t="n">
        <f aca="false">B4687*1000+C4687</f>
        <v>66024</v>
      </c>
      <c r="B4687" s="0" t="n">
        <v>66</v>
      </c>
      <c r="C4687" s="0" t="n">
        <v>24</v>
      </c>
      <c r="D4687" s="0" t="n">
        <v>0</v>
      </c>
      <c r="E4687" s="0" t="n">
        <f aca="false">VLOOKUP(B4687,'Babblefish-APUMA'!$A$1:$B$86,2)</f>
        <v>90</v>
      </c>
      <c r="F4687" s="0" t="n">
        <f aca="false">IF(C4687&gt;1,IF(C4687&lt;99,VLOOKUP(C4687,'Babblefish-APUMA'!$A$1:$B$86,2),C4687),C4687)</f>
        <v>101</v>
      </c>
    </row>
    <row r="4688" customFormat="false" ht="12.75" hidden="false" customHeight="false" outlineLevel="0" collapsed="false">
      <c r="A4688" s="0" t="n">
        <f aca="false">B4688*1000+C4688</f>
        <v>66025</v>
      </c>
      <c r="B4688" s="0" t="n">
        <v>66</v>
      </c>
      <c r="C4688" s="0" t="n">
        <v>25</v>
      </c>
      <c r="D4688" s="0" t="n">
        <v>0</v>
      </c>
      <c r="E4688" s="0" t="n">
        <f aca="false">VLOOKUP(B4688,'Babblefish-APUMA'!$A$1:$B$86,2)</f>
        <v>90</v>
      </c>
      <c r="F4688" s="0" t="n">
        <f aca="false">IF(C4688&gt;1,IF(C4688&lt;99,VLOOKUP(C4688,'Babblefish-APUMA'!$A$1:$B$86,2),C4688),C4688)</f>
        <v>101</v>
      </c>
    </row>
    <row r="4689" customFormat="false" ht="12.75" hidden="false" customHeight="false" outlineLevel="0" collapsed="false">
      <c r="A4689" s="0" t="n">
        <f aca="false">B4689*1000+C4689</f>
        <v>66026</v>
      </c>
      <c r="B4689" s="0" t="n">
        <v>66</v>
      </c>
      <c r="C4689" s="0" t="n">
        <v>26</v>
      </c>
      <c r="D4689" s="0" t="n">
        <v>0</v>
      </c>
      <c r="E4689" s="0" t="n">
        <f aca="false">VLOOKUP(B4689,'Babblefish-APUMA'!$A$1:$B$86,2)</f>
        <v>90</v>
      </c>
      <c r="F4689" s="0" t="n">
        <f aca="false">IF(C4689&gt;1,IF(C4689&lt;99,VLOOKUP(C4689,'Babblefish-APUMA'!$A$1:$B$86,2),C4689),C4689)</f>
        <v>26</v>
      </c>
    </row>
    <row r="4690" customFormat="false" ht="12.75" hidden="false" customHeight="false" outlineLevel="0" collapsed="false">
      <c r="A4690" s="0" t="n">
        <f aca="false">B4690*1000+C4690</f>
        <v>66027</v>
      </c>
      <c r="B4690" s="0" t="n">
        <v>66</v>
      </c>
      <c r="C4690" s="0" t="n">
        <v>27</v>
      </c>
      <c r="D4690" s="0" t="n">
        <v>0</v>
      </c>
      <c r="E4690" s="0" t="n">
        <f aca="false">VLOOKUP(B4690,'Babblefish-APUMA'!$A$1:$B$86,2)</f>
        <v>90</v>
      </c>
      <c r="F4690" s="0" t="n">
        <f aca="false">IF(C4690&gt;1,IF(C4690&lt;99,VLOOKUP(C4690,'Babblefish-APUMA'!$A$1:$B$86,2),C4690),C4690)</f>
        <v>27</v>
      </c>
    </row>
    <row r="4691" customFormat="false" ht="12.75" hidden="false" customHeight="false" outlineLevel="0" collapsed="false">
      <c r="A4691" s="0" t="n">
        <f aca="false">B4691*1000+C4691</f>
        <v>66028</v>
      </c>
      <c r="B4691" s="0" t="n">
        <v>66</v>
      </c>
      <c r="C4691" s="0" t="n">
        <v>28</v>
      </c>
      <c r="D4691" s="0" t="n">
        <v>0</v>
      </c>
      <c r="E4691" s="0" t="n">
        <f aca="false">VLOOKUP(B4691,'Babblefish-APUMA'!$A$1:$B$86,2)</f>
        <v>90</v>
      </c>
      <c r="F4691" s="0" t="n">
        <f aca="false">IF(C4691&gt;1,IF(C4691&lt;99,VLOOKUP(C4691,'Babblefish-APUMA'!$A$1:$B$86,2),C4691),C4691)</f>
        <v>94</v>
      </c>
    </row>
    <row r="4692" customFormat="false" ht="12.75" hidden="false" customHeight="false" outlineLevel="0" collapsed="false">
      <c r="A4692" s="0" t="n">
        <f aca="false">B4692*1000+C4692</f>
        <v>66029</v>
      </c>
      <c r="B4692" s="0" t="n">
        <v>66</v>
      </c>
      <c r="C4692" s="0" t="n">
        <v>29</v>
      </c>
      <c r="D4692" s="0" t="n">
        <v>0</v>
      </c>
      <c r="E4692" s="0" t="n">
        <f aca="false">VLOOKUP(B4692,'Babblefish-APUMA'!$A$1:$B$86,2)</f>
        <v>90</v>
      </c>
      <c r="F4692" s="0" t="n">
        <f aca="false">IF(C4692&gt;1,IF(C4692&lt;99,VLOOKUP(C4692,'Babblefish-APUMA'!$A$1:$B$86,2),C4692),C4692)</f>
        <v>94</v>
      </c>
    </row>
    <row r="4693" customFormat="false" ht="12.75" hidden="false" customHeight="false" outlineLevel="0" collapsed="false">
      <c r="A4693" s="0" t="n">
        <f aca="false">B4693*1000+C4693</f>
        <v>66030</v>
      </c>
      <c r="B4693" s="0" t="n">
        <v>66</v>
      </c>
      <c r="C4693" s="0" t="n">
        <v>30</v>
      </c>
      <c r="D4693" s="0" t="n">
        <v>0</v>
      </c>
      <c r="E4693" s="0" t="n">
        <f aca="false">VLOOKUP(B4693,'Babblefish-APUMA'!$A$1:$B$86,2)</f>
        <v>90</v>
      </c>
      <c r="F4693" s="0" t="n">
        <f aca="false">IF(C4693&gt;1,IF(C4693&lt;99,VLOOKUP(C4693,'Babblefish-APUMA'!$A$1:$B$86,2),C4693),C4693)</f>
        <v>30</v>
      </c>
    </row>
    <row r="4694" customFormat="false" ht="12.75" hidden="false" customHeight="false" outlineLevel="0" collapsed="false">
      <c r="A4694" s="0" t="n">
        <f aca="false">B4694*1000+C4694</f>
        <v>66031</v>
      </c>
      <c r="B4694" s="0" t="n">
        <v>66</v>
      </c>
      <c r="C4694" s="0" t="n">
        <v>31</v>
      </c>
      <c r="D4694" s="0" t="n">
        <v>0</v>
      </c>
      <c r="E4694" s="0" t="n">
        <f aca="false">VLOOKUP(B4694,'Babblefish-APUMA'!$A$1:$B$86,2)</f>
        <v>90</v>
      </c>
      <c r="F4694" s="0" t="n">
        <f aca="false">IF(C4694&gt;1,IF(C4694&lt;99,VLOOKUP(C4694,'Babblefish-APUMA'!$A$1:$B$86,2),C4694),C4694)</f>
        <v>31</v>
      </c>
    </row>
    <row r="4695" customFormat="false" ht="12.75" hidden="false" customHeight="false" outlineLevel="0" collapsed="false">
      <c r="A4695" s="0" t="n">
        <f aca="false">B4695*1000+C4695</f>
        <v>66032</v>
      </c>
      <c r="B4695" s="0" t="n">
        <v>66</v>
      </c>
      <c r="C4695" s="0" t="n">
        <v>32</v>
      </c>
      <c r="D4695" s="0" t="n">
        <v>78</v>
      </c>
      <c r="E4695" s="0" t="n">
        <f aca="false">VLOOKUP(B4695,'Babblefish-APUMA'!$A$1:$B$86,2)</f>
        <v>90</v>
      </c>
      <c r="F4695" s="0" t="n">
        <f aca="false">IF(C4695&gt;1,IF(C4695&lt;99,VLOOKUP(C4695,'Babblefish-APUMA'!$A$1:$B$86,2),C4695),C4695)</f>
        <v>32</v>
      </c>
    </row>
    <row r="4696" customFormat="false" ht="12.75" hidden="false" customHeight="false" outlineLevel="0" collapsed="false">
      <c r="A4696" s="0" t="n">
        <f aca="false">B4696*1000+C4696</f>
        <v>66033</v>
      </c>
      <c r="B4696" s="0" t="n">
        <v>66</v>
      </c>
      <c r="C4696" s="0" t="n">
        <v>33</v>
      </c>
      <c r="D4696" s="0" t="n">
        <v>221</v>
      </c>
      <c r="E4696" s="0" t="n">
        <f aca="false">VLOOKUP(B4696,'Babblefish-APUMA'!$A$1:$B$86,2)</f>
        <v>90</v>
      </c>
      <c r="F4696" s="0" t="n">
        <f aca="false">IF(C4696&gt;1,IF(C4696&lt;99,VLOOKUP(C4696,'Babblefish-APUMA'!$A$1:$B$86,2),C4696),C4696)</f>
        <v>96</v>
      </c>
    </row>
    <row r="4697" customFormat="false" ht="12.75" hidden="false" customHeight="false" outlineLevel="0" collapsed="false">
      <c r="A4697" s="0" t="n">
        <f aca="false">B4697*1000+C4697</f>
        <v>66034</v>
      </c>
      <c r="B4697" s="0" t="n">
        <v>66</v>
      </c>
      <c r="C4697" s="0" t="n">
        <v>34</v>
      </c>
      <c r="D4697" s="0" t="n">
        <v>0</v>
      </c>
      <c r="E4697" s="0" t="n">
        <f aca="false">VLOOKUP(B4697,'Babblefish-APUMA'!$A$1:$B$86,2)</f>
        <v>90</v>
      </c>
      <c r="F4697" s="0" t="n">
        <f aca="false">IF(C4697&gt;1,IF(C4697&lt;99,VLOOKUP(C4697,'Babblefish-APUMA'!$A$1:$B$86,2),C4697),C4697)</f>
        <v>96</v>
      </c>
    </row>
    <row r="4698" customFormat="false" ht="12.75" hidden="false" customHeight="false" outlineLevel="0" collapsed="false">
      <c r="A4698" s="0" t="n">
        <f aca="false">B4698*1000+C4698</f>
        <v>66035</v>
      </c>
      <c r="B4698" s="0" t="n">
        <v>66</v>
      </c>
      <c r="C4698" s="0" t="n">
        <v>35</v>
      </c>
      <c r="D4698" s="0" t="n">
        <v>0</v>
      </c>
      <c r="E4698" s="0" t="n">
        <f aca="false">VLOOKUP(B4698,'Babblefish-APUMA'!$A$1:$B$86,2)</f>
        <v>90</v>
      </c>
      <c r="F4698" s="0" t="n">
        <f aca="false">IF(C4698&gt;1,IF(C4698&lt;99,VLOOKUP(C4698,'Babblefish-APUMA'!$A$1:$B$86,2),C4698),C4698)</f>
        <v>96</v>
      </c>
    </row>
    <row r="4699" customFormat="false" ht="12.75" hidden="false" customHeight="false" outlineLevel="0" collapsed="false">
      <c r="A4699" s="0" t="n">
        <f aca="false">B4699*1000+C4699</f>
        <v>66036</v>
      </c>
      <c r="B4699" s="0" t="n">
        <v>66</v>
      </c>
      <c r="C4699" s="0" t="n">
        <v>36</v>
      </c>
      <c r="D4699" s="0" t="n">
        <v>0</v>
      </c>
      <c r="E4699" s="0" t="n">
        <f aca="false">VLOOKUP(B4699,'Babblefish-APUMA'!$A$1:$B$86,2)</f>
        <v>90</v>
      </c>
      <c r="F4699" s="0" t="n">
        <f aca="false">IF(C4699&gt;1,IF(C4699&lt;99,VLOOKUP(C4699,'Babblefish-APUMA'!$A$1:$B$86,2),C4699),C4699)</f>
        <v>96</v>
      </c>
    </row>
    <row r="4700" customFormat="false" ht="12.75" hidden="false" customHeight="false" outlineLevel="0" collapsed="false">
      <c r="A4700" s="0" t="n">
        <f aca="false">B4700*1000+C4700</f>
        <v>66037</v>
      </c>
      <c r="B4700" s="0" t="n">
        <v>66</v>
      </c>
      <c r="C4700" s="0" t="n">
        <v>37</v>
      </c>
      <c r="D4700" s="0" t="n">
        <v>91</v>
      </c>
      <c r="E4700" s="0" t="n">
        <f aca="false">VLOOKUP(B4700,'Babblefish-APUMA'!$A$1:$B$86,2)</f>
        <v>90</v>
      </c>
      <c r="F4700" s="0" t="n">
        <f aca="false">IF(C4700&gt;1,IF(C4700&lt;99,VLOOKUP(C4700,'Babblefish-APUMA'!$A$1:$B$86,2),C4700),C4700)</f>
        <v>96</v>
      </c>
    </row>
    <row r="4701" customFormat="false" ht="12.75" hidden="false" customHeight="false" outlineLevel="0" collapsed="false">
      <c r="A4701" s="0" t="n">
        <f aca="false">B4701*1000+C4701</f>
        <v>66038</v>
      </c>
      <c r="B4701" s="0" t="n">
        <v>66</v>
      </c>
      <c r="C4701" s="0" t="n">
        <v>38</v>
      </c>
      <c r="D4701" s="0" t="n">
        <v>0</v>
      </c>
      <c r="E4701" s="0" t="n">
        <f aca="false">VLOOKUP(B4701,'Babblefish-APUMA'!$A$1:$B$86,2)</f>
        <v>90</v>
      </c>
      <c r="F4701" s="0" t="n">
        <f aca="false">IF(C4701&gt;1,IF(C4701&lt;99,VLOOKUP(C4701,'Babblefish-APUMA'!$A$1:$B$86,2),C4701),C4701)</f>
        <v>91</v>
      </c>
    </row>
    <row r="4702" customFormat="false" ht="12.75" hidden="false" customHeight="false" outlineLevel="0" collapsed="false">
      <c r="A4702" s="0" t="n">
        <f aca="false">B4702*1000+C4702</f>
        <v>66039</v>
      </c>
      <c r="B4702" s="0" t="n">
        <v>66</v>
      </c>
      <c r="C4702" s="0" t="n">
        <v>39</v>
      </c>
      <c r="D4702" s="0" t="n">
        <v>0</v>
      </c>
      <c r="E4702" s="0" t="n">
        <f aca="false">VLOOKUP(B4702,'Babblefish-APUMA'!$A$1:$B$86,2)</f>
        <v>90</v>
      </c>
      <c r="F4702" s="0" t="n">
        <f aca="false">IF(C4702&gt;1,IF(C4702&lt;99,VLOOKUP(C4702,'Babblefish-APUMA'!$A$1:$B$86,2),C4702),C4702)</f>
        <v>91</v>
      </c>
    </row>
    <row r="4703" customFormat="false" ht="12.75" hidden="false" customHeight="false" outlineLevel="0" collapsed="false">
      <c r="A4703" s="0" t="n">
        <f aca="false">B4703*1000+C4703</f>
        <v>66040</v>
      </c>
      <c r="B4703" s="0" t="n">
        <v>66</v>
      </c>
      <c r="C4703" s="0" t="n">
        <v>40</v>
      </c>
      <c r="D4703" s="0" t="n">
        <v>130</v>
      </c>
      <c r="E4703" s="0" t="n">
        <f aca="false">VLOOKUP(B4703,'Babblefish-APUMA'!$A$1:$B$86,2)</f>
        <v>90</v>
      </c>
      <c r="F4703" s="0" t="n">
        <f aca="false">IF(C4703&gt;1,IF(C4703&lt;99,VLOOKUP(C4703,'Babblefish-APUMA'!$A$1:$B$86,2),C4703),C4703)</f>
        <v>88</v>
      </c>
    </row>
    <row r="4704" customFormat="false" ht="12.75" hidden="false" customHeight="false" outlineLevel="0" collapsed="false">
      <c r="A4704" s="0" t="n">
        <f aca="false">B4704*1000+C4704</f>
        <v>66041</v>
      </c>
      <c r="B4704" s="0" t="n">
        <v>66</v>
      </c>
      <c r="C4704" s="0" t="n">
        <v>41</v>
      </c>
      <c r="D4704" s="0" t="n">
        <v>0</v>
      </c>
      <c r="E4704" s="0" t="n">
        <f aca="false">VLOOKUP(B4704,'Babblefish-APUMA'!$A$1:$B$86,2)</f>
        <v>90</v>
      </c>
      <c r="F4704" s="0" t="n">
        <f aca="false">IF(C4704&gt;1,IF(C4704&lt;99,VLOOKUP(C4704,'Babblefish-APUMA'!$A$1:$B$86,2),C4704),C4704)</f>
        <v>88</v>
      </c>
    </row>
    <row r="4705" customFormat="false" ht="12.75" hidden="false" customHeight="false" outlineLevel="0" collapsed="false">
      <c r="A4705" s="0" t="n">
        <f aca="false">B4705*1000+C4705</f>
        <v>66042</v>
      </c>
      <c r="B4705" s="0" t="n">
        <v>66</v>
      </c>
      <c r="C4705" s="0" t="n">
        <v>42</v>
      </c>
      <c r="D4705" s="0" t="n">
        <v>2717</v>
      </c>
      <c r="E4705" s="0" t="n">
        <f aca="false">VLOOKUP(B4705,'Babblefish-APUMA'!$A$1:$B$86,2)</f>
        <v>90</v>
      </c>
      <c r="F4705" s="0" t="n">
        <f aca="false">IF(C4705&gt;1,IF(C4705&lt;99,VLOOKUP(C4705,'Babblefish-APUMA'!$A$1:$B$86,2),C4705),C4705)</f>
        <v>92</v>
      </c>
    </row>
    <row r="4706" customFormat="false" ht="12.75" hidden="false" customHeight="false" outlineLevel="0" collapsed="false">
      <c r="A4706" s="0" t="n">
        <f aca="false">B4706*1000+C4706</f>
        <v>66043</v>
      </c>
      <c r="B4706" s="0" t="n">
        <v>66</v>
      </c>
      <c r="C4706" s="0" t="n">
        <v>43</v>
      </c>
      <c r="D4706" s="0" t="n">
        <v>468</v>
      </c>
      <c r="E4706" s="0" t="n">
        <f aca="false">VLOOKUP(B4706,'Babblefish-APUMA'!$A$1:$B$86,2)</f>
        <v>90</v>
      </c>
      <c r="F4706" s="0" t="n">
        <f aca="false">IF(C4706&gt;1,IF(C4706&lt;99,VLOOKUP(C4706,'Babblefish-APUMA'!$A$1:$B$86,2),C4706),C4706)</f>
        <v>92</v>
      </c>
    </row>
    <row r="4707" customFormat="false" ht="12.75" hidden="false" customHeight="false" outlineLevel="0" collapsed="false">
      <c r="A4707" s="0" t="n">
        <f aca="false">B4707*1000+C4707</f>
        <v>66044</v>
      </c>
      <c r="B4707" s="0" t="n">
        <v>66</v>
      </c>
      <c r="C4707" s="0" t="n">
        <v>44</v>
      </c>
      <c r="D4707" s="0" t="n">
        <v>546</v>
      </c>
      <c r="E4707" s="0" t="n">
        <f aca="false">VLOOKUP(B4707,'Babblefish-APUMA'!$A$1:$B$86,2)</f>
        <v>90</v>
      </c>
      <c r="F4707" s="0" t="n">
        <f aca="false">IF(C4707&gt;1,IF(C4707&lt;99,VLOOKUP(C4707,'Babblefish-APUMA'!$A$1:$B$86,2),C4707),C4707)</f>
        <v>92</v>
      </c>
    </row>
    <row r="4708" customFormat="false" ht="12.75" hidden="false" customHeight="false" outlineLevel="0" collapsed="false">
      <c r="A4708" s="0" t="n">
        <f aca="false">B4708*1000+C4708</f>
        <v>66045</v>
      </c>
      <c r="B4708" s="0" t="n">
        <v>66</v>
      </c>
      <c r="C4708" s="0" t="n">
        <v>45</v>
      </c>
      <c r="D4708" s="0" t="n">
        <v>0</v>
      </c>
      <c r="E4708" s="0" t="n">
        <f aca="false">VLOOKUP(B4708,'Babblefish-APUMA'!$A$1:$B$86,2)</f>
        <v>90</v>
      </c>
      <c r="F4708" s="0" t="n">
        <f aca="false">IF(C4708&gt;1,IF(C4708&lt;99,VLOOKUP(C4708,'Babblefish-APUMA'!$A$1:$B$86,2),C4708),C4708)</f>
        <v>92</v>
      </c>
    </row>
    <row r="4709" customFormat="false" ht="12.75" hidden="false" customHeight="false" outlineLevel="0" collapsed="false">
      <c r="A4709" s="0" t="n">
        <f aca="false">B4709*1000+C4709</f>
        <v>66046</v>
      </c>
      <c r="B4709" s="0" t="n">
        <v>66</v>
      </c>
      <c r="C4709" s="0" t="n">
        <v>46</v>
      </c>
      <c r="D4709" s="0" t="n">
        <v>1235</v>
      </c>
      <c r="E4709" s="0" t="n">
        <f aca="false">VLOOKUP(B4709,'Babblefish-APUMA'!$A$1:$B$86,2)</f>
        <v>90</v>
      </c>
      <c r="F4709" s="0" t="n">
        <f aca="false">IF(C4709&gt;1,IF(C4709&lt;99,VLOOKUP(C4709,'Babblefish-APUMA'!$A$1:$B$86,2),C4709),C4709)</f>
        <v>92</v>
      </c>
    </row>
    <row r="4710" customFormat="false" ht="12.75" hidden="false" customHeight="false" outlineLevel="0" collapsed="false">
      <c r="A4710" s="0" t="n">
        <f aca="false">B4710*1000+C4710</f>
        <v>66047</v>
      </c>
      <c r="B4710" s="0" t="n">
        <v>66</v>
      </c>
      <c r="C4710" s="0" t="n">
        <v>47</v>
      </c>
      <c r="D4710" s="0" t="n">
        <v>2613</v>
      </c>
      <c r="E4710" s="0" t="n">
        <f aca="false">VLOOKUP(B4710,'Babblefish-APUMA'!$A$1:$B$86,2)</f>
        <v>90</v>
      </c>
      <c r="F4710" s="0" t="n">
        <f aca="false">IF(C4710&gt;1,IF(C4710&lt;99,VLOOKUP(C4710,'Babblefish-APUMA'!$A$1:$B$86,2),C4710),C4710)</f>
        <v>92</v>
      </c>
    </row>
    <row r="4711" customFormat="false" ht="12.75" hidden="false" customHeight="false" outlineLevel="0" collapsed="false">
      <c r="A4711" s="0" t="n">
        <f aca="false">B4711*1000+C4711</f>
        <v>66048</v>
      </c>
      <c r="B4711" s="0" t="n">
        <v>66</v>
      </c>
      <c r="C4711" s="0" t="n">
        <v>48</v>
      </c>
      <c r="D4711" s="0" t="n">
        <v>18304</v>
      </c>
      <c r="E4711" s="0" t="n">
        <f aca="false">VLOOKUP(B4711,'Babblefish-APUMA'!$A$1:$B$86,2)</f>
        <v>90</v>
      </c>
      <c r="F4711" s="0" t="n">
        <f aca="false">IF(C4711&gt;1,IF(C4711&lt;99,VLOOKUP(C4711,'Babblefish-APUMA'!$A$1:$B$86,2),C4711),C4711)</f>
        <v>92</v>
      </c>
    </row>
    <row r="4712" customFormat="false" ht="12.75" hidden="false" customHeight="false" outlineLevel="0" collapsed="false">
      <c r="A4712" s="0" t="n">
        <f aca="false">B4712*1000+C4712</f>
        <v>66049</v>
      </c>
      <c r="B4712" s="0" t="n">
        <v>66</v>
      </c>
      <c r="C4712" s="0" t="n">
        <v>49</v>
      </c>
      <c r="D4712" s="0" t="n">
        <v>0</v>
      </c>
      <c r="E4712" s="0" t="n">
        <f aca="false">VLOOKUP(B4712,'Babblefish-APUMA'!$A$1:$B$86,2)</f>
        <v>90</v>
      </c>
      <c r="F4712" s="0" t="n">
        <f aca="false">IF(C4712&gt;1,IF(C4712&lt;99,VLOOKUP(C4712,'Babblefish-APUMA'!$A$1:$B$86,2),C4712),C4712)</f>
        <v>98</v>
      </c>
    </row>
    <row r="4713" customFormat="false" ht="12.75" hidden="false" customHeight="false" outlineLevel="0" collapsed="false">
      <c r="A4713" s="0" t="n">
        <f aca="false">B4713*1000+C4713</f>
        <v>66050</v>
      </c>
      <c r="B4713" s="0" t="n">
        <v>66</v>
      </c>
      <c r="C4713" s="0" t="n">
        <v>50</v>
      </c>
      <c r="D4713" s="0" t="n">
        <v>0</v>
      </c>
      <c r="E4713" s="0" t="n">
        <f aca="false">VLOOKUP(B4713,'Babblefish-APUMA'!$A$1:$B$86,2)</f>
        <v>90</v>
      </c>
      <c r="F4713" s="0" t="n">
        <f aca="false">IF(C4713&gt;1,IF(C4713&lt;99,VLOOKUP(C4713,'Babblefish-APUMA'!$A$1:$B$86,2),C4713),C4713)</f>
        <v>98</v>
      </c>
    </row>
    <row r="4714" customFormat="false" ht="12.75" hidden="false" customHeight="false" outlineLevel="0" collapsed="false">
      <c r="A4714" s="0" t="n">
        <f aca="false">B4714*1000+C4714</f>
        <v>66051</v>
      </c>
      <c r="B4714" s="0" t="n">
        <v>66</v>
      </c>
      <c r="C4714" s="0" t="n">
        <v>51</v>
      </c>
      <c r="D4714" s="0" t="n">
        <v>0</v>
      </c>
      <c r="E4714" s="0" t="n">
        <f aca="false">VLOOKUP(B4714,'Babblefish-APUMA'!$A$1:$B$86,2)</f>
        <v>90</v>
      </c>
      <c r="F4714" s="0" t="n">
        <f aca="false">IF(C4714&gt;1,IF(C4714&lt;99,VLOOKUP(C4714,'Babblefish-APUMA'!$A$1:$B$86,2),C4714),C4714)</f>
        <v>98</v>
      </c>
    </row>
    <row r="4715" customFormat="false" ht="12.75" hidden="false" customHeight="false" outlineLevel="0" collapsed="false">
      <c r="A4715" s="0" t="n">
        <f aca="false">B4715*1000+C4715</f>
        <v>66052</v>
      </c>
      <c r="B4715" s="0" t="n">
        <v>66</v>
      </c>
      <c r="C4715" s="0" t="n">
        <v>52</v>
      </c>
      <c r="D4715" s="0" t="n">
        <v>1183</v>
      </c>
      <c r="E4715" s="0" t="n">
        <f aca="false">VLOOKUP(B4715,'Babblefish-APUMA'!$A$1:$B$86,2)</f>
        <v>90</v>
      </c>
      <c r="F4715" s="0" t="n">
        <f aca="false">IF(C4715&gt;1,IF(C4715&lt;99,VLOOKUP(C4715,'Babblefish-APUMA'!$A$1:$B$86,2),C4715),C4715)</f>
        <v>90</v>
      </c>
    </row>
    <row r="4716" customFormat="false" ht="12.75" hidden="false" customHeight="false" outlineLevel="0" collapsed="false">
      <c r="A4716" s="0" t="n">
        <f aca="false">B4716*1000+C4716</f>
        <v>66053</v>
      </c>
      <c r="B4716" s="0" t="n">
        <v>66</v>
      </c>
      <c r="C4716" s="0" t="n">
        <v>53</v>
      </c>
      <c r="D4716" s="0" t="n">
        <v>663</v>
      </c>
      <c r="E4716" s="0" t="n">
        <f aca="false">VLOOKUP(B4716,'Babblefish-APUMA'!$A$1:$B$86,2)</f>
        <v>90</v>
      </c>
      <c r="F4716" s="0" t="n">
        <f aca="false">IF(C4716&gt;1,IF(C4716&lt;99,VLOOKUP(C4716,'Babblefish-APUMA'!$A$1:$B$86,2),C4716),C4716)</f>
        <v>90</v>
      </c>
    </row>
    <row r="4717" customFormat="false" ht="12.75" hidden="false" customHeight="false" outlineLevel="0" collapsed="false">
      <c r="A4717" s="0" t="n">
        <f aca="false">B4717*1000+C4717</f>
        <v>66054</v>
      </c>
      <c r="B4717" s="0" t="n">
        <v>66</v>
      </c>
      <c r="C4717" s="0" t="n">
        <v>54</v>
      </c>
      <c r="D4717" s="0" t="n">
        <v>325</v>
      </c>
      <c r="E4717" s="0" t="n">
        <f aca="false">VLOOKUP(B4717,'Babblefish-APUMA'!$A$1:$B$86,2)</f>
        <v>90</v>
      </c>
      <c r="F4717" s="0" t="n">
        <f aca="false">IF(C4717&gt;1,IF(C4717&lt;99,VLOOKUP(C4717,'Babblefish-APUMA'!$A$1:$B$86,2),C4717),C4717)</f>
        <v>90</v>
      </c>
    </row>
    <row r="4718" customFormat="false" ht="12.75" hidden="false" customHeight="false" outlineLevel="0" collapsed="false">
      <c r="A4718" s="0" t="n">
        <f aca="false">B4718*1000+C4718</f>
        <v>66055</v>
      </c>
      <c r="B4718" s="0" t="n">
        <v>66</v>
      </c>
      <c r="C4718" s="0" t="n">
        <v>55</v>
      </c>
      <c r="D4718" s="0" t="n">
        <v>247</v>
      </c>
      <c r="E4718" s="0" t="n">
        <f aca="false">VLOOKUP(B4718,'Babblefish-APUMA'!$A$1:$B$86,2)</f>
        <v>90</v>
      </c>
      <c r="F4718" s="0" t="n">
        <f aca="false">IF(C4718&gt;1,IF(C4718&lt;99,VLOOKUP(C4718,'Babblefish-APUMA'!$A$1:$B$86,2),C4718),C4718)</f>
        <v>90</v>
      </c>
    </row>
    <row r="4719" customFormat="false" ht="12.75" hidden="false" customHeight="false" outlineLevel="0" collapsed="false">
      <c r="A4719" s="0" t="n">
        <f aca="false">B4719*1000+C4719</f>
        <v>66056</v>
      </c>
      <c r="B4719" s="0" t="n">
        <v>66</v>
      </c>
      <c r="C4719" s="0" t="n">
        <v>56</v>
      </c>
      <c r="D4719" s="0" t="n">
        <v>1118</v>
      </c>
      <c r="E4719" s="0" t="n">
        <f aca="false">VLOOKUP(B4719,'Babblefish-APUMA'!$A$1:$B$86,2)</f>
        <v>90</v>
      </c>
      <c r="F4719" s="0" t="n">
        <f aca="false">IF(C4719&gt;1,IF(C4719&lt;99,VLOOKUP(C4719,'Babblefish-APUMA'!$A$1:$B$86,2),C4719),C4719)</f>
        <v>90</v>
      </c>
    </row>
    <row r="4720" customFormat="false" ht="12.75" hidden="false" customHeight="false" outlineLevel="0" collapsed="false">
      <c r="A4720" s="0" t="n">
        <f aca="false">B4720*1000+C4720</f>
        <v>66057</v>
      </c>
      <c r="B4720" s="0" t="n">
        <v>66</v>
      </c>
      <c r="C4720" s="0" t="n">
        <v>57</v>
      </c>
      <c r="D4720" s="0" t="n">
        <v>1781</v>
      </c>
      <c r="E4720" s="0" t="n">
        <f aca="false">VLOOKUP(B4720,'Babblefish-APUMA'!$A$1:$B$86,2)</f>
        <v>90</v>
      </c>
      <c r="F4720" s="0" t="n">
        <f aca="false">IF(C4720&gt;1,IF(C4720&lt;99,VLOOKUP(C4720,'Babblefish-APUMA'!$A$1:$B$86,2),C4720),C4720)</f>
        <v>90</v>
      </c>
    </row>
    <row r="4721" customFormat="false" ht="12.75" hidden="false" customHeight="false" outlineLevel="0" collapsed="false">
      <c r="A4721" s="0" t="n">
        <f aca="false">B4721*1000+C4721</f>
        <v>66058</v>
      </c>
      <c r="B4721" s="0" t="n">
        <v>66</v>
      </c>
      <c r="C4721" s="0" t="n">
        <v>58</v>
      </c>
      <c r="D4721" s="0" t="n">
        <v>143</v>
      </c>
      <c r="E4721" s="0" t="n">
        <f aca="false">VLOOKUP(B4721,'Babblefish-APUMA'!$A$1:$B$86,2)</f>
        <v>90</v>
      </c>
      <c r="F4721" s="0" t="n">
        <f aca="false">IF(C4721&gt;1,IF(C4721&lt;99,VLOOKUP(C4721,'Babblefish-APUMA'!$A$1:$B$86,2),C4721),C4721)</f>
        <v>90</v>
      </c>
    </row>
    <row r="4722" customFormat="false" ht="12.75" hidden="false" customHeight="false" outlineLevel="0" collapsed="false">
      <c r="A4722" s="0" t="n">
        <f aca="false">B4722*1000+C4722</f>
        <v>66059</v>
      </c>
      <c r="B4722" s="0" t="n">
        <v>66</v>
      </c>
      <c r="C4722" s="0" t="n">
        <v>59</v>
      </c>
      <c r="D4722" s="0" t="n">
        <v>234</v>
      </c>
      <c r="E4722" s="0" t="n">
        <f aca="false">VLOOKUP(B4722,'Babblefish-APUMA'!$A$1:$B$86,2)</f>
        <v>90</v>
      </c>
      <c r="F4722" s="0" t="n">
        <f aca="false">IF(C4722&gt;1,IF(C4722&lt;99,VLOOKUP(C4722,'Babblefish-APUMA'!$A$1:$B$86,2),C4722),C4722)</f>
        <v>90</v>
      </c>
    </row>
    <row r="4723" customFormat="false" ht="12.75" hidden="false" customHeight="false" outlineLevel="0" collapsed="false">
      <c r="A4723" s="0" t="n">
        <f aca="false">B4723*1000+C4723</f>
        <v>66060</v>
      </c>
      <c r="B4723" s="0" t="n">
        <v>66</v>
      </c>
      <c r="C4723" s="0" t="n">
        <v>60</v>
      </c>
      <c r="D4723" s="0" t="n">
        <v>8814</v>
      </c>
      <c r="E4723" s="0" t="n">
        <f aca="false">VLOOKUP(B4723,'Babblefish-APUMA'!$A$1:$B$86,2)</f>
        <v>90</v>
      </c>
      <c r="F4723" s="0" t="n">
        <f aca="false">IF(C4723&gt;1,IF(C4723&lt;99,VLOOKUP(C4723,'Babblefish-APUMA'!$A$1:$B$86,2),C4723),C4723)</f>
        <v>90</v>
      </c>
    </row>
    <row r="4724" customFormat="false" ht="12.75" hidden="false" customHeight="false" outlineLevel="0" collapsed="false">
      <c r="A4724" s="0" t="n">
        <f aca="false">B4724*1000+C4724</f>
        <v>66061</v>
      </c>
      <c r="B4724" s="0" t="n">
        <v>66</v>
      </c>
      <c r="C4724" s="0" t="n">
        <v>61</v>
      </c>
      <c r="D4724" s="0" t="n">
        <v>429</v>
      </c>
      <c r="E4724" s="0" t="n">
        <f aca="false">VLOOKUP(B4724,'Babblefish-APUMA'!$A$1:$B$86,2)</f>
        <v>90</v>
      </c>
      <c r="F4724" s="0" t="n">
        <f aca="false">IF(C4724&gt;1,IF(C4724&lt;99,VLOOKUP(C4724,'Babblefish-APUMA'!$A$1:$B$86,2),C4724),C4724)</f>
        <v>90</v>
      </c>
    </row>
    <row r="4725" customFormat="false" ht="12.75" hidden="false" customHeight="false" outlineLevel="0" collapsed="false">
      <c r="A4725" s="0" t="n">
        <f aca="false">B4725*1000+C4725</f>
        <v>66062</v>
      </c>
      <c r="B4725" s="0" t="n">
        <v>66</v>
      </c>
      <c r="C4725" s="0" t="n">
        <v>62</v>
      </c>
      <c r="D4725" s="0" t="n">
        <v>442</v>
      </c>
      <c r="E4725" s="0" t="n">
        <f aca="false">VLOOKUP(B4725,'Babblefish-APUMA'!$A$1:$B$86,2)</f>
        <v>90</v>
      </c>
      <c r="F4725" s="0" t="n">
        <f aca="false">IF(C4725&gt;1,IF(C4725&lt;99,VLOOKUP(C4725,'Babblefish-APUMA'!$A$1:$B$86,2),C4725),C4725)</f>
        <v>90</v>
      </c>
    </row>
    <row r="4726" customFormat="false" ht="12.75" hidden="false" customHeight="false" outlineLevel="0" collapsed="false">
      <c r="A4726" s="0" t="n">
        <f aca="false">B4726*1000+C4726</f>
        <v>66063</v>
      </c>
      <c r="B4726" s="0" t="n">
        <v>66</v>
      </c>
      <c r="C4726" s="0" t="n">
        <v>63</v>
      </c>
      <c r="D4726" s="0" t="n">
        <v>910</v>
      </c>
      <c r="E4726" s="0" t="n">
        <f aca="false">VLOOKUP(B4726,'Babblefish-APUMA'!$A$1:$B$86,2)</f>
        <v>90</v>
      </c>
      <c r="F4726" s="0" t="n">
        <f aca="false">IF(C4726&gt;1,IF(C4726&lt;99,VLOOKUP(C4726,'Babblefish-APUMA'!$A$1:$B$86,2),C4726),C4726)</f>
        <v>90</v>
      </c>
    </row>
    <row r="4727" customFormat="false" ht="12.75" hidden="false" customHeight="false" outlineLevel="0" collapsed="false">
      <c r="A4727" s="0" t="n">
        <f aca="false">B4727*1000+C4727</f>
        <v>66064</v>
      </c>
      <c r="B4727" s="0" t="n">
        <v>66</v>
      </c>
      <c r="C4727" s="0" t="n">
        <v>64</v>
      </c>
      <c r="D4727" s="0" t="n">
        <v>53183</v>
      </c>
      <c r="E4727" s="0" t="n">
        <f aca="false">VLOOKUP(B4727,'Babblefish-APUMA'!$A$1:$B$86,2)</f>
        <v>90</v>
      </c>
      <c r="F4727" s="0" t="n">
        <f aca="false">IF(C4727&gt;1,IF(C4727&lt;99,VLOOKUP(C4727,'Babblefish-APUMA'!$A$1:$B$86,2),C4727),C4727)</f>
        <v>90</v>
      </c>
    </row>
    <row r="4728" customFormat="false" ht="12.75" hidden="false" customHeight="false" outlineLevel="0" collapsed="false">
      <c r="A4728" s="0" t="n">
        <f aca="false">B4728*1000+C4728</f>
        <v>66065</v>
      </c>
      <c r="B4728" s="0" t="n">
        <v>66</v>
      </c>
      <c r="C4728" s="0" t="n">
        <v>65</v>
      </c>
      <c r="D4728" s="0" t="n">
        <v>23673</v>
      </c>
      <c r="E4728" s="0" t="n">
        <f aca="false">VLOOKUP(B4728,'Babblefish-APUMA'!$A$1:$B$86,2)</f>
        <v>90</v>
      </c>
      <c r="F4728" s="0" t="n">
        <f aca="false">IF(C4728&gt;1,IF(C4728&lt;99,VLOOKUP(C4728,'Babblefish-APUMA'!$A$1:$B$86,2),C4728),C4728)</f>
        <v>90</v>
      </c>
    </row>
    <row r="4729" customFormat="false" ht="12.75" hidden="false" customHeight="false" outlineLevel="0" collapsed="false">
      <c r="A4729" s="0" t="n">
        <f aca="false">B4729*1000+C4729</f>
        <v>66066</v>
      </c>
      <c r="B4729" s="0" t="n">
        <v>66</v>
      </c>
      <c r="C4729" s="0" t="n">
        <v>66</v>
      </c>
      <c r="D4729" s="0" t="n">
        <v>86619</v>
      </c>
      <c r="E4729" s="0" t="n">
        <f aca="false">VLOOKUP(B4729,'Babblefish-APUMA'!$A$1:$B$86,2)</f>
        <v>90</v>
      </c>
      <c r="F4729" s="0" t="n">
        <f aca="false">IF(C4729&gt;1,IF(C4729&lt;99,VLOOKUP(C4729,'Babblefish-APUMA'!$A$1:$B$86,2),C4729),C4729)</f>
        <v>90</v>
      </c>
    </row>
    <row r="4730" customFormat="false" ht="12.75" hidden="false" customHeight="false" outlineLevel="0" collapsed="false">
      <c r="A4730" s="0" t="n">
        <f aca="false">B4730*1000+C4730</f>
        <v>66067</v>
      </c>
      <c r="B4730" s="0" t="n">
        <v>66</v>
      </c>
      <c r="C4730" s="0" t="n">
        <v>67</v>
      </c>
      <c r="D4730" s="0" t="n">
        <v>273</v>
      </c>
      <c r="E4730" s="0" t="n">
        <f aca="false">VLOOKUP(B4730,'Babblefish-APUMA'!$A$1:$B$86,2)</f>
        <v>90</v>
      </c>
      <c r="F4730" s="0" t="n">
        <f aca="false">IF(C4730&gt;1,IF(C4730&lt;99,VLOOKUP(C4730,'Babblefish-APUMA'!$A$1:$B$86,2),C4730),C4730)</f>
        <v>103</v>
      </c>
    </row>
    <row r="4731" customFormat="false" ht="12.75" hidden="false" customHeight="false" outlineLevel="0" collapsed="false">
      <c r="A4731" s="0" t="n">
        <f aca="false">B4731*1000+C4731</f>
        <v>66068</v>
      </c>
      <c r="B4731" s="0" t="n">
        <v>66</v>
      </c>
      <c r="C4731" s="0" t="n">
        <v>68</v>
      </c>
      <c r="D4731" s="0" t="n">
        <v>0</v>
      </c>
      <c r="E4731" s="0" t="n">
        <f aca="false">VLOOKUP(B4731,'Babblefish-APUMA'!$A$1:$B$86,2)</f>
        <v>90</v>
      </c>
      <c r="F4731" s="0" t="n">
        <f aca="false">IF(C4731&gt;1,IF(C4731&lt;99,VLOOKUP(C4731,'Babblefish-APUMA'!$A$1:$B$86,2),C4731),C4731)</f>
        <v>93</v>
      </c>
    </row>
    <row r="4732" customFormat="false" ht="12.75" hidden="false" customHeight="false" outlineLevel="0" collapsed="false">
      <c r="A4732" s="0" t="n">
        <f aca="false">B4732*1000+C4732</f>
        <v>66069</v>
      </c>
      <c r="B4732" s="0" t="n">
        <v>66</v>
      </c>
      <c r="C4732" s="0" t="n">
        <v>69</v>
      </c>
      <c r="D4732" s="0" t="n">
        <v>234</v>
      </c>
      <c r="E4732" s="0" t="n">
        <f aca="false">VLOOKUP(B4732,'Babblefish-APUMA'!$A$1:$B$86,2)</f>
        <v>90</v>
      </c>
      <c r="F4732" s="0" t="n">
        <f aca="false">IF(C4732&gt;1,IF(C4732&lt;99,VLOOKUP(C4732,'Babblefish-APUMA'!$A$1:$B$86,2),C4732),C4732)</f>
        <v>93</v>
      </c>
    </row>
    <row r="4733" customFormat="false" ht="12.75" hidden="false" customHeight="false" outlineLevel="0" collapsed="false">
      <c r="A4733" s="0" t="n">
        <f aca="false">B4733*1000+C4733</f>
        <v>66070</v>
      </c>
      <c r="B4733" s="0" t="n">
        <v>66</v>
      </c>
      <c r="C4733" s="0" t="n">
        <v>70</v>
      </c>
      <c r="D4733" s="0" t="n">
        <v>0</v>
      </c>
      <c r="E4733" s="0" t="n">
        <f aca="false">VLOOKUP(B4733,'Babblefish-APUMA'!$A$1:$B$86,2)</f>
        <v>90</v>
      </c>
      <c r="F4733" s="0" t="n">
        <f aca="false">IF(C4733&gt;1,IF(C4733&lt;99,VLOOKUP(C4733,'Babblefish-APUMA'!$A$1:$B$86,2),C4733),C4733)</f>
        <v>95</v>
      </c>
    </row>
    <row r="4734" customFormat="false" ht="12.75" hidden="false" customHeight="false" outlineLevel="0" collapsed="false">
      <c r="A4734" s="0" t="n">
        <f aca="false">B4734*1000+C4734</f>
        <v>66071</v>
      </c>
      <c r="B4734" s="0" t="n">
        <v>66</v>
      </c>
      <c r="C4734" s="0" t="n">
        <v>71</v>
      </c>
      <c r="D4734" s="0" t="n">
        <v>117</v>
      </c>
      <c r="E4734" s="0" t="n">
        <f aca="false">VLOOKUP(B4734,'Babblefish-APUMA'!$A$1:$B$86,2)</f>
        <v>90</v>
      </c>
      <c r="F4734" s="0" t="n">
        <f aca="false">IF(C4734&gt;1,IF(C4734&lt;99,VLOOKUP(C4734,'Babblefish-APUMA'!$A$1:$B$86,2),C4734),C4734)</f>
        <v>95</v>
      </c>
    </row>
    <row r="4735" customFormat="false" ht="12.75" hidden="false" customHeight="false" outlineLevel="0" collapsed="false">
      <c r="A4735" s="0" t="n">
        <f aca="false">B4735*1000+C4735</f>
        <v>66072</v>
      </c>
      <c r="B4735" s="0" t="n">
        <v>66</v>
      </c>
      <c r="C4735" s="0" t="n">
        <v>72</v>
      </c>
      <c r="D4735" s="0" t="n">
        <v>143</v>
      </c>
      <c r="E4735" s="0" t="n">
        <f aca="false">VLOOKUP(B4735,'Babblefish-APUMA'!$A$1:$B$86,2)</f>
        <v>90</v>
      </c>
      <c r="F4735" s="0" t="n">
        <f aca="false">IF(C4735&gt;1,IF(C4735&lt;99,VLOOKUP(C4735,'Babblefish-APUMA'!$A$1:$B$86,2),C4735),C4735)</f>
        <v>95</v>
      </c>
    </row>
    <row r="4736" customFormat="false" ht="12.75" hidden="false" customHeight="false" outlineLevel="0" collapsed="false">
      <c r="A4736" s="0" t="n">
        <f aca="false">B4736*1000+C4736</f>
        <v>66073</v>
      </c>
      <c r="B4736" s="0" t="n">
        <v>66</v>
      </c>
      <c r="C4736" s="0" t="n">
        <v>73</v>
      </c>
      <c r="D4736" s="0" t="n">
        <v>0</v>
      </c>
      <c r="E4736" s="0" t="n">
        <f aca="false">VLOOKUP(B4736,'Babblefish-APUMA'!$A$1:$B$86,2)</f>
        <v>90</v>
      </c>
      <c r="F4736" s="0" t="n">
        <f aca="false">IF(C4736&gt;1,IF(C4736&lt;99,VLOOKUP(C4736,'Babblefish-APUMA'!$A$1:$B$86,2),C4736),C4736)</f>
        <v>99</v>
      </c>
    </row>
    <row r="4737" customFormat="false" ht="12.75" hidden="false" customHeight="false" outlineLevel="0" collapsed="false">
      <c r="A4737" s="0" t="n">
        <f aca="false">B4737*1000+C4737</f>
        <v>66075</v>
      </c>
      <c r="B4737" s="0" t="n">
        <v>66</v>
      </c>
      <c r="C4737" s="0" t="n">
        <v>75</v>
      </c>
      <c r="D4737" s="0" t="n">
        <v>0</v>
      </c>
      <c r="E4737" s="0" t="n">
        <f aca="false">VLOOKUP(B4737,'Babblefish-APUMA'!$A$1:$B$86,2)</f>
        <v>90</v>
      </c>
      <c r="F4737" s="0" t="n">
        <f aca="false">IF(C4737&gt;1,IF(C4737&lt;99,VLOOKUP(C4737,'Babblefish-APUMA'!$A$1:$B$86,2),C4737),C4737)</f>
        <v>75</v>
      </c>
    </row>
    <row r="4738" customFormat="false" ht="12.75" hidden="false" customHeight="false" outlineLevel="0" collapsed="false">
      <c r="A4738" s="0" t="n">
        <f aca="false">B4738*1000+C4738</f>
        <v>66076</v>
      </c>
      <c r="B4738" s="0" t="n">
        <v>66</v>
      </c>
      <c r="C4738" s="0" t="n">
        <v>76</v>
      </c>
      <c r="D4738" s="0" t="n">
        <v>0</v>
      </c>
      <c r="E4738" s="0" t="n">
        <f aca="false">VLOOKUP(B4738,'Babblefish-APUMA'!$A$1:$B$86,2)</f>
        <v>90</v>
      </c>
      <c r="F4738" s="0" t="n">
        <f aca="false">IF(C4738&gt;1,IF(C4738&lt;99,VLOOKUP(C4738,'Babblefish-APUMA'!$A$1:$B$86,2),C4738),C4738)</f>
        <v>76</v>
      </c>
    </row>
    <row r="4739" customFormat="false" ht="12.75" hidden="false" customHeight="false" outlineLevel="0" collapsed="false">
      <c r="A4739" s="0" t="n">
        <f aca="false">B4739*1000+C4739</f>
        <v>66077</v>
      </c>
      <c r="B4739" s="0" t="n">
        <v>66</v>
      </c>
      <c r="C4739" s="0" t="n">
        <v>77</v>
      </c>
      <c r="D4739" s="0" t="n">
        <v>0</v>
      </c>
      <c r="E4739" s="0" t="n">
        <f aca="false">VLOOKUP(B4739,'Babblefish-APUMA'!$A$1:$B$86,2)</f>
        <v>90</v>
      </c>
      <c r="F4739" s="0" t="n">
        <f aca="false">IF(C4739&gt;1,IF(C4739&lt;99,VLOOKUP(C4739,'Babblefish-APUMA'!$A$1:$B$86,2),C4739),C4739)</f>
        <v>77</v>
      </c>
    </row>
    <row r="4740" customFormat="false" ht="12.75" hidden="false" customHeight="false" outlineLevel="0" collapsed="false">
      <c r="A4740" s="0" t="n">
        <f aca="false">B4740*1000+C4740</f>
        <v>66078</v>
      </c>
      <c r="B4740" s="0" t="n">
        <v>66</v>
      </c>
      <c r="C4740" s="0" t="n">
        <v>78</v>
      </c>
      <c r="D4740" s="0" t="n">
        <v>0</v>
      </c>
      <c r="E4740" s="0" t="n">
        <f aca="false">VLOOKUP(B4740,'Babblefish-APUMA'!$A$1:$B$86,2)</f>
        <v>90</v>
      </c>
      <c r="F4740" s="0" t="n">
        <f aca="false">IF(C4740&gt;1,IF(C4740&lt;99,VLOOKUP(C4740,'Babblefish-APUMA'!$A$1:$B$86,2),C4740),C4740)</f>
        <v>89</v>
      </c>
    </row>
    <row r="4741" customFormat="false" ht="12.75" hidden="false" customHeight="false" outlineLevel="0" collapsed="false">
      <c r="A4741" s="0" t="n">
        <f aca="false">B4741*1000+C4741</f>
        <v>66079</v>
      </c>
      <c r="B4741" s="0" t="n">
        <v>66</v>
      </c>
      <c r="C4741" s="0" t="n">
        <v>79</v>
      </c>
      <c r="D4741" s="0" t="n">
        <v>0</v>
      </c>
      <c r="E4741" s="0" t="n">
        <f aca="false">VLOOKUP(B4741,'Babblefish-APUMA'!$A$1:$B$86,2)</f>
        <v>90</v>
      </c>
      <c r="F4741" s="0" t="n">
        <f aca="false">IF(C4741&gt;1,IF(C4741&lt;99,VLOOKUP(C4741,'Babblefish-APUMA'!$A$1:$B$86,2),C4741),C4741)</f>
        <v>89</v>
      </c>
    </row>
    <row r="4742" customFormat="false" ht="12.75" hidden="false" customHeight="false" outlineLevel="0" collapsed="false">
      <c r="A4742" s="0" t="n">
        <f aca="false">B4742*1000+C4742</f>
        <v>66080</v>
      </c>
      <c r="B4742" s="0" t="n">
        <v>66</v>
      </c>
      <c r="C4742" s="0" t="n">
        <v>80</v>
      </c>
      <c r="D4742" s="0" t="n">
        <v>0</v>
      </c>
      <c r="E4742" s="0" t="n">
        <f aca="false">VLOOKUP(B4742,'Babblefish-APUMA'!$A$1:$B$86,2)</f>
        <v>90</v>
      </c>
      <c r="F4742" s="0" t="n">
        <f aca="false">IF(C4742&gt;1,IF(C4742&lt;99,VLOOKUP(C4742,'Babblefish-APUMA'!$A$1:$B$86,2),C4742),C4742)</f>
        <v>80</v>
      </c>
    </row>
    <row r="4743" customFormat="false" ht="12.75" hidden="false" customHeight="false" outlineLevel="0" collapsed="false">
      <c r="A4743" s="0" t="n">
        <f aca="false">B4743*1000+C4743</f>
        <v>66081</v>
      </c>
      <c r="B4743" s="0" t="n">
        <v>66</v>
      </c>
      <c r="C4743" s="0" t="n">
        <v>81</v>
      </c>
      <c r="D4743" s="0" t="n">
        <v>0</v>
      </c>
      <c r="E4743" s="0" t="n">
        <f aca="false">VLOOKUP(B4743,'Babblefish-APUMA'!$A$1:$B$86,2)</f>
        <v>90</v>
      </c>
      <c r="F4743" s="0" t="n">
        <f aca="false">IF(C4743&gt;1,IF(C4743&lt;99,VLOOKUP(C4743,'Babblefish-APUMA'!$A$1:$B$86,2),C4743),C4743)</f>
        <v>93</v>
      </c>
    </row>
    <row r="4744" customFormat="false" ht="12.75" hidden="false" customHeight="false" outlineLevel="0" collapsed="false">
      <c r="A4744" s="0" t="n">
        <f aca="false">B4744*1000+C4744</f>
        <v>66082</v>
      </c>
      <c r="B4744" s="0" t="n">
        <v>66</v>
      </c>
      <c r="C4744" s="0" t="n">
        <v>82</v>
      </c>
      <c r="D4744" s="0" t="n">
        <v>0</v>
      </c>
      <c r="E4744" s="0" t="n">
        <f aca="false">VLOOKUP(B4744,'Babblefish-APUMA'!$A$1:$B$86,2)</f>
        <v>90</v>
      </c>
      <c r="F4744" s="0" t="n">
        <f aca="false">IF(C4744&gt;1,IF(C4744&lt;99,VLOOKUP(C4744,'Babblefish-APUMA'!$A$1:$B$86,2),C4744),C4744)</f>
        <v>95</v>
      </c>
    </row>
    <row r="4745" customFormat="false" ht="12.75" hidden="false" customHeight="false" outlineLevel="0" collapsed="false">
      <c r="A4745" s="0" t="n">
        <f aca="false">B4745*1000+C4745</f>
        <v>66083</v>
      </c>
      <c r="B4745" s="0" t="n">
        <v>66</v>
      </c>
      <c r="C4745" s="0" t="n">
        <v>83</v>
      </c>
      <c r="D4745" s="0" t="n">
        <v>273</v>
      </c>
      <c r="E4745" s="0" t="n">
        <f aca="false">VLOOKUP(B4745,'Babblefish-APUMA'!$A$1:$B$86,2)</f>
        <v>90</v>
      </c>
      <c r="F4745" s="0" t="n">
        <f aca="false">IF(C4745&gt;1,IF(C4745&lt;99,VLOOKUP(C4745,'Babblefish-APUMA'!$A$1:$B$86,2),C4745),C4745)</f>
        <v>103</v>
      </c>
    </row>
    <row r="4746" customFormat="false" ht="12.75" hidden="false" customHeight="false" outlineLevel="0" collapsed="false">
      <c r="A4746" s="0" t="n">
        <f aca="false">B4746*1000+C4746</f>
        <v>66084</v>
      </c>
      <c r="B4746" s="0" t="n">
        <v>66</v>
      </c>
      <c r="C4746" s="0" t="n">
        <v>84</v>
      </c>
      <c r="D4746" s="0" t="n">
        <v>2275</v>
      </c>
      <c r="E4746" s="0" t="n">
        <f aca="false">VLOOKUP(B4746,'Babblefish-APUMA'!$A$1:$B$86,2)</f>
        <v>90</v>
      </c>
      <c r="F4746" s="0" t="n">
        <f aca="false">IF(C4746&gt;1,IF(C4746&lt;99,VLOOKUP(C4746,'Babblefish-APUMA'!$A$1:$B$86,2),C4746),C4746)</f>
        <v>92</v>
      </c>
    </row>
    <row r="4747" customFormat="false" ht="12.75" hidden="false" customHeight="false" outlineLevel="0" collapsed="false">
      <c r="A4747" s="0" t="n">
        <f aca="false">B4747*1000+C4747</f>
        <v>66085</v>
      </c>
      <c r="B4747" s="0" t="n">
        <v>66</v>
      </c>
      <c r="C4747" s="0" t="n">
        <v>85</v>
      </c>
      <c r="D4747" s="0" t="n">
        <v>0</v>
      </c>
      <c r="E4747" s="0" t="n">
        <f aca="false">VLOOKUP(B4747,'Babblefish-APUMA'!$A$1:$B$86,2)</f>
        <v>90</v>
      </c>
      <c r="F4747" s="0" t="n">
        <f aca="false">IF(C4747&gt;1,IF(C4747&lt;99,VLOOKUP(C4747,'Babblefish-APUMA'!$A$1:$B$86,2),C4747),C4747)</f>
        <v>97</v>
      </c>
    </row>
    <row r="4748" customFormat="false" ht="12.75" hidden="false" customHeight="false" outlineLevel="0" collapsed="false">
      <c r="A4748" s="0" t="n">
        <f aca="false">B4748*1000+C4748</f>
        <v>66858</v>
      </c>
      <c r="B4748" s="0" t="n">
        <v>66</v>
      </c>
      <c r="C4748" s="0" t="n">
        <v>858</v>
      </c>
      <c r="D4748" s="0" t="n">
        <v>0</v>
      </c>
      <c r="E4748" s="0" t="n">
        <f aca="false">VLOOKUP(B4748,'Babblefish-APUMA'!$A$1:$B$86,2)</f>
        <v>90</v>
      </c>
      <c r="F4748" s="0" t="n">
        <f aca="false">IF(C4748&gt;1,IF(C4748&lt;99,VLOOKUP(C4748,'Babblefish-APUMA'!$A$1:$B$86,2),C4748),C4748)</f>
        <v>858</v>
      </c>
    </row>
    <row r="4749" customFormat="false" ht="12.75" hidden="false" customHeight="false" outlineLevel="0" collapsed="false">
      <c r="A4749" s="0" t="n">
        <f aca="false">B4749*1000+C4749</f>
        <v>66983</v>
      </c>
      <c r="B4749" s="0" t="n">
        <v>66</v>
      </c>
      <c r="C4749" s="0" t="n">
        <v>983</v>
      </c>
      <c r="D4749" s="0" t="n">
        <v>0</v>
      </c>
      <c r="E4749" s="0" t="n">
        <f aca="false">VLOOKUP(B4749,'Babblefish-APUMA'!$A$1:$B$86,2)</f>
        <v>90</v>
      </c>
      <c r="F4749" s="0" t="n">
        <f aca="false">IF(C4749&gt;1,IF(C4749&lt;99,VLOOKUP(C4749,'Babblefish-APUMA'!$A$1:$B$86,2),C4749),C4749)</f>
        <v>983</v>
      </c>
    </row>
    <row r="4750" customFormat="false" ht="12.75" hidden="false" customHeight="false" outlineLevel="0" collapsed="false">
      <c r="A4750" s="0" t="n">
        <f aca="false">B4750*1000+C4750</f>
        <v>66999</v>
      </c>
      <c r="B4750" s="0" t="n">
        <v>66</v>
      </c>
      <c r="C4750" s="0" t="n">
        <v>999</v>
      </c>
      <c r="D4750" s="0" t="n">
        <v>156</v>
      </c>
      <c r="E4750" s="0" t="n">
        <f aca="false">VLOOKUP(B4750,'Babblefish-APUMA'!$A$1:$B$86,2)</f>
        <v>90</v>
      </c>
      <c r="F4750" s="0" t="n">
        <f aca="false">IF(C4750&gt;1,IF(C4750&lt;99,VLOOKUP(C4750,'Babblefish-APUMA'!$A$1:$B$86,2),C4750),C4750)</f>
        <v>999</v>
      </c>
    </row>
    <row r="4751" customFormat="false" ht="12.75" hidden="false" customHeight="false" outlineLevel="0" collapsed="false">
      <c r="A4751" s="0" t="n">
        <f aca="false">B4751*1000+C4751</f>
        <v>67000</v>
      </c>
      <c r="B4751" s="0" t="n">
        <v>67</v>
      </c>
      <c r="C4751" s="0" t="n">
        <v>0</v>
      </c>
      <c r="D4751" s="0" t="n">
        <v>254098</v>
      </c>
      <c r="E4751" s="0" t="n">
        <f aca="false">VLOOKUP(B4751,'Babblefish-APUMA'!$A$1:$B$86,2)</f>
        <v>103</v>
      </c>
      <c r="F4751" s="0" t="n">
        <f aca="false">IF(C4751&gt;1,IF(C4751&lt;99,VLOOKUP(C4751,'Babblefish-APUMA'!$A$1:$B$86,2),C4751),C4751)</f>
        <v>0</v>
      </c>
    </row>
    <row r="4752" customFormat="false" ht="12.75" hidden="false" customHeight="false" outlineLevel="0" collapsed="false">
      <c r="A4752" s="0" t="n">
        <f aca="false">B4752*1000+C4752</f>
        <v>67001</v>
      </c>
      <c r="B4752" s="0" t="n">
        <v>67</v>
      </c>
      <c r="C4752" s="0" t="n">
        <v>1</v>
      </c>
      <c r="D4752" s="0" t="n">
        <v>65</v>
      </c>
      <c r="E4752" s="0" t="n">
        <f aca="false">VLOOKUP(B4752,'Babblefish-APUMA'!$A$1:$B$86,2)</f>
        <v>103</v>
      </c>
      <c r="F4752" s="0" t="n">
        <f aca="false">IF(C4752&gt;1,IF(C4752&lt;99,VLOOKUP(C4752,'Babblefish-APUMA'!$A$1:$B$86,2),C4752),C4752)</f>
        <v>1</v>
      </c>
    </row>
    <row r="4753" customFormat="false" ht="12.75" hidden="false" customHeight="false" outlineLevel="0" collapsed="false">
      <c r="A4753" s="0" t="n">
        <f aca="false">B4753*1000+C4753</f>
        <v>67002</v>
      </c>
      <c r="B4753" s="0" t="n">
        <v>67</v>
      </c>
      <c r="C4753" s="0" t="n">
        <v>2</v>
      </c>
      <c r="D4753" s="0" t="n">
        <v>0</v>
      </c>
      <c r="E4753" s="0" t="n">
        <f aca="false">VLOOKUP(B4753,'Babblefish-APUMA'!$A$1:$B$86,2)</f>
        <v>103</v>
      </c>
      <c r="F4753" s="0" t="n">
        <f aca="false">IF(C4753&gt;1,IF(C4753&lt;99,VLOOKUP(C4753,'Babblefish-APUMA'!$A$1:$B$86,2),C4753),C4753)</f>
        <v>2</v>
      </c>
    </row>
    <row r="4754" customFormat="false" ht="12.75" hidden="false" customHeight="false" outlineLevel="0" collapsed="false">
      <c r="A4754" s="0" t="n">
        <f aca="false">B4754*1000+C4754</f>
        <v>67003</v>
      </c>
      <c r="B4754" s="0" t="n">
        <v>67</v>
      </c>
      <c r="C4754" s="0" t="n">
        <v>3</v>
      </c>
      <c r="D4754" s="0" t="n">
        <v>52</v>
      </c>
      <c r="E4754" s="0" t="n">
        <f aca="false">VLOOKUP(B4754,'Babblefish-APUMA'!$A$1:$B$86,2)</f>
        <v>103</v>
      </c>
      <c r="F4754" s="0" t="n">
        <f aca="false">IF(C4754&gt;1,IF(C4754&lt;99,VLOOKUP(C4754,'Babblefish-APUMA'!$A$1:$B$86,2),C4754),C4754)</f>
        <v>3</v>
      </c>
    </row>
    <row r="4755" customFormat="false" ht="12.75" hidden="false" customHeight="false" outlineLevel="0" collapsed="false">
      <c r="A4755" s="0" t="n">
        <f aca="false">B4755*1000+C4755</f>
        <v>67004</v>
      </c>
      <c r="B4755" s="0" t="n">
        <v>67</v>
      </c>
      <c r="C4755" s="0" t="n">
        <v>4</v>
      </c>
      <c r="D4755" s="0" t="n">
        <v>117</v>
      </c>
      <c r="E4755" s="0" t="n">
        <f aca="false">VLOOKUP(B4755,'Babblefish-APUMA'!$A$1:$B$86,2)</f>
        <v>103</v>
      </c>
      <c r="F4755" s="0" t="n">
        <f aca="false">IF(C4755&gt;1,IF(C4755&lt;99,VLOOKUP(C4755,'Babblefish-APUMA'!$A$1:$B$86,2),C4755),C4755)</f>
        <v>4</v>
      </c>
    </row>
    <row r="4756" customFormat="false" ht="12.75" hidden="false" customHeight="false" outlineLevel="0" collapsed="false">
      <c r="A4756" s="0" t="n">
        <f aca="false">B4756*1000+C4756</f>
        <v>67005</v>
      </c>
      <c r="B4756" s="0" t="n">
        <v>67</v>
      </c>
      <c r="C4756" s="0" t="n">
        <v>5</v>
      </c>
      <c r="D4756" s="0" t="n">
        <v>0</v>
      </c>
      <c r="E4756" s="0" t="n">
        <f aca="false">VLOOKUP(B4756,'Babblefish-APUMA'!$A$1:$B$86,2)</f>
        <v>103</v>
      </c>
      <c r="F4756" s="0" t="n">
        <f aca="false">IF(C4756&gt;1,IF(C4756&lt;99,VLOOKUP(C4756,'Babblefish-APUMA'!$A$1:$B$86,2),C4756),C4756)</f>
        <v>5</v>
      </c>
    </row>
    <row r="4757" customFormat="false" ht="12.75" hidden="false" customHeight="false" outlineLevel="0" collapsed="false">
      <c r="A4757" s="0" t="n">
        <f aca="false">B4757*1000+C4757</f>
        <v>67006</v>
      </c>
      <c r="B4757" s="0" t="n">
        <v>67</v>
      </c>
      <c r="C4757" s="0" t="n">
        <v>6</v>
      </c>
      <c r="D4757" s="0" t="n">
        <v>104</v>
      </c>
      <c r="E4757" s="0" t="n">
        <f aca="false">VLOOKUP(B4757,'Babblefish-APUMA'!$A$1:$B$86,2)</f>
        <v>103</v>
      </c>
      <c r="F4757" s="0" t="n">
        <f aca="false">IF(C4757&gt;1,IF(C4757&lt;99,VLOOKUP(C4757,'Babblefish-APUMA'!$A$1:$B$86,2),C4757),C4757)</f>
        <v>6</v>
      </c>
    </row>
    <row r="4758" customFormat="false" ht="12.75" hidden="false" customHeight="false" outlineLevel="0" collapsed="false">
      <c r="A4758" s="0" t="n">
        <f aca="false">B4758*1000+C4758</f>
        <v>67007</v>
      </c>
      <c r="B4758" s="0" t="n">
        <v>67</v>
      </c>
      <c r="C4758" s="0" t="n">
        <v>7</v>
      </c>
      <c r="D4758" s="0" t="n">
        <v>0</v>
      </c>
      <c r="E4758" s="0" t="n">
        <f aca="false">VLOOKUP(B4758,'Babblefish-APUMA'!$A$1:$B$86,2)</f>
        <v>103</v>
      </c>
      <c r="F4758" s="0" t="n">
        <f aca="false">IF(C4758&gt;1,IF(C4758&lt;99,VLOOKUP(C4758,'Babblefish-APUMA'!$A$1:$B$86,2),C4758),C4758)</f>
        <v>7</v>
      </c>
    </row>
    <row r="4759" customFormat="false" ht="12.75" hidden="false" customHeight="false" outlineLevel="0" collapsed="false">
      <c r="A4759" s="0" t="n">
        <f aca="false">B4759*1000+C4759</f>
        <v>67008</v>
      </c>
      <c r="B4759" s="0" t="n">
        <v>67</v>
      </c>
      <c r="C4759" s="0" t="n">
        <v>8</v>
      </c>
      <c r="D4759" s="0" t="n">
        <v>0</v>
      </c>
      <c r="E4759" s="0" t="n">
        <f aca="false">VLOOKUP(B4759,'Babblefish-APUMA'!$A$1:$B$86,2)</f>
        <v>103</v>
      </c>
      <c r="F4759" s="0" t="n">
        <f aca="false">IF(C4759&gt;1,IF(C4759&lt;99,VLOOKUP(C4759,'Babblefish-APUMA'!$A$1:$B$86,2),C4759),C4759)</f>
        <v>8</v>
      </c>
    </row>
    <row r="4760" customFormat="false" ht="12.75" hidden="false" customHeight="false" outlineLevel="0" collapsed="false">
      <c r="A4760" s="0" t="n">
        <f aca="false">B4760*1000+C4760</f>
        <v>67009</v>
      </c>
      <c r="B4760" s="0" t="n">
        <v>67</v>
      </c>
      <c r="C4760" s="0" t="n">
        <v>9</v>
      </c>
      <c r="D4760" s="0" t="n">
        <v>0</v>
      </c>
      <c r="E4760" s="0" t="n">
        <f aca="false">VLOOKUP(B4760,'Babblefish-APUMA'!$A$1:$B$86,2)</f>
        <v>103</v>
      </c>
      <c r="F4760" s="0" t="n">
        <f aca="false">IF(C4760&gt;1,IF(C4760&lt;99,VLOOKUP(C4760,'Babblefish-APUMA'!$A$1:$B$86,2),C4760),C4760)</f>
        <v>9</v>
      </c>
    </row>
    <row r="4761" customFormat="false" ht="12.75" hidden="false" customHeight="false" outlineLevel="0" collapsed="false">
      <c r="A4761" s="0" t="n">
        <f aca="false">B4761*1000+C4761</f>
        <v>67010</v>
      </c>
      <c r="B4761" s="0" t="n">
        <v>67</v>
      </c>
      <c r="C4761" s="0" t="n">
        <v>10</v>
      </c>
      <c r="D4761" s="0" t="n">
        <v>0</v>
      </c>
      <c r="E4761" s="0" t="n">
        <f aca="false">VLOOKUP(B4761,'Babblefish-APUMA'!$A$1:$B$86,2)</f>
        <v>103</v>
      </c>
      <c r="F4761" s="0" t="n">
        <f aca="false">IF(C4761&gt;1,IF(C4761&lt;99,VLOOKUP(C4761,'Babblefish-APUMA'!$A$1:$B$86,2),C4761),C4761)</f>
        <v>10</v>
      </c>
    </row>
    <row r="4762" customFormat="false" ht="12.75" hidden="false" customHeight="false" outlineLevel="0" collapsed="false">
      <c r="A4762" s="0" t="n">
        <f aca="false">B4762*1000+C4762</f>
        <v>67011</v>
      </c>
      <c r="B4762" s="0" t="n">
        <v>67</v>
      </c>
      <c r="C4762" s="0" t="n">
        <v>11</v>
      </c>
      <c r="D4762" s="0" t="n">
        <v>0</v>
      </c>
      <c r="E4762" s="0" t="n">
        <f aca="false">VLOOKUP(B4762,'Babblefish-APUMA'!$A$1:$B$86,2)</f>
        <v>103</v>
      </c>
      <c r="F4762" s="0" t="n">
        <f aca="false">IF(C4762&gt;1,IF(C4762&lt;99,VLOOKUP(C4762,'Babblefish-APUMA'!$A$1:$B$86,2),C4762),C4762)</f>
        <v>11</v>
      </c>
    </row>
    <row r="4763" customFormat="false" ht="12.75" hidden="false" customHeight="false" outlineLevel="0" collapsed="false">
      <c r="A4763" s="0" t="n">
        <f aca="false">B4763*1000+C4763</f>
        <v>67012</v>
      </c>
      <c r="B4763" s="0" t="n">
        <v>67</v>
      </c>
      <c r="C4763" s="0" t="n">
        <v>12</v>
      </c>
      <c r="D4763" s="0" t="n">
        <v>0</v>
      </c>
      <c r="E4763" s="0" t="n">
        <f aca="false">VLOOKUP(B4763,'Babblefish-APUMA'!$A$1:$B$86,2)</f>
        <v>103</v>
      </c>
      <c r="F4763" s="0" t="n">
        <f aca="false">IF(C4763&gt;1,IF(C4763&lt;99,VLOOKUP(C4763,'Babblefish-APUMA'!$A$1:$B$86,2),C4763),C4763)</f>
        <v>12</v>
      </c>
    </row>
    <row r="4764" customFormat="false" ht="12.75" hidden="false" customHeight="false" outlineLevel="0" collapsed="false">
      <c r="A4764" s="0" t="n">
        <f aca="false">B4764*1000+C4764</f>
        <v>67013</v>
      </c>
      <c r="B4764" s="0" t="n">
        <v>67</v>
      </c>
      <c r="C4764" s="0" t="n">
        <v>13</v>
      </c>
      <c r="D4764" s="0" t="n">
        <v>0</v>
      </c>
      <c r="E4764" s="0" t="n">
        <f aca="false">VLOOKUP(B4764,'Babblefish-APUMA'!$A$1:$B$86,2)</f>
        <v>103</v>
      </c>
      <c r="F4764" s="0" t="n">
        <f aca="false">IF(C4764&gt;1,IF(C4764&lt;99,VLOOKUP(C4764,'Babblefish-APUMA'!$A$1:$B$86,2),C4764),C4764)</f>
        <v>100</v>
      </c>
    </row>
    <row r="4765" customFormat="false" ht="12.75" hidden="false" customHeight="false" outlineLevel="0" collapsed="false">
      <c r="A4765" s="0" t="n">
        <f aca="false">B4765*1000+C4765</f>
        <v>67014</v>
      </c>
      <c r="B4765" s="0" t="n">
        <v>67</v>
      </c>
      <c r="C4765" s="0" t="n">
        <v>14</v>
      </c>
      <c r="D4765" s="0" t="n">
        <v>0</v>
      </c>
      <c r="E4765" s="0" t="n">
        <f aca="false">VLOOKUP(B4765,'Babblefish-APUMA'!$A$1:$B$86,2)</f>
        <v>103</v>
      </c>
      <c r="F4765" s="0" t="n">
        <f aca="false">IF(C4765&gt;1,IF(C4765&lt;99,VLOOKUP(C4765,'Babblefish-APUMA'!$A$1:$B$86,2),C4765),C4765)</f>
        <v>100</v>
      </c>
    </row>
    <row r="4766" customFormat="false" ht="12.75" hidden="false" customHeight="false" outlineLevel="0" collapsed="false">
      <c r="A4766" s="0" t="n">
        <f aca="false">B4766*1000+C4766</f>
        <v>67015</v>
      </c>
      <c r="B4766" s="0" t="n">
        <v>67</v>
      </c>
      <c r="C4766" s="0" t="n">
        <v>15</v>
      </c>
      <c r="D4766" s="0" t="n">
        <v>91</v>
      </c>
      <c r="E4766" s="0" t="n">
        <f aca="false">VLOOKUP(B4766,'Babblefish-APUMA'!$A$1:$B$86,2)</f>
        <v>103</v>
      </c>
      <c r="F4766" s="0" t="n">
        <f aca="false">IF(C4766&gt;1,IF(C4766&lt;99,VLOOKUP(C4766,'Babblefish-APUMA'!$A$1:$B$86,2),C4766),C4766)</f>
        <v>15</v>
      </c>
    </row>
    <row r="4767" customFormat="false" ht="12.75" hidden="false" customHeight="false" outlineLevel="0" collapsed="false">
      <c r="A4767" s="0" t="n">
        <f aca="false">B4767*1000+C4767</f>
        <v>67016</v>
      </c>
      <c r="B4767" s="0" t="n">
        <v>67</v>
      </c>
      <c r="C4767" s="0" t="n">
        <v>16</v>
      </c>
      <c r="D4767" s="0" t="n">
        <v>0</v>
      </c>
      <c r="E4767" s="0" t="n">
        <f aca="false">VLOOKUP(B4767,'Babblefish-APUMA'!$A$1:$B$86,2)</f>
        <v>103</v>
      </c>
      <c r="F4767" s="0" t="n">
        <f aca="false">IF(C4767&gt;1,IF(C4767&lt;99,VLOOKUP(C4767,'Babblefish-APUMA'!$A$1:$B$86,2),C4767),C4767)</f>
        <v>99</v>
      </c>
    </row>
    <row r="4768" customFormat="false" ht="12.75" hidden="false" customHeight="false" outlineLevel="0" collapsed="false">
      <c r="A4768" s="0" t="n">
        <f aca="false">B4768*1000+C4768</f>
        <v>67017</v>
      </c>
      <c r="B4768" s="0" t="n">
        <v>67</v>
      </c>
      <c r="C4768" s="0" t="n">
        <v>17</v>
      </c>
      <c r="D4768" s="0" t="n">
        <v>0</v>
      </c>
      <c r="E4768" s="0" t="n">
        <f aca="false">VLOOKUP(B4768,'Babblefish-APUMA'!$A$1:$B$86,2)</f>
        <v>103</v>
      </c>
      <c r="F4768" s="0" t="n">
        <f aca="false">IF(C4768&gt;1,IF(C4768&lt;99,VLOOKUP(C4768,'Babblefish-APUMA'!$A$1:$B$86,2),C4768),C4768)</f>
        <v>87</v>
      </c>
    </row>
    <row r="4769" customFormat="false" ht="12.75" hidden="false" customHeight="false" outlineLevel="0" collapsed="false">
      <c r="A4769" s="0" t="n">
        <f aca="false">B4769*1000+C4769</f>
        <v>67018</v>
      </c>
      <c r="B4769" s="0" t="n">
        <v>67</v>
      </c>
      <c r="C4769" s="0" t="n">
        <v>18</v>
      </c>
      <c r="D4769" s="0" t="n">
        <v>221</v>
      </c>
      <c r="E4769" s="0" t="n">
        <f aca="false">VLOOKUP(B4769,'Babblefish-APUMA'!$A$1:$B$86,2)</f>
        <v>103</v>
      </c>
      <c r="F4769" s="0" t="n">
        <f aca="false">IF(C4769&gt;1,IF(C4769&lt;99,VLOOKUP(C4769,'Babblefish-APUMA'!$A$1:$B$86,2),C4769),C4769)</f>
        <v>87</v>
      </c>
    </row>
    <row r="4770" customFormat="false" ht="12.75" hidden="false" customHeight="false" outlineLevel="0" collapsed="false">
      <c r="A4770" s="0" t="n">
        <f aca="false">B4770*1000+C4770</f>
        <v>67019</v>
      </c>
      <c r="B4770" s="0" t="n">
        <v>67</v>
      </c>
      <c r="C4770" s="0" t="n">
        <v>19</v>
      </c>
      <c r="D4770" s="0" t="n">
        <v>117</v>
      </c>
      <c r="E4770" s="0" t="n">
        <f aca="false">VLOOKUP(B4770,'Babblefish-APUMA'!$A$1:$B$86,2)</f>
        <v>103</v>
      </c>
      <c r="F4770" s="0" t="n">
        <f aca="false">IF(C4770&gt;1,IF(C4770&lt;99,VLOOKUP(C4770,'Babblefish-APUMA'!$A$1:$B$86,2),C4770),C4770)</f>
        <v>19</v>
      </c>
    </row>
    <row r="4771" customFormat="false" ht="12.75" hidden="false" customHeight="false" outlineLevel="0" collapsed="false">
      <c r="A4771" s="0" t="n">
        <f aca="false">B4771*1000+C4771</f>
        <v>67020</v>
      </c>
      <c r="B4771" s="0" t="n">
        <v>67</v>
      </c>
      <c r="C4771" s="0" t="n">
        <v>20</v>
      </c>
      <c r="D4771" s="0" t="n">
        <v>0</v>
      </c>
      <c r="E4771" s="0" t="n">
        <f aca="false">VLOOKUP(B4771,'Babblefish-APUMA'!$A$1:$B$86,2)</f>
        <v>103</v>
      </c>
      <c r="F4771" s="0" t="n">
        <f aca="false">IF(C4771&gt;1,IF(C4771&lt;99,VLOOKUP(C4771,'Babblefish-APUMA'!$A$1:$B$86,2),C4771),C4771)</f>
        <v>86</v>
      </c>
    </row>
    <row r="4772" customFormat="false" ht="12.75" hidden="false" customHeight="false" outlineLevel="0" collapsed="false">
      <c r="A4772" s="0" t="n">
        <f aca="false">B4772*1000+C4772</f>
        <v>67021</v>
      </c>
      <c r="B4772" s="0" t="n">
        <v>67</v>
      </c>
      <c r="C4772" s="0" t="n">
        <v>21</v>
      </c>
      <c r="D4772" s="0" t="n">
        <v>117</v>
      </c>
      <c r="E4772" s="0" t="n">
        <f aca="false">VLOOKUP(B4772,'Babblefish-APUMA'!$A$1:$B$86,2)</f>
        <v>103</v>
      </c>
      <c r="F4772" s="0" t="n">
        <f aca="false">IF(C4772&gt;1,IF(C4772&lt;99,VLOOKUP(C4772,'Babblefish-APUMA'!$A$1:$B$86,2),C4772),C4772)</f>
        <v>86</v>
      </c>
    </row>
    <row r="4773" customFormat="false" ht="12.75" hidden="false" customHeight="false" outlineLevel="0" collapsed="false">
      <c r="A4773" s="0" t="n">
        <f aca="false">B4773*1000+C4773</f>
        <v>67022</v>
      </c>
      <c r="B4773" s="0" t="n">
        <v>67</v>
      </c>
      <c r="C4773" s="0" t="n">
        <v>22</v>
      </c>
      <c r="D4773" s="0" t="n">
        <v>1716</v>
      </c>
      <c r="E4773" s="0" t="n">
        <f aca="false">VLOOKUP(B4773,'Babblefish-APUMA'!$A$1:$B$86,2)</f>
        <v>103</v>
      </c>
      <c r="F4773" s="0" t="n">
        <f aca="false">IF(C4773&gt;1,IF(C4773&lt;99,VLOOKUP(C4773,'Babblefish-APUMA'!$A$1:$B$86,2),C4773),C4773)</f>
        <v>22</v>
      </c>
    </row>
    <row r="4774" customFormat="false" ht="12.75" hidden="false" customHeight="false" outlineLevel="0" collapsed="false">
      <c r="A4774" s="0" t="n">
        <f aca="false">B4774*1000+C4774</f>
        <v>67023</v>
      </c>
      <c r="B4774" s="0" t="n">
        <v>67</v>
      </c>
      <c r="C4774" s="0" t="n">
        <v>23</v>
      </c>
      <c r="D4774" s="0" t="n">
        <v>91</v>
      </c>
      <c r="E4774" s="0" t="n">
        <f aca="false">VLOOKUP(B4774,'Babblefish-APUMA'!$A$1:$B$86,2)</f>
        <v>103</v>
      </c>
      <c r="F4774" s="0" t="n">
        <f aca="false">IF(C4774&gt;1,IF(C4774&lt;99,VLOOKUP(C4774,'Babblefish-APUMA'!$A$1:$B$86,2),C4774),C4774)</f>
        <v>97</v>
      </c>
    </row>
    <row r="4775" customFormat="false" ht="12.75" hidden="false" customHeight="false" outlineLevel="0" collapsed="false">
      <c r="A4775" s="0" t="n">
        <f aca="false">B4775*1000+C4775</f>
        <v>67024</v>
      </c>
      <c r="B4775" s="0" t="n">
        <v>67</v>
      </c>
      <c r="C4775" s="0" t="n">
        <v>24</v>
      </c>
      <c r="D4775" s="0" t="n">
        <v>0</v>
      </c>
      <c r="E4775" s="0" t="n">
        <f aca="false">VLOOKUP(B4775,'Babblefish-APUMA'!$A$1:$B$86,2)</f>
        <v>103</v>
      </c>
      <c r="F4775" s="0" t="n">
        <f aca="false">IF(C4775&gt;1,IF(C4775&lt;99,VLOOKUP(C4775,'Babblefish-APUMA'!$A$1:$B$86,2),C4775),C4775)</f>
        <v>101</v>
      </c>
    </row>
    <row r="4776" customFormat="false" ht="12.75" hidden="false" customHeight="false" outlineLevel="0" collapsed="false">
      <c r="A4776" s="0" t="n">
        <f aca="false">B4776*1000+C4776</f>
        <v>67025</v>
      </c>
      <c r="B4776" s="0" t="n">
        <v>67</v>
      </c>
      <c r="C4776" s="0" t="n">
        <v>25</v>
      </c>
      <c r="D4776" s="0" t="n">
        <v>0</v>
      </c>
      <c r="E4776" s="0" t="n">
        <f aca="false">VLOOKUP(B4776,'Babblefish-APUMA'!$A$1:$B$86,2)</f>
        <v>103</v>
      </c>
      <c r="F4776" s="0" t="n">
        <f aca="false">IF(C4776&gt;1,IF(C4776&lt;99,VLOOKUP(C4776,'Babblefish-APUMA'!$A$1:$B$86,2),C4776),C4776)</f>
        <v>101</v>
      </c>
    </row>
    <row r="4777" customFormat="false" ht="12.75" hidden="false" customHeight="false" outlineLevel="0" collapsed="false">
      <c r="A4777" s="0" t="n">
        <f aca="false">B4777*1000+C4777</f>
        <v>67026</v>
      </c>
      <c r="B4777" s="0" t="n">
        <v>67</v>
      </c>
      <c r="C4777" s="0" t="n">
        <v>26</v>
      </c>
      <c r="D4777" s="0" t="n">
        <v>0</v>
      </c>
      <c r="E4777" s="0" t="n">
        <f aca="false">VLOOKUP(B4777,'Babblefish-APUMA'!$A$1:$B$86,2)</f>
        <v>103</v>
      </c>
      <c r="F4777" s="0" t="n">
        <f aca="false">IF(C4777&gt;1,IF(C4777&lt;99,VLOOKUP(C4777,'Babblefish-APUMA'!$A$1:$B$86,2),C4777),C4777)</f>
        <v>26</v>
      </c>
    </row>
    <row r="4778" customFormat="false" ht="12.75" hidden="false" customHeight="false" outlineLevel="0" collapsed="false">
      <c r="A4778" s="0" t="n">
        <f aca="false">B4778*1000+C4778</f>
        <v>67027</v>
      </c>
      <c r="B4778" s="0" t="n">
        <v>67</v>
      </c>
      <c r="C4778" s="0" t="n">
        <v>27</v>
      </c>
      <c r="D4778" s="0" t="n">
        <v>0</v>
      </c>
      <c r="E4778" s="0" t="n">
        <f aca="false">VLOOKUP(B4778,'Babblefish-APUMA'!$A$1:$B$86,2)</f>
        <v>103</v>
      </c>
      <c r="F4778" s="0" t="n">
        <f aca="false">IF(C4778&gt;1,IF(C4778&lt;99,VLOOKUP(C4778,'Babblefish-APUMA'!$A$1:$B$86,2),C4778),C4778)</f>
        <v>27</v>
      </c>
    </row>
    <row r="4779" customFormat="false" ht="12.75" hidden="false" customHeight="false" outlineLevel="0" collapsed="false">
      <c r="A4779" s="0" t="n">
        <f aca="false">B4779*1000+C4779</f>
        <v>67028</v>
      </c>
      <c r="B4779" s="0" t="n">
        <v>67</v>
      </c>
      <c r="C4779" s="0" t="n">
        <v>28</v>
      </c>
      <c r="D4779" s="0" t="n">
        <v>0</v>
      </c>
      <c r="E4779" s="0" t="n">
        <f aca="false">VLOOKUP(B4779,'Babblefish-APUMA'!$A$1:$B$86,2)</f>
        <v>103</v>
      </c>
      <c r="F4779" s="0" t="n">
        <f aca="false">IF(C4779&gt;1,IF(C4779&lt;99,VLOOKUP(C4779,'Babblefish-APUMA'!$A$1:$B$86,2),C4779),C4779)</f>
        <v>94</v>
      </c>
    </row>
    <row r="4780" customFormat="false" ht="12.75" hidden="false" customHeight="false" outlineLevel="0" collapsed="false">
      <c r="A4780" s="0" t="n">
        <f aca="false">B4780*1000+C4780</f>
        <v>67029</v>
      </c>
      <c r="B4780" s="0" t="n">
        <v>67</v>
      </c>
      <c r="C4780" s="0" t="n">
        <v>29</v>
      </c>
      <c r="D4780" s="0" t="n">
        <v>104</v>
      </c>
      <c r="E4780" s="0" t="n">
        <f aca="false">VLOOKUP(B4780,'Babblefish-APUMA'!$A$1:$B$86,2)</f>
        <v>103</v>
      </c>
      <c r="F4780" s="0" t="n">
        <f aca="false">IF(C4780&gt;1,IF(C4780&lt;99,VLOOKUP(C4780,'Babblefish-APUMA'!$A$1:$B$86,2),C4780),C4780)</f>
        <v>94</v>
      </c>
    </row>
    <row r="4781" customFormat="false" ht="12.75" hidden="false" customHeight="false" outlineLevel="0" collapsed="false">
      <c r="A4781" s="0" t="n">
        <f aca="false">B4781*1000+C4781</f>
        <v>67030</v>
      </c>
      <c r="B4781" s="0" t="n">
        <v>67</v>
      </c>
      <c r="C4781" s="0" t="n">
        <v>30</v>
      </c>
      <c r="D4781" s="0" t="n">
        <v>0</v>
      </c>
      <c r="E4781" s="0" t="n">
        <f aca="false">VLOOKUP(B4781,'Babblefish-APUMA'!$A$1:$B$86,2)</f>
        <v>103</v>
      </c>
      <c r="F4781" s="0" t="n">
        <f aca="false">IF(C4781&gt;1,IF(C4781&lt;99,VLOOKUP(C4781,'Babblefish-APUMA'!$A$1:$B$86,2),C4781),C4781)</f>
        <v>30</v>
      </c>
    </row>
    <row r="4782" customFormat="false" ht="12.75" hidden="false" customHeight="false" outlineLevel="0" collapsed="false">
      <c r="A4782" s="0" t="n">
        <f aca="false">B4782*1000+C4782</f>
        <v>67031</v>
      </c>
      <c r="B4782" s="0" t="n">
        <v>67</v>
      </c>
      <c r="C4782" s="0" t="n">
        <v>31</v>
      </c>
      <c r="D4782" s="0" t="n">
        <v>0</v>
      </c>
      <c r="E4782" s="0" t="n">
        <f aca="false">VLOOKUP(B4782,'Babblefish-APUMA'!$A$1:$B$86,2)</f>
        <v>103</v>
      </c>
      <c r="F4782" s="0" t="n">
        <f aca="false">IF(C4782&gt;1,IF(C4782&lt;99,VLOOKUP(C4782,'Babblefish-APUMA'!$A$1:$B$86,2),C4782),C4782)</f>
        <v>31</v>
      </c>
    </row>
    <row r="4783" customFormat="false" ht="12.75" hidden="false" customHeight="false" outlineLevel="0" collapsed="false">
      <c r="A4783" s="0" t="n">
        <f aca="false">B4783*1000+C4783</f>
        <v>67032</v>
      </c>
      <c r="B4783" s="0" t="n">
        <v>67</v>
      </c>
      <c r="C4783" s="0" t="n">
        <v>32</v>
      </c>
      <c r="D4783" s="0" t="n">
        <v>3861</v>
      </c>
      <c r="E4783" s="0" t="n">
        <f aca="false">VLOOKUP(B4783,'Babblefish-APUMA'!$A$1:$B$86,2)</f>
        <v>103</v>
      </c>
      <c r="F4783" s="0" t="n">
        <f aca="false">IF(C4783&gt;1,IF(C4783&lt;99,VLOOKUP(C4783,'Babblefish-APUMA'!$A$1:$B$86,2),C4783),C4783)</f>
        <v>32</v>
      </c>
    </row>
    <row r="4784" customFormat="false" ht="12.75" hidden="false" customHeight="false" outlineLevel="0" collapsed="false">
      <c r="A4784" s="0" t="n">
        <f aca="false">B4784*1000+C4784</f>
        <v>67033</v>
      </c>
      <c r="B4784" s="0" t="n">
        <v>67</v>
      </c>
      <c r="C4784" s="0" t="n">
        <v>33</v>
      </c>
      <c r="D4784" s="0" t="n">
        <v>338</v>
      </c>
      <c r="E4784" s="0" t="n">
        <f aca="false">VLOOKUP(B4784,'Babblefish-APUMA'!$A$1:$B$86,2)</f>
        <v>103</v>
      </c>
      <c r="F4784" s="0" t="n">
        <f aca="false">IF(C4784&gt;1,IF(C4784&lt;99,VLOOKUP(C4784,'Babblefish-APUMA'!$A$1:$B$86,2),C4784),C4784)</f>
        <v>96</v>
      </c>
    </row>
    <row r="4785" customFormat="false" ht="12.75" hidden="false" customHeight="false" outlineLevel="0" collapsed="false">
      <c r="A4785" s="0" t="n">
        <f aca="false">B4785*1000+C4785</f>
        <v>67034</v>
      </c>
      <c r="B4785" s="0" t="n">
        <v>67</v>
      </c>
      <c r="C4785" s="0" t="n">
        <v>34</v>
      </c>
      <c r="D4785" s="0" t="n">
        <v>0</v>
      </c>
      <c r="E4785" s="0" t="n">
        <f aca="false">VLOOKUP(B4785,'Babblefish-APUMA'!$A$1:$B$86,2)</f>
        <v>103</v>
      </c>
      <c r="F4785" s="0" t="n">
        <f aca="false">IF(C4785&gt;1,IF(C4785&lt;99,VLOOKUP(C4785,'Babblefish-APUMA'!$A$1:$B$86,2),C4785),C4785)</f>
        <v>96</v>
      </c>
    </row>
    <row r="4786" customFormat="false" ht="12.75" hidden="false" customHeight="false" outlineLevel="0" collapsed="false">
      <c r="A4786" s="0" t="n">
        <f aca="false">B4786*1000+C4786</f>
        <v>67035</v>
      </c>
      <c r="B4786" s="0" t="n">
        <v>67</v>
      </c>
      <c r="C4786" s="0" t="n">
        <v>35</v>
      </c>
      <c r="D4786" s="0" t="n">
        <v>0</v>
      </c>
      <c r="E4786" s="0" t="n">
        <f aca="false">VLOOKUP(B4786,'Babblefish-APUMA'!$A$1:$B$86,2)</f>
        <v>103</v>
      </c>
      <c r="F4786" s="0" t="n">
        <f aca="false">IF(C4786&gt;1,IF(C4786&lt;99,VLOOKUP(C4786,'Babblefish-APUMA'!$A$1:$B$86,2),C4786),C4786)</f>
        <v>96</v>
      </c>
    </row>
    <row r="4787" customFormat="false" ht="12.75" hidden="false" customHeight="false" outlineLevel="0" collapsed="false">
      <c r="A4787" s="0" t="n">
        <f aca="false">B4787*1000+C4787</f>
        <v>67036</v>
      </c>
      <c r="B4787" s="0" t="n">
        <v>67</v>
      </c>
      <c r="C4787" s="0" t="n">
        <v>36</v>
      </c>
      <c r="D4787" s="0" t="n">
        <v>0</v>
      </c>
      <c r="E4787" s="0" t="n">
        <f aca="false">VLOOKUP(B4787,'Babblefish-APUMA'!$A$1:$B$86,2)</f>
        <v>103</v>
      </c>
      <c r="F4787" s="0" t="n">
        <f aca="false">IF(C4787&gt;1,IF(C4787&lt;99,VLOOKUP(C4787,'Babblefish-APUMA'!$A$1:$B$86,2),C4787),C4787)</f>
        <v>96</v>
      </c>
    </row>
    <row r="4788" customFormat="false" ht="12.75" hidden="false" customHeight="false" outlineLevel="0" collapsed="false">
      <c r="A4788" s="0" t="n">
        <f aca="false">B4788*1000+C4788</f>
        <v>67037</v>
      </c>
      <c r="B4788" s="0" t="n">
        <v>67</v>
      </c>
      <c r="C4788" s="0" t="n">
        <v>37</v>
      </c>
      <c r="D4788" s="0" t="n">
        <v>104</v>
      </c>
      <c r="E4788" s="0" t="n">
        <f aca="false">VLOOKUP(B4788,'Babblefish-APUMA'!$A$1:$B$86,2)</f>
        <v>103</v>
      </c>
      <c r="F4788" s="0" t="n">
        <f aca="false">IF(C4788&gt;1,IF(C4788&lt;99,VLOOKUP(C4788,'Babblefish-APUMA'!$A$1:$B$86,2),C4788),C4788)</f>
        <v>96</v>
      </c>
    </row>
    <row r="4789" customFormat="false" ht="12.75" hidden="false" customHeight="false" outlineLevel="0" collapsed="false">
      <c r="A4789" s="0" t="n">
        <f aca="false">B4789*1000+C4789</f>
        <v>67038</v>
      </c>
      <c r="B4789" s="0" t="n">
        <v>67</v>
      </c>
      <c r="C4789" s="0" t="n">
        <v>38</v>
      </c>
      <c r="D4789" s="0" t="n">
        <v>0</v>
      </c>
      <c r="E4789" s="0" t="n">
        <f aca="false">VLOOKUP(B4789,'Babblefish-APUMA'!$A$1:$B$86,2)</f>
        <v>103</v>
      </c>
      <c r="F4789" s="0" t="n">
        <f aca="false">IF(C4789&gt;1,IF(C4789&lt;99,VLOOKUP(C4789,'Babblefish-APUMA'!$A$1:$B$86,2),C4789),C4789)</f>
        <v>91</v>
      </c>
    </row>
    <row r="4790" customFormat="false" ht="12.75" hidden="false" customHeight="false" outlineLevel="0" collapsed="false">
      <c r="A4790" s="0" t="n">
        <f aca="false">B4790*1000+C4790</f>
        <v>67039</v>
      </c>
      <c r="B4790" s="0" t="n">
        <v>67</v>
      </c>
      <c r="C4790" s="0" t="n">
        <v>39</v>
      </c>
      <c r="D4790" s="0" t="n">
        <v>169</v>
      </c>
      <c r="E4790" s="0" t="n">
        <f aca="false">VLOOKUP(B4790,'Babblefish-APUMA'!$A$1:$B$86,2)</f>
        <v>103</v>
      </c>
      <c r="F4790" s="0" t="n">
        <f aca="false">IF(C4790&gt;1,IF(C4790&lt;99,VLOOKUP(C4790,'Babblefish-APUMA'!$A$1:$B$86,2),C4790),C4790)</f>
        <v>91</v>
      </c>
    </row>
    <row r="4791" customFormat="false" ht="12.75" hidden="false" customHeight="false" outlineLevel="0" collapsed="false">
      <c r="A4791" s="0" t="n">
        <f aca="false">B4791*1000+C4791</f>
        <v>67040</v>
      </c>
      <c r="B4791" s="0" t="n">
        <v>67</v>
      </c>
      <c r="C4791" s="0" t="n">
        <v>40</v>
      </c>
      <c r="D4791" s="0" t="n">
        <v>0</v>
      </c>
      <c r="E4791" s="0" t="n">
        <f aca="false">VLOOKUP(B4791,'Babblefish-APUMA'!$A$1:$B$86,2)</f>
        <v>103</v>
      </c>
      <c r="F4791" s="0" t="n">
        <f aca="false">IF(C4791&gt;1,IF(C4791&lt;99,VLOOKUP(C4791,'Babblefish-APUMA'!$A$1:$B$86,2),C4791),C4791)</f>
        <v>88</v>
      </c>
    </row>
    <row r="4792" customFormat="false" ht="12.75" hidden="false" customHeight="false" outlineLevel="0" collapsed="false">
      <c r="A4792" s="0" t="n">
        <f aca="false">B4792*1000+C4792</f>
        <v>67041</v>
      </c>
      <c r="B4792" s="0" t="n">
        <v>67</v>
      </c>
      <c r="C4792" s="0" t="n">
        <v>41</v>
      </c>
      <c r="D4792" s="0" t="n">
        <v>0</v>
      </c>
      <c r="E4792" s="0" t="n">
        <f aca="false">VLOOKUP(B4792,'Babblefish-APUMA'!$A$1:$B$86,2)</f>
        <v>103</v>
      </c>
      <c r="F4792" s="0" t="n">
        <f aca="false">IF(C4792&gt;1,IF(C4792&lt;99,VLOOKUP(C4792,'Babblefish-APUMA'!$A$1:$B$86,2),C4792),C4792)</f>
        <v>88</v>
      </c>
    </row>
    <row r="4793" customFormat="false" ht="12.75" hidden="false" customHeight="false" outlineLevel="0" collapsed="false">
      <c r="A4793" s="0" t="n">
        <f aca="false">B4793*1000+C4793</f>
        <v>67042</v>
      </c>
      <c r="B4793" s="0" t="n">
        <v>67</v>
      </c>
      <c r="C4793" s="0" t="n">
        <v>42</v>
      </c>
      <c r="D4793" s="0" t="n">
        <v>78</v>
      </c>
      <c r="E4793" s="0" t="n">
        <f aca="false">VLOOKUP(B4793,'Babblefish-APUMA'!$A$1:$B$86,2)</f>
        <v>103</v>
      </c>
      <c r="F4793" s="0" t="n">
        <f aca="false">IF(C4793&gt;1,IF(C4793&lt;99,VLOOKUP(C4793,'Babblefish-APUMA'!$A$1:$B$86,2),C4793),C4793)</f>
        <v>92</v>
      </c>
    </row>
    <row r="4794" customFormat="false" ht="12.75" hidden="false" customHeight="false" outlineLevel="0" collapsed="false">
      <c r="A4794" s="0" t="n">
        <f aca="false">B4794*1000+C4794</f>
        <v>67043</v>
      </c>
      <c r="B4794" s="0" t="n">
        <v>67</v>
      </c>
      <c r="C4794" s="0" t="n">
        <v>43</v>
      </c>
      <c r="D4794" s="0" t="n">
        <v>0</v>
      </c>
      <c r="E4794" s="0" t="n">
        <f aca="false">VLOOKUP(B4794,'Babblefish-APUMA'!$A$1:$B$86,2)</f>
        <v>103</v>
      </c>
      <c r="F4794" s="0" t="n">
        <f aca="false">IF(C4794&gt;1,IF(C4794&lt;99,VLOOKUP(C4794,'Babblefish-APUMA'!$A$1:$B$86,2),C4794),C4794)</f>
        <v>92</v>
      </c>
    </row>
    <row r="4795" customFormat="false" ht="12.75" hidden="false" customHeight="false" outlineLevel="0" collapsed="false">
      <c r="A4795" s="0" t="n">
        <f aca="false">B4795*1000+C4795</f>
        <v>67044</v>
      </c>
      <c r="B4795" s="0" t="n">
        <v>67</v>
      </c>
      <c r="C4795" s="0" t="n">
        <v>44</v>
      </c>
      <c r="D4795" s="0" t="n">
        <v>0</v>
      </c>
      <c r="E4795" s="0" t="n">
        <f aca="false">VLOOKUP(B4795,'Babblefish-APUMA'!$A$1:$B$86,2)</f>
        <v>103</v>
      </c>
      <c r="F4795" s="0" t="n">
        <f aca="false">IF(C4795&gt;1,IF(C4795&lt;99,VLOOKUP(C4795,'Babblefish-APUMA'!$A$1:$B$86,2),C4795),C4795)</f>
        <v>92</v>
      </c>
    </row>
    <row r="4796" customFormat="false" ht="12.75" hidden="false" customHeight="false" outlineLevel="0" collapsed="false">
      <c r="A4796" s="0" t="n">
        <f aca="false">B4796*1000+C4796</f>
        <v>67045</v>
      </c>
      <c r="B4796" s="0" t="n">
        <v>67</v>
      </c>
      <c r="C4796" s="0" t="n">
        <v>45</v>
      </c>
      <c r="D4796" s="0" t="n">
        <v>0</v>
      </c>
      <c r="E4796" s="0" t="n">
        <f aca="false">VLOOKUP(B4796,'Babblefish-APUMA'!$A$1:$B$86,2)</f>
        <v>103</v>
      </c>
      <c r="F4796" s="0" t="n">
        <f aca="false">IF(C4796&gt;1,IF(C4796&lt;99,VLOOKUP(C4796,'Babblefish-APUMA'!$A$1:$B$86,2),C4796),C4796)</f>
        <v>92</v>
      </c>
    </row>
    <row r="4797" customFormat="false" ht="12.75" hidden="false" customHeight="false" outlineLevel="0" collapsed="false">
      <c r="A4797" s="0" t="n">
        <f aca="false">B4797*1000+C4797</f>
        <v>67046</v>
      </c>
      <c r="B4797" s="0" t="n">
        <v>67</v>
      </c>
      <c r="C4797" s="0" t="n">
        <v>46</v>
      </c>
      <c r="D4797" s="0" t="n">
        <v>104</v>
      </c>
      <c r="E4797" s="0" t="n">
        <f aca="false">VLOOKUP(B4797,'Babblefish-APUMA'!$A$1:$B$86,2)</f>
        <v>103</v>
      </c>
      <c r="F4797" s="0" t="n">
        <f aca="false">IF(C4797&gt;1,IF(C4797&lt;99,VLOOKUP(C4797,'Babblefish-APUMA'!$A$1:$B$86,2),C4797),C4797)</f>
        <v>92</v>
      </c>
    </row>
    <row r="4798" customFormat="false" ht="12.75" hidden="false" customHeight="false" outlineLevel="0" collapsed="false">
      <c r="A4798" s="0" t="n">
        <f aca="false">B4798*1000+C4798</f>
        <v>67047</v>
      </c>
      <c r="B4798" s="0" t="n">
        <v>67</v>
      </c>
      <c r="C4798" s="0" t="n">
        <v>47</v>
      </c>
      <c r="D4798" s="0" t="n">
        <v>0</v>
      </c>
      <c r="E4798" s="0" t="n">
        <f aca="false">VLOOKUP(B4798,'Babblefish-APUMA'!$A$1:$B$86,2)</f>
        <v>103</v>
      </c>
      <c r="F4798" s="0" t="n">
        <f aca="false">IF(C4798&gt;1,IF(C4798&lt;99,VLOOKUP(C4798,'Babblefish-APUMA'!$A$1:$B$86,2),C4798),C4798)</f>
        <v>92</v>
      </c>
    </row>
    <row r="4799" customFormat="false" ht="12.75" hidden="false" customHeight="false" outlineLevel="0" collapsed="false">
      <c r="A4799" s="0" t="n">
        <f aca="false">B4799*1000+C4799</f>
        <v>67048</v>
      </c>
      <c r="B4799" s="0" t="n">
        <v>67</v>
      </c>
      <c r="C4799" s="0" t="n">
        <v>48</v>
      </c>
      <c r="D4799" s="0" t="n">
        <v>0</v>
      </c>
      <c r="E4799" s="0" t="n">
        <f aca="false">VLOOKUP(B4799,'Babblefish-APUMA'!$A$1:$B$86,2)</f>
        <v>103</v>
      </c>
      <c r="F4799" s="0" t="n">
        <f aca="false">IF(C4799&gt;1,IF(C4799&lt;99,VLOOKUP(C4799,'Babblefish-APUMA'!$A$1:$B$86,2),C4799),C4799)</f>
        <v>92</v>
      </c>
    </row>
    <row r="4800" customFormat="false" ht="12.75" hidden="false" customHeight="false" outlineLevel="0" collapsed="false">
      <c r="A4800" s="0" t="n">
        <f aca="false">B4800*1000+C4800</f>
        <v>67049</v>
      </c>
      <c r="B4800" s="0" t="n">
        <v>67</v>
      </c>
      <c r="C4800" s="0" t="n">
        <v>49</v>
      </c>
      <c r="D4800" s="0" t="n">
        <v>0</v>
      </c>
      <c r="E4800" s="0" t="n">
        <f aca="false">VLOOKUP(B4800,'Babblefish-APUMA'!$A$1:$B$86,2)</f>
        <v>103</v>
      </c>
      <c r="F4800" s="0" t="n">
        <f aca="false">IF(C4800&gt;1,IF(C4800&lt;99,VLOOKUP(C4800,'Babblefish-APUMA'!$A$1:$B$86,2),C4800),C4800)</f>
        <v>98</v>
      </c>
    </row>
    <row r="4801" customFormat="false" ht="12.75" hidden="false" customHeight="false" outlineLevel="0" collapsed="false">
      <c r="A4801" s="0" t="n">
        <f aca="false">B4801*1000+C4801</f>
        <v>67050</v>
      </c>
      <c r="B4801" s="0" t="n">
        <v>67</v>
      </c>
      <c r="C4801" s="0" t="n">
        <v>50</v>
      </c>
      <c r="D4801" s="0" t="n">
        <v>65</v>
      </c>
      <c r="E4801" s="0" t="n">
        <f aca="false">VLOOKUP(B4801,'Babblefish-APUMA'!$A$1:$B$86,2)</f>
        <v>103</v>
      </c>
      <c r="F4801" s="0" t="n">
        <f aca="false">IF(C4801&gt;1,IF(C4801&lt;99,VLOOKUP(C4801,'Babblefish-APUMA'!$A$1:$B$86,2),C4801),C4801)</f>
        <v>98</v>
      </c>
    </row>
    <row r="4802" customFormat="false" ht="12.75" hidden="false" customHeight="false" outlineLevel="0" collapsed="false">
      <c r="A4802" s="0" t="n">
        <f aca="false">B4802*1000+C4802</f>
        <v>67051</v>
      </c>
      <c r="B4802" s="0" t="n">
        <v>67</v>
      </c>
      <c r="C4802" s="0" t="n">
        <v>51</v>
      </c>
      <c r="D4802" s="0" t="n">
        <v>0</v>
      </c>
      <c r="E4802" s="0" t="n">
        <f aca="false">VLOOKUP(B4802,'Babblefish-APUMA'!$A$1:$B$86,2)</f>
        <v>103</v>
      </c>
      <c r="F4802" s="0" t="n">
        <f aca="false">IF(C4802&gt;1,IF(C4802&lt;99,VLOOKUP(C4802,'Babblefish-APUMA'!$A$1:$B$86,2),C4802),C4802)</f>
        <v>98</v>
      </c>
    </row>
    <row r="4803" customFormat="false" ht="12.75" hidden="false" customHeight="false" outlineLevel="0" collapsed="false">
      <c r="A4803" s="0" t="n">
        <f aca="false">B4803*1000+C4803</f>
        <v>67052</v>
      </c>
      <c r="B4803" s="0" t="n">
        <v>67</v>
      </c>
      <c r="C4803" s="0" t="n">
        <v>52</v>
      </c>
      <c r="D4803" s="0" t="n">
        <v>2899</v>
      </c>
      <c r="E4803" s="0" t="n">
        <f aca="false">VLOOKUP(B4803,'Babblefish-APUMA'!$A$1:$B$86,2)</f>
        <v>103</v>
      </c>
      <c r="F4803" s="0" t="n">
        <f aca="false">IF(C4803&gt;1,IF(C4803&lt;99,VLOOKUP(C4803,'Babblefish-APUMA'!$A$1:$B$86,2),C4803),C4803)</f>
        <v>90</v>
      </c>
    </row>
    <row r="4804" customFormat="false" ht="12.75" hidden="false" customHeight="false" outlineLevel="0" collapsed="false">
      <c r="A4804" s="0" t="n">
        <f aca="false">B4804*1000+C4804</f>
        <v>67053</v>
      </c>
      <c r="B4804" s="0" t="n">
        <v>67</v>
      </c>
      <c r="C4804" s="0" t="n">
        <v>53</v>
      </c>
      <c r="D4804" s="0" t="n">
        <v>1014</v>
      </c>
      <c r="E4804" s="0" t="n">
        <f aca="false">VLOOKUP(B4804,'Babblefish-APUMA'!$A$1:$B$86,2)</f>
        <v>103</v>
      </c>
      <c r="F4804" s="0" t="n">
        <f aca="false">IF(C4804&gt;1,IF(C4804&lt;99,VLOOKUP(C4804,'Babblefish-APUMA'!$A$1:$B$86,2),C4804),C4804)</f>
        <v>90</v>
      </c>
    </row>
    <row r="4805" customFormat="false" ht="12.75" hidden="false" customHeight="false" outlineLevel="0" collapsed="false">
      <c r="A4805" s="0" t="n">
        <f aca="false">B4805*1000+C4805</f>
        <v>67054</v>
      </c>
      <c r="B4805" s="0" t="n">
        <v>67</v>
      </c>
      <c r="C4805" s="0" t="n">
        <v>54</v>
      </c>
      <c r="D4805" s="0" t="n">
        <v>91</v>
      </c>
      <c r="E4805" s="0" t="n">
        <f aca="false">VLOOKUP(B4805,'Babblefish-APUMA'!$A$1:$B$86,2)</f>
        <v>103</v>
      </c>
      <c r="F4805" s="0" t="n">
        <f aca="false">IF(C4805&gt;1,IF(C4805&lt;99,VLOOKUP(C4805,'Babblefish-APUMA'!$A$1:$B$86,2),C4805),C4805)</f>
        <v>90</v>
      </c>
    </row>
    <row r="4806" customFormat="false" ht="12.75" hidden="false" customHeight="false" outlineLevel="0" collapsed="false">
      <c r="A4806" s="0" t="n">
        <f aca="false">B4806*1000+C4806</f>
        <v>67055</v>
      </c>
      <c r="B4806" s="0" t="n">
        <v>67</v>
      </c>
      <c r="C4806" s="0" t="n">
        <v>55</v>
      </c>
      <c r="D4806" s="0" t="n">
        <v>91</v>
      </c>
      <c r="E4806" s="0" t="n">
        <f aca="false">VLOOKUP(B4806,'Babblefish-APUMA'!$A$1:$B$86,2)</f>
        <v>103</v>
      </c>
      <c r="F4806" s="0" t="n">
        <f aca="false">IF(C4806&gt;1,IF(C4806&lt;99,VLOOKUP(C4806,'Babblefish-APUMA'!$A$1:$B$86,2),C4806),C4806)</f>
        <v>90</v>
      </c>
    </row>
    <row r="4807" customFormat="false" ht="12.75" hidden="false" customHeight="false" outlineLevel="0" collapsed="false">
      <c r="A4807" s="0" t="n">
        <f aca="false">B4807*1000+C4807</f>
        <v>67056</v>
      </c>
      <c r="B4807" s="0" t="n">
        <v>67</v>
      </c>
      <c r="C4807" s="0" t="n">
        <v>56</v>
      </c>
      <c r="D4807" s="0" t="n">
        <v>0</v>
      </c>
      <c r="E4807" s="0" t="n">
        <f aca="false">VLOOKUP(B4807,'Babblefish-APUMA'!$A$1:$B$86,2)</f>
        <v>103</v>
      </c>
      <c r="F4807" s="0" t="n">
        <f aca="false">IF(C4807&gt;1,IF(C4807&lt;99,VLOOKUP(C4807,'Babblefish-APUMA'!$A$1:$B$86,2),C4807),C4807)</f>
        <v>90</v>
      </c>
    </row>
    <row r="4808" customFormat="false" ht="12.75" hidden="false" customHeight="false" outlineLevel="0" collapsed="false">
      <c r="A4808" s="0" t="n">
        <f aca="false">B4808*1000+C4808</f>
        <v>67057</v>
      </c>
      <c r="B4808" s="0" t="n">
        <v>67</v>
      </c>
      <c r="C4808" s="0" t="n">
        <v>57</v>
      </c>
      <c r="D4808" s="0" t="n">
        <v>78</v>
      </c>
      <c r="E4808" s="0" t="n">
        <f aca="false">VLOOKUP(B4808,'Babblefish-APUMA'!$A$1:$B$86,2)</f>
        <v>103</v>
      </c>
      <c r="F4808" s="0" t="n">
        <f aca="false">IF(C4808&gt;1,IF(C4808&lt;99,VLOOKUP(C4808,'Babblefish-APUMA'!$A$1:$B$86,2),C4808),C4808)</f>
        <v>90</v>
      </c>
    </row>
    <row r="4809" customFormat="false" ht="12.75" hidden="false" customHeight="false" outlineLevel="0" collapsed="false">
      <c r="A4809" s="0" t="n">
        <f aca="false">B4809*1000+C4809</f>
        <v>67058</v>
      </c>
      <c r="B4809" s="0" t="n">
        <v>67</v>
      </c>
      <c r="C4809" s="0" t="n">
        <v>58</v>
      </c>
      <c r="D4809" s="0" t="n">
        <v>0</v>
      </c>
      <c r="E4809" s="0" t="n">
        <f aca="false">VLOOKUP(B4809,'Babblefish-APUMA'!$A$1:$B$86,2)</f>
        <v>103</v>
      </c>
      <c r="F4809" s="0" t="n">
        <f aca="false">IF(C4809&gt;1,IF(C4809&lt;99,VLOOKUP(C4809,'Babblefish-APUMA'!$A$1:$B$86,2),C4809),C4809)</f>
        <v>90</v>
      </c>
    </row>
    <row r="4810" customFormat="false" ht="12.75" hidden="false" customHeight="false" outlineLevel="0" collapsed="false">
      <c r="A4810" s="0" t="n">
        <f aca="false">B4810*1000+C4810</f>
        <v>67059</v>
      </c>
      <c r="B4810" s="0" t="n">
        <v>67</v>
      </c>
      <c r="C4810" s="0" t="n">
        <v>59</v>
      </c>
      <c r="D4810" s="0" t="n">
        <v>208</v>
      </c>
      <c r="E4810" s="0" t="n">
        <f aca="false">VLOOKUP(B4810,'Babblefish-APUMA'!$A$1:$B$86,2)</f>
        <v>103</v>
      </c>
      <c r="F4810" s="0" t="n">
        <f aca="false">IF(C4810&gt;1,IF(C4810&lt;99,VLOOKUP(C4810,'Babblefish-APUMA'!$A$1:$B$86,2),C4810),C4810)</f>
        <v>90</v>
      </c>
    </row>
    <row r="4811" customFormat="false" ht="12.75" hidden="false" customHeight="false" outlineLevel="0" collapsed="false">
      <c r="A4811" s="0" t="n">
        <f aca="false">B4811*1000+C4811</f>
        <v>67060</v>
      </c>
      <c r="B4811" s="0" t="n">
        <v>67</v>
      </c>
      <c r="C4811" s="0" t="n">
        <v>60</v>
      </c>
      <c r="D4811" s="0" t="n">
        <v>0</v>
      </c>
      <c r="E4811" s="0" t="n">
        <f aca="false">VLOOKUP(B4811,'Babblefish-APUMA'!$A$1:$B$86,2)</f>
        <v>103</v>
      </c>
      <c r="F4811" s="0" t="n">
        <f aca="false">IF(C4811&gt;1,IF(C4811&lt;99,VLOOKUP(C4811,'Babblefish-APUMA'!$A$1:$B$86,2),C4811),C4811)</f>
        <v>90</v>
      </c>
    </row>
    <row r="4812" customFormat="false" ht="12.75" hidden="false" customHeight="false" outlineLevel="0" collapsed="false">
      <c r="A4812" s="0" t="n">
        <f aca="false">B4812*1000+C4812</f>
        <v>67061</v>
      </c>
      <c r="B4812" s="0" t="n">
        <v>67</v>
      </c>
      <c r="C4812" s="0" t="n">
        <v>61</v>
      </c>
      <c r="D4812" s="0" t="n">
        <v>130</v>
      </c>
      <c r="E4812" s="0" t="n">
        <f aca="false">VLOOKUP(B4812,'Babblefish-APUMA'!$A$1:$B$86,2)</f>
        <v>103</v>
      </c>
      <c r="F4812" s="0" t="n">
        <f aca="false">IF(C4812&gt;1,IF(C4812&lt;99,VLOOKUP(C4812,'Babblefish-APUMA'!$A$1:$B$86,2),C4812),C4812)</f>
        <v>90</v>
      </c>
    </row>
    <row r="4813" customFormat="false" ht="12.75" hidden="false" customHeight="false" outlineLevel="0" collapsed="false">
      <c r="A4813" s="0" t="n">
        <f aca="false">B4813*1000+C4813</f>
        <v>67062</v>
      </c>
      <c r="B4813" s="0" t="n">
        <v>67</v>
      </c>
      <c r="C4813" s="0" t="n">
        <v>62</v>
      </c>
      <c r="D4813" s="0" t="n">
        <v>1560</v>
      </c>
      <c r="E4813" s="0" t="n">
        <f aca="false">VLOOKUP(B4813,'Babblefish-APUMA'!$A$1:$B$86,2)</f>
        <v>103</v>
      </c>
      <c r="F4813" s="0" t="n">
        <f aca="false">IF(C4813&gt;1,IF(C4813&lt;99,VLOOKUP(C4813,'Babblefish-APUMA'!$A$1:$B$86,2),C4813),C4813)</f>
        <v>90</v>
      </c>
    </row>
    <row r="4814" customFormat="false" ht="12.75" hidden="false" customHeight="false" outlineLevel="0" collapsed="false">
      <c r="A4814" s="0" t="n">
        <f aca="false">B4814*1000+C4814</f>
        <v>67063</v>
      </c>
      <c r="B4814" s="0" t="n">
        <v>67</v>
      </c>
      <c r="C4814" s="0" t="n">
        <v>63</v>
      </c>
      <c r="D4814" s="0" t="n">
        <v>351</v>
      </c>
      <c r="E4814" s="0" t="n">
        <f aca="false">VLOOKUP(B4814,'Babblefish-APUMA'!$A$1:$B$86,2)</f>
        <v>103</v>
      </c>
      <c r="F4814" s="0" t="n">
        <f aca="false">IF(C4814&gt;1,IF(C4814&lt;99,VLOOKUP(C4814,'Babblefish-APUMA'!$A$1:$B$86,2),C4814),C4814)</f>
        <v>90</v>
      </c>
    </row>
    <row r="4815" customFormat="false" ht="12.75" hidden="false" customHeight="false" outlineLevel="0" collapsed="false">
      <c r="A4815" s="0" t="n">
        <f aca="false">B4815*1000+C4815</f>
        <v>67064</v>
      </c>
      <c r="B4815" s="0" t="n">
        <v>67</v>
      </c>
      <c r="C4815" s="0" t="n">
        <v>64</v>
      </c>
      <c r="D4815" s="0" t="n">
        <v>20527</v>
      </c>
      <c r="E4815" s="0" t="n">
        <f aca="false">VLOOKUP(B4815,'Babblefish-APUMA'!$A$1:$B$86,2)</f>
        <v>103</v>
      </c>
      <c r="F4815" s="0" t="n">
        <f aca="false">IF(C4815&gt;1,IF(C4815&lt;99,VLOOKUP(C4815,'Babblefish-APUMA'!$A$1:$B$86,2),C4815),C4815)</f>
        <v>90</v>
      </c>
    </row>
    <row r="4816" customFormat="false" ht="12.75" hidden="false" customHeight="false" outlineLevel="0" collapsed="false">
      <c r="A4816" s="0" t="n">
        <f aca="false">B4816*1000+C4816</f>
        <v>67065</v>
      </c>
      <c r="B4816" s="0" t="n">
        <v>67</v>
      </c>
      <c r="C4816" s="0" t="n">
        <v>65</v>
      </c>
      <c r="D4816" s="0" t="n">
        <v>45084</v>
      </c>
      <c r="E4816" s="0" t="n">
        <f aca="false">VLOOKUP(B4816,'Babblefish-APUMA'!$A$1:$B$86,2)</f>
        <v>103</v>
      </c>
      <c r="F4816" s="0" t="n">
        <f aca="false">IF(C4816&gt;1,IF(C4816&lt;99,VLOOKUP(C4816,'Babblefish-APUMA'!$A$1:$B$86,2),C4816),C4816)</f>
        <v>90</v>
      </c>
    </row>
    <row r="4817" customFormat="false" ht="12.75" hidden="false" customHeight="false" outlineLevel="0" collapsed="false">
      <c r="A4817" s="0" t="n">
        <f aca="false">B4817*1000+C4817</f>
        <v>67066</v>
      </c>
      <c r="B4817" s="0" t="n">
        <v>67</v>
      </c>
      <c r="C4817" s="0" t="n">
        <v>66</v>
      </c>
      <c r="D4817" s="0" t="n">
        <v>325</v>
      </c>
      <c r="E4817" s="0" t="n">
        <f aca="false">VLOOKUP(B4817,'Babblefish-APUMA'!$A$1:$B$86,2)</f>
        <v>103</v>
      </c>
      <c r="F4817" s="0" t="n">
        <f aca="false">IF(C4817&gt;1,IF(C4817&lt;99,VLOOKUP(C4817,'Babblefish-APUMA'!$A$1:$B$86,2),C4817),C4817)</f>
        <v>90</v>
      </c>
    </row>
    <row r="4818" customFormat="false" ht="12.75" hidden="false" customHeight="false" outlineLevel="0" collapsed="false">
      <c r="A4818" s="0" t="n">
        <f aca="false">B4818*1000+C4818</f>
        <v>67067</v>
      </c>
      <c r="B4818" s="0" t="n">
        <v>67</v>
      </c>
      <c r="C4818" s="0" t="n">
        <v>67</v>
      </c>
      <c r="D4818" s="0" t="n">
        <v>171535</v>
      </c>
      <c r="E4818" s="0" t="n">
        <f aca="false">VLOOKUP(B4818,'Babblefish-APUMA'!$A$1:$B$86,2)</f>
        <v>103</v>
      </c>
      <c r="F4818" s="0" t="n">
        <f aca="false">IF(C4818&gt;1,IF(C4818&lt;99,VLOOKUP(C4818,'Babblefish-APUMA'!$A$1:$B$86,2),C4818),C4818)</f>
        <v>103</v>
      </c>
    </row>
    <row r="4819" customFormat="false" ht="12.75" hidden="false" customHeight="false" outlineLevel="0" collapsed="false">
      <c r="A4819" s="0" t="n">
        <f aca="false">B4819*1000+C4819</f>
        <v>67068</v>
      </c>
      <c r="B4819" s="0" t="n">
        <v>67</v>
      </c>
      <c r="C4819" s="0" t="n">
        <v>68</v>
      </c>
      <c r="D4819" s="0" t="n">
        <v>0</v>
      </c>
      <c r="E4819" s="0" t="n">
        <f aca="false">VLOOKUP(B4819,'Babblefish-APUMA'!$A$1:$B$86,2)</f>
        <v>103</v>
      </c>
      <c r="F4819" s="0" t="n">
        <f aca="false">IF(C4819&gt;1,IF(C4819&lt;99,VLOOKUP(C4819,'Babblefish-APUMA'!$A$1:$B$86,2),C4819),C4819)</f>
        <v>93</v>
      </c>
    </row>
    <row r="4820" customFormat="false" ht="12.75" hidden="false" customHeight="false" outlineLevel="0" collapsed="false">
      <c r="A4820" s="0" t="n">
        <f aca="false">B4820*1000+C4820</f>
        <v>67069</v>
      </c>
      <c r="B4820" s="0" t="n">
        <v>67</v>
      </c>
      <c r="C4820" s="0" t="n">
        <v>69</v>
      </c>
      <c r="D4820" s="0" t="n">
        <v>52</v>
      </c>
      <c r="E4820" s="0" t="n">
        <f aca="false">VLOOKUP(B4820,'Babblefish-APUMA'!$A$1:$B$86,2)</f>
        <v>103</v>
      </c>
      <c r="F4820" s="0" t="n">
        <f aca="false">IF(C4820&gt;1,IF(C4820&lt;99,VLOOKUP(C4820,'Babblefish-APUMA'!$A$1:$B$86,2),C4820),C4820)</f>
        <v>93</v>
      </c>
    </row>
    <row r="4821" customFormat="false" ht="12.75" hidden="false" customHeight="false" outlineLevel="0" collapsed="false">
      <c r="A4821" s="0" t="n">
        <f aca="false">B4821*1000+C4821</f>
        <v>67070</v>
      </c>
      <c r="B4821" s="0" t="n">
        <v>67</v>
      </c>
      <c r="C4821" s="0" t="n">
        <v>70</v>
      </c>
      <c r="D4821" s="0" t="n">
        <v>0</v>
      </c>
      <c r="E4821" s="0" t="n">
        <f aca="false">VLOOKUP(B4821,'Babblefish-APUMA'!$A$1:$B$86,2)</f>
        <v>103</v>
      </c>
      <c r="F4821" s="0" t="n">
        <f aca="false">IF(C4821&gt;1,IF(C4821&lt;99,VLOOKUP(C4821,'Babblefish-APUMA'!$A$1:$B$86,2),C4821),C4821)</f>
        <v>95</v>
      </c>
    </row>
    <row r="4822" customFormat="false" ht="12.75" hidden="false" customHeight="false" outlineLevel="0" collapsed="false">
      <c r="A4822" s="0" t="n">
        <f aca="false">B4822*1000+C4822</f>
        <v>67071</v>
      </c>
      <c r="B4822" s="0" t="n">
        <v>67</v>
      </c>
      <c r="C4822" s="0" t="n">
        <v>71</v>
      </c>
      <c r="D4822" s="0" t="n">
        <v>221</v>
      </c>
      <c r="E4822" s="0" t="n">
        <f aca="false">VLOOKUP(B4822,'Babblefish-APUMA'!$A$1:$B$86,2)</f>
        <v>103</v>
      </c>
      <c r="F4822" s="0" t="n">
        <f aca="false">IF(C4822&gt;1,IF(C4822&lt;99,VLOOKUP(C4822,'Babblefish-APUMA'!$A$1:$B$86,2),C4822),C4822)</f>
        <v>95</v>
      </c>
    </row>
    <row r="4823" customFormat="false" ht="12.75" hidden="false" customHeight="false" outlineLevel="0" collapsed="false">
      <c r="A4823" s="0" t="n">
        <f aca="false">B4823*1000+C4823</f>
        <v>67072</v>
      </c>
      <c r="B4823" s="0" t="n">
        <v>67</v>
      </c>
      <c r="C4823" s="0" t="n">
        <v>72</v>
      </c>
      <c r="D4823" s="0" t="n">
        <v>195</v>
      </c>
      <c r="E4823" s="0" t="n">
        <f aca="false">VLOOKUP(B4823,'Babblefish-APUMA'!$A$1:$B$86,2)</f>
        <v>103</v>
      </c>
      <c r="F4823" s="0" t="n">
        <f aca="false">IF(C4823&gt;1,IF(C4823&lt;99,VLOOKUP(C4823,'Babblefish-APUMA'!$A$1:$B$86,2),C4823),C4823)</f>
        <v>95</v>
      </c>
    </row>
    <row r="4824" customFormat="false" ht="12.75" hidden="false" customHeight="false" outlineLevel="0" collapsed="false">
      <c r="A4824" s="0" t="n">
        <f aca="false">B4824*1000+C4824</f>
        <v>67073</v>
      </c>
      <c r="B4824" s="0" t="n">
        <v>67</v>
      </c>
      <c r="C4824" s="0" t="n">
        <v>73</v>
      </c>
      <c r="D4824" s="0" t="n">
        <v>0</v>
      </c>
      <c r="E4824" s="0" t="n">
        <f aca="false">VLOOKUP(B4824,'Babblefish-APUMA'!$A$1:$B$86,2)</f>
        <v>103</v>
      </c>
      <c r="F4824" s="0" t="n">
        <f aca="false">IF(C4824&gt;1,IF(C4824&lt;99,VLOOKUP(C4824,'Babblefish-APUMA'!$A$1:$B$86,2),C4824),C4824)</f>
        <v>99</v>
      </c>
    </row>
    <row r="4825" customFormat="false" ht="12.75" hidden="false" customHeight="false" outlineLevel="0" collapsed="false">
      <c r="A4825" s="0" t="n">
        <f aca="false">B4825*1000+C4825</f>
        <v>67075</v>
      </c>
      <c r="B4825" s="0" t="n">
        <v>67</v>
      </c>
      <c r="C4825" s="0" t="n">
        <v>75</v>
      </c>
      <c r="D4825" s="0" t="n">
        <v>0</v>
      </c>
      <c r="E4825" s="0" t="n">
        <f aca="false">VLOOKUP(B4825,'Babblefish-APUMA'!$A$1:$B$86,2)</f>
        <v>103</v>
      </c>
      <c r="F4825" s="0" t="n">
        <f aca="false">IF(C4825&gt;1,IF(C4825&lt;99,VLOOKUP(C4825,'Babblefish-APUMA'!$A$1:$B$86,2),C4825),C4825)</f>
        <v>75</v>
      </c>
    </row>
    <row r="4826" customFormat="false" ht="12.75" hidden="false" customHeight="false" outlineLevel="0" collapsed="false">
      <c r="A4826" s="0" t="n">
        <f aca="false">B4826*1000+C4826</f>
        <v>67076</v>
      </c>
      <c r="B4826" s="0" t="n">
        <v>67</v>
      </c>
      <c r="C4826" s="0" t="n">
        <v>76</v>
      </c>
      <c r="D4826" s="0" t="n">
        <v>0</v>
      </c>
      <c r="E4826" s="0" t="n">
        <f aca="false">VLOOKUP(B4826,'Babblefish-APUMA'!$A$1:$B$86,2)</f>
        <v>103</v>
      </c>
      <c r="F4826" s="0" t="n">
        <f aca="false">IF(C4826&gt;1,IF(C4826&lt;99,VLOOKUP(C4826,'Babblefish-APUMA'!$A$1:$B$86,2),C4826),C4826)</f>
        <v>76</v>
      </c>
    </row>
    <row r="4827" customFormat="false" ht="12.75" hidden="false" customHeight="false" outlineLevel="0" collapsed="false">
      <c r="A4827" s="0" t="n">
        <f aca="false">B4827*1000+C4827</f>
        <v>67077</v>
      </c>
      <c r="B4827" s="0" t="n">
        <v>67</v>
      </c>
      <c r="C4827" s="0" t="n">
        <v>77</v>
      </c>
      <c r="D4827" s="0" t="n">
        <v>0</v>
      </c>
      <c r="E4827" s="0" t="n">
        <f aca="false">VLOOKUP(B4827,'Babblefish-APUMA'!$A$1:$B$86,2)</f>
        <v>103</v>
      </c>
      <c r="F4827" s="0" t="n">
        <f aca="false">IF(C4827&gt;1,IF(C4827&lt;99,VLOOKUP(C4827,'Babblefish-APUMA'!$A$1:$B$86,2),C4827),C4827)</f>
        <v>77</v>
      </c>
    </row>
    <row r="4828" customFormat="false" ht="12.75" hidden="false" customHeight="false" outlineLevel="0" collapsed="false">
      <c r="A4828" s="0" t="n">
        <f aca="false">B4828*1000+C4828</f>
        <v>67078</v>
      </c>
      <c r="B4828" s="0" t="n">
        <v>67</v>
      </c>
      <c r="C4828" s="0" t="n">
        <v>78</v>
      </c>
      <c r="D4828" s="0" t="n">
        <v>286</v>
      </c>
      <c r="E4828" s="0" t="n">
        <f aca="false">VLOOKUP(B4828,'Babblefish-APUMA'!$A$1:$B$86,2)</f>
        <v>103</v>
      </c>
      <c r="F4828" s="0" t="n">
        <f aca="false">IF(C4828&gt;1,IF(C4828&lt;99,VLOOKUP(C4828,'Babblefish-APUMA'!$A$1:$B$86,2),C4828),C4828)</f>
        <v>89</v>
      </c>
    </row>
    <row r="4829" customFormat="false" ht="12.75" hidden="false" customHeight="false" outlineLevel="0" collapsed="false">
      <c r="A4829" s="0" t="n">
        <f aca="false">B4829*1000+C4829</f>
        <v>67079</v>
      </c>
      <c r="B4829" s="0" t="n">
        <v>67</v>
      </c>
      <c r="C4829" s="0" t="n">
        <v>79</v>
      </c>
      <c r="D4829" s="0" t="n">
        <v>195</v>
      </c>
      <c r="E4829" s="0" t="n">
        <f aca="false">VLOOKUP(B4829,'Babblefish-APUMA'!$A$1:$B$86,2)</f>
        <v>103</v>
      </c>
      <c r="F4829" s="0" t="n">
        <f aca="false">IF(C4829&gt;1,IF(C4829&lt;99,VLOOKUP(C4829,'Babblefish-APUMA'!$A$1:$B$86,2),C4829),C4829)</f>
        <v>89</v>
      </c>
    </row>
    <row r="4830" customFormat="false" ht="12.75" hidden="false" customHeight="false" outlineLevel="0" collapsed="false">
      <c r="A4830" s="0" t="n">
        <f aca="false">B4830*1000+C4830</f>
        <v>67080</v>
      </c>
      <c r="B4830" s="0" t="n">
        <v>67</v>
      </c>
      <c r="C4830" s="0" t="n">
        <v>80</v>
      </c>
      <c r="D4830" s="0" t="n">
        <v>338</v>
      </c>
      <c r="E4830" s="0" t="n">
        <f aca="false">VLOOKUP(B4830,'Babblefish-APUMA'!$A$1:$B$86,2)</f>
        <v>103</v>
      </c>
      <c r="F4830" s="0" t="n">
        <f aca="false">IF(C4830&gt;1,IF(C4830&lt;99,VLOOKUP(C4830,'Babblefish-APUMA'!$A$1:$B$86,2),C4830),C4830)</f>
        <v>80</v>
      </c>
    </row>
    <row r="4831" customFormat="false" ht="12.75" hidden="false" customHeight="false" outlineLevel="0" collapsed="false">
      <c r="A4831" s="0" t="n">
        <f aca="false">B4831*1000+C4831</f>
        <v>67081</v>
      </c>
      <c r="B4831" s="0" t="n">
        <v>67</v>
      </c>
      <c r="C4831" s="0" t="n">
        <v>81</v>
      </c>
      <c r="D4831" s="0" t="n">
        <v>91</v>
      </c>
      <c r="E4831" s="0" t="n">
        <f aca="false">VLOOKUP(B4831,'Babblefish-APUMA'!$A$1:$B$86,2)</f>
        <v>103</v>
      </c>
      <c r="F4831" s="0" t="n">
        <f aca="false">IF(C4831&gt;1,IF(C4831&lt;99,VLOOKUP(C4831,'Babblefish-APUMA'!$A$1:$B$86,2),C4831),C4831)</f>
        <v>93</v>
      </c>
    </row>
    <row r="4832" customFormat="false" ht="12.75" hidden="false" customHeight="false" outlineLevel="0" collapsed="false">
      <c r="A4832" s="0" t="n">
        <f aca="false">B4832*1000+C4832</f>
        <v>67082</v>
      </c>
      <c r="B4832" s="0" t="n">
        <v>67</v>
      </c>
      <c r="C4832" s="0" t="n">
        <v>82</v>
      </c>
      <c r="D4832" s="0" t="n">
        <v>0</v>
      </c>
      <c r="E4832" s="0" t="n">
        <f aca="false">VLOOKUP(B4832,'Babblefish-APUMA'!$A$1:$B$86,2)</f>
        <v>103</v>
      </c>
      <c r="F4832" s="0" t="n">
        <f aca="false">IF(C4832&gt;1,IF(C4832&lt;99,VLOOKUP(C4832,'Babblefish-APUMA'!$A$1:$B$86,2),C4832),C4832)</f>
        <v>95</v>
      </c>
    </row>
    <row r="4833" customFormat="false" ht="12.75" hidden="false" customHeight="false" outlineLevel="0" collapsed="false">
      <c r="A4833" s="0" t="n">
        <f aca="false">B4833*1000+C4833</f>
        <v>67083</v>
      </c>
      <c r="B4833" s="0" t="n">
        <v>67</v>
      </c>
      <c r="C4833" s="0" t="n">
        <v>83</v>
      </c>
      <c r="D4833" s="0" t="n">
        <v>17602</v>
      </c>
      <c r="E4833" s="0" t="n">
        <f aca="false">VLOOKUP(B4833,'Babblefish-APUMA'!$A$1:$B$86,2)</f>
        <v>103</v>
      </c>
      <c r="F4833" s="0" t="n">
        <f aca="false">IF(C4833&gt;1,IF(C4833&lt;99,VLOOKUP(C4833,'Babblefish-APUMA'!$A$1:$B$86,2),C4833),C4833)</f>
        <v>103</v>
      </c>
    </row>
    <row r="4834" customFormat="false" ht="12.75" hidden="false" customHeight="false" outlineLevel="0" collapsed="false">
      <c r="A4834" s="0" t="n">
        <f aca="false">B4834*1000+C4834</f>
        <v>67084</v>
      </c>
      <c r="B4834" s="0" t="n">
        <v>67</v>
      </c>
      <c r="C4834" s="0" t="n">
        <v>84</v>
      </c>
      <c r="D4834" s="0" t="n">
        <v>0</v>
      </c>
      <c r="E4834" s="0" t="n">
        <f aca="false">VLOOKUP(B4834,'Babblefish-APUMA'!$A$1:$B$86,2)</f>
        <v>103</v>
      </c>
      <c r="F4834" s="0" t="n">
        <f aca="false">IF(C4834&gt;1,IF(C4834&lt;99,VLOOKUP(C4834,'Babblefish-APUMA'!$A$1:$B$86,2),C4834),C4834)</f>
        <v>92</v>
      </c>
    </row>
    <row r="4835" customFormat="false" ht="12.75" hidden="false" customHeight="false" outlineLevel="0" collapsed="false">
      <c r="A4835" s="0" t="n">
        <f aca="false">B4835*1000+C4835</f>
        <v>67085</v>
      </c>
      <c r="B4835" s="0" t="n">
        <v>67</v>
      </c>
      <c r="C4835" s="0" t="n">
        <v>85</v>
      </c>
      <c r="D4835" s="0" t="n">
        <v>0</v>
      </c>
      <c r="E4835" s="0" t="n">
        <f aca="false">VLOOKUP(B4835,'Babblefish-APUMA'!$A$1:$B$86,2)</f>
        <v>103</v>
      </c>
      <c r="F4835" s="0" t="n">
        <f aca="false">IF(C4835&gt;1,IF(C4835&lt;99,VLOOKUP(C4835,'Babblefish-APUMA'!$A$1:$B$86,2),C4835),C4835)</f>
        <v>97</v>
      </c>
    </row>
    <row r="4836" customFormat="false" ht="12.75" hidden="false" customHeight="false" outlineLevel="0" collapsed="false">
      <c r="A4836" s="0" t="n">
        <f aca="false">B4836*1000+C4836</f>
        <v>67858</v>
      </c>
      <c r="B4836" s="0" t="n">
        <v>67</v>
      </c>
      <c r="C4836" s="0" t="n">
        <v>858</v>
      </c>
      <c r="D4836" s="0" t="n">
        <v>0</v>
      </c>
      <c r="E4836" s="0" t="n">
        <f aca="false">VLOOKUP(B4836,'Babblefish-APUMA'!$A$1:$B$86,2)</f>
        <v>103</v>
      </c>
      <c r="F4836" s="0" t="n">
        <f aca="false">IF(C4836&gt;1,IF(C4836&lt;99,VLOOKUP(C4836,'Babblefish-APUMA'!$A$1:$B$86,2),C4836),C4836)</f>
        <v>858</v>
      </c>
    </row>
    <row r="4837" customFormat="false" ht="12.75" hidden="false" customHeight="false" outlineLevel="0" collapsed="false">
      <c r="A4837" s="0" t="n">
        <f aca="false">B4837*1000+C4837</f>
        <v>67983</v>
      </c>
      <c r="B4837" s="0" t="n">
        <v>67</v>
      </c>
      <c r="C4837" s="0" t="n">
        <v>983</v>
      </c>
      <c r="D4837" s="0" t="n">
        <v>0</v>
      </c>
      <c r="E4837" s="0" t="n">
        <f aca="false">VLOOKUP(B4837,'Babblefish-APUMA'!$A$1:$B$86,2)</f>
        <v>103</v>
      </c>
      <c r="F4837" s="0" t="n">
        <f aca="false">IF(C4837&gt;1,IF(C4837&lt;99,VLOOKUP(C4837,'Babblefish-APUMA'!$A$1:$B$86,2),C4837),C4837)</f>
        <v>983</v>
      </c>
    </row>
    <row r="4838" customFormat="false" ht="12.75" hidden="false" customHeight="false" outlineLevel="0" collapsed="false">
      <c r="A4838" s="0" t="n">
        <f aca="false">B4838*1000+C4838</f>
        <v>67999</v>
      </c>
      <c r="B4838" s="0" t="n">
        <v>67</v>
      </c>
      <c r="C4838" s="0" t="n">
        <v>999</v>
      </c>
      <c r="D4838" s="0" t="n">
        <v>0</v>
      </c>
      <c r="E4838" s="0" t="n">
        <f aca="false">VLOOKUP(B4838,'Babblefish-APUMA'!$A$1:$B$86,2)</f>
        <v>103</v>
      </c>
      <c r="F4838" s="0" t="n">
        <f aca="false">IF(C4838&gt;1,IF(C4838&lt;99,VLOOKUP(C4838,'Babblefish-APUMA'!$A$1:$B$86,2),C4838),C4838)</f>
        <v>999</v>
      </c>
    </row>
    <row r="4839" customFormat="false" ht="12.75" hidden="false" customHeight="false" outlineLevel="0" collapsed="false">
      <c r="A4839" s="0" t="n">
        <f aca="false">B4839*1000+C4839</f>
        <v>68000</v>
      </c>
      <c r="B4839" s="0" t="n">
        <v>68</v>
      </c>
      <c r="C4839" s="0" t="n">
        <v>0</v>
      </c>
      <c r="D4839" s="0" t="n">
        <v>67470</v>
      </c>
      <c r="E4839" s="0" t="n">
        <f aca="false">VLOOKUP(B4839,'Babblefish-APUMA'!$A$1:$B$86,2)</f>
        <v>93</v>
      </c>
      <c r="F4839" s="0" t="n">
        <f aca="false">IF(C4839&gt;1,IF(C4839&lt;99,VLOOKUP(C4839,'Babblefish-APUMA'!$A$1:$B$86,2),C4839),C4839)</f>
        <v>0</v>
      </c>
    </row>
    <row r="4840" customFormat="false" ht="12.75" hidden="false" customHeight="false" outlineLevel="0" collapsed="false">
      <c r="A4840" s="0" t="n">
        <f aca="false">B4840*1000+C4840</f>
        <v>68001</v>
      </c>
      <c r="B4840" s="0" t="n">
        <v>68</v>
      </c>
      <c r="C4840" s="0" t="n">
        <v>1</v>
      </c>
      <c r="D4840" s="0" t="n">
        <v>0</v>
      </c>
      <c r="E4840" s="0" t="n">
        <f aca="false">VLOOKUP(B4840,'Babblefish-APUMA'!$A$1:$B$86,2)</f>
        <v>93</v>
      </c>
      <c r="F4840" s="0" t="n">
        <f aca="false">IF(C4840&gt;1,IF(C4840&lt;99,VLOOKUP(C4840,'Babblefish-APUMA'!$A$1:$B$86,2),C4840),C4840)</f>
        <v>1</v>
      </c>
    </row>
    <row r="4841" customFormat="false" ht="12.75" hidden="false" customHeight="false" outlineLevel="0" collapsed="false">
      <c r="A4841" s="0" t="n">
        <f aca="false">B4841*1000+C4841</f>
        <v>68002</v>
      </c>
      <c r="B4841" s="0" t="n">
        <v>68</v>
      </c>
      <c r="C4841" s="0" t="n">
        <v>2</v>
      </c>
      <c r="D4841" s="0" t="n">
        <v>0</v>
      </c>
      <c r="E4841" s="0" t="n">
        <f aca="false">VLOOKUP(B4841,'Babblefish-APUMA'!$A$1:$B$86,2)</f>
        <v>93</v>
      </c>
      <c r="F4841" s="0" t="n">
        <f aca="false">IF(C4841&gt;1,IF(C4841&lt;99,VLOOKUP(C4841,'Babblefish-APUMA'!$A$1:$B$86,2),C4841),C4841)</f>
        <v>2</v>
      </c>
    </row>
    <row r="4842" customFormat="false" ht="12.75" hidden="false" customHeight="false" outlineLevel="0" collapsed="false">
      <c r="A4842" s="0" t="n">
        <f aca="false">B4842*1000+C4842</f>
        <v>68003</v>
      </c>
      <c r="B4842" s="0" t="n">
        <v>68</v>
      </c>
      <c r="C4842" s="0" t="n">
        <v>3</v>
      </c>
      <c r="D4842" s="0" t="n">
        <v>0</v>
      </c>
      <c r="E4842" s="0" t="n">
        <f aca="false">VLOOKUP(B4842,'Babblefish-APUMA'!$A$1:$B$86,2)</f>
        <v>93</v>
      </c>
      <c r="F4842" s="0" t="n">
        <f aca="false">IF(C4842&gt;1,IF(C4842&lt;99,VLOOKUP(C4842,'Babblefish-APUMA'!$A$1:$B$86,2),C4842),C4842)</f>
        <v>3</v>
      </c>
    </row>
    <row r="4843" customFormat="false" ht="12.75" hidden="false" customHeight="false" outlineLevel="0" collapsed="false">
      <c r="A4843" s="0" t="n">
        <f aca="false">B4843*1000+C4843</f>
        <v>68004</v>
      </c>
      <c r="B4843" s="0" t="n">
        <v>68</v>
      </c>
      <c r="C4843" s="0" t="n">
        <v>4</v>
      </c>
      <c r="D4843" s="0" t="n">
        <v>0</v>
      </c>
      <c r="E4843" s="0" t="n">
        <f aca="false">VLOOKUP(B4843,'Babblefish-APUMA'!$A$1:$B$86,2)</f>
        <v>93</v>
      </c>
      <c r="F4843" s="0" t="n">
        <f aca="false">IF(C4843&gt;1,IF(C4843&lt;99,VLOOKUP(C4843,'Babblefish-APUMA'!$A$1:$B$86,2),C4843),C4843)</f>
        <v>4</v>
      </c>
    </row>
    <row r="4844" customFormat="false" ht="12.75" hidden="false" customHeight="false" outlineLevel="0" collapsed="false">
      <c r="A4844" s="0" t="n">
        <f aca="false">B4844*1000+C4844</f>
        <v>68005</v>
      </c>
      <c r="B4844" s="0" t="n">
        <v>68</v>
      </c>
      <c r="C4844" s="0" t="n">
        <v>5</v>
      </c>
      <c r="D4844" s="0" t="n">
        <v>0</v>
      </c>
      <c r="E4844" s="0" t="n">
        <f aca="false">VLOOKUP(B4844,'Babblefish-APUMA'!$A$1:$B$86,2)</f>
        <v>93</v>
      </c>
      <c r="F4844" s="0" t="n">
        <f aca="false">IF(C4844&gt;1,IF(C4844&lt;99,VLOOKUP(C4844,'Babblefish-APUMA'!$A$1:$B$86,2),C4844),C4844)</f>
        <v>5</v>
      </c>
    </row>
    <row r="4845" customFormat="false" ht="12.75" hidden="false" customHeight="false" outlineLevel="0" collapsed="false">
      <c r="A4845" s="0" t="n">
        <f aca="false">B4845*1000+C4845</f>
        <v>68006</v>
      </c>
      <c r="B4845" s="0" t="n">
        <v>68</v>
      </c>
      <c r="C4845" s="0" t="n">
        <v>6</v>
      </c>
      <c r="D4845" s="0" t="n">
        <v>0</v>
      </c>
      <c r="E4845" s="0" t="n">
        <f aca="false">VLOOKUP(B4845,'Babblefish-APUMA'!$A$1:$B$86,2)</f>
        <v>93</v>
      </c>
      <c r="F4845" s="0" t="n">
        <f aca="false">IF(C4845&gt;1,IF(C4845&lt;99,VLOOKUP(C4845,'Babblefish-APUMA'!$A$1:$B$86,2),C4845),C4845)</f>
        <v>6</v>
      </c>
    </row>
    <row r="4846" customFormat="false" ht="12.75" hidden="false" customHeight="false" outlineLevel="0" collapsed="false">
      <c r="A4846" s="0" t="n">
        <f aca="false">B4846*1000+C4846</f>
        <v>68007</v>
      </c>
      <c r="B4846" s="0" t="n">
        <v>68</v>
      </c>
      <c r="C4846" s="0" t="n">
        <v>7</v>
      </c>
      <c r="D4846" s="0" t="n">
        <v>0</v>
      </c>
      <c r="E4846" s="0" t="n">
        <f aca="false">VLOOKUP(B4846,'Babblefish-APUMA'!$A$1:$B$86,2)</f>
        <v>93</v>
      </c>
      <c r="F4846" s="0" t="n">
        <f aca="false">IF(C4846&gt;1,IF(C4846&lt;99,VLOOKUP(C4846,'Babblefish-APUMA'!$A$1:$B$86,2),C4846),C4846)</f>
        <v>7</v>
      </c>
    </row>
    <row r="4847" customFormat="false" ht="12.75" hidden="false" customHeight="false" outlineLevel="0" collapsed="false">
      <c r="A4847" s="0" t="n">
        <f aca="false">B4847*1000+C4847</f>
        <v>68008</v>
      </c>
      <c r="B4847" s="0" t="n">
        <v>68</v>
      </c>
      <c r="C4847" s="0" t="n">
        <v>8</v>
      </c>
      <c r="D4847" s="0" t="n">
        <v>0</v>
      </c>
      <c r="E4847" s="0" t="n">
        <f aca="false">VLOOKUP(B4847,'Babblefish-APUMA'!$A$1:$B$86,2)</f>
        <v>93</v>
      </c>
      <c r="F4847" s="0" t="n">
        <f aca="false">IF(C4847&gt;1,IF(C4847&lt;99,VLOOKUP(C4847,'Babblefish-APUMA'!$A$1:$B$86,2),C4847),C4847)</f>
        <v>8</v>
      </c>
    </row>
    <row r="4848" customFormat="false" ht="12.75" hidden="false" customHeight="false" outlineLevel="0" collapsed="false">
      <c r="A4848" s="0" t="n">
        <f aca="false">B4848*1000+C4848</f>
        <v>68009</v>
      </c>
      <c r="B4848" s="0" t="n">
        <v>68</v>
      </c>
      <c r="C4848" s="0" t="n">
        <v>9</v>
      </c>
      <c r="D4848" s="0" t="n">
        <v>0</v>
      </c>
      <c r="E4848" s="0" t="n">
        <f aca="false">VLOOKUP(B4848,'Babblefish-APUMA'!$A$1:$B$86,2)</f>
        <v>93</v>
      </c>
      <c r="F4848" s="0" t="n">
        <f aca="false">IF(C4848&gt;1,IF(C4848&lt;99,VLOOKUP(C4848,'Babblefish-APUMA'!$A$1:$B$86,2),C4848),C4848)</f>
        <v>9</v>
      </c>
    </row>
    <row r="4849" customFormat="false" ht="12.75" hidden="false" customHeight="false" outlineLevel="0" collapsed="false">
      <c r="A4849" s="0" t="n">
        <f aca="false">B4849*1000+C4849</f>
        <v>68010</v>
      </c>
      <c r="B4849" s="0" t="n">
        <v>68</v>
      </c>
      <c r="C4849" s="0" t="n">
        <v>10</v>
      </c>
      <c r="D4849" s="0" t="n">
        <v>0</v>
      </c>
      <c r="E4849" s="0" t="n">
        <f aca="false">VLOOKUP(B4849,'Babblefish-APUMA'!$A$1:$B$86,2)</f>
        <v>93</v>
      </c>
      <c r="F4849" s="0" t="n">
        <f aca="false">IF(C4849&gt;1,IF(C4849&lt;99,VLOOKUP(C4849,'Babblefish-APUMA'!$A$1:$B$86,2),C4849),C4849)</f>
        <v>10</v>
      </c>
    </row>
    <row r="4850" customFormat="false" ht="12.75" hidden="false" customHeight="false" outlineLevel="0" collapsed="false">
      <c r="A4850" s="0" t="n">
        <f aca="false">B4850*1000+C4850</f>
        <v>68011</v>
      </c>
      <c r="B4850" s="0" t="n">
        <v>68</v>
      </c>
      <c r="C4850" s="0" t="n">
        <v>11</v>
      </c>
      <c r="D4850" s="0" t="n">
        <v>91</v>
      </c>
      <c r="E4850" s="0" t="n">
        <f aca="false">VLOOKUP(B4850,'Babblefish-APUMA'!$A$1:$B$86,2)</f>
        <v>93</v>
      </c>
      <c r="F4850" s="0" t="n">
        <f aca="false">IF(C4850&gt;1,IF(C4850&lt;99,VLOOKUP(C4850,'Babblefish-APUMA'!$A$1:$B$86,2),C4850),C4850)</f>
        <v>11</v>
      </c>
    </row>
    <row r="4851" customFormat="false" ht="12.75" hidden="false" customHeight="false" outlineLevel="0" collapsed="false">
      <c r="A4851" s="0" t="n">
        <f aca="false">B4851*1000+C4851</f>
        <v>68012</v>
      </c>
      <c r="B4851" s="0" t="n">
        <v>68</v>
      </c>
      <c r="C4851" s="0" t="n">
        <v>12</v>
      </c>
      <c r="D4851" s="0" t="n">
        <v>0</v>
      </c>
      <c r="E4851" s="0" t="n">
        <f aca="false">VLOOKUP(B4851,'Babblefish-APUMA'!$A$1:$B$86,2)</f>
        <v>93</v>
      </c>
      <c r="F4851" s="0" t="n">
        <f aca="false">IF(C4851&gt;1,IF(C4851&lt;99,VLOOKUP(C4851,'Babblefish-APUMA'!$A$1:$B$86,2),C4851),C4851)</f>
        <v>12</v>
      </c>
    </row>
    <row r="4852" customFormat="false" ht="12.75" hidden="false" customHeight="false" outlineLevel="0" collapsed="false">
      <c r="A4852" s="0" t="n">
        <f aca="false">B4852*1000+C4852</f>
        <v>68013</v>
      </c>
      <c r="B4852" s="0" t="n">
        <v>68</v>
      </c>
      <c r="C4852" s="0" t="n">
        <v>13</v>
      </c>
      <c r="D4852" s="0" t="n">
        <v>0</v>
      </c>
      <c r="E4852" s="0" t="n">
        <f aca="false">VLOOKUP(B4852,'Babblefish-APUMA'!$A$1:$B$86,2)</f>
        <v>93</v>
      </c>
      <c r="F4852" s="0" t="n">
        <f aca="false">IF(C4852&gt;1,IF(C4852&lt;99,VLOOKUP(C4852,'Babblefish-APUMA'!$A$1:$B$86,2),C4852),C4852)</f>
        <v>100</v>
      </c>
    </row>
    <row r="4853" customFormat="false" ht="12.75" hidden="false" customHeight="false" outlineLevel="0" collapsed="false">
      <c r="A4853" s="0" t="n">
        <f aca="false">B4853*1000+C4853</f>
        <v>68014</v>
      </c>
      <c r="B4853" s="0" t="n">
        <v>68</v>
      </c>
      <c r="C4853" s="0" t="n">
        <v>14</v>
      </c>
      <c r="D4853" s="0" t="n">
        <v>0</v>
      </c>
      <c r="E4853" s="0" t="n">
        <f aca="false">VLOOKUP(B4853,'Babblefish-APUMA'!$A$1:$B$86,2)</f>
        <v>93</v>
      </c>
      <c r="F4853" s="0" t="n">
        <f aca="false">IF(C4853&gt;1,IF(C4853&lt;99,VLOOKUP(C4853,'Babblefish-APUMA'!$A$1:$B$86,2),C4853),C4853)</f>
        <v>100</v>
      </c>
    </row>
    <row r="4854" customFormat="false" ht="12.75" hidden="false" customHeight="false" outlineLevel="0" collapsed="false">
      <c r="A4854" s="0" t="n">
        <f aca="false">B4854*1000+C4854</f>
        <v>68015</v>
      </c>
      <c r="B4854" s="0" t="n">
        <v>68</v>
      </c>
      <c r="C4854" s="0" t="n">
        <v>15</v>
      </c>
      <c r="D4854" s="0" t="n">
        <v>0</v>
      </c>
      <c r="E4854" s="0" t="n">
        <f aca="false">VLOOKUP(B4854,'Babblefish-APUMA'!$A$1:$B$86,2)</f>
        <v>93</v>
      </c>
      <c r="F4854" s="0" t="n">
        <f aca="false">IF(C4854&gt;1,IF(C4854&lt;99,VLOOKUP(C4854,'Babblefish-APUMA'!$A$1:$B$86,2),C4854),C4854)</f>
        <v>15</v>
      </c>
    </row>
    <row r="4855" customFormat="false" ht="12.75" hidden="false" customHeight="false" outlineLevel="0" collapsed="false">
      <c r="A4855" s="0" t="n">
        <f aca="false">B4855*1000+C4855</f>
        <v>68016</v>
      </c>
      <c r="B4855" s="0" t="n">
        <v>68</v>
      </c>
      <c r="C4855" s="0" t="n">
        <v>16</v>
      </c>
      <c r="D4855" s="0" t="n">
        <v>0</v>
      </c>
      <c r="E4855" s="0" t="n">
        <f aca="false">VLOOKUP(B4855,'Babblefish-APUMA'!$A$1:$B$86,2)</f>
        <v>93</v>
      </c>
      <c r="F4855" s="0" t="n">
        <f aca="false">IF(C4855&gt;1,IF(C4855&lt;99,VLOOKUP(C4855,'Babblefish-APUMA'!$A$1:$B$86,2),C4855),C4855)</f>
        <v>99</v>
      </c>
    </row>
    <row r="4856" customFormat="false" ht="12.75" hidden="false" customHeight="false" outlineLevel="0" collapsed="false">
      <c r="A4856" s="0" t="n">
        <f aca="false">B4856*1000+C4856</f>
        <v>68017</v>
      </c>
      <c r="B4856" s="0" t="n">
        <v>68</v>
      </c>
      <c r="C4856" s="0" t="n">
        <v>17</v>
      </c>
      <c r="D4856" s="0" t="n">
        <v>0</v>
      </c>
      <c r="E4856" s="0" t="n">
        <f aca="false">VLOOKUP(B4856,'Babblefish-APUMA'!$A$1:$B$86,2)</f>
        <v>93</v>
      </c>
      <c r="F4856" s="0" t="n">
        <f aca="false">IF(C4856&gt;1,IF(C4856&lt;99,VLOOKUP(C4856,'Babblefish-APUMA'!$A$1:$B$86,2),C4856),C4856)</f>
        <v>87</v>
      </c>
    </row>
    <row r="4857" customFormat="false" ht="12.75" hidden="false" customHeight="false" outlineLevel="0" collapsed="false">
      <c r="A4857" s="0" t="n">
        <f aca="false">B4857*1000+C4857</f>
        <v>68018</v>
      </c>
      <c r="B4857" s="0" t="n">
        <v>68</v>
      </c>
      <c r="C4857" s="0" t="n">
        <v>18</v>
      </c>
      <c r="D4857" s="0" t="n">
        <v>0</v>
      </c>
      <c r="E4857" s="0" t="n">
        <f aca="false">VLOOKUP(B4857,'Babblefish-APUMA'!$A$1:$B$86,2)</f>
        <v>93</v>
      </c>
      <c r="F4857" s="0" t="n">
        <f aca="false">IF(C4857&gt;1,IF(C4857&lt;99,VLOOKUP(C4857,'Babblefish-APUMA'!$A$1:$B$86,2),C4857),C4857)</f>
        <v>87</v>
      </c>
    </row>
    <row r="4858" customFormat="false" ht="12.75" hidden="false" customHeight="false" outlineLevel="0" collapsed="false">
      <c r="A4858" s="0" t="n">
        <f aca="false">B4858*1000+C4858</f>
        <v>68019</v>
      </c>
      <c r="B4858" s="0" t="n">
        <v>68</v>
      </c>
      <c r="C4858" s="0" t="n">
        <v>19</v>
      </c>
      <c r="D4858" s="0" t="n">
        <v>0</v>
      </c>
      <c r="E4858" s="0" t="n">
        <f aca="false">VLOOKUP(B4858,'Babblefish-APUMA'!$A$1:$B$86,2)</f>
        <v>93</v>
      </c>
      <c r="F4858" s="0" t="n">
        <f aca="false">IF(C4858&gt;1,IF(C4858&lt;99,VLOOKUP(C4858,'Babblefish-APUMA'!$A$1:$B$86,2),C4858),C4858)</f>
        <v>19</v>
      </c>
    </row>
    <row r="4859" customFormat="false" ht="12.75" hidden="false" customHeight="false" outlineLevel="0" collapsed="false">
      <c r="A4859" s="0" t="n">
        <f aca="false">B4859*1000+C4859</f>
        <v>68020</v>
      </c>
      <c r="B4859" s="0" t="n">
        <v>68</v>
      </c>
      <c r="C4859" s="0" t="n">
        <v>20</v>
      </c>
      <c r="D4859" s="0" t="n">
        <v>0</v>
      </c>
      <c r="E4859" s="0" t="n">
        <f aca="false">VLOOKUP(B4859,'Babblefish-APUMA'!$A$1:$B$86,2)</f>
        <v>93</v>
      </c>
      <c r="F4859" s="0" t="n">
        <f aca="false">IF(C4859&gt;1,IF(C4859&lt;99,VLOOKUP(C4859,'Babblefish-APUMA'!$A$1:$B$86,2),C4859),C4859)</f>
        <v>86</v>
      </c>
    </row>
    <row r="4860" customFormat="false" ht="12.75" hidden="false" customHeight="false" outlineLevel="0" collapsed="false">
      <c r="A4860" s="0" t="n">
        <f aca="false">B4860*1000+C4860</f>
        <v>68021</v>
      </c>
      <c r="B4860" s="0" t="n">
        <v>68</v>
      </c>
      <c r="C4860" s="0" t="n">
        <v>21</v>
      </c>
      <c r="D4860" s="0" t="n">
        <v>0</v>
      </c>
      <c r="E4860" s="0" t="n">
        <f aca="false">VLOOKUP(B4860,'Babblefish-APUMA'!$A$1:$B$86,2)</f>
        <v>93</v>
      </c>
      <c r="F4860" s="0" t="n">
        <f aca="false">IF(C4860&gt;1,IF(C4860&lt;99,VLOOKUP(C4860,'Babblefish-APUMA'!$A$1:$B$86,2),C4860),C4860)</f>
        <v>86</v>
      </c>
    </row>
    <row r="4861" customFormat="false" ht="12.75" hidden="false" customHeight="false" outlineLevel="0" collapsed="false">
      <c r="A4861" s="0" t="n">
        <f aca="false">B4861*1000+C4861</f>
        <v>68022</v>
      </c>
      <c r="B4861" s="0" t="n">
        <v>68</v>
      </c>
      <c r="C4861" s="0" t="n">
        <v>22</v>
      </c>
      <c r="D4861" s="0" t="n">
        <v>0</v>
      </c>
      <c r="E4861" s="0" t="n">
        <f aca="false">VLOOKUP(B4861,'Babblefish-APUMA'!$A$1:$B$86,2)</f>
        <v>93</v>
      </c>
      <c r="F4861" s="0" t="n">
        <f aca="false">IF(C4861&gt;1,IF(C4861&lt;99,VLOOKUP(C4861,'Babblefish-APUMA'!$A$1:$B$86,2),C4861),C4861)</f>
        <v>22</v>
      </c>
    </row>
    <row r="4862" customFormat="false" ht="12.75" hidden="false" customHeight="false" outlineLevel="0" collapsed="false">
      <c r="A4862" s="0" t="n">
        <f aca="false">B4862*1000+C4862</f>
        <v>68023</v>
      </c>
      <c r="B4862" s="0" t="n">
        <v>68</v>
      </c>
      <c r="C4862" s="0" t="n">
        <v>23</v>
      </c>
      <c r="D4862" s="0" t="n">
        <v>0</v>
      </c>
      <c r="E4862" s="0" t="n">
        <f aca="false">VLOOKUP(B4862,'Babblefish-APUMA'!$A$1:$B$86,2)</f>
        <v>93</v>
      </c>
      <c r="F4862" s="0" t="n">
        <f aca="false">IF(C4862&gt;1,IF(C4862&lt;99,VLOOKUP(C4862,'Babblefish-APUMA'!$A$1:$B$86,2),C4862),C4862)</f>
        <v>97</v>
      </c>
    </row>
    <row r="4863" customFormat="false" ht="12.75" hidden="false" customHeight="false" outlineLevel="0" collapsed="false">
      <c r="A4863" s="0" t="n">
        <f aca="false">B4863*1000+C4863</f>
        <v>68024</v>
      </c>
      <c r="B4863" s="0" t="n">
        <v>68</v>
      </c>
      <c r="C4863" s="0" t="n">
        <v>24</v>
      </c>
      <c r="D4863" s="0" t="n">
        <v>0</v>
      </c>
      <c r="E4863" s="0" t="n">
        <f aca="false">VLOOKUP(B4863,'Babblefish-APUMA'!$A$1:$B$86,2)</f>
        <v>93</v>
      </c>
      <c r="F4863" s="0" t="n">
        <f aca="false">IF(C4863&gt;1,IF(C4863&lt;99,VLOOKUP(C4863,'Babblefish-APUMA'!$A$1:$B$86,2),C4863),C4863)</f>
        <v>101</v>
      </c>
    </row>
    <row r="4864" customFormat="false" ht="12.75" hidden="false" customHeight="false" outlineLevel="0" collapsed="false">
      <c r="A4864" s="0" t="n">
        <f aca="false">B4864*1000+C4864</f>
        <v>68025</v>
      </c>
      <c r="B4864" s="0" t="n">
        <v>68</v>
      </c>
      <c r="C4864" s="0" t="n">
        <v>25</v>
      </c>
      <c r="D4864" s="0" t="n">
        <v>0</v>
      </c>
      <c r="E4864" s="0" t="n">
        <f aca="false">VLOOKUP(B4864,'Babblefish-APUMA'!$A$1:$B$86,2)</f>
        <v>93</v>
      </c>
      <c r="F4864" s="0" t="n">
        <f aca="false">IF(C4864&gt;1,IF(C4864&lt;99,VLOOKUP(C4864,'Babblefish-APUMA'!$A$1:$B$86,2),C4864),C4864)</f>
        <v>101</v>
      </c>
    </row>
    <row r="4865" customFormat="false" ht="12.75" hidden="false" customHeight="false" outlineLevel="0" collapsed="false">
      <c r="A4865" s="0" t="n">
        <f aca="false">B4865*1000+C4865</f>
        <v>68026</v>
      </c>
      <c r="B4865" s="0" t="n">
        <v>68</v>
      </c>
      <c r="C4865" s="0" t="n">
        <v>26</v>
      </c>
      <c r="D4865" s="0" t="n">
        <v>0</v>
      </c>
      <c r="E4865" s="0" t="n">
        <f aca="false">VLOOKUP(B4865,'Babblefish-APUMA'!$A$1:$B$86,2)</f>
        <v>93</v>
      </c>
      <c r="F4865" s="0" t="n">
        <f aca="false">IF(C4865&gt;1,IF(C4865&lt;99,VLOOKUP(C4865,'Babblefish-APUMA'!$A$1:$B$86,2),C4865),C4865)</f>
        <v>26</v>
      </c>
    </row>
    <row r="4866" customFormat="false" ht="12.75" hidden="false" customHeight="false" outlineLevel="0" collapsed="false">
      <c r="A4866" s="0" t="n">
        <f aca="false">B4866*1000+C4866</f>
        <v>68027</v>
      </c>
      <c r="B4866" s="0" t="n">
        <v>68</v>
      </c>
      <c r="C4866" s="0" t="n">
        <v>27</v>
      </c>
      <c r="D4866" s="0" t="n">
        <v>0</v>
      </c>
      <c r="E4866" s="0" t="n">
        <f aca="false">VLOOKUP(B4866,'Babblefish-APUMA'!$A$1:$B$86,2)</f>
        <v>93</v>
      </c>
      <c r="F4866" s="0" t="n">
        <f aca="false">IF(C4866&gt;1,IF(C4866&lt;99,VLOOKUP(C4866,'Babblefish-APUMA'!$A$1:$B$86,2),C4866),C4866)</f>
        <v>27</v>
      </c>
    </row>
    <row r="4867" customFormat="false" ht="12.75" hidden="false" customHeight="false" outlineLevel="0" collapsed="false">
      <c r="A4867" s="0" t="n">
        <f aca="false">B4867*1000+C4867</f>
        <v>68028</v>
      </c>
      <c r="B4867" s="0" t="n">
        <v>68</v>
      </c>
      <c r="C4867" s="0" t="n">
        <v>28</v>
      </c>
      <c r="D4867" s="0" t="n">
        <v>0</v>
      </c>
      <c r="E4867" s="0" t="n">
        <f aca="false">VLOOKUP(B4867,'Babblefish-APUMA'!$A$1:$B$86,2)</f>
        <v>93</v>
      </c>
      <c r="F4867" s="0" t="n">
        <f aca="false">IF(C4867&gt;1,IF(C4867&lt;99,VLOOKUP(C4867,'Babblefish-APUMA'!$A$1:$B$86,2),C4867),C4867)</f>
        <v>94</v>
      </c>
    </row>
    <row r="4868" customFormat="false" ht="12.75" hidden="false" customHeight="false" outlineLevel="0" collapsed="false">
      <c r="A4868" s="0" t="n">
        <f aca="false">B4868*1000+C4868</f>
        <v>68029</v>
      </c>
      <c r="B4868" s="0" t="n">
        <v>68</v>
      </c>
      <c r="C4868" s="0" t="n">
        <v>29</v>
      </c>
      <c r="D4868" s="0" t="n">
        <v>0</v>
      </c>
      <c r="E4868" s="0" t="n">
        <f aca="false">VLOOKUP(B4868,'Babblefish-APUMA'!$A$1:$B$86,2)</f>
        <v>93</v>
      </c>
      <c r="F4868" s="0" t="n">
        <f aca="false">IF(C4868&gt;1,IF(C4868&lt;99,VLOOKUP(C4868,'Babblefish-APUMA'!$A$1:$B$86,2),C4868),C4868)</f>
        <v>94</v>
      </c>
    </row>
    <row r="4869" customFormat="false" ht="12.75" hidden="false" customHeight="false" outlineLevel="0" collapsed="false">
      <c r="A4869" s="0" t="n">
        <f aca="false">B4869*1000+C4869</f>
        <v>68030</v>
      </c>
      <c r="B4869" s="0" t="n">
        <v>68</v>
      </c>
      <c r="C4869" s="0" t="n">
        <v>30</v>
      </c>
      <c r="D4869" s="0" t="n">
        <v>0</v>
      </c>
      <c r="E4869" s="0" t="n">
        <f aca="false">VLOOKUP(B4869,'Babblefish-APUMA'!$A$1:$B$86,2)</f>
        <v>93</v>
      </c>
      <c r="F4869" s="0" t="n">
        <f aca="false">IF(C4869&gt;1,IF(C4869&lt;99,VLOOKUP(C4869,'Babblefish-APUMA'!$A$1:$B$86,2),C4869),C4869)</f>
        <v>30</v>
      </c>
    </row>
    <row r="4870" customFormat="false" ht="12.75" hidden="false" customHeight="false" outlineLevel="0" collapsed="false">
      <c r="A4870" s="0" t="n">
        <f aca="false">B4870*1000+C4870</f>
        <v>68031</v>
      </c>
      <c r="B4870" s="0" t="n">
        <v>68</v>
      </c>
      <c r="C4870" s="0" t="n">
        <v>31</v>
      </c>
      <c r="D4870" s="0" t="n">
        <v>0</v>
      </c>
      <c r="E4870" s="0" t="n">
        <f aca="false">VLOOKUP(B4870,'Babblefish-APUMA'!$A$1:$B$86,2)</f>
        <v>93</v>
      </c>
      <c r="F4870" s="0" t="n">
        <f aca="false">IF(C4870&gt;1,IF(C4870&lt;99,VLOOKUP(C4870,'Babblefish-APUMA'!$A$1:$B$86,2),C4870),C4870)</f>
        <v>31</v>
      </c>
    </row>
    <row r="4871" customFormat="false" ht="12.75" hidden="false" customHeight="false" outlineLevel="0" collapsed="false">
      <c r="A4871" s="0" t="n">
        <f aca="false">B4871*1000+C4871</f>
        <v>68032</v>
      </c>
      <c r="B4871" s="0" t="n">
        <v>68</v>
      </c>
      <c r="C4871" s="0" t="n">
        <v>32</v>
      </c>
      <c r="D4871" s="0" t="n">
        <v>0</v>
      </c>
      <c r="E4871" s="0" t="n">
        <f aca="false">VLOOKUP(B4871,'Babblefish-APUMA'!$A$1:$B$86,2)</f>
        <v>93</v>
      </c>
      <c r="F4871" s="0" t="n">
        <f aca="false">IF(C4871&gt;1,IF(C4871&lt;99,VLOOKUP(C4871,'Babblefish-APUMA'!$A$1:$B$86,2),C4871),C4871)</f>
        <v>32</v>
      </c>
    </row>
    <row r="4872" customFormat="false" ht="12.75" hidden="false" customHeight="false" outlineLevel="0" collapsed="false">
      <c r="A4872" s="0" t="n">
        <f aca="false">B4872*1000+C4872</f>
        <v>68033</v>
      </c>
      <c r="B4872" s="0" t="n">
        <v>68</v>
      </c>
      <c r="C4872" s="0" t="n">
        <v>33</v>
      </c>
      <c r="D4872" s="0" t="n">
        <v>0</v>
      </c>
      <c r="E4872" s="0" t="n">
        <f aca="false">VLOOKUP(B4872,'Babblefish-APUMA'!$A$1:$B$86,2)</f>
        <v>93</v>
      </c>
      <c r="F4872" s="0" t="n">
        <f aca="false">IF(C4872&gt;1,IF(C4872&lt;99,VLOOKUP(C4872,'Babblefish-APUMA'!$A$1:$B$86,2),C4872),C4872)</f>
        <v>96</v>
      </c>
    </row>
    <row r="4873" customFormat="false" ht="12.75" hidden="false" customHeight="false" outlineLevel="0" collapsed="false">
      <c r="A4873" s="0" t="n">
        <f aca="false">B4873*1000+C4873</f>
        <v>68034</v>
      </c>
      <c r="B4873" s="0" t="n">
        <v>68</v>
      </c>
      <c r="C4873" s="0" t="n">
        <v>34</v>
      </c>
      <c r="D4873" s="0" t="n">
        <v>0</v>
      </c>
      <c r="E4873" s="0" t="n">
        <f aca="false">VLOOKUP(B4873,'Babblefish-APUMA'!$A$1:$B$86,2)</f>
        <v>93</v>
      </c>
      <c r="F4873" s="0" t="n">
        <f aca="false">IF(C4873&gt;1,IF(C4873&lt;99,VLOOKUP(C4873,'Babblefish-APUMA'!$A$1:$B$86,2),C4873),C4873)</f>
        <v>96</v>
      </c>
    </row>
    <row r="4874" customFormat="false" ht="12.75" hidden="false" customHeight="false" outlineLevel="0" collapsed="false">
      <c r="A4874" s="0" t="n">
        <f aca="false">B4874*1000+C4874</f>
        <v>68035</v>
      </c>
      <c r="B4874" s="0" t="n">
        <v>68</v>
      </c>
      <c r="C4874" s="0" t="n">
        <v>35</v>
      </c>
      <c r="D4874" s="0" t="n">
        <v>0</v>
      </c>
      <c r="E4874" s="0" t="n">
        <f aca="false">VLOOKUP(B4874,'Babblefish-APUMA'!$A$1:$B$86,2)</f>
        <v>93</v>
      </c>
      <c r="F4874" s="0" t="n">
        <f aca="false">IF(C4874&gt;1,IF(C4874&lt;99,VLOOKUP(C4874,'Babblefish-APUMA'!$A$1:$B$86,2),C4874),C4874)</f>
        <v>96</v>
      </c>
    </row>
    <row r="4875" customFormat="false" ht="12.75" hidden="false" customHeight="false" outlineLevel="0" collapsed="false">
      <c r="A4875" s="0" t="n">
        <f aca="false">B4875*1000+C4875</f>
        <v>68036</v>
      </c>
      <c r="B4875" s="0" t="n">
        <v>68</v>
      </c>
      <c r="C4875" s="0" t="n">
        <v>36</v>
      </c>
      <c r="D4875" s="0" t="n">
        <v>0</v>
      </c>
      <c r="E4875" s="0" t="n">
        <f aca="false">VLOOKUP(B4875,'Babblefish-APUMA'!$A$1:$B$86,2)</f>
        <v>93</v>
      </c>
      <c r="F4875" s="0" t="n">
        <f aca="false">IF(C4875&gt;1,IF(C4875&lt;99,VLOOKUP(C4875,'Babblefish-APUMA'!$A$1:$B$86,2),C4875),C4875)</f>
        <v>96</v>
      </c>
    </row>
    <row r="4876" customFormat="false" ht="12.75" hidden="false" customHeight="false" outlineLevel="0" collapsed="false">
      <c r="A4876" s="0" t="n">
        <f aca="false">B4876*1000+C4876</f>
        <v>68037</v>
      </c>
      <c r="B4876" s="0" t="n">
        <v>68</v>
      </c>
      <c r="C4876" s="0" t="n">
        <v>37</v>
      </c>
      <c r="D4876" s="0" t="n">
        <v>0</v>
      </c>
      <c r="E4876" s="0" t="n">
        <f aca="false">VLOOKUP(B4876,'Babblefish-APUMA'!$A$1:$B$86,2)</f>
        <v>93</v>
      </c>
      <c r="F4876" s="0" t="n">
        <f aca="false">IF(C4876&gt;1,IF(C4876&lt;99,VLOOKUP(C4876,'Babblefish-APUMA'!$A$1:$B$86,2),C4876),C4876)</f>
        <v>96</v>
      </c>
    </row>
    <row r="4877" customFormat="false" ht="12.75" hidden="false" customHeight="false" outlineLevel="0" collapsed="false">
      <c r="A4877" s="0" t="n">
        <f aca="false">B4877*1000+C4877</f>
        <v>68038</v>
      </c>
      <c r="B4877" s="0" t="n">
        <v>68</v>
      </c>
      <c r="C4877" s="0" t="n">
        <v>38</v>
      </c>
      <c r="D4877" s="0" t="n">
        <v>0</v>
      </c>
      <c r="E4877" s="0" t="n">
        <f aca="false">VLOOKUP(B4877,'Babblefish-APUMA'!$A$1:$B$86,2)</f>
        <v>93</v>
      </c>
      <c r="F4877" s="0" t="n">
        <f aca="false">IF(C4877&gt;1,IF(C4877&lt;99,VLOOKUP(C4877,'Babblefish-APUMA'!$A$1:$B$86,2),C4877),C4877)</f>
        <v>91</v>
      </c>
    </row>
    <row r="4878" customFormat="false" ht="12.75" hidden="false" customHeight="false" outlineLevel="0" collapsed="false">
      <c r="A4878" s="0" t="n">
        <f aca="false">B4878*1000+C4878</f>
        <v>68039</v>
      </c>
      <c r="B4878" s="0" t="n">
        <v>68</v>
      </c>
      <c r="C4878" s="0" t="n">
        <v>39</v>
      </c>
      <c r="D4878" s="0" t="n">
        <v>0</v>
      </c>
      <c r="E4878" s="0" t="n">
        <f aca="false">VLOOKUP(B4878,'Babblefish-APUMA'!$A$1:$B$86,2)</f>
        <v>93</v>
      </c>
      <c r="F4878" s="0" t="n">
        <f aca="false">IF(C4878&gt;1,IF(C4878&lt;99,VLOOKUP(C4878,'Babblefish-APUMA'!$A$1:$B$86,2),C4878),C4878)</f>
        <v>91</v>
      </c>
    </row>
    <row r="4879" customFormat="false" ht="12.75" hidden="false" customHeight="false" outlineLevel="0" collapsed="false">
      <c r="A4879" s="0" t="n">
        <f aca="false">B4879*1000+C4879</f>
        <v>68040</v>
      </c>
      <c r="B4879" s="0" t="n">
        <v>68</v>
      </c>
      <c r="C4879" s="0" t="n">
        <v>40</v>
      </c>
      <c r="D4879" s="0" t="n">
        <v>0</v>
      </c>
      <c r="E4879" s="0" t="n">
        <f aca="false">VLOOKUP(B4879,'Babblefish-APUMA'!$A$1:$B$86,2)</f>
        <v>93</v>
      </c>
      <c r="F4879" s="0" t="n">
        <f aca="false">IF(C4879&gt;1,IF(C4879&lt;99,VLOOKUP(C4879,'Babblefish-APUMA'!$A$1:$B$86,2),C4879),C4879)</f>
        <v>88</v>
      </c>
    </row>
    <row r="4880" customFormat="false" ht="12.75" hidden="false" customHeight="false" outlineLevel="0" collapsed="false">
      <c r="A4880" s="0" t="n">
        <f aca="false">B4880*1000+C4880</f>
        <v>68041</v>
      </c>
      <c r="B4880" s="0" t="n">
        <v>68</v>
      </c>
      <c r="C4880" s="0" t="n">
        <v>41</v>
      </c>
      <c r="D4880" s="0" t="n">
        <v>0</v>
      </c>
      <c r="E4880" s="0" t="n">
        <f aca="false">VLOOKUP(B4880,'Babblefish-APUMA'!$A$1:$B$86,2)</f>
        <v>93</v>
      </c>
      <c r="F4880" s="0" t="n">
        <f aca="false">IF(C4880&gt;1,IF(C4880&lt;99,VLOOKUP(C4880,'Babblefish-APUMA'!$A$1:$B$86,2),C4880),C4880)</f>
        <v>88</v>
      </c>
    </row>
    <row r="4881" customFormat="false" ht="12.75" hidden="false" customHeight="false" outlineLevel="0" collapsed="false">
      <c r="A4881" s="0" t="n">
        <f aca="false">B4881*1000+C4881</f>
        <v>68042</v>
      </c>
      <c r="B4881" s="0" t="n">
        <v>68</v>
      </c>
      <c r="C4881" s="0" t="n">
        <v>42</v>
      </c>
      <c r="D4881" s="0" t="n">
        <v>611</v>
      </c>
      <c r="E4881" s="0" t="n">
        <f aca="false">VLOOKUP(B4881,'Babblefish-APUMA'!$A$1:$B$86,2)</f>
        <v>93</v>
      </c>
      <c r="F4881" s="0" t="n">
        <f aca="false">IF(C4881&gt;1,IF(C4881&lt;99,VLOOKUP(C4881,'Babblefish-APUMA'!$A$1:$B$86,2),C4881),C4881)</f>
        <v>92</v>
      </c>
    </row>
    <row r="4882" customFormat="false" ht="12.75" hidden="false" customHeight="false" outlineLevel="0" collapsed="false">
      <c r="A4882" s="0" t="n">
        <f aca="false">B4882*1000+C4882</f>
        <v>68043</v>
      </c>
      <c r="B4882" s="0" t="n">
        <v>68</v>
      </c>
      <c r="C4882" s="0" t="n">
        <v>43</v>
      </c>
      <c r="D4882" s="0" t="n">
        <v>0</v>
      </c>
      <c r="E4882" s="0" t="n">
        <f aca="false">VLOOKUP(B4882,'Babblefish-APUMA'!$A$1:$B$86,2)</f>
        <v>93</v>
      </c>
      <c r="F4882" s="0" t="n">
        <f aca="false">IF(C4882&gt;1,IF(C4882&lt;99,VLOOKUP(C4882,'Babblefish-APUMA'!$A$1:$B$86,2),C4882),C4882)</f>
        <v>92</v>
      </c>
    </row>
    <row r="4883" customFormat="false" ht="12.75" hidden="false" customHeight="false" outlineLevel="0" collapsed="false">
      <c r="A4883" s="0" t="n">
        <f aca="false">B4883*1000+C4883</f>
        <v>68044</v>
      </c>
      <c r="B4883" s="0" t="n">
        <v>68</v>
      </c>
      <c r="C4883" s="0" t="n">
        <v>44</v>
      </c>
      <c r="D4883" s="0" t="n">
        <v>0</v>
      </c>
      <c r="E4883" s="0" t="n">
        <f aca="false">VLOOKUP(B4883,'Babblefish-APUMA'!$A$1:$B$86,2)</f>
        <v>93</v>
      </c>
      <c r="F4883" s="0" t="n">
        <f aca="false">IF(C4883&gt;1,IF(C4883&lt;99,VLOOKUP(C4883,'Babblefish-APUMA'!$A$1:$B$86,2),C4883),C4883)</f>
        <v>92</v>
      </c>
    </row>
    <row r="4884" customFormat="false" ht="12.75" hidden="false" customHeight="false" outlineLevel="0" collapsed="false">
      <c r="A4884" s="0" t="n">
        <f aca="false">B4884*1000+C4884</f>
        <v>68045</v>
      </c>
      <c r="B4884" s="0" t="n">
        <v>68</v>
      </c>
      <c r="C4884" s="0" t="n">
        <v>45</v>
      </c>
      <c r="D4884" s="0" t="n">
        <v>0</v>
      </c>
      <c r="E4884" s="0" t="n">
        <f aca="false">VLOOKUP(B4884,'Babblefish-APUMA'!$A$1:$B$86,2)</f>
        <v>93</v>
      </c>
      <c r="F4884" s="0" t="n">
        <f aca="false">IF(C4884&gt;1,IF(C4884&lt;99,VLOOKUP(C4884,'Babblefish-APUMA'!$A$1:$B$86,2),C4884),C4884)</f>
        <v>92</v>
      </c>
    </row>
    <row r="4885" customFormat="false" ht="12.75" hidden="false" customHeight="false" outlineLevel="0" collapsed="false">
      <c r="A4885" s="0" t="n">
        <f aca="false">B4885*1000+C4885</f>
        <v>68046</v>
      </c>
      <c r="B4885" s="0" t="n">
        <v>68</v>
      </c>
      <c r="C4885" s="0" t="n">
        <v>46</v>
      </c>
      <c r="D4885" s="0" t="n">
        <v>130</v>
      </c>
      <c r="E4885" s="0" t="n">
        <f aca="false">VLOOKUP(B4885,'Babblefish-APUMA'!$A$1:$B$86,2)</f>
        <v>93</v>
      </c>
      <c r="F4885" s="0" t="n">
        <f aca="false">IF(C4885&gt;1,IF(C4885&lt;99,VLOOKUP(C4885,'Babblefish-APUMA'!$A$1:$B$86,2),C4885),C4885)</f>
        <v>92</v>
      </c>
    </row>
    <row r="4886" customFormat="false" ht="12.75" hidden="false" customHeight="false" outlineLevel="0" collapsed="false">
      <c r="A4886" s="0" t="n">
        <f aca="false">B4886*1000+C4886</f>
        <v>68047</v>
      </c>
      <c r="B4886" s="0" t="n">
        <v>68</v>
      </c>
      <c r="C4886" s="0" t="n">
        <v>47</v>
      </c>
      <c r="D4886" s="0" t="n">
        <v>0</v>
      </c>
      <c r="E4886" s="0" t="n">
        <f aca="false">VLOOKUP(B4886,'Babblefish-APUMA'!$A$1:$B$86,2)</f>
        <v>93</v>
      </c>
      <c r="F4886" s="0" t="n">
        <f aca="false">IF(C4886&gt;1,IF(C4886&lt;99,VLOOKUP(C4886,'Babblefish-APUMA'!$A$1:$B$86,2),C4886),C4886)</f>
        <v>92</v>
      </c>
    </row>
    <row r="4887" customFormat="false" ht="12.75" hidden="false" customHeight="false" outlineLevel="0" collapsed="false">
      <c r="A4887" s="0" t="n">
        <f aca="false">B4887*1000+C4887</f>
        <v>68048</v>
      </c>
      <c r="B4887" s="0" t="n">
        <v>68</v>
      </c>
      <c r="C4887" s="0" t="n">
        <v>48</v>
      </c>
      <c r="D4887" s="0" t="n">
        <v>3718</v>
      </c>
      <c r="E4887" s="0" t="n">
        <f aca="false">VLOOKUP(B4887,'Babblefish-APUMA'!$A$1:$B$86,2)</f>
        <v>93</v>
      </c>
      <c r="F4887" s="0" t="n">
        <f aca="false">IF(C4887&gt;1,IF(C4887&lt;99,VLOOKUP(C4887,'Babblefish-APUMA'!$A$1:$B$86,2),C4887),C4887)</f>
        <v>92</v>
      </c>
    </row>
    <row r="4888" customFormat="false" ht="12.75" hidden="false" customHeight="false" outlineLevel="0" collapsed="false">
      <c r="A4888" s="0" t="n">
        <f aca="false">B4888*1000+C4888</f>
        <v>68049</v>
      </c>
      <c r="B4888" s="0" t="n">
        <v>68</v>
      </c>
      <c r="C4888" s="0" t="n">
        <v>49</v>
      </c>
      <c r="D4888" s="0" t="n">
        <v>0</v>
      </c>
      <c r="E4888" s="0" t="n">
        <f aca="false">VLOOKUP(B4888,'Babblefish-APUMA'!$A$1:$B$86,2)</f>
        <v>93</v>
      </c>
      <c r="F4888" s="0" t="n">
        <f aca="false">IF(C4888&gt;1,IF(C4888&lt;99,VLOOKUP(C4888,'Babblefish-APUMA'!$A$1:$B$86,2),C4888),C4888)</f>
        <v>98</v>
      </c>
    </row>
    <row r="4889" customFormat="false" ht="12.75" hidden="false" customHeight="false" outlineLevel="0" collapsed="false">
      <c r="A4889" s="0" t="n">
        <f aca="false">B4889*1000+C4889</f>
        <v>68050</v>
      </c>
      <c r="B4889" s="0" t="n">
        <v>68</v>
      </c>
      <c r="C4889" s="0" t="n">
        <v>50</v>
      </c>
      <c r="D4889" s="0" t="n">
        <v>0</v>
      </c>
      <c r="E4889" s="0" t="n">
        <f aca="false">VLOOKUP(B4889,'Babblefish-APUMA'!$A$1:$B$86,2)</f>
        <v>93</v>
      </c>
      <c r="F4889" s="0" t="n">
        <f aca="false">IF(C4889&gt;1,IF(C4889&lt;99,VLOOKUP(C4889,'Babblefish-APUMA'!$A$1:$B$86,2),C4889),C4889)</f>
        <v>98</v>
      </c>
    </row>
    <row r="4890" customFormat="false" ht="12.75" hidden="false" customHeight="false" outlineLevel="0" collapsed="false">
      <c r="A4890" s="0" t="n">
        <f aca="false">B4890*1000+C4890</f>
        <v>68051</v>
      </c>
      <c r="B4890" s="0" t="n">
        <v>68</v>
      </c>
      <c r="C4890" s="0" t="n">
        <v>51</v>
      </c>
      <c r="D4890" s="0" t="n">
        <v>0</v>
      </c>
      <c r="E4890" s="0" t="n">
        <f aca="false">VLOOKUP(B4890,'Babblefish-APUMA'!$A$1:$B$86,2)</f>
        <v>93</v>
      </c>
      <c r="F4890" s="0" t="n">
        <f aca="false">IF(C4890&gt;1,IF(C4890&lt;99,VLOOKUP(C4890,'Babblefish-APUMA'!$A$1:$B$86,2),C4890),C4890)</f>
        <v>98</v>
      </c>
    </row>
    <row r="4891" customFormat="false" ht="12.75" hidden="false" customHeight="false" outlineLevel="0" collapsed="false">
      <c r="A4891" s="0" t="n">
        <f aca="false">B4891*1000+C4891</f>
        <v>68052</v>
      </c>
      <c r="B4891" s="0" t="n">
        <v>68</v>
      </c>
      <c r="C4891" s="0" t="n">
        <v>52</v>
      </c>
      <c r="D4891" s="0" t="n">
        <v>0</v>
      </c>
      <c r="E4891" s="0" t="n">
        <f aca="false">VLOOKUP(B4891,'Babblefish-APUMA'!$A$1:$B$86,2)</f>
        <v>93</v>
      </c>
      <c r="F4891" s="0" t="n">
        <f aca="false">IF(C4891&gt;1,IF(C4891&lt;99,VLOOKUP(C4891,'Babblefish-APUMA'!$A$1:$B$86,2),C4891),C4891)</f>
        <v>90</v>
      </c>
    </row>
    <row r="4892" customFormat="false" ht="12.75" hidden="false" customHeight="false" outlineLevel="0" collapsed="false">
      <c r="A4892" s="0" t="n">
        <f aca="false">B4892*1000+C4892</f>
        <v>68053</v>
      </c>
      <c r="B4892" s="0" t="n">
        <v>68</v>
      </c>
      <c r="C4892" s="0" t="n">
        <v>53</v>
      </c>
      <c r="D4892" s="0" t="n">
        <v>117</v>
      </c>
      <c r="E4892" s="0" t="n">
        <f aca="false">VLOOKUP(B4892,'Babblefish-APUMA'!$A$1:$B$86,2)</f>
        <v>93</v>
      </c>
      <c r="F4892" s="0" t="n">
        <f aca="false">IF(C4892&gt;1,IF(C4892&lt;99,VLOOKUP(C4892,'Babblefish-APUMA'!$A$1:$B$86,2),C4892),C4892)</f>
        <v>90</v>
      </c>
    </row>
    <row r="4893" customFormat="false" ht="12.75" hidden="false" customHeight="false" outlineLevel="0" collapsed="false">
      <c r="A4893" s="0" t="n">
        <f aca="false">B4893*1000+C4893</f>
        <v>68054</v>
      </c>
      <c r="B4893" s="0" t="n">
        <v>68</v>
      </c>
      <c r="C4893" s="0" t="n">
        <v>54</v>
      </c>
      <c r="D4893" s="0" t="n">
        <v>0</v>
      </c>
      <c r="E4893" s="0" t="n">
        <f aca="false">VLOOKUP(B4893,'Babblefish-APUMA'!$A$1:$B$86,2)</f>
        <v>93</v>
      </c>
      <c r="F4893" s="0" t="n">
        <f aca="false">IF(C4893&gt;1,IF(C4893&lt;99,VLOOKUP(C4893,'Babblefish-APUMA'!$A$1:$B$86,2),C4893),C4893)</f>
        <v>90</v>
      </c>
    </row>
    <row r="4894" customFormat="false" ht="12.75" hidden="false" customHeight="false" outlineLevel="0" collapsed="false">
      <c r="A4894" s="0" t="n">
        <f aca="false">B4894*1000+C4894</f>
        <v>68055</v>
      </c>
      <c r="B4894" s="0" t="n">
        <v>68</v>
      </c>
      <c r="C4894" s="0" t="n">
        <v>55</v>
      </c>
      <c r="D4894" s="0" t="n">
        <v>0</v>
      </c>
      <c r="E4894" s="0" t="n">
        <f aca="false">VLOOKUP(B4894,'Babblefish-APUMA'!$A$1:$B$86,2)</f>
        <v>93</v>
      </c>
      <c r="F4894" s="0" t="n">
        <f aca="false">IF(C4894&gt;1,IF(C4894&lt;99,VLOOKUP(C4894,'Babblefish-APUMA'!$A$1:$B$86,2),C4894),C4894)</f>
        <v>90</v>
      </c>
    </row>
    <row r="4895" customFormat="false" ht="12.75" hidden="false" customHeight="false" outlineLevel="0" collapsed="false">
      <c r="A4895" s="0" t="n">
        <f aca="false">B4895*1000+C4895</f>
        <v>68056</v>
      </c>
      <c r="B4895" s="0" t="n">
        <v>68</v>
      </c>
      <c r="C4895" s="0" t="n">
        <v>56</v>
      </c>
      <c r="D4895" s="0" t="n">
        <v>0</v>
      </c>
      <c r="E4895" s="0" t="n">
        <f aca="false">VLOOKUP(B4895,'Babblefish-APUMA'!$A$1:$B$86,2)</f>
        <v>93</v>
      </c>
      <c r="F4895" s="0" t="n">
        <f aca="false">IF(C4895&gt;1,IF(C4895&lt;99,VLOOKUP(C4895,'Babblefish-APUMA'!$A$1:$B$86,2),C4895),C4895)</f>
        <v>90</v>
      </c>
    </row>
    <row r="4896" customFormat="false" ht="12.75" hidden="false" customHeight="false" outlineLevel="0" collapsed="false">
      <c r="A4896" s="0" t="n">
        <f aca="false">B4896*1000+C4896</f>
        <v>68057</v>
      </c>
      <c r="B4896" s="0" t="n">
        <v>68</v>
      </c>
      <c r="C4896" s="0" t="n">
        <v>57</v>
      </c>
      <c r="D4896" s="0" t="n">
        <v>0</v>
      </c>
      <c r="E4896" s="0" t="n">
        <f aca="false">VLOOKUP(B4896,'Babblefish-APUMA'!$A$1:$B$86,2)</f>
        <v>93</v>
      </c>
      <c r="F4896" s="0" t="n">
        <f aca="false">IF(C4896&gt;1,IF(C4896&lt;99,VLOOKUP(C4896,'Babblefish-APUMA'!$A$1:$B$86,2),C4896),C4896)</f>
        <v>90</v>
      </c>
    </row>
    <row r="4897" customFormat="false" ht="12.75" hidden="false" customHeight="false" outlineLevel="0" collapsed="false">
      <c r="A4897" s="0" t="n">
        <f aca="false">B4897*1000+C4897</f>
        <v>68058</v>
      </c>
      <c r="B4897" s="0" t="n">
        <v>68</v>
      </c>
      <c r="C4897" s="0" t="n">
        <v>58</v>
      </c>
      <c r="D4897" s="0" t="n">
        <v>0</v>
      </c>
      <c r="E4897" s="0" t="n">
        <f aca="false">VLOOKUP(B4897,'Babblefish-APUMA'!$A$1:$B$86,2)</f>
        <v>93</v>
      </c>
      <c r="F4897" s="0" t="n">
        <f aca="false">IF(C4897&gt;1,IF(C4897&lt;99,VLOOKUP(C4897,'Babblefish-APUMA'!$A$1:$B$86,2),C4897),C4897)</f>
        <v>90</v>
      </c>
    </row>
    <row r="4898" customFormat="false" ht="12.75" hidden="false" customHeight="false" outlineLevel="0" collapsed="false">
      <c r="A4898" s="0" t="n">
        <f aca="false">B4898*1000+C4898</f>
        <v>68059</v>
      </c>
      <c r="B4898" s="0" t="n">
        <v>68</v>
      </c>
      <c r="C4898" s="0" t="n">
        <v>59</v>
      </c>
      <c r="D4898" s="0" t="n">
        <v>455</v>
      </c>
      <c r="E4898" s="0" t="n">
        <f aca="false">VLOOKUP(B4898,'Babblefish-APUMA'!$A$1:$B$86,2)</f>
        <v>93</v>
      </c>
      <c r="F4898" s="0" t="n">
        <f aca="false">IF(C4898&gt;1,IF(C4898&lt;99,VLOOKUP(C4898,'Babblefish-APUMA'!$A$1:$B$86,2),C4898),C4898)</f>
        <v>90</v>
      </c>
    </row>
    <row r="4899" customFormat="false" ht="12.75" hidden="false" customHeight="false" outlineLevel="0" collapsed="false">
      <c r="A4899" s="0" t="n">
        <f aca="false">B4899*1000+C4899</f>
        <v>68060</v>
      </c>
      <c r="B4899" s="0" t="n">
        <v>68</v>
      </c>
      <c r="C4899" s="0" t="n">
        <v>60</v>
      </c>
      <c r="D4899" s="0" t="n">
        <v>247</v>
      </c>
      <c r="E4899" s="0" t="n">
        <f aca="false">VLOOKUP(B4899,'Babblefish-APUMA'!$A$1:$B$86,2)</f>
        <v>93</v>
      </c>
      <c r="F4899" s="0" t="n">
        <f aca="false">IF(C4899&gt;1,IF(C4899&lt;99,VLOOKUP(C4899,'Babblefish-APUMA'!$A$1:$B$86,2),C4899),C4899)</f>
        <v>90</v>
      </c>
    </row>
    <row r="4900" customFormat="false" ht="12.75" hidden="false" customHeight="false" outlineLevel="0" collapsed="false">
      <c r="A4900" s="0" t="n">
        <f aca="false">B4900*1000+C4900</f>
        <v>68061</v>
      </c>
      <c r="B4900" s="0" t="n">
        <v>68</v>
      </c>
      <c r="C4900" s="0" t="n">
        <v>61</v>
      </c>
      <c r="D4900" s="0" t="n">
        <v>0</v>
      </c>
      <c r="E4900" s="0" t="n">
        <f aca="false">VLOOKUP(B4900,'Babblefish-APUMA'!$A$1:$B$86,2)</f>
        <v>93</v>
      </c>
      <c r="F4900" s="0" t="n">
        <f aca="false">IF(C4900&gt;1,IF(C4900&lt;99,VLOOKUP(C4900,'Babblefish-APUMA'!$A$1:$B$86,2),C4900),C4900)</f>
        <v>90</v>
      </c>
    </row>
    <row r="4901" customFormat="false" ht="12.75" hidden="false" customHeight="false" outlineLevel="0" collapsed="false">
      <c r="A4901" s="0" t="n">
        <f aca="false">B4901*1000+C4901</f>
        <v>68062</v>
      </c>
      <c r="B4901" s="0" t="n">
        <v>68</v>
      </c>
      <c r="C4901" s="0" t="n">
        <v>62</v>
      </c>
      <c r="D4901" s="0" t="n">
        <v>247</v>
      </c>
      <c r="E4901" s="0" t="n">
        <f aca="false">VLOOKUP(B4901,'Babblefish-APUMA'!$A$1:$B$86,2)</f>
        <v>93</v>
      </c>
      <c r="F4901" s="0" t="n">
        <f aca="false">IF(C4901&gt;1,IF(C4901&lt;99,VLOOKUP(C4901,'Babblefish-APUMA'!$A$1:$B$86,2),C4901),C4901)</f>
        <v>90</v>
      </c>
    </row>
    <row r="4902" customFormat="false" ht="12.75" hidden="false" customHeight="false" outlineLevel="0" collapsed="false">
      <c r="A4902" s="0" t="n">
        <f aca="false">B4902*1000+C4902</f>
        <v>68063</v>
      </c>
      <c r="B4902" s="0" t="n">
        <v>68</v>
      </c>
      <c r="C4902" s="0" t="n">
        <v>63</v>
      </c>
      <c r="D4902" s="0" t="n">
        <v>0</v>
      </c>
      <c r="E4902" s="0" t="n">
        <f aca="false">VLOOKUP(B4902,'Babblefish-APUMA'!$A$1:$B$86,2)</f>
        <v>93</v>
      </c>
      <c r="F4902" s="0" t="n">
        <f aca="false">IF(C4902&gt;1,IF(C4902&lt;99,VLOOKUP(C4902,'Babblefish-APUMA'!$A$1:$B$86,2),C4902),C4902)</f>
        <v>90</v>
      </c>
    </row>
    <row r="4903" customFormat="false" ht="12.75" hidden="false" customHeight="false" outlineLevel="0" collapsed="false">
      <c r="A4903" s="0" t="n">
        <f aca="false">B4903*1000+C4903</f>
        <v>68064</v>
      </c>
      <c r="B4903" s="0" t="n">
        <v>68</v>
      </c>
      <c r="C4903" s="0" t="n">
        <v>64</v>
      </c>
      <c r="D4903" s="0" t="n">
        <v>3120</v>
      </c>
      <c r="E4903" s="0" t="n">
        <f aca="false">VLOOKUP(B4903,'Babblefish-APUMA'!$A$1:$B$86,2)</f>
        <v>93</v>
      </c>
      <c r="F4903" s="0" t="n">
        <f aca="false">IF(C4903&gt;1,IF(C4903&lt;99,VLOOKUP(C4903,'Babblefish-APUMA'!$A$1:$B$86,2),C4903),C4903)</f>
        <v>90</v>
      </c>
    </row>
    <row r="4904" customFormat="false" ht="12.75" hidden="false" customHeight="false" outlineLevel="0" collapsed="false">
      <c r="A4904" s="0" t="n">
        <f aca="false">B4904*1000+C4904</f>
        <v>68065</v>
      </c>
      <c r="B4904" s="0" t="n">
        <v>68</v>
      </c>
      <c r="C4904" s="0" t="n">
        <v>65</v>
      </c>
      <c r="D4904" s="0" t="n">
        <v>1885</v>
      </c>
      <c r="E4904" s="0" t="n">
        <f aca="false">VLOOKUP(B4904,'Babblefish-APUMA'!$A$1:$B$86,2)</f>
        <v>93</v>
      </c>
      <c r="F4904" s="0" t="n">
        <f aca="false">IF(C4904&gt;1,IF(C4904&lt;99,VLOOKUP(C4904,'Babblefish-APUMA'!$A$1:$B$86,2),C4904),C4904)</f>
        <v>90</v>
      </c>
    </row>
    <row r="4905" customFormat="false" ht="12.75" hidden="false" customHeight="false" outlineLevel="0" collapsed="false">
      <c r="A4905" s="0" t="n">
        <f aca="false">B4905*1000+C4905</f>
        <v>68066</v>
      </c>
      <c r="B4905" s="0" t="n">
        <v>68</v>
      </c>
      <c r="C4905" s="0" t="n">
        <v>66</v>
      </c>
      <c r="D4905" s="0" t="n">
        <v>1495</v>
      </c>
      <c r="E4905" s="0" t="n">
        <f aca="false">VLOOKUP(B4905,'Babblefish-APUMA'!$A$1:$B$86,2)</f>
        <v>93</v>
      </c>
      <c r="F4905" s="0" t="n">
        <f aca="false">IF(C4905&gt;1,IF(C4905&lt;99,VLOOKUP(C4905,'Babblefish-APUMA'!$A$1:$B$86,2),C4905),C4905)</f>
        <v>90</v>
      </c>
    </row>
    <row r="4906" customFormat="false" ht="12.75" hidden="false" customHeight="false" outlineLevel="0" collapsed="false">
      <c r="A4906" s="0" t="n">
        <f aca="false">B4906*1000+C4906</f>
        <v>68067</v>
      </c>
      <c r="B4906" s="0" t="n">
        <v>68</v>
      </c>
      <c r="C4906" s="0" t="n">
        <v>67</v>
      </c>
      <c r="D4906" s="0" t="n">
        <v>0</v>
      </c>
      <c r="E4906" s="0" t="n">
        <f aca="false">VLOOKUP(B4906,'Babblefish-APUMA'!$A$1:$B$86,2)</f>
        <v>93</v>
      </c>
      <c r="F4906" s="0" t="n">
        <f aca="false">IF(C4906&gt;1,IF(C4906&lt;99,VLOOKUP(C4906,'Babblefish-APUMA'!$A$1:$B$86,2),C4906),C4906)</f>
        <v>103</v>
      </c>
    </row>
    <row r="4907" customFormat="false" ht="12.75" hidden="false" customHeight="false" outlineLevel="0" collapsed="false">
      <c r="A4907" s="0" t="n">
        <f aca="false">B4907*1000+C4907</f>
        <v>68068</v>
      </c>
      <c r="B4907" s="0" t="n">
        <v>68</v>
      </c>
      <c r="C4907" s="0" t="n">
        <v>68</v>
      </c>
      <c r="D4907" s="0" t="n">
        <v>12935</v>
      </c>
      <c r="E4907" s="0" t="n">
        <f aca="false">VLOOKUP(B4907,'Babblefish-APUMA'!$A$1:$B$86,2)</f>
        <v>93</v>
      </c>
      <c r="F4907" s="0" t="n">
        <f aca="false">IF(C4907&gt;1,IF(C4907&lt;99,VLOOKUP(C4907,'Babblefish-APUMA'!$A$1:$B$86,2),C4907),C4907)</f>
        <v>93</v>
      </c>
    </row>
    <row r="4908" customFormat="false" ht="12.75" hidden="false" customHeight="false" outlineLevel="0" collapsed="false">
      <c r="A4908" s="0" t="n">
        <f aca="false">B4908*1000+C4908</f>
        <v>68069</v>
      </c>
      <c r="B4908" s="0" t="n">
        <v>68</v>
      </c>
      <c r="C4908" s="0" t="n">
        <v>69</v>
      </c>
      <c r="D4908" s="0" t="n">
        <v>8320</v>
      </c>
      <c r="E4908" s="0" t="n">
        <f aca="false">VLOOKUP(B4908,'Babblefish-APUMA'!$A$1:$B$86,2)</f>
        <v>93</v>
      </c>
      <c r="F4908" s="0" t="n">
        <f aca="false">IF(C4908&gt;1,IF(C4908&lt;99,VLOOKUP(C4908,'Babblefish-APUMA'!$A$1:$B$86,2),C4908),C4908)</f>
        <v>93</v>
      </c>
    </row>
    <row r="4909" customFormat="false" ht="12.75" hidden="false" customHeight="false" outlineLevel="0" collapsed="false">
      <c r="A4909" s="0" t="n">
        <f aca="false">B4909*1000+C4909</f>
        <v>68070</v>
      </c>
      <c r="B4909" s="0" t="n">
        <v>68</v>
      </c>
      <c r="C4909" s="0" t="n">
        <v>70</v>
      </c>
      <c r="D4909" s="0" t="n">
        <v>338</v>
      </c>
      <c r="E4909" s="0" t="n">
        <f aca="false">VLOOKUP(B4909,'Babblefish-APUMA'!$A$1:$B$86,2)</f>
        <v>93</v>
      </c>
      <c r="F4909" s="0" t="n">
        <f aca="false">IF(C4909&gt;1,IF(C4909&lt;99,VLOOKUP(C4909,'Babblefish-APUMA'!$A$1:$B$86,2),C4909),C4909)</f>
        <v>95</v>
      </c>
    </row>
    <row r="4910" customFormat="false" ht="12.75" hidden="false" customHeight="false" outlineLevel="0" collapsed="false">
      <c r="A4910" s="0" t="n">
        <f aca="false">B4910*1000+C4910</f>
        <v>68071</v>
      </c>
      <c r="B4910" s="0" t="n">
        <v>68</v>
      </c>
      <c r="C4910" s="0" t="n">
        <v>71</v>
      </c>
      <c r="D4910" s="0" t="n">
        <v>1222</v>
      </c>
      <c r="E4910" s="0" t="n">
        <f aca="false">VLOOKUP(B4910,'Babblefish-APUMA'!$A$1:$B$86,2)</f>
        <v>93</v>
      </c>
      <c r="F4910" s="0" t="n">
        <f aca="false">IF(C4910&gt;1,IF(C4910&lt;99,VLOOKUP(C4910,'Babblefish-APUMA'!$A$1:$B$86,2),C4910),C4910)</f>
        <v>95</v>
      </c>
    </row>
    <row r="4911" customFormat="false" ht="12.75" hidden="false" customHeight="false" outlineLevel="0" collapsed="false">
      <c r="A4911" s="0" t="n">
        <f aca="false">B4911*1000+C4911</f>
        <v>68072</v>
      </c>
      <c r="B4911" s="0" t="n">
        <v>68</v>
      </c>
      <c r="C4911" s="0" t="n">
        <v>72</v>
      </c>
      <c r="D4911" s="0" t="n">
        <v>3796</v>
      </c>
      <c r="E4911" s="0" t="n">
        <f aca="false">VLOOKUP(B4911,'Babblefish-APUMA'!$A$1:$B$86,2)</f>
        <v>93</v>
      </c>
      <c r="F4911" s="0" t="n">
        <f aca="false">IF(C4911&gt;1,IF(C4911&lt;99,VLOOKUP(C4911,'Babblefish-APUMA'!$A$1:$B$86,2),C4911),C4911)</f>
        <v>95</v>
      </c>
    </row>
    <row r="4912" customFormat="false" ht="12.75" hidden="false" customHeight="false" outlineLevel="0" collapsed="false">
      <c r="A4912" s="0" t="n">
        <f aca="false">B4912*1000+C4912</f>
        <v>68073</v>
      </c>
      <c r="B4912" s="0" t="n">
        <v>68</v>
      </c>
      <c r="C4912" s="0" t="n">
        <v>73</v>
      </c>
      <c r="D4912" s="0" t="n">
        <v>0</v>
      </c>
      <c r="E4912" s="0" t="n">
        <f aca="false">VLOOKUP(B4912,'Babblefish-APUMA'!$A$1:$B$86,2)</f>
        <v>93</v>
      </c>
      <c r="F4912" s="0" t="n">
        <f aca="false">IF(C4912&gt;1,IF(C4912&lt;99,VLOOKUP(C4912,'Babblefish-APUMA'!$A$1:$B$86,2),C4912),C4912)</f>
        <v>99</v>
      </c>
    </row>
    <row r="4913" customFormat="false" ht="12.75" hidden="false" customHeight="false" outlineLevel="0" collapsed="false">
      <c r="A4913" s="0" t="n">
        <f aca="false">B4913*1000+C4913</f>
        <v>68075</v>
      </c>
      <c r="B4913" s="0" t="n">
        <v>68</v>
      </c>
      <c r="C4913" s="0" t="n">
        <v>75</v>
      </c>
      <c r="D4913" s="0" t="n">
        <v>0</v>
      </c>
      <c r="E4913" s="0" t="n">
        <f aca="false">VLOOKUP(B4913,'Babblefish-APUMA'!$A$1:$B$86,2)</f>
        <v>93</v>
      </c>
      <c r="F4913" s="0" t="n">
        <f aca="false">IF(C4913&gt;1,IF(C4913&lt;99,VLOOKUP(C4913,'Babblefish-APUMA'!$A$1:$B$86,2),C4913),C4913)</f>
        <v>75</v>
      </c>
    </row>
    <row r="4914" customFormat="false" ht="12.75" hidden="false" customHeight="false" outlineLevel="0" collapsed="false">
      <c r="A4914" s="0" t="n">
        <f aca="false">B4914*1000+C4914</f>
        <v>68076</v>
      </c>
      <c r="B4914" s="0" t="n">
        <v>68</v>
      </c>
      <c r="C4914" s="0" t="n">
        <v>76</v>
      </c>
      <c r="D4914" s="0" t="n">
        <v>0</v>
      </c>
      <c r="E4914" s="0" t="n">
        <f aca="false">VLOOKUP(B4914,'Babblefish-APUMA'!$A$1:$B$86,2)</f>
        <v>93</v>
      </c>
      <c r="F4914" s="0" t="n">
        <f aca="false">IF(C4914&gt;1,IF(C4914&lt;99,VLOOKUP(C4914,'Babblefish-APUMA'!$A$1:$B$86,2),C4914),C4914)</f>
        <v>76</v>
      </c>
    </row>
    <row r="4915" customFormat="false" ht="12.75" hidden="false" customHeight="false" outlineLevel="0" collapsed="false">
      <c r="A4915" s="0" t="n">
        <f aca="false">B4915*1000+C4915</f>
        <v>68077</v>
      </c>
      <c r="B4915" s="0" t="n">
        <v>68</v>
      </c>
      <c r="C4915" s="0" t="n">
        <v>77</v>
      </c>
      <c r="D4915" s="0" t="n">
        <v>0</v>
      </c>
      <c r="E4915" s="0" t="n">
        <f aca="false">VLOOKUP(B4915,'Babblefish-APUMA'!$A$1:$B$86,2)</f>
        <v>93</v>
      </c>
      <c r="F4915" s="0" t="n">
        <f aca="false">IF(C4915&gt;1,IF(C4915&lt;99,VLOOKUP(C4915,'Babblefish-APUMA'!$A$1:$B$86,2),C4915),C4915)</f>
        <v>77</v>
      </c>
    </row>
    <row r="4916" customFormat="false" ht="12.75" hidden="false" customHeight="false" outlineLevel="0" collapsed="false">
      <c r="A4916" s="0" t="n">
        <f aca="false">B4916*1000+C4916</f>
        <v>68078</v>
      </c>
      <c r="B4916" s="0" t="n">
        <v>68</v>
      </c>
      <c r="C4916" s="0" t="n">
        <v>78</v>
      </c>
      <c r="D4916" s="0" t="n">
        <v>0</v>
      </c>
      <c r="E4916" s="0" t="n">
        <f aca="false">VLOOKUP(B4916,'Babblefish-APUMA'!$A$1:$B$86,2)</f>
        <v>93</v>
      </c>
      <c r="F4916" s="0" t="n">
        <f aca="false">IF(C4916&gt;1,IF(C4916&lt;99,VLOOKUP(C4916,'Babblefish-APUMA'!$A$1:$B$86,2),C4916),C4916)</f>
        <v>89</v>
      </c>
    </row>
    <row r="4917" customFormat="false" ht="12.75" hidden="false" customHeight="false" outlineLevel="0" collapsed="false">
      <c r="A4917" s="0" t="n">
        <f aca="false">B4917*1000+C4917</f>
        <v>68079</v>
      </c>
      <c r="B4917" s="0" t="n">
        <v>68</v>
      </c>
      <c r="C4917" s="0" t="n">
        <v>79</v>
      </c>
      <c r="D4917" s="0" t="n">
        <v>0</v>
      </c>
      <c r="E4917" s="0" t="n">
        <f aca="false">VLOOKUP(B4917,'Babblefish-APUMA'!$A$1:$B$86,2)</f>
        <v>93</v>
      </c>
      <c r="F4917" s="0" t="n">
        <f aca="false">IF(C4917&gt;1,IF(C4917&lt;99,VLOOKUP(C4917,'Babblefish-APUMA'!$A$1:$B$86,2),C4917),C4917)</f>
        <v>89</v>
      </c>
    </row>
    <row r="4918" customFormat="false" ht="12.75" hidden="false" customHeight="false" outlineLevel="0" collapsed="false">
      <c r="A4918" s="0" t="n">
        <f aca="false">B4918*1000+C4918</f>
        <v>68080</v>
      </c>
      <c r="B4918" s="0" t="n">
        <v>68</v>
      </c>
      <c r="C4918" s="0" t="n">
        <v>80</v>
      </c>
      <c r="D4918" s="0" t="n">
        <v>0</v>
      </c>
      <c r="E4918" s="0" t="n">
        <f aca="false">VLOOKUP(B4918,'Babblefish-APUMA'!$A$1:$B$86,2)</f>
        <v>93</v>
      </c>
      <c r="F4918" s="0" t="n">
        <f aca="false">IF(C4918&gt;1,IF(C4918&lt;99,VLOOKUP(C4918,'Babblefish-APUMA'!$A$1:$B$86,2),C4918),C4918)</f>
        <v>80</v>
      </c>
    </row>
    <row r="4919" customFormat="false" ht="12.75" hidden="false" customHeight="false" outlineLevel="0" collapsed="false">
      <c r="A4919" s="0" t="n">
        <f aca="false">B4919*1000+C4919</f>
        <v>68081</v>
      </c>
      <c r="B4919" s="0" t="n">
        <v>68</v>
      </c>
      <c r="C4919" s="0" t="n">
        <v>81</v>
      </c>
      <c r="D4919" s="0" t="n">
        <v>8450</v>
      </c>
      <c r="E4919" s="0" t="n">
        <f aca="false">VLOOKUP(B4919,'Babblefish-APUMA'!$A$1:$B$86,2)</f>
        <v>93</v>
      </c>
      <c r="F4919" s="0" t="n">
        <f aca="false">IF(C4919&gt;1,IF(C4919&lt;99,VLOOKUP(C4919,'Babblefish-APUMA'!$A$1:$B$86,2),C4919),C4919)</f>
        <v>93</v>
      </c>
    </row>
    <row r="4920" customFormat="false" ht="12.75" hidden="false" customHeight="false" outlineLevel="0" collapsed="false">
      <c r="A4920" s="0" t="n">
        <f aca="false">B4920*1000+C4920</f>
        <v>68082</v>
      </c>
      <c r="B4920" s="0" t="n">
        <v>68</v>
      </c>
      <c r="C4920" s="0" t="n">
        <v>82</v>
      </c>
      <c r="D4920" s="0" t="n">
        <v>2301</v>
      </c>
      <c r="E4920" s="0" t="n">
        <f aca="false">VLOOKUP(B4920,'Babblefish-APUMA'!$A$1:$B$86,2)</f>
        <v>93</v>
      </c>
      <c r="F4920" s="0" t="n">
        <f aca="false">IF(C4920&gt;1,IF(C4920&lt;99,VLOOKUP(C4920,'Babblefish-APUMA'!$A$1:$B$86,2),C4920),C4920)</f>
        <v>95</v>
      </c>
    </row>
    <row r="4921" customFormat="false" ht="12.75" hidden="false" customHeight="false" outlineLevel="0" collapsed="false">
      <c r="A4921" s="0" t="n">
        <f aca="false">B4921*1000+C4921</f>
        <v>68083</v>
      </c>
      <c r="B4921" s="0" t="n">
        <v>68</v>
      </c>
      <c r="C4921" s="0" t="n">
        <v>83</v>
      </c>
      <c r="D4921" s="0" t="n">
        <v>0</v>
      </c>
      <c r="E4921" s="0" t="n">
        <f aca="false">VLOOKUP(B4921,'Babblefish-APUMA'!$A$1:$B$86,2)</f>
        <v>93</v>
      </c>
      <c r="F4921" s="0" t="n">
        <f aca="false">IF(C4921&gt;1,IF(C4921&lt;99,VLOOKUP(C4921,'Babblefish-APUMA'!$A$1:$B$86,2),C4921),C4921)</f>
        <v>103</v>
      </c>
    </row>
    <row r="4922" customFormat="false" ht="12.75" hidden="false" customHeight="false" outlineLevel="0" collapsed="false">
      <c r="A4922" s="0" t="n">
        <f aca="false">B4922*1000+C4922</f>
        <v>68084</v>
      </c>
      <c r="B4922" s="0" t="n">
        <v>68</v>
      </c>
      <c r="C4922" s="0" t="n">
        <v>84</v>
      </c>
      <c r="D4922" s="0" t="n">
        <v>962</v>
      </c>
      <c r="E4922" s="0" t="n">
        <f aca="false">VLOOKUP(B4922,'Babblefish-APUMA'!$A$1:$B$86,2)</f>
        <v>93</v>
      </c>
      <c r="F4922" s="0" t="n">
        <f aca="false">IF(C4922&gt;1,IF(C4922&lt;99,VLOOKUP(C4922,'Babblefish-APUMA'!$A$1:$B$86,2),C4922),C4922)</f>
        <v>92</v>
      </c>
    </row>
    <row r="4923" customFormat="false" ht="12.75" hidden="false" customHeight="false" outlineLevel="0" collapsed="false">
      <c r="A4923" s="0" t="n">
        <f aca="false">B4923*1000+C4923</f>
        <v>68085</v>
      </c>
      <c r="B4923" s="0" t="n">
        <v>68</v>
      </c>
      <c r="C4923" s="0" t="n">
        <v>85</v>
      </c>
      <c r="D4923" s="0" t="n">
        <v>0</v>
      </c>
      <c r="E4923" s="0" t="n">
        <f aca="false">VLOOKUP(B4923,'Babblefish-APUMA'!$A$1:$B$86,2)</f>
        <v>93</v>
      </c>
      <c r="F4923" s="0" t="n">
        <f aca="false">IF(C4923&gt;1,IF(C4923&lt;99,VLOOKUP(C4923,'Babblefish-APUMA'!$A$1:$B$86,2),C4923),C4923)</f>
        <v>97</v>
      </c>
    </row>
    <row r="4924" customFormat="false" ht="12.75" hidden="false" customHeight="false" outlineLevel="0" collapsed="false">
      <c r="A4924" s="0" t="n">
        <f aca="false">B4924*1000+C4924</f>
        <v>68858</v>
      </c>
      <c r="B4924" s="0" t="n">
        <v>68</v>
      </c>
      <c r="C4924" s="0" t="n">
        <v>858</v>
      </c>
      <c r="D4924" s="0" t="n">
        <v>0</v>
      </c>
      <c r="E4924" s="0" t="n">
        <f aca="false">VLOOKUP(B4924,'Babblefish-APUMA'!$A$1:$B$86,2)</f>
        <v>93</v>
      </c>
      <c r="F4924" s="0" t="n">
        <f aca="false">IF(C4924&gt;1,IF(C4924&lt;99,VLOOKUP(C4924,'Babblefish-APUMA'!$A$1:$B$86,2),C4924),C4924)</f>
        <v>858</v>
      </c>
    </row>
    <row r="4925" customFormat="false" ht="12.75" hidden="false" customHeight="false" outlineLevel="0" collapsed="false">
      <c r="A4925" s="0" t="n">
        <f aca="false">B4925*1000+C4925</f>
        <v>68983</v>
      </c>
      <c r="B4925" s="0" t="n">
        <v>68</v>
      </c>
      <c r="C4925" s="0" t="n">
        <v>983</v>
      </c>
      <c r="D4925" s="0" t="n">
        <v>0</v>
      </c>
      <c r="E4925" s="0" t="n">
        <f aca="false">VLOOKUP(B4925,'Babblefish-APUMA'!$A$1:$B$86,2)</f>
        <v>93</v>
      </c>
      <c r="F4925" s="0" t="n">
        <f aca="false">IF(C4925&gt;1,IF(C4925&lt;99,VLOOKUP(C4925,'Babblefish-APUMA'!$A$1:$B$86,2),C4925),C4925)</f>
        <v>983</v>
      </c>
    </row>
    <row r="4926" customFormat="false" ht="12.75" hidden="false" customHeight="false" outlineLevel="0" collapsed="false">
      <c r="A4926" s="0" t="n">
        <f aca="false">B4926*1000+C4926</f>
        <v>68999</v>
      </c>
      <c r="B4926" s="0" t="n">
        <v>68</v>
      </c>
      <c r="C4926" s="0" t="n">
        <v>999</v>
      </c>
      <c r="D4926" s="0" t="n">
        <v>117</v>
      </c>
      <c r="E4926" s="0" t="n">
        <f aca="false">VLOOKUP(B4926,'Babblefish-APUMA'!$A$1:$B$86,2)</f>
        <v>93</v>
      </c>
      <c r="F4926" s="0" t="n">
        <f aca="false">IF(C4926&gt;1,IF(C4926&lt;99,VLOOKUP(C4926,'Babblefish-APUMA'!$A$1:$B$86,2),C4926),C4926)</f>
        <v>999</v>
      </c>
    </row>
    <row r="4927" customFormat="false" ht="12.75" hidden="false" customHeight="false" outlineLevel="0" collapsed="false">
      <c r="A4927" s="0" t="n">
        <f aca="false">B4927*1000+C4927</f>
        <v>69000</v>
      </c>
      <c r="B4927" s="0" t="n">
        <v>69</v>
      </c>
      <c r="C4927" s="0" t="n">
        <v>0</v>
      </c>
      <c r="D4927" s="0" t="n">
        <v>497731</v>
      </c>
      <c r="E4927" s="0" t="n">
        <f aca="false">VLOOKUP(B4927,'Babblefish-APUMA'!$A$1:$B$86,2)</f>
        <v>93</v>
      </c>
      <c r="F4927" s="0" t="n">
        <f aca="false">IF(C4927&gt;1,IF(C4927&lt;99,VLOOKUP(C4927,'Babblefish-APUMA'!$A$1:$B$86,2),C4927),C4927)</f>
        <v>0</v>
      </c>
    </row>
    <row r="4928" customFormat="false" ht="12.75" hidden="false" customHeight="false" outlineLevel="0" collapsed="false">
      <c r="A4928" s="0" t="n">
        <f aca="false">B4928*1000+C4928</f>
        <v>69001</v>
      </c>
      <c r="B4928" s="0" t="n">
        <v>69</v>
      </c>
      <c r="C4928" s="0" t="n">
        <v>1</v>
      </c>
      <c r="D4928" s="0" t="n">
        <v>247</v>
      </c>
      <c r="E4928" s="0" t="n">
        <f aca="false">VLOOKUP(B4928,'Babblefish-APUMA'!$A$1:$B$86,2)</f>
        <v>93</v>
      </c>
      <c r="F4928" s="0" t="n">
        <f aca="false">IF(C4928&gt;1,IF(C4928&lt;99,VLOOKUP(C4928,'Babblefish-APUMA'!$A$1:$B$86,2),C4928),C4928)</f>
        <v>1</v>
      </c>
    </row>
    <row r="4929" customFormat="false" ht="12.75" hidden="false" customHeight="false" outlineLevel="0" collapsed="false">
      <c r="A4929" s="0" t="n">
        <f aca="false">B4929*1000+C4929</f>
        <v>69002</v>
      </c>
      <c r="B4929" s="0" t="n">
        <v>69</v>
      </c>
      <c r="C4929" s="0" t="n">
        <v>2</v>
      </c>
      <c r="D4929" s="0" t="n">
        <v>247</v>
      </c>
      <c r="E4929" s="0" t="n">
        <f aca="false">VLOOKUP(B4929,'Babblefish-APUMA'!$A$1:$B$86,2)</f>
        <v>93</v>
      </c>
      <c r="F4929" s="0" t="n">
        <f aca="false">IF(C4929&gt;1,IF(C4929&lt;99,VLOOKUP(C4929,'Babblefish-APUMA'!$A$1:$B$86,2),C4929),C4929)</f>
        <v>2</v>
      </c>
    </row>
    <row r="4930" customFormat="false" ht="12.75" hidden="false" customHeight="false" outlineLevel="0" collapsed="false">
      <c r="A4930" s="0" t="n">
        <f aca="false">B4930*1000+C4930</f>
        <v>69003</v>
      </c>
      <c r="B4930" s="0" t="n">
        <v>69</v>
      </c>
      <c r="C4930" s="0" t="n">
        <v>3</v>
      </c>
      <c r="D4930" s="0" t="n">
        <v>260</v>
      </c>
      <c r="E4930" s="0" t="n">
        <f aca="false">VLOOKUP(B4930,'Babblefish-APUMA'!$A$1:$B$86,2)</f>
        <v>93</v>
      </c>
      <c r="F4930" s="0" t="n">
        <f aca="false">IF(C4930&gt;1,IF(C4930&lt;99,VLOOKUP(C4930,'Babblefish-APUMA'!$A$1:$B$86,2),C4930),C4930)</f>
        <v>3</v>
      </c>
    </row>
    <row r="4931" customFormat="false" ht="12.75" hidden="false" customHeight="false" outlineLevel="0" collapsed="false">
      <c r="A4931" s="0" t="n">
        <f aca="false">B4931*1000+C4931</f>
        <v>69004</v>
      </c>
      <c r="B4931" s="0" t="n">
        <v>69</v>
      </c>
      <c r="C4931" s="0" t="n">
        <v>4</v>
      </c>
      <c r="D4931" s="0" t="n">
        <v>39</v>
      </c>
      <c r="E4931" s="0" t="n">
        <f aca="false">VLOOKUP(B4931,'Babblefish-APUMA'!$A$1:$B$86,2)</f>
        <v>93</v>
      </c>
      <c r="F4931" s="0" t="n">
        <f aca="false">IF(C4931&gt;1,IF(C4931&lt;99,VLOOKUP(C4931,'Babblefish-APUMA'!$A$1:$B$86,2),C4931),C4931)</f>
        <v>4</v>
      </c>
    </row>
    <row r="4932" customFormat="false" ht="12.75" hidden="false" customHeight="false" outlineLevel="0" collapsed="false">
      <c r="A4932" s="0" t="n">
        <f aca="false">B4932*1000+C4932</f>
        <v>69005</v>
      </c>
      <c r="B4932" s="0" t="n">
        <v>69</v>
      </c>
      <c r="C4932" s="0" t="n">
        <v>5</v>
      </c>
      <c r="D4932" s="0" t="n">
        <v>0</v>
      </c>
      <c r="E4932" s="0" t="n">
        <f aca="false">VLOOKUP(B4932,'Babblefish-APUMA'!$A$1:$B$86,2)</f>
        <v>93</v>
      </c>
      <c r="F4932" s="0" t="n">
        <f aca="false">IF(C4932&gt;1,IF(C4932&lt;99,VLOOKUP(C4932,'Babblefish-APUMA'!$A$1:$B$86,2),C4932),C4932)</f>
        <v>5</v>
      </c>
    </row>
    <row r="4933" customFormat="false" ht="12.75" hidden="false" customHeight="false" outlineLevel="0" collapsed="false">
      <c r="A4933" s="0" t="n">
        <f aca="false">B4933*1000+C4933</f>
        <v>69006</v>
      </c>
      <c r="B4933" s="0" t="n">
        <v>69</v>
      </c>
      <c r="C4933" s="0" t="n">
        <v>6</v>
      </c>
      <c r="D4933" s="0" t="n">
        <v>0</v>
      </c>
      <c r="E4933" s="0" t="n">
        <f aca="false">VLOOKUP(B4933,'Babblefish-APUMA'!$A$1:$B$86,2)</f>
        <v>93</v>
      </c>
      <c r="F4933" s="0" t="n">
        <f aca="false">IF(C4933&gt;1,IF(C4933&lt;99,VLOOKUP(C4933,'Babblefish-APUMA'!$A$1:$B$86,2),C4933),C4933)</f>
        <v>6</v>
      </c>
    </row>
    <row r="4934" customFormat="false" ht="12.75" hidden="false" customHeight="false" outlineLevel="0" collapsed="false">
      <c r="A4934" s="0" t="n">
        <f aca="false">B4934*1000+C4934</f>
        <v>69007</v>
      </c>
      <c r="B4934" s="0" t="n">
        <v>69</v>
      </c>
      <c r="C4934" s="0" t="n">
        <v>7</v>
      </c>
      <c r="D4934" s="0" t="n">
        <v>104</v>
      </c>
      <c r="E4934" s="0" t="n">
        <f aca="false">VLOOKUP(B4934,'Babblefish-APUMA'!$A$1:$B$86,2)</f>
        <v>93</v>
      </c>
      <c r="F4934" s="0" t="n">
        <f aca="false">IF(C4934&gt;1,IF(C4934&lt;99,VLOOKUP(C4934,'Babblefish-APUMA'!$A$1:$B$86,2),C4934),C4934)</f>
        <v>7</v>
      </c>
    </row>
    <row r="4935" customFormat="false" ht="12.75" hidden="false" customHeight="false" outlineLevel="0" collapsed="false">
      <c r="A4935" s="0" t="n">
        <f aca="false">B4935*1000+C4935</f>
        <v>69008</v>
      </c>
      <c r="B4935" s="0" t="n">
        <v>69</v>
      </c>
      <c r="C4935" s="0" t="n">
        <v>8</v>
      </c>
      <c r="D4935" s="0" t="n">
        <v>0</v>
      </c>
      <c r="E4935" s="0" t="n">
        <f aca="false">VLOOKUP(B4935,'Babblefish-APUMA'!$A$1:$B$86,2)</f>
        <v>93</v>
      </c>
      <c r="F4935" s="0" t="n">
        <f aca="false">IF(C4935&gt;1,IF(C4935&lt;99,VLOOKUP(C4935,'Babblefish-APUMA'!$A$1:$B$86,2),C4935),C4935)</f>
        <v>8</v>
      </c>
    </row>
    <row r="4936" customFormat="false" ht="12.75" hidden="false" customHeight="false" outlineLevel="0" collapsed="false">
      <c r="A4936" s="0" t="n">
        <f aca="false">B4936*1000+C4936</f>
        <v>69009</v>
      </c>
      <c r="B4936" s="0" t="n">
        <v>69</v>
      </c>
      <c r="C4936" s="0" t="n">
        <v>9</v>
      </c>
      <c r="D4936" s="0" t="n">
        <v>104</v>
      </c>
      <c r="E4936" s="0" t="n">
        <f aca="false">VLOOKUP(B4936,'Babblefish-APUMA'!$A$1:$B$86,2)</f>
        <v>93</v>
      </c>
      <c r="F4936" s="0" t="n">
        <f aca="false">IF(C4936&gt;1,IF(C4936&lt;99,VLOOKUP(C4936,'Babblefish-APUMA'!$A$1:$B$86,2),C4936),C4936)</f>
        <v>9</v>
      </c>
    </row>
    <row r="4937" customFormat="false" ht="12.75" hidden="false" customHeight="false" outlineLevel="0" collapsed="false">
      <c r="A4937" s="0" t="n">
        <f aca="false">B4937*1000+C4937</f>
        <v>69010</v>
      </c>
      <c r="B4937" s="0" t="n">
        <v>69</v>
      </c>
      <c r="C4937" s="0" t="n">
        <v>10</v>
      </c>
      <c r="D4937" s="0" t="n">
        <v>130</v>
      </c>
      <c r="E4937" s="0" t="n">
        <f aca="false">VLOOKUP(B4937,'Babblefish-APUMA'!$A$1:$B$86,2)</f>
        <v>93</v>
      </c>
      <c r="F4937" s="0" t="n">
        <f aca="false">IF(C4937&gt;1,IF(C4937&lt;99,VLOOKUP(C4937,'Babblefish-APUMA'!$A$1:$B$86,2),C4937),C4937)</f>
        <v>10</v>
      </c>
    </row>
    <row r="4938" customFormat="false" ht="12.75" hidden="false" customHeight="false" outlineLevel="0" collapsed="false">
      <c r="A4938" s="0" t="n">
        <f aca="false">B4938*1000+C4938</f>
        <v>69011</v>
      </c>
      <c r="B4938" s="0" t="n">
        <v>69</v>
      </c>
      <c r="C4938" s="0" t="n">
        <v>11</v>
      </c>
      <c r="D4938" s="0" t="n">
        <v>0</v>
      </c>
      <c r="E4938" s="0" t="n">
        <f aca="false">VLOOKUP(B4938,'Babblefish-APUMA'!$A$1:$B$86,2)</f>
        <v>93</v>
      </c>
      <c r="F4938" s="0" t="n">
        <f aca="false">IF(C4938&gt;1,IF(C4938&lt;99,VLOOKUP(C4938,'Babblefish-APUMA'!$A$1:$B$86,2),C4938),C4938)</f>
        <v>11</v>
      </c>
    </row>
    <row r="4939" customFormat="false" ht="12.75" hidden="false" customHeight="false" outlineLevel="0" collapsed="false">
      <c r="A4939" s="0" t="n">
        <f aca="false">B4939*1000+C4939</f>
        <v>69012</v>
      </c>
      <c r="B4939" s="0" t="n">
        <v>69</v>
      </c>
      <c r="C4939" s="0" t="n">
        <v>12</v>
      </c>
      <c r="D4939" s="0" t="n">
        <v>0</v>
      </c>
      <c r="E4939" s="0" t="n">
        <f aca="false">VLOOKUP(B4939,'Babblefish-APUMA'!$A$1:$B$86,2)</f>
        <v>93</v>
      </c>
      <c r="F4939" s="0" t="n">
        <f aca="false">IF(C4939&gt;1,IF(C4939&lt;99,VLOOKUP(C4939,'Babblefish-APUMA'!$A$1:$B$86,2),C4939),C4939)</f>
        <v>12</v>
      </c>
    </row>
    <row r="4940" customFormat="false" ht="12.75" hidden="false" customHeight="false" outlineLevel="0" collapsed="false">
      <c r="A4940" s="0" t="n">
        <f aca="false">B4940*1000+C4940</f>
        <v>69013</v>
      </c>
      <c r="B4940" s="0" t="n">
        <v>69</v>
      </c>
      <c r="C4940" s="0" t="n">
        <v>13</v>
      </c>
      <c r="D4940" s="0" t="n">
        <v>0</v>
      </c>
      <c r="E4940" s="0" t="n">
        <f aca="false">VLOOKUP(B4940,'Babblefish-APUMA'!$A$1:$B$86,2)</f>
        <v>93</v>
      </c>
      <c r="F4940" s="0" t="n">
        <f aca="false">IF(C4940&gt;1,IF(C4940&lt;99,VLOOKUP(C4940,'Babblefish-APUMA'!$A$1:$B$86,2),C4940),C4940)</f>
        <v>100</v>
      </c>
    </row>
    <row r="4941" customFormat="false" ht="12.75" hidden="false" customHeight="false" outlineLevel="0" collapsed="false">
      <c r="A4941" s="0" t="n">
        <f aca="false">B4941*1000+C4941</f>
        <v>69014</v>
      </c>
      <c r="B4941" s="0" t="n">
        <v>69</v>
      </c>
      <c r="C4941" s="0" t="n">
        <v>14</v>
      </c>
      <c r="D4941" s="0" t="n">
        <v>0</v>
      </c>
      <c r="E4941" s="0" t="n">
        <f aca="false">VLOOKUP(B4941,'Babblefish-APUMA'!$A$1:$B$86,2)</f>
        <v>93</v>
      </c>
      <c r="F4941" s="0" t="n">
        <f aca="false">IF(C4941&gt;1,IF(C4941&lt;99,VLOOKUP(C4941,'Babblefish-APUMA'!$A$1:$B$86,2),C4941),C4941)</f>
        <v>100</v>
      </c>
    </row>
    <row r="4942" customFormat="false" ht="12.75" hidden="false" customHeight="false" outlineLevel="0" collapsed="false">
      <c r="A4942" s="0" t="n">
        <f aca="false">B4942*1000+C4942</f>
        <v>69015</v>
      </c>
      <c r="B4942" s="0" t="n">
        <v>69</v>
      </c>
      <c r="C4942" s="0" t="n">
        <v>15</v>
      </c>
      <c r="D4942" s="0" t="n">
        <v>0</v>
      </c>
      <c r="E4942" s="0" t="n">
        <f aca="false">VLOOKUP(B4942,'Babblefish-APUMA'!$A$1:$B$86,2)</f>
        <v>93</v>
      </c>
      <c r="F4942" s="0" t="n">
        <f aca="false">IF(C4942&gt;1,IF(C4942&lt;99,VLOOKUP(C4942,'Babblefish-APUMA'!$A$1:$B$86,2),C4942),C4942)</f>
        <v>15</v>
      </c>
    </row>
    <row r="4943" customFormat="false" ht="12.75" hidden="false" customHeight="false" outlineLevel="0" collapsed="false">
      <c r="A4943" s="0" t="n">
        <f aca="false">B4943*1000+C4943</f>
        <v>69016</v>
      </c>
      <c r="B4943" s="0" t="n">
        <v>69</v>
      </c>
      <c r="C4943" s="0" t="n">
        <v>16</v>
      </c>
      <c r="D4943" s="0" t="n">
        <v>0</v>
      </c>
      <c r="E4943" s="0" t="n">
        <f aca="false">VLOOKUP(B4943,'Babblefish-APUMA'!$A$1:$B$86,2)</f>
        <v>93</v>
      </c>
      <c r="F4943" s="0" t="n">
        <f aca="false">IF(C4943&gt;1,IF(C4943&lt;99,VLOOKUP(C4943,'Babblefish-APUMA'!$A$1:$B$86,2),C4943),C4943)</f>
        <v>99</v>
      </c>
    </row>
    <row r="4944" customFormat="false" ht="12.75" hidden="false" customHeight="false" outlineLevel="0" collapsed="false">
      <c r="A4944" s="0" t="n">
        <f aca="false">B4944*1000+C4944</f>
        <v>69017</v>
      </c>
      <c r="B4944" s="0" t="n">
        <v>69</v>
      </c>
      <c r="C4944" s="0" t="n">
        <v>17</v>
      </c>
      <c r="D4944" s="0" t="n">
        <v>0</v>
      </c>
      <c r="E4944" s="0" t="n">
        <f aca="false">VLOOKUP(B4944,'Babblefish-APUMA'!$A$1:$B$86,2)</f>
        <v>93</v>
      </c>
      <c r="F4944" s="0" t="n">
        <f aca="false">IF(C4944&gt;1,IF(C4944&lt;99,VLOOKUP(C4944,'Babblefish-APUMA'!$A$1:$B$86,2),C4944),C4944)</f>
        <v>87</v>
      </c>
    </row>
    <row r="4945" customFormat="false" ht="12.75" hidden="false" customHeight="false" outlineLevel="0" collapsed="false">
      <c r="A4945" s="0" t="n">
        <f aca="false">B4945*1000+C4945</f>
        <v>69018</v>
      </c>
      <c r="B4945" s="0" t="n">
        <v>69</v>
      </c>
      <c r="C4945" s="0" t="n">
        <v>18</v>
      </c>
      <c r="D4945" s="0" t="n">
        <v>0</v>
      </c>
      <c r="E4945" s="0" t="n">
        <f aca="false">VLOOKUP(B4945,'Babblefish-APUMA'!$A$1:$B$86,2)</f>
        <v>93</v>
      </c>
      <c r="F4945" s="0" t="n">
        <f aca="false">IF(C4945&gt;1,IF(C4945&lt;99,VLOOKUP(C4945,'Babblefish-APUMA'!$A$1:$B$86,2),C4945),C4945)</f>
        <v>87</v>
      </c>
    </row>
    <row r="4946" customFormat="false" ht="12.75" hidden="false" customHeight="false" outlineLevel="0" collapsed="false">
      <c r="A4946" s="0" t="n">
        <f aca="false">B4946*1000+C4946</f>
        <v>69019</v>
      </c>
      <c r="B4946" s="0" t="n">
        <v>69</v>
      </c>
      <c r="C4946" s="0" t="n">
        <v>19</v>
      </c>
      <c r="D4946" s="0" t="n">
        <v>0</v>
      </c>
      <c r="E4946" s="0" t="n">
        <f aca="false">VLOOKUP(B4946,'Babblefish-APUMA'!$A$1:$B$86,2)</f>
        <v>93</v>
      </c>
      <c r="F4946" s="0" t="n">
        <f aca="false">IF(C4946&gt;1,IF(C4946&lt;99,VLOOKUP(C4946,'Babblefish-APUMA'!$A$1:$B$86,2),C4946),C4946)</f>
        <v>19</v>
      </c>
    </row>
    <row r="4947" customFormat="false" ht="12.75" hidden="false" customHeight="false" outlineLevel="0" collapsed="false">
      <c r="A4947" s="0" t="n">
        <f aca="false">B4947*1000+C4947</f>
        <v>69020</v>
      </c>
      <c r="B4947" s="0" t="n">
        <v>69</v>
      </c>
      <c r="C4947" s="0" t="n">
        <v>20</v>
      </c>
      <c r="D4947" s="0" t="n">
        <v>0</v>
      </c>
      <c r="E4947" s="0" t="n">
        <f aca="false">VLOOKUP(B4947,'Babblefish-APUMA'!$A$1:$B$86,2)</f>
        <v>93</v>
      </c>
      <c r="F4947" s="0" t="n">
        <f aca="false">IF(C4947&gt;1,IF(C4947&lt;99,VLOOKUP(C4947,'Babblefish-APUMA'!$A$1:$B$86,2),C4947),C4947)</f>
        <v>86</v>
      </c>
    </row>
    <row r="4948" customFormat="false" ht="12.75" hidden="false" customHeight="false" outlineLevel="0" collapsed="false">
      <c r="A4948" s="0" t="n">
        <f aca="false">B4948*1000+C4948</f>
        <v>69021</v>
      </c>
      <c r="B4948" s="0" t="n">
        <v>69</v>
      </c>
      <c r="C4948" s="0" t="n">
        <v>21</v>
      </c>
      <c r="D4948" s="0" t="n">
        <v>143</v>
      </c>
      <c r="E4948" s="0" t="n">
        <f aca="false">VLOOKUP(B4948,'Babblefish-APUMA'!$A$1:$B$86,2)</f>
        <v>93</v>
      </c>
      <c r="F4948" s="0" t="n">
        <f aca="false">IF(C4948&gt;1,IF(C4948&lt;99,VLOOKUP(C4948,'Babblefish-APUMA'!$A$1:$B$86,2),C4948),C4948)</f>
        <v>86</v>
      </c>
    </row>
    <row r="4949" customFormat="false" ht="12.75" hidden="false" customHeight="false" outlineLevel="0" collapsed="false">
      <c r="A4949" s="0" t="n">
        <f aca="false">B4949*1000+C4949</f>
        <v>69022</v>
      </c>
      <c r="B4949" s="0" t="n">
        <v>69</v>
      </c>
      <c r="C4949" s="0" t="n">
        <v>22</v>
      </c>
      <c r="D4949" s="0" t="n">
        <v>104</v>
      </c>
      <c r="E4949" s="0" t="n">
        <f aca="false">VLOOKUP(B4949,'Babblefish-APUMA'!$A$1:$B$86,2)</f>
        <v>93</v>
      </c>
      <c r="F4949" s="0" t="n">
        <f aca="false">IF(C4949&gt;1,IF(C4949&lt;99,VLOOKUP(C4949,'Babblefish-APUMA'!$A$1:$B$86,2),C4949),C4949)</f>
        <v>22</v>
      </c>
    </row>
    <row r="4950" customFormat="false" ht="12.75" hidden="false" customHeight="false" outlineLevel="0" collapsed="false">
      <c r="A4950" s="0" t="n">
        <f aca="false">B4950*1000+C4950</f>
        <v>69023</v>
      </c>
      <c r="B4950" s="0" t="n">
        <v>69</v>
      </c>
      <c r="C4950" s="0" t="n">
        <v>23</v>
      </c>
      <c r="D4950" s="0" t="n">
        <v>0</v>
      </c>
      <c r="E4950" s="0" t="n">
        <f aca="false">VLOOKUP(B4950,'Babblefish-APUMA'!$A$1:$B$86,2)</f>
        <v>93</v>
      </c>
      <c r="F4950" s="0" t="n">
        <f aca="false">IF(C4950&gt;1,IF(C4950&lt;99,VLOOKUP(C4950,'Babblefish-APUMA'!$A$1:$B$86,2),C4950),C4950)</f>
        <v>97</v>
      </c>
    </row>
    <row r="4951" customFormat="false" ht="12.75" hidden="false" customHeight="false" outlineLevel="0" collapsed="false">
      <c r="A4951" s="0" t="n">
        <f aca="false">B4951*1000+C4951</f>
        <v>69024</v>
      </c>
      <c r="B4951" s="0" t="n">
        <v>69</v>
      </c>
      <c r="C4951" s="0" t="n">
        <v>24</v>
      </c>
      <c r="D4951" s="0" t="n">
        <v>0</v>
      </c>
      <c r="E4951" s="0" t="n">
        <f aca="false">VLOOKUP(B4951,'Babblefish-APUMA'!$A$1:$B$86,2)</f>
        <v>93</v>
      </c>
      <c r="F4951" s="0" t="n">
        <f aca="false">IF(C4951&gt;1,IF(C4951&lt;99,VLOOKUP(C4951,'Babblefish-APUMA'!$A$1:$B$86,2),C4951),C4951)</f>
        <v>101</v>
      </c>
    </row>
    <row r="4952" customFormat="false" ht="12.75" hidden="false" customHeight="false" outlineLevel="0" collapsed="false">
      <c r="A4952" s="0" t="n">
        <f aca="false">B4952*1000+C4952</f>
        <v>69025</v>
      </c>
      <c r="B4952" s="0" t="n">
        <v>69</v>
      </c>
      <c r="C4952" s="0" t="n">
        <v>25</v>
      </c>
      <c r="D4952" s="0" t="n">
        <v>0</v>
      </c>
      <c r="E4952" s="0" t="n">
        <f aca="false">VLOOKUP(B4952,'Babblefish-APUMA'!$A$1:$B$86,2)</f>
        <v>93</v>
      </c>
      <c r="F4952" s="0" t="n">
        <f aca="false">IF(C4952&gt;1,IF(C4952&lt;99,VLOOKUP(C4952,'Babblefish-APUMA'!$A$1:$B$86,2),C4952),C4952)</f>
        <v>101</v>
      </c>
    </row>
    <row r="4953" customFormat="false" ht="12.75" hidden="false" customHeight="false" outlineLevel="0" collapsed="false">
      <c r="A4953" s="0" t="n">
        <f aca="false">B4953*1000+C4953</f>
        <v>69026</v>
      </c>
      <c r="B4953" s="0" t="n">
        <v>69</v>
      </c>
      <c r="C4953" s="0" t="n">
        <v>26</v>
      </c>
      <c r="D4953" s="0" t="n">
        <v>0</v>
      </c>
      <c r="E4953" s="0" t="n">
        <f aca="false">VLOOKUP(B4953,'Babblefish-APUMA'!$A$1:$B$86,2)</f>
        <v>93</v>
      </c>
      <c r="F4953" s="0" t="n">
        <f aca="false">IF(C4953&gt;1,IF(C4953&lt;99,VLOOKUP(C4953,'Babblefish-APUMA'!$A$1:$B$86,2),C4953),C4953)</f>
        <v>26</v>
      </c>
    </row>
    <row r="4954" customFormat="false" ht="12.75" hidden="false" customHeight="false" outlineLevel="0" collapsed="false">
      <c r="A4954" s="0" t="n">
        <f aca="false">B4954*1000+C4954</f>
        <v>69027</v>
      </c>
      <c r="B4954" s="0" t="n">
        <v>69</v>
      </c>
      <c r="C4954" s="0" t="n">
        <v>27</v>
      </c>
      <c r="D4954" s="0" t="n">
        <v>0</v>
      </c>
      <c r="E4954" s="0" t="n">
        <f aca="false">VLOOKUP(B4954,'Babblefish-APUMA'!$A$1:$B$86,2)</f>
        <v>93</v>
      </c>
      <c r="F4954" s="0" t="n">
        <f aca="false">IF(C4954&gt;1,IF(C4954&lt;99,VLOOKUP(C4954,'Babblefish-APUMA'!$A$1:$B$86,2),C4954),C4954)</f>
        <v>27</v>
      </c>
    </row>
    <row r="4955" customFormat="false" ht="12.75" hidden="false" customHeight="false" outlineLevel="0" collapsed="false">
      <c r="A4955" s="0" t="n">
        <f aca="false">B4955*1000+C4955</f>
        <v>69028</v>
      </c>
      <c r="B4955" s="0" t="n">
        <v>69</v>
      </c>
      <c r="C4955" s="0" t="n">
        <v>28</v>
      </c>
      <c r="D4955" s="0" t="n">
        <v>0</v>
      </c>
      <c r="E4955" s="0" t="n">
        <f aca="false">VLOOKUP(B4955,'Babblefish-APUMA'!$A$1:$B$86,2)</f>
        <v>93</v>
      </c>
      <c r="F4955" s="0" t="n">
        <f aca="false">IF(C4955&gt;1,IF(C4955&lt;99,VLOOKUP(C4955,'Babblefish-APUMA'!$A$1:$B$86,2),C4955),C4955)</f>
        <v>94</v>
      </c>
    </row>
    <row r="4956" customFormat="false" ht="12.75" hidden="false" customHeight="false" outlineLevel="0" collapsed="false">
      <c r="A4956" s="0" t="n">
        <f aca="false">B4956*1000+C4956</f>
        <v>69029</v>
      </c>
      <c r="B4956" s="0" t="n">
        <v>69</v>
      </c>
      <c r="C4956" s="0" t="n">
        <v>29</v>
      </c>
      <c r="D4956" s="0" t="n">
        <v>104</v>
      </c>
      <c r="E4956" s="0" t="n">
        <f aca="false">VLOOKUP(B4956,'Babblefish-APUMA'!$A$1:$B$86,2)</f>
        <v>93</v>
      </c>
      <c r="F4956" s="0" t="n">
        <f aca="false">IF(C4956&gt;1,IF(C4956&lt;99,VLOOKUP(C4956,'Babblefish-APUMA'!$A$1:$B$86,2),C4956),C4956)</f>
        <v>94</v>
      </c>
    </row>
    <row r="4957" customFormat="false" ht="12.75" hidden="false" customHeight="false" outlineLevel="0" collapsed="false">
      <c r="A4957" s="0" t="n">
        <f aca="false">B4957*1000+C4957</f>
        <v>69030</v>
      </c>
      <c r="B4957" s="0" t="n">
        <v>69</v>
      </c>
      <c r="C4957" s="0" t="n">
        <v>30</v>
      </c>
      <c r="D4957" s="0" t="n">
        <v>0</v>
      </c>
      <c r="E4957" s="0" t="n">
        <f aca="false">VLOOKUP(B4957,'Babblefish-APUMA'!$A$1:$B$86,2)</f>
        <v>93</v>
      </c>
      <c r="F4957" s="0" t="n">
        <f aca="false">IF(C4957&gt;1,IF(C4957&lt;99,VLOOKUP(C4957,'Babblefish-APUMA'!$A$1:$B$86,2),C4957),C4957)</f>
        <v>30</v>
      </c>
    </row>
    <row r="4958" customFormat="false" ht="12.75" hidden="false" customHeight="false" outlineLevel="0" collapsed="false">
      <c r="A4958" s="0" t="n">
        <f aca="false">B4958*1000+C4958</f>
        <v>69031</v>
      </c>
      <c r="B4958" s="0" t="n">
        <v>69</v>
      </c>
      <c r="C4958" s="0" t="n">
        <v>31</v>
      </c>
      <c r="D4958" s="0" t="n">
        <v>104</v>
      </c>
      <c r="E4958" s="0" t="n">
        <f aca="false">VLOOKUP(B4958,'Babblefish-APUMA'!$A$1:$B$86,2)</f>
        <v>93</v>
      </c>
      <c r="F4958" s="0" t="n">
        <f aca="false">IF(C4958&gt;1,IF(C4958&lt;99,VLOOKUP(C4958,'Babblefish-APUMA'!$A$1:$B$86,2),C4958),C4958)</f>
        <v>31</v>
      </c>
    </row>
    <row r="4959" customFormat="false" ht="12.75" hidden="false" customHeight="false" outlineLevel="0" collapsed="false">
      <c r="A4959" s="0" t="n">
        <f aca="false">B4959*1000+C4959</f>
        <v>69032</v>
      </c>
      <c r="B4959" s="0" t="n">
        <v>69</v>
      </c>
      <c r="C4959" s="0" t="n">
        <v>32</v>
      </c>
      <c r="D4959" s="0" t="n">
        <v>104</v>
      </c>
      <c r="E4959" s="0" t="n">
        <f aca="false">VLOOKUP(B4959,'Babblefish-APUMA'!$A$1:$B$86,2)</f>
        <v>93</v>
      </c>
      <c r="F4959" s="0" t="n">
        <f aca="false">IF(C4959&gt;1,IF(C4959&lt;99,VLOOKUP(C4959,'Babblefish-APUMA'!$A$1:$B$86,2),C4959),C4959)</f>
        <v>32</v>
      </c>
    </row>
    <row r="4960" customFormat="false" ht="12.75" hidden="false" customHeight="false" outlineLevel="0" collapsed="false">
      <c r="A4960" s="0" t="n">
        <f aca="false">B4960*1000+C4960</f>
        <v>69033</v>
      </c>
      <c r="B4960" s="0" t="n">
        <v>69</v>
      </c>
      <c r="C4960" s="0" t="n">
        <v>33</v>
      </c>
      <c r="D4960" s="0" t="n">
        <v>2678</v>
      </c>
      <c r="E4960" s="0" t="n">
        <f aca="false">VLOOKUP(B4960,'Babblefish-APUMA'!$A$1:$B$86,2)</f>
        <v>93</v>
      </c>
      <c r="F4960" s="0" t="n">
        <f aca="false">IF(C4960&gt;1,IF(C4960&lt;99,VLOOKUP(C4960,'Babblefish-APUMA'!$A$1:$B$86,2),C4960),C4960)</f>
        <v>96</v>
      </c>
    </row>
    <row r="4961" customFormat="false" ht="12.75" hidden="false" customHeight="false" outlineLevel="0" collapsed="false">
      <c r="A4961" s="0" t="n">
        <f aca="false">B4961*1000+C4961</f>
        <v>69034</v>
      </c>
      <c r="B4961" s="0" t="n">
        <v>69</v>
      </c>
      <c r="C4961" s="0" t="n">
        <v>34</v>
      </c>
      <c r="D4961" s="0" t="n">
        <v>403</v>
      </c>
      <c r="E4961" s="0" t="n">
        <f aca="false">VLOOKUP(B4961,'Babblefish-APUMA'!$A$1:$B$86,2)</f>
        <v>93</v>
      </c>
      <c r="F4961" s="0" t="n">
        <f aca="false">IF(C4961&gt;1,IF(C4961&lt;99,VLOOKUP(C4961,'Babblefish-APUMA'!$A$1:$B$86,2),C4961),C4961)</f>
        <v>96</v>
      </c>
    </row>
    <row r="4962" customFormat="false" ht="12.75" hidden="false" customHeight="false" outlineLevel="0" collapsed="false">
      <c r="A4962" s="0" t="n">
        <f aca="false">B4962*1000+C4962</f>
        <v>69035</v>
      </c>
      <c r="B4962" s="0" t="n">
        <v>69</v>
      </c>
      <c r="C4962" s="0" t="n">
        <v>35</v>
      </c>
      <c r="D4962" s="0" t="n">
        <v>611</v>
      </c>
      <c r="E4962" s="0" t="n">
        <f aca="false">VLOOKUP(B4962,'Babblefish-APUMA'!$A$1:$B$86,2)</f>
        <v>93</v>
      </c>
      <c r="F4962" s="0" t="n">
        <f aca="false">IF(C4962&gt;1,IF(C4962&lt;99,VLOOKUP(C4962,'Babblefish-APUMA'!$A$1:$B$86,2),C4962),C4962)</f>
        <v>96</v>
      </c>
    </row>
    <row r="4963" customFormat="false" ht="12.75" hidden="false" customHeight="false" outlineLevel="0" collapsed="false">
      <c r="A4963" s="0" t="n">
        <f aca="false">B4963*1000+C4963</f>
        <v>69036</v>
      </c>
      <c r="B4963" s="0" t="n">
        <v>69</v>
      </c>
      <c r="C4963" s="0" t="n">
        <v>36</v>
      </c>
      <c r="D4963" s="0" t="n">
        <v>0</v>
      </c>
      <c r="E4963" s="0" t="n">
        <f aca="false">VLOOKUP(B4963,'Babblefish-APUMA'!$A$1:$B$86,2)</f>
        <v>93</v>
      </c>
      <c r="F4963" s="0" t="n">
        <f aca="false">IF(C4963&gt;1,IF(C4963&lt;99,VLOOKUP(C4963,'Babblefish-APUMA'!$A$1:$B$86,2),C4963),C4963)</f>
        <v>96</v>
      </c>
    </row>
    <row r="4964" customFormat="false" ht="12.75" hidden="false" customHeight="false" outlineLevel="0" collapsed="false">
      <c r="A4964" s="0" t="n">
        <f aca="false">B4964*1000+C4964</f>
        <v>69037</v>
      </c>
      <c r="B4964" s="0" t="n">
        <v>69</v>
      </c>
      <c r="C4964" s="0" t="n">
        <v>37</v>
      </c>
      <c r="D4964" s="0" t="n">
        <v>3315</v>
      </c>
      <c r="E4964" s="0" t="n">
        <f aca="false">VLOOKUP(B4964,'Babblefish-APUMA'!$A$1:$B$86,2)</f>
        <v>93</v>
      </c>
      <c r="F4964" s="0" t="n">
        <f aca="false">IF(C4964&gt;1,IF(C4964&lt;99,VLOOKUP(C4964,'Babblefish-APUMA'!$A$1:$B$86,2),C4964),C4964)</f>
        <v>96</v>
      </c>
    </row>
    <row r="4965" customFormat="false" ht="12.75" hidden="false" customHeight="false" outlineLevel="0" collapsed="false">
      <c r="A4965" s="0" t="n">
        <f aca="false">B4965*1000+C4965</f>
        <v>69038</v>
      </c>
      <c r="B4965" s="0" t="n">
        <v>69</v>
      </c>
      <c r="C4965" s="0" t="n">
        <v>38</v>
      </c>
      <c r="D4965" s="0" t="n">
        <v>0</v>
      </c>
      <c r="E4965" s="0" t="n">
        <f aca="false">VLOOKUP(B4965,'Babblefish-APUMA'!$A$1:$B$86,2)</f>
        <v>93</v>
      </c>
      <c r="F4965" s="0" t="n">
        <f aca="false">IF(C4965&gt;1,IF(C4965&lt;99,VLOOKUP(C4965,'Babblefish-APUMA'!$A$1:$B$86,2),C4965),C4965)</f>
        <v>91</v>
      </c>
    </row>
    <row r="4966" customFormat="false" ht="12.75" hidden="false" customHeight="false" outlineLevel="0" collapsed="false">
      <c r="A4966" s="0" t="n">
        <f aca="false">B4966*1000+C4966</f>
        <v>69039</v>
      </c>
      <c r="B4966" s="0" t="n">
        <v>69</v>
      </c>
      <c r="C4966" s="0" t="n">
        <v>39</v>
      </c>
      <c r="D4966" s="0" t="n">
        <v>156</v>
      </c>
      <c r="E4966" s="0" t="n">
        <f aca="false">VLOOKUP(B4966,'Babblefish-APUMA'!$A$1:$B$86,2)</f>
        <v>93</v>
      </c>
      <c r="F4966" s="0" t="n">
        <f aca="false">IF(C4966&gt;1,IF(C4966&lt;99,VLOOKUP(C4966,'Babblefish-APUMA'!$A$1:$B$86,2),C4966),C4966)</f>
        <v>91</v>
      </c>
    </row>
    <row r="4967" customFormat="false" ht="12.75" hidden="false" customHeight="false" outlineLevel="0" collapsed="false">
      <c r="A4967" s="0" t="n">
        <f aca="false">B4967*1000+C4967</f>
        <v>69040</v>
      </c>
      <c r="B4967" s="0" t="n">
        <v>69</v>
      </c>
      <c r="C4967" s="0" t="n">
        <v>40</v>
      </c>
      <c r="D4967" s="0" t="n">
        <v>0</v>
      </c>
      <c r="E4967" s="0" t="n">
        <f aca="false">VLOOKUP(B4967,'Babblefish-APUMA'!$A$1:$B$86,2)</f>
        <v>93</v>
      </c>
      <c r="F4967" s="0" t="n">
        <f aca="false">IF(C4967&gt;1,IF(C4967&lt;99,VLOOKUP(C4967,'Babblefish-APUMA'!$A$1:$B$86,2),C4967),C4967)</f>
        <v>88</v>
      </c>
    </row>
    <row r="4968" customFormat="false" ht="12.75" hidden="false" customHeight="false" outlineLevel="0" collapsed="false">
      <c r="A4968" s="0" t="n">
        <f aca="false">B4968*1000+C4968</f>
        <v>69041</v>
      </c>
      <c r="B4968" s="0" t="n">
        <v>69</v>
      </c>
      <c r="C4968" s="0" t="n">
        <v>41</v>
      </c>
      <c r="D4968" s="0" t="n">
        <v>91</v>
      </c>
      <c r="E4968" s="0" t="n">
        <f aca="false">VLOOKUP(B4968,'Babblefish-APUMA'!$A$1:$B$86,2)</f>
        <v>93</v>
      </c>
      <c r="F4968" s="0" t="n">
        <f aca="false">IF(C4968&gt;1,IF(C4968&lt;99,VLOOKUP(C4968,'Babblefish-APUMA'!$A$1:$B$86,2),C4968),C4968)</f>
        <v>88</v>
      </c>
    </row>
    <row r="4969" customFormat="false" ht="12.75" hidden="false" customHeight="false" outlineLevel="0" collapsed="false">
      <c r="A4969" s="0" t="n">
        <f aca="false">B4969*1000+C4969</f>
        <v>69042</v>
      </c>
      <c r="B4969" s="0" t="n">
        <v>69</v>
      </c>
      <c r="C4969" s="0" t="n">
        <v>42</v>
      </c>
      <c r="D4969" s="0" t="n">
        <v>3809</v>
      </c>
      <c r="E4969" s="0" t="n">
        <f aca="false">VLOOKUP(B4969,'Babblefish-APUMA'!$A$1:$B$86,2)</f>
        <v>93</v>
      </c>
      <c r="F4969" s="0" t="n">
        <f aca="false">IF(C4969&gt;1,IF(C4969&lt;99,VLOOKUP(C4969,'Babblefish-APUMA'!$A$1:$B$86,2),C4969),C4969)</f>
        <v>92</v>
      </c>
    </row>
    <row r="4970" customFormat="false" ht="12.75" hidden="false" customHeight="false" outlineLevel="0" collapsed="false">
      <c r="A4970" s="0" t="n">
        <f aca="false">B4970*1000+C4970</f>
        <v>69043</v>
      </c>
      <c r="B4970" s="0" t="n">
        <v>69</v>
      </c>
      <c r="C4970" s="0" t="n">
        <v>43</v>
      </c>
      <c r="D4970" s="0" t="n">
        <v>260</v>
      </c>
      <c r="E4970" s="0" t="n">
        <f aca="false">VLOOKUP(B4970,'Babblefish-APUMA'!$A$1:$B$86,2)</f>
        <v>93</v>
      </c>
      <c r="F4970" s="0" t="n">
        <f aca="false">IF(C4970&gt;1,IF(C4970&lt;99,VLOOKUP(C4970,'Babblefish-APUMA'!$A$1:$B$86,2),C4970),C4970)</f>
        <v>92</v>
      </c>
    </row>
    <row r="4971" customFormat="false" ht="12.75" hidden="false" customHeight="false" outlineLevel="0" collapsed="false">
      <c r="A4971" s="0" t="n">
        <f aca="false">B4971*1000+C4971</f>
        <v>69044</v>
      </c>
      <c r="B4971" s="0" t="n">
        <v>69</v>
      </c>
      <c r="C4971" s="0" t="n">
        <v>44</v>
      </c>
      <c r="D4971" s="0" t="n">
        <v>559</v>
      </c>
      <c r="E4971" s="0" t="n">
        <f aca="false">VLOOKUP(B4971,'Babblefish-APUMA'!$A$1:$B$86,2)</f>
        <v>93</v>
      </c>
      <c r="F4971" s="0" t="n">
        <f aca="false">IF(C4971&gt;1,IF(C4971&lt;99,VLOOKUP(C4971,'Babblefish-APUMA'!$A$1:$B$86,2),C4971),C4971)</f>
        <v>92</v>
      </c>
    </row>
    <row r="4972" customFormat="false" ht="12.75" hidden="false" customHeight="false" outlineLevel="0" collapsed="false">
      <c r="A4972" s="0" t="n">
        <f aca="false">B4972*1000+C4972</f>
        <v>69045</v>
      </c>
      <c r="B4972" s="0" t="n">
        <v>69</v>
      </c>
      <c r="C4972" s="0" t="n">
        <v>45</v>
      </c>
      <c r="D4972" s="0" t="n">
        <v>897</v>
      </c>
      <c r="E4972" s="0" t="n">
        <f aca="false">VLOOKUP(B4972,'Babblefish-APUMA'!$A$1:$B$86,2)</f>
        <v>93</v>
      </c>
      <c r="F4972" s="0" t="n">
        <f aca="false">IF(C4972&gt;1,IF(C4972&lt;99,VLOOKUP(C4972,'Babblefish-APUMA'!$A$1:$B$86,2),C4972),C4972)</f>
        <v>92</v>
      </c>
    </row>
    <row r="4973" customFormat="false" ht="12.75" hidden="false" customHeight="false" outlineLevel="0" collapsed="false">
      <c r="A4973" s="0" t="n">
        <f aca="false">B4973*1000+C4973</f>
        <v>69046</v>
      </c>
      <c r="B4973" s="0" t="n">
        <v>69</v>
      </c>
      <c r="C4973" s="0" t="n">
        <v>46</v>
      </c>
      <c r="D4973" s="0" t="n">
        <v>1131</v>
      </c>
      <c r="E4973" s="0" t="n">
        <f aca="false">VLOOKUP(B4973,'Babblefish-APUMA'!$A$1:$B$86,2)</f>
        <v>93</v>
      </c>
      <c r="F4973" s="0" t="n">
        <f aca="false">IF(C4973&gt;1,IF(C4973&lt;99,VLOOKUP(C4973,'Babblefish-APUMA'!$A$1:$B$86,2),C4973),C4973)</f>
        <v>92</v>
      </c>
    </row>
    <row r="4974" customFormat="false" ht="12.75" hidden="false" customHeight="false" outlineLevel="0" collapsed="false">
      <c r="A4974" s="0" t="n">
        <f aca="false">B4974*1000+C4974</f>
        <v>69047</v>
      </c>
      <c r="B4974" s="0" t="n">
        <v>69</v>
      </c>
      <c r="C4974" s="0" t="n">
        <v>47</v>
      </c>
      <c r="D4974" s="0" t="n">
        <v>806</v>
      </c>
      <c r="E4974" s="0" t="n">
        <f aca="false">VLOOKUP(B4974,'Babblefish-APUMA'!$A$1:$B$86,2)</f>
        <v>93</v>
      </c>
      <c r="F4974" s="0" t="n">
        <f aca="false">IF(C4974&gt;1,IF(C4974&lt;99,VLOOKUP(C4974,'Babblefish-APUMA'!$A$1:$B$86,2),C4974),C4974)</f>
        <v>92</v>
      </c>
    </row>
    <row r="4975" customFormat="false" ht="12.75" hidden="false" customHeight="false" outlineLevel="0" collapsed="false">
      <c r="A4975" s="0" t="n">
        <f aca="false">B4975*1000+C4975</f>
        <v>69048</v>
      </c>
      <c r="B4975" s="0" t="n">
        <v>69</v>
      </c>
      <c r="C4975" s="0" t="n">
        <v>48</v>
      </c>
      <c r="D4975" s="0" t="n">
        <v>16822</v>
      </c>
      <c r="E4975" s="0" t="n">
        <f aca="false">VLOOKUP(B4975,'Babblefish-APUMA'!$A$1:$B$86,2)</f>
        <v>93</v>
      </c>
      <c r="F4975" s="0" t="n">
        <f aca="false">IF(C4975&gt;1,IF(C4975&lt;99,VLOOKUP(C4975,'Babblefish-APUMA'!$A$1:$B$86,2),C4975),C4975)</f>
        <v>92</v>
      </c>
    </row>
    <row r="4976" customFormat="false" ht="12.75" hidden="false" customHeight="false" outlineLevel="0" collapsed="false">
      <c r="A4976" s="0" t="n">
        <f aca="false">B4976*1000+C4976</f>
        <v>69049</v>
      </c>
      <c r="B4976" s="0" t="n">
        <v>69</v>
      </c>
      <c r="C4976" s="0" t="n">
        <v>49</v>
      </c>
      <c r="D4976" s="0" t="n">
        <v>0</v>
      </c>
      <c r="E4976" s="0" t="n">
        <f aca="false">VLOOKUP(B4976,'Babblefish-APUMA'!$A$1:$B$86,2)</f>
        <v>93</v>
      </c>
      <c r="F4976" s="0" t="n">
        <f aca="false">IF(C4976&gt;1,IF(C4976&lt;99,VLOOKUP(C4976,'Babblefish-APUMA'!$A$1:$B$86,2),C4976),C4976)</f>
        <v>98</v>
      </c>
    </row>
    <row r="4977" customFormat="false" ht="12.75" hidden="false" customHeight="false" outlineLevel="0" collapsed="false">
      <c r="A4977" s="0" t="n">
        <f aca="false">B4977*1000+C4977</f>
        <v>69050</v>
      </c>
      <c r="B4977" s="0" t="n">
        <v>69</v>
      </c>
      <c r="C4977" s="0" t="n">
        <v>50</v>
      </c>
      <c r="D4977" s="0" t="n">
        <v>0</v>
      </c>
      <c r="E4977" s="0" t="n">
        <f aca="false">VLOOKUP(B4977,'Babblefish-APUMA'!$A$1:$B$86,2)</f>
        <v>93</v>
      </c>
      <c r="F4977" s="0" t="n">
        <f aca="false">IF(C4977&gt;1,IF(C4977&lt;99,VLOOKUP(C4977,'Babblefish-APUMA'!$A$1:$B$86,2),C4977),C4977)</f>
        <v>98</v>
      </c>
    </row>
    <row r="4978" customFormat="false" ht="12.75" hidden="false" customHeight="false" outlineLevel="0" collapsed="false">
      <c r="A4978" s="0" t="n">
        <f aca="false">B4978*1000+C4978</f>
        <v>69051</v>
      </c>
      <c r="B4978" s="0" t="n">
        <v>69</v>
      </c>
      <c r="C4978" s="0" t="n">
        <v>51</v>
      </c>
      <c r="D4978" s="0" t="n">
        <v>0</v>
      </c>
      <c r="E4978" s="0" t="n">
        <f aca="false">VLOOKUP(B4978,'Babblefish-APUMA'!$A$1:$B$86,2)</f>
        <v>93</v>
      </c>
      <c r="F4978" s="0" t="n">
        <f aca="false">IF(C4978&gt;1,IF(C4978&lt;99,VLOOKUP(C4978,'Babblefish-APUMA'!$A$1:$B$86,2),C4978),C4978)</f>
        <v>98</v>
      </c>
    </row>
    <row r="4979" customFormat="false" ht="12.75" hidden="false" customHeight="false" outlineLevel="0" collapsed="false">
      <c r="A4979" s="0" t="n">
        <f aca="false">B4979*1000+C4979</f>
        <v>69052</v>
      </c>
      <c r="B4979" s="0" t="n">
        <v>69</v>
      </c>
      <c r="C4979" s="0" t="n">
        <v>52</v>
      </c>
      <c r="D4979" s="0" t="n">
        <v>247</v>
      </c>
      <c r="E4979" s="0" t="n">
        <f aca="false">VLOOKUP(B4979,'Babblefish-APUMA'!$A$1:$B$86,2)</f>
        <v>93</v>
      </c>
      <c r="F4979" s="0" t="n">
        <f aca="false">IF(C4979&gt;1,IF(C4979&lt;99,VLOOKUP(C4979,'Babblefish-APUMA'!$A$1:$B$86,2),C4979),C4979)</f>
        <v>90</v>
      </c>
    </row>
    <row r="4980" customFormat="false" ht="12.75" hidden="false" customHeight="false" outlineLevel="0" collapsed="false">
      <c r="A4980" s="0" t="n">
        <f aca="false">B4980*1000+C4980</f>
        <v>69053</v>
      </c>
      <c r="B4980" s="0" t="n">
        <v>69</v>
      </c>
      <c r="C4980" s="0" t="n">
        <v>53</v>
      </c>
      <c r="D4980" s="0" t="n">
        <v>520</v>
      </c>
      <c r="E4980" s="0" t="n">
        <f aca="false">VLOOKUP(B4980,'Babblefish-APUMA'!$A$1:$B$86,2)</f>
        <v>93</v>
      </c>
      <c r="F4980" s="0" t="n">
        <f aca="false">IF(C4980&gt;1,IF(C4980&lt;99,VLOOKUP(C4980,'Babblefish-APUMA'!$A$1:$B$86,2),C4980),C4980)</f>
        <v>90</v>
      </c>
    </row>
    <row r="4981" customFormat="false" ht="12.75" hidden="false" customHeight="false" outlineLevel="0" collapsed="false">
      <c r="A4981" s="0" t="n">
        <f aca="false">B4981*1000+C4981</f>
        <v>69054</v>
      </c>
      <c r="B4981" s="0" t="n">
        <v>69</v>
      </c>
      <c r="C4981" s="0" t="n">
        <v>54</v>
      </c>
      <c r="D4981" s="0" t="n">
        <v>0</v>
      </c>
      <c r="E4981" s="0" t="n">
        <f aca="false">VLOOKUP(B4981,'Babblefish-APUMA'!$A$1:$B$86,2)</f>
        <v>93</v>
      </c>
      <c r="F4981" s="0" t="n">
        <f aca="false">IF(C4981&gt;1,IF(C4981&lt;99,VLOOKUP(C4981,'Babblefish-APUMA'!$A$1:$B$86,2),C4981),C4981)</f>
        <v>90</v>
      </c>
    </row>
    <row r="4982" customFormat="false" ht="12.75" hidden="false" customHeight="false" outlineLevel="0" collapsed="false">
      <c r="A4982" s="0" t="n">
        <f aca="false">B4982*1000+C4982</f>
        <v>69055</v>
      </c>
      <c r="B4982" s="0" t="n">
        <v>69</v>
      </c>
      <c r="C4982" s="0" t="n">
        <v>55</v>
      </c>
      <c r="D4982" s="0" t="n">
        <v>182</v>
      </c>
      <c r="E4982" s="0" t="n">
        <f aca="false">VLOOKUP(B4982,'Babblefish-APUMA'!$A$1:$B$86,2)</f>
        <v>93</v>
      </c>
      <c r="F4982" s="0" t="n">
        <f aca="false">IF(C4982&gt;1,IF(C4982&lt;99,VLOOKUP(C4982,'Babblefish-APUMA'!$A$1:$B$86,2),C4982),C4982)</f>
        <v>90</v>
      </c>
    </row>
    <row r="4983" customFormat="false" ht="12.75" hidden="false" customHeight="false" outlineLevel="0" collapsed="false">
      <c r="A4983" s="0" t="n">
        <f aca="false">B4983*1000+C4983</f>
        <v>69056</v>
      </c>
      <c r="B4983" s="0" t="n">
        <v>69</v>
      </c>
      <c r="C4983" s="0" t="n">
        <v>56</v>
      </c>
      <c r="D4983" s="0" t="n">
        <v>65</v>
      </c>
      <c r="E4983" s="0" t="n">
        <f aca="false">VLOOKUP(B4983,'Babblefish-APUMA'!$A$1:$B$86,2)</f>
        <v>93</v>
      </c>
      <c r="F4983" s="0" t="n">
        <f aca="false">IF(C4983&gt;1,IF(C4983&lt;99,VLOOKUP(C4983,'Babblefish-APUMA'!$A$1:$B$86,2),C4983),C4983)</f>
        <v>90</v>
      </c>
    </row>
    <row r="4984" customFormat="false" ht="12.75" hidden="false" customHeight="false" outlineLevel="0" collapsed="false">
      <c r="A4984" s="0" t="n">
        <f aca="false">B4984*1000+C4984</f>
        <v>69057</v>
      </c>
      <c r="B4984" s="0" t="n">
        <v>69</v>
      </c>
      <c r="C4984" s="0" t="n">
        <v>57</v>
      </c>
      <c r="D4984" s="0" t="n">
        <v>481</v>
      </c>
      <c r="E4984" s="0" t="n">
        <f aca="false">VLOOKUP(B4984,'Babblefish-APUMA'!$A$1:$B$86,2)</f>
        <v>93</v>
      </c>
      <c r="F4984" s="0" t="n">
        <f aca="false">IF(C4984&gt;1,IF(C4984&lt;99,VLOOKUP(C4984,'Babblefish-APUMA'!$A$1:$B$86,2),C4984),C4984)</f>
        <v>90</v>
      </c>
    </row>
    <row r="4985" customFormat="false" ht="12.75" hidden="false" customHeight="false" outlineLevel="0" collapsed="false">
      <c r="A4985" s="0" t="n">
        <f aca="false">B4985*1000+C4985</f>
        <v>69058</v>
      </c>
      <c r="B4985" s="0" t="n">
        <v>69</v>
      </c>
      <c r="C4985" s="0" t="n">
        <v>58</v>
      </c>
      <c r="D4985" s="0" t="n">
        <v>247</v>
      </c>
      <c r="E4985" s="0" t="n">
        <f aca="false">VLOOKUP(B4985,'Babblefish-APUMA'!$A$1:$B$86,2)</f>
        <v>93</v>
      </c>
      <c r="F4985" s="0" t="n">
        <f aca="false">IF(C4985&gt;1,IF(C4985&lt;99,VLOOKUP(C4985,'Babblefish-APUMA'!$A$1:$B$86,2),C4985),C4985)</f>
        <v>90</v>
      </c>
    </row>
    <row r="4986" customFormat="false" ht="12.75" hidden="false" customHeight="false" outlineLevel="0" collapsed="false">
      <c r="A4986" s="0" t="n">
        <f aca="false">B4986*1000+C4986</f>
        <v>69059</v>
      </c>
      <c r="B4986" s="0" t="n">
        <v>69</v>
      </c>
      <c r="C4986" s="0" t="n">
        <v>59</v>
      </c>
      <c r="D4986" s="0" t="n">
        <v>1469</v>
      </c>
      <c r="E4986" s="0" t="n">
        <f aca="false">VLOOKUP(B4986,'Babblefish-APUMA'!$A$1:$B$86,2)</f>
        <v>93</v>
      </c>
      <c r="F4986" s="0" t="n">
        <f aca="false">IF(C4986&gt;1,IF(C4986&lt;99,VLOOKUP(C4986,'Babblefish-APUMA'!$A$1:$B$86,2),C4986),C4986)</f>
        <v>90</v>
      </c>
    </row>
    <row r="4987" customFormat="false" ht="12.75" hidden="false" customHeight="false" outlineLevel="0" collapsed="false">
      <c r="A4987" s="0" t="n">
        <f aca="false">B4987*1000+C4987</f>
        <v>69060</v>
      </c>
      <c r="B4987" s="0" t="n">
        <v>69</v>
      </c>
      <c r="C4987" s="0" t="n">
        <v>60</v>
      </c>
      <c r="D4987" s="0" t="n">
        <v>728</v>
      </c>
      <c r="E4987" s="0" t="n">
        <f aca="false">VLOOKUP(B4987,'Babblefish-APUMA'!$A$1:$B$86,2)</f>
        <v>93</v>
      </c>
      <c r="F4987" s="0" t="n">
        <f aca="false">IF(C4987&gt;1,IF(C4987&lt;99,VLOOKUP(C4987,'Babblefish-APUMA'!$A$1:$B$86,2),C4987),C4987)</f>
        <v>90</v>
      </c>
    </row>
    <row r="4988" customFormat="false" ht="12.75" hidden="false" customHeight="false" outlineLevel="0" collapsed="false">
      <c r="A4988" s="0" t="n">
        <f aca="false">B4988*1000+C4988</f>
        <v>69061</v>
      </c>
      <c r="B4988" s="0" t="n">
        <v>69</v>
      </c>
      <c r="C4988" s="0" t="n">
        <v>61</v>
      </c>
      <c r="D4988" s="0" t="n">
        <v>143</v>
      </c>
      <c r="E4988" s="0" t="n">
        <f aca="false">VLOOKUP(B4988,'Babblefish-APUMA'!$A$1:$B$86,2)</f>
        <v>93</v>
      </c>
      <c r="F4988" s="0" t="n">
        <f aca="false">IF(C4988&gt;1,IF(C4988&lt;99,VLOOKUP(C4988,'Babblefish-APUMA'!$A$1:$B$86,2),C4988),C4988)</f>
        <v>90</v>
      </c>
    </row>
    <row r="4989" customFormat="false" ht="12.75" hidden="false" customHeight="false" outlineLevel="0" collapsed="false">
      <c r="A4989" s="0" t="n">
        <f aca="false">B4989*1000+C4989</f>
        <v>69062</v>
      </c>
      <c r="B4989" s="0" t="n">
        <v>69</v>
      </c>
      <c r="C4989" s="0" t="n">
        <v>62</v>
      </c>
      <c r="D4989" s="0" t="n">
        <v>455</v>
      </c>
      <c r="E4989" s="0" t="n">
        <f aca="false">VLOOKUP(B4989,'Babblefish-APUMA'!$A$1:$B$86,2)</f>
        <v>93</v>
      </c>
      <c r="F4989" s="0" t="n">
        <f aca="false">IF(C4989&gt;1,IF(C4989&lt;99,VLOOKUP(C4989,'Babblefish-APUMA'!$A$1:$B$86,2),C4989),C4989)</f>
        <v>90</v>
      </c>
    </row>
    <row r="4990" customFormat="false" ht="12.75" hidden="false" customHeight="false" outlineLevel="0" collapsed="false">
      <c r="A4990" s="0" t="n">
        <f aca="false">B4990*1000+C4990</f>
        <v>69063</v>
      </c>
      <c r="B4990" s="0" t="n">
        <v>69</v>
      </c>
      <c r="C4990" s="0" t="n">
        <v>63</v>
      </c>
      <c r="D4990" s="0" t="n">
        <v>637</v>
      </c>
      <c r="E4990" s="0" t="n">
        <f aca="false">VLOOKUP(B4990,'Babblefish-APUMA'!$A$1:$B$86,2)</f>
        <v>93</v>
      </c>
      <c r="F4990" s="0" t="n">
        <f aca="false">IF(C4990&gt;1,IF(C4990&lt;99,VLOOKUP(C4990,'Babblefish-APUMA'!$A$1:$B$86,2),C4990),C4990)</f>
        <v>90</v>
      </c>
    </row>
    <row r="4991" customFormat="false" ht="12.75" hidden="false" customHeight="false" outlineLevel="0" collapsed="false">
      <c r="A4991" s="0" t="n">
        <f aca="false">B4991*1000+C4991</f>
        <v>69064</v>
      </c>
      <c r="B4991" s="0" t="n">
        <v>69</v>
      </c>
      <c r="C4991" s="0" t="n">
        <v>64</v>
      </c>
      <c r="D4991" s="0" t="n">
        <v>11141</v>
      </c>
      <c r="E4991" s="0" t="n">
        <f aca="false">VLOOKUP(B4991,'Babblefish-APUMA'!$A$1:$B$86,2)</f>
        <v>93</v>
      </c>
      <c r="F4991" s="0" t="n">
        <f aca="false">IF(C4991&gt;1,IF(C4991&lt;99,VLOOKUP(C4991,'Babblefish-APUMA'!$A$1:$B$86,2),C4991),C4991)</f>
        <v>90</v>
      </c>
    </row>
    <row r="4992" customFormat="false" ht="12.75" hidden="false" customHeight="false" outlineLevel="0" collapsed="false">
      <c r="A4992" s="0" t="n">
        <f aca="false">B4992*1000+C4992</f>
        <v>69065</v>
      </c>
      <c r="B4992" s="0" t="n">
        <v>69</v>
      </c>
      <c r="C4992" s="0" t="n">
        <v>65</v>
      </c>
      <c r="D4992" s="0" t="n">
        <v>4927</v>
      </c>
      <c r="E4992" s="0" t="n">
        <f aca="false">VLOOKUP(B4992,'Babblefish-APUMA'!$A$1:$B$86,2)</f>
        <v>93</v>
      </c>
      <c r="F4992" s="0" t="n">
        <f aca="false">IF(C4992&gt;1,IF(C4992&lt;99,VLOOKUP(C4992,'Babblefish-APUMA'!$A$1:$B$86,2),C4992),C4992)</f>
        <v>90</v>
      </c>
    </row>
    <row r="4993" customFormat="false" ht="12.75" hidden="false" customHeight="false" outlineLevel="0" collapsed="false">
      <c r="A4993" s="0" t="n">
        <f aca="false">B4993*1000+C4993</f>
        <v>69066</v>
      </c>
      <c r="B4993" s="0" t="n">
        <v>69</v>
      </c>
      <c r="C4993" s="0" t="n">
        <v>66</v>
      </c>
      <c r="D4993" s="0" t="n">
        <v>2496</v>
      </c>
      <c r="E4993" s="0" t="n">
        <f aca="false">VLOOKUP(B4993,'Babblefish-APUMA'!$A$1:$B$86,2)</f>
        <v>93</v>
      </c>
      <c r="F4993" s="0" t="n">
        <f aca="false">IF(C4993&gt;1,IF(C4993&lt;99,VLOOKUP(C4993,'Babblefish-APUMA'!$A$1:$B$86,2),C4993),C4993)</f>
        <v>90</v>
      </c>
    </row>
    <row r="4994" customFormat="false" ht="12.75" hidden="false" customHeight="false" outlineLevel="0" collapsed="false">
      <c r="A4994" s="0" t="n">
        <f aca="false">B4994*1000+C4994</f>
        <v>69067</v>
      </c>
      <c r="B4994" s="0" t="n">
        <v>69</v>
      </c>
      <c r="C4994" s="0" t="n">
        <v>67</v>
      </c>
      <c r="D4994" s="0" t="n">
        <v>117</v>
      </c>
      <c r="E4994" s="0" t="n">
        <f aca="false">VLOOKUP(B4994,'Babblefish-APUMA'!$A$1:$B$86,2)</f>
        <v>93</v>
      </c>
      <c r="F4994" s="0" t="n">
        <f aca="false">IF(C4994&gt;1,IF(C4994&lt;99,VLOOKUP(C4994,'Babblefish-APUMA'!$A$1:$B$86,2),C4994),C4994)</f>
        <v>103</v>
      </c>
    </row>
    <row r="4995" customFormat="false" ht="12.75" hidden="false" customHeight="false" outlineLevel="0" collapsed="false">
      <c r="A4995" s="0" t="n">
        <f aca="false">B4995*1000+C4995</f>
        <v>69068</v>
      </c>
      <c r="B4995" s="0" t="n">
        <v>69</v>
      </c>
      <c r="C4995" s="0" t="n">
        <v>68</v>
      </c>
      <c r="D4995" s="0" t="n">
        <v>3302</v>
      </c>
      <c r="E4995" s="0" t="n">
        <f aca="false">VLOOKUP(B4995,'Babblefish-APUMA'!$A$1:$B$86,2)</f>
        <v>93</v>
      </c>
      <c r="F4995" s="0" t="n">
        <f aca="false">IF(C4995&gt;1,IF(C4995&lt;99,VLOOKUP(C4995,'Babblefish-APUMA'!$A$1:$B$86,2),C4995),C4995)</f>
        <v>93</v>
      </c>
    </row>
    <row r="4996" customFormat="false" ht="12.75" hidden="false" customHeight="false" outlineLevel="0" collapsed="false">
      <c r="A4996" s="0" t="n">
        <f aca="false">B4996*1000+C4996</f>
        <v>69069</v>
      </c>
      <c r="B4996" s="0" t="n">
        <v>69</v>
      </c>
      <c r="C4996" s="0" t="n">
        <v>69</v>
      </c>
      <c r="D4996" s="0" t="n">
        <v>216515</v>
      </c>
      <c r="E4996" s="0" t="n">
        <f aca="false">VLOOKUP(B4996,'Babblefish-APUMA'!$A$1:$B$86,2)</f>
        <v>93</v>
      </c>
      <c r="F4996" s="0" t="n">
        <f aca="false">IF(C4996&gt;1,IF(C4996&lt;99,VLOOKUP(C4996,'Babblefish-APUMA'!$A$1:$B$86,2),C4996),C4996)</f>
        <v>93</v>
      </c>
    </row>
    <row r="4997" customFormat="false" ht="12.75" hidden="false" customHeight="false" outlineLevel="0" collapsed="false">
      <c r="A4997" s="0" t="n">
        <f aca="false">B4997*1000+C4997</f>
        <v>69070</v>
      </c>
      <c r="B4997" s="0" t="n">
        <v>69</v>
      </c>
      <c r="C4997" s="0" t="n">
        <v>70</v>
      </c>
      <c r="D4997" s="0" t="n">
        <v>1287</v>
      </c>
      <c r="E4997" s="0" t="n">
        <f aca="false">VLOOKUP(B4997,'Babblefish-APUMA'!$A$1:$B$86,2)</f>
        <v>93</v>
      </c>
      <c r="F4997" s="0" t="n">
        <f aca="false">IF(C4997&gt;1,IF(C4997&lt;99,VLOOKUP(C4997,'Babblefish-APUMA'!$A$1:$B$86,2),C4997),C4997)</f>
        <v>95</v>
      </c>
    </row>
    <row r="4998" customFormat="false" ht="12.75" hidden="false" customHeight="false" outlineLevel="0" collapsed="false">
      <c r="A4998" s="0" t="n">
        <f aca="false">B4998*1000+C4998</f>
        <v>69071</v>
      </c>
      <c r="B4998" s="0" t="n">
        <v>69</v>
      </c>
      <c r="C4998" s="0" t="n">
        <v>71</v>
      </c>
      <c r="D4998" s="0" t="n">
        <v>3172</v>
      </c>
      <c r="E4998" s="0" t="n">
        <f aca="false">VLOOKUP(B4998,'Babblefish-APUMA'!$A$1:$B$86,2)</f>
        <v>93</v>
      </c>
      <c r="F4998" s="0" t="n">
        <f aca="false">IF(C4998&gt;1,IF(C4998&lt;99,VLOOKUP(C4998,'Babblefish-APUMA'!$A$1:$B$86,2),C4998),C4998)</f>
        <v>95</v>
      </c>
    </row>
    <row r="4999" customFormat="false" ht="12.75" hidden="false" customHeight="false" outlineLevel="0" collapsed="false">
      <c r="A4999" s="0" t="n">
        <f aca="false">B4999*1000+C4999</f>
        <v>69072</v>
      </c>
      <c r="B4999" s="0" t="n">
        <v>69</v>
      </c>
      <c r="C4999" s="0" t="n">
        <v>72</v>
      </c>
      <c r="D4999" s="0" t="n">
        <v>12818</v>
      </c>
      <c r="E4999" s="0" t="n">
        <f aca="false">VLOOKUP(B4999,'Babblefish-APUMA'!$A$1:$B$86,2)</f>
        <v>93</v>
      </c>
      <c r="F4999" s="0" t="n">
        <f aca="false">IF(C4999&gt;1,IF(C4999&lt;99,VLOOKUP(C4999,'Babblefish-APUMA'!$A$1:$B$86,2),C4999),C4999)</f>
        <v>95</v>
      </c>
    </row>
    <row r="5000" customFormat="false" ht="12.75" hidden="false" customHeight="false" outlineLevel="0" collapsed="false">
      <c r="A5000" s="0" t="n">
        <f aca="false">B5000*1000+C5000</f>
        <v>69073</v>
      </c>
      <c r="B5000" s="0" t="n">
        <v>69</v>
      </c>
      <c r="C5000" s="0" t="n">
        <v>73</v>
      </c>
      <c r="D5000" s="0" t="n">
        <v>0</v>
      </c>
      <c r="E5000" s="0" t="n">
        <f aca="false">VLOOKUP(B5000,'Babblefish-APUMA'!$A$1:$B$86,2)</f>
        <v>93</v>
      </c>
      <c r="F5000" s="0" t="n">
        <f aca="false">IF(C5000&gt;1,IF(C5000&lt;99,VLOOKUP(C5000,'Babblefish-APUMA'!$A$1:$B$86,2),C5000),C5000)</f>
        <v>99</v>
      </c>
    </row>
    <row r="5001" customFormat="false" ht="12.75" hidden="false" customHeight="false" outlineLevel="0" collapsed="false">
      <c r="A5001" s="0" t="n">
        <f aca="false">B5001*1000+C5001</f>
        <v>69075</v>
      </c>
      <c r="B5001" s="0" t="n">
        <v>69</v>
      </c>
      <c r="C5001" s="0" t="n">
        <v>75</v>
      </c>
      <c r="D5001" s="0" t="n">
        <v>0</v>
      </c>
      <c r="E5001" s="0" t="n">
        <f aca="false">VLOOKUP(B5001,'Babblefish-APUMA'!$A$1:$B$86,2)</f>
        <v>93</v>
      </c>
      <c r="F5001" s="0" t="n">
        <f aca="false">IF(C5001&gt;1,IF(C5001&lt;99,VLOOKUP(C5001,'Babblefish-APUMA'!$A$1:$B$86,2),C5001),C5001)</f>
        <v>75</v>
      </c>
    </row>
    <row r="5002" customFormat="false" ht="12.75" hidden="false" customHeight="false" outlineLevel="0" collapsed="false">
      <c r="A5002" s="0" t="n">
        <f aca="false">B5002*1000+C5002</f>
        <v>69076</v>
      </c>
      <c r="B5002" s="0" t="n">
        <v>69</v>
      </c>
      <c r="C5002" s="0" t="n">
        <v>76</v>
      </c>
      <c r="D5002" s="0" t="n">
        <v>104</v>
      </c>
      <c r="E5002" s="0" t="n">
        <f aca="false">VLOOKUP(B5002,'Babblefish-APUMA'!$A$1:$B$86,2)</f>
        <v>93</v>
      </c>
      <c r="F5002" s="0" t="n">
        <f aca="false">IF(C5002&gt;1,IF(C5002&lt;99,VLOOKUP(C5002,'Babblefish-APUMA'!$A$1:$B$86,2),C5002),C5002)</f>
        <v>76</v>
      </c>
    </row>
    <row r="5003" customFormat="false" ht="12.75" hidden="false" customHeight="false" outlineLevel="0" collapsed="false">
      <c r="A5003" s="0" t="n">
        <f aca="false">B5003*1000+C5003</f>
        <v>69077</v>
      </c>
      <c r="B5003" s="0" t="n">
        <v>69</v>
      </c>
      <c r="C5003" s="0" t="n">
        <v>77</v>
      </c>
      <c r="D5003" s="0" t="n">
        <v>143</v>
      </c>
      <c r="E5003" s="0" t="n">
        <f aca="false">VLOOKUP(B5003,'Babblefish-APUMA'!$A$1:$B$86,2)</f>
        <v>93</v>
      </c>
      <c r="F5003" s="0" t="n">
        <f aca="false">IF(C5003&gt;1,IF(C5003&lt;99,VLOOKUP(C5003,'Babblefish-APUMA'!$A$1:$B$86,2),C5003),C5003)</f>
        <v>77</v>
      </c>
    </row>
    <row r="5004" customFormat="false" ht="12.75" hidden="false" customHeight="false" outlineLevel="0" collapsed="false">
      <c r="A5004" s="0" t="n">
        <f aca="false">B5004*1000+C5004</f>
        <v>69078</v>
      </c>
      <c r="B5004" s="0" t="n">
        <v>69</v>
      </c>
      <c r="C5004" s="0" t="n">
        <v>78</v>
      </c>
      <c r="D5004" s="0" t="n">
        <v>0</v>
      </c>
      <c r="E5004" s="0" t="n">
        <f aca="false">VLOOKUP(B5004,'Babblefish-APUMA'!$A$1:$B$86,2)</f>
        <v>93</v>
      </c>
      <c r="F5004" s="0" t="n">
        <f aca="false">IF(C5004&gt;1,IF(C5004&lt;99,VLOOKUP(C5004,'Babblefish-APUMA'!$A$1:$B$86,2),C5004),C5004)</f>
        <v>89</v>
      </c>
    </row>
    <row r="5005" customFormat="false" ht="12.75" hidden="false" customHeight="false" outlineLevel="0" collapsed="false">
      <c r="A5005" s="0" t="n">
        <f aca="false">B5005*1000+C5005</f>
        <v>69079</v>
      </c>
      <c r="B5005" s="0" t="n">
        <v>69</v>
      </c>
      <c r="C5005" s="0" t="n">
        <v>79</v>
      </c>
      <c r="D5005" s="0" t="n">
        <v>0</v>
      </c>
      <c r="E5005" s="0" t="n">
        <f aca="false">VLOOKUP(B5005,'Babblefish-APUMA'!$A$1:$B$86,2)</f>
        <v>93</v>
      </c>
      <c r="F5005" s="0" t="n">
        <f aca="false">IF(C5005&gt;1,IF(C5005&lt;99,VLOOKUP(C5005,'Babblefish-APUMA'!$A$1:$B$86,2),C5005),C5005)</f>
        <v>89</v>
      </c>
    </row>
    <row r="5006" customFormat="false" ht="12.75" hidden="false" customHeight="false" outlineLevel="0" collapsed="false">
      <c r="A5006" s="0" t="n">
        <f aca="false">B5006*1000+C5006</f>
        <v>69080</v>
      </c>
      <c r="B5006" s="0" t="n">
        <v>69</v>
      </c>
      <c r="C5006" s="0" t="n">
        <v>80</v>
      </c>
      <c r="D5006" s="0" t="n">
        <v>104</v>
      </c>
      <c r="E5006" s="0" t="n">
        <f aca="false">VLOOKUP(B5006,'Babblefish-APUMA'!$A$1:$B$86,2)</f>
        <v>93</v>
      </c>
      <c r="F5006" s="0" t="n">
        <f aca="false">IF(C5006&gt;1,IF(C5006&lt;99,VLOOKUP(C5006,'Babblefish-APUMA'!$A$1:$B$86,2),C5006),C5006)</f>
        <v>80</v>
      </c>
    </row>
    <row r="5007" customFormat="false" ht="12.75" hidden="false" customHeight="false" outlineLevel="0" collapsed="false">
      <c r="A5007" s="0" t="n">
        <f aca="false">B5007*1000+C5007</f>
        <v>69081</v>
      </c>
      <c r="B5007" s="0" t="n">
        <v>69</v>
      </c>
      <c r="C5007" s="0" t="n">
        <v>81</v>
      </c>
      <c r="D5007" s="0" t="n">
        <v>23660</v>
      </c>
      <c r="E5007" s="0" t="n">
        <f aca="false">VLOOKUP(B5007,'Babblefish-APUMA'!$A$1:$B$86,2)</f>
        <v>93</v>
      </c>
      <c r="F5007" s="0" t="n">
        <f aca="false">IF(C5007&gt;1,IF(C5007&lt;99,VLOOKUP(C5007,'Babblefish-APUMA'!$A$1:$B$86,2),C5007),C5007)</f>
        <v>93</v>
      </c>
    </row>
    <row r="5008" customFormat="false" ht="12.75" hidden="false" customHeight="false" outlineLevel="0" collapsed="false">
      <c r="A5008" s="0" t="n">
        <f aca="false">B5008*1000+C5008</f>
        <v>69082</v>
      </c>
      <c r="B5008" s="0" t="n">
        <v>69</v>
      </c>
      <c r="C5008" s="0" t="n">
        <v>82</v>
      </c>
      <c r="D5008" s="0" t="n">
        <v>4095</v>
      </c>
      <c r="E5008" s="0" t="n">
        <f aca="false">VLOOKUP(B5008,'Babblefish-APUMA'!$A$1:$B$86,2)</f>
        <v>93</v>
      </c>
      <c r="F5008" s="0" t="n">
        <f aca="false">IF(C5008&gt;1,IF(C5008&lt;99,VLOOKUP(C5008,'Babblefish-APUMA'!$A$1:$B$86,2),C5008),C5008)</f>
        <v>95</v>
      </c>
    </row>
    <row r="5009" customFormat="false" ht="12.75" hidden="false" customHeight="false" outlineLevel="0" collapsed="false">
      <c r="A5009" s="0" t="n">
        <f aca="false">B5009*1000+C5009</f>
        <v>69083</v>
      </c>
      <c r="B5009" s="0" t="n">
        <v>69</v>
      </c>
      <c r="C5009" s="0" t="n">
        <v>83</v>
      </c>
      <c r="D5009" s="0" t="n">
        <v>0</v>
      </c>
      <c r="E5009" s="0" t="n">
        <f aca="false">VLOOKUP(B5009,'Babblefish-APUMA'!$A$1:$B$86,2)</f>
        <v>93</v>
      </c>
      <c r="F5009" s="0" t="n">
        <f aca="false">IF(C5009&gt;1,IF(C5009&lt;99,VLOOKUP(C5009,'Babblefish-APUMA'!$A$1:$B$86,2),C5009),C5009)</f>
        <v>103</v>
      </c>
    </row>
    <row r="5010" customFormat="false" ht="12.75" hidden="false" customHeight="false" outlineLevel="0" collapsed="false">
      <c r="A5010" s="0" t="n">
        <f aca="false">B5010*1000+C5010</f>
        <v>69084</v>
      </c>
      <c r="B5010" s="0" t="n">
        <v>69</v>
      </c>
      <c r="C5010" s="0" t="n">
        <v>84</v>
      </c>
      <c r="D5010" s="0" t="n">
        <v>8879</v>
      </c>
      <c r="E5010" s="0" t="n">
        <f aca="false">VLOOKUP(B5010,'Babblefish-APUMA'!$A$1:$B$86,2)</f>
        <v>93</v>
      </c>
      <c r="F5010" s="0" t="n">
        <f aca="false">IF(C5010&gt;1,IF(C5010&lt;99,VLOOKUP(C5010,'Babblefish-APUMA'!$A$1:$B$86,2),C5010),C5010)</f>
        <v>92</v>
      </c>
    </row>
    <row r="5011" customFormat="false" ht="12.75" hidden="false" customHeight="false" outlineLevel="0" collapsed="false">
      <c r="A5011" s="0" t="n">
        <f aca="false">B5011*1000+C5011</f>
        <v>69085</v>
      </c>
      <c r="B5011" s="0" t="n">
        <v>69</v>
      </c>
      <c r="C5011" s="0" t="n">
        <v>85</v>
      </c>
      <c r="D5011" s="0" t="n">
        <v>0</v>
      </c>
      <c r="E5011" s="0" t="n">
        <f aca="false">VLOOKUP(B5011,'Babblefish-APUMA'!$A$1:$B$86,2)</f>
        <v>93</v>
      </c>
      <c r="F5011" s="0" t="n">
        <f aca="false">IF(C5011&gt;1,IF(C5011&lt;99,VLOOKUP(C5011,'Babblefish-APUMA'!$A$1:$B$86,2),C5011),C5011)</f>
        <v>97</v>
      </c>
    </row>
    <row r="5012" customFormat="false" ht="12.75" hidden="false" customHeight="false" outlineLevel="0" collapsed="false">
      <c r="A5012" s="0" t="n">
        <f aca="false">B5012*1000+C5012</f>
        <v>69858</v>
      </c>
      <c r="B5012" s="0" t="n">
        <v>69</v>
      </c>
      <c r="C5012" s="0" t="n">
        <v>858</v>
      </c>
      <c r="D5012" s="0" t="n">
        <v>0</v>
      </c>
      <c r="E5012" s="0" t="n">
        <f aca="false">VLOOKUP(B5012,'Babblefish-APUMA'!$A$1:$B$86,2)</f>
        <v>93</v>
      </c>
      <c r="F5012" s="0" t="n">
        <f aca="false">IF(C5012&gt;1,IF(C5012&lt;99,VLOOKUP(C5012,'Babblefish-APUMA'!$A$1:$B$86,2),C5012),C5012)</f>
        <v>858</v>
      </c>
    </row>
    <row r="5013" customFormat="false" ht="12.75" hidden="false" customHeight="false" outlineLevel="0" collapsed="false">
      <c r="A5013" s="0" t="n">
        <f aca="false">B5013*1000+C5013</f>
        <v>69983</v>
      </c>
      <c r="B5013" s="0" t="n">
        <v>69</v>
      </c>
      <c r="C5013" s="0" t="n">
        <v>983</v>
      </c>
      <c r="D5013" s="0" t="n">
        <v>0</v>
      </c>
      <c r="E5013" s="0" t="n">
        <f aca="false">VLOOKUP(B5013,'Babblefish-APUMA'!$A$1:$B$86,2)</f>
        <v>93</v>
      </c>
      <c r="F5013" s="0" t="n">
        <f aca="false">IF(C5013&gt;1,IF(C5013&lt;99,VLOOKUP(C5013,'Babblefish-APUMA'!$A$1:$B$86,2),C5013),C5013)</f>
        <v>983</v>
      </c>
    </row>
    <row r="5014" customFormat="false" ht="12.75" hidden="false" customHeight="false" outlineLevel="0" collapsed="false">
      <c r="A5014" s="0" t="n">
        <f aca="false">B5014*1000+C5014</f>
        <v>69999</v>
      </c>
      <c r="B5014" s="0" t="n">
        <v>69</v>
      </c>
      <c r="C5014" s="0" t="n">
        <v>999</v>
      </c>
      <c r="D5014" s="0" t="n">
        <v>0</v>
      </c>
      <c r="E5014" s="0" t="n">
        <f aca="false">VLOOKUP(B5014,'Babblefish-APUMA'!$A$1:$B$86,2)</f>
        <v>93</v>
      </c>
      <c r="F5014" s="0" t="n">
        <f aca="false">IF(C5014&gt;1,IF(C5014&lt;99,VLOOKUP(C5014,'Babblefish-APUMA'!$A$1:$B$86,2),C5014),C5014)</f>
        <v>999</v>
      </c>
    </row>
    <row r="5015" customFormat="false" ht="12.75" hidden="false" customHeight="false" outlineLevel="0" collapsed="false">
      <c r="A5015" s="0" t="n">
        <f aca="false">B5015*1000+C5015</f>
        <v>70000</v>
      </c>
      <c r="B5015" s="0" t="n">
        <v>70</v>
      </c>
      <c r="C5015" s="0" t="n">
        <v>0</v>
      </c>
      <c r="D5015" s="0" t="n">
        <v>52624</v>
      </c>
      <c r="E5015" s="0" t="n">
        <f aca="false">VLOOKUP(B5015,'Babblefish-APUMA'!$A$1:$B$86,2)</f>
        <v>95</v>
      </c>
      <c r="F5015" s="0" t="n">
        <f aca="false">IF(C5015&gt;1,IF(C5015&lt;99,VLOOKUP(C5015,'Babblefish-APUMA'!$A$1:$B$86,2),C5015),C5015)</f>
        <v>0</v>
      </c>
    </row>
    <row r="5016" customFormat="false" ht="12.75" hidden="false" customHeight="false" outlineLevel="0" collapsed="false">
      <c r="A5016" s="0" t="n">
        <f aca="false">B5016*1000+C5016</f>
        <v>70001</v>
      </c>
      <c r="B5016" s="0" t="n">
        <v>70</v>
      </c>
      <c r="C5016" s="0" t="n">
        <v>1</v>
      </c>
      <c r="D5016" s="0" t="n">
        <v>0</v>
      </c>
      <c r="E5016" s="0" t="n">
        <f aca="false">VLOOKUP(B5016,'Babblefish-APUMA'!$A$1:$B$86,2)</f>
        <v>95</v>
      </c>
      <c r="F5016" s="0" t="n">
        <f aca="false">IF(C5016&gt;1,IF(C5016&lt;99,VLOOKUP(C5016,'Babblefish-APUMA'!$A$1:$B$86,2),C5016),C5016)</f>
        <v>1</v>
      </c>
    </row>
    <row r="5017" customFormat="false" ht="12.75" hidden="false" customHeight="false" outlineLevel="0" collapsed="false">
      <c r="A5017" s="0" t="n">
        <f aca="false">B5017*1000+C5017</f>
        <v>70002</v>
      </c>
      <c r="B5017" s="0" t="n">
        <v>70</v>
      </c>
      <c r="C5017" s="0" t="n">
        <v>2</v>
      </c>
      <c r="D5017" s="0" t="n">
        <v>104</v>
      </c>
      <c r="E5017" s="0" t="n">
        <f aca="false">VLOOKUP(B5017,'Babblefish-APUMA'!$A$1:$B$86,2)</f>
        <v>95</v>
      </c>
      <c r="F5017" s="0" t="n">
        <f aca="false">IF(C5017&gt;1,IF(C5017&lt;99,VLOOKUP(C5017,'Babblefish-APUMA'!$A$1:$B$86,2),C5017),C5017)</f>
        <v>2</v>
      </c>
    </row>
    <row r="5018" customFormat="false" ht="12.75" hidden="false" customHeight="false" outlineLevel="0" collapsed="false">
      <c r="A5018" s="0" t="n">
        <f aca="false">B5018*1000+C5018</f>
        <v>70003</v>
      </c>
      <c r="B5018" s="0" t="n">
        <v>70</v>
      </c>
      <c r="C5018" s="0" t="n">
        <v>3</v>
      </c>
      <c r="D5018" s="0" t="n">
        <v>117</v>
      </c>
      <c r="E5018" s="0" t="n">
        <f aca="false">VLOOKUP(B5018,'Babblefish-APUMA'!$A$1:$B$86,2)</f>
        <v>95</v>
      </c>
      <c r="F5018" s="0" t="n">
        <f aca="false">IF(C5018&gt;1,IF(C5018&lt;99,VLOOKUP(C5018,'Babblefish-APUMA'!$A$1:$B$86,2),C5018),C5018)</f>
        <v>3</v>
      </c>
    </row>
    <row r="5019" customFormat="false" ht="12.75" hidden="false" customHeight="false" outlineLevel="0" collapsed="false">
      <c r="A5019" s="0" t="n">
        <f aca="false">B5019*1000+C5019</f>
        <v>70004</v>
      </c>
      <c r="B5019" s="0" t="n">
        <v>70</v>
      </c>
      <c r="C5019" s="0" t="n">
        <v>4</v>
      </c>
      <c r="D5019" s="0" t="n">
        <v>0</v>
      </c>
      <c r="E5019" s="0" t="n">
        <f aca="false">VLOOKUP(B5019,'Babblefish-APUMA'!$A$1:$B$86,2)</f>
        <v>95</v>
      </c>
      <c r="F5019" s="0" t="n">
        <f aca="false">IF(C5019&gt;1,IF(C5019&lt;99,VLOOKUP(C5019,'Babblefish-APUMA'!$A$1:$B$86,2),C5019),C5019)</f>
        <v>4</v>
      </c>
    </row>
    <row r="5020" customFormat="false" ht="12.75" hidden="false" customHeight="false" outlineLevel="0" collapsed="false">
      <c r="A5020" s="0" t="n">
        <f aca="false">B5020*1000+C5020</f>
        <v>70005</v>
      </c>
      <c r="B5020" s="0" t="n">
        <v>70</v>
      </c>
      <c r="C5020" s="0" t="n">
        <v>5</v>
      </c>
      <c r="D5020" s="0" t="n">
        <v>0</v>
      </c>
      <c r="E5020" s="0" t="n">
        <f aca="false">VLOOKUP(B5020,'Babblefish-APUMA'!$A$1:$B$86,2)</f>
        <v>95</v>
      </c>
      <c r="F5020" s="0" t="n">
        <f aca="false">IF(C5020&gt;1,IF(C5020&lt;99,VLOOKUP(C5020,'Babblefish-APUMA'!$A$1:$B$86,2),C5020),C5020)</f>
        <v>5</v>
      </c>
    </row>
    <row r="5021" customFormat="false" ht="12.75" hidden="false" customHeight="false" outlineLevel="0" collapsed="false">
      <c r="A5021" s="0" t="n">
        <f aca="false">B5021*1000+C5021</f>
        <v>70006</v>
      </c>
      <c r="B5021" s="0" t="n">
        <v>70</v>
      </c>
      <c r="C5021" s="0" t="n">
        <v>6</v>
      </c>
      <c r="D5021" s="0" t="n">
        <v>0</v>
      </c>
      <c r="E5021" s="0" t="n">
        <f aca="false">VLOOKUP(B5021,'Babblefish-APUMA'!$A$1:$B$86,2)</f>
        <v>95</v>
      </c>
      <c r="F5021" s="0" t="n">
        <f aca="false">IF(C5021&gt;1,IF(C5021&lt;99,VLOOKUP(C5021,'Babblefish-APUMA'!$A$1:$B$86,2),C5021),C5021)</f>
        <v>6</v>
      </c>
    </row>
    <row r="5022" customFormat="false" ht="12.75" hidden="false" customHeight="false" outlineLevel="0" collapsed="false">
      <c r="A5022" s="0" t="n">
        <f aca="false">B5022*1000+C5022</f>
        <v>70007</v>
      </c>
      <c r="B5022" s="0" t="n">
        <v>70</v>
      </c>
      <c r="C5022" s="0" t="n">
        <v>7</v>
      </c>
      <c r="D5022" s="0" t="n">
        <v>0</v>
      </c>
      <c r="E5022" s="0" t="n">
        <f aca="false">VLOOKUP(B5022,'Babblefish-APUMA'!$A$1:$B$86,2)</f>
        <v>95</v>
      </c>
      <c r="F5022" s="0" t="n">
        <f aca="false">IF(C5022&gt;1,IF(C5022&lt;99,VLOOKUP(C5022,'Babblefish-APUMA'!$A$1:$B$86,2),C5022),C5022)</f>
        <v>7</v>
      </c>
    </row>
    <row r="5023" customFormat="false" ht="12.75" hidden="false" customHeight="false" outlineLevel="0" collapsed="false">
      <c r="A5023" s="0" t="n">
        <f aca="false">B5023*1000+C5023</f>
        <v>70008</v>
      </c>
      <c r="B5023" s="0" t="n">
        <v>70</v>
      </c>
      <c r="C5023" s="0" t="n">
        <v>8</v>
      </c>
      <c r="D5023" s="0" t="n">
        <v>0</v>
      </c>
      <c r="E5023" s="0" t="n">
        <f aca="false">VLOOKUP(B5023,'Babblefish-APUMA'!$A$1:$B$86,2)</f>
        <v>95</v>
      </c>
      <c r="F5023" s="0" t="n">
        <f aca="false">IF(C5023&gt;1,IF(C5023&lt;99,VLOOKUP(C5023,'Babblefish-APUMA'!$A$1:$B$86,2),C5023),C5023)</f>
        <v>8</v>
      </c>
    </row>
    <row r="5024" customFormat="false" ht="12.75" hidden="false" customHeight="false" outlineLevel="0" collapsed="false">
      <c r="A5024" s="0" t="n">
        <f aca="false">B5024*1000+C5024</f>
        <v>70009</v>
      </c>
      <c r="B5024" s="0" t="n">
        <v>70</v>
      </c>
      <c r="C5024" s="0" t="n">
        <v>9</v>
      </c>
      <c r="D5024" s="0" t="n">
        <v>0</v>
      </c>
      <c r="E5024" s="0" t="n">
        <f aca="false">VLOOKUP(B5024,'Babblefish-APUMA'!$A$1:$B$86,2)</f>
        <v>95</v>
      </c>
      <c r="F5024" s="0" t="n">
        <f aca="false">IF(C5024&gt;1,IF(C5024&lt;99,VLOOKUP(C5024,'Babblefish-APUMA'!$A$1:$B$86,2),C5024),C5024)</f>
        <v>9</v>
      </c>
    </row>
    <row r="5025" customFormat="false" ht="12.75" hidden="false" customHeight="false" outlineLevel="0" collapsed="false">
      <c r="A5025" s="0" t="n">
        <f aca="false">B5025*1000+C5025</f>
        <v>70010</v>
      </c>
      <c r="B5025" s="0" t="n">
        <v>70</v>
      </c>
      <c r="C5025" s="0" t="n">
        <v>10</v>
      </c>
      <c r="D5025" s="0" t="n">
        <v>0</v>
      </c>
      <c r="E5025" s="0" t="n">
        <f aca="false">VLOOKUP(B5025,'Babblefish-APUMA'!$A$1:$B$86,2)</f>
        <v>95</v>
      </c>
      <c r="F5025" s="0" t="n">
        <f aca="false">IF(C5025&gt;1,IF(C5025&lt;99,VLOOKUP(C5025,'Babblefish-APUMA'!$A$1:$B$86,2),C5025),C5025)</f>
        <v>10</v>
      </c>
    </row>
    <row r="5026" customFormat="false" ht="12.75" hidden="false" customHeight="false" outlineLevel="0" collapsed="false">
      <c r="A5026" s="0" t="n">
        <f aca="false">B5026*1000+C5026</f>
        <v>70011</v>
      </c>
      <c r="B5026" s="0" t="n">
        <v>70</v>
      </c>
      <c r="C5026" s="0" t="n">
        <v>11</v>
      </c>
      <c r="D5026" s="0" t="n">
        <v>0</v>
      </c>
      <c r="E5026" s="0" t="n">
        <f aca="false">VLOOKUP(B5026,'Babblefish-APUMA'!$A$1:$B$86,2)</f>
        <v>95</v>
      </c>
      <c r="F5026" s="0" t="n">
        <f aca="false">IF(C5026&gt;1,IF(C5026&lt;99,VLOOKUP(C5026,'Babblefish-APUMA'!$A$1:$B$86,2),C5026),C5026)</f>
        <v>11</v>
      </c>
    </row>
    <row r="5027" customFormat="false" ht="12.75" hidden="false" customHeight="false" outlineLevel="0" collapsed="false">
      <c r="A5027" s="0" t="n">
        <f aca="false">B5027*1000+C5027</f>
        <v>70012</v>
      </c>
      <c r="B5027" s="0" t="n">
        <v>70</v>
      </c>
      <c r="C5027" s="0" t="n">
        <v>12</v>
      </c>
      <c r="D5027" s="0" t="n">
        <v>0</v>
      </c>
      <c r="E5027" s="0" t="n">
        <f aca="false">VLOOKUP(B5027,'Babblefish-APUMA'!$A$1:$B$86,2)</f>
        <v>95</v>
      </c>
      <c r="F5027" s="0" t="n">
        <f aca="false">IF(C5027&gt;1,IF(C5027&lt;99,VLOOKUP(C5027,'Babblefish-APUMA'!$A$1:$B$86,2),C5027),C5027)</f>
        <v>12</v>
      </c>
    </row>
    <row r="5028" customFormat="false" ht="12.75" hidden="false" customHeight="false" outlineLevel="0" collapsed="false">
      <c r="A5028" s="0" t="n">
        <f aca="false">B5028*1000+C5028</f>
        <v>70013</v>
      </c>
      <c r="B5028" s="0" t="n">
        <v>70</v>
      </c>
      <c r="C5028" s="0" t="n">
        <v>13</v>
      </c>
      <c r="D5028" s="0" t="n">
        <v>0</v>
      </c>
      <c r="E5028" s="0" t="n">
        <f aca="false">VLOOKUP(B5028,'Babblefish-APUMA'!$A$1:$B$86,2)</f>
        <v>95</v>
      </c>
      <c r="F5028" s="0" t="n">
        <f aca="false">IF(C5028&gt;1,IF(C5028&lt;99,VLOOKUP(C5028,'Babblefish-APUMA'!$A$1:$B$86,2),C5028),C5028)</f>
        <v>100</v>
      </c>
    </row>
    <row r="5029" customFormat="false" ht="12.75" hidden="false" customHeight="false" outlineLevel="0" collapsed="false">
      <c r="A5029" s="0" t="n">
        <f aca="false">B5029*1000+C5029</f>
        <v>70014</v>
      </c>
      <c r="B5029" s="0" t="n">
        <v>70</v>
      </c>
      <c r="C5029" s="0" t="n">
        <v>14</v>
      </c>
      <c r="D5029" s="0" t="n">
        <v>0</v>
      </c>
      <c r="E5029" s="0" t="n">
        <f aca="false">VLOOKUP(B5029,'Babblefish-APUMA'!$A$1:$B$86,2)</f>
        <v>95</v>
      </c>
      <c r="F5029" s="0" t="n">
        <f aca="false">IF(C5029&gt;1,IF(C5029&lt;99,VLOOKUP(C5029,'Babblefish-APUMA'!$A$1:$B$86,2),C5029),C5029)</f>
        <v>100</v>
      </c>
    </row>
    <row r="5030" customFormat="false" ht="12.75" hidden="false" customHeight="false" outlineLevel="0" collapsed="false">
      <c r="A5030" s="0" t="n">
        <f aca="false">B5030*1000+C5030</f>
        <v>70015</v>
      </c>
      <c r="B5030" s="0" t="n">
        <v>70</v>
      </c>
      <c r="C5030" s="0" t="n">
        <v>15</v>
      </c>
      <c r="D5030" s="0" t="n">
        <v>0</v>
      </c>
      <c r="E5030" s="0" t="n">
        <f aca="false">VLOOKUP(B5030,'Babblefish-APUMA'!$A$1:$B$86,2)</f>
        <v>95</v>
      </c>
      <c r="F5030" s="0" t="n">
        <f aca="false">IF(C5030&gt;1,IF(C5030&lt;99,VLOOKUP(C5030,'Babblefish-APUMA'!$A$1:$B$86,2),C5030),C5030)</f>
        <v>15</v>
      </c>
    </row>
    <row r="5031" customFormat="false" ht="12.75" hidden="false" customHeight="false" outlineLevel="0" collapsed="false">
      <c r="A5031" s="0" t="n">
        <f aca="false">B5031*1000+C5031</f>
        <v>70016</v>
      </c>
      <c r="B5031" s="0" t="n">
        <v>70</v>
      </c>
      <c r="C5031" s="0" t="n">
        <v>16</v>
      </c>
      <c r="D5031" s="0" t="n">
        <v>0</v>
      </c>
      <c r="E5031" s="0" t="n">
        <f aca="false">VLOOKUP(B5031,'Babblefish-APUMA'!$A$1:$B$86,2)</f>
        <v>95</v>
      </c>
      <c r="F5031" s="0" t="n">
        <f aca="false">IF(C5031&gt;1,IF(C5031&lt;99,VLOOKUP(C5031,'Babblefish-APUMA'!$A$1:$B$86,2),C5031),C5031)</f>
        <v>99</v>
      </c>
    </row>
    <row r="5032" customFormat="false" ht="12.75" hidden="false" customHeight="false" outlineLevel="0" collapsed="false">
      <c r="A5032" s="0" t="n">
        <f aca="false">B5032*1000+C5032</f>
        <v>70017</v>
      </c>
      <c r="B5032" s="0" t="n">
        <v>70</v>
      </c>
      <c r="C5032" s="0" t="n">
        <v>17</v>
      </c>
      <c r="D5032" s="0" t="n">
        <v>0</v>
      </c>
      <c r="E5032" s="0" t="n">
        <f aca="false">VLOOKUP(B5032,'Babblefish-APUMA'!$A$1:$B$86,2)</f>
        <v>95</v>
      </c>
      <c r="F5032" s="0" t="n">
        <f aca="false">IF(C5032&gt;1,IF(C5032&lt;99,VLOOKUP(C5032,'Babblefish-APUMA'!$A$1:$B$86,2),C5032),C5032)</f>
        <v>87</v>
      </c>
    </row>
    <row r="5033" customFormat="false" ht="12.75" hidden="false" customHeight="false" outlineLevel="0" collapsed="false">
      <c r="A5033" s="0" t="n">
        <f aca="false">B5033*1000+C5033</f>
        <v>70018</v>
      </c>
      <c r="B5033" s="0" t="n">
        <v>70</v>
      </c>
      <c r="C5033" s="0" t="n">
        <v>18</v>
      </c>
      <c r="D5033" s="0" t="n">
        <v>0</v>
      </c>
      <c r="E5033" s="0" t="n">
        <f aca="false">VLOOKUP(B5033,'Babblefish-APUMA'!$A$1:$B$86,2)</f>
        <v>95</v>
      </c>
      <c r="F5033" s="0" t="n">
        <f aca="false">IF(C5033&gt;1,IF(C5033&lt;99,VLOOKUP(C5033,'Babblefish-APUMA'!$A$1:$B$86,2),C5033),C5033)</f>
        <v>87</v>
      </c>
    </row>
    <row r="5034" customFormat="false" ht="12.75" hidden="false" customHeight="false" outlineLevel="0" collapsed="false">
      <c r="A5034" s="0" t="n">
        <f aca="false">B5034*1000+C5034</f>
        <v>70019</v>
      </c>
      <c r="B5034" s="0" t="n">
        <v>70</v>
      </c>
      <c r="C5034" s="0" t="n">
        <v>19</v>
      </c>
      <c r="D5034" s="0" t="n">
        <v>0</v>
      </c>
      <c r="E5034" s="0" t="n">
        <f aca="false">VLOOKUP(B5034,'Babblefish-APUMA'!$A$1:$B$86,2)</f>
        <v>95</v>
      </c>
      <c r="F5034" s="0" t="n">
        <f aca="false">IF(C5034&gt;1,IF(C5034&lt;99,VLOOKUP(C5034,'Babblefish-APUMA'!$A$1:$B$86,2),C5034),C5034)</f>
        <v>19</v>
      </c>
    </row>
    <row r="5035" customFormat="false" ht="12.75" hidden="false" customHeight="false" outlineLevel="0" collapsed="false">
      <c r="A5035" s="0" t="n">
        <f aca="false">B5035*1000+C5035</f>
        <v>70020</v>
      </c>
      <c r="B5035" s="0" t="n">
        <v>70</v>
      </c>
      <c r="C5035" s="0" t="n">
        <v>20</v>
      </c>
      <c r="D5035" s="0" t="n">
        <v>0</v>
      </c>
      <c r="E5035" s="0" t="n">
        <f aca="false">VLOOKUP(B5035,'Babblefish-APUMA'!$A$1:$B$86,2)</f>
        <v>95</v>
      </c>
      <c r="F5035" s="0" t="n">
        <f aca="false">IF(C5035&gt;1,IF(C5035&lt;99,VLOOKUP(C5035,'Babblefish-APUMA'!$A$1:$B$86,2),C5035),C5035)</f>
        <v>86</v>
      </c>
    </row>
    <row r="5036" customFormat="false" ht="12.75" hidden="false" customHeight="false" outlineLevel="0" collapsed="false">
      <c r="A5036" s="0" t="n">
        <f aca="false">B5036*1000+C5036</f>
        <v>70021</v>
      </c>
      <c r="B5036" s="0" t="n">
        <v>70</v>
      </c>
      <c r="C5036" s="0" t="n">
        <v>21</v>
      </c>
      <c r="D5036" s="0" t="n">
        <v>0</v>
      </c>
      <c r="E5036" s="0" t="n">
        <f aca="false">VLOOKUP(B5036,'Babblefish-APUMA'!$A$1:$B$86,2)</f>
        <v>95</v>
      </c>
      <c r="F5036" s="0" t="n">
        <f aca="false">IF(C5036&gt;1,IF(C5036&lt;99,VLOOKUP(C5036,'Babblefish-APUMA'!$A$1:$B$86,2),C5036),C5036)</f>
        <v>86</v>
      </c>
    </row>
    <row r="5037" customFormat="false" ht="12.75" hidden="false" customHeight="false" outlineLevel="0" collapsed="false">
      <c r="A5037" s="0" t="n">
        <f aca="false">B5037*1000+C5037</f>
        <v>70022</v>
      </c>
      <c r="B5037" s="0" t="n">
        <v>70</v>
      </c>
      <c r="C5037" s="0" t="n">
        <v>22</v>
      </c>
      <c r="D5037" s="0" t="n">
        <v>0</v>
      </c>
      <c r="E5037" s="0" t="n">
        <f aca="false">VLOOKUP(B5037,'Babblefish-APUMA'!$A$1:$B$86,2)</f>
        <v>95</v>
      </c>
      <c r="F5037" s="0" t="n">
        <f aca="false">IF(C5037&gt;1,IF(C5037&lt;99,VLOOKUP(C5037,'Babblefish-APUMA'!$A$1:$B$86,2),C5037),C5037)</f>
        <v>22</v>
      </c>
    </row>
    <row r="5038" customFormat="false" ht="12.75" hidden="false" customHeight="false" outlineLevel="0" collapsed="false">
      <c r="A5038" s="0" t="n">
        <f aca="false">B5038*1000+C5038</f>
        <v>70023</v>
      </c>
      <c r="B5038" s="0" t="n">
        <v>70</v>
      </c>
      <c r="C5038" s="0" t="n">
        <v>23</v>
      </c>
      <c r="D5038" s="0" t="n">
        <v>0</v>
      </c>
      <c r="E5038" s="0" t="n">
        <f aca="false">VLOOKUP(B5038,'Babblefish-APUMA'!$A$1:$B$86,2)</f>
        <v>95</v>
      </c>
      <c r="F5038" s="0" t="n">
        <f aca="false">IF(C5038&gt;1,IF(C5038&lt;99,VLOOKUP(C5038,'Babblefish-APUMA'!$A$1:$B$86,2),C5038),C5038)</f>
        <v>97</v>
      </c>
    </row>
    <row r="5039" customFormat="false" ht="12.75" hidden="false" customHeight="false" outlineLevel="0" collapsed="false">
      <c r="A5039" s="0" t="n">
        <f aca="false">B5039*1000+C5039</f>
        <v>70024</v>
      </c>
      <c r="B5039" s="0" t="n">
        <v>70</v>
      </c>
      <c r="C5039" s="0" t="n">
        <v>24</v>
      </c>
      <c r="D5039" s="0" t="n">
        <v>0</v>
      </c>
      <c r="E5039" s="0" t="n">
        <f aca="false">VLOOKUP(B5039,'Babblefish-APUMA'!$A$1:$B$86,2)</f>
        <v>95</v>
      </c>
      <c r="F5039" s="0" t="n">
        <f aca="false">IF(C5039&gt;1,IF(C5039&lt;99,VLOOKUP(C5039,'Babblefish-APUMA'!$A$1:$B$86,2),C5039),C5039)</f>
        <v>101</v>
      </c>
    </row>
    <row r="5040" customFormat="false" ht="12.75" hidden="false" customHeight="false" outlineLevel="0" collapsed="false">
      <c r="A5040" s="0" t="n">
        <f aca="false">B5040*1000+C5040</f>
        <v>70025</v>
      </c>
      <c r="B5040" s="0" t="n">
        <v>70</v>
      </c>
      <c r="C5040" s="0" t="n">
        <v>25</v>
      </c>
      <c r="D5040" s="0" t="n">
        <v>0</v>
      </c>
      <c r="E5040" s="0" t="n">
        <f aca="false">VLOOKUP(B5040,'Babblefish-APUMA'!$A$1:$B$86,2)</f>
        <v>95</v>
      </c>
      <c r="F5040" s="0" t="n">
        <f aca="false">IF(C5040&gt;1,IF(C5040&lt;99,VLOOKUP(C5040,'Babblefish-APUMA'!$A$1:$B$86,2),C5040),C5040)</f>
        <v>101</v>
      </c>
    </row>
    <row r="5041" customFormat="false" ht="12.75" hidden="false" customHeight="false" outlineLevel="0" collapsed="false">
      <c r="A5041" s="0" t="n">
        <f aca="false">B5041*1000+C5041</f>
        <v>70026</v>
      </c>
      <c r="B5041" s="0" t="n">
        <v>70</v>
      </c>
      <c r="C5041" s="0" t="n">
        <v>26</v>
      </c>
      <c r="D5041" s="0" t="n">
        <v>0</v>
      </c>
      <c r="E5041" s="0" t="n">
        <f aca="false">VLOOKUP(B5041,'Babblefish-APUMA'!$A$1:$B$86,2)</f>
        <v>95</v>
      </c>
      <c r="F5041" s="0" t="n">
        <f aca="false">IF(C5041&gt;1,IF(C5041&lt;99,VLOOKUP(C5041,'Babblefish-APUMA'!$A$1:$B$86,2),C5041),C5041)</f>
        <v>26</v>
      </c>
    </row>
    <row r="5042" customFormat="false" ht="12.75" hidden="false" customHeight="false" outlineLevel="0" collapsed="false">
      <c r="A5042" s="0" t="n">
        <f aca="false">B5042*1000+C5042</f>
        <v>70027</v>
      </c>
      <c r="B5042" s="0" t="n">
        <v>70</v>
      </c>
      <c r="C5042" s="0" t="n">
        <v>27</v>
      </c>
      <c r="D5042" s="0" t="n">
        <v>0</v>
      </c>
      <c r="E5042" s="0" t="n">
        <f aca="false">VLOOKUP(B5042,'Babblefish-APUMA'!$A$1:$B$86,2)</f>
        <v>95</v>
      </c>
      <c r="F5042" s="0" t="n">
        <f aca="false">IF(C5042&gt;1,IF(C5042&lt;99,VLOOKUP(C5042,'Babblefish-APUMA'!$A$1:$B$86,2),C5042),C5042)</f>
        <v>27</v>
      </c>
    </row>
    <row r="5043" customFormat="false" ht="12.75" hidden="false" customHeight="false" outlineLevel="0" collapsed="false">
      <c r="A5043" s="0" t="n">
        <f aca="false">B5043*1000+C5043</f>
        <v>70028</v>
      </c>
      <c r="B5043" s="0" t="n">
        <v>70</v>
      </c>
      <c r="C5043" s="0" t="n">
        <v>28</v>
      </c>
      <c r="D5043" s="0" t="n">
        <v>0</v>
      </c>
      <c r="E5043" s="0" t="n">
        <f aca="false">VLOOKUP(B5043,'Babblefish-APUMA'!$A$1:$B$86,2)</f>
        <v>95</v>
      </c>
      <c r="F5043" s="0" t="n">
        <f aca="false">IF(C5043&gt;1,IF(C5043&lt;99,VLOOKUP(C5043,'Babblefish-APUMA'!$A$1:$B$86,2),C5043),C5043)</f>
        <v>94</v>
      </c>
    </row>
    <row r="5044" customFormat="false" ht="12.75" hidden="false" customHeight="false" outlineLevel="0" collapsed="false">
      <c r="A5044" s="0" t="n">
        <f aca="false">B5044*1000+C5044</f>
        <v>70029</v>
      </c>
      <c r="B5044" s="0" t="n">
        <v>70</v>
      </c>
      <c r="C5044" s="0" t="n">
        <v>29</v>
      </c>
      <c r="D5044" s="0" t="n">
        <v>0</v>
      </c>
      <c r="E5044" s="0" t="n">
        <f aca="false">VLOOKUP(B5044,'Babblefish-APUMA'!$A$1:$B$86,2)</f>
        <v>95</v>
      </c>
      <c r="F5044" s="0" t="n">
        <f aca="false">IF(C5044&gt;1,IF(C5044&lt;99,VLOOKUP(C5044,'Babblefish-APUMA'!$A$1:$B$86,2),C5044),C5044)</f>
        <v>94</v>
      </c>
    </row>
    <row r="5045" customFormat="false" ht="12.75" hidden="false" customHeight="false" outlineLevel="0" collapsed="false">
      <c r="A5045" s="0" t="n">
        <f aca="false">B5045*1000+C5045</f>
        <v>70030</v>
      </c>
      <c r="B5045" s="0" t="n">
        <v>70</v>
      </c>
      <c r="C5045" s="0" t="n">
        <v>30</v>
      </c>
      <c r="D5045" s="0" t="n">
        <v>0</v>
      </c>
      <c r="E5045" s="0" t="n">
        <f aca="false">VLOOKUP(B5045,'Babblefish-APUMA'!$A$1:$B$86,2)</f>
        <v>95</v>
      </c>
      <c r="F5045" s="0" t="n">
        <f aca="false">IF(C5045&gt;1,IF(C5045&lt;99,VLOOKUP(C5045,'Babblefish-APUMA'!$A$1:$B$86,2),C5045),C5045)</f>
        <v>30</v>
      </c>
    </row>
    <row r="5046" customFormat="false" ht="12.75" hidden="false" customHeight="false" outlineLevel="0" collapsed="false">
      <c r="A5046" s="0" t="n">
        <f aca="false">B5046*1000+C5046</f>
        <v>70031</v>
      </c>
      <c r="B5046" s="0" t="n">
        <v>70</v>
      </c>
      <c r="C5046" s="0" t="n">
        <v>31</v>
      </c>
      <c r="D5046" s="0" t="n">
        <v>0</v>
      </c>
      <c r="E5046" s="0" t="n">
        <f aca="false">VLOOKUP(B5046,'Babblefish-APUMA'!$A$1:$B$86,2)</f>
        <v>95</v>
      </c>
      <c r="F5046" s="0" t="n">
        <f aca="false">IF(C5046&gt;1,IF(C5046&lt;99,VLOOKUP(C5046,'Babblefish-APUMA'!$A$1:$B$86,2),C5046),C5046)</f>
        <v>31</v>
      </c>
    </row>
    <row r="5047" customFormat="false" ht="12.75" hidden="false" customHeight="false" outlineLevel="0" collapsed="false">
      <c r="A5047" s="0" t="n">
        <f aca="false">B5047*1000+C5047</f>
        <v>70032</v>
      </c>
      <c r="B5047" s="0" t="n">
        <v>70</v>
      </c>
      <c r="C5047" s="0" t="n">
        <v>32</v>
      </c>
      <c r="D5047" s="0" t="n">
        <v>0</v>
      </c>
      <c r="E5047" s="0" t="n">
        <f aca="false">VLOOKUP(B5047,'Babblefish-APUMA'!$A$1:$B$86,2)</f>
        <v>95</v>
      </c>
      <c r="F5047" s="0" t="n">
        <f aca="false">IF(C5047&gt;1,IF(C5047&lt;99,VLOOKUP(C5047,'Babblefish-APUMA'!$A$1:$B$86,2),C5047),C5047)</f>
        <v>32</v>
      </c>
    </row>
    <row r="5048" customFormat="false" ht="12.75" hidden="false" customHeight="false" outlineLevel="0" collapsed="false">
      <c r="A5048" s="0" t="n">
        <f aca="false">B5048*1000+C5048</f>
        <v>70033</v>
      </c>
      <c r="B5048" s="0" t="n">
        <v>70</v>
      </c>
      <c r="C5048" s="0" t="n">
        <v>33</v>
      </c>
      <c r="D5048" s="0" t="n">
        <v>52</v>
      </c>
      <c r="E5048" s="0" t="n">
        <f aca="false">VLOOKUP(B5048,'Babblefish-APUMA'!$A$1:$B$86,2)</f>
        <v>95</v>
      </c>
      <c r="F5048" s="0" t="n">
        <f aca="false">IF(C5048&gt;1,IF(C5048&lt;99,VLOOKUP(C5048,'Babblefish-APUMA'!$A$1:$B$86,2),C5048),C5048)</f>
        <v>96</v>
      </c>
    </row>
    <row r="5049" customFormat="false" ht="12.75" hidden="false" customHeight="false" outlineLevel="0" collapsed="false">
      <c r="A5049" s="0" t="n">
        <f aca="false">B5049*1000+C5049</f>
        <v>70034</v>
      </c>
      <c r="B5049" s="0" t="n">
        <v>70</v>
      </c>
      <c r="C5049" s="0" t="n">
        <v>34</v>
      </c>
      <c r="D5049" s="0" t="n">
        <v>0</v>
      </c>
      <c r="E5049" s="0" t="n">
        <f aca="false">VLOOKUP(B5049,'Babblefish-APUMA'!$A$1:$B$86,2)</f>
        <v>95</v>
      </c>
      <c r="F5049" s="0" t="n">
        <f aca="false">IF(C5049&gt;1,IF(C5049&lt;99,VLOOKUP(C5049,'Babblefish-APUMA'!$A$1:$B$86,2),C5049),C5049)</f>
        <v>96</v>
      </c>
    </row>
    <row r="5050" customFormat="false" ht="12.75" hidden="false" customHeight="false" outlineLevel="0" collapsed="false">
      <c r="A5050" s="0" t="n">
        <f aca="false">B5050*1000+C5050</f>
        <v>70035</v>
      </c>
      <c r="B5050" s="0" t="n">
        <v>70</v>
      </c>
      <c r="C5050" s="0" t="n">
        <v>35</v>
      </c>
      <c r="D5050" s="0" t="n">
        <v>0</v>
      </c>
      <c r="E5050" s="0" t="n">
        <f aca="false">VLOOKUP(B5050,'Babblefish-APUMA'!$A$1:$B$86,2)</f>
        <v>95</v>
      </c>
      <c r="F5050" s="0" t="n">
        <f aca="false">IF(C5050&gt;1,IF(C5050&lt;99,VLOOKUP(C5050,'Babblefish-APUMA'!$A$1:$B$86,2),C5050),C5050)</f>
        <v>96</v>
      </c>
    </row>
    <row r="5051" customFormat="false" ht="12.75" hidden="false" customHeight="false" outlineLevel="0" collapsed="false">
      <c r="A5051" s="0" t="n">
        <f aca="false">B5051*1000+C5051</f>
        <v>70036</v>
      </c>
      <c r="B5051" s="0" t="n">
        <v>70</v>
      </c>
      <c r="C5051" s="0" t="n">
        <v>36</v>
      </c>
      <c r="D5051" s="0" t="n">
        <v>0</v>
      </c>
      <c r="E5051" s="0" t="n">
        <f aca="false">VLOOKUP(B5051,'Babblefish-APUMA'!$A$1:$B$86,2)</f>
        <v>95</v>
      </c>
      <c r="F5051" s="0" t="n">
        <f aca="false">IF(C5051&gt;1,IF(C5051&lt;99,VLOOKUP(C5051,'Babblefish-APUMA'!$A$1:$B$86,2),C5051),C5051)</f>
        <v>96</v>
      </c>
    </row>
    <row r="5052" customFormat="false" ht="12.75" hidden="false" customHeight="false" outlineLevel="0" collapsed="false">
      <c r="A5052" s="0" t="n">
        <f aca="false">B5052*1000+C5052</f>
        <v>70037</v>
      </c>
      <c r="B5052" s="0" t="n">
        <v>70</v>
      </c>
      <c r="C5052" s="0" t="n">
        <v>37</v>
      </c>
      <c r="D5052" s="0" t="n">
        <v>0</v>
      </c>
      <c r="E5052" s="0" t="n">
        <f aca="false">VLOOKUP(B5052,'Babblefish-APUMA'!$A$1:$B$86,2)</f>
        <v>95</v>
      </c>
      <c r="F5052" s="0" t="n">
        <f aca="false">IF(C5052&gt;1,IF(C5052&lt;99,VLOOKUP(C5052,'Babblefish-APUMA'!$A$1:$B$86,2),C5052),C5052)</f>
        <v>96</v>
      </c>
    </row>
    <row r="5053" customFormat="false" ht="12.75" hidden="false" customHeight="false" outlineLevel="0" collapsed="false">
      <c r="A5053" s="0" t="n">
        <f aca="false">B5053*1000+C5053</f>
        <v>70038</v>
      </c>
      <c r="B5053" s="0" t="n">
        <v>70</v>
      </c>
      <c r="C5053" s="0" t="n">
        <v>38</v>
      </c>
      <c r="D5053" s="0" t="n">
        <v>0</v>
      </c>
      <c r="E5053" s="0" t="n">
        <f aca="false">VLOOKUP(B5053,'Babblefish-APUMA'!$A$1:$B$86,2)</f>
        <v>95</v>
      </c>
      <c r="F5053" s="0" t="n">
        <f aca="false">IF(C5053&gt;1,IF(C5053&lt;99,VLOOKUP(C5053,'Babblefish-APUMA'!$A$1:$B$86,2),C5053),C5053)</f>
        <v>91</v>
      </c>
    </row>
    <row r="5054" customFormat="false" ht="12.75" hidden="false" customHeight="false" outlineLevel="0" collapsed="false">
      <c r="A5054" s="0" t="n">
        <f aca="false">B5054*1000+C5054</f>
        <v>70039</v>
      </c>
      <c r="B5054" s="0" t="n">
        <v>70</v>
      </c>
      <c r="C5054" s="0" t="n">
        <v>39</v>
      </c>
      <c r="D5054" s="0" t="n">
        <v>0</v>
      </c>
      <c r="E5054" s="0" t="n">
        <f aca="false">VLOOKUP(B5054,'Babblefish-APUMA'!$A$1:$B$86,2)</f>
        <v>95</v>
      </c>
      <c r="F5054" s="0" t="n">
        <f aca="false">IF(C5054&gt;1,IF(C5054&lt;99,VLOOKUP(C5054,'Babblefish-APUMA'!$A$1:$B$86,2),C5054),C5054)</f>
        <v>91</v>
      </c>
    </row>
    <row r="5055" customFormat="false" ht="12.75" hidden="false" customHeight="false" outlineLevel="0" collapsed="false">
      <c r="A5055" s="0" t="n">
        <f aca="false">B5055*1000+C5055</f>
        <v>70040</v>
      </c>
      <c r="B5055" s="0" t="n">
        <v>70</v>
      </c>
      <c r="C5055" s="0" t="n">
        <v>40</v>
      </c>
      <c r="D5055" s="0" t="n">
        <v>0</v>
      </c>
      <c r="E5055" s="0" t="n">
        <f aca="false">VLOOKUP(B5055,'Babblefish-APUMA'!$A$1:$B$86,2)</f>
        <v>95</v>
      </c>
      <c r="F5055" s="0" t="n">
        <f aca="false">IF(C5055&gt;1,IF(C5055&lt;99,VLOOKUP(C5055,'Babblefish-APUMA'!$A$1:$B$86,2),C5055),C5055)</f>
        <v>88</v>
      </c>
    </row>
    <row r="5056" customFormat="false" ht="12.75" hidden="false" customHeight="false" outlineLevel="0" collapsed="false">
      <c r="A5056" s="0" t="n">
        <f aca="false">B5056*1000+C5056</f>
        <v>70041</v>
      </c>
      <c r="B5056" s="0" t="n">
        <v>70</v>
      </c>
      <c r="C5056" s="0" t="n">
        <v>41</v>
      </c>
      <c r="D5056" s="0" t="n">
        <v>0</v>
      </c>
      <c r="E5056" s="0" t="n">
        <f aca="false">VLOOKUP(B5056,'Babblefish-APUMA'!$A$1:$B$86,2)</f>
        <v>95</v>
      </c>
      <c r="F5056" s="0" t="n">
        <f aca="false">IF(C5056&gt;1,IF(C5056&lt;99,VLOOKUP(C5056,'Babblefish-APUMA'!$A$1:$B$86,2),C5056),C5056)</f>
        <v>88</v>
      </c>
    </row>
    <row r="5057" customFormat="false" ht="12.75" hidden="false" customHeight="false" outlineLevel="0" collapsed="false">
      <c r="A5057" s="0" t="n">
        <f aca="false">B5057*1000+C5057</f>
        <v>70042</v>
      </c>
      <c r="B5057" s="0" t="n">
        <v>70</v>
      </c>
      <c r="C5057" s="0" t="n">
        <v>42</v>
      </c>
      <c r="D5057" s="0" t="n">
        <v>78</v>
      </c>
      <c r="E5057" s="0" t="n">
        <f aca="false">VLOOKUP(B5057,'Babblefish-APUMA'!$A$1:$B$86,2)</f>
        <v>95</v>
      </c>
      <c r="F5057" s="0" t="n">
        <f aca="false">IF(C5057&gt;1,IF(C5057&lt;99,VLOOKUP(C5057,'Babblefish-APUMA'!$A$1:$B$86,2),C5057),C5057)</f>
        <v>92</v>
      </c>
    </row>
    <row r="5058" customFormat="false" ht="12.75" hidden="false" customHeight="false" outlineLevel="0" collapsed="false">
      <c r="A5058" s="0" t="n">
        <f aca="false">B5058*1000+C5058</f>
        <v>70043</v>
      </c>
      <c r="B5058" s="0" t="n">
        <v>70</v>
      </c>
      <c r="C5058" s="0" t="n">
        <v>43</v>
      </c>
      <c r="D5058" s="0" t="n">
        <v>0</v>
      </c>
      <c r="E5058" s="0" t="n">
        <f aca="false">VLOOKUP(B5058,'Babblefish-APUMA'!$A$1:$B$86,2)</f>
        <v>95</v>
      </c>
      <c r="F5058" s="0" t="n">
        <f aca="false">IF(C5058&gt;1,IF(C5058&lt;99,VLOOKUP(C5058,'Babblefish-APUMA'!$A$1:$B$86,2),C5058),C5058)</f>
        <v>92</v>
      </c>
    </row>
    <row r="5059" customFormat="false" ht="12.75" hidden="false" customHeight="false" outlineLevel="0" collapsed="false">
      <c r="A5059" s="0" t="n">
        <f aca="false">B5059*1000+C5059</f>
        <v>70044</v>
      </c>
      <c r="B5059" s="0" t="n">
        <v>70</v>
      </c>
      <c r="C5059" s="0" t="n">
        <v>44</v>
      </c>
      <c r="D5059" s="0" t="n">
        <v>0</v>
      </c>
      <c r="E5059" s="0" t="n">
        <f aca="false">VLOOKUP(B5059,'Babblefish-APUMA'!$A$1:$B$86,2)</f>
        <v>95</v>
      </c>
      <c r="F5059" s="0" t="n">
        <f aca="false">IF(C5059&gt;1,IF(C5059&lt;99,VLOOKUP(C5059,'Babblefish-APUMA'!$A$1:$B$86,2),C5059),C5059)</f>
        <v>92</v>
      </c>
    </row>
    <row r="5060" customFormat="false" ht="12.75" hidden="false" customHeight="false" outlineLevel="0" collapsed="false">
      <c r="A5060" s="0" t="n">
        <f aca="false">B5060*1000+C5060</f>
        <v>70045</v>
      </c>
      <c r="B5060" s="0" t="n">
        <v>70</v>
      </c>
      <c r="C5060" s="0" t="n">
        <v>45</v>
      </c>
      <c r="D5060" s="0" t="n">
        <v>0</v>
      </c>
      <c r="E5060" s="0" t="n">
        <f aca="false">VLOOKUP(B5060,'Babblefish-APUMA'!$A$1:$B$86,2)</f>
        <v>95</v>
      </c>
      <c r="F5060" s="0" t="n">
        <f aca="false">IF(C5060&gt;1,IF(C5060&lt;99,VLOOKUP(C5060,'Babblefish-APUMA'!$A$1:$B$86,2),C5060),C5060)</f>
        <v>92</v>
      </c>
    </row>
    <row r="5061" customFormat="false" ht="12.75" hidden="false" customHeight="false" outlineLevel="0" collapsed="false">
      <c r="A5061" s="0" t="n">
        <f aca="false">B5061*1000+C5061</f>
        <v>70046</v>
      </c>
      <c r="B5061" s="0" t="n">
        <v>70</v>
      </c>
      <c r="C5061" s="0" t="n">
        <v>46</v>
      </c>
      <c r="D5061" s="0" t="n">
        <v>0</v>
      </c>
      <c r="E5061" s="0" t="n">
        <f aca="false">VLOOKUP(B5061,'Babblefish-APUMA'!$A$1:$B$86,2)</f>
        <v>95</v>
      </c>
      <c r="F5061" s="0" t="n">
        <f aca="false">IF(C5061&gt;1,IF(C5061&lt;99,VLOOKUP(C5061,'Babblefish-APUMA'!$A$1:$B$86,2),C5061),C5061)</f>
        <v>92</v>
      </c>
    </row>
    <row r="5062" customFormat="false" ht="12.75" hidden="false" customHeight="false" outlineLevel="0" collapsed="false">
      <c r="A5062" s="0" t="n">
        <f aca="false">B5062*1000+C5062</f>
        <v>70047</v>
      </c>
      <c r="B5062" s="0" t="n">
        <v>70</v>
      </c>
      <c r="C5062" s="0" t="n">
        <v>47</v>
      </c>
      <c r="D5062" s="0" t="n">
        <v>0</v>
      </c>
      <c r="E5062" s="0" t="n">
        <f aca="false">VLOOKUP(B5062,'Babblefish-APUMA'!$A$1:$B$86,2)</f>
        <v>95</v>
      </c>
      <c r="F5062" s="0" t="n">
        <f aca="false">IF(C5062&gt;1,IF(C5062&lt;99,VLOOKUP(C5062,'Babblefish-APUMA'!$A$1:$B$86,2),C5062),C5062)</f>
        <v>92</v>
      </c>
    </row>
    <row r="5063" customFormat="false" ht="12.75" hidden="false" customHeight="false" outlineLevel="0" collapsed="false">
      <c r="A5063" s="0" t="n">
        <f aca="false">B5063*1000+C5063</f>
        <v>70048</v>
      </c>
      <c r="B5063" s="0" t="n">
        <v>70</v>
      </c>
      <c r="C5063" s="0" t="n">
        <v>48</v>
      </c>
      <c r="D5063" s="0" t="n">
        <v>1625</v>
      </c>
      <c r="E5063" s="0" t="n">
        <f aca="false">VLOOKUP(B5063,'Babblefish-APUMA'!$A$1:$B$86,2)</f>
        <v>95</v>
      </c>
      <c r="F5063" s="0" t="n">
        <f aca="false">IF(C5063&gt;1,IF(C5063&lt;99,VLOOKUP(C5063,'Babblefish-APUMA'!$A$1:$B$86,2),C5063),C5063)</f>
        <v>92</v>
      </c>
    </row>
    <row r="5064" customFormat="false" ht="12.75" hidden="false" customHeight="false" outlineLevel="0" collapsed="false">
      <c r="A5064" s="0" t="n">
        <f aca="false">B5064*1000+C5064</f>
        <v>70049</v>
      </c>
      <c r="B5064" s="0" t="n">
        <v>70</v>
      </c>
      <c r="C5064" s="0" t="n">
        <v>49</v>
      </c>
      <c r="D5064" s="0" t="n">
        <v>0</v>
      </c>
      <c r="E5064" s="0" t="n">
        <f aca="false">VLOOKUP(B5064,'Babblefish-APUMA'!$A$1:$B$86,2)</f>
        <v>95</v>
      </c>
      <c r="F5064" s="0" t="n">
        <f aca="false">IF(C5064&gt;1,IF(C5064&lt;99,VLOOKUP(C5064,'Babblefish-APUMA'!$A$1:$B$86,2),C5064),C5064)</f>
        <v>98</v>
      </c>
    </row>
    <row r="5065" customFormat="false" ht="12.75" hidden="false" customHeight="false" outlineLevel="0" collapsed="false">
      <c r="A5065" s="0" t="n">
        <f aca="false">B5065*1000+C5065</f>
        <v>70050</v>
      </c>
      <c r="B5065" s="0" t="n">
        <v>70</v>
      </c>
      <c r="C5065" s="0" t="n">
        <v>50</v>
      </c>
      <c r="D5065" s="0" t="n">
        <v>0</v>
      </c>
      <c r="E5065" s="0" t="n">
        <f aca="false">VLOOKUP(B5065,'Babblefish-APUMA'!$A$1:$B$86,2)</f>
        <v>95</v>
      </c>
      <c r="F5065" s="0" t="n">
        <f aca="false">IF(C5065&gt;1,IF(C5065&lt;99,VLOOKUP(C5065,'Babblefish-APUMA'!$A$1:$B$86,2),C5065),C5065)</f>
        <v>98</v>
      </c>
    </row>
    <row r="5066" customFormat="false" ht="12.75" hidden="false" customHeight="false" outlineLevel="0" collapsed="false">
      <c r="A5066" s="0" t="n">
        <f aca="false">B5066*1000+C5066</f>
        <v>70051</v>
      </c>
      <c r="B5066" s="0" t="n">
        <v>70</v>
      </c>
      <c r="C5066" s="0" t="n">
        <v>51</v>
      </c>
      <c r="D5066" s="0" t="n">
        <v>0</v>
      </c>
      <c r="E5066" s="0" t="n">
        <f aca="false">VLOOKUP(B5066,'Babblefish-APUMA'!$A$1:$B$86,2)</f>
        <v>95</v>
      </c>
      <c r="F5066" s="0" t="n">
        <f aca="false">IF(C5066&gt;1,IF(C5066&lt;99,VLOOKUP(C5066,'Babblefish-APUMA'!$A$1:$B$86,2),C5066),C5066)</f>
        <v>98</v>
      </c>
    </row>
    <row r="5067" customFormat="false" ht="12.75" hidden="false" customHeight="false" outlineLevel="0" collapsed="false">
      <c r="A5067" s="0" t="n">
        <f aca="false">B5067*1000+C5067</f>
        <v>70052</v>
      </c>
      <c r="B5067" s="0" t="n">
        <v>70</v>
      </c>
      <c r="C5067" s="0" t="n">
        <v>52</v>
      </c>
      <c r="D5067" s="0" t="n">
        <v>91</v>
      </c>
      <c r="E5067" s="0" t="n">
        <f aca="false">VLOOKUP(B5067,'Babblefish-APUMA'!$A$1:$B$86,2)</f>
        <v>95</v>
      </c>
      <c r="F5067" s="0" t="n">
        <f aca="false">IF(C5067&gt;1,IF(C5067&lt;99,VLOOKUP(C5067,'Babblefish-APUMA'!$A$1:$B$86,2),C5067),C5067)</f>
        <v>90</v>
      </c>
    </row>
    <row r="5068" customFormat="false" ht="12.75" hidden="false" customHeight="false" outlineLevel="0" collapsed="false">
      <c r="A5068" s="0" t="n">
        <f aca="false">B5068*1000+C5068</f>
        <v>70053</v>
      </c>
      <c r="B5068" s="0" t="n">
        <v>70</v>
      </c>
      <c r="C5068" s="0" t="n">
        <v>53</v>
      </c>
      <c r="D5068" s="0" t="n">
        <v>286</v>
      </c>
      <c r="E5068" s="0" t="n">
        <f aca="false">VLOOKUP(B5068,'Babblefish-APUMA'!$A$1:$B$86,2)</f>
        <v>95</v>
      </c>
      <c r="F5068" s="0" t="n">
        <f aca="false">IF(C5068&gt;1,IF(C5068&lt;99,VLOOKUP(C5068,'Babblefish-APUMA'!$A$1:$B$86,2),C5068),C5068)</f>
        <v>90</v>
      </c>
    </row>
    <row r="5069" customFormat="false" ht="12.75" hidden="false" customHeight="false" outlineLevel="0" collapsed="false">
      <c r="A5069" s="0" t="n">
        <f aca="false">B5069*1000+C5069</f>
        <v>70054</v>
      </c>
      <c r="B5069" s="0" t="n">
        <v>70</v>
      </c>
      <c r="C5069" s="0" t="n">
        <v>54</v>
      </c>
      <c r="D5069" s="0" t="n">
        <v>507</v>
      </c>
      <c r="E5069" s="0" t="n">
        <f aca="false">VLOOKUP(B5069,'Babblefish-APUMA'!$A$1:$B$86,2)</f>
        <v>95</v>
      </c>
      <c r="F5069" s="0" t="n">
        <f aca="false">IF(C5069&gt;1,IF(C5069&lt;99,VLOOKUP(C5069,'Babblefish-APUMA'!$A$1:$B$86,2),C5069),C5069)</f>
        <v>90</v>
      </c>
    </row>
    <row r="5070" customFormat="false" ht="12.75" hidden="false" customHeight="false" outlineLevel="0" collapsed="false">
      <c r="A5070" s="0" t="n">
        <f aca="false">B5070*1000+C5070</f>
        <v>70055</v>
      </c>
      <c r="B5070" s="0" t="n">
        <v>70</v>
      </c>
      <c r="C5070" s="0" t="n">
        <v>55</v>
      </c>
      <c r="D5070" s="0" t="n">
        <v>234</v>
      </c>
      <c r="E5070" s="0" t="n">
        <f aca="false">VLOOKUP(B5070,'Babblefish-APUMA'!$A$1:$B$86,2)</f>
        <v>95</v>
      </c>
      <c r="F5070" s="0" t="n">
        <f aca="false">IF(C5070&gt;1,IF(C5070&lt;99,VLOOKUP(C5070,'Babblefish-APUMA'!$A$1:$B$86,2),C5070),C5070)</f>
        <v>90</v>
      </c>
    </row>
    <row r="5071" customFormat="false" ht="12.75" hidden="false" customHeight="false" outlineLevel="0" collapsed="false">
      <c r="A5071" s="0" t="n">
        <f aca="false">B5071*1000+C5071</f>
        <v>70056</v>
      </c>
      <c r="B5071" s="0" t="n">
        <v>70</v>
      </c>
      <c r="C5071" s="0" t="n">
        <v>56</v>
      </c>
      <c r="D5071" s="0" t="n">
        <v>0</v>
      </c>
      <c r="E5071" s="0" t="n">
        <f aca="false">VLOOKUP(B5071,'Babblefish-APUMA'!$A$1:$B$86,2)</f>
        <v>95</v>
      </c>
      <c r="F5071" s="0" t="n">
        <f aca="false">IF(C5071&gt;1,IF(C5071&lt;99,VLOOKUP(C5071,'Babblefish-APUMA'!$A$1:$B$86,2),C5071),C5071)</f>
        <v>90</v>
      </c>
    </row>
    <row r="5072" customFormat="false" ht="12.75" hidden="false" customHeight="false" outlineLevel="0" collapsed="false">
      <c r="A5072" s="0" t="n">
        <f aca="false">B5072*1000+C5072</f>
        <v>70057</v>
      </c>
      <c r="B5072" s="0" t="n">
        <v>70</v>
      </c>
      <c r="C5072" s="0" t="n">
        <v>57</v>
      </c>
      <c r="D5072" s="0" t="n">
        <v>0</v>
      </c>
      <c r="E5072" s="0" t="n">
        <f aca="false">VLOOKUP(B5072,'Babblefish-APUMA'!$A$1:$B$86,2)</f>
        <v>95</v>
      </c>
      <c r="F5072" s="0" t="n">
        <f aca="false">IF(C5072&gt;1,IF(C5072&lt;99,VLOOKUP(C5072,'Babblefish-APUMA'!$A$1:$B$86,2),C5072),C5072)</f>
        <v>90</v>
      </c>
    </row>
    <row r="5073" customFormat="false" ht="12.75" hidden="false" customHeight="false" outlineLevel="0" collapsed="false">
      <c r="A5073" s="0" t="n">
        <f aca="false">B5073*1000+C5073</f>
        <v>70058</v>
      </c>
      <c r="B5073" s="0" t="n">
        <v>70</v>
      </c>
      <c r="C5073" s="0" t="n">
        <v>58</v>
      </c>
      <c r="D5073" s="0" t="n">
        <v>780</v>
      </c>
      <c r="E5073" s="0" t="n">
        <f aca="false">VLOOKUP(B5073,'Babblefish-APUMA'!$A$1:$B$86,2)</f>
        <v>95</v>
      </c>
      <c r="F5073" s="0" t="n">
        <f aca="false">IF(C5073&gt;1,IF(C5073&lt;99,VLOOKUP(C5073,'Babblefish-APUMA'!$A$1:$B$86,2),C5073),C5073)</f>
        <v>90</v>
      </c>
    </row>
    <row r="5074" customFormat="false" ht="12.75" hidden="false" customHeight="false" outlineLevel="0" collapsed="false">
      <c r="A5074" s="0" t="n">
        <f aca="false">B5074*1000+C5074</f>
        <v>70059</v>
      </c>
      <c r="B5074" s="0" t="n">
        <v>70</v>
      </c>
      <c r="C5074" s="0" t="n">
        <v>59</v>
      </c>
      <c r="D5074" s="0" t="n">
        <v>3120</v>
      </c>
      <c r="E5074" s="0" t="n">
        <f aca="false">VLOOKUP(B5074,'Babblefish-APUMA'!$A$1:$B$86,2)</f>
        <v>95</v>
      </c>
      <c r="F5074" s="0" t="n">
        <f aca="false">IF(C5074&gt;1,IF(C5074&lt;99,VLOOKUP(C5074,'Babblefish-APUMA'!$A$1:$B$86,2),C5074),C5074)</f>
        <v>90</v>
      </c>
    </row>
    <row r="5075" customFormat="false" ht="12.75" hidden="false" customHeight="false" outlineLevel="0" collapsed="false">
      <c r="A5075" s="0" t="n">
        <f aca="false">B5075*1000+C5075</f>
        <v>70060</v>
      </c>
      <c r="B5075" s="0" t="n">
        <v>70</v>
      </c>
      <c r="C5075" s="0" t="n">
        <v>60</v>
      </c>
      <c r="D5075" s="0" t="n">
        <v>0</v>
      </c>
      <c r="E5075" s="0" t="n">
        <f aca="false">VLOOKUP(B5075,'Babblefish-APUMA'!$A$1:$B$86,2)</f>
        <v>95</v>
      </c>
      <c r="F5075" s="0" t="n">
        <f aca="false">IF(C5075&gt;1,IF(C5075&lt;99,VLOOKUP(C5075,'Babblefish-APUMA'!$A$1:$B$86,2),C5075),C5075)</f>
        <v>90</v>
      </c>
    </row>
    <row r="5076" customFormat="false" ht="12.75" hidden="false" customHeight="false" outlineLevel="0" collapsed="false">
      <c r="A5076" s="0" t="n">
        <f aca="false">B5076*1000+C5076</f>
        <v>70061</v>
      </c>
      <c r="B5076" s="0" t="n">
        <v>70</v>
      </c>
      <c r="C5076" s="0" t="n">
        <v>61</v>
      </c>
      <c r="D5076" s="0" t="n">
        <v>286</v>
      </c>
      <c r="E5076" s="0" t="n">
        <f aca="false">VLOOKUP(B5076,'Babblefish-APUMA'!$A$1:$B$86,2)</f>
        <v>95</v>
      </c>
      <c r="F5076" s="0" t="n">
        <f aca="false">IF(C5076&gt;1,IF(C5076&lt;99,VLOOKUP(C5076,'Babblefish-APUMA'!$A$1:$B$86,2),C5076),C5076)</f>
        <v>90</v>
      </c>
    </row>
    <row r="5077" customFormat="false" ht="12.75" hidden="false" customHeight="false" outlineLevel="0" collapsed="false">
      <c r="A5077" s="0" t="n">
        <f aca="false">B5077*1000+C5077</f>
        <v>70062</v>
      </c>
      <c r="B5077" s="0" t="n">
        <v>70</v>
      </c>
      <c r="C5077" s="0" t="n">
        <v>62</v>
      </c>
      <c r="D5077" s="0" t="n">
        <v>260</v>
      </c>
      <c r="E5077" s="0" t="n">
        <f aca="false">VLOOKUP(B5077,'Babblefish-APUMA'!$A$1:$B$86,2)</f>
        <v>95</v>
      </c>
      <c r="F5077" s="0" t="n">
        <f aca="false">IF(C5077&gt;1,IF(C5077&lt;99,VLOOKUP(C5077,'Babblefish-APUMA'!$A$1:$B$86,2),C5077),C5077)</f>
        <v>90</v>
      </c>
    </row>
    <row r="5078" customFormat="false" ht="12.75" hidden="false" customHeight="false" outlineLevel="0" collapsed="false">
      <c r="A5078" s="0" t="n">
        <f aca="false">B5078*1000+C5078</f>
        <v>70063</v>
      </c>
      <c r="B5078" s="0" t="n">
        <v>70</v>
      </c>
      <c r="C5078" s="0" t="n">
        <v>63</v>
      </c>
      <c r="D5078" s="0" t="n">
        <v>936</v>
      </c>
      <c r="E5078" s="0" t="n">
        <f aca="false">VLOOKUP(B5078,'Babblefish-APUMA'!$A$1:$B$86,2)</f>
        <v>95</v>
      </c>
      <c r="F5078" s="0" t="n">
        <f aca="false">IF(C5078&gt;1,IF(C5078&lt;99,VLOOKUP(C5078,'Babblefish-APUMA'!$A$1:$B$86,2),C5078),C5078)</f>
        <v>90</v>
      </c>
    </row>
    <row r="5079" customFormat="false" ht="12.75" hidden="false" customHeight="false" outlineLevel="0" collapsed="false">
      <c r="A5079" s="0" t="n">
        <f aca="false">B5079*1000+C5079</f>
        <v>70064</v>
      </c>
      <c r="B5079" s="0" t="n">
        <v>70</v>
      </c>
      <c r="C5079" s="0" t="n">
        <v>64</v>
      </c>
      <c r="D5079" s="0" t="n">
        <v>7852</v>
      </c>
      <c r="E5079" s="0" t="n">
        <f aca="false">VLOOKUP(B5079,'Babblefish-APUMA'!$A$1:$B$86,2)</f>
        <v>95</v>
      </c>
      <c r="F5079" s="0" t="n">
        <f aca="false">IF(C5079&gt;1,IF(C5079&lt;99,VLOOKUP(C5079,'Babblefish-APUMA'!$A$1:$B$86,2),C5079),C5079)</f>
        <v>90</v>
      </c>
    </row>
    <row r="5080" customFormat="false" ht="12.75" hidden="false" customHeight="false" outlineLevel="0" collapsed="false">
      <c r="A5080" s="0" t="n">
        <f aca="false">B5080*1000+C5080</f>
        <v>70065</v>
      </c>
      <c r="B5080" s="0" t="n">
        <v>70</v>
      </c>
      <c r="C5080" s="0" t="n">
        <v>65</v>
      </c>
      <c r="D5080" s="0" t="n">
        <v>2574</v>
      </c>
      <c r="E5080" s="0" t="n">
        <f aca="false">VLOOKUP(B5080,'Babblefish-APUMA'!$A$1:$B$86,2)</f>
        <v>95</v>
      </c>
      <c r="F5080" s="0" t="n">
        <f aca="false">IF(C5080&gt;1,IF(C5080&lt;99,VLOOKUP(C5080,'Babblefish-APUMA'!$A$1:$B$86,2),C5080),C5080)</f>
        <v>90</v>
      </c>
    </row>
    <row r="5081" customFormat="false" ht="12.75" hidden="false" customHeight="false" outlineLevel="0" collapsed="false">
      <c r="A5081" s="0" t="n">
        <f aca="false">B5081*1000+C5081</f>
        <v>70066</v>
      </c>
      <c r="B5081" s="0" t="n">
        <v>70</v>
      </c>
      <c r="C5081" s="0" t="n">
        <v>66</v>
      </c>
      <c r="D5081" s="0" t="n">
        <v>104</v>
      </c>
      <c r="E5081" s="0" t="n">
        <f aca="false">VLOOKUP(B5081,'Babblefish-APUMA'!$A$1:$B$86,2)</f>
        <v>95</v>
      </c>
      <c r="F5081" s="0" t="n">
        <f aca="false">IF(C5081&gt;1,IF(C5081&lt;99,VLOOKUP(C5081,'Babblefish-APUMA'!$A$1:$B$86,2),C5081),C5081)</f>
        <v>90</v>
      </c>
    </row>
    <row r="5082" customFormat="false" ht="12.75" hidden="false" customHeight="false" outlineLevel="0" collapsed="false">
      <c r="A5082" s="0" t="n">
        <f aca="false">B5082*1000+C5082</f>
        <v>70067</v>
      </c>
      <c r="B5082" s="0" t="n">
        <v>70</v>
      </c>
      <c r="C5082" s="0" t="n">
        <v>67</v>
      </c>
      <c r="D5082" s="0" t="n">
        <v>0</v>
      </c>
      <c r="E5082" s="0" t="n">
        <f aca="false">VLOOKUP(B5082,'Babblefish-APUMA'!$A$1:$B$86,2)</f>
        <v>95</v>
      </c>
      <c r="F5082" s="0" t="n">
        <f aca="false">IF(C5082&gt;1,IF(C5082&lt;99,VLOOKUP(C5082,'Babblefish-APUMA'!$A$1:$B$86,2),C5082),C5082)</f>
        <v>103</v>
      </c>
    </row>
    <row r="5083" customFormat="false" ht="12.75" hidden="false" customHeight="false" outlineLevel="0" collapsed="false">
      <c r="A5083" s="0" t="n">
        <f aca="false">B5083*1000+C5083</f>
        <v>70068</v>
      </c>
      <c r="B5083" s="0" t="n">
        <v>70</v>
      </c>
      <c r="C5083" s="0" t="n">
        <v>68</v>
      </c>
      <c r="D5083" s="0" t="n">
        <v>0</v>
      </c>
      <c r="E5083" s="0" t="n">
        <f aca="false">VLOOKUP(B5083,'Babblefish-APUMA'!$A$1:$B$86,2)</f>
        <v>95</v>
      </c>
      <c r="F5083" s="0" t="n">
        <f aca="false">IF(C5083&gt;1,IF(C5083&lt;99,VLOOKUP(C5083,'Babblefish-APUMA'!$A$1:$B$86,2),C5083),C5083)</f>
        <v>93</v>
      </c>
    </row>
    <row r="5084" customFormat="false" ht="12.75" hidden="false" customHeight="false" outlineLevel="0" collapsed="false">
      <c r="A5084" s="0" t="n">
        <f aca="false">B5084*1000+C5084</f>
        <v>70069</v>
      </c>
      <c r="B5084" s="0" t="n">
        <v>70</v>
      </c>
      <c r="C5084" s="0" t="n">
        <v>69</v>
      </c>
      <c r="D5084" s="0" t="n">
        <v>1456</v>
      </c>
      <c r="E5084" s="0" t="n">
        <f aca="false">VLOOKUP(B5084,'Babblefish-APUMA'!$A$1:$B$86,2)</f>
        <v>95</v>
      </c>
      <c r="F5084" s="0" t="n">
        <f aca="false">IF(C5084&gt;1,IF(C5084&lt;99,VLOOKUP(C5084,'Babblefish-APUMA'!$A$1:$B$86,2),C5084),C5084)</f>
        <v>93</v>
      </c>
    </row>
    <row r="5085" customFormat="false" ht="12.75" hidden="false" customHeight="false" outlineLevel="0" collapsed="false">
      <c r="A5085" s="0" t="n">
        <f aca="false">B5085*1000+C5085</f>
        <v>70070</v>
      </c>
      <c r="B5085" s="0" t="n">
        <v>70</v>
      </c>
      <c r="C5085" s="0" t="n">
        <v>70</v>
      </c>
      <c r="D5085" s="0" t="n">
        <v>10049</v>
      </c>
      <c r="E5085" s="0" t="n">
        <f aca="false">VLOOKUP(B5085,'Babblefish-APUMA'!$A$1:$B$86,2)</f>
        <v>95</v>
      </c>
      <c r="F5085" s="0" t="n">
        <f aca="false">IF(C5085&gt;1,IF(C5085&lt;99,VLOOKUP(C5085,'Babblefish-APUMA'!$A$1:$B$86,2),C5085),C5085)</f>
        <v>95</v>
      </c>
    </row>
    <row r="5086" customFormat="false" ht="12.75" hidden="false" customHeight="false" outlineLevel="0" collapsed="false">
      <c r="A5086" s="0" t="n">
        <f aca="false">B5086*1000+C5086</f>
        <v>70071</v>
      </c>
      <c r="B5086" s="0" t="n">
        <v>70</v>
      </c>
      <c r="C5086" s="0" t="n">
        <v>71</v>
      </c>
      <c r="D5086" s="0" t="n">
        <v>4628</v>
      </c>
      <c r="E5086" s="0" t="n">
        <f aca="false">VLOOKUP(B5086,'Babblefish-APUMA'!$A$1:$B$86,2)</f>
        <v>95</v>
      </c>
      <c r="F5086" s="0" t="n">
        <f aca="false">IF(C5086&gt;1,IF(C5086&lt;99,VLOOKUP(C5086,'Babblefish-APUMA'!$A$1:$B$86,2),C5086),C5086)</f>
        <v>95</v>
      </c>
    </row>
    <row r="5087" customFormat="false" ht="12.75" hidden="false" customHeight="false" outlineLevel="0" collapsed="false">
      <c r="A5087" s="0" t="n">
        <f aca="false">B5087*1000+C5087</f>
        <v>70072</v>
      </c>
      <c r="B5087" s="0" t="n">
        <v>70</v>
      </c>
      <c r="C5087" s="0" t="n">
        <v>72</v>
      </c>
      <c r="D5087" s="0" t="n">
        <v>10933</v>
      </c>
      <c r="E5087" s="0" t="n">
        <f aca="false">VLOOKUP(B5087,'Babblefish-APUMA'!$A$1:$B$86,2)</f>
        <v>95</v>
      </c>
      <c r="F5087" s="0" t="n">
        <f aca="false">IF(C5087&gt;1,IF(C5087&lt;99,VLOOKUP(C5087,'Babblefish-APUMA'!$A$1:$B$86,2),C5087),C5087)</f>
        <v>95</v>
      </c>
    </row>
    <row r="5088" customFormat="false" ht="12.75" hidden="false" customHeight="false" outlineLevel="0" collapsed="false">
      <c r="A5088" s="0" t="n">
        <f aca="false">B5088*1000+C5088</f>
        <v>70073</v>
      </c>
      <c r="B5088" s="0" t="n">
        <v>70</v>
      </c>
      <c r="C5088" s="0" t="n">
        <v>73</v>
      </c>
      <c r="D5088" s="0" t="n">
        <v>0</v>
      </c>
      <c r="E5088" s="0" t="n">
        <f aca="false">VLOOKUP(B5088,'Babblefish-APUMA'!$A$1:$B$86,2)</f>
        <v>95</v>
      </c>
      <c r="F5088" s="0" t="n">
        <f aca="false">IF(C5088&gt;1,IF(C5088&lt;99,VLOOKUP(C5088,'Babblefish-APUMA'!$A$1:$B$86,2),C5088),C5088)</f>
        <v>99</v>
      </c>
    </row>
    <row r="5089" customFormat="false" ht="12.75" hidden="false" customHeight="false" outlineLevel="0" collapsed="false">
      <c r="A5089" s="0" t="n">
        <f aca="false">B5089*1000+C5089</f>
        <v>70075</v>
      </c>
      <c r="B5089" s="0" t="n">
        <v>70</v>
      </c>
      <c r="C5089" s="0" t="n">
        <v>75</v>
      </c>
      <c r="D5089" s="0" t="n">
        <v>0</v>
      </c>
      <c r="E5089" s="0" t="n">
        <f aca="false">VLOOKUP(B5089,'Babblefish-APUMA'!$A$1:$B$86,2)</f>
        <v>95</v>
      </c>
      <c r="F5089" s="0" t="n">
        <f aca="false">IF(C5089&gt;1,IF(C5089&lt;99,VLOOKUP(C5089,'Babblefish-APUMA'!$A$1:$B$86,2),C5089),C5089)</f>
        <v>75</v>
      </c>
    </row>
    <row r="5090" customFormat="false" ht="12.75" hidden="false" customHeight="false" outlineLevel="0" collapsed="false">
      <c r="A5090" s="0" t="n">
        <f aca="false">B5090*1000+C5090</f>
        <v>70076</v>
      </c>
      <c r="B5090" s="0" t="n">
        <v>70</v>
      </c>
      <c r="C5090" s="0" t="n">
        <v>76</v>
      </c>
      <c r="D5090" s="0" t="n">
        <v>0</v>
      </c>
      <c r="E5090" s="0" t="n">
        <f aca="false">VLOOKUP(B5090,'Babblefish-APUMA'!$A$1:$B$86,2)</f>
        <v>95</v>
      </c>
      <c r="F5090" s="0" t="n">
        <f aca="false">IF(C5090&gt;1,IF(C5090&lt;99,VLOOKUP(C5090,'Babblefish-APUMA'!$A$1:$B$86,2),C5090),C5090)</f>
        <v>76</v>
      </c>
    </row>
    <row r="5091" customFormat="false" ht="12.75" hidden="false" customHeight="false" outlineLevel="0" collapsed="false">
      <c r="A5091" s="0" t="n">
        <f aca="false">B5091*1000+C5091</f>
        <v>70077</v>
      </c>
      <c r="B5091" s="0" t="n">
        <v>70</v>
      </c>
      <c r="C5091" s="0" t="n">
        <v>77</v>
      </c>
      <c r="D5091" s="0" t="n">
        <v>0</v>
      </c>
      <c r="E5091" s="0" t="n">
        <f aca="false">VLOOKUP(B5091,'Babblefish-APUMA'!$A$1:$B$86,2)</f>
        <v>95</v>
      </c>
      <c r="F5091" s="0" t="n">
        <f aca="false">IF(C5091&gt;1,IF(C5091&lt;99,VLOOKUP(C5091,'Babblefish-APUMA'!$A$1:$B$86,2),C5091),C5091)</f>
        <v>77</v>
      </c>
    </row>
    <row r="5092" customFormat="false" ht="12.75" hidden="false" customHeight="false" outlineLevel="0" collapsed="false">
      <c r="A5092" s="0" t="n">
        <f aca="false">B5092*1000+C5092</f>
        <v>70078</v>
      </c>
      <c r="B5092" s="0" t="n">
        <v>70</v>
      </c>
      <c r="C5092" s="0" t="n">
        <v>78</v>
      </c>
      <c r="D5092" s="0" t="n">
        <v>0</v>
      </c>
      <c r="E5092" s="0" t="n">
        <f aca="false">VLOOKUP(B5092,'Babblefish-APUMA'!$A$1:$B$86,2)</f>
        <v>95</v>
      </c>
      <c r="F5092" s="0" t="n">
        <f aca="false">IF(C5092&gt;1,IF(C5092&lt;99,VLOOKUP(C5092,'Babblefish-APUMA'!$A$1:$B$86,2),C5092),C5092)</f>
        <v>89</v>
      </c>
    </row>
    <row r="5093" customFormat="false" ht="12.75" hidden="false" customHeight="false" outlineLevel="0" collapsed="false">
      <c r="A5093" s="0" t="n">
        <f aca="false">B5093*1000+C5093</f>
        <v>70079</v>
      </c>
      <c r="B5093" s="0" t="n">
        <v>70</v>
      </c>
      <c r="C5093" s="0" t="n">
        <v>79</v>
      </c>
      <c r="D5093" s="0" t="n">
        <v>0</v>
      </c>
      <c r="E5093" s="0" t="n">
        <f aca="false">VLOOKUP(B5093,'Babblefish-APUMA'!$A$1:$B$86,2)</f>
        <v>95</v>
      </c>
      <c r="F5093" s="0" t="n">
        <f aca="false">IF(C5093&gt;1,IF(C5093&lt;99,VLOOKUP(C5093,'Babblefish-APUMA'!$A$1:$B$86,2),C5093),C5093)</f>
        <v>89</v>
      </c>
    </row>
    <row r="5094" customFormat="false" ht="12.75" hidden="false" customHeight="false" outlineLevel="0" collapsed="false">
      <c r="A5094" s="0" t="n">
        <f aca="false">B5094*1000+C5094</f>
        <v>70080</v>
      </c>
      <c r="B5094" s="0" t="n">
        <v>70</v>
      </c>
      <c r="C5094" s="0" t="n">
        <v>80</v>
      </c>
      <c r="D5094" s="0" t="n">
        <v>0</v>
      </c>
      <c r="E5094" s="0" t="n">
        <f aca="false">VLOOKUP(B5094,'Babblefish-APUMA'!$A$1:$B$86,2)</f>
        <v>95</v>
      </c>
      <c r="F5094" s="0" t="n">
        <f aca="false">IF(C5094&gt;1,IF(C5094&lt;99,VLOOKUP(C5094,'Babblefish-APUMA'!$A$1:$B$86,2),C5094),C5094)</f>
        <v>80</v>
      </c>
    </row>
    <row r="5095" customFormat="false" ht="12.75" hidden="false" customHeight="false" outlineLevel="0" collapsed="false">
      <c r="A5095" s="0" t="n">
        <f aca="false">B5095*1000+C5095</f>
        <v>70081</v>
      </c>
      <c r="B5095" s="0" t="n">
        <v>70</v>
      </c>
      <c r="C5095" s="0" t="n">
        <v>81</v>
      </c>
      <c r="D5095" s="0" t="n">
        <v>663</v>
      </c>
      <c r="E5095" s="0" t="n">
        <f aca="false">VLOOKUP(B5095,'Babblefish-APUMA'!$A$1:$B$86,2)</f>
        <v>95</v>
      </c>
      <c r="F5095" s="0" t="n">
        <f aca="false">IF(C5095&gt;1,IF(C5095&lt;99,VLOOKUP(C5095,'Babblefish-APUMA'!$A$1:$B$86,2),C5095),C5095)</f>
        <v>93</v>
      </c>
    </row>
    <row r="5096" customFormat="false" ht="12.75" hidden="false" customHeight="false" outlineLevel="0" collapsed="false">
      <c r="A5096" s="0" t="n">
        <f aca="false">B5096*1000+C5096</f>
        <v>70082</v>
      </c>
      <c r="B5096" s="0" t="n">
        <v>70</v>
      </c>
      <c r="C5096" s="0" t="n">
        <v>82</v>
      </c>
      <c r="D5096" s="0" t="n">
        <v>845</v>
      </c>
      <c r="E5096" s="0" t="n">
        <f aca="false">VLOOKUP(B5096,'Babblefish-APUMA'!$A$1:$B$86,2)</f>
        <v>95</v>
      </c>
      <c r="F5096" s="0" t="n">
        <f aca="false">IF(C5096&gt;1,IF(C5096&lt;99,VLOOKUP(C5096,'Babblefish-APUMA'!$A$1:$B$86,2),C5096),C5096)</f>
        <v>95</v>
      </c>
    </row>
    <row r="5097" customFormat="false" ht="12.75" hidden="false" customHeight="false" outlineLevel="0" collapsed="false">
      <c r="A5097" s="0" t="n">
        <f aca="false">B5097*1000+C5097</f>
        <v>70083</v>
      </c>
      <c r="B5097" s="0" t="n">
        <v>70</v>
      </c>
      <c r="C5097" s="0" t="n">
        <v>83</v>
      </c>
      <c r="D5097" s="0" t="n">
        <v>0</v>
      </c>
      <c r="E5097" s="0" t="n">
        <f aca="false">VLOOKUP(B5097,'Babblefish-APUMA'!$A$1:$B$86,2)</f>
        <v>95</v>
      </c>
      <c r="F5097" s="0" t="n">
        <f aca="false">IF(C5097&gt;1,IF(C5097&lt;99,VLOOKUP(C5097,'Babblefish-APUMA'!$A$1:$B$86,2),C5097),C5097)</f>
        <v>103</v>
      </c>
    </row>
    <row r="5098" customFormat="false" ht="12.75" hidden="false" customHeight="false" outlineLevel="0" collapsed="false">
      <c r="A5098" s="0" t="n">
        <f aca="false">B5098*1000+C5098</f>
        <v>70084</v>
      </c>
      <c r="B5098" s="0" t="n">
        <v>70</v>
      </c>
      <c r="C5098" s="0" t="n">
        <v>84</v>
      </c>
      <c r="D5098" s="0" t="n">
        <v>78</v>
      </c>
      <c r="E5098" s="0" t="n">
        <f aca="false">VLOOKUP(B5098,'Babblefish-APUMA'!$A$1:$B$86,2)</f>
        <v>95</v>
      </c>
      <c r="F5098" s="0" t="n">
        <f aca="false">IF(C5098&gt;1,IF(C5098&lt;99,VLOOKUP(C5098,'Babblefish-APUMA'!$A$1:$B$86,2),C5098),C5098)</f>
        <v>92</v>
      </c>
    </row>
    <row r="5099" customFormat="false" ht="12.75" hidden="false" customHeight="false" outlineLevel="0" collapsed="false">
      <c r="A5099" s="0" t="n">
        <f aca="false">B5099*1000+C5099</f>
        <v>70085</v>
      </c>
      <c r="B5099" s="0" t="n">
        <v>70</v>
      </c>
      <c r="C5099" s="0" t="n">
        <v>85</v>
      </c>
      <c r="D5099" s="0" t="n">
        <v>0</v>
      </c>
      <c r="E5099" s="0" t="n">
        <f aca="false">VLOOKUP(B5099,'Babblefish-APUMA'!$A$1:$B$86,2)</f>
        <v>95</v>
      </c>
      <c r="F5099" s="0" t="n">
        <f aca="false">IF(C5099&gt;1,IF(C5099&lt;99,VLOOKUP(C5099,'Babblefish-APUMA'!$A$1:$B$86,2),C5099),C5099)</f>
        <v>97</v>
      </c>
    </row>
    <row r="5100" customFormat="false" ht="12.75" hidden="false" customHeight="false" outlineLevel="0" collapsed="false">
      <c r="A5100" s="0" t="n">
        <f aca="false">B5100*1000+C5100</f>
        <v>70858</v>
      </c>
      <c r="B5100" s="0" t="n">
        <v>70</v>
      </c>
      <c r="C5100" s="0" t="n">
        <v>858</v>
      </c>
      <c r="D5100" s="0" t="n">
        <v>0</v>
      </c>
      <c r="E5100" s="0" t="n">
        <f aca="false">VLOOKUP(B5100,'Babblefish-APUMA'!$A$1:$B$86,2)</f>
        <v>95</v>
      </c>
      <c r="F5100" s="0" t="n">
        <f aca="false">IF(C5100&gt;1,IF(C5100&lt;99,VLOOKUP(C5100,'Babblefish-APUMA'!$A$1:$B$86,2),C5100),C5100)</f>
        <v>858</v>
      </c>
    </row>
    <row r="5101" customFormat="false" ht="12.75" hidden="false" customHeight="false" outlineLevel="0" collapsed="false">
      <c r="A5101" s="0" t="n">
        <f aca="false">B5101*1000+C5101</f>
        <v>70983</v>
      </c>
      <c r="B5101" s="0" t="n">
        <v>70</v>
      </c>
      <c r="C5101" s="0" t="n">
        <v>983</v>
      </c>
      <c r="D5101" s="0" t="n">
        <v>0</v>
      </c>
      <c r="E5101" s="0" t="n">
        <f aca="false">VLOOKUP(B5101,'Babblefish-APUMA'!$A$1:$B$86,2)</f>
        <v>95</v>
      </c>
      <c r="F5101" s="0" t="n">
        <f aca="false">IF(C5101&gt;1,IF(C5101&lt;99,VLOOKUP(C5101,'Babblefish-APUMA'!$A$1:$B$86,2),C5101),C5101)</f>
        <v>983</v>
      </c>
    </row>
    <row r="5102" customFormat="false" ht="12.75" hidden="false" customHeight="false" outlineLevel="0" collapsed="false">
      <c r="A5102" s="0" t="n">
        <f aca="false">B5102*1000+C5102</f>
        <v>70999</v>
      </c>
      <c r="B5102" s="0" t="n">
        <v>70</v>
      </c>
      <c r="C5102" s="0" t="n">
        <v>999</v>
      </c>
      <c r="D5102" s="0" t="n">
        <v>0</v>
      </c>
      <c r="E5102" s="0" t="n">
        <f aca="false">VLOOKUP(B5102,'Babblefish-APUMA'!$A$1:$B$86,2)</f>
        <v>95</v>
      </c>
      <c r="F5102" s="0" t="n">
        <f aca="false">IF(C5102&gt;1,IF(C5102&lt;99,VLOOKUP(C5102,'Babblefish-APUMA'!$A$1:$B$86,2),C5102),C5102)</f>
        <v>999</v>
      </c>
    </row>
    <row r="5103" customFormat="false" ht="12.75" hidden="false" customHeight="false" outlineLevel="0" collapsed="false">
      <c r="A5103" s="0" t="n">
        <f aca="false">B5103*1000+C5103</f>
        <v>71000</v>
      </c>
      <c r="B5103" s="0" t="n">
        <v>71</v>
      </c>
      <c r="C5103" s="0" t="n">
        <v>0</v>
      </c>
      <c r="D5103" s="0" t="n">
        <v>77246</v>
      </c>
      <c r="E5103" s="0" t="n">
        <f aca="false">VLOOKUP(B5103,'Babblefish-APUMA'!$A$1:$B$86,2)</f>
        <v>95</v>
      </c>
      <c r="F5103" s="0" t="n">
        <f aca="false">IF(C5103&gt;1,IF(C5103&lt;99,VLOOKUP(C5103,'Babblefish-APUMA'!$A$1:$B$86,2),C5103),C5103)</f>
        <v>0</v>
      </c>
    </row>
    <row r="5104" customFormat="false" ht="12.75" hidden="false" customHeight="false" outlineLevel="0" collapsed="false">
      <c r="A5104" s="0" t="n">
        <f aca="false">B5104*1000+C5104</f>
        <v>71001</v>
      </c>
      <c r="B5104" s="0" t="n">
        <v>71</v>
      </c>
      <c r="C5104" s="0" t="n">
        <v>1</v>
      </c>
      <c r="D5104" s="0" t="n">
        <v>0</v>
      </c>
      <c r="E5104" s="0" t="n">
        <f aca="false">VLOOKUP(B5104,'Babblefish-APUMA'!$A$1:$B$86,2)</f>
        <v>95</v>
      </c>
      <c r="F5104" s="0" t="n">
        <f aca="false">IF(C5104&gt;1,IF(C5104&lt;99,VLOOKUP(C5104,'Babblefish-APUMA'!$A$1:$B$86,2),C5104),C5104)</f>
        <v>1</v>
      </c>
    </row>
    <row r="5105" customFormat="false" ht="12.75" hidden="false" customHeight="false" outlineLevel="0" collapsed="false">
      <c r="A5105" s="0" t="n">
        <f aca="false">B5105*1000+C5105</f>
        <v>71002</v>
      </c>
      <c r="B5105" s="0" t="n">
        <v>71</v>
      </c>
      <c r="C5105" s="0" t="n">
        <v>2</v>
      </c>
      <c r="D5105" s="0" t="n">
        <v>0</v>
      </c>
      <c r="E5105" s="0" t="n">
        <f aca="false">VLOOKUP(B5105,'Babblefish-APUMA'!$A$1:$B$86,2)</f>
        <v>95</v>
      </c>
      <c r="F5105" s="0" t="n">
        <f aca="false">IF(C5105&gt;1,IF(C5105&lt;99,VLOOKUP(C5105,'Babblefish-APUMA'!$A$1:$B$86,2),C5105),C5105)</f>
        <v>2</v>
      </c>
    </row>
    <row r="5106" customFormat="false" ht="12.75" hidden="false" customHeight="false" outlineLevel="0" collapsed="false">
      <c r="A5106" s="0" t="n">
        <f aca="false">B5106*1000+C5106</f>
        <v>71003</v>
      </c>
      <c r="B5106" s="0" t="n">
        <v>71</v>
      </c>
      <c r="C5106" s="0" t="n">
        <v>3</v>
      </c>
      <c r="D5106" s="0" t="n">
        <v>0</v>
      </c>
      <c r="E5106" s="0" t="n">
        <f aca="false">VLOOKUP(B5106,'Babblefish-APUMA'!$A$1:$B$86,2)</f>
        <v>95</v>
      </c>
      <c r="F5106" s="0" t="n">
        <f aca="false">IF(C5106&gt;1,IF(C5106&lt;99,VLOOKUP(C5106,'Babblefish-APUMA'!$A$1:$B$86,2),C5106),C5106)</f>
        <v>3</v>
      </c>
    </row>
    <row r="5107" customFormat="false" ht="12.75" hidden="false" customHeight="false" outlineLevel="0" collapsed="false">
      <c r="A5107" s="0" t="n">
        <f aca="false">B5107*1000+C5107</f>
        <v>71004</v>
      </c>
      <c r="B5107" s="0" t="n">
        <v>71</v>
      </c>
      <c r="C5107" s="0" t="n">
        <v>4</v>
      </c>
      <c r="D5107" s="0" t="n">
        <v>0</v>
      </c>
      <c r="E5107" s="0" t="n">
        <f aca="false">VLOOKUP(B5107,'Babblefish-APUMA'!$A$1:$B$86,2)</f>
        <v>95</v>
      </c>
      <c r="F5107" s="0" t="n">
        <f aca="false">IF(C5107&gt;1,IF(C5107&lt;99,VLOOKUP(C5107,'Babblefish-APUMA'!$A$1:$B$86,2),C5107),C5107)</f>
        <v>4</v>
      </c>
    </row>
    <row r="5108" customFormat="false" ht="12.75" hidden="false" customHeight="false" outlineLevel="0" collapsed="false">
      <c r="A5108" s="0" t="n">
        <f aca="false">B5108*1000+C5108</f>
        <v>71005</v>
      </c>
      <c r="B5108" s="0" t="n">
        <v>71</v>
      </c>
      <c r="C5108" s="0" t="n">
        <v>5</v>
      </c>
      <c r="D5108" s="0" t="n">
        <v>0</v>
      </c>
      <c r="E5108" s="0" t="n">
        <f aca="false">VLOOKUP(B5108,'Babblefish-APUMA'!$A$1:$B$86,2)</f>
        <v>95</v>
      </c>
      <c r="F5108" s="0" t="n">
        <f aca="false">IF(C5108&gt;1,IF(C5108&lt;99,VLOOKUP(C5108,'Babblefish-APUMA'!$A$1:$B$86,2),C5108),C5108)</f>
        <v>5</v>
      </c>
    </row>
    <row r="5109" customFormat="false" ht="12.75" hidden="false" customHeight="false" outlineLevel="0" collapsed="false">
      <c r="A5109" s="0" t="n">
        <f aca="false">B5109*1000+C5109</f>
        <v>71006</v>
      </c>
      <c r="B5109" s="0" t="n">
        <v>71</v>
      </c>
      <c r="C5109" s="0" t="n">
        <v>6</v>
      </c>
      <c r="D5109" s="0" t="n">
        <v>0</v>
      </c>
      <c r="E5109" s="0" t="n">
        <f aca="false">VLOOKUP(B5109,'Babblefish-APUMA'!$A$1:$B$86,2)</f>
        <v>95</v>
      </c>
      <c r="F5109" s="0" t="n">
        <f aca="false">IF(C5109&gt;1,IF(C5109&lt;99,VLOOKUP(C5109,'Babblefish-APUMA'!$A$1:$B$86,2),C5109),C5109)</f>
        <v>6</v>
      </c>
    </row>
    <row r="5110" customFormat="false" ht="12.75" hidden="false" customHeight="false" outlineLevel="0" collapsed="false">
      <c r="A5110" s="0" t="n">
        <f aca="false">B5110*1000+C5110</f>
        <v>71007</v>
      </c>
      <c r="B5110" s="0" t="n">
        <v>71</v>
      </c>
      <c r="C5110" s="0" t="n">
        <v>7</v>
      </c>
      <c r="D5110" s="0" t="n">
        <v>0</v>
      </c>
      <c r="E5110" s="0" t="n">
        <f aca="false">VLOOKUP(B5110,'Babblefish-APUMA'!$A$1:$B$86,2)</f>
        <v>95</v>
      </c>
      <c r="F5110" s="0" t="n">
        <f aca="false">IF(C5110&gt;1,IF(C5110&lt;99,VLOOKUP(C5110,'Babblefish-APUMA'!$A$1:$B$86,2),C5110),C5110)</f>
        <v>7</v>
      </c>
    </row>
    <row r="5111" customFormat="false" ht="12.75" hidden="false" customHeight="false" outlineLevel="0" collapsed="false">
      <c r="A5111" s="0" t="n">
        <f aca="false">B5111*1000+C5111</f>
        <v>71008</v>
      </c>
      <c r="B5111" s="0" t="n">
        <v>71</v>
      </c>
      <c r="C5111" s="0" t="n">
        <v>8</v>
      </c>
      <c r="D5111" s="0" t="n">
        <v>0</v>
      </c>
      <c r="E5111" s="0" t="n">
        <f aca="false">VLOOKUP(B5111,'Babblefish-APUMA'!$A$1:$B$86,2)</f>
        <v>95</v>
      </c>
      <c r="F5111" s="0" t="n">
        <f aca="false">IF(C5111&gt;1,IF(C5111&lt;99,VLOOKUP(C5111,'Babblefish-APUMA'!$A$1:$B$86,2),C5111),C5111)</f>
        <v>8</v>
      </c>
    </row>
    <row r="5112" customFormat="false" ht="12.75" hidden="false" customHeight="false" outlineLevel="0" collapsed="false">
      <c r="A5112" s="0" t="n">
        <f aca="false">B5112*1000+C5112</f>
        <v>71009</v>
      </c>
      <c r="B5112" s="0" t="n">
        <v>71</v>
      </c>
      <c r="C5112" s="0" t="n">
        <v>9</v>
      </c>
      <c r="D5112" s="0" t="n">
        <v>0</v>
      </c>
      <c r="E5112" s="0" t="n">
        <f aca="false">VLOOKUP(B5112,'Babblefish-APUMA'!$A$1:$B$86,2)</f>
        <v>95</v>
      </c>
      <c r="F5112" s="0" t="n">
        <f aca="false">IF(C5112&gt;1,IF(C5112&lt;99,VLOOKUP(C5112,'Babblefish-APUMA'!$A$1:$B$86,2),C5112),C5112)</f>
        <v>9</v>
      </c>
    </row>
    <row r="5113" customFormat="false" ht="12.75" hidden="false" customHeight="false" outlineLevel="0" collapsed="false">
      <c r="A5113" s="0" t="n">
        <f aca="false">B5113*1000+C5113</f>
        <v>71010</v>
      </c>
      <c r="B5113" s="0" t="n">
        <v>71</v>
      </c>
      <c r="C5113" s="0" t="n">
        <v>10</v>
      </c>
      <c r="D5113" s="0" t="n">
        <v>0</v>
      </c>
      <c r="E5113" s="0" t="n">
        <f aca="false">VLOOKUP(B5113,'Babblefish-APUMA'!$A$1:$B$86,2)</f>
        <v>95</v>
      </c>
      <c r="F5113" s="0" t="n">
        <f aca="false">IF(C5113&gt;1,IF(C5113&lt;99,VLOOKUP(C5113,'Babblefish-APUMA'!$A$1:$B$86,2),C5113),C5113)</f>
        <v>10</v>
      </c>
    </row>
    <row r="5114" customFormat="false" ht="12.75" hidden="false" customHeight="false" outlineLevel="0" collapsed="false">
      <c r="A5114" s="0" t="n">
        <f aca="false">B5114*1000+C5114</f>
        <v>71011</v>
      </c>
      <c r="B5114" s="0" t="n">
        <v>71</v>
      </c>
      <c r="C5114" s="0" t="n">
        <v>11</v>
      </c>
      <c r="D5114" s="0" t="n">
        <v>0</v>
      </c>
      <c r="E5114" s="0" t="n">
        <f aca="false">VLOOKUP(B5114,'Babblefish-APUMA'!$A$1:$B$86,2)</f>
        <v>95</v>
      </c>
      <c r="F5114" s="0" t="n">
        <f aca="false">IF(C5114&gt;1,IF(C5114&lt;99,VLOOKUP(C5114,'Babblefish-APUMA'!$A$1:$B$86,2),C5114),C5114)</f>
        <v>11</v>
      </c>
    </row>
    <row r="5115" customFormat="false" ht="12.75" hidden="false" customHeight="false" outlineLevel="0" collapsed="false">
      <c r="A5115" s="0" t="n">
        <f aca="false">B5115*1000+C5115</f>
        <v>71012</v>
      </c>
      <c r="B5115" s="0" t="n">
        <v>71</v>
      </c>
      <c r="C5115" s="0" t="n">
        <v>12</v>
      </c>
      <c r="D5115" s="0" t="n">
        <v>0</v>
      </c>
      <c r="E5115" s="0" t="n">
        <f aca="false">VLOOKUP(B5115,'Babblefish-APUMA'!$A$1:$B$86,2)</f>
        <v>95</v>
      </c>
      <c r="F5115" s="0" t="n">
        <f aca="false">IF(C5115&gt;1,IF(C5115&lt;99,VLOOKUP(C5115,'Babblefish-APUMA'!$A$1:$B$86,2),C5115),C5115)</f>
        <v>12</v>
      </c>
    </row>
    <row r="5116" customFormat="false" ht="12.75" hidden="false" customHeight="false" outlineLevel="0" collapsed="false">
      <c r="A5116" s="0" t="n">
        <f aca="false">B5116*1000+C5116</f>
        <v>71013</v>
      </c>
      <c r="B5116" s="0" t="n">
        <v>71</v>
      </c>
      <c r="C5116" s="0" t="n">
        <v>13</v>
      </c>
      <c r="D5116" s="0" t="n">
        <v>0</v>
      </c>
      <c r="E5116" s="0" t="n">
        <f aca="false">VLOOKUP(B5116,'Babblefish-APUMA'!$A$1:$B$86,2)</f>
        <v>95</v>
      </c>
      <c r="F5116" s="0" t="n">
        <f aca="false">IF(C5116&gt;1,IF(C5116&lt;99,VLOOKUP(C5116,'Babblefish-APUMA'!$A$1:$B$86,2),C5116),C5116)</f>
        <v>100</v>
      </c>
    </row>
    <row r="5117" customFormat="false" ht="12.75" hidden="false" customHeight="false" outlineLevel="0" collapsed="false">
      <c r="A5117" s="0" t="n">
        <f aca="false">B5117*1000+C5117</f>
        <v>71014</v>
      </c>
      <c r="B5117" s="0" t="n">
        <v>71</v>
      </c>
      <c r="C5117" s="0" t="n">
        <v>14</v>
      </c>
      <c r="D5117" s="0" t="n">
        <v>0</v>
      </c>
      <c r="E5117" s="0" t="n">
        <f aca="false">VLOOKUP(B5117,'Babblefish-APUMA'!$A$1:$B$86,2)</f>
        <v>95</v>
      </c>
      <c r="F5117" s="0" t="n">
        <f aca="false">IF(C5117&gt;1,IF(C5117&lt;99,VLOOKUP(C5117,'Babblefish-APUMA'!$A$1:$B$86,2),C5117),C5117)</f>
        <v>100</v>
      </c>
    </row>
    <row r="5118" customFormat="false" ht="12.75" hidden="false" customHeight="false" outlineLevel="0" collapsed="false">
      <c r="A5118" s="0" t="n">
        <f aca="false">B5118*1000+C5118</f>
        <v>71015</v>
      </c>
      <c r="B5118" s="0" t="n">
        <v>71</v>
      </c>
      <c r="C5118" s="0" t="n">
        <v>15</v>
      </c>
      <c r="D5118" s="0" t="n">
        <v>156</v>
      </c>
      <c r="E5118" s="0" t="n">
        <f aca="false">VLOOKUP(B5118,'Babblefish-APUMA'!$A$1:$B$86,2)</f>
        <v>95</v>
      </c>
      <c r="F5118" s="0" t="n">
        <f aca="false">IF(C5118&gt;1,IF(C5118&lt;99,VLOOKUP(C5118,'Babblefish-APUMA'!$A$1:$B$86,2),C5118),C5118)</f>
        <v>15</v>
      </c>
    </row>
    <row r="5119" customFormat="false" ht="12.75" hidden="false" customHeight="false" outlineLevel="0" collapsed="false">
      <c r="A5119" s="0" t="n">
        <f aca="false">B5119*1000+C5119</f>
        <v>71016</v>
      </c>
      <c r="B5119" s="0" t="n">
        <v>71</v>
      </c>
      <c r="C5119" s="0" t="n">
        <v>16</v>
      </c>
      <c r="D5119" s="0" t="n">
        <v>0</v>
      </c>
      <c r="E5119" s="0" t="n">
        <f aca="false">VLOOKUP(B5119,'Babblefish-APUMA'!$A$1:$B$86,2)</f>
        <v>95</v>
      </c>
      <c r="F5119" s="0" t="n">
        <f aca="false">IF(C5119&gt;1,IF(C5119&lt;99,VLOOKUP(C5119,'Babblefish-APUMA'!$A$1:$B$86,2),C5119),C5119)</f>
        <v>99</v>
      </c>
    </row>
    <row r="5120" customFormat="false" ht="12.75" hidden="false" customHeight="false" outlineLevel="0" collapsed="false">
      <c r="A5120" s="0" t="n">
        <f aca="false">B5120*1000+C5120</f>
        <v>71017</v>
      </c>
      <c r="B5120" s="0" t="n">
        <v>71</v>
      </c>
      <c r="C5120" s="0" t="n">
        <v>17</v>
      </c>
      <c r="D5120" s="0" t="n">
        <v>0</v>
      </c>
      <c r="E5120" s="0" t="n">
        <f aca="false">VLOOKUP(B5120,'Babblefish-APUMA'!$A$1:$B$86,2)</f>
        <v>95</v>
      </c>
      <c r="F5120" s="0" t="n">
        <f aca="false">IF(C5120&gt;1,IF(C5120&lt;99,VLOOKUP(C5120,'Babblefish-APUMA'!$A$1:$B$86,2),C5120),C5120)</f>
        <v>87</v>
      </c>
    </row>
    <row r="5121" customFormat="false" ht="12.75" hidden="false" customHeight="false" outlineLevel="0" collapsed="false">
      <c r="A5121" s="0" t="n">
        <f aca="false">B5121*1000+C5121</f>
        <v>71018</v>
      </c>
      <c r="B5121" s="0" t="n">
        <v>71</v>
      </c>
      <c r="C5121" s="0" t="n">
        <v>18</v>
      </c>
      <c r="D5121" s="0" t="n">
        <v>0</v>
      </c>
      <c r="E5121" s="0" t="n">
        <f aca="false">VLOOKUP(B5121,'Babblefish-APUMA'!$A$1:$B$86,2)</f>
        <v>95</v>
      </c>
      <c r="F5121" s="0" t="n">
        <f aca="false">IF(C5121&gt;1,IF(C5121&lt;99,VLOOKUP(C5121,'Babblefish-APUMA'!$A$1:$B$86,2),C5121),C5121)</f>
        <v>87</v>
      </c>
    </row>
    <row r="5122" customFormat="false" ht="12.75" hidden="false" customHeight="false" outlineLevel="0" collapsed="false">
      <c r="A5122" s="0" t="n">
        <f aca="false">B5122*1000+C5122</f>
        <v>71019</v>
      </c>
      <c r="B5122" s="0" t="n">
        <v>71</v>
      </c>
      <c r="C5122" s="0" t="n">
        <v>19</v>
      </c>
      <c r="D5122" s="0" t="n">
        <v>247</v>
      </c>
      <c r="E5122" s="0" t="n">
        <f aca="false">VLOOKUP(B5122,'Babblefish-APUMA'!$A$1:$B$86,2)</f>
        <v>95</v>
      </c>
      <c r="F5122" s="0" t="n">
        <f aca="false">IF(C5122&gt;1,IF(C5122&lt;99,VLOOKUP(C5122,'Babblefish-APUMA'!$A$1:$B$86,2),C5122),C5122)</f>
        <v>19</v>
      </c>
    </row>
    <row r="5123" customFormat="false" ht="12.75" hidden="false" customHeight="false" outlineLevel="0" collapsed="false">
      <c r="A5123" s="0" t="n">
        <f aca="false">B5123*1000+C5123</f>
        <v>71020</v>
      </c>
      <c r="B5123" s="0" t="n">
        <v>71</v>
      </c>
      <c r="C5123" s="0" t="n">
        <v>20</v>
      </c>
      <c r="D5123" s="0" t="n">
        <v>0</v>
      </c>
      <c r="E5123" s="0" t="n">
        <f aca="false">VLOOKUP(B5123,'Babblefish-APUMA'!$A$1:$B$86,2)</f>
        <v>95</v>
      </c>
      <c r="F5123" s="0" t="n">
        <f aca="false">IF(C5123&gt;1,IF(C5123&lt;99,VLOOKUP(C5123,'Babblefish-APUMA'!$A$1:$B$86,2),C5123),C5123)</f>
        <v>86</v>
      </c>
    </row>
    <row r="5124" customFormat="false" ht="12.75" hidden="false" customHeight="false" outlineLevel="0" collapsed="false">
      <c r="A5124" s="0" t="n">
        <f aca="false">B5124*1000+C5124</f>
        <v>71021</v>
      </c>
      <c r="B5124" s="0" t="n">
        <v>71</v>
      </c>
      <c r="C5124" s="0" t="n">
        <v>21</v>
      </c>
      <c r="D5124" s="0" t="n">
        <v>0</v>
      </c>
      <c r="E5124" s="0" t="n">
        <f aca="false">VLOOKUP(B5124,'Babblefish-APUMA'!$A$1:$B$86,2)</f>
        <v>95</v>
      </c>
      <c r="F5124" s="0" t="n">
        <f aca="false">IF(C5124&gt;1,IF(C5124&lt;99,VLOOKUP(C5124,'Babblefish-APUMA'!$A$1:$B$86,2),C5124),C5124)</f>
        <v>86</v>
      </c>
    </row>
    <row r="5125" customFormat="false" ht="12.75" hidden="false" customHeight="false" outlineLevel="0" collapsed="false">
      <c r="A5125" s="0" t="n">
        <f aca="false">B5125*1000+C5125</f>
        <v>71022</v>
      </c>
      <c r="B5125" s="0" t="n">
        <v>71</v>
      </c>
      <c r="C5125" s="0" t="n">
        <v>22</v>
      </c>
      <c r="D5125" s="0" t="n">
        <v>0</v>
      </c>
      <c r="E5125" s="0" t="n">
        <f aca="false">VLOOKUP(B5125,'Babblefish-APUMA'!$A$1:$B$86,2)</f>
        <v>95</v>
      </c>
      <c r="F5125" s="0" t="n">
        <f aca="false">IF(C5125&gt;1,IF(C5125&lt;99,VLOOKUP(C5125,'Babblefish-APUMA'!$A$1:$B$86,2),C5125),C5125)</f>
        <v>22</v>
      </c>
    </row>
    <row r="5126" customFormat="false" ht="12.75" hidden="false" customHeight="false" outlineLevel="0" collapsed="false">
      <c r="A5126" s="0" t="n">
        <f aca="false">B5126*1000+C5126</f>
        <v>71023</v>
      </c>
      <c r="B5126" s="0" t="n">
        <v>71</v>
      </c>
      <c r="C5126" s="0" t="n">
        <v>23</v>
      </c>
      <c r="D5126" s="0" t="n">
        <v>130</v>
      </c>
      <c r="E5126" s="0" t="n">
        <f aca="false">VLOOKUP(B5126,'Babblefish-APUMA'!$A$1:$B$86,2)</f>
        <v>95</v>
      </c>
      <c r="F5126" s="0" t="n">
        <f aca="false">IF(C5126&gt;1,IF(C5126&lt;99,VLOOKUP(C5126,'Babblefish-APUMA'!$A$1:$B$86,2),C5126),C5126)</f>
        <v>97</v>
      </c>
    </row>
    <row r="5127" customFormat="false" ht="12.75" hidden="false" customHeight="false" outlineLevel="0" collapsed="false">
      <c r="A5127" s="0" t="n">
        <f aca="false">B5127*1000+C5127</f>
        <v>71024</v>
      </c>
      <c r="B5127" s="0" t="n">
        <v>71</v>
      </c>
      <c r="C5127" s="0" t="n">
        <v>24</v>
      </c>
      <c r="D5127" s="0" t="n">
        <v>0</v>
      </c>
      <c r="E5127" s="0" t="n">
        <f aca="false">VLOOKUP(B5127,'Babblefish-APUMA'!$A$1:$B$86,2)</f>
        <v>95</v>
      </c>
      <c r="F5127" s="0" t="n">
        <f aca="false">IF(C5127&gt;1,IF(C5127&lt;99,VLOOKUP(C5127,'Babblefish-APUMA'!$A$1:$B$86,2),C5127),C5127)</f>
        <v>101</v>
      </c>
    </row>
    <row r="5128" customFormat="false" ht="12.75" hidden="false" customHeight="false" outlineLevel="0" collapsed="false">
      <c r="A5128" s="0" t="n">
        <f aca="false">B5128*1000+C5128</f>
        <v>71025</v>
      </c>
      <c r="B5128" s="0" t="n">
        <v>71</v>
      </c>
      <c r="C5128" s="0" t="n">
        <v>25</v>
      </c>
      <c r="D5128" s="0" t="n">
        <v>0</v>
      </c>
      <c r="E5128" s="0" t="n">
        <f aca="false">VLOOKUP(B5128,'Babblefish-APUMA'!$A$1:$B$86,2)</f>
        <v>95</v>
      </c>
      <c r="F5128" s="0" t="n">
        <f aca="false">IF(C5128&gt;1,IF(C5128&lt;99,VLOOKUP(C5128,'Babblefish-APUMA'!$A$1:$B$86,2),C5128),C5128)</f>
        <v>101</v>
      </c>
    </row>
    <row r="5129" customFormat="false" ht="12.75" hidden="false" customHeight="false" outlineLevel="0" collapsed="false">
      <c r="A5129" s="0" t="n">
        <f aca="false">B5129*1000+C5129</f>
        <v>71026</v>
      </c>
      <c r="B5129" s="0" t="n">
        <v>71</v>
      </c>
      <c r="C5129" s="0" t="n">
        <v>26</v>
      </c>
      <c r="D5129" s="0" t="n">
        <v>0</v>
      </c>
      <c r="E5129" s="0" t="n">
        <f aca="false">VLOOKUP(B5129,'Babblefish-APUMA'!$A$1:$B$86,2)</f>
        <v>95</v>
      </c>
      <c r="F5129" s="0" t="n">
        <f aca="false">IF(C5129&gt;1,IF(C5129&lt;99,VLOOKUP(C5129,'Babblefish-APUMA'!$A$1:$B$86,2),C5129),C5129)</f>
        <v>26</v>
      </c>
    </row>
    <row r="5130" customFormat="false" ht="12.75" hidden="false" customHeight="false" outlineLevel="0" collapsed="false">
      <c r="A5130" s="0" t="n">
        <f aca="false">B5130*1000+C5130</f>
        <v>71027</v>
      </c>
      <c r="B5130" s="0" t="n">
        <v>71</v>
      </c>
      <c r="C5130" s="0" t="n">
        <v>27</v>
      </c>
      <c r="D5130" s="0" t="n">
        <v>0</v>
      </c>
      <c r="E5130" s="0" t="n">
        <f aca="false">VLOOKUP(B5130,'Babblefish-APUMA'!$A$1:$B$86,2)</f>
        <v>95</v>
      </c>
      <c r="F5130" s="0" t="n">
        <f aca="false">IF(C5130&gt;1,IF(C5130&lt;99,VLOOKUP(C5130,'Babblefish-APUMA'!$A$1:$B$86,2),C5130),C5130)</f>
        <v>27</v>
      </c>
    </row>
    <row r="5131" customFormat="false" ht="12.75" hidden="false" customHeight="false" outlineLevel="0" collapsed="false">
      <c r="A5131" s="0" t="n">
        <f aca="false">B5131*1000+C5131</f>
        <v>71028</v>
      </c>
      <c r="B5131" s="0" t="n">
        <v>71</v>
      </c>
      <c r="C5131" s="0" t="n">
        <v>28</v>
      </c>
      <c r="D5131" s="0" t="n">
        <v>0</v>
      </c>
      <c r="E5131" s="0" t="n">
        <f aca="false">VLOOKUP(B5131,'Babblefish-APUMA'!$A$1:$B$86,2)</f>
        <v>95</v>
      </c>
      <c r="F5131" s="0" t="n">
        <f aca="false">IF(C5131&gt;1,IF(C5131&lt;99,VLOOKUP(C5131,'Babblefish-APUMA'!$A$1:$B$86,2),C5131),C5131)</f>
        <v>94</v>
      </c>
    </row>
    <row r="5132" customFormat="false" ht="12.75" hidden="false" customHeight="false" outlineLevel="0" collapsed="false">
      <c r="A5132" s="0" t="n">
        <f aca="false">B5132*1000+C5132</f>
        <v>71029</v>
      </c>
      <c r="B5132" s="0" t="n">
        <v>71</v>
      </c>
      <c r="C5132" s="0" t="n">
        <v>29</v>
      </c>
      <c r="D5132" s="0" t="n">
        <v>0</v>
      </c>
      <c r="E5132" s="0" t="n">
        <f aca="false">VLOOKUP(B5132,'Babblefish-APUMA'!$A$1:$B$86,2)</f>
        <v>95</v>
      </c>
      <c r="F5132" s="0" t="n">
        <f aca="false">IF(C5132&gt;1,IF(C5132&lt;99,VLOOKUP(C5132,'Babblefish-APUMA'!$A$1:$B$86,2),C5132),C5132)</f>
        <v>94</v>
      </c>
    </row>
    <row r="5133" customFormat="false" ht="12.75" hidden="false" customHeight="false" outlineLevel="0" collapsed="false">
      <c r="A5133" s="0" t="n">
        <f aca="false">B5133*1000+C5133</f>
        <v>71030</v>
      </c>
      <c r="B5133" s="0" t="n">
        <v>71</v>
      </c>
      <c r="C5133" s="0" t="n">
        <v>30</v>
      </c>
      <c r="D5133" s="0" t="n">
        <v>0</v>
      </c>
      <c r="E5133" s="0" t="n">
        <f aca="false">VLOOKUP(B5133,'Babblefish-APUMA'!$A$1:$B$86,2)</f>
        <v>95</v>
      </c>
      <c r="F5133" s="0" t="n">
        <f aca="false">IF(C5133&gt;1,IF(C5133&lt;99,VLOOKUP(C5133,'Babblefish-APUMA'!$A$1:$B$86,2),C5133),C5133)</f>
        <v>30</v>
      </c>
    </row>
    <row r="5134" customFormat="false" ht="12.75" hidden="false" customHeight="false" outlineLevel="0" collapsed="false">
      <c r="A5134" s="0" t="n">
        <f aca="false">B5134*1000+C5134</f>
        <v>71031</v>
      </c>
      <c r="B5134" s="0" t="n">
        <v>71</v>
      </c>
      <c r="C5134" s="0" t="n">
        <v>31</v>
      </c>
      <c r="D5134" s="0" t="n">
        <v>0</v>
      </c>
      <c r="E5134" s="0" t="n">
        <f aca="false">VLOOKUP(B5134,'Babblefish-APUMA'!$A$1:$B$86,2)</f>
        <v>95</v>
      </c>
      <c r="F5134" s="0" t="n">
        <f aca="false">IF(C5134&gt;1,IF(C5134&lt;99,VLOOKUP(C5134,'Babblefish-APUMA'!$A$1:$B$86,2),C5134),C5134)</f>
        <v>31</v>
      </c>
    </row>
    <row r="5135" customFormat="false" ht="12.75" hidden="false" customHeight="false" outlineLevel="0" collapsed="false">
      <c r="A5135" s="0" t="n">
        <f aca="false">B5135*1000+C5135</f>
        <v>71032</v>
      </c>
      <c r="B5135" s="0" t="n">
        <v>71</v>
      </c>
      <c r="C5135" s="0" t="n">
        <v>32</v>
      </c>
      <c r="D5135" s="0" t="n">
        <v>0</v>
      </c>
      <c r="E5135" s="0" t="n">
        <f aca="false">VLOOKUP(B5135,'Babblefish-APUMA'!$A$1:$B$86,2)</f>
        <v>95</v>
      </c>
      <c r="F5135" s="0" t="n">
        <f aca="false">IF(C5135&gt;1,IF(C5135&lt;99,VLOOKUP(C5135,'Babblefish-APUMA'!$A$1:$B$86,2),C5135),C5135)</f>
        <v>32</v>
      </c>
    </row>
    <row r="5136" customFormat="false" ht="12.75" hidden="false" customHeight="false" outlineLevel="0" collapsed="false">
      <c r="A5136" s="0" t="n">
        <f aca="false">B5136*1000+C5136</f>
        <v>71033</v>
      </c>
      <c r="B5136" s="0" t="n">
        <v>71</v>
      </c>
      <c r="C5136" s="0" t="n">
        <v>33</v>
      </c>
      <c r="D5136" s="0" t="n">
        <v>0</v>
      </c>
      <c r="E5136" s="0" t="n">
        <f aca="false">VLOOKUP(B5136,'Babblefish-APUMA'!$A$1:$B$86,2)</f>
        <v>95</v>
      </c>
      <c r="F5136" s="0" t="n">
        <f aca="false">IF(C5136&gt;1,IF(C5136&lt;99,VLOOKUP(C5136,'Babblefish-APUMA'!$A$1:$B$86,2),C5136),C5136)</f>
        <v>96</v>
      </c>
    </row>
    <row r="5137" customFormat="false" ht="12.75" hidden="false" customHeight="false" outlineLevel="0" collapsed="false">
      <c r="A5137" s="0" t="n">
        <f aca="false">B5137*1000+C5137</f>
        <v>71034</v>
      </c>
      <c r="B5137" s="0" t="n">
        <v>71</v>
      </c>
      <c r="C5137" s="0" t="n">
        <v>34</v>
      </c>
      <c r="D5137" s="0" t="n">
        <v>0</v>
      </c>
      <c r="E5137" s="0" t="n">
        <f aca="false">VLOOKUP(B5137,'Babblefish-APUMA'!$A$1:$B$86,2)</f>
        <v>95</v>
      </c>
      <c r="F5137" s="0" t="n">
        <f aca="false">IF(C5137&gt;1,IF(C5137&lt;99,VLOOKUP(C5137,'Babblefish-APUMA'!$A$1:$B$86,2),C5137),C5137)</f>
        <v>96</v>
      </c>
    </row>
    <row r="5138" customFormat="false" ht="12.75" hidden="false" customHeight="false" outlineLevel="0" collapsed="false">
      <c r="A5138" s="0" t="n">
        <f aca="false">B5138*1000+C5138</f>
        <v>71035</v>
      </c>
      <c r="B5138" s="0" t="n">
        <v>71</v>
      </c>
      <c r="C5138" s="0" t="n">
        <v>35</v>
      </c>
      <c r="D5138" s="0" t="n">
        <v>0</v>
      </c>
      <c r="E5138" s="0" t="n">
        <f aca="false">VLOOKUP(B5138,'Babblefish-APUMA'!$A$1:$B$86,2)</f>
        <v>95</v>
      </c>
      <c r="F5138" s="0" t="n">
        <f aca="false">IF(C5138&gt;1,IF(C5138&lt;99,VLOOKUP(C5138,'Babblefish-APUMA'!$A$1:$B$86,2),C5138),C5138)</f>
        <v>96</v>
      </c>
    </row>
    <row r="5139" customFormat="false" ht="12.75" hidden="false" customHeight="false" outlineLevel="0" collapsed="false">
      <c r="A5139" s="0" t="n">
        <f aca="false">B5139*1000+C5139</f>
        <v>71036</v>
      </c>
      <c r="B5139" s="0" t="n">
        <v>71</v>
      </c>
      <c r="C5139" s="0" t="n">
        <v>36</v>
      </c>
      <c r="D5139" s="0" t="n">
        <v>0</v>
      </c>
      <c r="E5139" s="0" t="n">
        <f aca="false">VLOOKUP(B5139,'Babblefish-APUMA'!$A$1:$B$86,2)</f>
        <v>95</v>
      </c>
      <c r="F5139" s="0" t="n">
        <f aca="false">IF(C5139&gt;1,IF(C5139&lt;99,VLOOKUP(C5139,'Babblefish-APUMA'!$A$1:$B$86,2),C5139),C5139)</f>
        <v>96</v>
      </c>
    </row>
    <row r="5140" customFormat="false" ht="12.75" hidden="false" customHeight="false" outlineLevel="0" collapsed="false">
      <c r="A5140" s="0" t="n">
        <f aca="false">B5140*1000+C5140</f>
        <v>71037</v>
      </c>
      <c r="B5140" s="0" t="n">
        <v>71</v>
      </c>
      <c r="C5140" s="0" t="n">
        <v>37</v>
      </c>
      <c r="D5140" s="0" t="n">
        <v>0</v>
      </c>
      <c r="E5140" s="0" t="n">
        <f aca="false">VLOOKUP(B5140,'Babblefish-APUMA'!$A$1:$B$86,2)</f>
        <v>95</v>
      </c>
      <c r="F5140" s="0" t="n">
        <f aca="false">IF(C5140&gt;1,IF(C5140&lt;99,VLOOKUP(C5140,'Babblefish-APUMA'!$A$1:$B$86,2),C5140),C5140)</f>
        <v>96</v>
      </c>
    </row>
    <row r="5141" customFormat="false" ht="12.75" hidden="false" customHeight="false" outlineLevel="0" collapsed="false">
      <c r="A5141" s="0" t="n">
        <f aca="false">B5141*1000+C5141</f>
        <v>71038</v>
      </c>
      <c r="B5141" s="0" t="n">
        <v>71</v>
      </c>
      <c r="C5141" s="0" t="n">
        <v>38</v>
      </c>
      <c r="D5141" s="0" t="n">
        <v>0</v>
      </c>
      <c r="E5141" s="0" t="n">
        <f aca="false">VLOOKUP(B5141,'Babblefish-APUMA'!$A$1:$B$86,2)</f>
        <v>95</v>
      </c>
      <c r="F5141" s="0" t="n">
        <f aca="false">IF(C5141&gt;1,IF(C5141&lt;99,VLOOKUP(C5141,'Babblefish-APUMA'!$A$1:$B$86,2),C5141),C5141)</f>
        <v>91</v>
      </c>
    </row>
    <row r="5142" customFormat="false" ht="12.75" hidden="false" customHeight="false" outlineLevel="0" collapsed="false">
      <c r="A5142" s="0" t="n">
        <f aca="false">B5142*1000+C5142</f>
        <v>71039</v>
      </c>
      <c r="B5142" s="0" t="n">
        <v>71</v>
      </c>
      <c r="C5142" s="0" t="n">
        <v>39</v>
      </c>
      <c r="D5142" s="0" t="n">
        <v>0</v>
      </c>
      <c r="E5142" s="0" t="n">
        <f aca="false">VLOOKUP(B5142,'Babblefish-APUMA'!$A$1:$B$86,2)</f>
        <v>95</v>
      </c>
      <c r="F5142" s="0" t="n">
        <f aca="false">IF(C5142&gt;1,IF(C5142&lt;99,VLOOKUP(C5142,'Babblefish-APUMA'!$A$1:$B$86,2),C5142),C5142)</f>
        <v>91</v>
      </c>
    </row>
    <row r="5143" customFormat="false" ht="12.75" hidden="false" customHeight="false" outlineLevel="0" collapsed="false">
      <c r="A5143" s="0" t="n">
        <f aca="false">B5143*1000+C5143</f>
        <v>71040</v>
      </c>
      <c r="B5143" s="0" t="n">
        <v>71</v>
      </c>
      <c r="C5143" s="0" t="n">
        <v>40</v>
      </c>
      <c r="D5143" s="0" t="n">
        <v>0</v>
      </c>
      <c r="E5143" s="0" t="n">
        <f aca="false">VLOOKUP(B5143,'Babblefish-APUMA'!$A$1:$B$86,2)</f>
        <v>95</v>
      </c>
      <c r="F5143" s="0" t="n">
        <f aca="false">IF(C5143&gt;1,IF(C5143&lt;99,VLOOKUP(C5143,'Babblefish-APUMA'!$A$1:$B$86,2),C5143),C5143)</f>
        <v>88</v>
      </c>
    </row>
    <row r="5144" customFormat="false" ht="12.75" hidden="false" customHeight="false" outlineLevel="0" collapsed="false">
      <c r="A5144" s="0" t="n">
        <f aca="false">B5144*1000+C5144</f>
        <v>71041</v>
      </c>
      <c r="B5144" s="0" t="n">
        <v>71</v>
      </c>
      <c r="C5144" s="0" t="n">
        <v>41</v>
      </c>
      <c r="D5144" s="0" t="n">
        <v>0</v>
      </c>
      <c r="E5144" s="0" t="n">
        <f aca="false">VLOOKUP(B5144,'Babblefish-APUMA'!$A$1:$B$86,2)</f>
        <v>95</v>
      </c>
      <c r="F5144" s="0" t="n">
        <f aca="false">IF(C5144&gt;1,IF(C5144&lt;99,VLOOKUP(C5144,'Babblefish-APUMA'!$A$1:$B$86,2),C5144),C5144)</f>
        <v>88</v>
      </c>
    </row>
    <row r="5145" customFormat="false" ht="12.75" hidden="false" customHeight="false" outlineLevel="0" collapsed="false">
      <c r="A5145" s="0" t="n">
        <f aca="false">B5145*1000+C5145</f>
        <v>71042</v>
      </c>
      <c r="B5145" s="0" t="n">
        <v>71</v>
      </c>
      <c r="C5145" s="0" t="n">
        <v>42</v>
      </c>
      <c r="D5145" s="0" t="n">
        <v>494</v>
      </c>
      <c r="E5145" s="0" t="n">
        <f aca="false">VLOOKUP(B5145,'Babblefish-APUMA'!$A$1:$B$86,2)</f>
        <v>95</v>
      </c>
      <c r="F5145" s="0" t="n">
        <f aca="false">IF(C5145&gt;1,IF(C5145&lt;99,VLOOKUP(C5145,'Babblefish-APUMA'!$A$1:$B$86,2),C5145),C5145)</f>
        <v>92</v>
      </c>
    </row>
    <row r="5146" customFormat="false" ht="12.75" hidden="false" customHeight="false" outlineLevel="0" collapsed="false">
      <c r="A5146" s="0" t="n">
        <f aca="false">B5146*1000+C5146</f>
        <v>71043</v>
      </c>
      <c r="B5146" s="0" t="n">
        <v>71</v>
      </c>
      <c r="C5146" s="0" t="n">
        <v>43</v>
      </c>
      <c r="D5146" s="0" t="n">
        <v>143</v>
      </c>
      <c r="E5146" s="0" t="n">
        <f aca="false">VLOOKUP(B5146,'Babblefish-APUMA'!$A$1:$B$86,2)</f>
        <v>95</v>
      </c>
      <c r="F5146" s="0" t="n">
        <f aca="false">IF(C5146&gt;1,IF(C5146&lt;99,VLOOKUP(C5146,'Babblefish-APUMA'!$A$1:$B$86,2),C5146),C5146)</f>
        <v>92</v>
      </c>
    </row>
    <row r="5147" customFormat="false" ht="12.75" hidden="false" customHeight="false" outlineLevel="0" collapsed="false">
      <c r="A5147" s="0" t="n">
        <f aca="false">B5147*1000+C5147</f>
        <v>71044</v>
      </c>
      <c r="B5147" s="0" t="n">
        <v>71</v>
      </c>
      <c r="C5147" s="0" t="n">
        <v>44</v>
      </c>
      <c r="D5147" s="0" t="n">
        <v>221</v>
      </c>
      <c r="E5147" s="0" t="n">
        <f aca="false">VLOOKUP(B5147,'Babblefish-APUMA'!$A$1:$B$86,2)</f>
        <v>95</v>
      </c>
      <c r="F5147" s="0" t="n">
        <f aca="false">IF(C5147&gt;1,IF(C5147&lt;99,VLOOKUP(C5147,'Babblefish-APUMA'!$A$1:$B$86,2),C5147),C5147)</f>
        <v>92</v>
      </c>
    </row>
    <row r="5148" customFormat="false" ht="12.75" hidden="false" customHeight="false" outlineLevel="0" collapsed="false">
      <c r="A5148" s="0" t="n">
        <f aca="false">B5148*1000+C5148</f>
        <v>71045</v>
      </c>
      <c r="B5148" s="0" t="n">
        <v>71</v>
      </c>
      <c r="C5148" s="0" t="n">
        <v>45</v>
      </c>
      <c r="D5148" s="0" t="n">
        <v>0</v>
      </c>
      <c r="E5148" s="0" t="n">
        <f aca="false">VLOOKUP(B5148,'Babblefish-APUMA'!$A$1:$B$86,2)</f>
        <v>95</v>
      </c>
      <c r="F5148" s="0" t="n">
        <f aca="false">IF(C5148&gt;1,IF(C5148&lt;99,VLOOKUP(C5148,'Babblefish-APUMA'!$A$1:$B$86,2),C5148),C5148)</f>
        <v>92</v>
      </c>
    </row>
    <row r="5149" customFormat="false" ht="12.75" hidden="false" customHeight="false" outlineLevel="0" collapsed="false">
      <c r="A5149" s="0" t="n">
        <f aca="false">B5149*1000+C5149</f>
        <v>71046</v>
      </c>
      <c r="B5149" s="0" t="n">
        <v>71</v>
      </c>
      <c r="C5149" s="0" t="n">
        <v>46</v>
      </c>
      <c r="D5149" s="0" t="n">
        <v>78</v>
      </c>
      <c r="E5149" s="0" t="n">
        <f aca="false">VLOOKUP(B5149,'Babblefish-APUMA'!$A$1:$B$86,2)</f>
        <v>95</v>
      </c>
      <c r="F5149" s="0" t="n">
        <f aca="false">IF(C5149&gt;1,IF(C5149&lt;99,VLOOKUP(C5149,'Babblefish-APUMA'!$A$1:$B$86,2),C5149),C5149)</f>
        <v>92</v>
      </c>
    </row>
    <row r="5150" customFormat="false" ht="12.75" hidden="false" customHeight="false" outlineLevel="0" collapsed="false">
      <c r="A5150" s="0" t="n">
        <f aca="false">B5150*1000+C5150</f>
        <v>71047</v>
      </c>
      <c r="B5150" s="0" t="n">
        <v>71</v>
      </c>
      <c r="C5150" s="0" t="n">
        <v>47</v>
      </c>
      <c r="D5150" s="0" t="n">
        <v>0</v>
      </c>
      <c r="E5150" s="0" t="n">
        <f aca="false">VLOOKUP(B5150,'Babblefish-APUMA'!$A$1:$B$86,2)</f>
        <v>95</v>
      </c>
      <c r="F5150" s="0" t="n">
        <f aca="false">IF(C5150&gt;1,IF(C5150&lt;99,VLOOKUP(C5150,'Babblefish-APUMA'!$A$1:$B$86,2),C5150),C5150)</f>
        <v>92</v>
      </c>
    </row>
    <row r="5151" customFormat="false" ht="12.75" hidden="false" customHeight="false" outlineLevel="0" collapsed="false">
      <c r="A5151" s="0" t="n">
        <f aca="false">B5151*1000+C5151</f>
        <v>71048</v>
      </c>
      <c r="B5151" s="0" t="n">
        <v>71</v>
      </c>
      <c r="C5151" s="0" t="n">
        <v>48</v>
      </c>
      <c r="D5151" s="0" t="n">
        <v>3198</v>
      </c>
      <c r="E5151" s="0" t="n">
        <f aca="false">VLOOKUP(B5151,'Babblefish-APUMA'!$A$1:$B$86,2)</f>
        <v>95</v>
      </c>
      <c r="F5151" s="0" t="n">
        <f aca="false">IF(C5151&gt;1,IF(C5151&lt;99,VLOOKUP(C5151,'Babblefish-APUMA'!$A$1:$B$86,2),C5151),C5151)</f>
        <v>92</v>
      </c>
    </row>
    <row r="5152" customFormat="false" ht="12.75" hidden="false" customHeight="false" outlineLevel="0" collapsed="false">
      <c r="A5152" s="0" t="n">
        <f aca="false">B5152*1000+C5152</f>
        <v>71049</v>
      </c>
      <c r="B5152" s="0" t="n">
        <v>71</v>
      </c>
      <c r="C5152" s="0" t="n">
        <v>49</v>
      </c>
      <c r="D5152" s="0" t="n">
        <v>0</v>
      </c>
      <c r="E5152" s="0" t="n">
        <f aca="false">VLOOKUP(B5152,'Babblefish-APUMA'!$A$1:$B$86,2)</f>
        <v>95</v>
      </c>
      <c r="F5152" s="0" t="n">
        <f aca="false">IF(C5152&gt;1,IF(C5152&lt;99,VLOOKUP(C5152,'Babblefish-APUMA'!$A$1:$B$86,2),C5152),C5152)</f>
        <v>98</v>
      </c>
    </row>
    <row r="5153" customFormat="false" ht="12.75" hidden="false" customHeight="false" outlineLevel="0" collapsed="false">
      <c r="A5153" s="0" t="n">
        <f aca="false">B5153*1000+C5153</f>
        <v>71050</v>
      </c>
      <c r="B5153" s="0" t="n">
        <v>71</v>
      </c>
      <c r="C5153" s="0" t="n">
        <v>50</v>
      </c>
      <c r="D5153" s="0" t="n">
        <v>0</v>
      </c>
      <c r="E5153" s="0" t="n">
        <f aca="false">VLOOKUP(B5153,'Babblefish-APUMA'!$A$1:$B$86,2)</f>
        <v>95</v>
      </c>
      <c r="F5153" s="0" t="n">
        <f aca="false">IF(C5153&gt;1,IF(C5153&lt;99,VLOOKUP(C5153,'Babblefish-APUMA'!$A$1:$B$86,2),C5153),C5153)</f>
        <v>98</v>
      </c>
    </row>
    <row r="5154" customFormat="false" ht="12.75" hidden="false" customHeight="false" outlineLevel="0" collapsed="false">
      <c r="A5154" s="0" t="n">
        <f aca="false">B5154*1000+C5154</f>
        <v>71051</v>
      </c>
      <c r="B5154" s="0" t="n">
        <v>71</v>
      </c>
      <c r="C5154" s="0" t="n">
        <v>51</v>
      </c>
      <c r="D5154" s="0" t="n">
        <v>0</v>
      </c>
      <c r="E5154" s="0" t="n">
        <f aca="false">VLOOKUP(B5154,'Babblefish-APUMA'!$A$1:$B$86,2)</f>
        <v>95</v>
      </c>
      <c r="F5154" s="0" t="n">
        <f aca="false">IF(C5154&gt;1,IF(C5154&lt;99,VLOOKUP(C5154,'Babblefish-APUMA'!$A$1:$B$86,2),C5154),C5154)</f>
        <v>98</v>
      </c>
    </row>
    <row r="5155" customFormat="false" ht="12.75" hidden="false" customHeight="false" outlineLevel="0" collapsed="false">
      <c r="A5155" s="0" t="n">
        <f aca="false">B5155*1000+C5155</f>
        <v>71052</v>
      </c>
      <c r="B5155" s="0" t="n">
        <v>71</v>
      </c>
      <c r="C5155" s="0" t="n">
        <v>52</v>
      </c>
      <c r="D5155" s="0" t="n">
        <v>91</v>
      </c>
      <c r="E5155" s="0" t="n">
        <f aca="false">VLOOKUP(B5155,'Babblefish-APUMA'!$A$1:$B$86,2)</f>
        <v>95</v>
      </c>
      <c r="F5155" s="0" t="n">
        <f aca="false">IF(C5155&gt;1,IF(C5155&lt;99,VLOOKUP(C5155,'Babblefish-APUMA'!$A$1:$B$86,2),C5155),C5155)</f>
        <v>90</v>
      </c>
    </row>
    <row r="5156" customFormat="false" ht="12.75" hidden="false" customHeight="false" outlineLevel="0" collapsed="false">
      <c r="A5156" s="0" t="n">
        <f aca="false">B5156*1000+C5156</f>
        <v>71053</v>
      </c>
      <c r="B5156" s="0" t="n">
        <v>71</v>
      </c>
      <c r="C5156" s="0" t="n">
        <v>53</v>
      </c>
      <c r="D5156" s="0" t="n">
        <v>0</v>
      </c>
      <c r="E5156" s="0" t="n">
        <f aca="false">VLOOKUP(B5156,'Babblefish-APUMA'!$A$1:$B$86,2)</f>
        <v>95</v>
      </c>
      <c r="F5156" s="0" t="n">
        <f aca="false">IF(C5156&gt;1,IF(C5156&lt;99,VLOOKUP(C5156,'Babblefish-APUMA'!$A$1:$B$86,2),C5156),C5156)</f>
        <v>90</v>
      </c>
    </row>
    <row r="5157" customFormat="false" ht="12.75" hidden="false" customHeight="false" outlineLevel="0" collapsed="false">
      <c r="A5157" s="0" t="n">
        <f aca="false">B5157*1000+C5157</f>
        <v>71054</v>
      </c>
      <c r="B5157" s="0" t="n">
        <v>71</v>
      </c>
      <c r="C5157" s="0" t="n">
        <v>54</v>
      </c>
      <c r="D5157" s="0" t="n">
        <v>663</v>
      </c>
      <c r="E5157" s="0" t="n">
        <f aca="false">VLOOKUP(B5157,'Babblefish-APUMA'!$A$1:$B$86,2)</f>
        <v>95</v>
      </c>
      <c r="F5157" s="0" t="n">
        <f aca="false">IF(C5157&gt;1,IF(C5157&lt;99,VLOOKUP(C5157,'Babblefish-APUMA'!$A$1:$B$86,2),C5157),C5157)</f>
        <v>90</v>
      </c>
    </row>
    <row r="5158" customFormat="false" ht="12.75" hidden="false" customHeight="false" outlineLevel="0" collapsed="false">
      <c r="A5158" s="0" t="n">
        <f aca="false">B5158*1000+C5158</f>
        <v>71055</v>
      </c>
      <c r="B5158" s="0" t="n">
        <v>71</v>
      </c>
      <c r="C5158" s="0" t="n">
        <v>55</v>
      </c>
      <c r="D5158" s="0" t="n">
        <v>65</v>
      </c>
      <c r="E5158" s="0" t="n">
        <f aca="false">VLOOKUP(B5158,'Babblefish-APUMA'!$A$1:$B$86,2)</f>
        <v>95</v>
      </c>
      <c r="F5158" s="0" t="n">
        <f aca="false">IF(C5158&gt;1,IF(C5158&lt;99,VLOOKUP(C5158,'Babblefish-APUMA'!$A$1:$B$86,2),C5158),C5158)</f>
        <v>90</v>
      </c>
    </row>
    <row r="5159" customFormat="false" ht="12.75" hidden="false" customHeight="false" outlineLevel="0" collapsed="false">
      <c r="A5159" s="0" t="n">
        <f aca="false">B5159*1000+C5159</f>
        <v>71056</v>
      </c>
      <c r="B5159" s="0" t="n">
        <v>71</v>
      </c>
      <c r="C5159" s="0" t="n">
        <v>56</v>
      </c>
      <c r="D5159" s="0" t="n">
        <v>143</v>
      </c>
      <c r="E5159" s="0" t="n">
        <f aca="false">VLOOKUP(B5159,'Babblefish-APUMA'!$A$1:$B$86,2)</f>
        <v>95</v>
      </c>
      <c r="F5159" s="0" t="n">
        <f aca="false">IF(C5159&gt;1,IF(C5159&lt;99,VLOOKUP(C5159,'Babblefish-APUMA'!$A$1:$B$86,2),C5159),C5159)</f>
        <v>90</v>
      </c>
    </row>
    <row r="5160" customFormat="false" ht="12.75" hidden="false" customHeight="false" outlineLevel="0" collapsed="false">
      <c r="A5160" s="0" t="n">
        <f aca="false">B5160*1000+C5160</f>
        <v>71057</v>
      </c>
      <c r="B5160" s="0" t="n">
        <v>71</v>
      </c>
      <c r="C5160" s="0" t="n">
        <v>57</v>
      </c>
      <c r="D5160" s="0" t="n">
        <v>0</v>
      </c>
      <c r="E5160" s="0" t="n">
        <f aca="false">VLOOKUP(B5160,'Babblefish-APUMA'!$A$1:$B$86,2)</f>
        <v>95</v>
      </c>
      <c r="F5160" s="0" t="n">
        <f aca="false">IF(C5160&gt;1,IF(C5160&lt;99,VLOOKUP(C5160,'Babblefish-APUMA'!$A$1:$B$86,2),C5160),C5160)</f>
        <v>90</v>
      </c>
    </row>
    <row r="5161" customFormat="false" ht="12.75" hidden="false" customHeight="false" outlineLevel="0" collapsed="false">
      <c r="A5161" s="0" t="n">
        <f aca="false">B5161*1000+C5161</f>
        <v>71058</v>
      </c>
      <c r="B5161" s="0" t="n">
        <v>71</v>
      </c>
      <c r="C5161" s="0" t="n">
        <v>58</v>
      </c>
      <c r="D5161" s="0" t="n">
        <v>546</v>
      </c>
      <c r="E5161" s="0" t="n">
        <f aca="false">VLOOKUP(B5161,'Babblefish-APUMA'!$A$1:$B$86,2)</f>
        <v>95</v>
      </c>
      <c r="F5161" s="0" t="n">
        <f aca="false">IF(C5161&gt;1,IF(C5161&lt;99,VLOOKUP(C5161,'Babblefish-APUMA'!$A$1:$B$86,2),C5161),C5161)</f>
        <v>90</v>
      </c>
    </row>
    <row r="5162" customFormat="false" ht="12.75" hidden="false" customHeight="false" outlineLevel="0" collapsed="false">
      <c r="A5162" s="0" t="n">
        <f aca="false">B5162*1000+C5162</f>
        <v>71059</v>
      </c>
      <c r="B5162" s="0" t="n">
        <v>71</v>
      </c>
      <c r="C5162" s="0" t="n">
        <v>59</v>
      </c>
      <c r="D5162" s="0" t="n">
        <v>3289</v>
      </c>
      <c r="E5162" s="0" t="n">
        <f aca="false">VLOOKUP(B5162,'Babblefish-APUMA'!$A$1:$B$86,2)</f>
        <v>95</v>
      </c>
      <c r="F5162" s="0" t="n">
        <f aca="false">IF(C5162&gt;1,IF(C5162&lt;99,VLOOKUP(C5162,'Babblefish-APUMA'!$A$1:$B$86,2),C5162),C5162)</f>
        <v>90</v>
      </c>
    </row>
    <row r="5163" customFormat="false" ht="12.75" hidden="false" customHeight="false" outlineLevel="0" collapsed="false">
      <c r="A5163" s="0" t="n">
        <f aca="false">B5163*1000+C5163</f>
        <v>71060</v>
      </c>
      <c r="B5163" s="0" t="n">
        <v>71</v>
      </c>
      <c r="C5163" s="0" t="n">
        <v>60</v>
      </c>
      <c r="D5163" s="0" t="n">
        <v>91</v>
      </c>
      <c r="E5163" s="0" t="n">
        <f aca="false">VLOOKUP(B5163,'Babblefish-APUMA'!$A$1:$B$86,2)</f>
        <v>95</v>
      </c>
      <c r="F5163" s="0" t="n">
        <f aca="false">IF(C5163&gt;1,IF(C5163&lt;99,VLOOKUP(C5163,'Babblefish-APUMA'!$A$1:$B$86,2),C5163),C5163)</f>
        <v>90</v>
      </c>
    </row>
    <row r="5164" customFormat="false" ht="12.75" hidden="false" customHeight="false" outlineLevel="0" collapsed="false">
      <c r="A5164" s="0" t="n">
        <f aca="false">B5164*1000+C5164</f>
        <v>71061</v>
      </c>
      <c r="B5164" s="0" t="n">
        <v>71</v>
      </c>
      <c r="C5164" s="0" t="n">
        <v>61</v>
      </c>
      <c r="D5164" s="0" t="n">
        <v>0</v>
      </c>
      <c r="E5164" s="0" t="n">
        <f aca="false">VLOOKUP(B5164,'Babblefish-APUMA'!$A$1:$B$86,2)</f>
        <v>95</v>
      </c>
      <c r="F5164" s="0" t="n">
        <f aca="false">IF(C5164&gt;1,IF(C5164&lt;99,VLOOKUP(C5164,'Babblefish-APUMA'!$A$1:$B$86,2),C5164),C5164)</f>
        <v>90</v>
      </c>
    </row>
    <row r="5165" customFormat="false" ht="12.75" hidden="false" customHeight="false" outlineLevel="0" collapsed="false">
      <c r="A5165" s="0" t="n">
        <f aca="false">B5165*1000+C5165</f>
        <v>71062</v>
      </c>
      <c r="B5165" s="0" t="n">
        <v>71</v>
      </c>
      <c r="C5165" s="0" t="n">
        <v>62</v>
      </c>
      <c r="D5165" s="0" t="n">
        <v>0</v>
      </c>
      <c r="E5165" s="0" t="n">
        <f aca="false">VLOOKUP(B5165,'Babblefish-APUMA'!$A$1:$B$86,2)</f>
        <v>95</v>
      </c>
      <c r="F5165" s="0" t="n">
        <f aca="false">IF(C5165&gt;1,IF(C5165&lt;99,VLOOKUP(C5165,'Babblefish-APUMA'!$A$1:$B$86,2),C5165),C5165)</f>
        <v>90</v>
      </c>
    </row>
    <row r="5166" customFormat="false" ht="12.75" hidden="false" customHeight="false" outlineLevel="0" collapsed="false">
      <c r="A5166" s="0" t="n">
        <f aca="false">B5166*1000+C5166</f>
        <v>71063</v>
      </c>
      <c r="B5166" s="0" t="n">
        <v>71</v>
      </c>
      <c r="C5166" s="0" t="n">
        <v>63</v>
      </c>
      <c r="D5166" s="0" t="n">
        <v>143</v>
      </c>
      <c r="E5166" s="0" t="n">
        <f aca="false">VLOOKUP(B5166,'Babblefish-APUMA'!$A$1:$B$86,2)</f>
        <v>95</v>
      </c>
      <c r="F5166" s="0" t="n">
        <f aca="false">IF(C5166&gt;1,IF(C5166&lt;99,VLOOKUP(C5166,'Babblefish-APUMA'!$A$1:$B$86,2),C5166),C5166)</f>
        <v>90</v>
      </c>
    </row>
    <row r="5167" customFormat="false" ht="12.75" hidden="false" customHeight="false" outlineLevel="0" collapsed="false">
      <c r="A5167" s="0" t="n">
        <f aca="false">B5167*1000+C5167</f>
        <v>71064</v>
      </c>
      <c r="B5167" s="0" t="n">
        <v>71</v>
      </c>
      <c r="C5167" s="0" t="n">
        <v>64</v>
      </c>
      <c r="D5167" s="0" t="n">
        <v>9672</v>
      </c>
      <c r="E5167" s="0" t="n">
        <f aca="false">VLOOKUP(B5167,'Babblefish-APUMA'!$A$1:$B$86,2)</f>
        <v>95</v>
      </c>
      <c r="F5167" s="0" t="n">
        <f aca="false">IF(C5167&gt;1,IF(C5167&lt;99,VLOOKUP(C5167,'Babblefish-APUMA'!$A$1:$B$86,2),C5167),C5167)</f>
        <v>90</v>
      </c>
    </row>
    <row r="5168" customFormat="false" ht="12.75" hidden="false" customHeight="false" outlineLevel="0" collapsed="false">
      <c r="A5168" s="0" t="n">
        <f aca="false">B5168*1000+C5168</f>
        <v>71065</v>
      </c>
      <c r="B5168" s="0" t="n">
        <v>71</v>
      </c>
      <c r="C5168" s="0" t="n">
        <v>65</v>
      </c>
      <c r="D5168" s="0" t="n">
        <v>2990</v>
      </c>
      <c r="E5168" s="0" t="n">
        <f aca="false">VLOOKUP(B5168,'Babblefish-APUMA'!$A$1:$B$86,2)</f>
        <v>95</v>
      </c>
      <c r="F5168" s="0" t="n">
        <f aca="false">IF(C5168&gt;1,IF(C5168&lt;99,VLOOKUP(C5168,'Babblefish-APUMA'!$A$1:$B$86,2),C5168),C5168)</f>
        <v>90</v>
      </c>
    </row>
    <row r="5169" customFormat="false" ht="12.75" hidden="false" customHeight="false" outlineLevel="0" collapsed="false">
      <c r="A5169" s="0" t="n">
        <f aca="false">B5169*1000+C5169</f>
        <v>71066</v>
      </c>
      <c r="B5169" s="0" t="n">
        <v>71</v>
      </c>
      <c r="C5169" s="0" t="n">
        <v>66</v>
      </c>
      <c r="D5169" s="0" t="n">
        <v>312</v>
      </c>
      <c r="E5169" s="0" t="n">
        <f aca="false">VLOOKUP(B5169,'Babblefish-APUMA'!$A$1:$B$86,2)</f>
        <v>95</v>
      </c>
      <c r="F5169" s="0" t="n">
        <f aca="false">IF(C5169&gt;1,IF(C5169&lt;99,VLOOKUP(C5169,'Babblefish-APUMA'!$A$1:$B$86,2),C5169),C5169)</f>
        <v>90</v>
      </c>
    </row>
    <row r="5170" customFormat="false" ht="12.75" hidden="false" customHeight="false" outlineLevel="0" collapsed="false">
      <c r="A5170" s="0" t="n">
        <f aca="false">B5170*1000+C5170</f>
        <v>71067</v>
      </c>
      <c r="B5170" s="0" t="n">
        <v>71</v>
      </c>
      <c r="C5170" s="0" t="n">
        <v>67</v>
      </c>
      <c r="D5170" s="0" t="n">
        <v>0</v>
      </c>
      <c r="E5170" s="0" t="n">
        <f aca="false">VLOOKUP(B5170,'Babblefish-APUMA'!$A$1:$B$86,2)</f>
        <v>95</v>
      </c>
      <c r="F5170" s="0" t="n">
        <f aca="false">IF(C5170&gt;1,IF(C5170&lt;99,VLOOKUP(C5170,'Babblefish-APUMA'!$A$1:$B$86,2),C5170),C5170)</f>
        <v>103</v>
      </c>
    </row>
    <row r="5171" customFormat="false" ht="12.75" hidden="false" customHeight="false" outlineLevel="0" collapsed="false">
      <c r="A5171" s="0" t="n">
        <f aca="false">B5171*1000+C5171</f>
        <v>71068</v>
      </c>
      <c r="B5171" s="0" t="n">
        <v>71</v>
      </c>
      <c r="C5171" s="0" t="n">
        <v>68</v>
      </c>
      <c r="D5171" s="0" t="n">
        <v>0</v>
      </c>
      <c r="E5171" s="0" t="n">
        <f aca="false">VLOOKUP(B5171,'Babblefish-APUMA'!$A$1:$B$86,2)</f>
        <v>95</v>
      </c>
      <c r="F5171" s="0" t="n">
        <f aca="false">IF(C5171&gt;1,IF(C5171&lt;99,VLOOKUP(C5171,'Babblefish-APUMA'!$A$1:$B$86,2),C5171),C5171)</f>
        <v>93</v>
      </c>
    </row>
    <row r="5172" customFormat="false" ht="12.75" hidden="false" customHeight="false" outlineLevel="0" collapsed="false">
      <c r="A5172" s="0" t="n">
        <f aca="false">B5172*1000+C5172</f>
        <v>71069</v>
      </c>
      <c r="B5172" s="0" t="n">
        <v>71</v>
      </c>
      <c r="C5172" s="0" t="n">
        <v>69</v>
      </c>
      <c r="D5172" s="0" t="n">
        <v>1729</v>
      </c>
      <c r="E5172" s="0" t="n">
        <f aca="false">VLOOKUP(B5172,'Babblefish-APUMA'!$A$1:$B$86,2)</f>
        <v>95</v>
      </c>
      <c r="F5172" s="0" t="n">
        <f aca="false">IF(C5172&gt;1,IF(C5172&lt;99,VLOOKUP(C5172,'Babblefish-APUMA'!$A$1:$B$86,2),C5172),C5172)</f>
        <v>93</v>
      </c>
    </row>
    <row r="5173" customFormat="false" ht="12.75" hidden="false" customHeight="false" outlineLevel="0" collapsed="false">
      <c r="A5173" s="0" t="n">
        <f aca="false">B5173*1000+C5173</f>
        <v>71070</v>
      </c>
      <c r="B5173" s="0" t="n">
        <v>71</v>
      </c>
      <c r="C5173" s="0" t="n">
        <v>70</v>
      </c>
      <c r="D5173" s="0" t="n">
        <v>3341</v>
      </c>
      <c r="E5173" s="0" t="n">
        <f aca="false">VLOOKUP(B5173,'Babblefish-APUMA'!$A$1:$B$86,2)</f>
        <v>95</v>
      </c>
      <c r="F5173" s="0" t="n">
        <f aca="false">IF(C5173&gt;1,IF(C5173&lt;99,VLOOKUP(C5173,'Babblefish-APUMA'!$A$1:$B$86,2),C5173),C5173)</f>
        <v>95</v>
      </c>
    </row>
    <row r="5174" customFormat="false" ht="12.75" hidden="false" customHeight="false" outlineLevel="0" collapsed="false">
      <c r="A5174" s="0" t="n">
        <f aca="false">B5174*1000+C5174</f>
        <v>71071</v>
      </c>
      <c r="B5174" s="0" t="n">
        <v>71</v>
      </c>
      <c r="C5174" s="0" t="n">
        <v>71</v>
      </c>
      <c r="D5174" s="0" t="n">
        <v>13234</v>
      </c>
      <c r="E5174" s="0" t="n">
        <f aca="false">VLOOKUP(B5174,'Babblefish-APUMA'!$A$1:$B$86,2)</f>
        <v>95</v>
      </c>
      <c r="F5174" s="0" t="n">
        <f aca="false">IF(C5174&gt;1,IF(C5174&lt;99,VLOOKUP(C5174,'Babblefish-APUMA'!$A$1:$B$86,2),C5174),C5174)</f>
        <v>95</v>
      </c>
    </row>
    <row r="5175" customFormat="false" ht="12.75" hidden="false" customHeight="false" outlineLevel="0" collapsed="false">
      <c r="A5175" s="0" t="n">
        <f aca="false">B5175*1000+C5175</f>
        <v>71072</v>
      </c>
      <c r="B5175" s="0" t="n">
        <v>71</v>
      </c>
      <c r="C5175" s="0" t="n">
        <v>72</v>
      </c>
      <c r="D5175" s="0" t="n">
        <v>15366</v>
      </c>
      <c r="E5175" s="0" t="n">
        <f aca="false">VLOOKUP(B5175,'Babblefish-APUMA'!$A$1:$B$86,2)</f>
        <v>95</v>
      </c>
      <c r="F5175" s="0" t="n">
        <f aca="false">IF(C5175&gt;1,IF(C5175&lt;99,VLOOKUP(C5175,'Babblefish-APUMA'!$A$1:$B$86,2),C5175),C5175)</f>
        <v>95</v>
      </c>
    </row>
    <row r="5176" customFormat="false" ht="12.75" hidden="false" customHeight="false" outlineLevel="0" collapsed="false">
      <c r="A5176" s="0" t="n">
        <f aca="false">B5176*1000+C5176</f>
        <v>71073</v>
      </c>
      <c r="B5176" s="0" t="n">
        <v>71</v>
      </c>
      <c r="C5176" s="0" t="n">
        <v>73</v>
      </c>
      <c r="D5176" s="0" t="n">
        <v>0</v>
      </c>
      <c r="E5176" s="0" t="n">
        <f aca="false">VLOOKUP(B5176,'Babblefish-APUMA'!$A$1:$B$86,2)</f>
        <v>95</v>
      </c>
      <c r="F5176" s="0" t="n">
        <f aca="false">IF(C5176&gt;1,IF(C5176&lt;99,VLOOKUP(C5176,'Babblefish-APUMA'!$A$1:$B$86,2),C5176),C5176)</f>
        <v>99</v>
      </c>
    </row>
    <row r="5177" customFormat="false" ht="12.75" hidden="false" customHeight="false" outlineLevel="0" collapsed="false">
      <c r="A5177" s="0" t="n">
        <f aca="false">B5177*1000+C5177</f>
        <v>71075</v>
      </c>
      <c r="B5177" s="0" t="n">
        <v>71</v>
      </c>
      <c r="C5177" s="0" t="n">
        <v>75</v>
      </c>
      <c r="D5177" s="0" t="n">
        <v>0</v>
      </c>
      <c r="E5177" s="0" t="n">
        <f aca="false">VLOOKUP(B5177,'Babblefish-APUMA'!$A$1:$B$86,2)</f>
        <v>95</v>
      </c>
      <c r="F5177" s="0" t="n">
        <f aca="false">IF(C5177&gt;1,IF(C5177&lt;99,VLOOKUP(C5177,'Babblefish-APUMA'!$A$1:$B$86,2),C5177),C5177)</f>
        <v>75</v>
      </c>
    </row>
    <row r="5178" customFormat="false" ht="12.75" hidden="false" customHeight="false" outlineLevel="0" collapsed="false">
      <c r="A5178" s="0" t="n">
        <f aca="false">B5178*1000+C5178</f>
        <v>71076</v>
      </c>
      <c r="B5178" s="0" t="n">
        <v>71</v>
      </c>
      <c r="C5178" s="0" t="n">
        <v>76</v>
      </c>
      <c r="D5178" s="0" t="n">
        <v>0</v>
      </c>
      <c r="E5178" s="0" t="n">
        <f aca="false">VLOOKUP(B5178,'Babblefish-APUMA'!$A$1:$B$86,2)</f>
        <v>95</v>
      </c>
      <c r="F5178" s="0" t="n">
        <f aca="false">IF(C5178&gt;1,IF(C5178&lt;99,VLOOKUP(C5178,'Babblefish-APUMA'!$A$1:$B$86,2),C5178),C5178)</f>
        <v>76</v>
      </c>
    </row>
    <row r="5179" customFormat="false" ht="12.75" hidden="false" customHeight="false" outlineLevel="0" collapsed="false">
      <c r="A5179" s="0" t="n">
        <f aca="false">B5179*1000+C5179</f>
        <v>71077</v>
      </c>
      <c r="B5179" s="0" t="n">
        <v>71</v>
      </c>
      <c r="C5179" s="0" t="n">
        <v>77</v>
      </c>
      <c r="D5179" s="0" t="n">
        <v>0</v>
      </c>
      <c r="E5179" s="0" t="n">
        <f aca="false">VLOOKUP(B5179,'Babblefish-APUMA'!$A$1:$B$86,2)</f>
        <v>95</v>
      </c>
      <c r="F5179" s="0" t="n">
        <f aca="false">IF(C5179&gt;1,IF(C5179&lt;99,VLOOKUP(C5179,'Babblefish-APUMA'!$A$1:$B$86,2),C5179),C5179)</f>
        <v>77</v>
      </c>
    </row>
    <row r="5180" customFormat="false" ht="12.75" hidden="false" customHeight="false" outlineLevel="0" collapsed="false">
      <c r="A5180" s="0" t="n">
        <f aca="false">B5180*1000+C5180</f>
        <v>71078</v>
      </c>
      <c r="B5180" s="0" t="n">
        <v>71</v>
      </c>
      <c r="C5180" s="0" t="n">
        <v>78</v>
      </c>
      <c r="D5180" s="0" t="n">
        <v>0</v>
      </c>
      <c r="E5180" s="0" t="n">
        <f aca="false">VLOOKUP(B5180,'Babblefish-APUMA'!$A$1:$B$86,2)</f>
        <v>95</v>
      </c>
      <c r="F5180" s="0" t="n">
        <f aca="false">IF(C5180&gt;1,IF(C5180&lt;99,VLOOKUP(C5180,'Babblefish-APUMA'!$A$1:$B$86,2),C5180),C5180)</f>
        <v>89</v>
      </c>
    </row>
    <row r="5181" customFormat="false" ht="12.75" hidden="false" customHeight="false" outlineLevel="0" collapsed="false">
      <c r="A5181" s="0" t="n">
        <f aca="false">B5181*1000+C5181</f>
        <v>71079</v>
      </c>
      <c r="B5181" s="0" t="n">
        <v>71</v>
      </c>
      <c r="C5181" s="0" t="n">
        <v>79</v>
      </c>
      <c r="D5181" s="0" t="n">
        <v>0</v>
      </c>
      <c r="E5181" s="0" t="n">
        <f aca="false">VLOOKUP(B5181,'Babblefish-APUMA'!$A$1:$B$86,2)</f>
        <v>95</v>
      </c>
      <c r="F5181" s="0" t="n">
        <f aca="false">IF(C5181&gt;1,IF(C5181&lt;99,VLOOKUP(C5181,'Babblefish-APUMA'!$A$1:$B$86,2),C5181),C5181)</f>
        <v>89</v>
      </c>
    </row>
    <row r="5182" customFormat="false" ht="12.75" hidden="false" customHeight="false" outlineLevel="0" collapsed="false">
      <c r="A5182" s="0" t="n">
        <f aca="false">B5182*1000+C5182</f>
        <v>71080</v>
      </c>
      <c r="B5182" s="0" t="n">
        <v>71</v>
      </c>
      <c r="C5182" s="0" t="n">
        <v>80</v>
      </c>
      <c r="D5182" s="0" t="n">
        <v>0</v>
      </c>
      <c r="E5182" s="0" t="n">
        <f aca="false">VLOOKUP(B5182,'Babblefish-APUMA'!$A$1:$B$86,2)</f>
        <v>95</v>
      </c>
      <c r="F5182" s="0" t="n">
        <f aca="false">IF(C5182&gt;1,IF(C5182&lt;99,VLOOKUP(C5182,'Babblefish-APUMA'!$A$1:$B$86,2),C5182),C5182)</f>
        <v>80</v>
      </c>
    </row>
    <row r="5183" customFormat="false" ht="12.75" hidden="false" customHeight="false" outlineLevel="0" collapsed="false">
      <c r="A5183" s="0" t="n">
        <f aca="false">B5183*1000+C5183</f>
        <v>71081</v>
      </c>
      <c r="B5183" s="0" t="n">
        <v>71</v>
      </c>
      <c r="C5183" s="0" t="n">
        <v>81</v>
      </c>
      <c r="D5183" s="0" t="n">
        <v>1001</v>
      </c>
      <c r="E5183" s="0" t="n">
        <f aca="false">VLOOKUP(B5183,'Babblefish-APUMA'!$A$1:$B$86,2)</f>
        <v>95</v>
      </c>
      <c r="F5183" s="0" t="n">
        <f aca="false">IF(C5183&gt;1,IF(C5183&lt;99,VLOOKUP(C5183,'Babblefish-APUMA'!$A$1:$B$86,2),C5183),C5183)</f>
        <v>93</v>
      </c>
    </row>
    <row r="5184" customFormat="false" ht="12.75" hidden="false" customHeight="false" outlineLevel="0" collapsed="false">
      <c r="A5184" s="0" t="n">
        <f aca="false">B5184*1000+C5184</f>
        <v>71082</v>
      </c>
      <c r="B5184" s="0" t="n">
        <v>71</v>
      </c>
      <c r="C5184" s="0" t="n">
        <v>82</v>
      </c>
      <c r="D5184" s="0" t="n">
        <v>234</v>
      </c>
      <c r="E5184" s="0" t="n">
        <f aca="false">VLOOKUP(B5184,'Babblefish-APUMA'!$A$1:$B$86,2)</f>
        <v>95</v>
      </c>
      <c r="F5184" s="0" t="n">
        <f aca="false">IF(C5184&gt;1,IF(C5184&lt;99,VLOOKUP(C5184,'Babblefish-APUMA'!$A$1:$B$86,2),C5184),C5184)</f>
        <v>95</v>
      </c>
    </row>
    <row r="5185" customFormat="false" ht="12.75" hidden="false" customHeight="false" outlineLevel="0" collapsed="false">
      <c r="A5185" s="0" t="n">
        <f aca="false">B5185*1000+C5185</f>
        <v>71083</v>
      </c>
      <c r="B5185" s="0" t="n">
        <v>71</v>
      </c>
      <c r="C5185" s="0" t="n">
        <v>83</v>
      </c>
      <c r="D5185" s="0" t="n">
        <v>0</v>
      </c>
      <c r="E5185" s="0" t="n">
        <f aca="false">VLOOKUP(B5185,'Babblefish-APUMA'!$A$1:$B$86,2)</f>
        <v>95</v>
      </c>
      <c r="F5185" s="0" t="n">
        <f aca="false">IF(C5185&gt;1,IF(C5185&lt;99,VLOOKUP(C5185,'Babblefish-APUMA'!$A$1:$B$86,2),C5185),C5185)</f>
        <v>103</v>
      </c>
    </row>
    <row r="5186" customFormat="false" ht="12.75" hidden="false" customHeight="false" outlineLevel="0" collapsed="false">
      <c r="A5186" s="0" t="n">
        <f aca="false">B5186*1000+C5186</f>
        <v>71084</v>
      </c>
      <c r="B5186" s="0" t="n">
        <v>71</v>
      </c>
      <c r="C5186" s="0" t="n">
        <v>84</v>
      </c>
      <c r="D5186" s="0" t="n">
        <v>455</v>
      </c>
      <c r="E5186" s="0" t="n">
        <f aca="false">VLOOKUP(B5186,'Babblefish-APUMA'!$A$1:$B$86,2)</f>
        <v>95</v>
      </c>
      <c r="F5186" s="0" t="n">
        <f aca="false">IF(C5186&gt;1,IF(C5186&lt;99,VLOOKUP(C5186,'Babblefish-APUMA'!$A$1:$B$86,2),C5186),C5186)</f>
        <v>92</v>
      </c>
    </row>
    <row r="5187" customFormat="false" ht="12.75" hidden="false" customHeight="false" outlineLevel="0" collapsed="false">
      <c r="A5187" s="0" t="n">
        <f aca="false">B5187*1000+C5187</f>
        <v>71085</v>
      </c>
      <c r="B5187" s="0" t="n">
        <v>71</v>
      </c>
      <c r="C5187" s="0" t="n">
        <v>85</v>
      </c>
      <c r="D5187" s="0" t="n">
        <v>0</v>
      </c>
      <c r="E5187" s="0" t="n">
        <f aca="false">VLOOKUP(B5187,'Babblefish-APUMA'!$A$1:$B$86,2)</f>
        <v>95</v>
      </c>
      <c r="F5187" s="0" t="n">
        <f aca="false">IF(C5187&gt;1,IF(C5187&lt;99,VLOOKUP(C5187,'Babblefish-APUMA'!$A$1:$B$86,2),C5187),C5187)</f>
        <v>97</v>
      </c>
    </row>
    <row r="5188" customFormat="false" ht="12.75" hidden="false" customHeight="false" outlineLevel="0" collapsed="false">
      <c r="A5188" s="0" t="n">
        <f aca="false">B5188*1000+C5188</f>
        <v>71858</v>
      </c>
      <c r="B5188" s="0" t="n">
        <v>71</v>
      </c>
      <c r="C5188" s="0" t="n">
        <v>858</v>
      </c>
      <c r="D5188" s="0" t="n">
        <v>0</v>
      </c>
      <c r="E5188" s="0" t="n">
        <f aca="false">VLOOKUP(B5188,'Babblefish-APUMA'!$A$1:$B$86,2)</f>
        <v>95</v>
      </c>
      <c r="F5188" s="0" t="n">
        <f aca="false">IF(C5188&gt;1,IF(C5188&lt;99,VLOOKUP(C5188,'Babblefish-APUMA'!$A$1:$B$86,2),C5188),C5188)</f>
        <v>858</v>
      </c>
    </row>
    <row r="5189" customFormat="false" ht="12.75" hidden="false" customHeight="false" outlineLevel="0" collapsed="false">
      <c r="A5189" s="0" t="n">
        <f aca="false">B5189*1000+C5189</f>
        <v>71983</v>
      </c>
      <c r="B5189" s="0" t="n">
        <v>71</v>
      </c>
      <c r="C5189" s="0" t="n">
        <v>983</v>
      </c>
      <c r="D5189" s="0" t="n">
        <v>0</v>
      </c>
      <c r="E5189" s="0" t="n">
        <f aca="false">VLOOKUP(B5189,'Babblefish-APUMA'!$A$1:$B$86,2)</f>
        <v>95</v>
      </c>
      <c r="F5189" s="0" t="n">
        <f aca="false">IF(C5189&gt;1,IF(C5189&lt;99,VLOOKUP(C5189,'Babblefish-APUMA'!$A$1:$B$86,2),C5189),C5189)</f>
        <v>983</v>
      </c>
    </row>
    <row r="5190" customFormat="false" ht="12.75" hidden="false" customHeight="false" outlineLevel="0" collapsed="false">
      <c r="A5190" s="0" t="n">
        <f aca="false">B5190*1000+C5190</f>
        <v>71999</v>
      </c>
      <c r="B5190" s="0" t="n">
        <v>71</v>
      </c>
      <c r="C5190" s="0" t="n">
        <v>999</v>
      </c>
      <c r="D5190" s="0" t="n">
        <v>0</v>
      </c>
      <c r="E5190" s="0" t="n">
        <f aca="false">VLOOKUP(B5190,'Babblefish-APUMA'!$A$1:$B$86,2)</f>
        <v>95</v>
      </c>
      <c r="F5190" s="0" t="n">
        <f aca="false">IF(C5190&gt;1,IF(C5190&lt;99,VLOOKUP(C5190,'Babblefish-APUMA'!$A$1:$B$86,2),C5190),C5190)</f>
        <v>999</v>
      </c>
    </row>
    <row r="5191" customFormat="false" ht="12.75" hidden="false" customHeight="false" outlineLevel="0" collapsed="false">
      <c r="A5191" s="0" t="n">
        <f aca="false">B5191*1000+C5191</f>
        <v>72000</v>
      </c>
      <c r="B5191" s="0" t="n">
        <v>72</v>
      </c>
      <c r="C5191" s="0" t="n">
        <v>0</v>
      </c>
      <c r="D5191" s="0" t="n">
        <v>595062</v>
      </c>
      <c r="E5191" s="0" t="n">
        <f aca="false">VLOOKUP(B5191,'Babblefish-APUMA'!$A$1:$B$86,2)</f>
        <v>95</v>
      </c>
      <c r="F5191" s="0" t="n">
        <f aca="false">IF(C5191&gt;1,IF(C5191&lt;99,VLOOKUP(C5191,'Babblefish-APUMA'!$A$1:$B$86,2),C5191),C5191)</f>
        <v>0</v>
      </c>
    </row>
    <row r="5192" customFormat="false" ht="12.75" hidden="false" customHeight="false" outlineLevel="0" collapsed="false">
      <c r="A5192" s="0" t="n">
        <f aca="false">B5192*1000+C5192</f>
        <v>72001</v>
      </c>
      <c r="B5192" s="0" t="n">
        <v>72</v>
      </c>
      <c r="C5192" s="0" t="n">
        <v>1</v>
      </c>
      <c r="D5192" s="0" t="n">
        <v>195</v>
      </c>
      <c r="E5192" s="0" t="n">
        <f aca="false">VLOOKUP(B5192,'Babblefish-APUMA'!$A$1:$B$86,2)</f>
        <v>95</v>
      </c>
      <c r="F5192" s="0" t="n">
        <f aca="false">IF(C5192&gt;1,IF(C5192&lt;99,VLOOKUP(C5192,'Babblefish-APUMA'!$A$1:$B$86,2),C5192),C5192)</f>
        <v>1</v>
      </c>
    </row>
    <row r="5193" customFormat="false" ht="12.75" hidden="false" customHeight="false" outlineLevel="0" collapsed="false">
      <c r="A5193" s="0" t="n">
        <f aca="false">B5193*1000+C5193</f>
        <v>72002</v>
      </c>
      <c r="B5193" s="0" t="n">
        <v>72</v>
      </c>
      <c r="C5193" s="0" t="n">
        <v>2</v>
      </c>
      <c r="D5193" s="0" t="n">
        <v>442</v>
      </c>
      <c r="E5193" s="0" t="n">
        <f aca="false">VLOOKUP(B5193,'Babblefish-APUMA'!$A$1:$B$86,2)</f>
        <v>95</v>
      </c>
      <c r="F5193" s="0" t="n">
        <f aca="false">IF(C5193&gt;1,IF(C5193&lt;99,VLOOKUP(C5193,'Babblefish-APUMA'!$A$1:$B$86,2),C5193),C5193)</f>
        <v>2</v>
      </c>
    </row>
    <row r="5194" customFormat="false" ht="12.75" hidden="false" customHeight="false" outlineLevel="0" collapsed="false">
      <c r="A5194" s="0" t="n">
        <f aca="false">B5194*1000+C5194</f>
        <v>72003</v>
      </c>
      <c r="B5194" s="0" t="n">
        <v>72</v>
      </c>
      <c r="C5194" s="0" t="n">
        <v>3</v>
      </c>
      <c r="D5194" s="0" t="n">
        <v>338</v>
      </c>
      <c r="E5194" s="0" t="n">
        <f aca="false">VLOOKUP(B5194,'Babblefish-APUMA'!$A$1:$B$86,2)</f>
        <v>95</v>
      </c>
      <c r="F5194" s="0" t="n">
        <f aca="false">IF(C5194&gt;1,IF(C5194&lt;99,VLOOKUP(C5194,'Babblefish-APUMA'!$A$1:$B$86,2),C5194),C5194)</f>
        <v>3</v>
      </c>
    </row>
    <row r="5195" customFormat="false" ht="12.75" hidden="false" customHeight="false" outlineLevel="0" collapsed="false">
      <c r="A5195" s="0" t="n">
        <f aca="false">B5195*1000+C5195</f>
        <v>72004</v>
      </c>
      <c r="B5195" s="0" t="n">
        <v>72</v>
      </c>
      <c r="C5195" s="0" t="n">
        <v>4</v>
      </c>
      <c r="D5195" s="0" t="n">
        <v>208</v>
      </c>
      <c r="E5195" s="0" t="n">
        <f aca="false">VLOOKUP(B5195,'Babblefish-APUMA'!$A$1:$B$86,2)</f>
        <v>95</v>
      </c>
      <c r="F5195" s="0" t="n">
        <f aca="false">IF(C5195&gt;1,IF(C5195&lt;99,VLOOKUP(C5195,'Babblefish-APUMA'!$A$1:$B$86,2),C5195),C5195)</f>
        <v>4</v>
      </c>
    </row>
    <row r="5196" customFormat="false" ht="12.75" hidden="false" customHeight="false" outlineLevel="0" collapsed="false">
      <c r="A5196" s="0" t="n">
        <f aca="false">B5196*1000+C5196</f>
        <v>72005</v>
      </c>
      <c r="B5196" s="0" t="n">
        <v>72</v>
      </c>
      <c r="C5196" s="0" t="n">
        <v>5</v>
      </c>
      <c r="D5196" s="0" t="n">
        <v>0</v>
      </c>
      <c r="E5196" s="0" t="n">
        <f aca="false">VLOOKUP(B5196,'Babblefish-APUMA'!$A$1:$B$86,2)</f>
        <v>95</v>
      </c>
      <c r="F5196" s="0" t="n">
        <f aca="false">IF(C5196&gt;1,IF(C5196&lt;99,VLOOKUP(C5196,'Babblefish-APUMA'!$A$1:$B$86,2),C5196),C5196)</f>
        <v>5</v>
      </c>
    </row>
    <row r="5197" customFormat="false" ht="12.75" hidden="false" customHeight="false" outlineLevel="0" collapsed="false">
      <c r="A5197" s="0" t="n">
        <f aca="false">B5197*1000+C5197</f>
        <v>72006</v>
      </c>
      <c r="B5197" s="0" t="n">
        <v>72</v>
      </c>
      <c r="C5197" s="0" t="n">
        <v>6</v>
      </c>
      <c r="D5197" s="0" t="n">
        <v>0</v>
      </c>
      <c r="E5197" s="0" t="n">
        <f aca="false">VLOOKUP(B5197,'Babblefish-APUMA'!$A$1:$B$86,2)</f>
        <v>95</v>
      </c>
      <c r="F5197" s="0" t="n">
        <f aca="false">IF(C5197&gt;1,IF(C5197&lt;99,VLOOKUP(C5197,'Babblefish-APUMA'!$A$1:$B$86,2),C5197),C5197)</f>
        <v>6</v>
      </c>
    </row>
    <row r="5198" customFormat="false" ht="12.75" hidden="false" customHeight="false" outlineLevel="0" collapsed="false">
      <c r="A5198" s="0" t="n">
        <f aca="false">B5198*1000+C5198</f>
        <v>72007</v>
      </c>
      <c r="B5198" s="0" t="n">
        <v>72</v>
      </c>
      <c r="C5198" s="0" t="n">
        <v>7</v>
      </c>
      <c r="D5198" s="0" t="n">
        <v>0</v>
      </c>
      <c r="E5198" s="0" t="n">
        <f aca="false">VLOOKUP(B5198,'Babblefish-APUMA'!$A$1:$B$86,2)</f>
        <v>95</v>
      </c>
      <c r="F5198" s="0" t="n">
        <f aca="false">IF(C5198&gt;1,IF(C5198&lt;99,VLOOKUP(C5198,'Babblefish-APUMA'!$A$1:$B$86,2),C5198),C5198)</f>
        <v>7</v>
      </c>
    </row>
    <row r="5199" customFormat="false" ht="12.75" hidden="false" customHeight="false" outlineLevel="0" collapsed="false">
      <c r="A5199" s="0" t="n">
        <f aca="false">B5199*1000+C5199</f>
        <v>72008</v>
      </c>
      <c r="B5199" s="0" t="n">
        <v>72</v>
      </c>
      <c r="C5199" s="0" t="n">
        <v>8</v>
      </c>
      <c r="D5199" s="0" t="n">
        <v>0</v>
      </c>
      <c r="E5199" s="0" t="n">
        <f aca="false">VLOOKUP(B5199,'Babblefish-APUMA'!$A$1:$B$86,2)</f>
        <v>95</v>
      </c>
      <c r="F5199" s="0" t="n">
        <f aca="false">IF(C5199&gt;1,IF(C5199&lt;99,VLOOKUP(C5199,'Babblefish-APUMA'!$A$1:$B$86,2),C5199),C5199)</f>
        <v>8</v>
      </c>
    </row>
    <row r="5200" customFormat="false" ht="12.75" hidden="false" customHeight="false" outlineLevel="0" collapsed="false">
      <c r="A5200" s="0" t="n">
        <f aca="false">B5200*1000+C5200</f>
        <v>72009</v>
      </c>
      <c r="B5200" s="0" t="n">
        <v>72</v>
      </c>
      <c r="C5200" s="0" t="n">
        <v>9</v>
      </c>
      <c r="D5200" s="0" t="n">
        <v>0</v>
      </c>
      <c r="E5200" s="0" t="n">
        <f aca="false">VLOOKUP(B5200,'Babblefish-APUMA'!$A$1:$B$86,2)</f>
        <v>95</v>
      </c>
      <c r="F5200" s="0" t="n">
        <f aca="false">IF(C5200&gt;1,IF(C5200&lt;99,VLOOKUP(C5200,'Babblefish-APUMA'!$A$1:$B$86,2),C5200),C5200)</f>
        <v>9</v>
      </c>
    </row>
    <row r="5201" customFormat="false" ht="12.75" hidden="false" customHeight="false" outlineLevel="0" collapsed="false">
      <c r="A5201" s="0" t="n">
        <f aca="false">B5201*1000+C5201</f>
        <v>72010</v>
      </c>
      <c r="B5201" s="0" t="n">
        <v>72</v>
      </c>
      <c r="C5201" s="0" t="n">
        <v>10</v>
      </c>
      <c r="D5201" s="0" t="n">
        <v>104</v>
      </c>
      <c r="E5201" s="0" t="n">
        <f aca="false">VLOOKUP(B5201,'Babblefish-APUMA'!$A$1:$B$86,2)</f>
        <v>95</v>
      </c>
      <c r="F5201" s="0" t="n">
        <f aca="false">IF(C5201&gt;1,IF(C5201&lt;99,VLOOKUP(C5201,'Babblefish-APUMA'!$A$1:$B$86,2),C5201),C5201)</f>
        <v>10</v>
      </c>
    </row>
    <row r="5202" customFormat="false" ht="12.75" hidden="false" customHeight="false" outlineLevel="0" collapsed="false">
      <c r="A5202" s="0" t="n">
        <f aca="false">B5202*1000+C5202</f>
        <v>72011</v>
      </c>
      <c r="B5202" s="0" t="n">
        <v>72</v>
      </c>
      <c r="C5202" s="0" t="n">
        <v>11</v>
      </c>
      <c r="D5202" s="0" t="n">
        <v>78</v>
      </c>
      <c r="E5202" s="0" t="n">
        <f aca="false">VLOOKUP(B5202,'Babblefish-APUMA'!$A$1:$B$86,2)</f>
        <v>95</v>
      </c>
      <c r="F5202" s="0" t="n">
        <f aca="false">IF(C5202&gt;1,IF(C5202&lt;99,VLOOKUP(C5202,'Babblefish-APUMA'!$A$1:$B$86,2),C5202),C5202)</f>
        <v>11</v>
      </c>
    </row>
    <row r="5203" customFormat="false" ht="12.75" hidden="false" customHeight="false" outlineLevel="0" collapsed="false">
      <c r="A5203" s="0" t="n">
        <f aca="false">B5203*1000+C5203</f>
        <v>72012</v>
      </c>
      <c r="B5203" s="0" t="n">
        <v>72</v>
      </c>
      <c r="C5203" s="0" t="n">
        <v>12</v>
      </c>
      <c r="D5203" s="0" t="n">
        <v>260</v>
      </c>
      <c r="E5203" s="0" t="n">
        <f aca="false">VLOOKUP(B5203,'Babblefish-APUMA'!$A$1:$B$86,2)</f>
        <v>95</v>
      </c>
      <c r="F5203" s="0" t="n">
        <f aca="false">IF(C5203&gt;1,IF(C5203&lt;99,VLOOKUP(C5203,'Babblefish-APUMA'!$A$1:$B$86,2),C5203),C5203)</f>
        <v>12</v>
      </c>
    </row>
    <row r="5204" customFormat="false" ht="12.75" hidden="false" customHeight="false" outlineLevel="0" collapsed="false">
      <c r="A5204" s="0" t="n">
        <f aca="false">B5204*1000+C5204</f>
        <v>72013</v>
      </c>
      <c r="B5204" s="0" t="n">
        <v>72</v>
      </c>
      <c r="C5204" s="0" t="n">
        <v>13</v>
      </c>
      <c r="D5204" s="0" t="n">
        <v>0</v>
      </c>
      <c r="E5204" s="0" t="n">
        <f aca="false">VLOOKUP(B5204,'Babblefish-APUMA'!$A$1:$B$86,2)</f>
        <v>95</v>
      </c>
      <c r="F5204" s="0" t="n">
        <f aca="false">IF(C5204&gt;1,IF(C5204&lt;99,VLOOKUP(C5204,'Babblefish-APUMA'!$A$1:$B$86,2),C5204),C5204)</f>
        <v>100</v>
      </c>
    </row>
    <row r="5205" customFormat="false" ht="12.75" hidden="false" customHeight="false" outlineLevel="0" collapsed="false">
      <c r="A5205" s="0" t="n">
        <f aca="false">B5205*1000+C5205</f>
        <v>72014</v>
      </c>
      <c r="B5205" s="0" t="n">
        <v>72</v>
      </c>
      <c r="C5205" s="0" t="n">
        <v>14</v>
      </c>
      <c r="D5205" s="0" t="n">
        <v>117</v>
      </c>
      <c r="E5205" s="0" t="n">
        <f aca="false">VLOOKUP(B5205,'Babblefish-APUMA'!$A$1:$B$86,2)</f>
        <v>95</v>
      </c>
      <c r="F5205" s="0" t="n">
        <f aca="false">IF(C5205&gt;1,IF(C5205&lt;99,VLOOKUP(C5205,'Babblefish-APUMA'!$A$1:$B$86,2),C5205),C5205)</f>
        <v>100</v>
      </c>
    </row>
    <row r="5206" customFormat="false" ht="12.75" hidden="false" customHeight="false" outlineLevel="0" collapsed="false">
      <c r="A5206" s="0" t="n">
        <f aca="false">B5206*1000+C5206</f>
        <v>72015</v>
      </c>
      <c r="B5206" s="0" t="n">
        <v>72</v>
      </c>
      <c r="C5206" s="0" t="n">
        <v>15</v>
      </c>
      <c r="D5206" s="0" t="n">
        <v>0</v>
      </c>
      <c r="E5206" s="0" t="n">
        <f aca="false">VLOOKUP(B5206,'Babblefish-APUMA'!$A$1:$B$86,2)</f>
        <v>95</v>
      </c>
      <c r="F5206" s="0" t="n">
        <f aca="false">IF(C5206&gt;1,IF(C5206&lt;99,VLOOKUP(C5206,'Babblefish-APUMA'!$A$1:$B$86,2),C5206),C5206)</f>
        <v>15</v>
      </c>
    </row>
    <row r="5207" customFormat="false" ht="12.75" hidden="false" customHeight="false" outlineLevel="0" collapsed="false">
      <c r="A5207" s="0" t="n">
        <f aca="false">B5207*1000+C5207</f>
        <v>72016</v>
      </c>
      <c r="B5207" s="0" t="n">
        <v>72</v>
      </c>
      <c r="C5207" s="0" t="n">
        <v>16</v>
      </c>
      <c r="D5207" s="0" t="n">
        <v>0</v>
      </c>
      <c r="E5207" s="0" t="n">
        <f aca="false">VLOOKUP(B5207,'Babblefish-APUMA'!$A$1:$B$86,2)</f>
        <v>95</v>
      </c>
      <c r="F5207" s="0" t="n">
        <f aca="false">IF(C5207&gt;1,IF(C5207&lt;99,VLOOKUP(C5207,'Babblefish-APUMA'!$A$1:$B$86,2),C5207),C5207)</f>
        <v>99</v>
      </c>
    </row>
    <row r="5208" customFormat="false" ht="12.75" hidden="false" customHeight="false" outlineLevel="0" collapsed="false">
      <c r="A5208" s="0" t="n">
        <f aca="false">B5208*1000+C5208</f>
        <v>72017</v>
      </c>
      <c r="B5208" s="0" t="n">
        <v>72</v>
      </c>
      <c r="C5208" s="0" t="n">
        <v>17</v>
      </c>
      <c r="D5208" s="0" t="n">
        <v>0</v>
      </c>
      <c r="E5208" s="0" t="n">
        <f aca="false">VLOOKUP(B5208,'Babblefish-APUMA'!$A$1:$B$86,2)</f>
        <v>95</v>
      </c>
      <c r="F5208" s="0" t="n">
        <f aca="false">IF(C5208&gt;1,IF(C5208&lt;99,VLOOKUP(C5208,'Babblefish-APUMA'!$A$1:$B$86,2),C5208),C5208)</f>
        <v>87</v>
      </c>
    </row>
    <row r="5209" customFormat="false" ht="12.75" hidden="false" customHeight="false" outlineLevel="0" collapsed="false">
      <c r="A5209" s="0" t="n">
        <f aca="false">B5209*1000+C5209</f>
        <v>72018</v>
      </c>
      <c r="B5209" s="0" t="n">
        <v>72</v>
      </c>
      <c r="C5209" s="0" t="n">
        <v>18</v>
      </c>
      <c r="D5209" s="0" t="n">
        <v>52</v>
      </c>
      <c r="E5209" s="0" t="n">
        <f aca="false">VLOOKUP(B5209,'Babblefish-APUMA'!$A$1:$B$86,2)</f>
        <v>95</v>
      </c>
      <c r="F5209" s="0" t="n">
        <f aca="false">IF(C5209&gt;1,IF(C5209&lt;99,VLOOKUP(C5209,'Babblefish-APUMA'!$A$1:$B$86,2),C5209),C5209)</f>
        <v>87</v>
      </c>
    </row>
    <row r="5210" customFormat="false" ht="12.75" hidden="false" customHeight="false" outlineLevel="0" collapsed="false">
      <c r="A5210" s="0" t="n">
        <f aca="false">B5210*1000+C5210</f>
        <v>72019</v>
      </c>
      <c r="B5210" s="0" t="n">
        <v>72</v>
      </c>
      <c r="C5210" s="0" t="n">
        <v>19</v>
      </c>
      <c r="D5210" s="0" t="n">
        <v>26</v>
      </c>
      <c r="E5210" s="0" t="n">
        <f aca="false">VLOOKUP(B5210,'Babblefish-APUMA'!$A$1:$B$86,2)</f>
        <v>95</v>
      </c>
      <c r="F5210" s="0" t="n">
        <f aca="false">IF(C5210&gt;1,IF(C5210&lt;99,VLOOKUP(C5210,'Babblefish-APUMA'!$A$1:$B$86,2),C5210),C5210)</f>
        <v>19</v>
      </c>
    </row>
    <row r="5211" customFormat="false" ht="12.75" hidden="false" customHeight="false" outlineLevel="0" collapsed="false">
      <c r="A5211" s="0" t="n">
        <f aca="false">B5211*1000+C5211</f>
        <v>72020</v>
      </c>
      <c r="B5211" s="0" t="n">
        <v>72</v>
      </c>
      <c r="C5211" s="0" t="n">
        <v>20</v>
      </c>
      <c r="D5211" s="0" t="n">
        <v>0</v>
      </c>
      <c r="E5211" s="0" t="n">
        <f aca="false">VLOOKUP(B5211,'Babblefish-APUMA'!$A$1:$B$86,2)</f>
        <v>95</v>
      </c>
      <c r="F5211" s="0" t="n">
        <f aca="false">IF(C5211&gt;1,IF(C5211&lt;99,VLOOKUP(C5211,'Babblefish-APUMA'!$A$1:$B$86,2),C5211),C5211)</f>
        <v>86</v>
      </c>
    </row>
    <row r="5212" customFormat="false" ht="12.75" hidden="false" customHeight="false" outlineLevel="0" collapsed="false">
      <c r="A5212" s="0" t="n">
        <f aca="false">B5212*1000+C5212</f>
        <v>72021</v>
      </c>
      <c r="B5212" s="0" t="n">
        <v>72</v>
      </c>
      <c r="C5212" s="0" t="n">
        <v>21</v>
      </c>
      <c r="D5212" s="0" t="n">
        <v>78</v>
      </c>
      <c r="E5212" s="0" t="n">
        <f aca="false">VLOOKUP(B5212,'Babblefish-APUMA'!$A$1:$B$86,2)</f>
        <v>95</v>
      </c>
      <c r="F5212" s="0" t="n">
        <f aca="false">IF(C5212&gt;1,IF(C5212&lt;99,VLOOKUP(C5212,'Babblefish-APUMA'!$A$1:$B$86,2),C5212),C5212)</f>
        <v>86</v>
      </c>
    </row>
    <row r="5213" customFormat="false" ht="12.75" hidden="false" customHeight="false" outlineLevel="0" collapsed="false">
      <c r="A5213" s="0" t="n">
        <f aca="false">B5213*1000+C5213</f>
        <v>72022</v>
      </c>
      <c r="B5213" s="0" t="n">
        <v>72</v>
      </c>
      <c r="C5213" s="0" t="n">
        <v>22</v>
      </c>
      <c r="D5213" s="0" t="n">
        <v>0</v>
      </c>
      <c r="E5213" s="0" t="n">
        <f aca="false">VLOOKUP(B5213,'Babblefish-APUMA'!$A$1:$B$86,2)</f>
        <v>95</v>
      </c>
      <c r="F5213" s="0" t="n">
        <f aca="false">IF(C5213&gt;1,IF(C5213&lt;99,VLOOKUP(C5213,'Babblefish-APUMA'!$A$1:$B$86,2),C5213),C5213)</f>
        <v>22</v>
      </c>
    </row>
    <row r="5214" customFormat="false" ht="12.75" hidden="false" customHeight="false" outlineLevel="0" collapsed="false">
      <c r="A5214" s="0" t="n">
        <f aca="false">B5214*1000+C5214</f>
        <v>72023</v>
      </c>
      <c r="B5214" s="0" t="n">
        <v>72</v>
      </c>
      <c r="C5214" s="0" t="n">
        <v>23</v>
      </c>
      <c r="D5214" s="0" t="n">
        <v>0</v>
      </c>
      <c r="E5214" s="0" t="n">
        <f aca="false">VLOOKUP(B5214,'Babblefish-APUMA'!$A$1:$B$86,2)</f>
        <v>95</v>
      </c>
      <c r="F5214" s="0" t="n">
        <f aca="false">IF(C5214&gt;1,IF(C5214&lt;99,VLOOKUP(C5214,'Babblefish-APUMA'!$A$1:$B$86,2),C5214),C5214)</f>
        <v>97</v>
      </c>
    </row>
    <row r="5215" customFormat="false" ht="12.75" hidden="false" customHeight="false" outlineLevel="0" collapsed="false">
      <c r="A5215" s="0" t="n">
        <f aca="false">B5215*1000+C5215</f>
        <v>72024</v>
      </c>
      <c r="B5215" s="0" t="n">
        <v>72</v>
      </c>
      <c r="C5215" s="0" t="n">
        <v>24</v>
      </c>
      <c r="D5215" s="0" t="n">
        <v>65</v>
      </c>
      <c r="E5215" s="0" t="n">
        <f aca="false">VLOOKUP(B5215,'Babblefish-APUMA'!$A$1:$B$86,2)</f>
        <v>95</v>
      </c>
      <c r="F5215" s="0" t="n">
        <f aca="false">IF(C5215&gt;1,IF(C5215&lt;99,VLOOKUP(C5215,'Babblefish-APUMA'!$A$1:$B$86,2),C5215),C5215)</f>
        <v>101</v>
      </c>
    </row>
    <row r="5216" customFormat="false" ht="12.75" hidden="false" customHeight="false" outlineLevel="0" collapsed="false">
      <c r="A5216" s="0" t="n">
        <f aca="false">B5216*1000+C5216</f>
        <v>72025</v>
      </c>
      <c r="B5216" s="0" t="n">
        <v>72</v>
      </c>
      <c r="C5216" s="0" t="n">
        <v>25</v>
      </c>
      <c r="D5216" s="0" t="n">
        <v>0</v>
      </c>
      <c r="E5216" s="0" t="n">
        <f aca="false">VLOOKUP(B5216,'Babblefish-APUMA'!$A$1:$B$86,2)</f>
        <v>95</v>
      </c>
      <c r="F5216" s="0" t="n">
        <f aca="false">IF(C5216&gt;1,IF(C5216&lt;99,VLOOKUP(C5216,'Babblefish-APUMA'!$A$1:$B$86,2),C5216),C5216)</f>
        <v>101</v>
      </c>
    </row>
    <row r="5217" customFormat="false" ht="12.75" hidden="false" customHeight="false" outlineLevel="0" collapsed="false">
      <c r="A5217" s="0" t="n">
        <f aca="false">B5217*1000+C5217</f>
        <v>72026</v>
      </c>
      <c r="B5217" s="0" t="n">
        <v>72</v>
      </c>
      <c r="C5217" s="0" t="n">
        <v>26</v>
      </c>
      <c r="D5217" s="0" t="n">
        <v>0</v>
      </c>
      <c r="E5217" s="0" t="n">
        <f aca="false">VLOOKUP(B5217,'Babblefish-APUMA'!$A$1:$B$86,2)</f>
        <v>95</v>
      </c>
      <c r="F5217" s="0" t="n">
        <f aca="false">IF(C5217&gt;1,IF(C5217&lt;99,VLOOKUP(C5217,'Babblefish-APUMA'!$A$1:$B$86,2),C5217),C5217)</f>
        <v>26</v>
      </c>
    </row>
    <row r="5218" customFormat="false" ht="12.75" hidden="false" customHeight="false" outlineLevel="0" collapsed="false">
      <c r="A5218" s="0" t="n">
        <f aca="false">B5218*1000+C5218</f>
        <v>72027</v>
      </c>
      <c r="B5218" s="0" t="n">
        <v>72</v>
      </c>
      <c r="C5218" s="0" t="n">
        <v>27</v>
      </c>
      <c r="D5218" s="0" t="n">
        <v>0</v>
      </c>
      <c r="E5218" s="0" t="n">
        <f aca="false">VLOOKUP(B5218,'Babblefish-APUMA'!$A$1:$B$86,2)</f>
        <v>95</v>
      </c>
      <c r="F5218" s="0" t="n">
        <f aca="false">IF(C5218&gt;1,IF(C5218&lt;99,VLOOKUP(C5218,'Babblefish-APUMA'!$A$1:$B$86,2),C5218),C5218)</f>
        <v>27</v>
      </c>
    </row>
    <row r="5219" customFormat="false" ht="12.75" hidden="false" customHeight="false" outlineLevel="0" collapsed="false">
      <c r="A5219" s="0" t="n">
        <f aca="false">B5219*1000+C5219</f>
        <v>72028</v>
      </c>
      <c r="B5219" s="0" t="n">
        <v>72</v>
      </c>
      <c r="C5219" s="0" t="n">
        <v>28</v>
      </c>
      <c r="D5219" s="0" t="n">
        <v>0</v>
      </c>
      <c r="E5219" s="0" t="n">
        <f aca="false">VLOOKUP(B5219,'Babblefish-APUMA'!$A$1:$B$86,2)</f>
        <v>95</v>
      </c>
      <c r="F5219" s="0" t="n">
        <f aca="false">IF(C5219&gt;1,IF(C5219&lt;99,VLOOKUP(C5219,'Babblefish-APUMA'!$A$1:$B$86,2),C5219),C5219)</f>
        <v>94</v>
      </c>
    </row>
    <row r="5220" customFormat="false" ht="12.75" hidden="false" customHeight="false" outlineLevel="0" collapsed="false">
      <c r="A5220" s="0" t="n">
        <f aca="false">B5220*1000+C5220</f>
        <v>72029</v>
      </c>
      <c r="B5220" s="0" t="n">
        <v>72</v>
      </c>
      <c r="C5220" s="0" t="n">
        <v>29</v>
      </c>
      <c r="D5220" s="0" t="n">
        <v>0</v>
      </c>
      <c r="E5220" s="0" t="n">
        <f aca="false">VLOOKUP(B5220,'Babblefish-APUMA'!$A$1:$B$86,2)</f>
        <v>95</v>
      </c>
      <c r="F5220" s="0" t="n">
        <f aca="false">IF(C5220&gt;1,IF(C5220&lt;99,VLOOKUP(C5220,'Babblefish-APUMA'!$A$1:$B$86,2),C5220),C5220)</f>
        <v>94</v>
      </c>
    </row>
    <row r="5221" customFormat="false" ht="12.75" hidden="false" customHeight="false" outlineLevel="0" collapsed="false">
      <c r="A5221" s="0" t="n">
        <f aca="false">B5221*1000+C5221</f>
        <v>72030</v>
      </c>
      <c r="B5221" s="0" t="n">
        <v>72</v>
      </c>
      <c r="C5221" s="0" t="n">
        <v>30</v>
      </c>
      <c r="D5221" s="0" t="n">
        <v>117</v>
      </c>
      <c r="E5221" s="0" t="n">
        <f aca="false">VLOOKUP(B5221,'Babblefish-APUMA'!$A$1:$B$86,2)</f>
        <v>95</v>
      </c>
      <c r="F5221" s="0" t="n">
        <f aca="false">IF(C5221&gt;1,IF(C5221&lt;99,VLOOKUP(C5221,'Babblefish-APUMA'!$A$1:$B$86,2),C5221),C5221)</f>
        <v>30</v>
      </c>
    </row>
    <row r="5222" customFormat="false" ht="12.75" hidden="false" customHeight="false" outlineLevel="0" collapsed="false">
      <c r="A5222" s="0" t="n">
        <f aca="false">B5222*1000+C5222</f>
        <v>72031</v>
      </c>
      <c r="B5222" s="0" t="n">
        <v>72</v>
      </c>
      <c r="C5222" s="0" t="n">
        <v>31</v>
      </c>
      <c r="D5222" s="0" t="n">
        <v>0</v>
      </c>
      <c r="E5222" s="0" t="n">
        <f aca="false">VLOOKUP(B5222,'Babblefish-APUMA'!$A$1:$B$86,2)</f>
        <v>95</v>
      </c>
      <c r="F5222" s="0" t="n">
        <f aca="false">IF(C5222&gt;1,IF(C5222&lt;99,VLOOKUP(C5222,'Babblefish-APUMA'!$A$1:$B$86,2),C5222),C5222)</f>
        <v>31</v>
      </c>
    </row>
    <row r="5223" customFormat="false" ht="12.75" hidden="false" customHeight="false" outlineLevel="0" collapsed="false">
      <c r="A5223" s="0" t="n">
        <f aca="false">B5223*1000+C5223</f>
        <v>72032</v>
      </c>
      <c r="B5223" s="0" t="n">
        <v>72</v>
      </c>
      <c r="C5223" s="0" t="n">
        <v>32</v>
      </c>
      <c r="D5223" s="0" t="n">
        <v>221</v>
      </c>
      <c r="E5223" s="0" t="n">
        <f aca="false">VLOOKUP(B5223,'Babblefish-APUMA'!$A$1:$B$86,2)</f>
        <v>95</v>
      </c>
      <c r="F5223" s="0" t="n">
        <f aca="false">IF(C5223&gt;1,IF(C5223&lt;99,VLOOKUP(C5223,'Babblefish-APUMA'!$A$1:$B$86,2),C5223),C5223)</f>
        <v>32</v>
      </c>
    </row>
    <row r="5224" customFormat="false" ht="12.75" hidden="false" customHeight="false" outlineLevel="0" collapsed="false">
      <c r="A5224" s="0" t="n">
        <f aca="false">B5224*1000+C5224</f>
        <v>72033</v>
      </c>
      <c r="B5224" s="0" t="n">
        <v>72</v>
      </c>
      <c r="C5224" s="0" t="n">
        <v>33</v>
      </c>
      <c r="D5224" s="0" t="n">
        <v>273</v>
      </c>
      <c r="E5224" s="0" t="n">
        <f aca="false">VLOOKUP(B5224,'Babblefish-APUMA'!$A$1:$B$86,2)</f>
        <v>95</v>
      </c>
      <c r="F5224" s="0" t="n">
        <f aca="false">IF(C5224&gt;1,IF(C5224&lt;99,VLOOKUP(C5224,'Babblefish-APUMA'!$A$1:$B$86,2),C5224),C5224)</f>
        <v>96</v>
      </c>
    </row>
    <row r="5225" customFormat="false" ht="12.75" hidden="false" customHeight="false" outlineLevel="0" collapsed="false">
      <c r="A5225" s="0" t="n">
        <f aca="false">B5225*1000+C5225</f>
        <v>72034</v>
      </c>
      <c r="B5225" s="0" t="n">
        <v>72</v>
      </c>
      <c r="C5225" s="0" t="n">
        <v>34</v>
      </c>
      <c r="D5225" s="0" t="n">
        <v>0</v>
      </c>
      <c r="E5225" s="0" t="n">
        <f aca="false">VLOOKUP(B5225,'Babblefish-APUMA'!$A$1:$B$86,2)</f>
        <v>95</v>
      </c>
      <c r="F5225" s="0" t="n">
        <f aca="false">IF(C5225&gt;1,IF(C5225&lt;99,VLOOKUP(C5225,'Babblefish-APUMA'!$A$1:$B$86,2),C5225),C5225)</f>
        <v>96</v>
      </c>
    </row>
    <row r="5226" customFormat="false" ht="12.75" hidden="false" customHeight="false" outlineLevel="0" collapsed="false">
      <c r="A5226" s="0" t="n">
        <f aca="false">B5226*1000+C5226</f>
        <v>72035</v>
      </c>
      <c r="B5226" s="0" t="n">
        <v>72</v>
      </c>
      <c r="C5226" s="0" t="n">
        <v>35</v>
      </c>
      <c r="D5226" s="0" t="n">
        <v>0</v>
      </c>
      <c r="E5226" s="0" t="n">
        <f aca="false">VLOOKUP(B5226,'Babblefish-APUMA'!$A$1:$B$86,2)</f>
        <v>95</v>
      </c>
      <c r="F5226" s="0" t="n">
        <f aca="false">IF(C5226&gt;1,IF(C5226&lt;99,VLOOKUP(C5226,'Babblefish-APUMA'!$A$1:$B$86,2),C5226),C5226)</f>
        <v>96</v>
      </c>
    </row>
    <row r="5227" customFormat="false" ht="12.75" hidden="false" customHeight="false" outlineLevel="0" collapsed="false">
      <c r="A5227" s="0" t="n">
        <f aca="false">B5227*1000+C5227</f>
        <v>72036</v>
      </c>
      <c r="B5227" s="0" t="n">
        <v>72</v>
      </c>
      <c r="C5227" s="0" t="n">
        <v>36</v>
      </c>
      <c r="D5227" s="0" t="n">
        <v>351</v>
      </c>
      <c r="E5227" s="0" t="n">
        <f aca="false">VLOOKUP(B5227,'Babblefish-APUMA'!$A$1:$B$86,2)</f>
        <v>95</v>
      </c>
      <c r="F5227" s="0" t="n">
        <f aca="false">IF(C5227&gt;1,IF(C5227&lt;99,VLOOKUP(C5227,'Babblefish-APUMA'!$A$1:$B$86,2),C5227),C5227)</f>
        <v>96</v>
      </c>
    </row>
    <row r="5228" customFormat="false" ht="12.75" hidden="false" customHeight="false" outlineLevel="0" collapsed="false">
      <c r="A5228" s="0" t="n">
        <f aca="false">B5228*1000+C5228</f>
        <v>72037</v>
      </c>
      <c r="B5228" s="0" t="n">
        <v>72</v>
      </c>
      <c r="C5228" s="0" t="n">
        <v>37</v>
      </c>
      <c r="D5228" s="0" t="n">
        <v>91</v>
      </c>
      <c r="E5228" s="0" t="n">
        <f aca="false">VLOOKUP(B5228,'Babblefish-APUMA'!$A$1:$B$86,2)</f>
        <v>95</v>
      </c>
      <c r="F5228" s="0" t="n">
        <f aca="false">IF(C5228&gt;1,IF(C5228&lt;99,VLOOKUP(C5228,'Babblefish-APUMA'!$A$1:$B$86,2),C5228),C5228)</f>
        <v>96</v>
      </c>
    </row>
    <row r="5229" customFormat="false" ht="12.75" hidden="false" customHeight="false" outlineLevel="0" collapsed="false">
      <c r="A5229" s="0" t="n">
        <f aca="false">B5229*1000+C5229</f>
        <v>72038</v>
      </c>
      <c r="B5229" s="0" t="n">
        <v>72</v>
      </c>
      <c r="C5229" s="0" t="n">
        <v>38</v>
      </c>
      <c r="D5229" s="0" t="n">
        <v>0</v>
      </c>
      <c r="E5229" s="0" t="n">
        <f aca="false">VLOOKUP(B5229,'Babblefish-APUMA'!$A$1:$B$86,2)</f>
        <v>95</v>
      </c>
      <c r="F5229" s="0" t="n">
        <f aca="false">IF(C5229&gt;1,IF(C5229&lt;99,VLOOKUP(C5229,'Babblefish-APUMA'!$A$1:$B$86,2),C5229),C5229)</f>
        <v>91</v>
      </c>
    </row>
    <row r="5230" customFormat="false" ht="12.75" hidden="false" customHeight="false" outlineLevel="0" collapsed="false">
      <c r="A5230" s="0" t="n">
        <f aca="false">B5230*1000+C5230</f>
        <v>72039</v>
      </c>
      <c r="B5230" s="0" t="n">
        <v>72</v>
      </c>
      <c r="C5230" s="0" t="n">
        <v>39</v>
      </c>
      <c r="D5230" s="0" t="n">
        <v>208</v>
      </c>
      <c r="E5230" s="0" t="n">
        <f aca="false">VLOOKUP(B5230,'Babblefish-APUMA'!$A$1:$B$86,2)</f>
        <v>95</v>
      </c>
      <c r="F5230" s="0" t="n">
        <f aca="false">IF(C5230&gt;1,IF(C5230&lt;99,VLOOKUP(C5230,'Babblefish-APUMA'!$A$1:$B$86,2),C5230),C5230)</f>
        <v>91</v>
      </c>
    </row>
    <row r="5231" customFormat="false" ht="12.75" hidden="false" customHeight="false" outlineLevel="0" collapsed="false">
      <c r="A5231" s="0" t="n">
        <f aca="false">B5231*1000+C5231</f>
        <v>72040</v>
      </c>
      <c r="B5231" s="0" t="n">
        <v>72</v>
      </c>
      <c r="C5231" s="0" t="n">
        <v>40</v>
      </c>
      <c r="D5231" s="0" t="n">
        <v>0</v>
      </c>
      <c r="E5231" s="0" t="n">
        <f aca="false">VLOOKUP(B5231,'Babblefish-APUMA'!$A$1:$B$86,2)</f>
        <v>95</v>
      </c>
      <c r="F5231" s="0" t="n">
        <f aca="false">IF(C5231&gt;1,IF(C5231&lt;99,VLOOKUP(C5231,'Babblefish-APUMA'!$A$1:$B$86,2),C5231),C5231)</f>
        <v>88</v>
      </c>
    </row>
    <row r="5232" customFormat="false" ht="12.75" hidden="false" customHeight="false" outlineLevel="0" collapsed="false">
      <c r="A5232" s="0" t="n">
        <f aca="false">B5232*1000+C5232</f>
        <v>72041</v>
      </c>
      <c r="B5232" s="0" t="n">
        <v>72</v>
      </c>
      <c r="C5232" s="0" t="n">
        <v>41</v>
      </c>
      <c r="D5232" s="0" t="n">
        <v>0</v>
      </c>
      <c r="E5232" s="0" t="n">
        <f aca="false">VLOOKUP(B5232,'Babblefish-APUMA'!$A$1:$B$86,2)</f>
        <v>95</v>
      </c>
      <c r="F5232" s="0" t="n">
        <f aca="false">IF(C5232&gt;1,IF(C5232&lt;99,VLOOKUP(C5232,'Babblefish-APUMA'!$A$1:$B$86,2),C5232),C5232)</f>
        <v>88</v>
      </c>
    </row>
    <row r="5233" customFormat="false" ht="12.75" hidden="false" customHeight="false" outlineLevel="0" collapsed="false">
      <c r="A5233" s="0" t="n">
        <f aca="false">B5233*1000+C5233</f>
        <v>72042</v>
      </c>
      <c r="B5233" s="0" t="n">
        <v>72</v>
      </c>
      <c r="C5233" s="0" t="n">
        <v>42</v>
      </c>
      <c r="D5233" s="0" t="n">
        <v>1521</v>
      </c>
      <c r="E5233" s="0" t="n">
        <f aca="false">VLOOKUP(B5233,'Babblefish-APUMA'!$A$1:$B$86,2)</f>
        <v>95</v>
      </c>
      <c r="F5233" s="0" t="n">
        <f aca="false">IF(C5233&gt;1,IF(C5233&lt;99,VLOOKUP(C5233,'Babblefish-APUMA'!$A$1:$B$86,2),C5233),C5233)</f>
        <v>92</v>
      </c>
    </row>
    <row r="5234" customFormat="false" ht="12.75" hidden="false" customHeight="false" outlineLevel="0" collapsed="false">
      <c r="A5234" s="0" t="n">
        <f aca="false">B5234*1000+C5234</f>
        <v>72043</v>
      </c>
      <c r="B5234" s="0" t="n">
        <v>72</v>
      </c>
      <c r="C5234" s="0" t="n">
        <v>43</v>
      </c>
      <c r="D5234" s="0" t="n">
        <v>351</v>
      </c>
      <c r="E5234" s="0" t="n">
        <f aca="false">VLOOKUP(B5234,'Babblefish-APUMA'!$A$1:$B$86,2)</f>
        <v>95</v>
      </c>
      <c r="F5234" s="0" t="n">
        <f aca="false">IF(C5234&gt;1,IF(C5234&lt;99,VLOOKUP(C5234,'Babblefish-APUMA'!$A$1:$B$86,2),C5234),C5234)</f>
        <v>92</v>
      </c>
    </row>
    <row r="5235" customFormat="false" ht="12.75" hidden="false" customHeight="false" outlineLevel="0" collapsed="false">
      <c r="A5235" s="0" t="n">
        <f aca="false">B5235*1000+C5235</f>
        <v>72044</v>
      </c>
      <c r="B5235" s="0" t="n">
        <v>72</v>
      </c>
      <c r="C5235" s="0" t="n">
        <v>44</v>
      </c>
      <c r="D5235" s="0" t="n">
        <v>403</v>
      </c>
      <c r="E5235" s="0" t="n">
        <f aca="false">VLOOKUP(B5235,'Babblefish-APUMA'!$A$1:$B$86,2)</f>
        <v>95</v>
      </c>
      <c r="F5235" s="0" t="n">
        <f aca="false">IF(C5235&gt;1,IF(C5235&lt;99,VLOOKUP(C5235,'Babblefish-APUMA'!$A$1:$B$86,2),C5235),C5235)</f>
        <v>92</v>
      </c>
    </row>
    <row r="5236" customFormat="false" ht="12.75" hidden="false" customHeight="false" outlineLevel="0" collapsed="false">
      <c r="A5236" s="0" t="n">
        <f aca="false">B5236*1000+C5236</f>
        <v>72045</v>
      </c>
      <c r="B5236" s="0" t="n">
        <v>72</v>
      </c>
      <c r="C5236" s="0" t="n">
        <v>45</v>
      </c>
      <c r="D5236" s="0" t="n">
        <v>0</v>
      </c>
      <c r="E5236" s="0" t="n">
        <f aca="false">VLOOKUP(B5236,'Babblefish-APUMA'!$A$1:$B$86,2)</f>
        <v>95</v>
      </c>
      <c r="F5236" s="0" t="n">
        <f aca="false">IF(C5236&gt;1,IF(C5236&lt;99,VLOOKUP(C5236,'Babblefish-APUMA'!$A$1:$B$86,2),C5236),C5236)</f>
        <v>92</v>
      </c>
    </row>
    <row r="5237" customFormat="false" ht="12.75" hidden="false" customHeight="false" outlineLevel="0" collapsed="false">
      <c r="A5237" s="0" t="n">
        <f aca="false">B5237*1000+C5237</f>
        <v>72046</v>
      </c>
      <c r="B5237" s="0" t="n">
        <v>72</v>
      </c>
      <c r="C5237" s="0" t="n">
        <v>46</v>
      </c>
      <c r="D5237" s="0" t="n">
        <v>767</v>
      </c>
      <c r="E5237" s="0" t="n">
        <f aca="false">VLOOKUP(B5237,'Babblefish-APUMA'!$A$1:$B$86,2)</f>
        <v>95</v>
      </c>
      <c r="F5237" s="0" t="n">
        <f aca="false">IF(C5237&gt;1,IF(C5237&lt;99,VLOOKUP(C5237,'Babblefish-APUMA'!$A$1:$B$86,2),C5237),C5237)</f>
        <v>92</v>
      </c>
    </row>
    <row r="5238" customFormat="false" ht="12.75" hidden="false" customHeight="false" outlineLevel="0" collapsed="false">
      <c r="A5238" s="0" t="n">
        <f aca="false">B5238*1000+C5238</f>
        <v>72047</v>
      </c>
      <c r="B5238" s="0" t="n">
        <v>72</v>
      </c>
      <c r="C5238" s="0" t="n">
        <v>47</v>
      </c>
      <c r="D5238" s="0" t="n">
        <v>247</v>
      </c>
      <c r="E5238" s="0" t="n">
        <f aca="false">VLOOKUP(B5238,'Babblefish-APUMA'!$A$1:$B$86,2)</f>
        <v>95</v>
      </c>
      <c r="F5238" s="0" t="n">
        <f aca="false">IF(C5238&gt;1,IF(C5238&lt;99,VLOOKUP(C5238,'Babblefish-APUMA'!$A$1:$B$86,2),C5238),C5238)</f>
        <v>92</v>
      </c>
    </row>
    <row r="5239" customFormat="false" ht="12.75" hidden="false" customHeight="false" outlineLevel="0" collapsed="false">
      <c r="A5239" s="0" t="n">
        <f aca="false">B5239*1000+C5239</f>
        <v>72048</v>
      </c>
      <c r="B5239" s="0" t="n">
        <v>72</v>
      </c>
      <c r="C5239" s="0" t="n">
        <v>48</v>
      </c>
      <c r="D5239" s="0" t="n">
        <v>13858</v>
      </c>
      <c r="E5239" s="0" t="n">
        <f aca="false">VLOOKUP(B5239,'Babblefish-APUMA'!$A$1:$B$86,2)</f>
        <v>95</v>
      </c>
      <c r="F5239" s="0" t="n">
        <f aca="false">IF(C5239&gt;1,IF(C5239&lt;99,VLOOKUP(C5239,'Babblefish-APUMA'!$A$1:$B$86,2),C5239),C5239)</f>
        <v>92</v>
      </c>
    </row>
    <row r="5240" customFormat="false" ht="12.75" hidden="false" customHeight="false" outlineLevel="0" collapsed="false">
      <c r="A5240" s="0" t="n">
        <f aca="false">B5240*1000+C5240</f>
        <v>72049</v>
      </c>
      <c r="B5240" s="0" t="n">
        <v>72</v>
      </c>
      <c r="C5240" s="0" t="n">
        <v>49</v>
      </c>
      <c r="D5240" s="0" t="n">
        <v>65</v>
      </c>
      <c r="E5240" s="0" t="n">
        <f aca="false">VLOOKUP(B5240,'Babblefish-APUMA'!$A$1:$B$86,2)</f>
        <v>95</v>
      </c>
      <c r="F5240" s="0" t="n">
        <f aca="false">IF(C5240&gt;1,IF(C5240&lt;99,VLOOKUP(C5240,'Babblefish-APUMA'!$A$1:$B$86,2),C5240),C5240)</f>
        <v>98</v>
      </c>
    </row>
    <row r="5241" customFormat="false" ht="12.75" hidden="false" customHeight="false" outlineLevel="0" collapsed="false">
      <c r="A5241" s="0" t="n">
        <f aca="false">B5241*1000+C5241</f>
        <v>72050</v>
      </c>
      <c r="B5241" s="0" t="n">
        <v>72</v>
      </c>
      <c r="C5241" s="0" t="n">
        <v>50</v>
      </c>
      <c r="D5241" s="0" t="n">
        <v>0</v>
      </c>
      <c r="E5241" s="0" t="n">
        <f aca="false">VLOOKUP(B5241,'Babblefish-APUMA'!$A$1:$B$86,2)</f>
        <v>95</v>
      </c>
      <c r="F5241" s="0" t="n">
        <f aca="false">IF(C5241&gt;1,IF(C5241&lt;99,VLOOKUP(C5241,'Babblefish-APUMA'!$A$1:$B$86,2),C5241),C5241)</f>
        <v>98</v>
      </c>
    </row>
    <row r="5242" customFormat="false" ht="12.75" hidden="false" customHeight="false" outlineLevel="0" collapsed="false">
      <c r="A5242" s="0" t="n">
        <f aca="false">B5242*1000+C5242</f>
        <v>72051</v>
      </c>
      <c r="B5242" s="0" t="n">
        <v>72</v>
      </c>
      <c r="C5242" s="0" t="n">
        <v>51</v>
      </c>
      <c r="D5242" s="0" t="n">
        <v>0</v>
      </c>
      <c r="E5242" s="0" t="n">
        <f aca="false">VLOOKUP(B5242,'Babblefish-APUMA'!$A$1:$B$86,2)</f>
        <v>95</v>
      </c>
      <c r="F5242" s="0" t="n">
        <f aca="false">IF(C5242&gt;1,IF(C5242&lt;99,VLOOKUP(C5242,'Babblefish-APUMA'!$A$1:$B$86,2),C5242),C5242)</f>
        <v>98</v>
      </c>
    </row>
    <row r="5243" customFormat="false" ht="12.75" hidden="false" customHeight="false" outlineLevel="0" collapsed="false">
      <c r="A5243" s="0" t="n">
        <f aca="false">B5243*1000+C5243</f>
        <v>72052</v>
      </c>
      <c r="B5243" s="0" t="n">
        <v>72</v>
      </c>
      <c r="C5243" s="0" t="n">
        <v>52</v>
      </c>
      <c r="D5243" s="0" t="n">
        <v>793</v>
      </c>
      <c r="E5243" s="0" t="n">
        <f aca="false">VLOOKUP(B5243,'Babblefish-APUMA'!$A$1:$B$86,2)</f>
        <v>95</v>
      </c>
      <c r="F5243" s="0" t="n">
        <f aca="false">IF(C5243&gt;1,IF(C5243&lt;99,VLOOKUP(C5243,'Babblefish-APUMA'!$A$1:$B$86,2),C5243),C5243)</f>
        <v>90</v>
      </c>
    </row>
    <row r="5244" customFormat="false" ht="12.75" hidden="false" customHeight="false" outlineLevel="0" collapsed="false">
      <c r="A5244" s="0" t="n">
        <f aca="false">B5244*1000+C5244</f>
        <v>72053</v>
      </c>
      <c r="B5244" s="0" t="n">
        <v>72</v>
      </c>
      <c r="C5244" s="0" t="n">
        <v>53</v>
      </c>
      <c r="D5244" s="0" t="n">
        <v>1625</v>
      </c>
      <c r="E5244" s="0" t="n">
        <f aca="false">VLOOKUP(B5244,'Babblefish-APUMA'!$A$1:$B$86,2)</f>
        <v>95</v>
      </c>
      <c r="F5244" s="0" t="n">
        <f aca="false">IF(C5244&gt;1,IF(C5244&lt;99,VLOOKUP(C5244,'Babblefish-APUMA'!$A$1:$B$86,2),C5244),C5244)</f>
        <v>90</v>
      </c>
    </row>
    <row r="5245" customFormat="false" ht="12.75" hidden="false" customHeight="false" outlineLevel="0" collapsed="false">
      <c r="A5245" s="0" t="n">
        <f aca="false">B5245*1000+C5245</f>
        <v>72054</v>
      </c>
      <c r="B5245" s="0" t="n">
        <v>72</v>
      </c>
      <c r="C5245" s="0" t="n">
        <v>54</v>
      </c>
      <c r="D5245" s="0" t="n">
        <v>1820</v>
      </c>
      <c r="E5245" s="0" t="n">
        <f aca="false">VLOOKUP(B5245,'Babblefish-APUMA'!$A$1:$B$86,2)</f>
        <v>95</v>
      </c>
      <c r="F5245" s="0" t="n">
        <f aca="false">IF(C5245&gt;1,IF(C5245&lt;99,VLOOKUP(C5245,'Babblefish-APUMA'!$A$1:$B$86,2),C5245),C5245)</f>
        <v>90</v>
      </c>
    </row>
    <row r="5246" customFormat="false" ht="12.75" hidden="false" customHeight="false" outlineLevel="0" collapsed="false">
      <c r="A5246" s="0" t="n">
        <f aca="false">B5246*1000+C5246</f>
        <v>72055</v>
      </c>
      <c r="B5246" s="0" t="n">
        <v>72</v>
      </c>
      <c r="C5246" s="0" t="n">
        <v>55</v>
      </c>
      <c r="D5246" s="0" t="n">
        <v>949</v>
      </c>
      <c r="E5246" s="0" t="n">
        <f aca="false">VLOOKUP(B5246,'Babblefish-APUMA'!$A$1:$B$86,2)</f>
        <v>95</v>
      </c>
      <c r="F5246" s="0" t="n">
        <f aca="false">IF(C5246&gt;1,IF(C5246&lt;99,VLOOKUP(C5246,'Babblefish-APUMA'!$A$1:$B$86,2),C5246),C5246)</f>
        <v>90</v>
      </c>
    </row>
    <row r="5247" customFormat="false" ht="12.75" hidden="false" customHeight="false" outlineLevel="0" collapsed="false">
      <c r="A5247" s="0" t="n">
        <f aca="false">B5247*1000+C5247</f>
        <v>72056</v>
      </c>
      <c r="B5247" s="0" t="n">
        <v>72</v>
      </c>
      <c r="C5247" s="0" t="n">
        <v>56</v>
      </c>
      <c r="D5247" s="0" t="n">
        <v>351</v>
      </c>
      <c r="E5247" s="0" t="n">
        <f aca="false">VLOOKUP(B5247,'Babblefish-APUMA'!$A$1:$B$86,2)</f>
        <v>95</v>
      </c>
      <c r="F5247" s="0" t="n">
        <f aca="false">IF(C5247&gt;1,IF(C5247&lt;99,VLOOKUP(C5247,'Babblefish-APUMA'!$A$1:$B$86,2),C5247),C5247)</f>
        <v>90</v>
      </c>
    </row>
    <row r="5248" customFormat="false" ht="12.75" hidden="false" customHeight="false" outlineLevel="0" collapsed="false">
      <c r="A5248" s="0" t="n">
        <f aca="false">B5248*1000+C5248</f>
        <v>72057</v>
      </c>
      <c r="B5248" s="0" t="n">
        <v>72</v>
      </c>
      <c r="C5248" s="0" t="n">
        <v>57</v>
      </c>
      <c r="D5248" s="0" t="n">
        <v>624</v>
      </c>
      <c r="E5248" s="0" t="n">
        <f aca="false">VLOOKUP(B5248,'Babblefish-APUMA'!$A$1:$B$86,2)</f>
        <v>95</v>
      </c>
      <c r="F5248" s="0" t="n">
        <f aca="false">IF(C5248&gt;1,IF(C5248&lt;99,VLOOKUP(C5248,'Babblefish-APUMA'!$A$1:$B$86,2),C5248),C5248)</f>
        <v>90</v>
      </c>
    </row>
    <row r="5249" customFormat="false" ht="12.75" hidden="false" customHeight="false" outlineLevel="0" collapsed="false">
      <c r="A5249" s="0" t="n">
        <f aca="false">B5249*1000+C5249</f>
        <v>72058</v>
      </c>
      <c r="B5249" s="0" t="n">
        <v>72</v>
      </c>
      <c r="C5249" s="0" t="n">
        <v>58</v>
      </c>
      <c r="D5249" s="0" t="n">
        <v>1924</v>
      </c>
      <c r="E5249" s="0" t="n">
        <f aca="false">VLOOKUP(B5249,'Babblefish-APUMA'!$A$1:$B$86,2)</f>
        <v>95</v>
      </c>
      <c r="F5249" s="0" t="n">
        <f aca="false">IF(C5249&gt;1,IF(C5249&lt;99,VLOOKUP(C5249,'Babblefish-APUMA'!$A$1:$B$86,2),C5249),C5249)</f>
        <v>90</v>
      </c>
    </row>
    <row r="5250" customFormat="false" ht="12.75" hidden="false" customHeight="false" outlineLevel="0" collapsed="false">
      <c r="A5250" s="0" t="n">
        <f aca="false">B5250*1000+C5250</f>
        <v>72059</v>
      </c>
      <c r="B5250" s="0" t="n">
        <v>72</v>
      </c>
      <c r="C5250" s="0" t="n">
        <v>59</v>
      </c>
      <c r="D5250" s="0" t="n">
        <v>9815</v>
      </c>
      <c r="E5250" s="0" t="n">
        <f aca="false">VLOOKUP(B5250,'Babblefish-APUMA'!$A$1:$B$86,2)</f>
        <v>95</v>
      </c>
      <c r="F5250" s="0" t="n">
        <f aca="false">IF(C5250&gt;1,IF(C5250&lt;99,VLOOKUP(C5250,'Babblefish-APUMA'!$A$1:$B$86,2),C5250),C5250)</f>
        <v>90</v>
      </c>
    </row>
    <row r="5251" customFormat="false" ht="12.75" hidden="false" customHeight="false" outlineLevel="0" collapsed="false">
      <c r="A5251" s="0" t="n">
        <f aca="false">B5251*1000+C5251</f>
        <v>72060</v>
      </c>
      <c r="B5251" s="0" t="n">
        <v>72</v>
      </c>
      <c r="C5251" s="0" t="n">
        <v>60</v>
      </c>
      <c r="D5251" s="0" t="n">
        <v>598</v>
      </c>
      <c r="E5251" s="0" t="n">
        <f aca="false">VLOOKUP(B5251,'Babblefish-APUMA'!$A$1:$B$86,2)</f>
        <v>95</v>
      </c>
      <c r="F5251" s="0" t="n">
        <f aca="false">IF(C5251&gt;1,IF(C5251&lt;99,VLOOKUP(C5251,'Babblefish-APUMA'!$A$1:$B$86,2),C5251),C5251)</f>
        <v>90</v>
      </c>
    </row>
    <row r="5252" customFormat="false" ht="12.75" hidden="false" customHeight="false" outlineLevel="0" collapsed="false">
      <c r="A5252" s="0" t="n">
        <f aca="false">B5252*1000+C5252</f>
        <v>72061</v>
      </c>
      <c r="B5252" s="0" t="n">
        <v>72</v>
      </c>
      <c r="C5252" s="0" t="n">
        <v>61</v>
      </c>
      <c r="D5252" s="0" t="n">
        <v>0</v>
      </c>
      <c r="E5252" s="0" t="n">
        <f aca="false">VLOOKUP(B5252,'Babblefish-APUMA'!$A$1:$B$86,2)</f>
        <v>95</v>
      </c>
      <c r="F5252" s="0" t="n">
        <f aca="false">IF(C5252&gt;1,IF(C5252&lt;99,VLOOKUP(C5252,'Babblefish-APUMA'!$A$1:$B$86,2),C5252),C5252)</f>
        <v>90</v>
      </c>
    </row>
    <row r="5253" customFormat="false" ht="12.75" hidden="false" customHeight="false" outlineLevel="0" collapsed="false">
      <c r="A5253" s="0" t="n">
        <f aca="false">B5253*1000+C5253</f>
        <v>72062</v>
      </c>
      <c r="B5253" s="0" t="n">
        <v>72</v>
      </c>
      <c r="C5253" s="0" t="n">
        <v>62</v>
      </c>
      <c r="D5253" s="0" t="n">
        <v>390</v>
      </c>
      <c r="E5253" s="0" t="n">
        <f aca="false">VLOOKUP(B5253,'Babblefish-APUMA'!$A$1:$B$86,2)</f>
        <v>95</v>
      </c>
      <c r="F5253" s="0" t="n">
        <f aca="false">IF(C5253&gt;1,IF(C5253&lt;99,VLOOKUP(C5253,'Babblefish-APUMA'!$A$1:$B$86,2),C5253),C5253)</f>
        <v>90</v>
      </c>
    </row>
    <row r="5254" customFormat="false" ht="12.75" hidden="false" customHeight="false" outlineLevel="0" collapsed="false">
      <c r="A5254" s="0" t="n">
        <f aca="false">B5254*1000+C5254</f>
        <v>72063</v>
      </c>
      <c r="B5254" s="0" t="n">
        <v>72</v>
      </c>
      <c r="C5254" s="0" t="n">
        <v>63</v>
      </c>
      <c r="D5254" s="0" t="n">
        <v>1599</v>
      </c>
      <c r="E5254" s="0" t="n">
        <f aca="false">VLOOKUP(B5254,'Babblefish-APUMA'!$A$1:$B$86,2)</f>
        <v>95</v>
      </c>
      <c r="F5254" s="0" t="n">
        <f aca="false">IF(C5254&gt;1,IF(C5254&lt;99,VLOOKUP(C5254,'Babblefish-APUMA'!$A$1:$B$86,2),C5254),C5254)</f>
        <v>90</v>
      </c>
    </row>
    <row r="5255" customFormat="false" ht="12.75" hidden="false" customHeight="false" outlineLevel="0" collapsed="false">
      <c r="A5255" s="0" t="n">
        <f aca="false">B5255*1000+C5255</f>
        <v>72064</v>
      </c>
      <c r="B5255" s="0" t="n">
        <v>72</v>
      </c>
      <c r="C5255" s="0" t="n">
        <v>64</v>
      </c>
      <c r="D5255" s="0" t="n">
        <v>40924</v>
      </c>
      <c r="E5255" s="0" t="n">
        <f aca="false">VLOOKUP(B5255,'Babblefish-APUMA'!$A$1:$B$86,2)</f>
        <v>95</v>
      </c>
      <c r="F5255" s="0" t="n">
        <f aca="false">IF(C5255&gt;1,IF(C5255&lt;99,VLOOKUP(C5255,'Babblefish-APUMA'!$A$1:$B$86,2),C5255),C5255)</f>
        <v>90</v>
      </c>
    </row>
    <row r="5256" customFormat="false" ht="12.75" hidden="false" customHeight="false" outlineLevel="0" collapsed="false">
      <c r="A5256" s="0" t="n">
        <f aca="false">B5256*1000+C5256</f>
        <v>72065</v>
      </c>
      <c r="B5256" s="0" t="n">
        <v>72</v>
      </c>
      <c r="C5256" s="0" t="n">
        <v>65</v>
      </c>
      <c r="D5256" s="0" t="n">
        <v>16939</v>
      </c>
      <c r="E5256" s="0" t="n">
        <f aca="false">VLOOKUP(B5256,'Babblefish-APUMA'!$A$1:$B$86,2)</f>
        <v>95</v>
      </c>
      <c r="F5256" s="0" t="n">
        <f aca="false">IF(C5256&gt;1,IF(C5256&lt;99,VLOOKUP(C5256,'Babblefish-APUMA'!$A$1:$B$86,2),C5256),C5256)</f>
        <v>90</v>
      </c>
    </row>
    <row r="5257" customFormat="false" ht="12.75" hidden="false" customHeight="false" outlineLevel="0" collapsed="false">
      <c r="A5257" s="0" t="n">
        <f aca="false">B5257*1000+C5257</f>
        <v>72066</v>
      </c>
      <c r="B5257" s="0" t="n">
        <v>72</v>
      </c>
      <c r="C5257" s="0" t="n">
        <v>66</v>
      </c>
      <c r="D5257" s="0" t="n">
        <v>2301</v>
      </c>
      <c r="E5257" s="0" t="n">
        <f aca="false">VLOOKUP(B5257,'Babblefish-APUMA'!$A$1:$B$86,2)</f>
        <v>95</v>
      </c>
      <c r="F5257" s="0" t="n">
        <f aca="false">IF(C5257&gt;1,IF(C5257&lt;99,VLOOKUP(C5257,'Babblefish-APUMA'!$A$1:$B$86,2),C5257),C5257)</f>
        <v>90</v>
      </c>
    </row>
    <row r="5258" customFormat="false" ht="12.75" hidden="false" customHeight="false" outlineLevel="0" collapsed="false">
      <c r="A5258" s="0" t="n">
        <f aca="false">B5258*1000+C5258</f>
        <v>72067</v>
      </c>
      <c r="B5258" s="0" t="n">
        <v>72</v>
      </c>
      <c r="C5258" s="0" t="n">
        <v>67</v>
      </c>
      <c r="D5258" s="0" t="n">
        <v>221</v>
      </c>
      <c r="E5258" s="0" t="n">
        <f aca="false">VLOOKUP(B5258,'Babblefish-APUMA'!$A$1:$B$86,2)</f>
        <v>95</v>
      </c>
      <c r="F5258" s="0" t="n">
        <f aca="false">IF(C5258&gt;1,IF(C5258&lt;99,VLOOKUP(C5258,'Babblefish-APUMA'!$A$1:$B$86,2),C5258),C5258)</f>
        <v>103</v>
      </c>
    </row>
    <row r="5259" customFormat="false" ht="12.75" hidden="false" customHeight="false" outlineLevel="0" collapsed="false">
      <c r="A5259" s="0" t="n">
        <f aca="false">B5259*1000+C5259</f>
        <v>72068</v>
      </c>
      <c r="B5259" s="0" t="n">
        <v>72</v>
      </c>
      <c r="C5259" s="0" t="n">
        <v>68</v>
      </c>
      <c r="D5259" s="0" t="n">
        <v>1027</v>
      </c>
      <c r="E5259" s="0" t="n">
        <f aca="false">VLOOKUP(B5259,'Babblefish-APUMA'!$A$1:$B$86,2)</f>
        <v>95</v>
      </c>
      <c r="F5259" s="0" t="n">
        <f aca="false">IF(C5259&gt;1,IF(C5259&lt;99,VLOOKUP(C5259,'Babblefish-APUMA'!$A$1:$B$86,2),C5259),C5259)</f>
        <v>93</v>
      </c>
    </row>
    <row r="5260" customFormat="false" ht="12.75" hidden="false" customHeight="false" outlineLevel="0" collapsed="false">
      <c r="A5260" s="0" t="n">
        <f aca="false">B5260*1000+C5260</f>
        <v>72069</v>
      </c>
      <c r="B5260" s="0" t="n">
        <v>72</v>
      </c>
      <c r="C5260" s="0" t="n">
        <v>69</v>
      </c>
      <c r="D5260" s="0" t="n">
        <v>13910</v>
      </c>
      <c r="E5260" s="0" t="n">
        <f aca="false">VLOOKUP(B5260,'Babblefish-APUMA'!$A$1:$B$86,2)</f>
        <v>95</v>
      </c>
      <c r="F5260" s="0" t="n">
        <f aca="false">IF(C5260&gt;1,IF(C5260&lt;99,VLOOKUP(C5260,'Babblefish-APUMA'!$A$1:$B$86,2),C5260),C5260)</f>
        <v>93</v>
      </c>
    </row>
    <row r="5261" customFormat="false" ht="12.75" hidden="false" customHeight="false" outlineLevel="0" collapsed="false">
      <c r="A5261" s="0" t="n">
        <f aca="false">B5261*1000+C5261</f>
        <v>72070</v>
      </c>
      <c r="B5261" s="0" t="n">
        <v>72</v>
      </c>
      <c r="C5261" s="0" t="n">
        <v>70</v>
      </c>
      <c r="D5261" s="0" t="n">
        <v>11947</v>
      </c>
      <c r="E5261" s="0" t="n">
        <f aca="false">VLOOKUP(B5261,'Babblefish-APUMA'!$A$1:$B$86,2)</f>
        <v>95</v>
      </c>
      <c r="F5261" s="0" t="n">
        <f aca="false">IF(C5261&gt;1,IF(C5261&lt;99,VLOOKUP(C5261,'Babblefish-APUMA'!$A$1:$B$86,2),C5261),C5261)</f>
        <v>95</v>
      </c>
    </row>
    <row r="5262" customFormat="false" ht="12.75" hidden="false" customHeight="false" outlineLevel="0" collapsed="false">
      <c r="A5262" s="0" t="n">
        <f aca="false">B5262*1000+C5262</f>
        <v>72071</v>
      </c>
      <c r="B5262" s="0" t="n">
        <v>72</v>
      </c>
      <c r="C5262" s="0" t="n">
        <v>71</v>
      </c>
      <c r="D5262" s="0" t="n">
        <v>19747</v>
      </c>
      <c r="E5262" s="0" t="n">
        <f aca="false">VLOOKUP(B5262,'Babblefish-APUMA'!$A$1:$B$86,2)</f>
        <v>95</v>
      </c>
      <c r="F5262" s="0" t="n">
        <f aca="false">IF(C5262&gt;1,IF(C5262&lt;99,VLOOKUP(C5262,'Babblefish-APUMA'!$A$1:$B$86,2),C5262),C5262)</f>
        <v>95</v>
      </c>
    </row>
    <row r="5263" customFormat="false" ht="12.75" hidden="false" customHeight="false" outlineLevel="0" collapsed="false">
      <c r="A5263" s="0" t="n">
        <f aca="false">B5263*1000+C5263</f>
        <v>72072</v>
      </c>
      <c r="B5263" s="0" t="n">
        <v>72</v>
      </c>
      <c r="C5263" s="0" t="n">
        <v>72</v>
      </c>
      <c r="D5263" s="0" t="n">
        <v>228774</v>
      </c>
      <c r="E5263" s="0" t="n">
        <f aca="false">VLOOKUP(B5263,'Babblefish-APUMA'!$A$1:$B$86,2)</f>
        <v>95</v>
      </c>
      <c r="F5263" s="0" t="n">
        <f aca="false">IF(C5263&gt;1,IF(C5263&lt;99,VLOOKUP(C5263,'Babblefish-APUMA'!$A$1:$B$86,2),C5263),C5263)</f>
        <v>95</v>
      </c>
    </row>
    <row r="5264" customFormat="false" ht="12.75" hidden="false" customHeight="false" outlineLevel="0" collapsed="false">
      <c r="A5264" s="0" t="n">
        <f aca="false">B5264*1000+C5264</f>
        <v>72073</v>
      </c>
      <c r="B5264" s="0" t="n">
        <v>72</v>
      </c>
      <c r="C5264" s="0" t="n">
        <v>73</v>
      </c>
      <c r="D5264" s="0" t="n">
        <v>0</v>
      </c>
      <c r="E5264" s="0" t="n">
        <f aca="false">VLOOKUP(B5264,'Babblefish-APUMA'!$A$1:$B$86,2)</f>
        <v>95</v>
      </c>
      <c r="F5264" s="0" t="n">
        <f aca="false">IF(C5264&gt;1,IF(C5264&lt;99,VLOOKUP(C5264,'Babblefish-APUMA'!$A$1:$B$86,2),C5264),C5264)</f>
        <v>99</v>
      </c>
    </row>
    <row r="5265" customFormat="false" ht="12.75" hidden="false" customHeight="false" outlineLevel="0" collapsed="false">
      <c r="A5265" s="0" t="n">
        <f aca="false">B5265*1000+C5265</f>
        <v>72075</v>
      </c>
      <c r="B5265" s="0" t="n">
        <v>72</v>
      </c>
      <c r="C5265" s="0" t="n">
        <v>75</v>
      </c>
      <c r="D5265" s="0" t="n">
        <v>0</v>
      </c>
      <c r="E5265" s="0" t="n">
        <f aca="false">VLOOKUP(B5265,'Babblefish-APUMA'!$A$1:$B$86,2)</f>
        <v>95</v>
      </c>
      <c r="F5265" s="0" t="n">
        <f aca="false">IF(C5265&gt;1,IF(C5265&lt;99,VLOOKUP(C5265,'Babblefish-APUMA'!$A$1:$B$86,2),C5265),C5265)</f>
        <v>75</v>
      </c>
    </row>
    <row r="5266" customFormat="false" ht="12.75" hidden="false" customHeight="false" outlineLevel="0" collapsed="false">
      <c r="A5266" s="0" t="n">
        <f aca="false">B5266*1000+C5266</f>
        <v>72076</v>
      </c>
      <c r="B5266" s="0" t="n">
        <v>72</v>
      </c>
      <c r="C5266" s="0" t="n">
        <v>76</v>
      </c>
      <c r="D5266" s="0" t="n">
        <v>0</v>
      </c>
      <c r="E5266" s="0" t="n">
        <f aca="false">VLOOKUP(B5266,'Babblefish-APUMA'!$A$1:$B$86,2)</f>
        <v>95</v>
      </c>
      <c r="F5266" s="0" t="n">
        <f aca="false">IF(C5266&gt;1,IF(C5266&lt;99,VLOOKUP(C5266,'Babblefish-APUMA'!$A$1:$B$86,2),C5266),C5266)</f>
        <v>76</v>
      </c>
    </row>
    <row r="5267" customFormat="false" ht="12.75" hidden="false" customHeight="false" outlineLevel="0" collapsed="false">
      <c r="A5267" s="0" t="n">
        <f aca="false">B5267*1000+C5267</f>
        <v>72077</v>
      </c>
      <c r="B5267" s="0" t="n">
        <v>72</v>
      </c>
      <c r="C5267" s="0" t="n">
        <v>77</v>
      </c>
      <c r="D5267" s="0" t="n">
        <v>312</v>
      </c>
      <c r="E5267" s="0" t="n">
        <f aca="false">VLOOKUP(B5267,'Babblefish-APUMA'!$A$1:$B$86,2)</f>
        <v>95</v>
      </c>
      <c r="F5267" s="0" t="n">
        <f aca="false">IF(C5267&gt;1,IF(C5267&lt;99,VLOOKUP(C5267,'Babblefish-APUMA'!$A$1:$B$86,2),C5267),C5267)</f>
        <v>77</v>
      </c>
    </row>
    <row r="5268" customFormat="false" ht="12.75" hidden="false" customHeight="false" outlineLevel="0" collapsed="false">
      <c r="A5268" s="0" t="n">
        <f aca="false">B5268*1000+C5268</f>
        <v>72078</v>
      </c>
      <c r="B5268" s="0" t="n">
        <v>72</v>
      </c>
      <c r="C5268" s="0" t="n">
        <v>78</v>
      </c>
      <c r="D5268" s="0" t="n">
        <v>247</v>
      </c>
      <c r="E5268" s="0" t="n">
        <f aca="false">VLOOKUP(B5268,'Babblefish-APUMA'!$A$1:$B$86,2)</f>
        <v>95</v>
      </c>
      <c r="F5268" s="0" t="n">
        <f aca="false">IF(C5268&gt;1,IF(C5268&lt;99,VLOOKUP(C5268,'Babblefish-APUMA'!$A$1:$B$86,2),C5268),C5268)</f>
        <v>89</v>
      </c>
    </row>
    <row r="5269" customFormat="false" ht="12.75" hidden="false" customHeight="false" outlineLevel="0" collapsed="false">
      <c r="A5269" s="0" t="n">
        <f aca="false">B5269*1000+C5269</f>
        <v>72079</v>
      </c>
      <c r="B5269" s="0" t="n">
        <v>72</v>
      </c>
      <c r="C5269" s="0" t="n">
        <v>79</v>
      </c>
      <c r="D5269" s="0" t="n">
        <v>1391</v>
      </c>
      <c r="E5269" s="0" t="n">
        <f aca="false">VLOOKUP(B5269,'Babblefish-APUMA'!$A$1:$B$86,2)</f>
        <v>95</v>
      </c>
      <c r="F5269" s="0" t="n">
        <f aca="false">IF(C5269&gt;1,IF(C5269&lt;99,VLOOKUP(C5269,'Babblefish-APUMA'!$A$1:$B$86,2),C5269),C5269)</f>
        <v>89</v>
      </c>
    </row>
    <row r="5270" customFormat="false" ht="12.75" hidden="false" customHeight="false" outlineLevel="0" collapsed="false">
      <c r="A5270" s="0" t="n">
        <f aca="false">B5270*1000+C5270</f>
        <v>72080</v>
      </c>
      <c r="B5270" s="0" t="n">
        <v>72</v>
      </c>
      <c r="C5270" s="0" t="n">
        <v>80</v>
      </c>
      <c r="D5270" s="0" t="n">
        <v>0</v>
      </c>
      <c r="E5270" s="0" t="n">
        <f aca="false">VLOOKUP(B5270,'Babblefish-APUMA'!$A$1:$B$86,2)</f>
        <v>95</v>
      </c>
      <c r="F5270" s="0" t="n">
        <f aca="false">IF(C5270&gt;1,IF(C5270&lt;99,VLOOKUP(C5270,'Babblefish-APUMA'!$A$1:$B$86,2),C5270),C5270)</f>
        <v>80</v>
      </c>
    </row>
    <row r="5271" customFormat="false" ht="12.75" hidden="false" customHeight="false" outlineLevel="0" collapsed="false">
      <c r="A5271" s="0" t="n">
        <f aca="false">B5271*1000+C5271</f>
        <v>72081</v>
      </c>
      <c r="B5271" s="0" t="n">
        <v>72</v>
      </c>
      <c r="C5271" s="0" t="n">
        <v>81</v>
      </c>
      <c r="D5271" s="0" t="n">
        <v>12220</v>
      </c>
      <c r="E5271" s="0" t="n">
        <f aca="false">VLOOKUP(B5271,'Babblefish-APUMA'!$A$1:$B$86,2)</f>
        <v>95</v>
      </c>
      <c r="F5271" s="0" t="n">
        <f aca="false">IF(C5271&gt;1,IF(C5271&lt;99,VLOOKUP(C5271,'Babblefish-APUMA'!$A$1:$B$86,2),C5271),C5271)</f>
        <v>93</v>
      </c>
    </row>
    <row r="5272" customFormat="false" ht="12.75" hidden="false" customHeight="false" outlineLevel="0" collapsed="false">
      <c r="A5272" s="0" t="n">
        <f aca="false">B5272*1000+C5272</f>
        <v>72082</v>
      </c>
      <c r="B5272" s="0" t="n">
        <v>72</v>
      </c>
      <c r="C5272" s="0" t="n">
        <v>82</v>
      </c>
      <c r="D5272" s="0" t="n">
        <v>41964</v>
      </c>
      <c r="E5272" s="0" t="n">
        <f aca="false">VLOOKUP(B5272,'Babblefish-APUMA'!$A$1:$B$86,2)</f>
        <v>95</v>
      </c>
      <c r="F5272" s="0" t="n">
        <f aca="false">IF(C5272&gt;1,IF(C5272&lt;99,VLOOKUP(C5272,'Babblefish-APUMA'!$A$1:$B$86,2),C5272),C5272)</f>
        <v>95</v>
      </c>
    </row>
    <row r="5273" customFormat="false" ht="12.75" hidden="false" customHeight="false" outlineLevel="0" collapsed="false">
      <c r="A5273" s="0" t="n">
        <f aca="false">B5273*1000+C5273</f>
        <v>72083</v>
      </c>
      <c r="B5273" s="0" t="n">
        <v>72</v>
      </c>
      <c r="C5273" s="0" t="n">
        <v>83</v>
      </c>
      <c r="D5273" s="0" t="n">
        <v>104</v>
      </c>
      <c r="E5273" s="0" t="n">
        <f aca="false">VLOOKUP(B5273,'Babblefish-APUMA'!$A$1:$B$86,2)</f>
        <v>95</v>
      </c>
      <c r="F5273" s="0" t="n">
        <f aca="false">IF(C5273&gt;1,IF(C5273&lt;99,VLOOKUP(C5273,'Babblefish-APUMA'!$A$1:$B$86,2),C5273),C5273)</f>
        <v>103</v>
      </c>
    </row>
    <row r="5274" customFormat="false" ht="12.75" hidden="false" customHeight="false" outlineLevel="0" collapsed="false">
      <c r="A5274" s="0" t="n">
        <f aca="false">B5274*1000+C5274</f>
        <v>72084</v>
      </c>
      <c r="B5274" s="0" t="n">
        <v>72</v>
      </c>
      <c r="C5274" s="0" t="n">
        <v>84</v>
      </c>
      <c r="D5274" s="0" t="n">
        <v>4017</v>
      </c>
      <c r="E5274" s="0" t="n">
        <f aca="false">VLOOKUP(B5274,'Babblefish-APUMA'!$A$1:$B$86,2)</f>
        <v>95</v>
      </c>
      <c r="F5274" s="0" t="n">
        <f aca="false">IF(C5274&gt;1,IF(C5274&lt;99,VLOOKUP(C5274,'Babblefish-APUMA'!$A$1:$B$86,2),C5274),C5274)</f>
        <v>92</v>
      </c>
    </row>
    <row r="5275" customFormat="false" ht="12.75" hidden="false" customHeight="false" outlineLevel="0" collapsed="false">
      <c r="A5275" s="0" t="n">
        <f aca="false">B5275*1000+C5275</f>
        <v>72085</v>
      </c>
      <c r="B5275" s="0" t="n">
        <v>72</v>
      </c>
      <c r="C5275" s="0" t="n">
        <v>85</v>
      </c>
      <c r="D5275" s="0" t="n">
        <v>0</v>
      </c>
      <c r="E5275" s="0" t="n">
        <f aca="false">VLOOKUP(B5275,'Babblefish-APUMA'!$A$1:$B$86,2)</f>
        <v>95</v>
      </c>
      <c r="F5275" s="0" t="n">
        <f aca="false">IF(C5275&gt;1,IF(C5275&lt;99,VLOOKUP(C5275,'Babblefish-APUMA'!$A$1:$B$86,2),C5275),C5275)</f>
        <v>97</v>
      </c>
    </row>
    <row r="5276" customFormat="false" ht="12.75" hidden="false" customHeight="false" outlineLevel="0" collapsed="false">
      <c r="A5276" s="0" t="n">
        <f aca="false">B5276*1000+C5276</f>
        <v>72858</v>
      </c>
      <c r="B5276" s="0" t="n">
        <v>72</v>
      </c>
      <c r="C5276" s="0" t="n">
        <v>858</v>
      </c>
      <c r="D5276" s="0" t="n">
        <v>0</v>
      </c>
      <c r="E5276" s="0" t="n">
        <f aca="false">VLOOKUP(B5276,'Babblefish-APUMA'!$A$1:$B$86,2)</f>
        <v>95</v>
      </c>
      <c r="F5276" s="0" t="n">
        <f aca="false">IF(C5276&gt;1,IF(C5276&lt;99,VLOOKUP(C5276,'Babblefish-APUMA'!$A$1:$B$86,2),C5276),C5276)</f>
        <v>858</v>
      </c>
    </row>
    <row r="5277" customFormat="false" ht="12.75" hidden="false" customHeight="false" outlineLevel="0" collapsed="false">
      <c r="A5277" s="0" t="n">
        <f aca="false">B5277*1000+C5277</f>
        <v>72983</v>
      </c>
      <c r="B5277" s="0" t="n">
        <v>72</v>
      </c>
      <c r="C5277" s="0" t="n">
        <v>983</v>
      </c>
      <c r="D5277" s="0" t="n">
        <v>0</v>
      </c>
      <c r="E5277" s="0" t="n">
        <f aca="false">VLOOKUP(B5277,'Babblefish-APUMA'!$A$1:$B$86,2)</f>
        <v>95</v>
      </c>
      <c r="F5277" s="0" t="n">
        <f aca="false">IF(C5277&gt;1,IF(C5277&lt;99,VLOOKUP(C5277,'Babblefish-APUMA'!$A$1:$B$86,2),C5277),C5277)</f>
        <v>983</v>
      </c>
    </row>
    <row r="5278" customFormat="false" ht="12.75" hidden="false" customHeight="false" outlineLevel="0" collapsed="false">
      <c r="A5278" s="0" t="n">
        <f aca="false">B5278*1000+C5278</f>
        <v>72999</v>
      </c>
      <c r="B5278" s="0" t="n">
        <v>72</v>
      </c>
      <c r="C5278" s="0" t="n">
        <v>999</v>
      </c>
      <c r="D5278" s="0" t="n">
        <v>0</v>
      </c>
      <c r="E5278" s="0" t="n">
        <f aca="false">VLOOKUP(B5278,'Babblefish-APUMA'!$A$1:$B$86,2)</f>
        <v>95</v>
      </c>
      <c r="F5278" s="0" t="n">
        <f aca="false">IF(C5278&gt;1,IF(C5278&lt;99,VLOOKUP(C5278,'Babblefish-APUMA'!$A$1:$B$86,2),C5278),C5278)</f>
        <v>999</v>
      </c>
    </row>
    <row r="5279" customFormat="false" ht="12.75" hidden="false" customHeight="false" outlineLevel="0" collapsed="false">
      <c r="A5279" s="0" t="n">
        <f aca="false">B5279*1000+C5279</f>
        <v>73000</v>
      </c>
      <c r="B5279" s="0" t="n">
        <v>73</v>
      </c>
      <c r="C5279" s="0" t="n">
        <v>0</v>
      </c>
      <c r="D5279" s="0" t="n">
        <v>58201</v>
      </c>
      <c r="E5279" s="0" t="n">
        <f aca="false">VLOOKUP(B5279,'Babblefish-APUMA'!$A$1:$B$86,2)</f>
        <v>99</v>
      </c>
      <c r="F5279" s="0" t="n">
        <f aca="false">IF(C5279&gt;1,IF(C5279&lt;99,VLOOKUP(C5279,'Babblefish-APUMA'!$A$1:$B$86,2),C5279),C5279)</f>
        <v>0</v>
      </c>
    </row>
    <row r="5280" customFormat="false" ht="12.75" hidden="false" customHeight="false" outlineLevel="0" collapsed="false">
      <c r="A5280" s="0" t="n">
        <f aca="false">B5280*1000+C5280</f>
        <v>73001</v>
      </c>
      <c r="B5280" s="0" t="n">
        <v>73</v>
      </c>
      <c r="C5280" s="0" t="n">
        <v>1</v>
      </c>
      <c r="D5280" s="0" t="n">
        <v>39</v>
      </c>
      <c r="E5280" s="0" t="n">
        <f aca="false">VLOOKUP(B5280,'Babblefish-APUMA'!$A$1:$B$86,2)</f>
        <v>99</v>
      </c>
      <c r="F5280" s="0" t="n">
        <f aca="false">IF(C5280&gt;1,IF(C5280&lt;99,VLOOKUP(C5280,'Babblefish-APUMA'!$A$1:$B$86,2),C5280),C5280)</f>
        <v>1</v>
      </c>
    </row>
    <row r="5281" customFormat="false" ht="12.75" hidden="false" customHeight="false" outlineLevel="0" collapsed="false">
      <c r="A5281" s="0" t="n">
        <f aca="false">B5281*1000+C5281</f>
        <v>73002</v>
      </c>
      <c r="B5281" s="0" t="n">
        <v>73</v>
      </c>
      <c r="C5281" s="0" t="n">
        <v>2</v>
      </c>
      <c r="D5281" s="0" t="n">
        <v>0</v>
      </c>
      <c r="E5281" s="0" t="n">
        <f aca="false">VLOOKUP(B5281,'Babblefish-APUMA'!$A$1:$B$86,2)</f>
        <v>99</v>
      </c>
      <c r="F5281" s="0" t="n">
        <f aca="false">IF(C5281&gt;1,IF(C5281&lt;99,VLOOKUP(C5281,'Babblefish-APUMA'!$A$1:$B$86,2),C5281),C5281)</f>
        <v>2</v>
      </c>
    </row>
    <row r="5282" customFormat="false" ht="12.75" hidden="false" customHeight="false" outlineLevel="0" collapsed="false">
      <c r="A5282" s="0" t="n">
        <f aca="false">B5282*1000+C5282</f>
        <v>73003</v>
      </c>
      <c r="B5282" s="0" t="n">
        <v>73</v>
      </c>
      <c r="C5282" s="0" t="n">
        <v>3</v>
      </c>
      <c r="D5282" s="0" t="n">
        <v>0</v>
      </c>
      <c r="E5282" s="0" t="n">
        <f aca="false">VLOOKUP(B5282,'Babblefish-APUMA'!$A$1:$B$86,2)</f>
        <v>99</v>
      </c>
      <c r="F5282" s="0" t="n">
        <f aca="false">IF(C5282&gt;1,IF(C5282&lt;99,VLOOKUP(C5282,'Babblefish-APUMA'!$A$1:$B$86,2),C5282),C5282)</f>
        <v>3</v>
      </c>
    </row>
    <row r="5283" customFormat="false" ht="12.75" hidden="false" customHeight="false" outlineLevel="0" collapsed="false">
      <c r="A5283" s="0" t="n">
        <f aca="false">B5283*1000+C5283</f>
        <v>73004</v>
      </c>
      <c r="B5283" s="0" t="n">
        <v>73</v>
      </c>
      <c r="C5283" s="0" t="n">
        <v>4</v>
      </c>
      <c r="D5283" s="0" t="n">
        <v>0</v>
      </c>
      <c r="E5283" s="0" t="n">
        <f aca="false">VLOOKUP(B5283,'Babblefish-APUMA'!$A$1:$B$86,2)</f>
        <v>99</v>
      </c>
      <c r="F5283" s="0" t="n">
        <f aca="false">IF(C5283&gt;1,IF(C5283&lt;99,VLOOKUP(C5283,'Babblefish-APUMA'!$A$1:$B$86,2),C5283),C5283)</f>
        <v>4</v>
      </c>
    </row>
    <row r="5284" customFormat="false" ht="12.75" hidden="false" customHeight="false" outlineLevel="0" collapsed="false">
      <c r="A5284" s="0" t="n">
        <f aca="false">B5284*1000+C5284</f>
        <v>73005</v>
      </c>
      <c r="B5284" s="0" t="n">
        <v>73</v>
      </c>
      <c r="C5284" s="0" t="n">
        <v>5</v>
      </c>
      <c r="D5284" s="0" t="n">
        <v>0</v>
      </c>
      <c r="E5284" s="0" t="n">
        <f aca="false">VLOOKUP(B5284,'Babblefish-APUMA'!$A$1:$B$86,2)</f>
        <v>99</v>
      </c>
      <c r="F5284" s="0" t="n">
        <f aca="false">IF(C5284&gt;1,IF(C5284&lt;99,VLOOKUP(C5284,'Babblefish-APUMA'!$A$1:$B$86,2),C5284),C5284)</f>
        <v>5</v>
      </c>
    </row>
    <row r="5285" customFormat="false" ht="12.75" hidden="false" customHeight="false" outlineLevel="0" collapsed="false">
      <c r="A5285" s="0" t="n">
        <f aca="false">B5285*1000+C5285</f>
        <v>73006</v>
      </c>
      <c r="B5285" s="0" t="n">
        <v>73</v>
      </c>
      <c r="C5285" s="0" t="n">
        <v>6</v>
      </c>
      <c r="D5285" s="0" t="n">
        <v>0</v>
      </c>
      <c r="E5285" s="0" t="n">
        <f aca="false">VLOOKUP(B5285,'Babblefish-APUMA'!$A$1:$B$86,2)</f>
        <v>99</v>
      </c>
      <c r="F5285" s="0" t="n">
        <f aca="false">IF(C5285&gt;1,IF(C5285&lt;99,VLOOKUP(C5285,'Babblefish-APUMA'!$A$1:$B$86,2),C5285),C5285)</f>
        <v>6</v>
      </c>
    </row>
    <row r="5286" customFormat="false" ht="12.75" hidden="false" customHeight="false" outlineLevel="0" collapsed="false">
      <c r="A5286" s="0" t="n">
        <f aca="false">B5286*1000+C5286</f>
        <v>73007</v>
      </c>
      <c r="B5286" s="0" t="n">
        <v>73</v>
      </c>
      <c r="C5286" s="0" t="n">
        <v>7</v>
      </c>
      <c r="D5286" s="0" t="n">
        <v>0</v>
      </c>
      <c r="E5286" s="0" t="n">
        <f aca="false">VLOOKUP(B5286,'Babblefish-APUMA'!$A$1:$B$86,2)</f>
        <v>99</v>
      </c>
      <c r="F5286" s="0" t="n">
        <f aca="false">IF(C5286&gt;1,IF(C5286&lt;99,VLOOKUP(C5286,'Babblefish-APUMA'!$A$1:$B$86,2),C5286),C5286)</f>
        <v>7</v>
      </c>
    </row>
    <row r="5287" customFormat="false" ht="12.75" hidden="false" customHeight="false" outlineLevel="0" collapsed="false">
      <c r="A5287" s="0" t="n">
        <f aca="false">B5287*1000+C5287</f>
        <v>73008</v>
      </c>
      <c r="B5287" s="0" t="n">
        <v>73</v>
      </c>
      <c r="C5287" s="0" t="n">
        <v>8</v>
      </c>
      <c r="D5287" s="0" t="n">
        <v>0</v>
      </c>
      <c r="E5287" s="0" t="n">
        <f aca="false">VLOOKUP(B5287,'Babblefish-APUMA'!$A$1:$B$86,2)</f>
        <v>99</v>
      </c>
      <c r="F5287" s="0" t="n">
        <f aca="false">IF(C5287&gt;1,IF(C5287&lt;99,VLOOKUP(C5287,'Babblefish-APUMA'!$A$1:$B$86,2),C5287),C5287)</f>
        <v>8</v>
      </c>
    </row>
    <row r="5288" customFormat="false" ht="12.75" hidden="false" customHeight="false" outlineLevel="0" collapsed="false">
      <c r="A5288" s="0" t="n">
        <f aca="false">B5288*1000+C5288</f>
        <v>73009</v>
      </c>
      <c r="B5288" s="0" t="n">
        <v>73</v>
      </c>
      <c r="C5288" s="0" t="n">
        <v>9</v>
      </c>
      <c r="D5288" s="0" t="n">
        <v>1521</v>
      </c>
      <c r="E5288" s="0" t="n">
        <f aca="false">VLOOKUP(B5288,'Babblefish-APUMA'!$A$1:$B$86,2)</f>
        <v>99</v>
      </c>
      <c r="F5288" s="0" t="n">
        <f aca="false">IF(C5288&gt;1,IF(C5288&lt;99,VLOOKUP(C5288,'Babblefish-APUMA'!$A$1:$B$86,2),C5288),C5288)</f>
        <v>9</v>
      </c>
    </row>
    <row r="5289" customFormat="false" ht="12.75" hidden="false" customHeight="false" outlineLevel="0" collapsed="false">
      <c r="A5289" s="0" t="n">
        <f aca="false">B5289*1000+C5289</f>
        <v>73010</v>
      </c>
      <c r="B5289" s="0" t="n">
        <v>73</v>
      </c>
      <c r="C5289" s="0" t="n">
        <v>10</v>
      </c>
      <c r="D5289" s="0" t="n">
        <v>0</v>
      </c>
      <c r="E5289" s="0" t="n">
        <f aca="false">VLOOKUP(B5289,'Babblefish-APUMA'!$A$1:$B$86,2)</f>
        <v>99</v>
      </c>
      <c r="F5289" s="0" t="n">
        <f aca="false">IF(C5289&gt;1,IF(C5289&lt;99,VLOOKUP(C5289,'Babblefish-APUMA'!$A$1:$B$86,2),C5289),C5289)</f>
        <v>10</v>
      </c>
    </row>
    <row r="5290" customFormat="false" ht="12.75" hidden="false" customHeight="false" outlineLevel="0" collapsed="false">
      <c r="A5290" s="0" t="n">
        <f aca="false">B5290*1000+C5290</f>
        <v>73011</v>
      </c>
      <c r="B5290" s="0" t="n">
        <v>73</v>
      </c>
      <c r="C5290" s="0" t="n">
        <v>11</v>
      </c>
      <c r="D5290" s="0" t="n">
        <v>0</v>
      </c>
      <c r="E5290" s="0" t="n">
        <f aca="false">VLOOKUP(B5290,'Babblefish-APUMA'!$A$1:$B$86,2)</f>
        <v>99</v>
      </c>
      <c r="F5290" s="0" t="n">
        <f aca="false">IF(C5290&gt;1,IF(C5290&lt;99,VLOOKUP(C5290,'Babblefish-APUMA'!$A$1:$B$86,2),C5290),C5290)</f>
        <v>11</v>
      </c>
    </row>
    <row r="5291" customFormat="false" ht="12.75" hidden="false" customHeight="false" outlineLevel="0" collapsed="false">
      <c r="A5291" s="0" t="n">
        <f aca="false">B5291*1000+C5291</f>
        <v>73012</v>
      </c>
      <c r="B5291" s="0" t="n">
        <v>73</v>
      </c>
      <c r="C5291" s="0" t="n">
        <v>12</v>
      </c>
      <c r="D5291" s="0" t="n">
        <v>91</v>
      </c>
      <c r="E5291" s="0" t="n">
        <f aca="false">VLOOKUP(B5291,'Babblefish-APUMA'!$A$1:$B$86,2)</f>
        <v>99</v>
      </c>
      <c r="F5291" s="0" t="n">
        <f aca="false">IF(C5291&gt;1,IF(C5291&lt;99,VLOOKUP(C5291,'Babblefish-APUMA'!$A$1:$B$86,2),C5291),C5291)</f>
        <v>12</v>
      </c>
    </row>
    <row r="5292" customFormat="false" ht="12.75" hidden="false" customHeight="false" outlineLevel="0" collapsed="false">
      <c r="A5292" s="0" t="n">
        <f aca="false">B5292*1000+C5292</f>
        <v>73013</v>
      </c>
      <c r="B5292" s="0" t="n">
        <v>73</v>
      </c>
      <c r="C5292" s="0" t="n">
        <v>13</v>
      </c>
      <c r="D5292" s="0" t="n">
        <v>0</v>
      </c>
      <c r="E5292" s="0" t="n">
        <f aca="false">VLOOKUP(B5292,'Babblefish-APUMA'!$A$1:$B$86,2)</f>
        <v>99</v>
      </c>
      <c r="F5292" s="0" t="n">
        <f aca="false">IF(C5292&gt;1,IF(C5292&lt;99,VLOOKUP(C5292,'Babblefish-APUMA'!$A$1:$B$86,2),C5292),C5292)</f>
        <v>100</v>
      </c>
    </row>
    <row r="5293" customFormat="false" ht="12.75" hidden="false" customHeight="false" outlineLevel="0" collapsed="false">
      <c r="A5293" s="0" t="n">
        <f aca="false">B5293*1000+C5293</f>
        <v>73014</v>
      </c>
      <c r="B5293" s="0" t="n">
        <v>73</v>
      </c>
      <c r="C5293" s="0" t="n">
        <v>14</v>
      </c>
      <c r="D5293" s="0" t="n">
        <v>598</v>
      </c>
      <c r="E5293" s="0" t="n">
        <f aca="false">VLOOKUP(B5293,'Babblefish-APUMA'!$A$1:$B$86,2)</f>
        <v>99</v>
      </c>
      <c r="F5293" s="0" t="n">
        <f aca="false">IF(C5293&gt;1,IF(C5293&lt;99,VLOOKUP(C5293,'Babblefish-APUMA'!$A$1:$B$86,2),C5293),C5293)</f>
        <v>100</v>
      </c>
    </row>
    <row r="5294" customFormat="false" ht="12.75" hidden="false" customHeight="false" outlineLevel="0" collapsed="false">
      <c r="A5294" s="0" t="n">
        <f aca="false">B5294*1000+C5294</f>
        <v>73015</v>
      </c>
      <c r="B5294" s="0" t="n">
        <v>73</v>
      </c>
      <c r="C5294" s="0" t="n">
        <v>15</v>
      </c>
      <c r="D5294" s="0" t="n">
        <v>585</v>
      </c>
      <c r="E5294" s="0" t="n">
        <f aca="false">VLOOKUP(B5294,'Babblefish-APUMA'!$A$1:$B$86,2)</f>
        <v>99</v>
      </c>
      <c r="F5294" s="0" t="n">
        <f aca="false">IF(C5294&gt;1,IF(C5294&lt;99,VLOOKUP(C5294,'Babblefish-APUMA'!$A$1:$B$86,2),C5294),C5294)</f>
        <v>15</v>
      </c>
    </row>
    <row r="5295" customFormat="false" ht="12.75" hidden="false" customHeight="false" outlineLevel="0" collapsed="false">
      <c r="A5295" s="0" t="n">
        <f aca="false">B5295*1000+C5295</f>
        <v>73016</v>
      </c>
      <c r="B5295" s="0" t="n">
        <v>73</v>
      </c>
      <c r="C5295" s="0" t="n">
        <v>16</v>
      </c>
      <c r="D5295" s="0" t="n">
        <v>5122</v>
      </c>
      <c r="E5295" s="0" t="n">
        <f aca="false">VLOOKUP(B5295,'Babblefish-APUMA'!$A$1:$B$86,2)</f>
        <v>99</v>
      </c>
      <c r="F5295" s="0" t="n">
        <f aca="false">IF(C5295&gt;1,IF(C5295&lt;99,VLOOKUP(C5295,'Babblefish-APUMA'!$A$1:$B$86,2),C5295),C5295)</f>
        <v>99</v>
      </c>
    </row>
    <row r="5296" customFormat="false" ht="12.75" hidden="false" customHeight="false" outlineLevel="0" collapsed="false">
      <c r="A5296" s="0" t="n">
        <f aca="false">B5296*1000+C5296</f>
        <v>73017</v>
      </c>
      <c r="B5296" s="0" t="n">
        <v>73</v>
      </c>
      <c r="C5296" s="0" t="n">
        <v>17</v>
      </c>
      <c r="D5296" s="0" t="n">
        <v>2327</v>
      </c>
      <c r="E5296" s="0" t="n">
        <f aca="false">VLOOKUP(B5296,'Babblefish-APUMA'!$A$1:$B$86,2)</f>
        <v>99</v>
      </c>
      <c r="F5296" s="0" t="n">
        <f aca="false">IF(C5296&gt;1,IF(C5296&lt;99,VLOOKUP(C5296,'Babblefish-APUMA'!$A$1:$B$86,2),C5296),C5296)</f>
        <v>87</v>
      </c>
    </row>
    <row r="5297" customFormat="false" ht="12.75" hidden="false" customHeight="false" outlineLevel="0" collapsed="false">
      <c r="A5297" s="0" t="n">
        <f aca="false">B5297*1000+C5297</f>
        <v>73018</v>
      </c>
      <c r="B5297" s="0" t="n">
        <v>73</v>
      </c>
      <c r="C5297" s="0" t="n">
        <v>18</v>
      </c>
      <c r="D5297" s="0" t="n">
        <v>6435</v>
      </c>
      <c r="E5297" s="0" t="n">
        <f aca="false">VLOOKUP(B5297,'Babblefish-APUMA'!$A$1:$B$86,2)</f>
        <v>99</v>
      </c>
      <c r="F5297" s="0" t="n">
        <f aca="false">IF(C5297&gt;1,IF(C5297&lt;99,VLOOKUP(C5297,'Babblefish-APUMA'!$A$1:$B$86,2),C5297),C5297)</f>
        <v>87</v>
      </c>
    </row>
    <row r="5298" customFormat="false" ht="12.75" hidden="false" customHeight="false" outlineLevel="0" collapsed="false">
      <c r="A5298" s="0" t="n">
        <f aca="false">B5298*1000+C5298</f>
        <v>73019</v>
      </c>
      <c r="B5298" s="0" t="n">
        <v>73</v>
      </c>
      <c r="C5298" s="0" t="n">
        <v>19</v>
      </c>
      <c r="D5298" s="0" t="n">
        <v>4433</v>
      </c>
      <c r="E5298" s="0" t="n">
        <f aca="false">VLOOKUP(B5298,'Babblefish-APUMA'!$A$1:$B$86,2)</f>
        <v>99</v>
      </c>
      <c r="F5298" s="0" t="n">
        <f aca="false">IF(C5298&gt;1,IF(C5298&lt;99,VLOOKUP(C5298,'Babblefish-APUMA'!$A$1:$B$86,2),C5298),C5298)</f>
        <v>19</v>
      </c>
    </row>
    <row r="5299" customFormat="false" ht="12.75" hidden="false" customHeight="false" outlineLevel="0" collapsed="false">
      <c r="A5299" s="0" t="n">
        <f aca="false">B5299*1000+C5299</f>
        <v>73020</v>
      </c>
      <c r="B5299" s="0" t="n">
        <v>73</v>
      </c>
      <c r="C5299" s="0" t="n">
        <v>20</v>
      </c>
      <c r="D5299" s="0" t="n">
        <v>1326</v>
      </c>
      <c r="E5299" s="0" t="n">
        <f aca="false">VLOOKUP(B5299,'Babblefish-APUMA'!$A$1:$B$86,2)</f>
        <v>99</v>
      </c>
      <c r="F5299" s="0" t="n">
        <f aca="false">IF(C5299&gt;1,IF(C5299&lt;99,VLOOKUP(C5299,'Babblefish-APUMA'!$A$1:$B$86,2),C5299),C5299)</f>
        <v>86</v>
      </c>
    </row>
    <row r="5300" customFormat="false" ht="12.75" hidden="false" customHeight="false" outlineLevel="0" collapsed="false">
      <c r="A5300" s="0" t="n">
        <f aca="false">B5300*1000+C5300</f>
        <v>73021</v>
      </c>
      <c r="B5300" s="0" t="n">
        <v>73</v>
      </c>
      <c r="C5300" s="0" t="n">
        <v>21</v>
      </c>
      <c r="D5300" s="0" t="n">
        <v>3913</v>
      </c>
      <c r="E5300" s="0" t="n">
        <f aca="false">VLOOKUP(B5300,'Babblefish-APUMA'!$A$1:$B$86,2)</f>
        <v>99</v>
      </c>
      <c r="F5300" s="0" t="n">
        <f aca="false">IF(C5300&gt;1,IF(C5300&lt;99,VLOOKUP(C5300,'Babblefish-APUMA'!$A$1:$B$86,2),C5300),C5300)</f>
        <v>86</v>
      </c>
    </row>
    <row r="5301" customFormat="false" ht="12.75" hidden="false" customHeight="false" outlineLevel="0" collapsed="false">
      <c r="A5301" s="0" t="n">
        <f aca="false">B5301*1000+C5301</f>
        <v>73022</v>
      </c>
      <c r="B5301" s="0" t="n">
        <v>73</v>
      </c>
      <c r="C5301" s="0" t="n">
        <v>22</v>
      </c>
      <c r="D5301" s="0" t="n">
        <v>1040</v>
      </c>
      <c r="E5301" s="0" t="n">
        <f aca="false">VLOOKUP(B5301,'Babblefish-APUMA'!$A$1:$B$86,2)</f>
        <v>99</v>
      </c>
      <c r="F5301" s="0" t="n">
        <f aca="false">IF(C5301&gt;1,IF(C5301&lt;99,VLOOKUP(C5301,'Babblefish-APUMA'!$A$1:$B$86,2),C5301),C5301)</f>
        <v>22</v>
      </c>
    </row>
    <row r="5302" customFormat="false" ht="12.75" hidden="false" customHeight="false" outlineLevel="0" collapsed="false">
      <c r="A5302" s="0" t="n">
        <f aca="false">B5302*1000+C5302</f>
        <v>73023</v>
      </c>
      <c r="B5302" s="0" t="n">
        <v>73</v>
      </c>
      <c r="C5302" s="0" t="n">
        <v>23</v>
      </c>
      <c r="D5302" s="0" t="n">
        <v>0</v>
      </c>
      <c r="E5302" s="0" t="n">
        <f aca="false">VLOOKUP(B5302,'Babblefish-APUMA'!$A$1:$B$86,2)</f>
        <v>99</v>
      </c>
      <c r="F5302" s="0" t="n">
        <f aca="false">IF(C5302&gt;1,IF(C5302&lt;99,VLOOKUP(C5302,'Babblefish-APUMA'!$A$1:$B$86,2),C5302),C5302)</f>
        <v>97</v>
      </c>
    </row>
    <row r="5303" customFormat="false" ht="12.75" hidden="false" customHeight="false" outlineLevel="0" collapsed="false">
      <c r="A5303" s="0" t="n">
        <f aca="false">B5303*1000+C5303</f>
        <v>73024</v>
      </c>
      <c r="B5303" s="0" t="n">
        <v>73</v>
      </c>
      <c r="C5303" s="0" t="n">
        <v>24</v>
      </c>
      <c r="D5303" s="0" t="n">
        <v>0</v>
      </c>
      <c r="E5303" s="0" t="n">
        <f aca="false">VLOOKUP(B5303,'Babblefish-APUMA'!$A$1:$B$86,2)</f>
        <v>99</v>
      </c>
      <c r="F5303" s="0" t="n">
        <f aca="false">IF(C5303&gt;1,IF(C5303&lt;99,VLOOKUP(C5303,'Babblefish-APUMA'!$A$1:$B$86,2),C5303),C5303)</f>
        <v>101</v>
      </c>
    </row>
    <row r="5304" customFormat="false" ht="12.75" hidden="false" customHeight="false" outlineLevel="0" collapsed="false">
      <c r="A5304" s="0" t="n">
        <f aca="false">B5304*1000+C5304</f>
        <v>73025</v>
      </c>
      <c r="B5304" s="0" t="n">
        <v>73</v>
      </c>
      <c r="C5304" s="0" t="n">
        <v>25</v>
      </c>
      <c r="D5304" s="0" t="n">
        <v>0</v>
      </c>
      <c r="E5304" s="0" t="n">
        <f aca="false">VLOOKUP(B5304,'Babblefish-APUMA'!$A$1:$B$86,2)</f>
        <v>99</v>
      </c>
      <c r="F5304" s="0" t="n">
        <f aca="false">IF(C5304&gt;1,IF(C5304&lt;99,VLOOKUP(C5304,'Babblefish-APUMA'!$A$1:$B$86,2),C5304),C5304)</f>
        <v>101</v>
      </c>
    </row>
    <row r="5305" customFormat="false" ht="12.75" hidden="false" customHeight="false" outlineLevel="0" collapsed="false">
      <c r="A5305" s="0" t="n">
        <f aca="false">B5305*1000+C5305</f>
        <v>73026</v>
      </c>
      <c r="B5305" s="0" t="n">
        <v>73</v>
      </c>
      <c r="C5305" s="0" t="n">
        <v>26</v>
      </c>
      <c r="D5305" s="0" t="n">
        <v>0</v>
      </c>
      <c r="E5305" s="0" t="n">
        <f aca="false">VLOOKUP(B5305,'Babblefish-APUMA'!$A$1:$B$86,2)</f>
        <v>99</v>
      </c>
      <c r="F5305" s="0" t="n">
        <f aca="false">IF(C5305&gt;1,IF(C5305&lt;99,VLOOKUP(C5305,'Babblefish-APUMA'!$A$1:$B$86,2),C5305),C5305)</f>
        <v>26</v>
      </c>
    </row>
    <row r="5306" customFormat="false" ht="12.75" hidden="false" customHeight="false" outlineLevel="0" collapsed="false">
      <c r="A5306" s="0" t="n">
        <f aca="false">B5306*1000+C5306</f>
        <v>73027</v>
      </c>
      <c r="B5306" s="0" t="n">
        <v>73</v>
      </c>
      <c r="C5306" s="0" t="n">
        <v>27</v>
      </c>
      <c r="D5306" s="0" t="n">
        <v>0</v>
      </c>
      <c r="E5306" s="0" t="n">
        <f aca="false">VLOOKUP(B5306,'Babblefish-APUMA'!$A$1:$B$86,2)</f>
        <v>99</v>
      </c>
      <c r="F5306" s="0" t="n">
        <f aca="false">IF(C5306&gt;1,IF(C5306&lt;99,VLOOKUP(C5306,'Babblefish-APUMA'!$A$1:$B$86,2),C5306),C5306)</f>
        <v>27</v>
      </c>
    </row>
    <row r="5307" customFormat="false" ht="12.75" hidden="false" customHeight="false" outlineLevel="0" collapsed="false">
      <c r="A5307" s="0" t="n">
        <f aca="false">B5307*1000+C5307</f>
        <v>73028</v>
      </c>
      <c r="B5307" s="0" t="n">
        <v>73</v>
      </c>
      <c r="C5307" s="0" t="n">
        <v>28</v>
      </c>
      <c r="D5307" s="0" t="n">
        <v>52</v>
      </c>
      <c r="E5307" s="0" t="n">
        <f aca="false">VLOOKUP(B5307,'Babblefish-APUMA'!$A$1:$B$86,2)</f>
        <v>99</v>
      </c>
      <c r="F5307" s="0" t="n">
        <f aca="false">IF(C5307&gt;1,IF(C5307&lt;99,VLOOKUP(C5307,'Babblefish-APUMA'!$A$1:$B$86,2),C5307),C5307)</f>
        <v>94</v>
      </c>
    </row>
    <row r="5308" customFormat="false" ht="12.75" hidden="false" customHeight="false" outlineLevel="0" collapsed="false">
      <c r="A5308" s="0" t="n">
        <f aca="false">B5308*1000+C5308</f>
        <v>73029</v>
      </c>
      <c r="B5308" s="0" t="n">
        <v>73</v>
      </c>
      <c r="C5308" s="0" t="n">
        <v>29</v>
      </c>
      <c r="D5308" s="0" t="n">
        <v>104</v>
      </c>
      <c r="E5308" s="0" t="n">
        <f aca="false">VLOOKUP(B5308,'Babblefish-APUMA'!$A$1:$B$86,2)</f>
        <v>99</v>
      </c>
      <c r="F5308" s="0" t="n">
        <f aca="false">IF(C5308&gt;1,IF(C5308&lt;99,VLOOKUP(C5308,'Babblefish-APUMA'!$A$1:$B$86,2),C5308),C5308)</f>
        <v>94</v>
      </c>
    </row>
    <row r="5309" customFormat="false" ht="12.75" hidden="false" customHeight="false" outlineLevel="0" collapsed="false">
      <c r="A5309" s="0" t="n">
        <f aca="false">B5309*1000+C5309</f>
        <v>73030</v>
      </c>
      <c r="B5309" s="0" t="n">
        <v>73</v>
      </c>
      <c r="C5309" s="0" t="n">
        <v>30</v>
      </c>
      <c r="D5309" s="0" t="n">
        <v>0</v>
      </c>
      <c r="E5309" s="0" t="n">
        <f aca="false">VLOOKUP(B5309,'Babblefish-APUMA'!$A$1:$B$86,2)</f>
        <v>99</v>
      </c>
      <c r="F5309" s="0" t="n">
        <f aca="false">IF(C5309&gt;1,IF(C5309&lt;99,VLOOKUP(C5309,'Babblefish-APUMA'!$A$1:$B$86,2),C5309),C5309)</f>
        <v>30</v>
      </c>
    </row>
    <row r="5310" customFormat="false" ht="12.75" hidden="false" customHeight="false" outlineLevel="0" collapsed="false">
      <c r="A5310" s="0" t="n">
        <f aca="false">B5310*1000+C5310</f>
        <v>73031</v>
      </c>
      <c r="B5310" s="0" t="n">
        <v>73</v>
      </c>
      <c r="C5310" s="0" t="n">
        <v>31</v>
      </c>
      <c r="D5310" s="0" t="n">
        <v>0</v>
      </c>
      <c r="E5310" s="0" t="n">
        <f aca="false">VLOOKUP(B5310,'Babblefish-APUMA'!$A$1:$B$86,2)</f>
        <v>99</v>
      </c>
      <c r="F5310" s="0" t="n">
        <f aca="false">IF(C5310&gt;1,IF(C5310&lt;99,VLOOKUP(C5310,'Babblefish-APUMA'!$A$1:$B$86,2),C5310),C5310)</f>
        <v>31</v>
      </c>
    </row>
    <row r="5311" customFormat="false" ht="12.75" hidden="false" customHeight="false" outlineLevel="0" collapsed="false">
      <c r="A5311" s="0" t="n">
        <f aca="false">B5311*1000+C5311</f>
        <v>73032</v>
      </c>
      <c r="B5311" s="0" t="n">
        <v>73</v>
      </c>
      <c r="C5311" s="0" t="n">
        <v>32</v>
      </c>
      <c r="D5311" s="0" t="n">
        <v>0</v>
      </c>
      <c r="E5311" s="0" t="n">
        <f aca="false">VLOOKUP(B5311,'Babblefish-APUMA'!$A$1:$B$86,2)</f>
        <v>99</v>
      </c>
      <c r="F5311" s="0" t="n">
        <f aca="false">IF(C5311&gt;1,IF(C5311&lt;99,VLOOKUP(C5311,'Babblefish-APUMA'!$A$1:$B$86,2),C5311),C5311)</f>
        <v>32</v>
      </c>
    </row>
    <row r="5312" customFormat="false" ht="12.75" hidden="false" customHeight="false" outlineLevel="0" collapsed="false">
      <c r="A5312" s="0" t="n">
        <f aca="false">B5312*1000+C5312</f>
        <v>73033</v>
      </c>
      <c r="B5312" s="0" t="n">
        <v>73</v>
      </c>
      <c r="C5312" s="0" t="n">
        <v>33</v>
      </c>
      <c r="D5312" s="0" t="n">
        <v>0</v>
      </c>
      <c r="E5312" s="0" t="n">
        <f aca="false">VLOOKUP(B5312,'Babblefish-APUMA'!$A$1:$B$86,2)</f>
        <v>99</v>
      </c>
      <c r="F5312" s="0" t="n">
        <f aca="false">IF(C5312&gt;1,IF(C5312&lt;99,VLOOKUP(C5312,'Babblefish-APUMA'!$A$1:$B$86,2),C5312),C5312)</f>
        <v>96</v>
      </c>
    </row>
    <row r="5313" customFormat="false" ht="12.75" hidden="false" customHeight="false" outlineLevel="0" collapsed="false">
      <c r="A5313" s="0" t="n">
        <f aca="false">B5313*1000+C5313</f>
        <v>73034</v>
      </c>
      <c r="B5313" s="0" t="n">
        <v>73</v>
      </c>
      <c r="C5313" s="0" t="n">
        <v>34</v>
      </c>
      <c r="D5313" s="0" t="n">
        <v>0</v>
      </c>
      <c r="E5313" s="0" t="n">
        <f aca="false">VLOOKUP(B5313,'Babblefish-APUMA'!$A$1:$B$86,2)</f>
        <v>99</v>
      </c>
      <c r="F5313" s="0" t="n">
        <f aca="false">IF(C5313&gt;1,IF(C5313&lt;99,VLOOKUP(C5313,'Babblefish-APUMA'!$A$1:$B$86,2),C5313),C5313)</f>
        <v>96</v>
      </c>
    </row>
    <row r="5314" customFormat="false" ht="12.75" hidden="false" customHeight="false" outlineLevel="0" collapsed="false">
      <c r="A5314" s="0" t="n">
        <f aca="false">B5314*1000+C5314</f>
        <v>73035</v>
      </c>
      <c r="B5314" s="0" t="n">
        <v>73</v>
      </c>
      <c r="C5314" s="0" t="n">
        <v>35</v>
      </c>
      <c r="D5314" s="0" t="n">
        <v>0</v>
      </c>
      <c r="E5314" s="0" t="n">
        <f aca="false">VLOOKUP(B5314,'Babblefish-APUMA'!$A$1:$B$86,2)</f>
        <v>99</v>
      </c>
      <c r="F5314" s="0" t="n">
        <f aca="false">IF(C5314&gt;1,IF(C5314&lt;99,VLOOKUP(C5314,'Babblefish-APUMA'!$A$1:$B$86,2),C5314),C5314)</f>
        <v>96</v>
      </c>
    </row>
    <row r="5315" customFormat="false" ht="12.75" hidden="false" customHeight="false" outlineLevel="0" collapsed="false">
      <c r="A5315" s="0" t="n">
        <f aca="false">B5315*1000+C5315</f>
        <v>73036</v>
      </c>
      <c r="B5315" s="0" t="n">
        <v>73</v>
      </c>
      <c r="C5315" s="0" t="n">
        <v>36</v>
      </c>
      <c r="D5315" s="0" t="n">
        <v>0</v>
      </c>
      <c r="E5315" s="0" t="n">
        <f aca="false">VLOOKUP(B5315,'Babblefish-APUMA'!$A$1:$B$86,2)</f>
        <v>99</v>
      </c>
      <c r="F5315" s="0" t="n">
        <f aca="false">IF(C5315&gt;1,IF(C5315&lt;99,VLOOKUP(C5315,'Babblefish-APUMA'!$A$1:$B$86,2),C5315),C5315)</f>
        <v>96</v>
      </c>
    </row>
    <row r="5316" customFormat="false" ht="12.75" hidden="false" customHeight="false" outlineLevel="0" collapsed="false">
      <c r="A5316" s="0" t="n">
        <f aca="false">B5316*1000+C5316</f>
        <v>73037</v>
      </c>
      <c r="B5316" s="0" t="n">
        <v>73</v>
      </c>
      <c r="C5316" s="0" t="n">
        <v>37</v>
      </c>
      <c r="D5316" s="0" t="n">
        <v>0</v>
      </c>
      <c r="E5316" s="0" t="n">
        <f aca="false">VLOOKUP(B5316,'Babblefish-APUMA'!$A$1:$B$86,2)</f>
        <v>99</v>
      </c>
      <c r="F5316" s="0" t="n">
        <f aca="false">IF(C5316&gt;1,IF(C5316&lt;99,VLOOKUP(C5316,'Babblefish-APUMA'!$A$1:$B$86,2),C5316),C5316)</f>
        <v>96</v>
      </c>
    </row>
    <row r="5317" customFormat="false" ht="12.75" hidden="false" customHeight="false" outlineLevel="0" collapsed="false">
      <c r="A5317" s="0" t="n">
        <f aca="false">B5317*1000+C5317</f>
        <v>73038</v>
      </c>
      <c r="B5317" s="0" t="n">
        <v>73</v>
      </c>
      <c r="C5317" s="0" t="n">
        <v>38</v>
      </c>
      <c r="D5317" s="0" t="n">
        <v>0</v>
      </c>
      <c r="E5317" s="0" t="n">
        <f aca="false">VLOOKUP(B5317,'Babblefish-APUMA'!$A$1:$B$86,2)</f>
        <v>99</v>
      </c>
      <c r="F5317" s="0" t="n">
        <f aca="false">IF(C5317&gt;1,IF(C5317&lt;99,VLOOKUP(C5317,'Babblefish-APUMA'!$A$1:$B$86,2),C5317),C5317)</f>
        <v>91</v>
      </c>
    </row>
    <row r="5318" customFormat="false" ht="12.75" hidden="false" customHeight="false" outlineLevel="0" collapsed="false">
      <c r="A5318" s="0" t="n">
        <f aca="false">B5318*1000+C5318</f>
        <v>73039</v>
      </c>
      <c r="B5318" s="0" t="n">
        <v>73</v>
      </c>
      <c r="C5318" s="0" t="n">
        <v>39</v>
      </c>
      <c r="D5318" s="0" t="n">
        <v>0</v>
      </c>
      <c r="E5318" s="0" t="n">
        <f aca="false">VLOOKUP(B5318,'Babblefish-APUMA'!$A$1:$B$86,2)</f>
        <v>99</v>
      </c>
      <c r="F5318" s="0" t="n">
        <f aca="false">IF(C5318&gt;1,IF(C5318&lt;99,VLOOKUP(C5318,'Babblefish-APUMA'!$A$1:$B$86,2),C5318),C5318)</f>
        <v>91</v>
      </c>
    </row>
    <row r="5319" customFormat="false" ht="12.75" hidden="false" customHeight="false" outlineLevel="0" collapsed="false">
      <c r="A5319" s="0" t="n">
        <f aca="false">B5319*1000+C5319</f>
        <v>73040</v>
      </c>
      <c r="B5319" s="0" t="n">
        <v>73</v>
      </c>
      <c r="C5319" s="0" t="n">
        <v>40</v>
      </c>
      <c r="D5319" s="0" t="n">
        <v>0</v>
      </c>
      <c r="E5319" s="0" t="n">
        <f aca="false">VLOOKUP(B5319,'Babblefish-APUMA'!$A$1:$B$86,2)</f>
        <v>99</v>
      </c>
      <c r="F5319" s="0" t="n">
        <f aca="false">IF(C5319&gt;1,IF(C5319&lt;99,VLOOKUP(C5319,'Babblefish-APUMA'!$A$1:$B$86,2),C5319),C5319)</f>
        <v>88</v>
      </c>
    </row>
    <row r="5320" customFormat="false" ht="12.75" hidden="false" customHeight="false" outlineLevel="0" collapsed="false">
      <c r="A5320" s="0" t="n">
        <f aca="false">B5320*1000+C5320</f>
        <v>73041</v>
      </c>
      <c r="B5320" s="0" t="n">
        <v>73</v>
      </c>
      <c r="C5320" s="0" t="n">
        <v>41</v>
      </c>
      <c r="D5320" s="0" t="n">
        <v>0</v>
      </c>
      <c r="E5320" s="0" t="n">
        <f aca="false">VLOOKUP(B5320,'Babblefish-APUMA'!$A$1:$B$86,2)</f>
        <v>99</v>
      </c>
      <c r="F5320" s="0" t="n">
        <f aca="false">IF(C5320&gt;1,IF(C5320&lt;99,VLOOKUP(C5320,'Babblefish-APUMA'!$A$1:$B$86,2),C5320),C5320)</f>
        <v>88</v>
      </c>
    </row>
    <row r="5321" customFormat="false" ht="12.75" hidden="false" customHeight="false" outlineLevel="0" collapsed="false">
      <c r="A5321" s="0" t="n">
        <f aca="false">B5321*1000+C5321</f>
        <v>73042</v>
      </c>
      <c r="B5321" s="0" t="n">
        <v>73</v>
      </c>
      <c r="C5321" s="0" t="n">
        <v>42</v>
      </c>
      <c r="D5321" s="0" t="n">
        <v>0</v>
      </c>
      <c r="E5321" s="0" t="n">
        <f aca="false">VLOOKUP(B5321,'Babblefish-APUMA'!$A$1:$B$86,2)</f>
        <v>99</v>
      </c>
      <c r="F5321" s="0" t="n">
        <f aca="false">IF(C5321&gt;1,IF(C5321&lt;99,VLOOKUP(C5321,'Babblefish-APUMA'!$A$1:$B$86,2),C5321),C5321)</f>
        <v>92</v>
      </c>
    </row>
    <row r="5322" customFormat="false" ht="12.75" hidden="false" customHeight="false" outlineLevel="0" collapsed="false">
      <c r="A5322" s="0" t="n">
        <f aca="false">B5322*1000+C5322</f>
        <v>73043</v>
      </c>
      <c r="B5322" s="0" t="n">
        <v>73</v>
      </c>
      <c r="C5322" s="0" t="n">
        <v>43</v>
      </c>
      <c r="D5322" s="0" t="n">
        <v>0</v>
      </c>
      <c r="E5322" s="0" t="n">
        <f aca="false">VLOOKUP(B5322,'Babblefish-APUMA'!$A$1:$B$86,2)</f>
        <v>99</v>
      </c>
      <c r="F5322" s="0" t="n">
        <f aca="false">IF(C5322&gt;1,IF(C5322&lt;99,VLOOKUP(C5322,'Babblefish-APUMA'!$A$1:$B$86,2),C5322),C5322)</f>
        <v>92</v>
      </c>
    </row>
    <row r="5323" customFormat="false" ht="12.75" hidden="false" customHeight="false" outlineLevel="0" collapsed="false">
      <c r="A5323" s="0" t="n">
        <f aca="false">B5323*1000+C5323</f>
        <v>73044</v>
      </c>
      <c r="B5323" s="0" t="n">
        <v>73</v>
      </c>
      <c r="C5323" s="0" t="n">
        <v>44</v>
      </c>
      <c r="D5323" s="0" t="n">
        <v>0</v>
      </c>
      <c r="E5323" s="0" t="n">
        <f aca="false">VLOOKUP(B5323,'Babblefish-APUMA'!$A$1:$B$86,2)</f>
        <v>99</v>
      </c>
      <c r="F5323" s="0" t="n">
        <f aca="false">IF(C5323&gt;1,IF(C5323&lt;99,VLOOKUP(C5323,'Babblefish-APUMA'!$A$1:$B$86,2),C5323),C5323)</f>
        <v>92</v>
      </c>
    </row>
    <row r="5324" customFormat="false" ht="12.75" hidden="false" customHeight="false" outlineLevel="0" collapsed="false">
      <c r="A5324" s="0" t="n">
        <f aca="false">B5324*1000+C5324</f>
        <v>73045</v>
      </c>
      <c r="B5324" s="0" t="n">
        <v>73</v>
      </c>
      <c r="C5324" s="0" t="n">
        <v>45</v>
      </c>
      <c r="D5324" s="0" t="n">
        <v>0</v>
      </c>
      <c r="E5324" s="0" t="n">
        <f aca="false">VLOOKUP(B5324,'Babblefish-APUMA'!$A$1:$B$86,2)</f>
        <v>99</v>
      </c>
      <c r="F5324" s="0" t="n">
        <f aca="false">IF(C5324&gt;1,IF(C5324&lt;99,VLOOKUP(C5324,'Babblefish-APUMA'!$A$1:$B$86,2),C5324),C5324)</f>
        <v>92</v>
      </c>
    </row>
    <row r="5325" customFormat="false" ht="12.75" hidden="false" customHeight="false" outlineLevel="0" collapsed="false">
      <c r="A5325" s="0" t="n">
        <f aca="false">B5325*1000+C5325</f>
        <v>73046</v>
      </c>
      <c r="B5325" s="0" t="n">
        <v>73</v>
      </c>
      <c r="C5325" s="0" t="n">
        <v>46</v>
      </c>
      <c r="D5325" s="0" t="n">
        <v>0</v>
      </c>
      <c r="E5325" s="0" t="n">
        <f aca="false">VLOOKUP(B5325,'Babblefish-APUMA'!$A$1:$B$86,2)</f>
        <v>99</v>
      </c>
      <c r="F5325" s="0" t="n">
        <f aca="false">IF(C5325&gt;1,IF(C5325&lt;99,VLOOKUP(C5325,'Babblefish-APUMA'!$A$1:$B$86,2),C5325),C5325)</f>
        <v>92</v>
      </c>
    </row>
    <row r="5326" customFormat="false" ht="12.75" hidden="false" customHeight="false" outlineLevel="0" collapsed="false">
      <c r="A5326" s="0" t="n">
        <f aca="false">B5326*1000+C5326</f>
        <v>73047</v>
      </c>
      <c r="B5326" s="0" t="n">
        <v>73</v>
      </c>
      <c r="C5326" s="0" t="n">
        <v>47</v>
      </c>
      <c r="D5326" s="0" t="n">
        <v>0</v>
      </c>
      <c r="E5326" s="0" t="n">
        <f aca="false">VLOOKUP(B5326,'Babblefish-APUMA'!$A$1:$B$86,2)</f>
        <v>99</v>
      </c>
      <c r="F5326" s="0" t="n">
        <f aca="false">IF(C5326&gt;1,IF(C5326&lt;99,VLOOKUP(C5326,'Babblefish-APUMA'!$A$1:$B$86,2),C5326),C5326)</f>
        <v>92</v>
      </c>
    </row>
    <row r="5327" customFormat="false" ht="12.75" hidden="false" customHeight="false" outlineLevel="0" collapsed="false">
      <c r="A5327" s="0" t="n">
        <f aca="false">B5327*1000+C5327</f>
        <v>73048</v>
      </c>
      <c r="B5327" s="0" t="n">
        <v>73</v>
      </c>
      <c r="C5327" s="0" t="n">
        <v>48</v>
      </c>
      <c r="D5327" s="0" t="n">
        <v>169</v>
      </c>
      <c r="E5327" s="0" t="n">
        <f aca="false">VLOOKUP(B5327,'Babblefish-APUMA'!$A$1:$B$86,2)</f>
        <v>99</v>
      </c>
      <c r="F5327" s="0" t="n">
        <f aca="false">IF(C5327&gt;1,IF(C5327&lt;99,VLOOKUP(C5327,'Babblefish-APUMA'!$A$1:$B$86,2),C5327),C5327)</f>
        <v>92</v>
      </c>
    </row>
    <row r="5328" customFormat="false" ht="12.75" hidden="false" customHeight="false" outlineLevel="0" collapsed="false">
      <c r="A5328" s="0" t="n">
        <f aca="false">B5328*1000+C5328</f>
        <v>73049</v>
      </c>
      <c r="B5328" s="0" t="n">
        <v>73</v>
      </c>
      <c r="C5328" s="0" t="n">
        <v>49</v>
      </c>
      <c r="D5328" s="0" t="n">
        <v>117</v>
      </c>
      <c r="E5328" s="0" t="n">
        <f aca="false">VLOOKUP(B5328,'Babblefish-APUMA'!$A$1:$B$86,2)</f>
        <v>99</v>
      </c>
      <c r="F5328" s="0" t="n">
        <f aca="false">IF(C5328&gt;1,IF(C5328&lt;99,VLOOKUP(C5328,'Babblefish-APUMA'!$A$1:$B$86,2),C5328),C5328)</f>
        <v>98</v>
      </c>
    </row>
    <row r="5329" customFormat="false" ht="12.75" hidden="false" customHeight="false" outlineLevel="0" collapsed="false">
      <c r="A5329" s="0" t="n">
        <f aca="false">B5329*1000+C5329</f>
        <v>73050</v>
      </c>
      <c r="B5329" s="0" t="n">
        <v>73</v>
      </c>
      <c r="C5329" s="0" t="n">
        <v>50</v>
      </c>
      <c r="D5329" s="0" t="n">
        <v>91</v>
      </c>
      <c r="E5329" s="0" t="n">
        <f aca="false">VLOOKUP(B5329,'Babblefish-APUMA'!$A$1:$B$86,2)</f>
        <v>99</v>
      </c>
      <c r="F5329" s="0" t="n">
        <f aca="false">IF(C5329&gt;1,IF(C5329&lt;99,VLOOKUP(C5329,'Babblefish-APUMA'!$A$1:$B$86,2),C5329),C5329)</f>
        <v>98</v>
      </c>
    </row>
    <row r="5330" customFormat="false" ht="12.75" hidden="false" customHeight="false" outlineLevel="0" collapsed="false">
      <c r="A5330" s="0" t="n">
        <f aca="false">B5330*1000+C5330</f>
        <v>73051</v>
      </c>
      <c r="B5330" s="0" t="n">
        <v>73</v>
      </c>
      <c r="C5330" s="0" t="n">
        <v>51</v>
      </c>
      <c r="D5330" s="0" t="n">
        <v>286</v>
      </c>
      <c r="E5330" s="0" t="n">
        <f aca="false">VLOOKUP(B5330,'Babblefish-APUMA'!$A$1:$B$86,2)</f>
        <v>99</v>
      </c>
      <c r="F5330" s="0" t="n">
        <f aca="false">IF(C5330&gt;1,IF(C5330&lt;99,VLOOKUP(C5330,'Babblefish-APUMA'!$A$1:$B$86,2),C5330),C5330)</f>
        <v>98</v>
      </c>
    </row>
    <row r="5331" customFormat="false" ht="12.75" hidden="false" customHeight="false" outlineLevel="0" collapsed="false">
      <c r="A5331" s="0" t="n">
        <f aca="false">B5331*1000+C5331</f>
        <v>73052</v>
      </c>
      <c r="B5331" s="0" t="n">
        <v>73</v>
      </c>
      <c r="C5331" s="0" t="n">
        <v>52</v>
      </c>
      <c r="D5331" s="0" t="n">
        <v>0</v>
      </c>
      <c r="E5331" s="0" t="n">
        <f aca="false">VLOOKUP(B5331,'Babblefish-APUMA'!$A$1:$B$86,2)</f>
        <v>99</v>
      </c>
      <c r="F5331" s="0" t="n">
        <f aca="false">IF(C5331&gt;1,IF(C5331&lt;99,VLOOKUP(C5331,'Babblefish-APUMA'!$A$1:$B$86,2),C5331),C5331)</f>
        <v>90</v>
      </c>
    </row>
    <row r="5332" customFormat="false" ht="12.75" hidden="false" customHeight="false" outlineLevel="0" collapsed="false">
      <c r="A5332" s="0" t="n">
        <f aca="false">B5332*1000+C5332</f>
        <v>73053</v>
      </c>
      <c r="B5332" s="0" t="n">
        <v>73</v>
      </c>
      <c r="C5332" s="0" t="n">
        <v>53</v>
      </c>
      <c r="D5332" s="0" t="n">
        <v>0</v>
      </c>
      <c r="E5332" s="0" t="n">
        <f aca="false">VLOOKUP(B5332,'Babblefish-APUMA'!$A$1:$B$86,2)</f>
        <v>99</v>
      </c>
      <c r="F5332" s="0" t="n">
        <f aca="false">IF(C5332&gt;1,IF(C5332&lt;99,VLOOKUP(C5332,'Babblefish-APUMA'!$A$1:$B$86,2),C5332),C5332)</f>
        <v>90</v>
      </c>
    </row>
    <row r="5333" customFormat="false" ht="12.75" hidden="false" customHeight="false" outlineLevel="0" collapsed="false">
      <c r="A5333" s="0" t="n">
        <f aca="false">B5333*1000+C5333</f>
        <v>73054</v>
      </c>
      <c r="B5333" s="0" t="n">
        <v>73</v>
      </c>
      <c r="C5333" s="0" t="n">
        <v>54</v>
      </c>
      <c r="D5333" s="0" t="n">
        <v>0</v>
      </c>
      <c r="E5333" s="0" t="n">
        <f aca="false">VLOOKUP(B5333,'Babblefish-APUMA'!$A$1:$B$86,2)</f>
        <v>99</v>
      </c>
      <c r="F5333" s="0" t="n">
        <f aca="false">IF(C5333&gt;1,IF(C5333&lt;99,VLOOKUP(C5333,'Babblefish-APUMA'!$A$1:$B$86,2),C5333),C5333)</f>
        <v>90</v>
      </c>
    </row>
    <row r="5334" customFormat="false" ht="12.75" hidden="false" customHeight="false" outlineLevel="0" collapsed="false">
      <c r="A5334" s="0" t="n">
        <f aca="false">B5334*1000+C5334</f>
        <v>73055</v>
      </c>
      <c r="B5334" s="0" t="n">
        <v>73</v>
      </c>
      <c r="C5334" s="0" t="n">
        <v>55</v>
      </c>
      <c r="D5334" s="0" t="n">
        <v>78</v>
      </c>
      <c r="E5334" s="0" t="n">
        <f aca="false">VLOOKUP(B5334,'Babblefish-APUMA'!$A$1:$B$86,2)</f>
        <v>99</v>
      </c>
      <c r="F5334" s="0" t="n">
        <f aca="false">IF(C5334&gt;1,IF(C5334&lt;99,VLOOKUP(C5334,'Babblefish-APUMA'!$A$1:$B$86,2),C5334),C5334)</f>
        <v>90</v>
      </c>
    </row>
    <row r="5335" customFormat="false" ht="12.75" hidden="false" customHeight="false" outlineLevel="0" collapsed="false">
      <c r="A5335" s="0" t="n">
        <f aca="false">B5335*1000+C5335</f>
        <v>73056</v>
      </c>
      <c r="B5335" s="0" t="n">
        <v>73</v>
      </c>
      <c r="C5335" s="0" t="n">
        <v>56</v>
      </c>
      <c r="D5335" s="0" t="n">
        <v>0</v>
      </c>
      <c r="E5335" s="0" t="n">
        <f aca="false">VLOOKUP(B5335,'Babblefish-APUMA'!$A$1:$B$86,2)</f>
        <v>99</v>
      </c>
      <c r="F5335" s="0" t="n">
        <f aca="false">IF(C5335&gt;1,IF(C5335&lt;99,VLOOKUP(C5335,'Babblefish-APUMA'!$A$1:$B$86,2),C5335),C5335)</f>
        <v>90</v>
      </c>
    </row>
    <row r="5336" customFormat="false" ht="12.75" hidden="false" customHeight="false" outlineLevel="0" collapsed="false">
      <c r="A5336" s="0" t="n">
        <f aca="false">B5336*1000+C5336</f>
        <v>73057</v>
      </c>
      <c r="B5336" s="0" t="n">
        <v>73</v>
      </c>
      <c r="C5336" s="0" t="n">
        <v>57</v>
      </c>
      <c r="D5336" s="0" t="n">
        <v>0</v>
      </c>
      <c r="E5336" s="0" t="n">
        <f aca="false">VLOOKUP(B5336,'Babblefish-APUMA'!$A$1:$B$86,2)</f>
        <v>99</v>
      </c>
      <c r="F5336" s="0" t="n">
        <f aca="false">IF(C5336&gt;1,IF(C5336&lt;99,VLOOKUP(C5336,'Babblefish-APUMA'!$A$1:$B$86,2),C5336),C5336)</f>
        <v>90</v>
      </c>
    </row>
    <row r="5337" customFormat="false" ht="12.75" hidden="false" customHeight="false" outlineLevel="0" collapsed="false">
      <c r="A5337" s="0" t="n">
        <f aca="false">B5337*1000+C5337</f>
        <v>73058</v>
      </c>
      <c r="B5337" s="0" t="n">
        <v>73</v>
      </c>
      <c r="C5337" s="0" t="n">
        <v>58</v>
      </c>
      <c r="D5337" s="0" t="n">
        <v>0</v>
      </c>
      <c r="E5337" s="0" t="n">
        <f aca="false">VLOOKUP(B5337,'Babblefish-APUMA'!$A$1:$B$86,2)</f>
        <v>99</v>
      </c>
      <c r="F5337" s="0" t="n">
        <f aca="false">IF(C5337&gt;1,IF(C5337&lt;99,VLOOKUP(C5337,'Babblefish-APUMA'!$A$1:$B$86,2),C5337),C5337)</f>
        <v>90</v>
      </c>
    </row>
    <row r="5338" customFormat="false" ht="12.75" hidden="false" customHeight="false" outlineLevel="0" collapsed="false">
      <c r="A5338" s="0" t="n">
        <f aca="false">B5338*1000+C5338</f>
        <v>73059</v>
      </c>
      <c r="B5338" s="0" t="n">
        <v>73</v>
      </c>
      <c r="C5338" s="0" t="n">
        <v>59</v>
      </c>
      <c r="D5338" s="0" t="n">
        <v>0</v>
      </c>
      <c r="E5338" s="0" t="n">
        <f aca="false">VLOOKUP(B5338,'Babblefish-APUMA'!$A$1:$B$86,2)</f>
        <v>99</v>
      </c>
      <c r="F5338" s="0" t="n">
        <f aca="false">IF(C5338&gt;1,IF(C5338&lt;99,VLOOKUP(C5338,'Babblefish-APUMA'!$A$1:$B$86,2),C5338),C5338)</f>
        <v>90</v>
      </c>
    </row>
    <row r="5339" customFormat="false" ht="12.75" hidden="false" customHeight="false" outlineLevel="0" collapsed="false">
      <c r="A5339" s="0" t="n">
        <f aca="false">B5339*1000+C5339</f>
        <v>73060</v>
      </c>
      <c r="B5339" s="0" t="n">
        <v>73</v>
      </c>
      <c r="C5339" s="0" t="n">
        <v>60</v>
      </c>
      <c r="D5339" s="0" t="n">
        <v>0</v>
      </c>
      <c r="E5339" s="0" t="n">
        <f aca="false">VLOOKUP(B5339,'Babblefish-APUMA'!$A$1:$B$86,2)</f>
        <v>99</v>
      </c>
      <c r="F5339" s="0" t="n">
        <f aca="false">IF(C5339&gt;1,IF(C5339&lt;99,VLOOKUP(C5339,'Babblefish-APUMA'!$A$1:$B$86,2),C5339),C5339)</f>
        <v>90</v>
      </c>
    </row>
    <row r="5340" customFormat="false" ht="12.75" hidden="false" customHeight="false" outlineLevel="0" collapsed="false">
      <c r="A5340" s="0" t="n">
        <f aca="false">B5340*1000+C5340</f>
        <v>73061</v>
      </c>
      <c r="B5340" s="0" t="n">
        <v>73</v>
      </c>
      <c r="C5340" s="0" t="n">
        <v>61</v>
      </c>
      <c r="D5340" s="0" t="n">
        <v>0</v>
      </c>
      <c r="E5340" s="0" t="n">
        <f aca="false">VLOOKUP(B5340,'Babblefish-APUMA'!$A$1:$B$86,2)</f>
        <v>99</v>
      </c>
      <c r="F5340" s="0" t="n">
        <f aca="false">IF(C5340&gt;1,IF(C5340&lt;99,VLOOKUP(C5340,'Babblefish-APUMA'!$A$1:$B$86,2),C5340),C5340)</f>
        <v>90</v>
      </c>
    </row>
    <row r="5341" customFormat="false" ht="12.75" hidden="false" customHeight="false" outlineLevel="0" collapsed="false">
      <c r="A5341" s="0" t="n">
        <f aca="false">B5341*1000+C5341</f>
        <v>73062</v>
      </c>
      <c r="B5341" s="0" t="n">
        <v>73</v>
      </c>
      <c r="C5341" s="0" t="n">
        <v>62</v>
      </c>
      <c r="D5341" s="0" t="n">
        <v>0</v>
      </c>
      <c r="E5341" s="0" t="n">
        <f aca="false">VLOOKUP(B5341,'Babblefish-APUMA'!$A$1:$B$86,2)</f>
        <v>99</v>
      </c>
      <c r="F5341" s="0" t="n">
        <f aca="false">IF(C5341&gt;1,IF(C5341&lt;99,VLOOKUP(C5341,'Babblefish-APUMA'!$A$1:$B$86,2),C5341),C5341)</f>
        <v>90</v>
      </c>
    </row>
    <row r="5342" customFormat="false" ht="12.75" hidden="false" customHeight="false" outlineLevel="0" collapsed="false">
      <c r="A5342" s="0" t="n">
        <f aca="false">B5342*1000+C5342</f>
        <v>73063</v>
      </c>
      <c r="B5342" s="0" t="n">
        <v>73</v>
      </c>
      <c r="C5342" s="0" t="n">
        <v>63</v>
      </c>
      <c r="D5342" s="0" t="n">
        <v>0</v>
      </c>
      <c r="E5342" s="0" t="n">
        <f aca="false">VLOOKUP(B5342,'Babblefish-APUMA'!$A$1:$B$86,2)</f>
        <v>99</v>
      </c>
      <c r="F5342" s="0" t="n">
        <f aca="false">IF(C5342&gt;1,IF(C5342&lt;99,VLOOKUP(C5342,'Babblefish-APUMA'!$A$1:$B$86,2),C5342),C5342)</f>
        <v>90</v>
      </c>
    </row>
    <row r="5343" customFormat="false" ht="12.75" hidden="false" customHeight="false" outlineLevel="0" collapsed="false">
      <c r="A5343" s="0" t="n">
        <f aca="false">B5343*1000+C5343</f>
        <v>73064</v>
      </c>
      <c r="B5343" s="0" t="n">
        <v>73</v>
      </c>
      <c r="C5343" s="0" t="n">
        <v>64</v>
      </c>
      <c r="D5343" s="0" t="n">
        <v>0</v>
      </c>
      <c r="E5343" s="0" t="n">
        <f aca="false">VLOOKUP(B5343,'Babblefish-APUMA'!$A$1:$B$86,2)</f>
        <v>99</v>
      </c>
      <c r="F5343" s="0" t="n">
        <f aca="false">IF(C5343&gt;1,IF(C5343&lt;99,VLOOKUP(C5343,'Babblefish-APUMA'!$A$1:$B$86,2),C5343),C5343)</f>
        <v>90</v>
      </c>
    </row>
    <row r="5344" customFormat="false" ht="12.75" hidden="false" customHeight="false" outlineLevel="0" collapsed="false">
      <c r="A5344" s="0" t="n">
        <f aca="false">B5344*1000+C5344</f>
        <v>73065</v>
      </c>
      <c r="B5344" s="0" t="n">
        <v>73</v>
      </c>
      <c r="C5344" s="0" t="n">
        <v>65</v>
      </c>
      <c r="D5344" s="0" t="n">
        <v>0</v>
      </c>
      <c r="E5344" s="0" t="n">
        <f aca="false">VLOOKUP(B5344,'Babblefish-APUMA'!$A$1:$B$86,2)</f>
        <v>99</v>
      </c>
      <c r="F5344" s="0" t="n">
        <f aca="false">IF(C5344&gt;1,IF(C5344&lt;99,VLOOKUP(C5344,'Babblefish-APUMA'!$A$1:$B$86,2),C5344),C5344)</f>
        <v>90</v>
      </c>
    </row>
    <row r="5345" customFormat="false" ht="12.75" hidden="false" customHeight="false" outlineLevel="0" collapsed="false">
      <c r="A5345" s="0" t="n">
        <f aca="false">B5345*1000+C5345</f>
        <v>73066</v>
      </c>
      <c r="B5345" s="0" t="n">
        <v>73</v>
      </c>
      <c r="C5345" s="0" t="n">
        <v>66</v>
      </c>
      <c r="D5345" s="0" t="n">
        <v>0</v>
      </c>
      <c r="E5345" s="0" t="n">
        <f aca="false">VLOOKUP(B5345,'Babblefish-APUMA'!$A$1:$B$86,2)</f>
        <v>99</v>
      </c>
      <c r="F5345" s="0" t="n">
        <f aca="false">IF(C5345&gt;1,IF(C5345&lt;99,VLOOKUP(C5345,'Babblefish-APUMA'!$A$1:$B$86,2),C5345),C5345)</f>
        <v>90</v>
      </c>
    </row>
    <row r="5346" customFormat="false" ht="12.75" hidden="false" customHeight="false" outlineLevel="0" collapsed="false">
      <c r="A5346" s="0" t="n">
        <f aca="false">B5346*1000+C5346</f>
        <v>73067</v>
      </c>
      <c r="B5346" s="0" t="n">
        <v>73</v>
      </c>
      <c r="C5346" s="0" t="n">
        <v>67</v>
      </c>
      <c r="D5346" s="0" t="n">
        <v>0</v>
      </c>
      <c r="E5346" s="0" t="n">
        <f aca="false">VLOOKUP(B5346,'Babblefish-APUMA'!$A$1:$B$86,2)</f>
        <v>99</v>
      </c>
      <c r="F5346" s="0" t="n">
        <f aca="false">IF(C5346&gt;1,IF(C5346&lt;99,VLOOKUP(C5346,'Babblefish-APUMA'!$A$1:$B$86,2),C5346),C5346)</f>
        <v>103</v>
      </c>
    </row>
    <row r="5347" customFormat="false" ht="12.75" hidden="false" customHeight="false" outlineLevel="0" collapsed="false">
      <c r="A5347" s="0" t="n">
        <f aca="false">B5347*1000+C5347</f>
        <v>73068</v>
      </c>
      <c r="B5347" s="0" t="n">
        <v>73</v>
      </c>
      <c r="C5347" s="0" t="n">
        <v>68</v>
      </c>
      <c r="D5347" s="0" t="n">
        <v>0</v>
      </c>
      <c r="E5347" s="0" t="n">
        <f aca="false">VLOOKUP(B5347,'Babblefish-APUMA'!$A$1:$B$86,2)</f>
        <v>99</v>
      </c>
      <c r="F5347" s="0" t="n">
        <f aca="false">IF(C5347&gt;1,IF(C5347&lt;99,VLOOKUP(C5347,'Babblefish-APUMA'!$A$1:$B$86,2),C5347),C5347)</f>
        <v>93</v>
      </c>
    </row>
    <row r="5348" customFormat="false" ht="12.75" hidden="false" customHeight="false" outlineLevel="0" collapsed="false">
      <c r="A5348" s="0" t="n">
        <f aca="false">B5348*1000+C5348</f>
        <v>73069</v>
      </c>
      <c r="B5348" s="0" t="n">
        <v>73</v>
      </c>
      <c r="C5348" s="0" t="n">
        <v>69</v>
      </c>
      <c r="D5348" s="0" t="n">
        <v>0</v>
      </c>
      <c r="E5348" s="0" t="n">
        <f aca="false">VLOOKUP(B5348,'Babblefish-APUMA'!$A$1:$B$86,2)</f>
        <v>99</v>
      </c>
      <c r="F5348" s="0" t="n">
        <f aca="false">IF(C5348&gt;1,IF(C5348&lt;99,VLOOKUP(C5348,'Babblefish-APUMA'!$A$1:$B$86,2),C5348),C5348)</f>
        <v>93</v>
      </c>
    </row>
    <row r="5349" customFormat="false" ht="12.75" hidden="false" customHeight="false" outlineLevel="0" collapsed="false">
      <c r="A5349" s="0" t="n">
        <f aca="false">B5349*1000+C5349</f>
        <v>73070</v>
      </c>
      <c r="B5349" s="0" t="n">
        <v>73</v>
      </c>
      <c r="C5349" s="0" t="n">
        <v>70</v>
      </c>
      <c r="D5349" s="0" t="n">
        <v>0</v>
      </c>
      <c r="E5349" s="0" t="n">
        <f aca="false">VLOOKUP(B5349,'Babblefish-APUMA'!$A$1:$B$86,2)</f>
        <v>99</v>
      </c>
      <c r="F5349" s="0" t="n">
        <f aca="false">IF(C5349&gt;1,IF(C5349&lt;99,VLOOKUP(C5349,'Babblefish-APUMA'!$A$1:$B$86,2),C5349),C5349)</f>
        <v>95</v>
      </c>
    </row>
    <row r="5350" customFormat="false" ht="12.75" hidden="false" customHeight="false" outlineLevel="0" collapsed="false">
      <c r="A5350" s="0" t="n">
        <f aca="false">B5350*1000+C5350</f>
        <v>73071</v>
      </c>
      <c r="B5350" s="0" t="n">
        <v>73</v>
      </c>
      <c r="C5350" s="0" t="n">
        <v>71</v>
      </c>
      <c r="D5350" s="0" t="n">
        <v>0</v>
      </c>
      <c r="E5350" s="0" t="n">
        <f aca="false">VLOOKUP(B5350,'Babblefish-APUMA'!$A$1:$B$86,2)</f>
        <v>99</v>
      </c>
      <c r="F5350" s="0" t="n">
        <f aca="false">IF(C5350&gt;1,IF(C5350&lt;99,VLOOKUP(C5350,'Babblefish-APUMA'!$A$1:$B$86,2),C5350),C5350)</f>
        <v>95</v>
      </c>
    </row>
    <row r="5351" customFormat="false" ht="12.75" hidden="false" customHeight="false" outlineLevel="0" collapsed="false">
      <c r="A5351" s="0" t="n">
        <f aca="false">B5351*1000+C5351</f>
        <v>73072</v>
      </c>
      <c r="B5351" s="0" t="n">
        <v>73</v>
      </c>
      <c r="C5351" s="0" t="n">
        <v>72</v>
      </c>
      <c r="D5351" s="0" t="n">
        <v>0</v>
      </c>
      <c r="E5351" s="0" t="n">
        <f aca="false">VLOOKUP(B5351,'Babblefish-APUMA'!$A$1:$B$86,2)</f>
        <v>99</v>
      </c>
      <c r="F5351" s="0" t="n">
        <f aca="false">IF(C5351&gt;1,IF(C5351&lt;99,VLOOKUP(C5351,'Babblefish-APUMA'!$A$1:$B$86,2),C5351),C5351)</f>
        <v>95</v>
      </c>
    </row>
    <row r="5352" customFormat="false" ht="12.75" hidden="false" customHeight="false" outlineLevel="0" collapsed="false">
      <c r="A5352" s="0" t="n">
        <f aca="false">B5352*1000+C5352</f>
        <v>73073</v>
      </c>
      <c r="B5352" s="0" t="n">
        <v>73</v>
      </c>
      <c r="C5352" s="0" t="n">
        <v>73</v>
      </c>
      <c r="D5352" s="0" t="n">
        <v>21268</v>
      </c>
      <c r="E5352" s="0" t="n">
        <f aca="false">VLOOKUP(B5352,'Babblefish-APUMA'!$A$1:$B$86,2)</f>
        <v>99</v>
      </c>
      <c r="F5352" s="0" t="n">
        <f aca="false">IF(C5352&gt;1,IF(C5352&lt;99,VLOOKUP(C5352,'Babblefish-APUMA'!$A$1:$B$86,2),C5352),C5352)</f>
        <v>99</v>
      </c>
    </row>
    <row r="5353" customFormat="false" ht="12.75" hidden="false" customHeight="false" outlineLevel="0" collapsed="false">
      <c r="A5353" s="0" t="n">
        <f aca="false">B5353*1000+C5353</f>
        <v>73075</v>
      </c>
      <c r="B5353" s="0" t="n">
        <v>73</v>
      </c>
      <c r="C5353" s="0" t="n">
        <v>75</v>
      </c>
      <c r="D5353" s="0" t="n">
        <v>0</v>
      </c>
      <c r="E5353" s="0" t="n">
        <f aca="false">VLOOKUP(B5353,'Babblefish-APUMA'!$A$1:$B$86,2)</f>
        <v>99</v>
      </c>
      <c r="F5353" s="0" t="n">
        <f aca="false">IF(C5353&gt;1,IF(C5353&lt;99,VLOOKUP(C5353,'Babblefish-APUMA'!$A$1:$B$86,2),C5353),C5353)</f>
        <v>75</v>
      </c>
    </row>
    <row r="5354" customFormat="false" ht="12.75" hidden="false" customHeight="false" outlineLevel="0" collapsed="false">
      <c r="A5354" s="0" t="n">
        <f aca="false">B5354*1000+C5354</f>
        <v>73076</v>
      </c>
      <c r="B5354" s="0" t="n">
        <v>73</v>
      </c>
      <c r="C5354" s="0" t="n">
        <v>76</v>
      </c>
      <c r="D5354" s="0" t="n">
        <v>0</v>
      </c>
      <c r="E5354" s="0" t="n">
        <f aca="false">VLOOKUP(B5354,'Babblefish-APUMA'!$A$1:$B$86,2)</f>
        <v>99</v>
      </c>
      <c r="F5354" s="0" t="n">
        <f aca="false">IF(C5354&gt;1,IF(C5354&lt;99,VLOOKUP(C5354,'Babblefish-APUMA'!$A$1:$B$86,2),C5354),C5354)</f>
        <v>76</v>
      </c>
    </row>
    <row r="5355" customFormat="false" ht="12.75" hidden="false" customHeight="false" outlineLevel="0" collapsed="false">
      <c r="A5355" s="0" t="n">
        <f aca="false">B5355*1000+C5355</f>
        <v>73077</v>
      </c>
      <c r="B5355" s="0" t="n">
        <v>73</v>
      </c>
      <c r="C5355" s="0" t="n">
        <v>77</v>
      </c>
      <c r="D5355" s="0" t="n">
        <v>0</v>
      </c>
      <c r="E5355" s="0" t="n">
        <f aca="false">VLOOKUP(B5355,'Babblefish-APUMA'!$A$1:$B$86,2)</f>
        <v>99</v>
      </c>
      <c r="F5355" s="0" t="n">
        <f aca="false">IF(C5355&gt;1,IF(C5355&lt;99,VLOOKUP(C5355,'Babblefish-APUMA'!$A$1:$B$86,2),C5355),C5355)</f>
        <v>77</v>
      </c>
    </row>
    <row r="5356" customFormat="false" ht="12.75" hidden="false" customHeight="false" outlineLevel="0" collapsed="false">
      <c r="A5356" s="0" t="n">
        <f aca="false">B5356*1000+C5356</f>
        <v>73078</v>
      </c>
      <c r="B5356" s="0" t="n">
        <v>73</v>
      </c>
      <c r="C5356" s="0" t="n">
        <v>78</v>
      </c>
      <c r="D5356" s="0" t="n">
        <v>0</v>
      </c>
      <c r="E5356" s="0" t="n">
        <f aca="false">VLOOKUP(B5356,'Babblefish-APUMA'!$A$1:$B$86,2)</f>
        <v>99</v>
      </c>
      <c r="F5356" s="0" t="n">
        <f aca="false">IF(C5356&gt;1,IF(C5356&lt;99,VLOOKUP(C5356,'Babblefish-APUMA'!$A$1:$B$86,2),C5356),C5356)</f>
        <v>89</v>
      </c>
    </row>
    <row r="5357" customFormat="false" ht="12.75" hidden="false" customHeight="false" outlineLevel="0" collapsed="false">
      <c r="A5357" s="0" t="n">
        <f aca="false">B5357*1000+C5357</f>
        <v>73079</v>
      </c>
      <c r="B5357" s="0" t="n">
        <v>73</v>
      </c>
      <c r="C5357" s="0" t="n">
        <v>79</v>
      </c>
      <c r="D5357" s="0" t="n">
        <v>0</v>
      </c>
      <c r="E5357" s="0" t="n">
        <f aca="false">VLOOKUP(B5357,'Babblefish-APUMA'!$A$1:$B$86,2)</f>
        <v>99</v>
      </c>
      <c r="F5357" s="0" t="n">
        <f aca="false">IF(C5357&gt;1,IF(C5357&lt;99,VLOOKUP(C5357,'Babblefish-APUMA'!$A$1:$B$86,2),C5357),C5357)</f>
        <v>89</v>
      </c>
    </row>
    <row r="5358" customFormat="false" ht="12.75" hidden="false" customHeight="false" outlineLevel="0" collapsed="false">
      <c r="A5358" s="0" t="n">
        <f aca="false">B5358*1000+C5358</f>
        <v>73080</v>
      </c>
      <c r="B5358" s="0" t="n">
        <v>73</v>
      </c>
      <c r="C5358" s="0" t="n">
        <v>80</v>
      </c>
      <c r="D5358" s="0" t="n">
        <v>0</v>
      </c>
      <c r="E5358" s="0" t="n">
        <f aca="false">VLOOKUP(B5358,'Babblefish-APUMA'!$A$1:$B$86,2)</f>
        <v>99</v>
      </c>
      <c r="F5358" s="0" t="n">
        <f aca="false">IF(C5358&gt;1,IF(C5358&lt;99,VLOOKUP(C5358,'Babblefish-APUMA'!$A$1:$B$86,2),C5358),C5358)</f>
        <v>80</v>
      </c>
    </row>
    <row r="5359" customFormat="false" ht="12.75" hidden="false" customHeight="false" outlineLevel="0" collapsed="false">
      <c r="A5359" s="0" t="n">
        <f aca="false">B5359*1000+C5359</f>
        <v>73081</v>
      </c>
      <c r="B5359" s="0" t="n">
        <v>73</v>
      </c>
      <c r="C5359" s="0" t="n">
        <v>81</v>
      </c>
      <c r="D5359" s="0" t="n">
        <v>0</v>
      </c>
      <c r="E5359" s="0" t="n">
        <f aca="false">VLOOKUP(B5359,'Babblefish-APUMA'!$A$1:$B$86,2)</f>
        <v>99</v>
      </c>
      <c r="F5359" s="0" t="n">
        <f aca="false">IF(C5359&gt;1,IF(C5359&lt;99,VLOOKUP(C5359,'Babblefish-APUMA'!$A$1:$B$86,2),C5359),C5359)</f>
        <v>93</v>
      </c>
    </row>
    <row r="5360" customFormat="false" ht="12.75" hidden="false" customHeight="false" outlineLevel="0" collapsed="false">
      <c r="A5360" s="0" t="n">
        <f aca="false">B5360*1000+C5360</f>
        <v>73082</v>
      </c>
      <c r="B5360" s="0" t="n">
        <v>73</v>
      </c>
      <c r="C5360" s="0" t="n">
        <v>82</v>
      </c>
      <c r="D5360" s="0" t="n">
        <v>0</v>
      </c>
      <c r="E5360" s="0" t="n">
        <f aca="false">VLOOKUP(B5360,'Babblefish-APUMA'!$A$1:$B$86,2)</f>
        <v>99</v>
      </c>
      <c r="F5360" s="0" t="n">
        <f aca="false">IF(C5360&gt;1,IF(C5360&lt;99,VLOOKUP(C5360,'Babblefish-APUMA'!$A$1:$B$86,2),C5360),C5360)</f>
        <v>95</v>
      </c>
    </row>
    <row r="5361" customFormat="false" ht="12.75" hidden="false" customHeight="false" outlineLevel="0" collapsed="false">
      <c r="A5361" s="0" t="n">
        <f aca="false">B5361*1000+C5361</f>
        <v>73083</v>
      </c>
      <c r="B5361" s="0" t="n">
        <v>73</v>
      </c>
      <c r="C5361" s="0" t="n">
        <v>83</v>
      </c>
      <c r="D5361" s="0" t="n">
        <v>0</v>
      </c>
      <c r="E5361" s="0" t="n">
        <f aca="false">VLOOKUP(B5361,'Babblefish-APUMA'!$A$1:$B$86,2)</f>
        <v>99</v>
      </c>
      <c r="F5361" s="0" t="n">
        <f aca="false">IF(C5361&gt;1,IF(C5361&lt;99,VLOOKUP(C5361,'Babblefish-APUMA'!$A$1:$B$86,2),C5361),C5361)</f>
        <v>103</v>
      </c>
    </row>
    <row r="5362" customFormat="false" ht="12.75" hidden="false" customHeight="false" outlineLevel="0" collapsed="false">
      <c r="A5362" s="0" t="n">
        <f aca="false">B5362*1000+C5362</f>
        <v>73084</v>
      </c>
      <c r="B5362" s="0" t="n">
        <v>73</v>
      </c>
      <c r="C5362" s="0" t="n">
        <v>84</v>
      </c>
      <c r="D5362" s="0" t="n">
        <v>0</v>
      </c>
      <c r="E5362" s="0" t="n">
        <f aca="false">VLOOKUP(B5362,'Babblefish-APUMA'!$A$1:$B$86,2)</f>
        <v>99</v>
      </c>
      <c r="F5362" s="0" t="n">
        <f aca="false">IF(C5362&gt;1,IF(C5362&lt;99,VLOOKUP(C5362,'Babblefish-APUMA'!$A$1:$B$86,2),C5362),C5362)</f>
        <v>92</v>
      </c>
    </row>
    <row r="5363" customFormat="false" ht="12.75" hidden="false" customHeight="false" outlineLevel="0" collapsed="false">
      <c r="A5363" s="0" t="n">
        <f aca="false">B5363*1000+C5363</f>
        <v>73085</v>
      </c>
      <c r="B5363" s="0" t="n">
        <v>73</v>
      </c>
      <c r="C5363" s="0" t="n">
        <v>85</v>
      </c>
      <c r="D5363" s="0" t="n">
        <v>0</v>
      </c>
      <c r="E5363" s="0" t="n">
        <f aca="false">VLOOKUP(B5363,'Babblefish-APUMA'!$A$1:$B$86,2)</f>
        <v>99</v>
      </c>
      <c r="F5363" s="0" t="n">
        <f aca="false">IF(C5363&gt;1,IF(C5363&lt;99,VLOOKUP(C5363,'Babblefish-APUMA'!$A$1:$B$86,2),C5363),C5363)</f>
        <v>97</v>
      </c>
    </row>
    <row r="5364" customFormat="false" ht="12.75" hidden="false" customHeight="false" outlineLevel="0" collapsed="false">
      <c r="A5364" s="0" t="n">
        <f aca="false">B5364*1000+C5364</f>
        <v>73858</v>
      </c>
      <c r="B5364" s="0" t="n">
        <v>73</v>
      </c>
      <c r="C5364" s="0" t="n">
        <v>858</v>
      </c>
      <c r="D5364" s="0" t="n">
        <v>0</v>
      </c>
      <c r="E5364" s="0" t="n">
        <f aca="false">VLOOKUP(B5364,'Babblefish-APUMA'!$A$1:$B$86,2)</f>
        <v>99</v>
      </c>
      <c r="F5364" s="0" t="n">
        <f aca="false">IF(C5364&gt;1,IF(C5364&lt;99,VLOOKUP(C5364,'Babblefish-APUMA'!$A$1:$B$86,2),C5364),C5364)</f>
        <v>858</v>
      </c>
    </row>
    <row r="5365" customFormat="false" ht="12.75" hidden="false" customHeight="false" outlineLevel="0" collapsed="false">
      <c r="A5365" s="0" t="n">
        <f aca="false">B5365*1000+C5365</f>
        <v>73983</v>
      </c>
      <c r="B5365" s="0" t="n">
        <v>73</v>
      </c>
      <c r="C5365" s="0" t="n">
        <v>983</v>
      </c>
      <c r="D5365" s="0" t="n">
        <v>0</v>
      </c>
      <c r="E5365" s="0" t="n">
        <f aca="false">VLOOKUP(B5365,'Babblefish-APUMA'!$A$1:$B$86,2)</f>
        <v>99</v>
      </c>
      <c r="F5365" s="0" t="n">
        <f aca="false">IF(C5365&gt;1,IF(C5365&lt;99,VLOOKUP(C5365,'Babblefish-APUMA'!$A$1:$B$86,2),C5365),C5365)</f>
        <v>983</v>
      </c>
    </row>
    <row r="5366" customFormat="false" ht="12.75" hidden="false" customHeight="false" outlineLevel="0" collapsed="false">
      <c r="A5366" s="0" t="n">
        <f aca="false">B5366*1000+C5366</f>
        <v>73999</v>
      </c>
      <c r="B5366" s="0" t="n">
        <v>73</v>
      </c>
      <c r="C5366" s="0" t="n">
        <v>999</v>
      </c>
      <c r="D5366" s="0" t="n">
        <v>299</v>
      </c>
      <c r="E5366" s="0" t="n">
        <f aca="false">VLOOKUP(B5366,'Babblefish-APUMA'!$A$1:$B$86,2)</f>
        <v>99</v>
      </c>
      <c r="F5366" s="0" t="n">
        <f aca="false">IF(C5366&gt;1,IF(C5366&lt;99,VLOOKUP(C5366,'Babblefish-APUMA'!$A$1:$B$86,2),C5366),C5366)</f>
        <v>999</v>
      </c>
    </row>
    <row r="5367" customFormat="false" ht="12.75" hidden="false" customHeight="false" outlineLevel="0" collapsed="false">
      <c r="A5367" s="0" t="n">
        <f aca="false">B5367*1000+C5367</f>
        <v>74000</v>
      </c>
      <c r="B5367" s="0" t="n">
        <v>74</v>
      </c>
      <c r="C5367" s="0" t="n">
        <v>0</v>
      </c>
      <c r="D5367" s="0" t="n">
        <v>201604</v>
      </c>
      <c r="E5367" s="0" t="n">
        <f aca="false">VLOOKUP(B5367,'Babblefish-APUMA'!$A$1:$B$86,2)</f>
        <v>86</v>
      </c>
      <c r="F5367" s="0" t="n">
        <f aca="false">IF(C5367&gt;1,IF(C5367&lt;99,VLOOKUP(C5367,'Babblefish-APUMA'!$A$1:$B$86,2),C5367),C5367)</f>
        <v>0</v>
      </c>
    </row>
    <row r="5368" customFormat="false" ht="12.75" hidden="false" customHeight="false" outlineLevel="0" collapsed="false">
      <c r="A5368" s="0" t="n">
        <f aca="false">B5368*1000+C5368</f>
        <v>74001</v>
      </c>
      <c r="B5368" s="0" t="n">
        <v>74</v>
      </c>
      <c r="C5368" s="0" t="n">
        <v>1</v>
      </c>
      <c r="D5368" s="0" t="n">
        <v>0</v>
      </c>
      <c r="E5368" s="0" t="n">
        <f aca="false">VLOOKUP(B5368,'Babblefish-APUMA'!$A$1:$B$86,2)</f>
        <v>86</v>
      </c>
      <c r="F5368" s="0" t="n">
        <f aca="false">IF(C5368&gt;1,IF(C5368&lt;99,VLOOKUP(C5368,'Babblefish-APUMA'!$A$1:$B$86,2),C5368),C5368)</f>
        <v>1</v>
      </c>
    </row>
    <row r="5369" customFormat="false" ht="12.75" hidden="false" customHeight="false" outlineLevel="0" collapsed="false">
      <c r="A5369" s="0" t="n">
        <f aca="false">B5369*1000+C5369</f>
        <v>74002</v>
      </c>
      <c r="B5369" s="0" t="n">
        <v>74</v>
      </c>
      <c r="C5369" s="0" t="n">
        <v>2</v>
      </c>
      <c r="D5369" s="0" t="n">
        <v>78</v>
      </c>
      <c r="E5369" s="0" t="n">
        <f aca="false">VLOOKUP(B5369,'Babblefish-APUMA'!$A$1:$B$86,2)</f>
        <v>86</v>
      </c>
      <c r="F5369" s="0" t="n">
        <f aca="false">IF(C5369&gt;1,IF(C5369&lt;99,VLOOKUP(C5369,'Babblefish-APUMA'!$A$1:$B$86,2),C5369),C5369)</f>
        <v>2</v>
      </c>
    </row>
    <row r="5370" customFormat="false" ht="12.75" hidden="false" customHeight="false" outlineLevel="0" collapsed="false">
      <c r="A5370" s="0" t="n">
        <f aca="false">B5370*1000+C5370</f>
        <v>74003</v>
      </c>
      <c r="B5370" s="0" t="n">
        <v>74</v>
      </c>
      <c r="C5370" s="0" t="n">
        <v>3</v>
      </c>
      <c r="D5370" s="0" t="n">
        <v>0</v>
      </c>
      <c r="E5370" s="0" t="n">
        <f aca="false">VLOOKUP(B5370,'Babblefish-APUMA'!$A$1:$B$86,2)</f>
        <v>86</v>
      </c>
      <c r="F5370" s="0" t="n">
        <f aca="false">IF(C5370&gt;1,IF(C5370&lt;99,VLOOKUP(C5370,'Babblefish-APUMA'!$A$1:$B$86,2),C5370),C5370)</f>
        <v>3</v>
      </c>
    </row>
    <row r="5371" customFormat="false" ht="12.75" hidden="false" customHeight="false" outlineLevel="0" collapsed="false">
      <c r="A5371" s="0" t="n">
        <f aca="false">B5371*1000+C5371</f>
        <v>74004</v>
      </c>
      <c r="B5371" s="0" t="n">
        <v>74</v>
      </c>
      <c r="C5371" s="0" t="n">
        <v>4</v>
      </c>
      <c r="D5371" s="0" t="n">
        <v>0</v>
      </c>
      <c r="E5371" s="0" t="n">
        <f aca="false">VLOOKUP(B5371,'Babblefish-APUMA'!$A$1:$B$86,2)</f>
        <v>86</v>
      </c>
      <c r="F5371" s="0" t="n">
        <f aca="false">IF(C5371&gt;1,IF(C5371&lt;99,VLOOKUP(C5371,'Babblefish-APUMA'!$A$1:$B$86,2),C5371),C5371)</f>
        <v>4</v>
      </c>
    </row>
    <row r="5372" customFormat="false" ht="12.75" hidden="false" customHeight="false" outlineLevel="0" collapsed="false">
      <c r="A5372" s="0" t="n">
        <f aca="false">B5372*1000+C5372</f>
        <v>74005</v>
      </c>
      <c r="B5372" s="0" t="n">
        <v>74</v>
      </c>
      <c r="C5372" s="0" t="n">
        <v>5</v>
      </c>
      <c r="D5372" s="0" t="n">
        <v>0</v>
      </c>
      <c r="E5372" s="0" t="n">
        <f aca="false">VLOOKUP(B5372,'Babblefish-APUMA'!$A$1:$B$86,2)</f>
        <v>86</v>
      </c>
      <c r="F5372" s="0" t="n">
        <f aca="false">IF(C5372&gt;1,IF(C5372&lt;99,VLOOKUP(C5372,'Babblefish-APUMA'!$A$1:$B$86,2),C5372),C5372)</f>
        <v>5</v>
      </c>
    </row>
    <row r="5373" customFormat="false" ht="12.75" hidden="false" customHeight="false" outlineLevel="0" collapsed="false">
      <c r="A5373" s="0" t="n">
        <f aca="false">B5373*1000+C5373</f>
        <v>74006</v>
      </c>
      <c r="B5373" s="0" t="n">
        <v>74</v>
      </c>
      <c r="C5373" s="0" t="n">
        <v>6</v>
      </c>
      <c r="D5373" s="0" t="n">
        <v>65</v>
      </c>
      <c r="E5373" s="0" t="n">
        <f aca="false">VLOOKUP(B5373,'Babblefish-APUMA'!$A$1:$B$86,2)</f>
        <v>86</v>
      </c>
      <c r="F5373" s="0" t="n">
        <f aca="false">IF(C5373&gt;1,IF(C5373&lt;99,VLOOKUP(C5373,'Babblefish-APUMA'!$A$1:$B$86,2),C5373),C5373)</f>
        <v>6</v>
      </c>
    </row>
    <row r="5374" customFormat="false" ht="12.75" hidden="false" customHeight="false" outlineLevel="0" collapsed="false">
      <c r="A5374" s="0" t="n">
        <f aca="false">B5374*1000+C5374</f>
        <v>74007</v>
      </c>
      <c r="B5374" s="0" t="n">
        <v>74</v>
      </c>
      <c r="C5374" s="0" t="n">
        <v>7</v>
      </c>
      <c r="D5374" s="0" t="n">
        <v>0</v>
      </c>
      <c r="E5374" s="0" t="n">
        <f aca="false">VLOOKUP(B5374,'Babblefish-APUMA'!$A$1:$B$86,2)</f>
        <v>86</v>
      </c>
      <c r="F5374" s="0" t="n">
        <f aca="false">IF(C5374&gt;1,IF(C5374&lt;99,VLOOKUP(C5374,'Babblefish-APUMA'!$A$1:$B$86,2),C5374),C5374)</f>
        <v>7</v>
      </c>
    </row>
    <row r="5375" customFormat="false" ht="12.75" hidden="false" customHeight="false" outlineLevel="0" collapsed="false">
      <c r="A5375" s="0" t="n">
        <f aca="false">B5375*1000+C5375</f>
        <v>74008</v>
      </c>
      <c r="B5375" s="0" t="n">
        <v>74</v>
      </c>
      <c r="C5375" s="0" t="n">
        <v>8</v>
      </c>
      <c r="D5375" s="0" t="n">
        <v>0</v>
      </c>
      <c r="E5375" s="0" t="n">
        <f aca="false">VLOOKUP(B5375,'Babblefish-APUMA'!$A$1:$B$86,2)</f>
        <v>86</v>
      </c>
      <c r="F5375" s="0" t="n">
        <f aca="false">IF(C5375&gt;1,IF(C5375&lt;99,VLOOKUP(C5375,'Babblefish-APUMA'!$A$1:$B$86,2),C5375),C5375)</f>
        <v>8</v>
      </c>
    </row>
    <row r="5376" customFormat="false" ht="12.75" hidden="false" customHeight="false" outlineLevel="0" collapsed="false">
      <c r="A5376" s="0" t="n">
        <f aca="false">B5376*1000+C5376</f>
        <v>74009</v>
      </c>
      <c r="B5376" s="0" t="n">
        <v>74</v>
      </c>
      <c r="C5376" s="0" t="n">
        <v>9</v>
      </c>
      <c r="D5376" s="0" t="n">
        <v>0</v>
      </c>
      <c r="E5376" s="0" t="n">
        <f aca="false">VLOOKUP(B5376,'Babblefish-APUMA'!$A$1:$B$86,2)</f>
        <v>86</v>
      </c>
      <c r="F5376" s="0" t="n">
        <f aca="false">IF(C5376&gt;1,IF(C5376&lt;99,VLOOKUP(C5376,'Babblefish-APUMA'!$A$1:$B$86,2),C5376),C5376)</f>
        <v>9</v>
      </c>
    </row>
    <row r="5377" customFormat="false" ht="12.75" hidden="false" customHeight="false" outlineLevel="0" collapsed="false">
      <c r="A5377" s="0" t="n">
        <f aca="false">B5377*1000+C5377</f>
        <v>74010</v>
      </c>
      <c r="B5377" s="0" t="n">
        <v>74</v>
      </c>
      <c r="C5377" s="0" t="n">
        <v>10</v>
      </c>
      <c r="D5377" s="0" t="n">
        <v>0</v>
      </c>
      <c r="E5377" s="0" t="n">
        <f aca="false">VLOOKUP(B5377,'Babblefish-APUMA'!$A$1:$B$86,2)</f>
        <v>86</v>
      </c>
      <c r="F5377" s="0" t="n">
        <f aca="false">IF(C5377&gt;1,IF(C5377&lt;99,VLOOKUP(C5377,'Babblefish-APUMA'!$A$1:$B$86,2),C5377),C5377)</f>
        <v>10</v>
      </c>
    </row>
    <row r="5378" customFormat="false" ht="12.75" hidden="false" customHeight="false" outlineLevel="0" collapsed="false">
      <c r="A5378" s="0" t="n">
        <f aca="false">B5378*1000+C5378</f>
        <v>74011</v>
      </c>
      <c r="B5378" s="0" t="n">
        <v>74</v>
      </c>
      <c r="C5378" s="0" t="n">
        <v>11</v>
      </c>
      <c r="D5378" s="0" t="n">
        <v>117</v>
      </c>
      <c r="E5378" s="0" t="n">
        <f aca="false">VLOOKUP(B5378,'Babblefish-APUMA'!$A$1:$B$86,2)</f>
        <v>86</v>
      </c>
      <c r="F5378" s="0" t="n">
        <f aca="false">IF(C5378&gt;1,IF(C5378&lt;99,VLOOKUP(C5378,'Babblefish-APUMA'!$A$1:$B$86,2),C5378),C5378)</f>
        <v>11</v>
      </c>
    </row>
    <row r="5379" customFormat="false" ht="12.75" hidden="false" customHeight="false" outlineLevel="0" collapsed="false">
      <c r="A5379" s="0" t="n">
        <f aca="false">B5379*1000+C5379</f>
        <v>74012</v>
      </c>
      <c r="B5379" s="0" t="n">
        <v>74</v>
      </c>
      <c r="C5379" s="0" t="n">
        <v>12</v>
      </c>
      <c r="D5379" s="0" t="n">
        <v>78</v>
      </c>
      <c r="E5379" s="0" t="n">
        <f aca="false">VLOOKUP(B5379,'Babblefish-APUMA'!$A$1:$B$86,2)</f>
        <v>86</v>
      </c>
      <c r="F5379" s="0" t="n">
        <f aca="false">IF(C5379&gt;1,IF(C5379&lt;99,VLOOKUP(C5379,'Babblefish-APUMA'!$A$1:$B$86,2),C5379),C5379)</f>
        <v>12</v>
      </c>
    </row>
    <row r="5380" customFormat="false" ht="12.75" hidden="false" customHeight="false" outlineLevel="0" collapsed="false">
      <c r="A5380" s="0" t="n">
        <f aca="false">B5380*1000+C5380</f>
        <v>74013</v>
      </c>
      <c r="B5380" s="0" t="n">
        <v>74</v>
      </c>
      <c r="C5380" s="0" t="n">
        <v>13</v>
      </c>
      <c r="D5380" s="0" t="n">
        <v>117</v>
      </c>
      <c r="E5380" s="0" t="n">
        <f aca="false">VLOOKUP(B5380,'Babblefish-APUMA'!$A$1:$B$86,2)</f>
        <v>86</v>
      </c>
      <c r="F5380" s="0" t="n">
        <f aca="false">IF(C5380&gt;1,IF(C5380&lt;99,VLOOKUP(C5380,'Babblefish-APUMA'!$A$1:$B$86,2),C5380),C5380)</f>
        <v>100</v>
      </c>
    </row>
    <row r="5381" customFormat="false" ht="12.75" hidden="false" customHeight="false" outlineLevel="0" collapsed="false">
      <c r="A5381" s="0" t="n">
        <f aca="false">B5381*1000+C5381</f>
        <v>74014</v>
      </c>
      <c r="B5381" s="0" t="n">
        <v>74</v>
      </c>
      <c r="C5381" s="0" t="n">
        <v>14</v>
      </c>
      <c r="D5381" s="0" t="n">
        <v>169</v>
      </c>
      <c r="E5381" s="0" t="n">
        <f aca="false">VLOOKUP(B5381,'Babblefish-APUMA'!$A$1:$B$86,2)</f>
        <v>86</v>
      </c>
      <c r="F5381" s="0" t="n">
        <f aca="false">IF(C5381&gt;1,IF(C5381&lt;99,VLOOKUP(C5381,'Babblefish-APUMA'!$A$1:$B$86,2),C5381),C5381)</f>
        <v>100</v>
      </c>
    </row>
    <row r="5382" customFormat="false" ht="12.75" hidden="false" customHeight="false" outlineLevel="0" collapsed="false">
      <c r="A5382" s="0" t="n">
        <f aca="false">B5382*1000+C5382</f>
        <v>74015</v>
      </c>
      <c r="B5382" s="0" t="n">
        <v>74</v>
      </c>
      <c r="C5382" s="0" t="n">
        <v>15</v>
      </c>
      <c r="D5382" s="0" t="n">
        <v>962</v>
      </c>
      <c r="E5382" s="0" t="n">
        <f aca="false">VLOOKUP(B5382,'Babblefish-APUMA'!$A$1:$B$86,2)</f>
        <v>86</v>
      </c>
      <c r="F5382" s="0" t="n">
        <f aca="false">IF(C5382&gt;1,IF(C5382&lt;99,VLOOKUP(C5382,'Babblefish-APUMA'!$A$1:$B$86,2),C5382),C5382)</f>
        <v>15</v>
      </c>
    </row>
    <row r="5383" customFormat="false" ht="12.75" hidden="false" customHeight="false" outlineLevel="0" collapsed="false">
      <c r="A5383" s="0" t="n">
        <f aca="false">B5383*1000+C5383</f>
        <v>74016</v>
      </c>
      <c r="B5383" s="0" t="n">
        <v>74</v>
      </c>
      <c r="C5383" s="0" t="n">
        <v>16</v>
      </c>
      <c r="D5383" s="0" t="n">
        <v>208</v>
      </c>
      <c r="E5383" s="0" t="n">
        <f aca="false">VLOOKUP(B5383,'Babblefish-APUMA'!$A$1:$B$86,2)</f>
        <v>86</v>
      </c>
      <c r="F5383" s="0" t="n">
        <f aca="false">IF(C5383&gt;1,IF(C5383&lt;99,VLOOKUP(C5383,'Babblefish-APUMA'!$A$1:$B$86,2),C5383),C5383)</f>
        <v>99</v>
      </c>
    </row>
    <row r="5384" customFormat="false" ht="12.75" hidden="false" customHeight="false" outlineLevel="0" collapsed="false">
      <c r="A5384" s="0" t="n">
        <f aca="false">B5384*1000+C5384</f>
        <v>74017</v>
      </c>
      <c r="B5384" s="0" t="n">
        <v>74</v>
      </c>
      <c r="C5384" s="0" t="n">
        <v>17</v>
      </c>
      <c r="D5384" s="0" t="n">
        <v>1638</v>
      </c>
      <c r="E5384" s="0" t="n">
        <f aca="false">VLOOKUP(B5384,'Babblefish-APUMA'!$A$1:$B$86,2)</f>
        <v>86</v>
      </c>
      <c r="F5384" s="0" t="n">
        <f aca="false">IF(C5384&gt;1,IF(C5384&lt;99,VLOOKUP(C5384,'Babblefish-APUMA'!$A$1:$B$86,2),C5384),C5384)</f>
        <v>87</v>
      </c>
    </row>
    <row r="5385" customFormat="false" ht="12.75" hidden="false" customHeight="false" outlineLevel="0" collapsed="false">
      <c r="A5385" s="0" t="n">
        <f aca="false">B5385*1000+C5385</f>
        <v>74018</v>
      </c>
      <c r="B5385" s="0" t="n">
        <v>74</v>
      </c>
      <c r="C5385" s="0" t="n">
        <v>18</v>
      </c>
      <c r="D5385" s="0" t="n">
        <v>8060</v>
      </c>
      <c r="E5385" s="0" t="n">
        <f aca="false">VLOOKUP(B5385,'Babblefish-APUMA'!$A$1:$B$86,2)</f>
        <v>86</v>
      </c>
      <c r="F5385" s="0" t="n">
        <f aca="false">IF(C5385&gt;1,IF(C5385&lt;99,VLOOKUP(C5385,'Babblefish-APUMA'!$A$1:$B$86,2),C5385),C5385)</f>
        <v>87</v>
      </c>
    </row>
    <row r="5386" customFormat="false" ht="12.75" hidden="false" customHeight="false" outlineLevel="0" collapsed="false">
      <c r="A5386" s="0" t="n">
        <f aca="false">B5386*1000+C5386</f>
        <v>74019</v>
      </c>
      <c r="B5386" s="0" t="n">
        <v>74</v>
      </c>
      <c r="C5386" s="0" t="n">
        <v>19</v>
      </c>
      <c r="D5386" s="0" t="n">
        <v>26858</v>
      </c>
      <c r="E5386" s="0" t="n">
        <f aca="false">VLOOKUP(B5386,'Babblefish-APUMA'!$A$1:$B$86,2)</f>
        <v>86</v>
      </c>
      <c r="F5386" s="0" t="n">
        <f aca="false">IF(C5386&gt;1,IF(C5386&lt;99,VLOOKUP(C5386,'Babblefish-APUMA'!$A$1:$B$86,2),C5386),C5386)</f>
        <v>19</v>
      </c>
    </row>
    <row r="5387" customFormat="false" ht="12.75" hidden="false" customHeight="false" outlineLevel="0" collapsed="false">
      <c r="A5387" s="0" t="n">
        <f aca="false">B5387*1000+C5387</f>
        <v>74020</v>
      </c>
      <c r="B5387" s="0" t="n">
        <v>74</v>
      </c>
      <c r="C5387" s="0" t="n">
        <v>20</v>
      </c>
      <c r="D5387" s="0" t="n">
        <v>18343</v>
      </c>
      <c r="E5387" s="0" t="n">
        <f aca="false">VLOOKUP(B5387,'Babblefish-APUMA'!$A$1:$B$86,2)</f>
        <v>86</v>
      </c>
      <c r="F5387" s="0" t="n">
        <f aca="false">IF(C5387&gt;1,IF(C5387&lt;99,VLOOKUP(C5387,'Babblefish-APUMA'!$A$1:$B$86,2),C5387),C5387)</f>
        <v>86</v>
      </c>
    </row>
    <row r="5388" customFormat="false" ht="12.75" hidden="false" customHeight="false" outlineLevel="0" collapsed="false">
      <c r="A5388" s="0" t="n">
        <f aca="false">B5388*1000+C5388</f>
        <v>74021</v>
      </c>
      <c r="B5388" s="0" t="n">
        <v>74</v>
      </c>
      <c r="C5388" s="0" t="n">
        <v>21</v>
      </c>
      <c r="D5388" s="0" t="n">
        <v>96408</v>
      </c>
      <c r="E5388" s="0" t="n">
        <f aca="false">VLOOKUP(B5388,'Babblefish-APUMA'!$A$1:$B$86,2)</f>
        <v>86</v>
      </c>
      <c r="F5388" s="0" t="n">
        <f aca="false">IF(C5388&gt;1,IF(C5388&lt;99,VLOOKUP(C5388,'Babblefish-APUMA'!$A$1:$B$86,2),C5388),C5388)</f>
        <v>86</v>
      </c>
    </row>
    <row r="5389" customFormat="false" ht="12.75" hidden="false" customHeight="false" outlineLevel="0" collapsed="false">
      <c r="A5389" s="0" t="n">
        <f aca="false">B5389*1000+C5389</f>
        <v>74022</v>
      </c>
      <c r="B5389" s="0" t="n">
        <v>74</v>
      </c>
      <c r="C5389" s="0" t="n">
        <v>22</v>
      </c>
      <c r="D5389" s="0" t="n">
        <v>4303</v>
      </c>
      <c r="E5389" s="0" t="n">
        <f aca="false">VLOOKUP(B5389,'Babblefish-APUMA'!$A$1:$B$86,2)</f>
        <v>86</v>
      </c>
      <c r="F5389" s="0" t="n">
        <f aca="false">IF(C5389&gt;1,IF(C5389&lt;99,VLOOKUP(C5389,'Babblefish-APUMA'!$A$1:$B$86,2),C5389),C5389)</f>
        <v>22</v>
      </c>
    </row>
    <row r="5390" customFormat="false" ht="12.75" hidden="false" customHeight="false" outlineLevel="0" collapsed="false">
      <c r="A5390" s="0" t="n">
        <f aca="false">B5390*1000+C5390</f>
        <v>74023</v>
      </c>
      <c r="B5390" s="0" t="n">
        <v>74</v>
      </c>
      <c r="C5390" s="0" t="n">
        <v>23</v>
      </c>
      <c r="D5390" s="0" t="n">
        <v>234</v>
      </c>
      <c r="E5390" s="0" t="n">
        <f aca="false">VLOOKUP(B5390,'Babblefish-APUMA'!$A$1:$B$86,2)</f>
        <v>86</v>
      </c>
      <c r="F5390" s="0" t="n">
        <f aca="false">IF(C5390&gt;1,IF(C5390&lt;99,VLOOKUP(C5390,'Babblefish-APUMA'!$A$1:$B$86,2),C5390),C5390)</f>
        <v>97</v>
      </c>
    </row>
    <row r="5391" customFormat="false" ht="12.75" hidden="false" customHeight="false" outlineLevel="0" collapsed="false">
      <c r="A5391" s="0" t="n">
        <f aca="false">B5391*1000+C5391</f>
        <v>74024</v>
      </c>
      <c r="B5391" s="0" t="n">
        <v>74</v>
      </c>
      <c r="C5391" s="0" t="n">
        <v>24</v>
      </c>
      <c r="D5391" s="0" t="n">
        <v>78</v>
      </c>
      <c r="E5391" s="0" t="n">
        <f aca="false">VLOOKUP(B5391,'Babblefish-APUMA'!$A$1:$B$86,2)</f>
        <v>86</v>
      </c>
      <c r="F5391" s="0" t="n">
        <f aca="false">IF(C5391&gt;1,IF(C5391&lt;99,VLOOKUP(C5391,'Babblefish-APUMA'!$A$1:$B$86,2),C5391),C5391)</f>
        <v>101</v>
      </c>
    </row>
    <row r="5392" customFormat="false" ht="12.75" hidden="false" customHeight="false" outlineLevel="0" collapsed="false">
      <c r="A5392" s="0" t="n">
        <f aca="false">B5392*1000+C5392</f>
        <v>74025</v>
      </c>
      <c r="B5392" s="0" t="n">
        <v>74</v>
      </c>
      <c r="C5392" s="0" t="n">
        <v>25</v>
      </c>
      <c r="D5392" s="0" t="n">
        <v>0</v>
      </c>
      <c r="E5392" s="0" t="n">
        <f aca="false">VLOOKUP(B5392,'Babblefish-APUMA'!$A$1:$B$86,2)</f>
        <v>86</v>
      </c>
      <c r="F5392" s="0" t="n">
        <f aca="false">IF(C5392&gt;1,IF(C5392&lt;99,VLOOKUP(C5392,'Babblefish-APUMA'!$A$1:$B$86,2),C5392),C5392)</f>
        <v>101</v>
      </c>
    </row>
    <row r="5393" customFormat="false" ht="12.75" hidden="false" customHeight="false" outlineLevel="0" collapsed="false">
      <c r="A5393" s="0" t="n">
        <f aca="false">B5393*1000+C5393</f>
        <v>74026</v>
      </c>
      <c r="B5393" s="0" t="n">
        <v>74</v>
      </c>
      <c r="C5393" s="0" t="n">
        <v>26</v>
      </c>
      <c r="D5393" s="0" t="n">
        <v>0</v>
      </c>
      <c r="E5393" s="0" t="n">
        <f aca="false">VLOOKUP(B5393,'Babblefish-APUMA'!$A$1:$B$86,2)</f>
        <v>86</v>
      </c>
      <c r="F5393" s="0" t="n">
        <f aca="false">IF(C5393&gt;1,IF(C5393&lt;99,VLOOKUP(C5393,'Babblefish-APUMA'!$A$1:$B$86,2),C5393),C5393)</f>
        <v>26</v>
      </c>
    </row>
    <row r="5394" customFormat="false" ht="12.75" hidden="false" customHeight="false" outlineLevel="0" collapsed="false">
      <c r="A5394" s="0" t="n">
        <f aca="false">B5394*1000+C5394</f>
        <v>74027</v>
      </c>
      <c r="B5394" s="0" t="n">
        <v>74</v>
      </c>
      <c r="C5394" s="0" t="n">
        <v>27</v>
      </c>
      <c r="D5394" s="0" t="n">
        <v>0</v>
      </c>
      <c r="E5394" s="0" t="n">
        <f aca="false">VLOOKUP(B5394,'Babblefish-APUMA'!$A$1:$B$86,2)</f>
        <v>86</v>
      </c>
      <c r="F5394" s="0" t="n">
        <f aca="false">IF(C5394&gt;1,IF(C5394&lt;99,VLOOKUP(C5394,'Babblefish-APUMA'!$A$1:$B$86,2),C5394),C5394)</f>
        <v>27</v>
      </c>
    </row>
    <row r="5395" customFormat="false" ht="12.75" hidden="false" customHeight="false" outlineLevel="0" collapsed="false">
      <c r="A5395" s="0" t="n">
        <f aca="false">B5395*1000+C5395</f>
        <v>74028</v>
      </c>
      <c r="B5395" s="0" t="n">
        <v>74</v>
      </c>
      <c r="C5395" s="0" t="n">
        <v>28</v>
      </c>
      <c r="D5395" s="0" t="n">
        <v>169</v>
      </c>
      <c r="E5395" s="0" t="n">
        <f aca="false">VLOOKUP(B5395,'Babblefish-APUMA'!$A$1:$B$86,2)</f>
        <v>86</v>
      </c>
      <c r="F5395" s="0" t="n">
        <f aca="false">IF(C5395&gt;1,IF(C5395&lt;99,VLOOKUP(C5395,'Babblefish-APUMA'!$A$1:$B$86,2),C5395),C5395)</f>
        <v>94</v>
      </c>
    </row>
    <row r="5396" customFormat="false" ht="12.75" hidden="false" customHeight="false" outlineLevel="0" collapsed="false">
      <c r="A5396" s="0" t="n">
        <f aca="false">B5396*1000+C5396</f>
        <v>74029</v>
      </c>
      <c r="B5396" s="0" t="n">
        <v>74</v>
      </c>
      <c r="C5396" s="0" t="n">
        <v>29</v>
      </c>
      <c r="D5396" s="0" t="n">
        <v>130</v>
      </c>
      <c r="E5396" s="0" t="n">
        <f aca="false">VLOOKUP(B5396,'Babblefish-APUMA'!$A$1:$B$86,2)</f>
        <v>86</v>
      </c>
      <c r="F5396" s="0" t="n">
        <f aca="false">IF(C5396&gt;1,IF(C5396&lt;99,VLOOKUP(C5396,'Babblefish-APUMA'!$A$1:$B$86,2),C5396),C5396)</f>
        <v>94</v>
      </c>
    </row>
    <row r="5397" customFormat="false" ht="12.75" hidden="false" customHeight="false" outlineLevel="0" collapsed="false">
      <c r="A5397" s="0" t="n">
        <f aca="false">B5397*1000+C5397</f>
        <v>74030</v>
      </c>
      <c r="B5397" s="0" t="n">
        <v>74</v>
      </c>
      <c r="C5397" s="0" t="n">
        <v>30</v>
      </c>
      <c r="D5397" s="0" t="n">
        <v>0</v>
      </c>
      <c r="E5397" s="0" t="n">
        <f aca="false">VLOOKUP(B5397,'Babblefish-APUMA'!$A$1:$B$86,2)</f>
        <v>86</v>
      </c>
      <c r="F5397" s="0" t="n">
        <f aca="false">IF(C5397&gt;1,IF(C5397&lt;99,VLOOKUP(C5397,'Babblefish-APUMA'!$A$1:$B$86,2),C5397),C5397)</f>
        <v>30</v>
      </c>
    </row>
    <row r="5398" customFormat="false" ht="12.75" hidden="false" customHeight="false" outlineLevel="0" collapsed="false">
      <c r="A5398" s="0" t="n">
        <f aca="false">B5398*1000+C5398</f>
        <v>74031</v>
      </c>
      <c r="B5398" s="0" t="n">
        <v>74</v>
      </c>
      <c r="C5398" s="0" t="n">
        <v>31</v>
      </c>
      <c r="D5398" s="0" t="n">
        <v>0</v>
      </c>
      <c r="E5398" s="0" t="n">
        <f aca="false">VLOOKUP(B5398,'Babblefish-APUMA'!$A$1:$B$86,2)</f>
        <v>86</v>
      </c>
      <c r="F5398" s="0" t="n">
        <f aca="false">IF(C5398&gt;1,IF(C5398&lt;99,VLOOKUP(C5398,'Babblefish-APUMA'!$A$1:$B$86,2),C5398),C5398)</f>
        <v>31</v>
      </c>
    </row>
    <row r="5399" customFormat="false" ht="12.75" hidden="false" customHeight="false" outlineLevel="0" collapsed="false">
      <c r="A5399" s="0" t="n">
        <f aca="false">B5399*1000+C5399</f>
        <v>74032</v>
      </c>
      <c r="B5399" s="0" t="n">
        <v>74</v>
      </c>
      <c r="C5399" s="0" t="n">
        <v>32</v>
      </c>
      <c r="D5399" s="0" t="n">
        <v>0</v>
      </c>
      <c r="E5399" s="0" t="n">
        <f aca="false">VLOOKUP(B5399,'Babblefish-APUMA'!$A$1:$B$86,2)</f>
        <v>86</v>
      </c>
      <c r="F5399" s="0" t="n">
        <f aca="false">IF(C5399&gt;1,IF(C5399&lt;99,VLOOKUP(C5399,'Babblefish-APUMA'!$A$1:$B$86,2),C5399),C5399)</f>
        <v>32</v>
      </c>
    </row>
    <row r="5400" customFormat="false" ht="12.75" hidden="false" customHeight="false" outlineLevel="0" collapsed="false">
      <c r="A5400" s="0" t="n">
        <f aca="false">B5400*1000+C5400</f>
        <v>74033</v>
      </c>
      <c r="B5400" s="0" t="n">
        <v>74</v>
      </c>
      <c r="C5400" s="0" t="n">
        <v>33</v>
      </c>
      <c r="D5400" s="0" t="n">
        <v>0</v>
      </c>
      <c r="E5400" s="0" t="n">
        <f aca="false">VLOOKUP(B5400,'Babblefish-APUMA'!$A$1:$B$86,2)</f>
        <v>86</v>
      </c>
      <c r="F5400" s="0" t="n">
        <f aca="false">IF(C5400&gt;1,IF(C5400&lt;99,VLOOKUP(C5400,'Babblefish-APUMA'!$A$1:$B$86,2),C5400),C5400)</f>
        <v>96</v>
      </c>
    </row>
    <row r="5401" customFormat="false" ht="12.75" hidden="false" customHeight="false" outlineLevel="0" collapsed="false">
      <c r="A5401" s="0" t="n">
        <f aca="false">B5401*1000+C5401</f>
        <v>74034</v>
      </c>
      <c r="B5401" s="0" t="n">
        <v>74</v>
      </c>
      <c r="C5401" s="0" t="n">
        <v>34</v>
      </c>
      <c r="D5401" s="0" t="n">
        <v>0</v>
      </c>
      <c r="E5401" s="0" t="n">
        <f aca="false">VLOOKUP(B5401,'Babblefish-APUMA'!$A$1:$B$86,2)</f>
        <v>86</v>
      </c>
      <c r="F5401" s="0" t="n">
        <f aca="false">IF(C5401&gt;1,IF(C5401&lt;99,VLOOKUP(C5401,'Babblefish-APUMA'!$A$1:$B$86,2),C5401),C5401)</f>
        <v>96</v>
      </c>
    </row>
    <row r="5402" customFormat="false" ht="12.75" hidden="false" customHeight="false" outlineLevel="0" collapsed="false">
      <c r="A5402" s="0" t="n">
        <f aca="false">B5402*1000+C5402</f>
        <v>74035</v>
      </c>
      <c r="B5402" s="0" t="n">
        <v>74</v>
      </c>
      <c r="C5402" s="0" t="n">
        <v>35</v>
      </c>
      <c r="D5402" s="0" t="n">
        <v>0</v>
      </c>
      <c r="E5402" s="0" t="n">
        <f aca="false">VLOOKUP(B5402,'Babblefish-APUMA'!$A$1:$B$86,2)</f>
        <v>86</v>
      </c>
      <c r="F5402" s="0" t="n">
        <f aca="false">IF(C5402&gt;1,IF(C5402&lt;99,VLOOKUP(C5402,'Babblefish-APUMA'!$A$1:$B$86,2),C5402),C5402)</f>
        <v>96</v>
      </c>
    </row>
    <row r="5403" customFormat="false" ht="12.75" hidden="false" customHeight="false" outlineLevel="0" collapsed="false">
      <c r="A5403" s="0" t="n">
        <f aca="false">B5403*1000+C5403</f>
        <v>74036</v>
      </c>
      <c r="B5403" s="0" t="n">
        <v>74</v>
      </c>
      <c r="C5403" s="0" t="n">
        <v>36</v>
      </c>
      <c r="D5403" s="0" t="n">
        <v>0</v>
      </c>
      <c r="E5403" s="0" t="n">
        <f aca="false">VLOOKUP(B5403,'Babblefish-APUMA'!$A$1:$B$86,2)</f>
        <v>86</v>
      </c>
      <c r="F5403" s="0" t="n">
        <f aca="false">IF(C5403&gt;1,IF(C5403&lt;99,VLOOKUP(C5403,'Babblefish-APUMA'!$A$1:$B$86,2),C5403),C5403)</f>
        <v>96</v>
      </c>
    </row>
    <row r="5404" customFormat="false" ht="12.75" hidden="false" customHeight="false" outlineLevel="0" collapsed="false">
      <c r="A5404" s="0" t="n">
        <f aca="false">B5404*1000+C5404</f>
        <v>74037</v>
      </c>
      <c r="B5404" s="0" t="n">
        <v>74</v>
      </c>
      <c r="C5404" s="0" t="n">
        <v>37</v>
      </c>
      <c r="D5404" s="0" t="n">
        <v>0</v>
      </c>
      <c r="E5404" s="0" t="n">
        <f aca="false">VLOOKUP(B5404,'Babblefish-APUMA'!$A$1:$B$86,2)</f>
        <v>86</v>
      </c>
      <c r="F5404" s="0" t="n">
        <f aca="false">IF(C5404&gt;1,IF(C5404&lt;99,VLOOKUP(C5404,'Babblefish-APUMA'!$A$1:$B$86,2),C5404),C5404)</f>
        <v>96</v>
      </c>
    </row>
    <row r="5405" customFormat="false" ht="12.75" hidden="false" customHeight="false" outlineLevel="0" collapsed="false">
      <c r="A5405" s="0" t="n">
        <f aca="false">B5405*1000+C5405</f>
        <v>74038</v>
      </c>
      <c r="B5405" s="0" t="n">
        <v>74</v>
      </c>
      <c r="C5405" s="0" t="n">
        <v>38</v>
      </c>
      <c r="D5405" s="0" t="n">
        <v>0</v>
      </c>
      <c r="E5405" s="0" t="n">
        <f aca="false">VLOOKUP(B5405,'Babblefish-APUMA'!$A$1:$B$86,2)</f>
        <v>86</v>
      </c>
      <c r="F5405" s="0" t="n">
        <f aca="false">IF(C5405&gt;1,IF(C5405&lt;99,VLOOKUP(C5405,'Babblefish-APUMA'!$A$1:$B$86,2),C5405),C5405)</f>
        <v>91</v>
      </c>
    </row>
    <row r="5406" customFormat="false" ht="12.75" hidden="false" customHeight="false" outlineLevel="0" collapsed="false">
      <c r="A5406" s="0" t="n">
        <f aca="false">B5406*1000+C5406</f>
        <v>74039</v>
      </c>
      <c r="B5406" s="0" t="n">
        <v>74</v>
      </c>
      <c r="C5406" s="0" t="n">
        <v>39</v>
      </c>
      <c r="D5406" s="0" t="n">
        <v>0</v>
      </c>
      <c r="E5406" s="0" t="n">
        <f aca="false">VLOOKUP(B5406,'Babblefish-APUMA'!$A$1:$B$86,2)</f>
        <v>86</v>
      </c>
      <c r="F5406" s="0" t="n">
        <f aca="false">IF(C5406&gt;1,IF(C5406&lt;99,VLOOKUP(C5406,'Babblefish-APUMA'!$A$1:$B$86,2),C5406),C5406)</f>
        <v>91</v>
      </c>
    </row>
    <row r="5407" customFormat="false" ht="12.75" hidden="false" customHeight="false" outlineLevel="0" collapsed="false">
      <c r="A5407" s="0" t="n">
        <f aca="false">B5407*1000+C5407</f>
        <v>74040</v>
      </c>
      <c r="B5407" s="0" t="n">
        <v>74</v>
      </c>
      <c r="C5407" s="0" t="n">
        <v>40</v>
      </c>
      <c r="D5407" s="0" t="n">
        <v>0</v>
      </c>
      <c r="E5407" s="0" t="n">
        <f aca="false">VLOOKUP(B5407,'Babblefish-APUMA'!$A$1:$B$86,2)</f>
        <v>86</v>
      </c>
      <c r="F5407" s="0" t="n">
        <f aca="false">IF(C5407&gt;1,IF(C5407&lt;99,VLOOKUP(C5407,'Babblefish-APUMA'!$A$1:$B$86,2),C5407),C5407)</f>
        <v>88</v>
      </c>
    </row>
    <row r="5408" customFormat="false" ht="12.75" hidden="false" customHeight="false" outlineLevel="0" collapsed="false">
      <c r="A5408" s="0" t="n">
        <f aca="false">B5408*1000+C5408</f>
        <v>74041</v>
      </c>
      <c r="B5408" s="0" t="n">
        <v>74</v>
      </c>
      <c r="C5408" s="0" t="n">
        <v>41</v>
      </c>
      <c r="D5408" s="0" t="n">
        <v>0</v>
      </c>
      <c r="E5408" s="0" t="n">
        <f aca="false">VLOOKUP(B5408,'Babblefish-APUMA'!$A$1:$B$86,2)</f>
        <v>86</v>
      </c>
      <c r="F5408" s="0" t="n">
        <f aca="false">IF(C5408&gt;1,IF(C5408&lt;99,VLOOKUP(C5408,'Babblefish-APUMA'!$A$1:$B$86,2),C5408),C5408)</f>
        <v>88</v>
      </c>
    </row>
    <row r="5409" customFormat="false" ht="12.75" hidden="false" customHeight="false" outlineLevel="0" collapsed="false">
      <c r="A5409" s="0" t="n">
        <f aca="false">B5409*1000+C5409</f>
        <v>74042</v>
      </c>
      <c r="B5409" s="0" t="n">
        <v>74</v>
      </c>
      <c r="C5409" s="0" t="n">
        <v>42</v>
      </c>
      <c r="D5409" s="0" t="n">
        <v>0</v>
      </c>
      <c r="E5409" s="0" t="n">
        <f aca="false">VLOOKUP(B5409,'Babblefish-APUMA'!$A$1:$B$86,2)</f>
        <v>86</v>
      </c>
      <c r="F5409" s="0" t="n">
        <f aca="false">IF(C5409&gt;1,IF(C5409&lt;99,VLOOKUP(C5409,'Babblefish-APUMA'!$A$1:$B$86,2),C5409),C5409)</f>
        <v>92</v>
      </c>
    </row>
    <row r="5410" customFormat="false" ht="12.75" hidden="false" customHeight="false" outlineLevel="0" collapsed="false">
      <c r="A5410" s="0" t="n">
        <f aca="false">B5410*1000+C5410</f>
        <v>74043</v>
      </c>
      <c r="B5410" s="0" t="n">
        <v>74</v>
      </c>
      <c r="C5410" s="0" t="n">
        <v>43</v>
      </c>
      <c r="D5410" s="0" t="n">
        <v>0</v>
      </c>
      <c r="E5410" s="0" t="n">
        <f aca="false">VLOOKUP(B5410,'Babblefish-APUMA'!$A$1:$B$86,2)</f>
        <v>86</v>
      </c>
      <c r="F5410" s="0" t="n">
        <f aca="false">IF(C5410&gt;1,IF(C5410&lt;99,VLOOKUP(C5410,'Babblefish-APUMA'!$A$1:$B$86,2),C5410),C5410)</f>
        <v>92</v>
      </c>
    </row>
    <row r="5411" customFormat="false" ht="12.75" hidden="false" customHeight="false" outlineLevel="0" collapsed="false">
      <c r="A5411" s="0" t="n">
        <f aca="false">B5411*1000+C5411</f>
        <v>74044</v>
      </c>
      <c r="B5411" s="0" t="n">
        <v>74</v>
      </c>
      <c r="C5411" s="0" t="n">
        <v>44</v>
      </c>
      <c r="D5411" s="0" t="n">
        <v>0</v>
      </c>
      <c r="E5411" s="0" t="n">
        <f aca="false">VLOOKUP(B5411,'Babblefish-APUMA'!$A$1:$B$86,2)</f>
        <v>86</v>
      </c>
      <c r="F5411" s="0" t="n">
        <f aca="false">IF(C5411&gt;1,IF(C5411&lt;99,VLOOKUP(C5411,'Babblefish-APUMA'!$A$1:$B$86,2),C5411),C5411)</f>
        <v>92</v>
      </c>
    </row>
    <row r="5412" customFormat="false" ht="12.75" hidden="false" customHeight="false" outlineLevel="0" collapsed="false">
      <c r="A5412" s="0" t="n">
        <f aca="false">B5412*1000+C5412</f>
        <v>74045</v>
      </c>
      <c r="B5412" s="0" t="n">
        <v>74</v>
      </c>
      <c r="C5412" s="0" t="n">
        <v>45</v>
      </c>
      <c r="D5412" s="0" t="n">
        <v>0</v>
      </c>
      <c r="E5412" s="0" t="n">
        <f aca="false">VLOOKUP(B5412,'Babblefish-APUMA'!$A$1:$B$86,2)</f>
        <v>86</v>
      </c>
      <c r="F5412" s="0" t="n">
        <f aca="false">IF(C5412&gt;1,IF(C5412&lt;99,VLOOKUP(C5412,'Babblefish-APUMA'!$A$1:$B$86,2),C5412),C5412)</f>
        <v>92</v>
      </c>
    </row>
    <row r="5413" customFormat="false" ht="12.75" hidden="false" customHeight="false" outlineLevel="0" collapsed="false">
      <c r="A5413" s="0" t="n">
        <f aca="false">B5413*1000+C5413</f>
        <v>74046</v>
      </c>
      <c r="B5413" s="0" t="n">
        <v>74</v>
      </c>
      <c r="C5413" s="0" t="n">
        <v>46</v>
      </c>
      <c r="D5413" s="0" t="n">
        <v>0</v>
      </c>
      <c r="E5413" s="0" t="n">
        <f aca="false">VLOOKUP(B5413,'Babblefish-APUMA'!$A$1:$B$86,2)</f>
        <v>86</v>
      </c>
      <c r="F5413" s="0" t="n">
        <f aca="false">IF(C5413&gt;1,IF(C5413&lt;99,VLOOKUP(C5413,'Babblefish-APUMA'!$A$1:$B$86,2),C5413),C5413)</f>
        <v>92</v>
      </c>
    </row>
    <row r="5414" customFormat="false" ht="12.75" hidden="false" customHeight="false" outlineLevel="0" collapsed="false">
      <c r="A5414" s="0" t="n">
        <f aca="false">B5414*1000+C5414</f>
        <v>74047</v>
      </c>
      <c r="B5414" s="0" t="n">
        <v>74</v>
      </c>
      <c r="C5414" s="0" t="n">
        <v>47</v>
      </c>
      <c r="D5414" s="0" t="n">
        <v>0</v>
      </c>
      <c r="E5414" s="0" t="n">
        <f aca="false">VLOOKUP(B5414,'Babblefish-APUMA'!$A$1:$B$86,2)</f>
        <v>86</v>
      </c>
      <c r="F5414" s="0" t="n">
        <f aca="false">IF(C5414&gt;1,IF(C5414&lt;99,VLOOKUP(C5414,'Babblefish-APUMA'!$A$1:$B$86,2),C5414),C5414)</f>
        <v>92</v>
      </c>
    </row>
    <row r="5415" customFormat="false" ht="12.75" hidden="false" customHeight="false" outlineLevel="0" collapsed="false">
      <c r="A5415" s="0" t="n">
        <f aca="false">B5415*1000+C5415</f>
        <v>74048</v>
      </c>
      <c r="B5415" s="0" t="n">
        <v>74</v>
      </c>
      <c r="C5415" s="0" t="n">
        <v>48</v>
      </c>
      <c r="D5415" s="0" t="n">
        <v>0</v>
      </c>
      <c r="E5415" s="0" t="n">
        <f aca="false">VLOOKUP(B5415,'Babblefish-APUMA'!$A$1:$B$86,2)</f>
        <v>86</v>
      </c>
      <c r="F5415" s="0" t="n">
        <f aca="false">IF(C5415&gt;1,IF(C5415&lt;99,VLOOKUP(C5415,'Babblefish-APUMA'!$A$1:$B$86,2),C5415),C5415)</f>
        <v>92</v>
      </c>
    </row>
    <row r="5416" customFormat="false" ht="12.75" hidden="false" customHeight="false" outlineLevel="0" collapsed="false">
      <c r="A5416" s="0" t="n">
        <f aca="false">B5416*1000+C5416</f>
        <v>74049</v>
      </c>
      <c r="B5416" s="0" t="n">
        <v>74</v>
      </c>
      <c r="C5416" s="0" t="n">
        <v>49</v>
      </c>
      <c r="D5416" s="0" t="n">
        <v>858</v>
      </c>
      <c r="E5416" s="0" t="n">
        <f aca="false">VLOOKUP(B5416,'Babblefish-APUMA'!$A$1:$B$86,2)</f>
        <v>86</v>
      </c>
      <c r="F5416" s="0" t="n">
        <f aca="false">IF(C5416&gt;1,IF(C5416&lt;99,VLOOKUP(C5416,'Babblefish-APUMA'!$A$1:$B$86,2),C5416),C5416)</f>
        <v>98</v>
      </c>
    </row>
    <row r="5417" customFormat="false" ht="12.75" hidden="false" customHeight="false" outlineLevel="0" collapsed="false">
      <c r="A5417" s="0" t="n">
        <f aca="false">B5417*1000+C5417</f>
        <v>74050</v>
      </c>
      <c r="B5417" s="0" t="n">
        <v>74</v>
      </c>
      <c r="C5417" s="0" t="n">
        <v>50</v>
      </c>
      <c r="D5417" s="0" t="n">
        <v>325</v>
      </c>
      <c r="E5417" s="0" t="n">
        <f aca="false">VLOOKUP(B5417,'Babblefish-APUMA'!$A$1:$B$86,2)</f>
        <v>86</v>
      </c>
      <c r="F5417" s="0" t="n">
        <f aca="false">IF(C5417&gt;1,IF(C5417&lt;99,VLOOKUP(C5417,'Babblefish-APUMA'!$A$1:$B$86,2),C5417),C5417)</f>
        <v>98</v>
      </c>
    </row>
    <row r="5418" customFormat="false" ht="12.75" hidden="false" customHeight="false" outlineLevel="0" collapsed="false">
      <c r="A5418" s="0" t="n">
        <f aca="false">B5418*1000+C5418</f>
        <v>74051</v>
      </c>
      <c r="B5418" s="0" t="n">
        <v>74</v>
      </c>
      <c r="C5418" s="0" t="n">
        <v>51</v>
      </c>
      <c r="D5418" s="0" t="n">
        <v>845</v>
      </c>
      <c r="E5418" s="0" t="n">
        <f aca="false">VLOOKUP(B5418,'Babblefish-APUMA'!$A$1:$B$86,2)</f>
        <v>86</v>
      </c>
      <c r="F5418" s="0" t="n">
        <f aca="false">IF(C5418&gt;1,IF(C5418&lt;99,VLOOKUP(C5418,'Babblefish-APUMA'!$A$1:$B$86,2),C5418),C5418)</f>
        <v>98</v>
      </c>
    </row>
    <row r="5419" customFormat="false" ht="12.75" hidden="false" customHeight="false" outlineLevel="0" collapsed="false">
      <c r="A5419" s="0" t="n">
        <f aca="false">B5419*1000+C5419</f>
        <v>74052</v>
      </c>
      <c r="B5419" s="0" t="n">
        <v>74</v>
      </c>
      <c r="C5419" s="0" t="n">
        <v>52</v>
      </c>
      <c r="D5419" s="0" t="n">
        <v>0</v>
      </c>
      <c r="E5419" s="0" t="n">
        <f aca="false">VLOOKUP(B5419,'Babblefish-APUMA'!$A$1:$B$86,2)</f>
        <v>86</v>
      </c>
      <c r="F5419" s="0" t="n">
        <f aca="false">IF(C5419&gt;1,IF(C5419&lt;99,VLOOKUP(C5419,'Babblefish-APUMA'!$A$1:$B$86,2),C5419),C5419)</f>
        <v>90</v>
      </c>
    </row>
    <row r="5420" customFormat="false" ht="12.75" hidden="false" customHeight="false" outlineLevel="0" collapsed="false">
      <c r="A5420" s="0" t="n">
        <f aca="false">B5420*1000+C5420</f>
        <v>74053</v>
      </c>
      <c r="B5420" s="0" t="n">
        <v>74</v>
      </c>
      <c r="C5420" s="0" t="n">
        <v>53</v>
      </c>
      <c r="D5420" s="0" t="n">
        <v>0</v>
      </c>
      <c r="E5420" s="0" t="n">
        <f aca="false">VLOOKUP(B5420,'Babblefish-APUMA'!$A$1:$B$86,2)</f>
        <v>86</v>
      </c>
      <c r="F5420" s="0" t="n">
        <f aca="false">IF(C5420&gt;1,IF(C5420&lt;99,VLOOKUP(C5420,'Babblefish-APUMA'!$A$1:$B$86,2),C5420),C5420)</f>
        <v>90</v>
      </c>
    </row>
    <row r="5421" customFormat="false" ht="12.75" hidden="false" customHeight="false" outlineLevel="0" collapsed="false">
      <c r="A5421" s="0" t="n">
        <f aca="false">B5421*1000+C5421</f>
        <v>74054</v>
      </c>
      <c r="B5421" s="0" t="n">
        <v>74</v>
      </c>
      <c r="C5421" s="0" t="n">
        <v>54</v>
      </c>
      <c r="D5421" s="0" t="n">
        <v>0</v>
      </c>
      <c r="E5421" s="0" t="n">
        <f aca="false">VLOOKUP(B5421,'Babblefish-APUMA'!$A$1:$B$86,2)</f>
        <v>86</v>
      </c>
      <c r="F5421" s="0" t="n">
        <f aca="false">IF(C5421&gt;1,IF(C5421&lt;99,VLOOKUP(C5421,'Babblefish-APUMA'!$A$1:$B$86,2),C5421),C5421)</f>
        <v>90</v>
      </c>
    </row>
    <row r="5422" customFormat="false" ht="12.75" hidden="false" customHeight="false" outlineLevel="0" collapsed="false">
      <c r="A5422" s="0" t="n">
        <f aca="false">B5422*1000+C5422</f>
        <v>74055</v>
      </c>
      <c r="B5422" s="0" t="n">
        <v>74</v>
      </c>
      <c r="C5422" s="0" t="n">
        <v>55</v>
      </c>
      <c r="D5422" s="0" t="n">
        <v>78</v>
      </c>
      <c r="E5422" s="0" t="n">
        <f aca="false">VLOOKUP(B5422,'Babblefish-APUMA'!$A$1:$B$86,2)</f>
        <v>86</v>
      </c>
      <c r="F5422" s="0" t="n">
        <f aca="false">IF(C5422&gt;1,IF(C5422&lt;99,VLOOKUP(C5422,'Babblefish-APUMA'!$A$1:$B$86,2),C5422),C5422)</f>
        <v>90</v>
      </c>
    </row>
    <row r="5423" customFormat="false" ht="12.75" hidden="false" customHeight="false" outlineLevel="0" collapsed="false">
      <c r="A5423" s="0" t="n">
        <f aca="false">B5423*1000+C5423</f>
        <v>74056</v>
      </c>
      <c r="B5423" s="0" t="n">
        <v>74</v>
      </c>
      <c r="C5423" s="0" t="n">
        <v>56</v>
      </c>
      <c r="D5423" s="0" t="n">
        <v>0</v>
      </c>
      <c r="E5423" s="0" t="n">
        <f aca="false">VLOOKUP(B5423,'Babblefish-APUMA'!$A$1:$B$86,2)</f>
        <v>86</v>
      </c>
      <c r="F5423" s="0" t="n">
        <f aca="false">IF(C5423&gt;1,IF(C5423&lt;99,VLOOKUP(C5423,'Babblefish-APUMA'!$A$1:$B$86,2),C5423),C5423)</f>
        <v>90</v>
      </c>
    </row>
    <row r="5424" customFormat="false" ht="12.75" hidden="false" customHeight="false" outlineLevel="0" collapsed="false">
      <c r="A5424" s="0" t="n">
        <f aca="false">B5424*1000+C5424</f>
        <v>74057</v>
      </c>
      <c r="B5424" s="0" t="n">
        <v>74</v>
      </c>
      <c r="C5424" s="0" t="n">
        <v>57</v>
      </c>
      <c r="D5424" s="0" t="n">
        <v>0</v>
      </c>
      <c r="E5424" s="0" t="n">
        <f aca="false">VLOOKUP(B5424,'Babblefish-APUMA'!$A$1:$B$86,2)</f>
        <v>86</v>
      </c>
      <c r="F5424" s="0" t="n">
        <f aca="false">IF(C5424&gt;1,IF(C5424&lt;99,VLOOKUP(C5424,'Babblefish-APUMA'!$A$1:$B$86,2),C5424),C5424)</f>
        <v>90</v>
      </c>
    </row>
    <row r="5425" customFormat="false" ht="12.75" hidden="false" customHeight="false" outlineLevel="0" collapsed="false">
      <c r="A5425" s="0" t="n">
        <f aca="false">B5425*1000+C5425</f>
        <v>74058</v>
      </c>
      <c r="B5425" s="0" t="n">
        <v>74</v>
      </c>
      <c r="C5425" s="0" t="n">
        <v>58</v>
      </c>
      <c r="D5425" s="0" t="n">
        <v>0</v>
      </c>
      <c r="E5425" s="0" t="n">
        <f aca="false">VLOOKUP(B5425,'Babblefish-APUMA'!$A$1:$B$86,2)</f>
        <v>86</v>
      </c>
      <c r="F5425" s="0" t="n">
        <f aca="false">IF(C5425&gt;1,IF(C5425&lt;99,VLOOKUP(C5425,'Babblefish-APUMA'!$A$1:$B$86,2),C5425),C5425)</f>
        <v>90</v>
      </c>
    </row>
    <row r="5426" customFormat="false" ht="12.75" hidden="false" customHeight="false" outlineLevel="0" collapsed="false">
      <c r="A5426" s="0" t="n">
        <f aca="false">B5426*1000+C5426</f>
        <v>74059</v>
      </c>
      <c r="B5426" s="0" t="n">
        <v>74</v>
      </c>
      <c r="C5426" s="0" t="n">
        <v>59</v>
      </c>
      <c r="D5426" s="0" t="n">
        <v>0</v>
      </c>
      <c r="E5426" s="0" t="n">
        <f aca="false">VLOOKUP(B5426,'Babblefish-APUMA'!$A$1:$B$86,2)</f>
        <v>86</v>
      </c>
      <c r="F5426" s="0" t="n">
        <f aca="false">IF(C5426&gt;1,IF(C5426&lt;99,VLOOKUP(C5426,'Babblefish-APUMA'!$A$1:$B$86,2),C5426),C5426)</f>
        <v>90</v>
      </c>
    </row>
    <row r="5427" customFormat="false" ht="12.75" hidden="false" customHeight="false" outlineLevel="0" collapsed="false">
      <c r="A5427" s="0" t="n">
        <f aca="false">B5427*1000+C5427</f>
        <v>74060</v>
      </c>
      <c r="B5427" s="0" t="n">
        <v>74</v>
      </c>
      <c r="C5427" s="0" t="n">
        <v>60</v>
      </c>
      <c r="D5427" s="0" t="n">
        <v>0</v>
      </c>
      <c r="E5427" s="0" t="n">
        <f aca="false">VLOOKUP(B5427,'Babblefish-APUMA'!$A$1:$B$86,2)</f>
        <v>86</v>
      </c>
      <c r="F5427" s="0" t="n">
        <f aca="false">IF(C5427&gt;1,IF(C5427&lt;99,VLOOKUP(C5427,'Babblefish-APUMA'!$A$1:$B$86,2),C5427),C5427)</f>
        <v>90</v>
      </c>
    </row>
    <row r="5428" customFormat="false" ht="12.75" hidden="false" customHeight="false" outlineLevel="0" collapsed="false">
      <c r="A5428" s="0" t="n">
        <f aca="false">B5428*1000+C5428</f>
        <v>74061</v>
      </c>
      <c r="B5428" s="0" t="n">
        <v>74</v>
      </c>
      <c r="C5428" s="0" t="n">
        <v>61</v>
      </c>
      <c r="D5428" s="0" t="n">
        <v>0</v>
      </c>
      <c r="E5428" s="0" t="n">
        <f aca="false">VLOOKUP(B5428,'Babblefish-APUMA'!$A$1:$B$86,2)</f>
        <v>86</v>
      </c>
      <c r="F5428" s="0" t="n">
        <f aca="false">IF(C5428&gt;1,IF(C5428&lt;99,VLOOKUP(C5428,'Babblefish-APUMA'!$A$1:$B$86,2),C5428),C5428)</f>
        <v>90</v>
      </c>
    </row>
    <row r="5429" customFormat="false" ht="12.75" hidden="false" customHeight="false" outlineLevel="0" collapsed="false">
      <c r="A5429" s="0" t="n">
        <f aca="false">B5429*1000+C5429</f>
        <v>74062</v>
      </c>
      <c r="B5429" s="0" t="n">
        <v>74</v>
      </c>
      <c r="C5429" s="0" t="n">
        <v>62</v>
      </c>
      <c r="D5429" s="0" t="n">
        <v>0</v>
      </c>
      <c r="E5429" s="0" t="n">
        <f aca="false">VLOOKUP(B5429,'Babblefish-APUMA'!$A$1:$B$86,2)</f>
        <v>86</v>
      </c>
      <c r="F5429" s="0" t="n">
        <f aca="false">IF(C5429&gt;1,IF(C5429&lt;99,VLOOKUP(C5429,'Babblefish-APUMA'!$A$1:$B$86,2),C5429),C5429)</f>
        <v>90</v>
      </c>
    </row>
    <row r="5430" customFormat="false" ht="12.75" hidden="false" customHeight="false" outlineLevel="0" collapsed="false">
      <c r="A5430" s="0" t="n">
        <f aca="false">B5430*1000+C5430</f>
        <v>74063</v>
      </c>
      <c r="B5430" s="0" t="n">
        <v>74</v>
      </c>
      <c r="C5430" s="0" t="n">
        <v>63</v>
      </c>
      <c r="D5430" s="0" t="n">
        <v>0</v>
      </c>
      <c r="E5430" s="0" t="n">
        <f aca="false">VLOOKUP(B5430,'Babblefish-APUMA'!$A$1:$B$86,2)</f>
        <v>86</v>
      </c>
      <c r="F5430" s="0" t="n">
        <f aca="false">IF(C5430&gt;1,IF(C5430&lt;99,VLOOKUP(C5430,'Babblefish-APUMA'!$A$1:$B$86,2),C5430),C5430)</f>
        <v>90</v>
      </c>
    </row>
    <row r="5431" customFormat="false" ht="12.75" hidden="false" customHeight="false" outlineLevel="0" collapsed="false">
      <c r="A5431" s="0" t="n">
        <f aca="false">B5431*1000+C5431</f>
        <v>74064</v>
      </c>
      <c r="B5431" s="0" t="n">
        <v>74</v>
      </c>
      <c r="C5431" s="0" t="n">
        <v>64</v>
      </c>
      <c r="D5431" s="0" t="n">
        <v>0</v>
      </c>
      <c r="E5431" s="0" t="n">
        <f aca="false">VLOOKUP(B5431,'Babblefish-APUMA'!$A$1:$B$86,2)</f>
        <v>86</v>
      </c>
      <c r="F5431" s="0" t="n">
        <f aca="false">IF(C5431&gt;1,IF(C5431&lt;99,VLOOKUP(C5431,'Babblefish-APUMA'!$A$1:$B$86,2),C5431),C5431)</f>
        <v>90</v>
      </c>
    </row>
    <row r="5432" customFormat="false" ht="12.75" hidden="false" customHeight="false" outlineLevel="0" collapsed="false">
      <c r="A5432" s="0" t="n">
        <f aca="false">B5432*1000+C5432</f>
        <v>74065</v>
      </c>
      <c r="B5432" s="0" t="n">
        <v>74</v>
      </c>
      <c r="C5432" s="0" t="n">
        <v>65</v>
      </c>
      <c r="D5432" s="0" t="n">
        <v>234</v>
      </c>
      <c r="E5432" s="0" t="n">
        <f aca="false">VLOOKUP(B5432,'Babblefish-APUMA'!$A$1:$B$86,2)</f>
        <v>86</v>
      </c>
      <c r="F5432" s="0" t="n">
        <f aca="false">IF(C5432&gt;1,IF(C5432&lt;99,VLOOKUP(C5432,'Babblefish-APUMA'!$A$1:$B$86,2),C5432),C5432)</f>
        <v>90</v>
      </c>
    </row>
    <row r="5433" customFormat="false" ht="12.75" hidden="false" customHeight="false" outlineLevel="0" collapsed="false">
      <c r="A5433" s="0" t="n">
        <f aca="false">B5433*1000+C5433</f>
        <v>74066</v>
      </c>
      <c r="B5433" s="0" t="n">
        <v>74</v>
      </c>
      <c r="C5433" s="0" t="n">
        <v>66</v>
      </c>
      <c r="D5433" s="0" t="n">
        <v>0</v>
      </c>
      <c r="E5433" s="0" t="n">
        <f aca="false">VLOOKUP(B5433,'Babblefish-APUMA'!$A$1:$B$86,2)</f>
        <v>86</v>
      </c>
      <c r="F5433" s="0" t="n">
        <f aca="false">IF(C5433&gt;1,IF(C5433&lt;99,VLOOKUP(C5433,'Babblefish-APUMA'!$A$1:$B$86,2),C5433),C5433)</f>
        <v>90</v>
      </c>
    </row>
    <row r="5434" customFormat="false" ht="12.75" hidden="false" customHeight="false" outlineLevel="0" collapsed="false">
      <c r="A5434" s="0" t="n">
        <f aca="false">B5434*1000+C5434</f>
        <v>74067</v>
      </c>
      <c r="B5434" s="0" t="n">
        <v>74</v>
      </c>
      <c r="C5434" s="0" t="n">
        <v>67</v>
      </c>
      <c r="D5434" s="0" t="n">
        <v>0</v>
      </c>
      <c r="E5434" s="0" t="n">
        <f aca="false">VLOOKUP(B5434,'Babblefish-APUMA'!$A$1:$B$86,2)</f>
        <v>86</v>
      </c>
      <c r="F5434" s="0" t="n">
        <f aca="false">IF(C5434&gt;1,IF(C5434&lt;99,VLOOKUP(C5434,'Babblefish-APUMA'!$A$1:$B$86,2),C5434),C5434)</f>
        <v>103</v>
      </c>
    </row>
    <row r="5435" customFormat="false" ht="12.75" hidden="false" customHeight="false" outlineLevel="0" collapsed="false">
      <c r="A5435" s="0" t="n">
        <f aca="false">B5435*1000+C5435</f>
        <v>74068</v>
      </c>
      <c r="B5435" s="0" t="n">
        <v>74</v>
      </c>
      <c r="C5435" s="0" t="n">
        <v>68</v>
      </c>
      <c r="D5435" s="0" t="n">
        <v>0</v>
      </c>
      <c r="E5435" s="0" t="n">
        <f aca="false">VLOOKUP(B5435,'Babblefish-APUMA'!$A$1:$B$86,2)</f>
        <v>86</v>
      </c>
      <c r="F5435" s="0" t="n">
        <f aca="false">IF(C5435&gt;1,IF(C5435&lt;99,VLOOKUP(C5435,'Babblefish-APUMA'!$A$1:$B$86,2),C5435),C5435)</f>
        <v>93</v>
      </c>
    </row>
    <row r="5436" customFormat="false" ht="12.75" hidden="false" customHeight="false" outlineLevel="0" collapsed="false">
      <c r="A5436" s="0" t="n">
        <f aca="false">B5436*1000+C5436</f>
        <v>74069</v>
      </c>
      <c r="B5436" s="0" t="n">
        <v>74</v>
      </c>
      <c r="C5436" s="0" t="n">
        <v>69</v>
      </c>
      <c r="D5436" s="0" t="n">
        <v>0</v>
      </c>
      <c r="E5436" s="0" t="n">
        <f aca="false">VLOOKUP(B5436,'Babblefish-APUMA'!$A$1:$B$86,2)</f>
        <v>86</v>
      </c>
      <c r="F5436" s="0" t="n">
        <f aca="false">IF(C5436&gt;1,IF(C5436&lt;99,VLOOKUP(C5436,'Babblefish-APUMA'!$A$1:$B$86,2),C5436),C5436)</f>
        <v>93</v>
      </c>
    </row>
    <row r="5437" customFormat="false" ht="12.75" hidden="false" customHeight="false" outlineLevel="0" collapsed="false">
      <c r="A5437" s="0" t="n">
        <f aca="false">B5437*1000+C5437</f>
        <v>74070</v>
      </c>
      <c r="B5437" s="0" t="n">
        <v>74</v>
      </c>
      <c r="C5437" s="0" t="n">
        <v>70</v>
      </c>
      <c r="D5437" s="0" t="n">
        <v>0</v>
      </c>
      <c r="E5437" s="0" t="n">
        <f aca="false">VLOOKUP(B5437,'Babblefish-APUMA'!$A$1:$B$86,2)</f>
        <v>86</v>
      </c>
      <c r="F5437" s="0" t="n">
        <f aca="false">IF(C5437&gt;1,IF(C5437&lt;99,VLOOKUP(C5437,'Babblefish-APUMA'!$A$1:$B$86,2),C5437),C5437)</f>
        <v>95</v>
      </c>
    </row>
    <row r="5438" customFormat="false" ht="12.75" hidden="false" customHeight="false" outlineLevel="0" collapsed="false">
      <c r="A5438" s="0" t="n">
        <f aca="false">B5438*1000+C5438</f>
        <v>74071</v>
      </c>
      <c r="B5438" s="0" t="n">
        <v>74</v>
      </c>
      <c r="C5438" s="0" t="n">
        <v>71</v>
      </c>
      <c r="D5438" s="0" t="n">
        <v>0</v>
      </c>
      <c r="E5438" s="0" t="n">
        <f aca="false">VLOOKUP(B5438,'Babblefish-APUMA'!$A$1:$B$86,2)</f>
        <v>86</v>
      </c>
      <c r="F5438" s="0" t="n">
        <f aca="false">IF(C5438&gt;1,IF(C5438&lt;99,VLOOKUP(C5438,'Babblefish-APUMA'!$A$1:$B$86,2),C5438),C5438)</f>
        <v>95</v>
      </c>
    </row>
    <row r="5439" customFormat="false" ht="12.75" hidden="false" customHeight="false" outlineLevel="0" collapsed="false">
      <c r="A5439" s="0" t="n">
        <f aca="false">B5439*1000+C5439</f>
        <v>74072</v>
      </c>
      <c r="B5439" s="0" t="n">
        <v>74</v>
      </c>
      <c r="C5439" s="0" t="n">
        <v>72</v>
      </c>
      <c r="D5439" s="0" t="n">
        <v>0</v>
      </c>
      <c r="E5439" s="0" t="n">
        <f aca="false">VLOOKUP(B5439,'Babblefish-APUMA'!$A$1:$B$86,2)</f>
        <v>86</v>
      </c>
      <c r="F5439" s="0" t="n">
        <f aca="false">IF(C5439&gt;1,IF(C5439&lt;99,VLOOKUP(C5439,'Babblefish-APUMA'!$A$1:$B$86,2),C5439),C5439)</f>
        <v>95</v>
      </c>
    </row>
    <row r="5440" customFormat="false" ht="12.75" hidden="false" customHeight="false" outlineLevel="0" collapsed="false">
      <c r="A5440" s="0" t="n">
        <f aca="false">B5440*1000+C5440</f>
        <v>74073</v>
      </c>
      <c r="B5440" s="0" t="n">
        <v>74</v>
      </c>
      <c r="C5440" s="0" t="n">
        <v>73</v>
      </c>
      <c r="D5440" s="0" t="n">
        <v>338</v>
      </c>
      <c r="E5440" s="0" t="n">
        <f aca="false">VLOOKUP(B5440,'Babblefish-APUMA'!$A$1:$B$86,2)</f>
        <v>86</v>
      </c>
      <c r="F5440" s="0" t="n">
        <f aca="false">IF(C5440&gt;1,IF(C5440&lt;99,VLOOKUP(C5440,'Babblefish-APUMA'!$A$1:$B$86,2),C5440),C5440)</f>
        <v>99</v>
      </c>
    </row>
    <row r="5441" customFormat="false" ht="12.75" hidden="false" customHeight="false" outlineLevel="0" collapsed="false">
      <c r="A5441" s="0" t="n">
        <f aca="false">B5441*1000+C5441</f>
        <v>74075</v>
      </c>
      <c r="B5441" s="0" t="n">
        <v>74</v>
      </c>
      <c r="C5441" s="0" t="n">
        <v>75</v>
      </c>
      <c r="D5441" s="0" t="n">
        <v>0</v>
      </c>
      <c r="E5441" s="0" t="n">
        <f aca="false">VLOOKUP(B5441,'Babblefish-APUMA'!$A$1:$B$86,2)</f>
        <v>86</v>
      </c>
      <c r="F5441" s="0" t="n">
        <f aca="false">IF(C5441&gt;1,IF(C5441&lt;99,VLOOKUP(C5441,'Babblefish-APUMA'!$A$1:$B$86,2),C5441),C5441)</f>
        <v>75</v>
      </c>
    </row>
    <row r="5442" customFormat="false" ht="12.75" hidden="false" customHeight="false" outlineLevel="0" collapsed="false">
      <c r="A5442" s="0" t="n">
        <f aca="false">B5442*1000+C5442</f>
        <v>74076</v>
      </c>
      <c r="B5442" s="0" t="n">
        <v>74</v>
      </c>
      <c r="C5442" s="0" t="n">
        <v>76</v>
      </c>
      <c r="D5442" s="0" t="n">
        <v>0</v>
      </c>
      <c r="E5442" s="0" t="n">
        <f aca="false">VLOOKUP(B5442,'Babblefish-APUMA'!$A$1:$B$86,2)</f>
        <v>86</v>
      </c>
      <c r="F5442" s="0" t="n">
        <f aca="false">IF(C5442&gt;1,IF(C5442&lt;99,VLOOKUP(C5442,'Babblefish-APUMA'!$A$1:$B$86,2),C5442),C5442)</f>
        <v>76</v>
      </c>
    </row>
    <row r="5443" customFormat="false" ht="12.75" hidden="false" customHeight="false" outlineLevel="0" collapsed="false">
      <c r="A5443" s="0" t="n">
        <f aca="false">B5443*1000+C5443</f>
        <v>74077</v>
      </c>
      <c r="B5443" s="0" t="n">
        <v>74</v>
      </c>
      <c r="C5443" s="0" t="n">
        <v>77</v>
      </c>
      <c r="D5443" s="0" t="n">
        <v>0</v>
      </c>
      <c r="E5443" s="0" t="n">
        <f aca="false">VLOOKUP(B5443,'Babblefish-APUMA'!$A$1:$B$86,2)</f>
        <v>86</v>
      </c>
      <c r="F5443" s="0" t="n">
        <f aca="false">IF(C5443&gt;1,IF(C5443&lt;99,VLOOKUP(C5443,'Babblefish-APUMA'!$A$1:$B$86,2),C5443),C5443)</f>
        <v>77</v>
      </c>
    </row>
    <row r="5444" customFormat="false" ht="12.75" hidden="false" customHeight="false" outlineLevel="0" collapsed="false">
      <c r="A5444" s="0" t="n">
        <f aca="false">B5444*1000+C5444</f>
        <v>74078</v>
      </c>
      <c r="B5444" s="0" t="n">
        <v>74</v>
      </c>
      <c r="C5444" s="0" t="n">
        <v>78</v>
      </c>
      <c r="D5444" s="0" t="n">
        <v>0</v>
      </c>
      <c r="E5444" s="0" t="n">
        <f aca="false">VLOOKUP(B5444,'Babblefish-APUMA'!$A$1:$B$86,2)</f>
        <v>86</v>
      </c>
      <c r="F5444" s="0" t="n">
        <f aca="false">IF(C5444&gt;1,IF(C5444&lt;99,VLOOKUP(C5444,'Babblefish-APUMA'!$A$1:$B$86,2),C5444),C5444)</f>
        <v>89</v>
      </c>
    </row>
    <row r="5445" customFormat="false" ht="12.75" hidden="false" customHeight="false" outlineLevel="0" collapsed="false">
      <c r="A5445" s="0" t="n">
        <f aca="false">B5445*1000+C5445</f>
        <v>74079</v>
      </c>
      <c r="B5445" s="0" t="n">
        <v>74</v>
      </c>
      <c r="C5445" s="0" t="n">
        <v>79</v>
      </c>
      <c r="D5445" s="0" t="n">
        <v>0</v>
      </c>
      <c r="E5445" s="0" t="n">
        <f aca="false">VLOOKUP(B5445,'Babblefish-APUMA'!$A$1:$B$86,2)</f>
        <v>86</v>
      </c>
      <c r="F5445" s="0" t="n">
        <f aca="false">IF(C5445&gt;1,IF(C5445&lt;99,VLOOKUP(C5445,'Babblefish-APUMA'!$A$1:$B$86,2),C5445),C5445)</f>
        <v>89</v>
      </c>
    </row>
    <row r="5446" customFormat="false" ht="12.75" hidden="false" customHeight="false" outlineLevel="0" collapsed="false">
      <c r="A5446" s="0" t="n">
        <f aca="false">B5446*1000+C5446</f>
        <v>74080</v>
      </c>
      <c r="B5446" s="0" t="n">
        <v>74</v>
      </c>
      <c r="C5446" s="0" t="n">
        <v>80</v>
      </c>
      <c r="D5446" s="0" t="n">
        <v>0</v>
      </c>
      <c r="E5446" s="0" t="n">
        <f aca="false">VLOOKUP(B5446,'Babblefish-APUMA'!$A$1:$B$86,2)</f>
        <v>86</v>
      </c>
      <c r="F5446" s="0" t="n">
        <f aca="false">IF(C5446&gt;1,IF(C5446&lt;99,VLOOKUP(C5446,'Babblefish-APUMA'!$A$1:$B$86,2),C5446),C5446)</f>
        <v>80</v>
      </c>
    </row>
    <row r="5447" customFormat="false" ht="12.75" hidden="false" customHeight="false" outlineLevel="0" collapsed="false">
      <c r="A5447" s="0" t="n">
        <f aca="false">B5447*1000+C5447</f>
        <v>74081</v>
      </c>
      <c r="B5447" s="0" t="n">
        <v>74</v>
      </c>
      <c r="C5447" s="0" t="n">
        <v>81</v>
      </c>
      <c r="D5447" s="0" t="n">
        <v>0</v>
      </c>
      <c r="E5447" s="0" t="n">
        <f aca="false">VLOOKUP(B5447,'Babblefish-APUMA'!$A$1:$B$86,2)</f>
        <v>86</v>
      </c>
      <c r="F5447" s="0" t="n">
        <f aca="false">IF(C5447&gt;1,IF(C5447&lt;99,VLOOKUP(C5447,'Babblefish-APUMA'!$A$1:$B$86,2),C5447),C5447)</f>
        <v>93</v>
      </c>
    </row>
    <row r="5448" customFormat="false" ht="12.75" hidden="false" customHeight="false" outlineLevel="0" collapsed="false">
      <c r="A5448" s="0" t="n">
        <f aca="false">B5448*1000+C5448</f>
        <v>74082</v>
      </c>
      <c r="B5448" s="0" t="n">
        <v>74</v>
      </c>
      <c r="C5448" s="0" t="n">
        <v>82</v>
      </c>
      <c r="D5448" s="0" t="n">
        <v>0</v>
      </c>
      <c r="E5448" s="0" t="n">
        <f aca="false">VLOOKUP(B5448,'Babblefish-APUMA'!$A$1:$B$86,2)</f>
        <v>86</v>
      </c>
      <c r="F5448" s="0" t="n">
        <f aca="false">IF(C5448&gt;1,IF(C5448&lt;99,VLOOKUP(C5448,'Babblefish-APUMA'!$A$1:$B$86,2),C5448),C5448)</f>
        <v>95</v>
      </c>
    </row>
    <row r="5449" customFormat="false" ht="12.75" hidden="false" customHeight="false" outlineLevel="0" collapsed="false">
      <c r="A5449" s="0" t="n">
        <f aca="false">B5449*1000+C5449</f>
        <v>74083</v>
      </c>
      <c r="B5449" s="0" t="n">
        <v>74</v>
      </c>
      <c r="C5449" s="0" t="n">
        <v>83</v>
      </c>
      <c r="D5449" s="0" t="n">
        <v>0</v>
      </c>
      <c r="E5449" s="0" t="n">
        <f aca="false">VLOOKUP(B5449,'Babblefish-APUMA'!$A$1:$B$86,2)</f>
        <v>86</v>
      </c>
      <c r="F5449" s="0" t="n">
        <f aca="false">IF(C5449&gt;1,IF(C5449&lt;99,VLOOKUP(C5449,'Babblefish-APUMA'!$A$1:$B$86,2),C5449),C5449)</f>
        <v>103</v>
      </c>
    </row>
    <row r="5450" customFormat="false" ht="12.75" hidden="false" customHeight="false" outlineLevel="0" collapsed="false">
      <c r="A5450" s="0" t="n">
        <f aca="false">B5450*1000+C5450</f>
        <v>74084</v>
      </c>
      <c r="B5450" s="0" t="n">
        <v>74</v>
      </c>
      <c r="C5450" s="0" t="n">
        <v>84</v>
      </c>
      <c r="D5450" s="0" t="n">
        <v>0</v>
      </c>
      <c r="E5450" s="0" t="n">
        <f aca="false">VLOOKUP(B5450,'Babblefish-APUMA'!$A$1:$B$86,2)</f>
        <v>86</v>
      </c>
      <c r="F5450" s="0" t="n">
        <f aca="false">IF(C5450&gt;1,IF(C5450&lt;99,VLOOKUP(C5450,'Babblefish-APUMA'!$A$1:$B$86,2),C5450),C5450)</f>
        <v>92</v>
      </c>
    </row>
    <row r="5451" customFormat="false" ht="12.75" hidden="false" customHeight="false" outlineLevel="0" collapsed="false">
      <c r="A5451" s="0" t="n">
        <f aca="false">B5451*1000+C5451</f>
        <v>74085</v>
      </c>
      <c r="B5451" s="0" t="n">
        <v>74</v>
      </c>
      <c r="C5451" s="0" t="n">
        <v>85</v>
      </c>
      <c r="D5451" s="0" t="n">
        <v>130</v>
      </c>
      <c r="E5451" s="0" t="n">
        <f aca="false">VLOOKUP(B5451,'Babblefish-APUMA'!$A$1:$B$86,2)</f>
        <v>86</v>
      </c>
      <c r="F5451" s="0" t="n">
        <f aca="false">IF(C5451&gt;1,IF(C5451&lt;99,VLOOKUP(C5451,'Babblefish-APUMA'!$A$1:$B$86,2),C5451),C5451)</f>
        <v>97</v>
      </c>
    </row>
    <row r="5452" customFormat="false" ht="12.75" hidden="false" customHeight="false" outlineLevel="0" collapsed="false">
      <c r="A5452" s="0" t="n">
        <f aca="false">B5452*1000+C5452</f>
        <v>74858</v>
      </c>
      <c r="B5452" s="0" t="n">
        <v>74</v>
      </c>
      <c r="C5452" s="0" t="n">
        <v>858</v>
      </c>
      <c r="D5452" s="0" t="n">
        <v>0</v>
      </c>
      <c r="E5452" s="0" t="n">
        <f aca="false">VLOOKUP(B5452,'Babblefish-APUMA'!$A$1:$B$86,2)</f>
        <v>86</v>
      </c>
      <c r="F5452" s="0" t="n">
        <f aca="false">IF(C5452&gt;1,IF(C5452&lt;99,VLOOKUP(C5452,'Babblefish-APUMA'!$A$1:$B$86,2),C5452),C5452)</f>
        <v>858</v>
      </c>
    </row>
    <row r="5453" customFormat="false" ht="12.75" hidden="false" customHeight="false" outlineLevel="0" collapsed="false">
      <c r="A5453" s="0" t="n">
        <f aca="false">B5453*1000+C5453</f>
        <v>74983</v>
      </c>
      <c r="B5453" s="0" t="n">
        <v>74</v>
      </c>
      <c r="C5453" s="0" t="n">
        <v>983</v>
      </c>
      <c r="D5453" s="0" t="n">
        <v>0</v>
      </c>
      <c r="E5453" s="0" t="n">
        <f aca="false">VLOOKUP(B5453,'Babblefish-APUMA'!$A$1:$B$86,2)</f>
        <v>86</v>
      </c>
      <c r="F5453" s="0" t="n">
        <f aca="false">IF(C5453&gt;1,IF(C5453&lt;99,VLOOKUP(C5453,'Babblefish-APUMA'!$A$1:$B$86,2),C5453),C5453)</f>
        <v>983</v>
      </c>
    </row>
    <row r="5454" customFormat="false" ht="12.75" hidden="false" customHeight="false" outlineLevel="0" collapsed="false">
      <c r="A5454" s="0" t="n">
        <f aca="false">B5454*1000+C5454</f>
        <v>74999</v>
      </c>
      <c r="B5454" s="0" t="n">
        <v>74</v>
      </c>
      <c r="C5454" s="0" t="n">
        <v>999</v>
      </c>
      <c r="D5454" s="0" t="n">
        <v>0</v>
      </c>
      <c r="E5454" s="0" t="n">
        <f aca="false">VLOOKUP(B5454,'Babblefish-APUMA'!$A$1:$B$86,2)</f>
        <v>86</v>
      </c>
      <c r="F5454" s="0" t="n">
        <f aca="false">IF(C5454&gt;1,IF(C5454&lt;99,VLOOKUP(C5454,'Babblefish-APUMA'!$A$1:$B$86,2),C5454),C5454)</f>
        <v>999</v>
      </c>
    </row>
    <row r="5455" customFormat="false" ht="12.75" hidden="false" customHeight="false" outlineLevel="0" collapsed="false">
      <c r="A5455" s="0" t="n">
        <f aca="false">B5455*1000+C5455</f>
        <v>75000</v>
      </c>
      <c r="B5455" s="0" t="n">
        <v>75</v>
      </c>
      <c r="C5455" s="0" t="n">
        <v>0</v>
      </c>
      <c r="D5455" s="0" t="n">
        <v>192426</v>
      </c>
      <c r="E5455" s="0" t="n">
        <f aca="false">VLOOKUP(B5455,'Babblefish-APUMA'!$A$1:$B$86,2)</f>
        <v>75</v>
      </c>
      <c r="F5455" s="0" t="n">
        <f aca="false">IF(C5455&gt;1,IF(C5455&lt;99,VLOOKUP(C5455,'Babblefish-APUMA'!$A$1:$B$86,2),C5455),C5455)</f>
        <v>0</v>
      </c>
    </row>
    <row r="5456" customFormat="false" ht="12.75" hidden="false" customHeight="false" outlineLevel="0" collapsed="false">
      <c r="A5456" s="0" t="n">
        <f aca="false">B5456*1000+C5456</f>
        <v>75001</v>
      </c>
      <c r="B5456" s="0" t="n">
        <v>75</v>
      </c>
      <c r="C5456" s="0" t="n">
        <v>1</v>
      </c>
      <c r="D5456" s="0" t="n">
        <v>0</v>
      </c>
      <c r="E5456" s="0" t="n">
        <f aca="false">VLOOKUP(B5456,'Babblefish-APUMA'!$A$1:$B$86,2)</f>
        <v>75</v>
      </c>
      <c r="F5456" s="0" t="n">
        <f aca="false">IF(C5456&gt;1,IF(C5456&lt;99,VLOOKUP(C5456,'Babblefish-APUMA'!$A$1:$B$86,2),C5456),C5456)</f>
        <v>1</v>
      </c>
    </row>
    <row r="5457" customFormat="false" ht="12.75" hidden="false" customHeight="false" outlineLevel="0" collapsed="false">
      <c r="A5457" s="0" t="n">
        <f aca="false">B5457*1000+C5457</f>
        <v>75002</v>
      </c>
      <c r="B5457" s="0" t="n">
        <v>75</v>
      </c>
      <c r="C5457" s="0" t="n">
        <v>2</v>
      </c>
      <c r="D5457" s="0" t="n">
        <v>104</v>
      </c>
      <c r="E5457" s="0" t="n">
        <f aca="false">VLOOKUP(B5457,'Babblefish-APUMA'!$A$1:$B$86,2)</f>
        <v>75</v>
      </c>
      <c r="F5457" s="0" t="n">
        <f aca="false">IF(C5457&gt;1,IF(C5457&lt;99,VLOOKUP(C5457,'Babblefish-APUMA'!$A$1:$B$86,2),C5457),C5457)</f>
        <v>2</v>
      </c>
    </row>
    <row r="5458" customFormat="false" ht="12.75" hidden="false" customHeight="false" outlineLevel="0" collapsed="false">
      <c r="A5458" s="0" t="n">
        <f aca="false">B5458*1000+C5458</f>
        <v>75003</v>
      </c>
      <c r="B5458" s="0" t="n">
        <v>75</v>
      </c>
      <c r="C5458" s="0" t="n">
        <v>3</v>
      </c>
      <c r="D5458" s="0" t="n">
        <v>0</v>
      </c>
      <c r="E5458" s="0" t="n">
        <f aca="false">VLOOKUP(B5458,'Babblefish-APUMA'!$A$1:$B$86,2)</f>
        <v>75</v>
      </c>
      <c r="F5458" s="0" t="n">
        <f aca="false">IF(C5458&gt;1,IF(C5458&lt;99,VLOOKUP(C5458,'Babblefish-APUMA'!$A$1:$B$86,2),C5458),C5458)</f>
        <v>3</v>
      </c>
    </row>
    <row r="5459" customFormat="false" ht="12.75" hidden="false" customHeight="false" outlineLevel="0" collapsed="false">
      <c r="A5459" s="0" t="n">
        <f aca="false">B5459*1000+C5459</f>
        <v>75004</v>
      </c>
      <c r="B5459" s="0" t="n">
        <v>75</v>
      </c>
      <c r="C5459" s="0" t="n">
        <v>4</v>
      </c>
      <c r="D5459" s="0" t="n">
        <v>0</v>
      </c>
      <c r="E5459" s="0" t="n">
        <f aca="false">VLOOKUP(B5459,'Babblefish-APUMA'!$A$1:$B$86,2)</f>
        <v>75</v>
      </c>
      <c r="F5459" s="0" t="n">
        <f aca="false">IF(C5459&gt;1,IF(C5459&lt;99,VLOOKUP(C5459,'Babblefish-APUMA'!$A$1:$B$86,2),C5459),C5459)</f>
        <v>4</v>
      </c>
    </row>
    <row r="5460" customFormat="false" ht="12.75" hidden="false" customHeight="false" outlineLevel="0" collapsed="false">
      <c r="A5460" s="0" t="n">
        <f aca="false">B5460*1000+C5460</f>
        <v>75005</v>
      </c>
      <c r="B5460" s="0" t="n">
        <v>75</v>
      </c>
      <c r="C5460" s="0" t="n">
        <v>5</v>
      </c>
      <c r="D5460" s="0" t="n">
        <v>0</v>
      </c>
      <c r="E5460" s="0" t="n">
        <f aca="false">VLOOKUP(B5460,'Babblefish-APUMA'!$A$1:$B$86,2)</f>
        <v>75</v>
      </c>
      <c r="F5460" s="0" t="n">
        <f aca="false">IF(C5460&gt;1,IF(C5460&lt;99,VLOOKUP(C5460,'Babblefish-APUMA'!$A$1:$B$86,2),C5460),C5460)</f>
        <v>5</v>
      </c>
    </row>
    <row r="5461" customFormat="false" ht="12.75" hidden="false" customHeight="false" outlineLevel="0" collapsed="false">
      <c r="A5461" s="0" t="n">
        <f aca="false">B5461*1000+C5461</f>
        <v>75006</v>
      </c>
      <c r="B5461" s="0" t="n">
        <v>75</v>
      </c>
      <c r="C5461" s="0" t="n">
        <v>6</v>
      </c>
      <c r="D5461" s="0" t="n">
        <v>0</v>
      </c>
      <c r="E5461" s="0" t="n">
        <f aca="false">VLOOKUP(B5461,'Babblefish-APUMA'!$A$1:$B$86,2)</f>
        <v>75</v>
      </c>
      <c r="F5461" s="0" t="n">
        <f aca="false">IF(C5461&gt;1,IF(C5461&lt;99,VLOOKUP(C5461,'Babblefish-APUMA'!$A$1:$B$86,2),C5461),C5461)</f>
        <v>6</v>
      </c>
    </row>
    <row r="5462" customFormat="false" ht="12.75" hidden="false" customHeight="false" outlineLevel="0" collapsed="false">
      <c r="A5462" s="0" t="n">
        <f aca="false">B5462*1000+C5462</f>
        <v>75007</v>
      </c>
      <c r="B5462" s="0" t="n">
        <v>75</v>
      </c>
      <c r="C5462" s="0" t="n">
        <v>7</v>
      </c>
      <c r="D5462" s="0" t="n">
        <v>0</v>
      </c>
      <c r="E5462" s="0" t="n">
        <f aca="false">VLOOKUP(B5462,'Babblefish-APUMA'!$A$1:$B$86,2)</f>
        <v>75</v>
      </c>
      <c r="F5462" s="0" t="n">
        <f aca="false">IF(C5462&gt;1,IF(C5462&lt;99,VLOOKUP(C5462,'Babblefish-APUMA'!$A$1:$B$86,2),C5462),C5462)</f>
        <v>7</v>
      </c>
    </row>
    <row r="5463" customFormat="false" ht="12.75" hidden="false" customHeight="false" outlineLevel="0" collapsed="false">
      <c r="A5463" s="0" t="n">
        <f aca="false">B5463*1000+C5463</f>
        <v>75008</v>
      </c>
      <c r="B5463" s="0" t="n">
        <v>75</v>
      </c>
      <c r="C5463" s="0" t="n">
        <v>8</v>
      </c>
      <c r="D5463" s="0" t="n">
        <v>0</v>
      </c>
      <c r="E5463" s="0" t="n">
        <f aca="false">VLOOKUP(B5463,'Babblefish-APUMA'!$A$1:$B$86,2)</f>
        <v>75</v>
      </c>
      <c r="F5463" s="0" t="n">
        <f aca="false">IF(C5463&gt;1,IF(C5463&lt;99,VLOOKUP(C5463,'Babblefish-APUMA'!$A$1:$B$86,2),C5463),C5463)</f>
        <v>8</v>
      </c>
    </row>
    <row r="5464" customFormat="false" ht="12.75" hidden="false" customHeight="false" outlineLevel="0" collapsed="false">
      <c r="A5464" s="0" t="n">
        <f aca="false">B5464*1000+C5464</f>
        <v>75009</v>
      </c>
      <c r="B5464" s="0" t="n">
        <v>75</v>
      </c>
      <c r="C5464" s="0" t="n">
        <v>9</v>
      </c>
      <c r="D5464" s="0" t="n">
        <v>0</v>
      </c>
      <c r="E5464" s="0" t="n">
        <f aca="false">VLOOKUP(B5464,'Babblefish-APUMA'!$A$1:$B$86,2)</f>
        <v>75</v>
      </c>
      <c r="F5464" s="0" t="n">
        <f aca="false">IF(C5464&gt;1,IF(C5464&lt;99,VLOOKUP(C5464,'Babblefish-APUMA'!$A$1:$B$86,2),C5464),C5464)</f>
        <v>9</v>
      </c>
    </row>
    <row r="5465" customFormat="false" ht="12.75" hidden="false" customHeight="false" outlineLevel="0" collapsed="false">
      <c r="A5465" s="0" t="n">
        <f aca="false">B5465*1000+C5465</f>
        <v>75010</v>
      </c>
      <c r="B5465" s="0" t="n">
        <v>75</v>
      </c>
      <c r="C5465" s="0" t="n">
        <v>10</v>
      </c>
      <c r="D5465" s="0" t="n">
        <v>0</v>
      </c>
      <c r="E5465" s="0" t="n">
        <f aca="false">VLOOKUP(B5465,'Babblefish-APUMA'!$A$1:$B$86,2)</f>
        <v>75</v>
      </c>
      <c r="F5465" s="0" t="n">
        <f aca="false">IF(C5465&gt;1,IF(C5465&lt;99,VLOOKUP(C5465,'Babblefish-APUMA'!$A$1:$B$86,2),C5465),C5465)</f>
        <v>10</v>
      </c>
    </row>
    <row r="5466" customFormat="false" ht="12.75" hidden="false" customHeight="false" outlineLevel="0" collapsed="false">
      <c r="A5466" s="0" t="n">
        <f aca="false">B5466*1000+C5466</f>
        <v>75011</v>
      </c>
      <c r="B5466" s="0" t="n">
        <v>75</v>
      </c>
      <c r="C5466" s="0" t="n">
        <v>11</v>
      </c>
      <c r="D5466" s="0" t="n">
        <v>0</v>
      </c>
      <c r="E5466" s="0" t="n">
        <f aca="false">VLOOKUP(B5466,'Babblefish-APUMA'!$A$1:$B$86,2)</f>
        <v>75</v>
      </c>
      <c r="F5466" s="0" t="n">
        <f aca="false">IF(C5466&gt;1,IF(C5466&lt;99,VLOOKUP(C5466,'Babblefish-APUMA'!$A$1:$B$86,2),C5466),C5466)</f>
        <v>11</v>
      </c>
    </row>
    <row r="5467" customFormat="false" ht="12.75" hidden="false" customHeight="false" outlineLevel="0" collapsed="false">
      <c r="A5467" s="0" t="n">
        <f aca="false">B5467*1000+C5467</f>
        <v>75012</v>
      </c>
      <c r="B5467" s="0" t="n">
        <v>75</v>
      </c>
      <c r="C5467" s="0" t="n">
        <v>12</v>
      </c>
      <c r="D5467" s="0" t="n">
        <v>0</v>
      </c>
      <c r="E5467" s="0" t="n">
        <f aca="false">VLOOKUP(B5467,'Babblefish-APUMA'!$A$1:$B$86,2)</f>
        <v>75</v>
      </c>
      <c r="F5467" s="0" t="n">
        <f aca="false">IF(C5467&gt;1,IF(C5467&lt;99,VLOOKUP(C5467,'Babblefish-APUMA'!$A$1:$B$86,2),C5467),C5467)</f>
        <v>12</v>
      </c>
    </row>
    <row r="5468" customFormat="false" ht="12.75" hidden="false" customHeight="false" outlineLevel="0" collapsed="false">
      <c r="A5468" s="0" t="n">
        <f aca="false">B5468*1000+C5468</f>
        <v>75013</v>
      </c>
      <c r="B5468" s="0" t="n">
        <v>75</v>
      </c>
      <c r="C5468" s="0" t="n">
        <v>13</v>
      </c>
      <c r="D5468" s="0" t="n">
        <v>0</v>
      </c>
      <c r="E5468" s="0" t="n">
        <f aca="false">VLOOKUP(B5468,'Babblefish-APUMA'!$A$1:$B$86,2)</f>
        <v>75</v>
      </c>
      <c r="F5468" s="0" t="n">
        <f aca="false">IF(C5468&gt;1,IF(C5468&lt;99,VLOOKUP(C5468,'Babblefish-APUMA'!$A$1:$B$86,2),C5468),C5468)</f>
        <v>100</v>
      </c>
    </row>
    <row r="5469" customFormat="false" ht="12.75" hidden="false" customHeight="false" outlineLevel="0" collapsed="false">
      <c r="A5469" s="0" t="n">
        <f aca="false">B5469*1000+C5469</f>
        <v>75014</v>
      </c>
      <c r="B5469" s="0" t="n">
        <v>75</v>
      </c>
      <c r="C5469" s="0" t="n">
        <v>14</v>
      </c>
      <c r="D5469" s="0" t="n">
        <v>0</v>
      </c>
      <c r="E5469" s="0" t="n">
        <f aca="false">VLOOKUP(B5469,'Babblefish-APUMA'!$A$1:$B$86,2)</f>
        <v>75</v>
      </c>
      <c r="F5469" s="0" t="n">
        <f aca="false">IF(C5469&gt;1,IF(C5469&lt;99,VLOOKUP(C5469,'Babblefish-APUMA'!$A$1:$B$86,2),C5469),C5469)</f>
        <v>100</v>
      </c>
    </row>
    <row r="5470" customFormat="false" ht="12.75" hidden="false" customHeight="false" outlineLevel="0" collapsed="false">
      <c r="A5470" s="0" t="n">
        <f aca="false">B5470*1000+C5470</f>
        <v>75015</v>
      </c>
      <c r="B5470" s="0" t="n">
        <v>75</v>
      </c>
      <c r="C5470" s="0" t="n">
        <v>15</v>
      </c>
      <c r="D5470" s="0" t="n">
        <v>0</v>
      </c>
      <c r="E5470" s="0" t="n">
        <f aca="false">VLOOKUP(B5470,'Babblefish-APUMA'!$A$1:$B$86,2)</f>
        <v>75</v>
      </c>
      <c r="F5470" s="0" t="n">
        <f aca="false">IF(C5470&gt;1,IF(C5470&lt;99,VLOOKUP(C5470,'Babblefish-APUMA'!$A$1:$B$86,2),C5470),C5470)</f>
        <v>15</v>
      </c>
    </row>
    <row r="5471" customFormat="false" ht="12.75" hidden="false" customHeight="false" outlineLevel="0" collapsed="false">
      <c r="A5471" s="0" t="n">
        <f aca="false">B5471*1000+C5471</f>
        <v>75016</v>
      </c>
      <c r="B5471" s="0" t="n">
        <v>75</v>
      </c>
      <c r="C5471" s="0" t="n">
        <v>16</v>
      </c>
      <c r="D5471" s="0" t="n">
        <v>0</v>
      </c>
      <c r="E5471" s="0" t="n">
        <f aca="false">VLOOKUP(B5471,'Babblefish-APUMA'!$A$1:$B$86,2)</f>
        <v>75</v>
      </c>
      <c r="F5471" s="0" t="n">
        <f aca="false">IF(C5471&gt;1,IF(C5471&lt;99,VLOOKUP(C5471,'Babblefish-APUMA'!$A$1:$B$86,2),C5471),C5471)</f>
        <v>99</v>
      </c>
    </row>
    <row r="5472" customFormat="false" ht="12.75" hidden="false" customHeight="false" outlineLevel="0" collapsed="false">
      <c r="A5472" s="0" t="n">
        <f aca="false">B5472*1000+C5472</f>
        <v>75017</v>
      </c>
      <c r="B5472" s="0" t="n">
        <v>75</v>
      </c>
      <c r="C5472" s="0" t="n">
        <v>17</v>
      </c>
      <c r="D5472" s="0" t="n">
        <v>0</v>
      </c>
      <c r="E5472" s="0" t="n">
        <f aca="false">VLOOKUP(B5472,'Babblefish-APUMA'!$A$1:$B$86,2)</f>
        <v>75</v>
      </c>
      <c r="F5472" s="0" t="n">
        <f aca="false">IF(C5472&gt;1,IF(C5472&lt;99,VLOOKUP(C5472,'Babblefish-APUMA'!$A$1:$B$86,2),C5472),C5472)</f>
        <v>87</v>
      </c>
    </row>
    <row r="5473" customFormat="false" ht="12.75" hidden="false" customHeight="false" outlineLevel="0" collapsed="false">
      <c r="A5473" s="0" t="n">
        <f aca="false">B5473*1000+C5473</f>
        <v>75018</v>
      </c>
      <c r="B5473" s="0" t="n">
        <v>75</v>
      </c>
      <c r="C5473" s="0" t="n">
        <v>18</v>
      </c>
      <c r="D5473" s="0" t="n">
        <v>91</v>
      </c>
      <c r="E5473" s="0" t="n">
        <f aca="false">VLOOKUP(B5473,'Babblefish-APUMA'!$A$1:$B$86,2)</f>
        <v>75</v>
      </c>
      <c r="F5473" s="0" t="n">
        <f aca="false">IF(C5473&gt;1,IF(C5473&lt;99,VLOOKUP(C5473,'Babblefish-APUMA'!$A$1:$B$86,2),C5473),C5473)</f>
        <v>87</v>
      </c>
    </row>
    <row r="5474" customFormat="false" ht="12.75" hidden="false" customHeight="false" outlineLevel="0" collapsed="false">
      <c r="A5474" s="0" t="n">
        <f aca="false">B5474*1000+C5474</f>
        <v>75019</v>
      </c>
      <c r="B5474" s="0" t="n">
        <v>75</v>
      </c>
      <c r="C5474" s="0" t="n">
        <v>19</v>
      </c>
      <c r="D5474" s="0" t="n">
        <v>91</v>
      </c>
      <c r="E5474" s="0" t="n">
        <f aca="false">VLOOKUP(B5474,'Babblefish-APUMA'!$A$1:$B$86,2)</f>
        <v>75</v>
      </c>
      <c r="F5474" s="0" t="n">
        <f aca="false">IF(C5474&gt;1,IF(C5474&lt;99,VLOOKUP(C5474,'Babblefish-APUMA'!$A$1:$B$86,2),C5474),C5474)</f>
        <v>19</v>
      </c>
    </row>
    <row r="5475" customFormat="false" ht="12.75" hidden="false" customHeight="false" outlineLevel="0" collapsed="false">
      <c r="A5475" s="0" t="n">
        <f aca="false">B5475*1000+C5475</f>
        <v>75020</v>
      </c>
      <c r="B5475" s="0" t="n">
        <v>75</v>
      </c>
      <c r="C5475" s="0" t="n">
        <v>20</v>
      </c>
      <c r="D5475" s="0" t="n">
        <v>0</v>
      </c>
      <c r="E5475" s="0" t="n">
        <f aca="false">VLOOKUP(B5475,'Babblefish-APUMA'!$A$1:$B$86,2)</f>
        <v>75</v>
      </c>
      <c r="F5475" s="0" t="n">
        <f aca="false">IF(C5475&gt;1,IF(C5475&lt;99,VLOOKUP(C5475,'Babblefish-APUMA'!$A$1:$B$86,2),C5475),C5475)</f>
        <v>86</v>
      </c>
    </row>
    <row r="5476" customFormat="false" ht="12.75" hidden="false" customHeight="false" outlineLevel="0" collapsed="false">
      <c r="A5476" s="0" t="n">
        <f aca="false">B5476*1000+C5476</f>
        <v>75021</v>
      </c>
      <c r="B5476" s="0" t="n">
        <v>75</v>
      </c>
      <c r="C5476" s="0" t="n">
        <v>21</v>
      </c>
      <c r="D5476" s="0" t="n">
        <v>0</v>
      </c>
      <c r="E5476" s="0" t="n">
        <f aca="false">VLOOKUP(B5476,'Babblefish-APUMA'!$A$1:$B$86,2)</f>
        <v>75</v>
      </c>
      <c r="F5476" s="0" t="n">
        <f aca="false">IF(C5476&gt;1,IF(C5476&lt;99,VLOOKUP(C5476,'Babblefish-APUMA'!$A$1:$B$86,2),C5476),C5476)</f>
        <v>86</v>
      </c>
    </row>
    <row r="5477" customFormat="false" ht="12.75" hidden="false" customHeight="false" outlineLevel="0" collapsed="false">
      <c r="A5477" s="0" t="n">
        <f aca="false">B5477*1000+C5477</f>
        <v>75022</v>
      </c>
      <c r="B5477" s="0" t="n">
        <v>75</v>
      </c>
      <c r="C5477" s="0" t="n">
        <v>22</v>
      </c>
      <c r="D5477" s="0" t="n">
        <v>0</v>
      </c>
      <c r="E5477" s="0" t="n">
        <f aca="false">VLOOKUP(B5477,'Babblefish-APUMA'!$A$1:$B$86,2)</f>
        <v>75</v>
      </c>
      <c r="F5477" s="0" t="n">
        <f aca="false">IF(C5477&gt;1,IF(C5477&lt;99,VLOOKUP(C5477,'Babblefish-APUMA'!$A$1:$B$86,2),C5477),C5477)</f>
        <v>22</v>
      </c>
    </row>
    <row r="5478" customFormat="false" ht="12.75" hidden="false" customHeight="false" outlineLevel="0" collapsed="false">
      <c r="A5478" s="0" t="n">
        <f aca="false">B5478*1000+C5478</f>
        <v>75023</v>
      </c>
      <c r="B5478" s="0" t="n">
        <v>75</v>
      </c>
      <c r="C5478" s="0" t="n">
        <v>23</v>
      </c>
      <c r="D5478" s="0" t="n">
        <v>117</v>
      </c>
      <c r="E5478" s="0" t="n">
        <f aca="false">VLOOKUP(B5478,'Babblefish-APUMA'!$A$1:$B$86,2)</f>
        <v>75</v>
      </c>
      <c r="F5478" s="0" t="n">
        <f aca="false">IF(C5478&gt;1,IF(C5478&lt;99,VLOOKUP(C5478,'Babblefish-APUMA'!$A$1:$B$86,2),C5478),C5478)</f>
        <v>97</v>
      </c>
    </row>
    <row r="5479" customFormat="false" ht="12.75" hidden="false" customHeight="false" outlineLevel="0" collapsed="false">
      <c r="A5479" s="0" t="n">
        <f aca="false">B5479*1000+C5479</f>
        <v>75024</v>
      </c>
      <c r="B5479" s="0" t="n">
        <v>75</v>
      </c>
      <c r="C5479" s="0" t="n">
        <v>24</v>
      </c>
      <c r="D5479" s="0" t="n">
        <v>0</v>
      </c>
      <c r="E5479" s="0" t="n">
        <f aca="false">VLOOKUP(B5479,'Babblefish-APUMA'!$A$1:$B$86,2)</f>
        <v>75</v>
      </c>
      <c r="F5479" s="0" t="n">
        <f aca="false">IF(C5479&gt;1,IF(C5479&lt;99,VLOOKUP(C5479,'Babblefish-APUMA'!$A$1:$B$86,2),C5479),C5479)</f>
        <v>101</v>
      </c>
    </row>
    <row r="5480" customFormat="false" ht="12.75" hidden="false" customHeight="false" outlineLevel="0" collapsed="false">
      <c r="A5480" s="0" t="n">
        <f aca="false">B5480*1000+C5480</f>
        <v>75025</v>
      </c>
      <c r="B5480" s="0" t="n">
        <v>75</v>
      </c>
      <c r="C5480" s="0" t="n">
        <v>25</v>
      </c>
      <c r="D5480" s="0" t="n">
        <v>0</v>
      </c>
      <c r="E5480" s="0" t="n">
        <f aca="false">VLOOKUP(B5480,'Babblefish-APUMA'!$A$1:$B$86,2)</f>
        <v>75</v>
      </c>
      <c r="F5480" s="0" t="n">
        <f aca="false">IF(C5480&gt;1,IF(C5480&lt;99,VLOOKUP(C5480,'Babblefish-APUMA'!$A$1:$B$86,2),C5480),C5480)</f>
        <v>101</v>
      </c>
    </row>
    <row r="5481" customFormat="false" ht="12.75" hidden="false" customHeight="false" outlineLevel="0" collapsed="false">
      <c r="A5481" s="0" t="n">
        <f aca="false">B5481*1000+C5481</f>
        <v>75026</v>
      </c>
      <c r="B5481" s="0" t="n">
        <v>75</v>
      </c>
      <c r="C5481" s="0" t="n">
        <v>26</v>
      </c>
      <c r="D5481" s="0" t="n">
        <v>0</v>
      </c>
      <c r="E5481" s="0" t="n">
        <f aca="false">VLOOKUP(B5481,'Babblefish-APUMA'!$A$1:$B$86,2)</f>
        <v>75</v>
      </c>
      <c r="F5481" s="0" t="n">
        <f aca="false">IF(C5481&gt;1,IF(C5481&lt;99,VLOOKUP(C5481,'Babblefish-APUMA'!$A$1:$B$86,2),C5481),C5481)</f>
        <v>26</v>
      </c>
    </row>
    <row r="5482" customFormat="false" ht="12.75" hidden="false" customHeight="false" outlineLevel="0" collapsed="false">
      <c r="A5482" s="0" t="n">
        <f aca="false">B5482*1000+C5482</f>
        <v>75027</v>
      </c>
      <c r="B5482" s="0" t="n">
        <v>75</v>
      </c>
      <c r="C5482" s="0" t="n">
        <v>27</v>
      </c>
      <c r="D5482" s="0" t="n">
        <v>0</v>
      </c>
      <c r="E5482" s="0" t="n">
        <f aca="false">VLOOKUP(B5482,'Babblefish-APUMA'!$A$1:$B$86,2)</f>
        <v>75</v>
      </c>
      <c r="F5482" s="0" t="n">
        <f aca="false">IF(C5482&gt;1,IF(C5482&lt;99,VLOOKUP(C5482,'Babblefish-APUMA'!$A$1:$B$86,2),C5482),C5482)</f>
        <v>27</v>
      </c>
    </row>
    <row r="5483" customFormat="false" ht="12.75" hidden="false" customHeight="false" outlineLevel="0" collapsed="false">
      <c r="A5483" s="0" t="n">
        <f aca="false">B5483*1000+C5483</f>
        <v>75028</v>
      </c>
      <c r="B5483" s="0" t="n">
        <v>75</v>
      </c>
      <c r="C5483" s="0" t="n">
        <v>28</v>
      </c>
      <c r="D5483" s="0" t="n">
        <v>0</v>
      </c>
      <c r="E5483" s="0" t="n">
        <f aca="false">VLOOKUP(B5483,'Babblefish-APUMA'!$A$1:$B$86,2)</f>
        <v>75</v>
      </c>
      <c r="F5483" s="0" t="n">
        <f aca="false">IF(C5483&gt;1,IF(C5483&lt;99,VLOOKUP(C5483,'Babblefish-APUMA'!$A$1:$B$86,2),C5483),C5483)</f>
        <v>94</v>
      </c>
    </row>
    <row r="5484" customFormat="false" ht="12.75" hidden="false" customHeight="false" outlineLevel="0" collapsed="false">
      <c r="A5484" s="0" t="n">
        <f aca="false">B5484*1000+C5484</f>
        <v>75029</v>
      </c>
      <c r="B5484" s="0" t="n">
        <v>75</v>
      </c>
      <c r="C5484" s="0" t="n">
        <v>29</v>
      </c>
      <c r="D5484" s="0" t="n">
        <v>0</v>
      </c>
      <c r="E5484" s="0" t="n">
        <f aca="false">VLOOKUP(B5484,'Babblefish-APUMA'!$A$1:$B$86,2)</f>
        <v>75</v>
      </c>
      <c r="F5484" s="0" t="n">
        <f aca="false">IF(C5484&gt;1,IF(C5484&lt;99,VLOOKUP(C5484,'Babblefish-APUMA'!$A$1:$B$86,2),C5484),C5484)</f>
        <v>94</v>
      </c>
    </row>
    <row r="5485" customFormat="false" ht="12.75" hidden="false" customHeight="false" outlineLevel="0" collapsed="false">
      <c r="A5485" s="0" t="n">
        <f aca="false">B5485*1000+C5485</f>
        <v>75030</v>
      </c>
      <c r="B5485" s="0" t="n">
        <v>75</v>
      </c>
      <c r="C5485" s="0" t="n">
        <v>30</v>
      </c>
      <c r="D5485" s="0" t="n">
        <v>0</v>
      </c>
      <c r="E5485" s="0" t="n">
        <f aca="false">VLOOKUP(B5485,'Babblefish-APUMA'!$A$1:$B$86,2)</f>
        <v>75</v>
      </c>
      <c r="F5485" s="0" t="n">
        <f aca="false">IF(C5485&gt;1,IF(C5485&lt;99,VLOOKUP(C5485,'Babblefish-APUMA'!$A$1:$B$86,2),C5485),C5485)</f>
        <v>30</v>
      </c>
    </row>
    <row r="5486" customFormat="false" ht="12.75" hidden="false" customHeight="false" outlineLevel="0" collapsed="false">
      <c r="A5486" s="0" t="n">
        <f aca="false">B5486*1000+C5486</f>
        <v>75031</v>
      </c>
      <c r="B5486" s="0" t="n">
        <v>75</v>
      </c>
      <c r="C5486" s="0" t="n">
        <v>31</v>
      </c>
      <c r="D5486" s="0" t="n">
        <v>2210</v>
      </c>
      <c r="E5486" s="0" t="n">
        <f aca="false">VLOOKUP(B5486,'Babblefish-APUMA'!$A$1:$B$86,2)</f>
        <v>75</v>
      </c>
      <c r="F5486" s="0" t="n">
        <f aca="false">IF(C5486&gt;1,IF(C5486&lt;99,VLOOKUP(C5486,'Babblefish-APUMA'!$A$1:$B$86,2),C5486),C5486)</f>
        <v>31</v>
      </c>
    </row>
    <row r="5487" customFormat="false" ht="12.75" hidden="false" customHeight="false" outlineLevel="0" collapsed="false">
      <c r="A5487" s="0" t="n">
        <f aca="false">B5487*1000+C5487</f>
        <v>75032</v>
      </c>
      <c r="B5487" s="0" t="n">
        <v>75</v>
      </c>
      <c r="C5487" s="0" t="n">
        <v>32</v>
      </c>
      <c r="D5487" s="0" t="n">
        <v>0</v>
      </c>
      <c r="E5487" s="0" t="n">
        <f aca="false">VLOOKUP(B5487,'Babblefish-APUMA'!$A$1:$B$86,2)</f>
        <v>75</v>
      </c>
      <c r="F5487" s="0" t="n">
        <f aca="false">IF(C5487&gt;1,IF(C5487&lt;99,VLOOKUP(C5487,'Babblefish-APUMA'!$A$1:$B$86,2),C5487),C5487)</f>
        <v>32</v>
      </c>
    </row>
    <row r="5488" customFormat="false" ht="12.75" hidden="false" customHeight="false" outlineLevel="0" collapsed="false">
      <c r="A5488" s="0" t="n">
        <f aca="false">B5488*1000+C5488</f>
        <v>75033</v>
      </c>
      <c r="B5488" s="0" t="n">
        <v>75</v>
      </c>
      <c r="C5488" s="0" t="n">
        <v>33</v>
      </c>
      <c r="D5488" s="0" t="n">
        <v>0</v>
      </c>
      <c r="E5488" s="0" t="n">
        <f aca="false">VLOOKUP(B5488,'Babblefish-APUMA'!$A$1:$B$86,2)</f>
        <v>75</v>
      </c>
      <c r="F5488" s="0" t="n">
        <f aca="false">IF(C5488&gt;1,IF(C5488&lt;99,VLOOKUP(C5488,'Babblefish-APUMA'!$A$1:$B$86,2),C5488),C5488)</f>
        <v>96</v>
      </c>
    </row>
    <row r="5489" customFormat="false" ht="12.75" hidden="false" customHeight="false" outlineLevel="0" collapsed="false">
      <c r="A5489" s="0" t="n">
        <f aca="false">B5489*1000+C5489</f>
        <v>75034</v>
      </c>
      <c r="B5489" s="0" t="n">
        <v>75</v>
      </c>
      <c r="C5489" s="0" t="n">
        <v>34</v>
      </c>
      <c r="D5489" s="0" t="n">
        <v>0</v>
      </c>
      <c r="E5489" s="0" t="n">
        <f aca="false">VLOOKUP(B5489,'Babblefish-APUMA'!$A$1:$B$86,2)</f>
        <v>75</v>
      </c>
      <c r="F5489" s="0" t="n">
        <f aca="false">IF(C5489&gt;1,IF(C5489&lt;99,VLOOKUP(C5489,'Babblefish-APUMA'!$A$1:$B$86,2),C5489),C5489)</f>
        <v>96</v>
      </c>
    </row>
    <row r="5490" customFormat="false" ht="12.75" hidden="false" customHeight="false" outlineLevel="0" collapsed="false">
      <c r="A5490" s="0" t="n">
        <f aca="false">B5490*1000+C5490</f>
        <v>75035</v>
      </c>
      <c r="B5490" s="0" t="n">
        <v>75</v>
      </c>
      <c r="C5490" s="0" t="n">
        <v>35</v>
      </c>
      <c r="D5490" s="0" t="n">
        <v>0</v>
      </c>
      <c r="E5490" s="0" t="n">
        <f aca="false">VLOOKUP(B5490,'Babblefish-APUMA'!$A$1:$B$86,2)</f>
        <v>75</v>
      </c>
      <c r="F5490" s="0" t="n">
        <f aca="false">IF(C5490&gt;1,IF(C5490&lt;99,VLOOKUP(C5490,'Babblefish-APUMA'!$A$1:$B$86,2),C5490),C5490)</f>
        <v>96</v>
      </c>
    </row>
    <row r="5491" customFormat="false" ht="12.75" hidden="false" customHeight="false" outlineLevel="0" collapsed="false">
      <c r="A5491" s="0" t="n">
        <f aca="false">B5491*1000+C5491</f>
        <v>75036</v>
      </c>
      <c r="B5491" s="0" t="n">
        <v>75</v>
      </c>
      <c r="C5491" s="0" t="n">
        <v>36</v>
      </c>
      <c r="D5491" s="0" t="n">
        <v>0</v>
      </c>
      <c r="E5491" s="0" t="n">
        <f aca="false">VLOOKUP(B5491,'Babblefish-APUMA'!$A$1:$B$86,2)</f>
        <v>75</v>
      </c>
      <c r="F5491" s="0" t="n">
        <f aca="false">IF(C5491&gt;1,IF(C5491&lt;99,VLOOKUP(C5491,'Babblefish-APUMA'!$A$1:$B$86,2),C5491),C5491)</f>
        <v>96</v>
      </c>
    </row>
    <row r="5492" customFormat="false" ht="12.75" hidden="false" customHeight="false" outlineLevel="0" collapsed="false">
      <c r="A5492" s="0" t="n">
        <f aca="false">B5492*1000+C5492</f>
        <v>75037</v>
      </c>
      <c r="B5492" s="0" t="n">
        <v>75</v>
      </c>
      <c r="C5492" s="0" t="n">
        <v>37</v>
      </c>
      <c r="D5492" s="0" t="n">
        <v>0</v>
      </c>
      <c r="E5492" s="0" t="n">
        <f aca="false">VLOOKUP(B5492,'Babblefish-APUMA'!$A$1:$B$86,2)</f>
        <v>75</v>
      </c>
      <c r="F5492" s="0" t="n">
        <f aca="false">IF(C5492&gt;1,IF(C5492&lt;99,VLOOKUP(C5492,'Babblefish-APUMA'!$A$1:$B$86,2),C5492),C5492)</f>
        <v>96</v>
      </c>
    </row>
    <row r="5493" customFormat="false" ht="12.75" hidden="false" customHeight="false" outlineLevel="0" collapsed="false">
      <c r="A5493" s="0" t="n">
        <f aca="false">B5493*1000+C5493</f>
        <v>75038</v>
      </c>
      <c r="B5493" s="0" t="n">
        <v>75</v>
      </c>
      <c r="C5493" s="0" t="n">
        <v>38</v>
      </c>
      <c r="D5493" s="0" t="n">
        <v>65</v>
      </c>
      <c r="E5493" s="0" t="n">
        <f aca="false">VLOOKUP(B5493,'Babblefish-APUMA'!$A$1:$B$86,2)</f>
        <v>75</v>
      </c>
      <c r="F5493" s="0" t="n">
        <f aca="false">IF(C5493&gt;1,IF(C5493&lt;99,VLOOKUP(C5493,'Babblefish-APUMA'!$A$1:$B$86,2),C5493),C5493)</f>
        <v>91</v>
      </c>
    </row>
    <row r="5494" customFormat="false" ht="12.75" hidden="false" customHeight="false" outlineLevel="0" collapsed="false">
      <c r="A5494" s="0" t="n">
        <f aca="false">B5494*1000+C5494</f>
        <v>75039</v>
      </c>
      <c r="B5494" s="0" t="n">
        <v>75</v>
      </c>
      <c r="C5494" s="0" t="n">
        <v>39</v>
      </c>
      <c r="D5494" s="0" t="n">
        <v>0</v>
      </c>
      <c r="E5494" s="0" t="n">
        <f aca="false">VLOOKUP(B5494,'Babblefish-APUMA'!$A$1:$B$86,2)</f>
        <v>75</v>
      </c>
      <c r="F5494" s="0" t="n">
        <f aca="false">IF(C5494&gt;1,IF(C5494&lt;99,VLOOKUP(C5494,'Babblefish-APUMA'!$A$1:$B$86,2),C5494),C5494)</f>
        <v>91</v>
      </c>
    </row>
    <row r="5495" customFormat="false" ht="12.75" hidden="false" customHeight="false" outlineLevel="0" collapsed="false">
      <c r="A5495" s="0" t="n">
        <f aca="false">B5495*1000+C5495</f>
        <v>75040</v>
      </c>
      <c r="B5495" s="0" t="n">
        <v>75</v>
      </c>
      <c r="C5495" s="0" t="n">
        <v>40</v>
      </c>
      <c r="D5495" s="0" t="n">
        <v>1300</v>
      </c>
      <c r="E5495" s="0" t="n">
        <f aca="false">VLOOKUP(B5495,'Babblefish-APUMA'!$A$1:$B$86,2)</f>
        <v>75</v>
      </c>
      <c r="F5495" s="0" t="n">
        <f aca="false">IF(C5495&gt;1,IF(C5495&lt;99,VLOOKUP(C5495,'Babblefish-APUMA'!$A$1:$B$86,2),C5495),C5495)</f>
        <v>88</v>
      </c>
    </row>
    <row r="5496" customFormat="false" ht="12.75" hidden="false" customHeight="false" outlineLevel="0" collapsed="false">
      <c r="A5496" s="0" t="n">
        <f aca="false">B5496*1000+C5496</f>
        <v>75041</v>
      </c>
      <c r="B5496" s="0" t="n">
        <v>75</v>
      </c>
      <c r="C5496" s="0" t="n">
        <v>41</v>
      </c>
      <c r="D5496" s="0" t="n">
        <v>4329</v>
      </c>
      <c r="E5496" s="0" t="n">
        <f aca="false">VLOOKUP(B5496,'Babblefish-APUMA'!$A$1:$B$86,2)</f>
        <v>75</v>
      </c>
      <c r="F5496" s="0" t="n">
        <f aca="false">IF(C5496&gt;1,IF(C5496&lt;99,VLOOKUP(C5496,'Babblefish-APUMA'!$A$1:$B$86,2),C5496),C5496)</f>
        <v>88</v>
      </c>
    </row>
    <row r="5497" customFormat="false" ht="12.75" hidden="false" customHeight="false" outlineLevel="0" collapsed="false">
      <c r="A5497" s="0" t="n">
        <f aca="false">B5497*1000+C5497</f>
        <v>75042</v>
      </c>
      <c r="B5497" s="0" t="n">
        <v>75</v>
      </c>
      <c r="C5497" s="0" t="n">
        <v>42</v>
      </c>
      <c r="D5497" s="0" t="n">
        <v>0</v>
      </c>
      <c r="E5497" s="0" t="n">
        <f aca="false">VLOOKUP(B5497,'Babblefish-APUMA'!$A$1:$B$86,2)</f>
        <v>75</v>
      </c>
      <c r="F5497" s="0" t="n">
        <f aca="false">IF(C5497&gt;1,IF(C5497&lt;99,VLOOKUP(C5497,'Babblefish-APUMA'!$A$1:$B$86,2),C5497),C5497)</f>
        <v>92</v>
      </c>
    </row>
    <row r="5498" customFormat="false" ht="12.75" hidden="false" customHeight="false" outlineLevel="0" collapsed="false">
      <c r="A5498" s="0" t="n">
        <f aca="false">B5498*1000+C5498</f>
        <v>75043</v>
      </c>
      <c r="B5498" s="0" t="n">
        <v>75</v>
      </c>
      <c r="C5498" s="0" t="n">
        <v>43</v>
      </c>
      <c r="D5498" s="0" t="n">
        <v>130</v>
      </c>
      <c r="E5498" s="0" t="n">
        <f aca="false">VLOOKUP(B5498,'Babblefish-APUMA'!$A$1:$B$86,2)</f>
        <v>75</v>
      </c>
      <c r="F5498" s="0" t="n">
        <f aca="false">IF(C5498&gt;1,IF(C5498&lt;99,VLOOKUP(C5498,'Babblefish-APUMA'!$A$1:$B$86,2),C5498),C5498)</f>
        <v>92</v>
      </c>
    </row>
    <row r="5499" customFormat="false" ht="12.75" hidden="false" customHeight="false" outlineLevel="0" collapsed="false">
      <c r="A5499" s="0" t="n">
        <f aca="false">B5499*1000+C5499</f>
        <v>75044</v>
      </c>
      <c r="B5499" s="0" t="n">
        <v>75</v>
      </c>
      <c r="C5499" s="0" t="n">
        <v>44</v>
      </c>
      <c r="D5499" s="0" t="n">
        <v>0</v>
      </c>
      <c r="E5499" s="0" t="n">
        <f aca="false">VLOOKUP(B5499,'Babblefish-APUMA'!$A$1:$B$86,2)</f>
        <v>75</v>
      </c>
      <c r="F5499" s="0" t="n">
        <f aca="false">IF(C5499&gt;1,IF(C5499&lt;99,VLOOKUP(C5499,'Babblefish-APUMA'!$A$1:$B$86,2),C5499),C5499)</f>
        <v>92</v>
      </c>
    </row>
    <row r="5500" customFormat="false" ht="12.75" hidden="false" customHeight="false" outlineLevel="0" collapsed="false">
      <c r="A5500" s="0" t="n">
        <f aca="false">B5500*1000+C5500</f>
        <v>75045</v>
      </c>
      <c r="B5500" s="0" t="n">
        <v>75</v>
      </c>
      <c r="C5500" s="0" t="n">
        <v>45</v>
      </c>
      <c r="D5500" s="0" t="n">
        <v>0</v>
      </c>
      <c r="E5500" s="0" t="n">
        <f aca="false">VLOOKUP(B5500,'Babblefish-APUMA'!$A$1:$B$86,2)</f>
        <v>75</v>
      </c>
      <c r="F5500" s="0" t="n">
        <f aca="false">IF(C5500&gt;1,IF(C5500&lt;99,VLOOKUP(C5500,'Babblefish-APUMA'!$A$1:$B$86,2),C5500),C5500)</f>
        <v>92</v>
      </c>
    </row>
    <row r="5501" customFormat="false" ht="12.75" hidden="false" customHeight="false" outlineLevel="0" collapsed="false">
      <c r="A5501" s="0" t="n">
        <f aca="false">B5501*1000+C5501</f>
        <v>75046</v>
      </c>
      <c r="B5501" s="0" t="n">
        <v>75</v>
      </c>
      <c r="C5501" s="0" t="n">
        <v>46</v>
      </c>
      <c r="D5501" s="0" t="n">
        <v>0</v>
      </c>
      <c r="E5501" s="0" t="n">
        <f aca="false">VLOOKUP(B5501,'Babblefish-APUMA'!$A$1:$B$86,2)</f>
        <v>75</v>
      </c>
      <c r="F5501" s="0" t="n">
        <f aca="false">IF(C5501&gt;1,IF(C5501&lt;99,VLOOKUP(C5501,'Babblefish-APUMA'!$A$1:$B$86,2),C5501),C5501)</f>
        <v>92</v>
      </c>
    </row>
    <row r="5502" customFormat="false" ht="12.75" hidden="false" customHeight="false" outlineLevel="0" collapsed="false">
      <c r="A5502" s="0" t="n">
        <f aca="false">B5502*1000+C5502</f>
        <v>75047</v>
      </c>
      <c r="B5502" s="0" t="n">
        <v>75</v>
      </c>
      <c r="C5502" s="0" t="n">
        <v>47</v>
      </c>
      <c r="D5502" s="0" t="n">
        <v>0</v>
      </c>
      <c r="E5502" s="0" t="n">
        <f aca="false">VLOOKUP(B5502,'Babblefish-APUMA'!$A$1:$B$86,2)</f>
        <v>75</v>
      </c>
      <c r="F5502" s="0" t="n">
        <f aca="false">IF(C5502&gt;1,IF(C5502&lt;99,VLOOKUP(C5502,'Babblefish-APUMA'!$A$1:$B$86,2),C5502),C5502)</f>
        <v>92</v>
      </c>
    </row>
    <row r="5503" customFormat="false" ht="12.75" hidden="false" customHeight="false" outlineLevel="0" collapsed="false">
      <c r="A5503" s="0" t="n">
        <f aca="false">B5503*1000+C5503</f>
        <v>75048</v>
      </c>
      <c r="B5503" s="0" t="n">
        <v>75</v>
      </c>
      <c r="C5503" s="0" t="n">
        <v>48</v>
      </c>
      <c r="D5503" s="0" t="n">
        <v>0</v>
      </c>
      <c r="E5503" s="0" t="n">
        <f aca="false">VLOOKUP(B5503,'Babblefish-APUMA'!$A$1:$B$86,2)</f>
        <v>75</v>
      </c>
      <c r="F5503" s="0" t="n">
        <f aca="false">IF(C5503&gt;1,IF(C5503&lt;99,VLOOKUP(C5503,'Babblefish-APUMA'!$A$1:$B$86,2),C5503),C5503)</f>
        <v>92</v>
      </c>
    </row>
    <row r="5504" customFormat="false" ht="12.75" hidden="false" customHeight="false" outlineLevel="0" collapsed="false">
      <c r="A5504" s="0" t="n">
        <f aca="false">B5504*1000+C5504</f>
        <v>75049</v>
      </c>
      <c r="B5504" s="0" t="n">
        <v>75</v>
      </c>
      <c r="C5504" s="0" t="n">
        <v>49</v>
      </c>
      <c r="D5504" s="0" t="n">
        <v>91</v>
      </c>
      <c r="E5504" s="0" t="n">
        <f aca="false">VLOOKUP(B5504,'Babblefish-APUMA'!$A$1:$B$86,2)</f>
        <v>75</v>
      </c>
      <c r="F5504" s="0" t="n">
        <f aca="false">IF(C5504&gt;1,IF(C5504&lt;99,VLOOKUP(C5504,'Babblefish-APUMA'!$A$1:$B$86,2),C5504),C5504)</f>
        <v>98</v>
      </c>
    </row>
    <row r="5505" customFormat="false" ht="12.75" hidden="false" customHeight="false" outlineLevel="0" collapsed="false">
      <c r="A5505" s="0" t="n">
        <f aca="false">B5505*1000+C5505</f>
        <v>75050</v>
      </c>
      <c r="B5505" s="0" t="n">
        <v>75</v>
      </c>
      <c r="C5505" s="0" t="n">
        <v>50</v>
      </c>
      <c r="D5505" s="0" t="n">
        <v>0</v>
      </c>
      <c r="E5505" s="0" t="n">
        <f aca="false">VLOOKUP(B5505,'Babblefish-APUMA'!$A$1:$B$86,2)</f>
        <v>75</v>
      </c>
      <c r="F5505" s="0" t="n">
        <f aca="false">IF(C5505&gt;1,IF(C5505&lt;99,VLOOKUP(C5505,'Babblefish-APUMA'!$A$1:$B$86,2),C5505),C5505)</f>
        <v>98</v>
      </c>
    </row>
    <row r="5506" customFormat="false" ht="12.75" hidden="false" customHeight="false" outlineLevel="0" collapsed="false">
      <c r="A5506" s="0" t="n">
        <f aca="false">B5506*1000+C5506</f>
        <v>75051</v>
      </c>
      <c r="B5506" s="0" t="n">
        <v>75</v>
      </c>
      <c r="C5506" s="0" t="n">
        <v>51</v>
      </c>
      <c r="D5506" s="0" t="n">
        <v>0</v>
      </c>
      <c r="E5506" s="0" t="n">
        <f aca="false">VLOOKUP(B5506,'Babblefish-APUMA'!$A$1:$B$86,2)</f>
        <v>75</v>
      </c>
      <c r="F5506" s="0" t="n">
        <f aca="false">IF(C5506&gt;1,IF(C5506&lt;99,VLOOKUP(C5506,'Babblefish-APUMA'!$A$1:$B$86,2),C5506),C5506)</f>
        <v>98</v>
      </c>
    </row>
    <row r="5507" customFormat="false" ht="12.75" hidden="false" customHeight="false" outlineLevel="0" collapsed="false">
      <c r="A5507" s="0" t="n">
        <f aca="false">B5507*1000+C5507</f>
        <v>75052</v>
      </c>
      <c r="B5507" s="0" t="n">
        <v>75</v>
      </c>
      <c r="C5507" s="0" t="n">
        <v>52</v>
      </c>
      <c r="D5507" s="0" t="n">
        <v>0</v>
      </c>
      <c r="E5507" s="0" t="n">
        <f aca="false">VLOOKUP(B5507,'Babblefish-APUMA'!$A$1:$B$86,2)</f>
        <v>75</v>
      </c>
      <c r="F5507" s="0" t="n">
        <f aca="false">IF(C5507&gt;1,IF(C5507&lt;99,VLOOKUP(C5507,'Babblefish-APUMA'!$A$1:$B$86,2),C5507),C5507)</f>
        <v>90</v>
      </c>
    </row>
    <row r="5508" customFormat="false" ht="12.75" hidden="false" customHeight="false" outlineLevel="0" collapsed="false">
      <c r="A5508" s="0" t="n">
        <f aca="false">B5508*1000+C5508</f>
        <v>75053</v>
      </c>
      <c r="B5508" s="0" t="n">
        <v>75</v>
      </c>
      <c r="C5508" s="0" t="n">
        <v>53</v>
      </c>
      <c r="D5508" s="0" t="n">
        <v>0</v>
      </c>
      <c r="E5508" s="0" t="n">
        <f aca="false">VLOOKUP(B5508,'Babblefish-APUMA'!$A$1:$B$86,2)</f>
        <v>75</v>
      </c>
      <c r="F5508" s="0" t="n">
        <f aca="false">IF(C5508&gt;1,IF(C5508&lt;99,VLOOKUP(C5508,'Babblefish-APUMA'!$A$1:$B$86,2),C5508),C5508)</f>
        <v>90</v>
      </c>
    </row>
    <row r="5509" customFormat="false" ht="12.75" hidden="false" customHeight="false" outlineLevel="0" collapsed="false">
      <c r="A5509" s="0" t="n">
        <f aca="false">B5509*1000+C5509</f>
        <v>75054</v>
      </c>
      <c r="B5509" s="0" t="n">
        <v>75</v>
      </c>
      <c r="C5509" s="0" t="n">
        <v>54</v>
      </c>
      <c r="D5509" s="0" t="n">
        <v>0</v>
      </c>
      <c r="E5509" s="0" t="n">
        <f aca="false">VLOOKUP(B5509,'Babblefish-APUMA'!$A$1:$B$86,2)</f>
        <v>75</v>
      </c>
      <c r="F5509" s="0" t="n">
        <f aca="false">IF(C5509&gt;1,IF(C5509&lt;99,VLOOKUP(C5509,'Babblefish-APUMA'!$A$1:$B$86,2),C5509),C5509)</f>
        <v>90</v>
      </c>
    </row>
    <row r="5510" customFormat="false" ht="12.75" hidden="false" customHeight="false" outlineLevel="0" collapsed="false">
      <c r="A5510" s="0" t="n">
        <f aca="false">B5510*1000+C5510</f>
        <v>75055</v>
      </c>
      <c r="B5510" s="0" t="n">
        <v>75</v>
      </c>
      <c r="C5510" s="0" t="n">
        <v>55</v>
      </c>
      <c r="D5510" s="0" t="n">
        <v>0</v>
      </c>
      <c r="E5510" s="0" t="n">
        <f aca="false">VLOOKUP(B5510,'Babblefish-APUMA'!$A$1:$B$86,2)</f>
        <v>75</v>
      </c>
      <c r="F5510" s="0" t="n">
        <f aca="false">IF(C5510&gt;1,IF(C5510&lt;99,VLOOKUP(C5510,'Babblefish-APUMA'!$A$1:$B$86,2),C5510),C5510)</f>
        <v>90</v>
      </c>
    </row>
    <row r="5511" customFormat="false" ht="12.75" hidden="false" customHeight="false" outlineLevel="0" collapsed="false">
      <c r="A5511" s="0" t="n">
        <f aca="false">B5511*1000+C5511</f>
        <v>75056</v>
      </c>
      <c r="B5511" s="0" t="n">
        <v>75</v>
      </c>
      <c r="C5511" s="0" t="n">
        <v>56</v>
      </c>
      <c r="D5511" s="0" t="n">
        <v>0</v>
      </c>
      <c r="E5511" s="0" t="n">
        <f aca="false">VLOOKUP(B5511,'Babblefish-APUMA'!$A$1:$B$86,2)</f>
        <v>75</v>
      </c>
      <c r="F5511" s="0" t="n">
        <f aca="false">IF(C5511&gt;1,IF(C5511&lt;99,VLOOKUP(C5511,'Babblefish-APUMA'!$A$1:$B$86,2),C5511),C5511)</f>
        <v>90</v>
      </c>
    </row>
    <row r="5512" customFormat="false" ht="12.75" hidden="false" customHeight="false" outlineLevel="0" collapsed="false">
      <c r="A5512" s="0" t="n">
        <f aca="false">B5512*1000+C5512</f>
        <v>75057</v>
      </c>
      <c r="B5512" s="0" t="n">
        <v>75</v>
      </c>
      <c r="C5512" s="0" t="n">
        <v>57</v>
      </c>
      <c r="D5512" s="0" t="n">
        <v>0</v>
      </c>
      <c r="E5512" s="0" t="n">
        <f aca="false">VLOOKUP(B5512,'Babblefish-APUMA'!$A$1:$B$86,2)</f>
        <v>75</v>
      </c>
      <c r="F5512" s="0" t="n">
        <f aca="false">IF(C5512&gt;1,IF(C5512&lt;99,VLOOKUP(C5512,'Babblefish-APUMA'!$A$1:$B$86,2),C5512),C5512)</f>
        <v>90</v>
      </c>
    </row>
    <row r="5513" customFormat="false" ht="12.75" hidden="false" customHeight="false" outlineLevel="0" collapsed="false">
      <c r="A5513" s="0" t="n">
        <f aca="false">B5513*1000+C5513</f>
        <v>75058</v>
      </c>
      <c r="B5513" s="0" t="n">
        <v>75</v>
      </c>
      <c r="C5513" s="0" t="n">
        <v>58</v>
      </c>
      <c r="D5513" s="0" t="n">
        <v>0</v>
      </c>
      <c r="E5513" s="0" t="n">
        <f aca="false">VLOOKUP(B5513,'Babblefish-APUMA'!$A$1:$B$86,2)</f>
        <v>75</v>
      </c>
      <c r="F5513" s="0" t="n">
        <f aca="false">IF(C5513&gt;1,IF(C5513&lt;99,VLOOKUP(C5513,'Babblefish-APUMA'!$A$1:$B$86,2),C5513),C5513)</f>
        <v>90</v>
      </c>
    </row>
    <row r="5514" customFormat="false" ht="12.75" hidden="false" customHeight="false" outlineLevel="0" collapsed="false">
      <c r="A5514" s="0" t="n">
        <f aca="false">B5514*1000+C5514</f>
        <v>75059</v>
      </c>
      <c r="B5514" s="0" t="n">
        <v>75</v>
      </c>
      <c r="C5514" s="0" t="n">
        <v>59</v>
      </c>
      <c r="D5514" s="0" t="n">
        <v>0</v>
      </c>
      <c r="E5514" s="0" t="n">
        <f aca="false">VLOOKUP(B5514,'Babblefish-APUMA'!$A$1:$B$86,2)</f>
        <v>75</v>
      </c>
      <c r="F5514" s="0" t="n">
        <f aca="false">IF(C5514&gt;1,IF(C5514&lt;99,VLOOKUP(C5514,'Babblefish-APUMA'!$A$1:$B$86,2),C5514),C5514)</f>
        <v>90</v>
      </c>
    </row>
    <row r="5515" customFormat="false" ht="12.75" hidden="false" customHeight="false" outlineLevel="0" collapsed="false">
      <c r="A5515" s="0" t="n">
        <f aca="false">B5515*1000+C5515</f>
        <v>75060</v>
      </c>
      <c r="B5515" s="0" t="n">
        <v>75</v>
      </c>
      <c r="C5515" s="0" t="n">
        <v>60</v>
      </c>
      <c r="D5515" s="0" t="n">
        <v>0</v>
      </c>
      <c r="E5515" s="0" t="n">
        <f aca="false">VLOOKUP(B5515,'Babblefish-APUMA'!$A$1:$B$86,2)</f>
        <v>75</v>
      </c>
      <c r="F5515" s="0" t="n">
        <f aca="false">IF(C5515&gt;1,IF(C5515&lt;99,VLOOKUP(C5515,'Babblefish-APUMA'!$A$1:$B$86,2),C5515),C5515)</f>
        <v>90</v>
      </c>
    </row>
    <row r="5516" customFormat="false" ht="12.75" hidden="false" customHeight="false" outlineLevel="0" collapsed="false">
      <c r="A5516" s="0" t="n">
        <f aca="false">B5516*1000+C5516</f>
        <v>75061</v>
      </c>
      <c r="B5516" s="0" t="n">
        <v>75</v>
      </c>
      <c r="C5516" s="0" t="n">
        <v>61</v>
      </c>
      <c r="D5516" s="0" t="n">
        <v>0</v>
      </c>
      <c r="E5516" s="0" t="n">
        <f aca="false">VLOOKUP(B5516,'Babblefish-APUMA'!$A$1:$B$86,2)</f>
        <v>75</v>
      </c>
      <c r="F5516" s="0" t="n">
        <f aca="false">IF(C5516&gt;1,IF(C5516&lt;99,VLOOKUP(C5516,'Babblefish-APUMA'!$A$1:$B$86,2),C5516),C5516)</f>
        <v>90</v>
      </c>
    </row>
    <row r="5517" customFormat="false" ht="12.75" hidden="false" customHeight="false" outlineLevel="0" collapsed="false">
      <c r="A5517" s="0" t="n">
        <f aca="false">B5517*1000+C5517</f>
        <v>75062</v>
      </c>
      <c r="B5517" s="0" t="n">
        <v>75</v>
      </c>
      <c r="C5517" s="0" t="n">
        <v>62</v>
      </c>
      <c r="D5517" s="0" t="n">
        <v>0</v>
      </c>
      <c r="E5517" s="0" t="n">
        <f aca="false">VLOOKUP(B5517,'Babblefish-APUMA'!$A$1:$B$86,2)</f>
        <v>75</v>
      </c>
      <c r="F5517" s="0" t="n">
        <f aca="false">IF(C5517&gt;1,IF(C5517&lt;99,VLOOKUP(C5517,'Babblefish-APUMA'!$A$1:$B$86,2),C5517),C5517)</f>
        <v>90</v>
      </c>
    </row>
    <row r="5518" customFormat="false" ht="12.75" hidden="false" customHeight="false" outlineLevel="0" collapsed="false">
      <c r="A5518" s="0" t="n">
        <f aca="false">B5518*1000+C5518</f>
        <v>75063</v>
      </c>
      <c r="B5518" s="0" t="n">
        <v>75</v>
      </c>
      <c r="C5518" s="0" t="n">
        <v>63</v>
      </c>
      <c r="D5518" s="0" t="n">
        <v>0</v>
      </c>
      <c r="E5518" s="0" t="n">
        <f aca="false">VLOOKUP(B5518,'Babblefish-APUMA'!$A$1:$B$86,2)</f>
        <v>75</v>
      </c>
      <c r="F5518" s="0" t="n">
        <f aca="false">IF(C5518&gt;1,IF(C5518&lt;99,VLOOKUP(C5518,'Babblefish-APUMA'!$A$1:$B$86,2),C5518),C5518)</f>
        <v>90</v>
      </c>
    </row>
    <row r="5519" customFormat="false" ht="12.75" hidden="false" customHeight="false" outlineLevel="0" collapsed="false">
      <c r="A5519" s="0" t="n">
        <f aca="false">B5519*1000+C5519</f>
        <v>75064</v>
      </c>
      <c r="B5519" s="0" t="n">
        <v>75</v>
      </c>
      <c r="C5519" s="0" t="n">
        <v>64</v>
      </c>
      <c r="D5519" s="0" t="n">
        <v>234</v>
      </c>
      <c r="E5519" s="0" t="n">
        <f aca="false">VLOOKUP(B5519,'Babblefish-APUMA'!$A$1:$B$86,2)</f>
        <v>75</v>
      </c>
      <c r="F5519" s="0" t="n">
        <f aca="false">IF(C5519&gt;1,IF(C5519&lt;99,VLOOKUP(C5519,'Babblefish-APUMA'!$A$1:$B$86,2),C5519),C5519)</f>
        <v>90</v>
      </c>
    </row>
    <row r="5520" customFormat="false" ht="12.75" hidden="false" customHeight="false" outlineLevel="0" collapsed="false">
      <c r="A5520" s="0" t="n">
        <f aca="false">B5520*1000+C5520</f>
        <v>75065</v>
      </c>
      <c r="B5520" s="0" t="n">
        <v>75</v>
      </c>
      <c r="C5520" s="0" t="n">
        <v>65</v>
      </c>
      <c r="D5520" s="0" t="n">
        <v>260</v>
      </c>
      <c r="E5520" s="0" t="n">
        <f aca="false">VLOOKUP(B5520,'Babblefish-APUMA'!$A$1:$B$86,2)</f>
        <v>75</v>
      </c>
      <c r="F5520" s="0" t="n">
        <f aca="false">IF(C5520&gt;1,IF(C5520&lt;99,VLOOKUP(C5520,'Babblefish-APUMA'!$A$1:$B$86,2),C5520),C5520)</f>
        <v>90</v>
      </c>
    </row>
    <row r="5521" customFormat="false" ht="12.75" hidden="false" customHeight="false" outlineLevel="0" collapsed="false">
      <c r="A5521" s="0" t="n">
        <f aca="false">B5521*1000+C5521</f>
        <v>75066</v>
      </c>
      <c r="B5521" s="0" t="n">
        <v>75</v>
      </c>
      <c r="C5521" s="0" t="n">
        <v>66</v>
      </c>
      <c r="D5521" s="0" t="n">
        <v>0</v>
      </c>
      <c r="E5521" s="0" t="n">
        <f aca="false">VLOOKUP(B5521,'Babblefish-APUMA'!$A$1:$B$86,2)</f>
        <v>75</v>
      </c>
      <c r="F5521" s="0" t="n">
        <f aca="false">IF(C5521&gt;1,IF(C5521&lt;99,VLOOKUP(C5521,'Babblefish-APUMA'!$A$1:$B$86,2),C5521),C5521)</f>
        <v>90</v>
      </c>
    </row>
    <row r="5522" customFormat="false" ht="12.75" hidden="false" customHeight="false" outlineLevel="0" collapsed="false">
      <c r="A5522" s="0" t="n">
        <f aca="false">B5522*1000+C5522</f>
        <v>75067</v>
      </c>
      <c r="B5522" s="0" t="n">
        <v>75</v>
      </c>
      <c r="C5522" s="0" t="n">
        <v>67</v>
      </c>
      <c r="D5522" s="0" t="n">
        <v>0</v>
      </c>
      <c r="E5522" s="0" t="n">
        <f aca="false">VLOOKUP(B5522,'Babblefish-APUMA'!$A$1:$B$86,2)</f>
        <v>75</v>
      </c>
      <c r="F5522" s="0" t="n">
        <f aca="false">IF(C5522&gt;1,IF(C5522&lt;99,VLOOKUP(C5522,'Babblefish-APUMA'!$A$1:$B$86,2),C5522),C5522)</f>
        <v>103</v>
      </c>
    </row>
    <row r="5523" customFormat="false" ht="12.75" hidden="false" customHeight="false" outlineLevel="0" collapsed="false">
      <c r="A5523" s="0" t="n">
        <f aca="false">B5523*1000+C5523</f>
        <v>75068</v>
      </c>
      <c r="B5523" s="0" t="n">
        <v>75</v>
      </c>
      <c r="C5523" s="0" t="n">
        <v>68</v>
      </c>
      <c r="D5523" s="0" t="n">
        <v>0</v>
      </c>
      <c r="E5523" s="0" t="n">
        <f aca="false">VLOOKUP(B5523,'Babblefish-APUMA'!$A$1:$B$86,2)</f>
        <v>75</v>
      </c>
      <c r="F5523" s="0" t="n">
        <f aca="false">IF(C5523&gt;1,IF(C5523&lt;99,VLOOKUP(C5523,'Babblefish-APUMA'!$A$1:$B$86,2),C5523),C5523)</f>
        <v>93</v>
      </c>
    </row>
    <row r="5524" customFormat="false" ht="12.75" hidden="false" customHeight="false" outlineLevel="0" collapsed="false">
      <c r="A5524" s="0" t="n">
        <f aca="false">B5524*1000+C5524</f>
        <v>75069</v>
      </c>
      <c r="B5524" s="0" t="n">
        <v>75</v>
      </c>
      <c r="C5524" s="0" t="n">
        <v>69</v>
      </c>
      <c r="D5524" s="0" t="n">
        <v>130</v>
      </c>
      <c r="E5524" s="0" t="n">
        <f aca="false">VLOOKUP(B5524,'Babblefish-APUMA'!$A$1:$B$86,2)</f>
        <v>75</v>
      </c>
      <c r="F5524" s="0" t="n">
        <f aca="false">IF(C5524&gt;1,IF(C5524&lt;99,VLOOKUP(C5524,'Babblefish-APUMA'!$A$1:$B$86,2),C5524),C5524)</f>
        <v>93</v>
      </c>
    </row>
    <row r="5525" customFormat="false" ht="12.75" hidden="false" customHeight="false" outlineLevel="0" collapsed="false">
      <c r="A5525" s="0" t="n">
        <f aca="false">B5525*1000+C5525</f>
        <v>75070</v>
      </c>
      <c r="B5525" s="0" t="n">
        <v>75</v>
      </c>
      <c r="C5525" s="0" t="n">
        <v>70</v>
      </c>
      <c r="D5525" s="0" t="n">
        <v>0</v>
      </c>
      <c r="E5525" s="0" t="n">
        <f aca="false">VLOOKUP(B5525,'Babblefish-APUMA'!$A$1:$B$86,2)</f>
        <v>75</v>
      </c>
      <c r="F5525" s="0" t="n">
        <f aca="false">IF(C5525&gt;1,IF(C5525&lt;99,VLOOKUP(C5525,'Babblefish-APUMA'!$A$1:$B$86,2),C5525),C5525)</f>
        <v>95</v>
      </c>
    </row>
    <row r="5526" customFormat="false" ht="12.75" hidden="false" customHeight="false" outlineLevel="0" collapsed="false">
      <c r="A5526" s="0" t="n">
        <f aca="false">B5526*1000+C5526</f>
        <v>75071</v>
      </c>
      <c r="B5526" s="0" t="n">
        <v>75</v>
      </c>
      <c r="C5526" s="0" t="n">
        <v>71</v>
      </c>
      <c r="D5526" s="0" t="n">
        <v>0</v>
      </c>
      <c r="E5526" s="0" t="n">
        <f aca="false">VLOOKUP(B5526,'Babblefish-APUMA'!$A$1:$B$86,2)</f>
        <v>75</v>
      </c>
      <c r="F5526" s="0" t="n">
        <f aca="false">IF(C5526&gt;1,IF(C5526&lt;99,VLOOKUP(C5526,'Babblefish-APUMA'!$A$1:$B$86,2),C5526),C5526)</f>
        <v>95</v>
      </c>
    </row>
    <row r="5527" customFormat="false" ht="12.75" hidden="false" customHeight="false" outlineLevel="0" collapsed="false">
      <c r="A5527" s="0" t="n">
        <f aca="false">B5527*1000+C5527</f>
        <v>75072</v>
      </c>
      <c r="B5527" s="0" t="n">
        <v>75</v>
      </c>
      <c r="C5527" s="0" t="n">
        <v>72</v>
      </c>
      <c r="D5527" s="0" t="n">
        <v>0</v>
      </c>
      <c r="E5527" s="0" t="n">
        <f aca="false">VLOOKUP(B5527,'Babblefish-APUMA'!$A$1:$B$86,2)</f>
        <v>75</v>
      </c>
      <c r="F5527" s="0" t="n">
        <f aca="false">IF(C5527&gt;1,IF(C5527&lt;99,VLOOKUP(C5527,'Babblefish-APUMA'!$A$1:$B$86,2),C5527),C5527)</f>
        <v>95</v>
      </c>
    </row>
    <row r="5528" customFormat="false" ht="12.75" hidden="false" customHeight="false" outlineLevel="0" collapsed="false">
      <c r="A5528" s="0" t="n">
        <f aca="false">B5528*1000+C5528</f>
        <v>75073</v>
      </c>
      <c r="B5528" s="0" t="n">
        <v>75</v>
      </c>
      <c r="C5528" s="0" t="n">
        <v>73</v>
      </c>
      <c r="D5528" s="0" t="n">
        <v>0</v>
      </c>
      <c r="E5528" s="0" t="n">
        <f aca="false">VLOOKUP(B5528,'Babblefish-APUMA'!$A$1:$B$86,2)</f>
        <v>75</v>
      </c>
      <c r="F5528" s="0" t="n">
        <f aca="false">IF(C5528&gt;1,IF(C5528&lt;99,VLOOKUP(C5528,'Babblefish-APUMA'!$A$1:$B$86,2),C5528),C5528)</f>
        <v>99</v>
      </c>
    </row>
    <row r="5529" customFormat="false" ht="12.75" hidden="false" customHeight="false" outlineLevel="0" collapsed="false">
      <c r="A5529" s="0" t="n">
        <f aca="false">B5529*1000+C5529</f>
        <v>75075</v>
      </c>
      <c r="B5529" s="0" t="n">
        <v>75</v>
      </c>
      <c r="C5529" s="0" t="n">
        <v>75</v>
      </c>
      <c r="D5529" s="0" t="n">
        <v>106184</v>
      </c>
      <c r="E5529" s="0" t="n">
        <f aca="false">VLOOKUP(B5529,'Babblefish-APUMA'!$A$1:$B$86,2)</f>
        <v>75</v>
      </c>
      <c r="F5529" s="0" t="n">
        <f aca="false">IF(C5529&gt;1,IF(C5529&lt;99,VLOOKUP(C5529,'Babblefish-APUMA'!$A$1:$B$86,2),C5529),C5529)</f>
        <v>75</v>
      </c>
    </row>
    <row r="5530" customFormat="false" ht="12.75" hidden="false" customHeight="false" outlineLevel="0" collapsed="false">
      <c r="A5530" s="0" t="n">
        <f aca="false">B5530*1000+C5530</f>
        <v>75076</v>
      </c>
      <c r="B5530" s="0" t="n">
        <v>75</v>
      </c>
      <c r="C5530" s="0" t="n">
        <v>76</v>
      </c>
      <c r="D5530" s="0" t="n">
        <v>0</v>
      </c>
      <c r="E5530" s="0" t="n">
        <f aca="false">VLOOKUP(B5530,'Babblefish-APUMA'!$A$1:$B$86,2)</f>
        <v>75</v>
      </c>
      <c r="F5530" s="0" t="n">
        <f aca="false">IF(C5530&gt;1,IF(C5530&lt;99,VLOOKUP(C5530,'Babblefish-APUMA'!$A$1:$B$86,2),C5530),C5530)</f>
        <v>76</v>
      </c>
    </row>
    <row r="5531" customFormat="false" ht="12.75" hidden="false" customHeight="false" outlineLevel="0" collapsed="false">
      <c r="A5531" s="0" t="n">
        <f aca="false">B5531*1000+C5531</f>
        <v>75077</v>
      </c>
      <c r="B5531" s="0" t="n">
        <v>75</v>
      </c>
      <c r="C5531" s="0" t="n">
        <v>77</v>
      </c>
      <c r="D5531" s="0" t="n">
        <v>0</v>
      </c>
      <c r="E5531" s="0" t="n">
        <f aca="false">VLOOKUP(B5531,'Babblefish-APUMA'!$A$1:$B$86,2)</f>
        <v>75</v>
      </c>
      <c r="F5531" s="0" t="n">
        <f aca="false">IF(C5531&gt;1,IF(C5531&lt;99,VLOOKUP(C5531,'Babblefish-APUMA'!$A$1:$B$86,2),C5531),C5531)</f>
        <v>77</v>
      </c>
    </row>
    <row r="5532" customFormat="false" ht="12.75" hidden="false" customHeight="false" outlineLevel="0" collapsed="false">
      <c r="A5532" s="0" t="n">
        <f aca="false">B5532*1000+C5532</f>
        <v>75078</v>
      </c>
      <c r="B5532" s="0" t="n">
        <v>75</v>
      </c>
      <c r="C5532" s="0" t="n">
        <v>78</v>
      </c>
      <c r="D5532" s="0" t="n">
        <v>91</v>
      </c>
      <c r="E5532" s="0" t="n">
        <f aca="false">VLOOKUP(B5532,'Babblefish-APUMA'!$A$1:$B$86,2)</f>
        <v>75</v>
      </c>
      <c r="F5532" s="0" t="n">
        <f aca="false">IF(C5532&gt;1,IF(C5532&lt;99,VLOOKUP(C5532,'Babblefish-APUMA'!$A$1:$B$86,2),C5532),C5532)</f>
        <v>89</v>
      </c>
    </row>
    <row r="5533" customFormat="false" ht="12.75" hidden="false" customHeight="false" outlineLevel="0" collapsed="false">
      <c r="A5533" s="0" t="n">
        <f aca="false">B5533*1000+C5533</f>
        <v>75079</v>
      </c>
      <c r="B5533" s="0" t="n">
        <v>75</v>
      </c>
      <c r="C5533" s="0" t="n">
        <v>79</v>
      </c>
      <c r="D5533" s="0" t="n">
        <v>2535</v>
      </c>
      <c r="E5533" s="0" t="n">
        <f aca="false">VLOOKUP(B5533,'Babblefish-APUMA'!$A$1:$B$86,2)</f>
        <v>75</v>
      </c>
      <c r="F5533" s="0" t="n">
        <f aca="false">IF(C5533&gt;1,IF(C5533&lt;99,VLOOKUP(C5533,'Babblefish-APUMA'!$A$1:$B$86,2),C5533),C5533)</f>
        <v>89</v>
      </c>
    </row>
    <row r="5534" customFormat="false" ht="12.75" hidden="false" customHeight="false" outlineLevel="0" collapsed="false">
      <c r="A5534" s="0" t="n">
        <f aca="false">B5534*1000+C5534</f>
        <v>75080</v>
      </c>
      <c r="B5534" s="0" t="n">
        <v>75</v>
      </c>
      <c r="C5534" s="0" t="n">
        <v>80</v>
      </c>
      <c r="D5534" s="0" t="n">
        <v>65</v>
      </c>
      <c r="E5534" s="0" t="n">
        <f aca="false">VLOOKUP(B5534,'Babblefish-APUMA'!$A$1:$B$86,2)</f>
        <v>75</v>
      </c>
      <c r="F5534" s="0" t="n">
        <f aca="false">IF(C5534&gt;1,IF(C5534&lt;99,VLOOKUP(C5534,'Babblefish-APUMA'!$A$1:$B$86,2),C5534),C5534)</f>
        <v>80</v>
      </c>
    </row>
    <row r="5535" customFormat="false" ht="12.75" hidden="false" customHeight="false" outlineLevel="0" collapsed="false">
      <c r="A5535" s="0" t="n">
        <f aca="false">B5535*1000+C5535</f>
        <v>75081</v>
      </c>
      <c r="B5535" s="0" t="n">
        <v>75</v>
      </c>
      <c r="C5535" s="0" t="n">
        <v>81</v>
      </c>
      <c r="D5535" s="0" t="n">
        <v>0</v>
      </c>
      <c r="E5535" s="0" t="n">
        <f aca="false">VLOOKUP(B5535,'Babblefish-APUMA'!$A$1:$B$86,2)</f>
        <v>75</v>
      </c>
      <c r="F5535" s="0" t="n">
        <f aca="false">IF(C5535&gt;1,IF(C5535&lt;99,VLOOKUP(C5535,'Babblefish-APUMA'!$A$1:$B$86,2),C5535),C5535)</f>
        <v>93</v>
      </c>
    </row>
    <row r="5536" customFormat="false" ht="12.75" hidden="false" customHeight="false" outlineLevel="0" collapsed="false">
      <c r="A5536" s="0" t="n">
        <f aca="false">B5536*1000+C5536</f>
        <v>75082</v>
      </c>
      <c r="B5536" s="0" t="n">
        <v>75</v>
      </c>
      <c r="C5536" s="0" t="n">
        <v>82</v>
      </c>
      <c r="D5536" s="0" t="n">
        <v>0</v>
      </c>
      <c r="E5536" s="0" t="n">
        <f aca="false">VLOOKUP(B5536,'Babblefish-APUMA'!$A$1:$B$86,2)</f>
        <v>75</v>
      </c>
      <c r="F5536" s="0" t="n">
        <f aca="false">IF(C5536&gt;1,IF(C5536&lt;99,VLOOKUP(C5536,'Babblefish-APUMA'!$A$1:$B$86,2),C5536),C5536)</f>
        <v>95</v>
      </c>
    </row>
    <row r="5537" customFormat="false" ht="12.75" hidden="false" customHeight="false" outlineLevel="0" collapsed="false">
      <c r="A5537" s="0" t="n">
        <f aca="false">B5537*1000+C5537</f>
        <v>75083</v>
      </c>
      <c r="B5537" s="0" t="n">
        <v>75</v>
      </c>
      <c r="C5537" s="0" t="n">
        <v>83</v>
      </c>
      <c r="D5537" s="0" t="n">
        <v>0</v>
      </c>
      <c r="E5537" s="0" t="n">
        <f aca="false">VLOOKUP(B5537,'Babblefish-APUMA'!$A$1:$B$86,2)</f>
        <v>75</v>
      </c>
      <c r="F5537" s="0" t="n">
        <f aca="false">IF(C5537&gt;1,IF(C5537&lt;99,VLOOKUP(C5537,'Babblefish-APUMA'!$A$1:$B$86,2),C5537),C5537)</f>
        <v>103</v>
      </c>
    </row>
    <row r="5538" customFormat="false" ht="12.75" hidden="false" customHeight="false" outlineLevel="0" collapsed="false">
      <c r="A5538" s="0" t="n">
        <f aca="false">B5538*1000+C5538</f>
        <v>75084</v>
      </c>
      <c r="B5538" s="0" t="n">
        <v>75</v>
      </c>
      <c r="C5538" s="0" t="n">
        <v>84</v>
      </c>
      <c r="D5538" s="0" t="n">
        <v>143</v>
      </c>
      <c r="E5538" s="0" t="n">
        <f aca="false">VLOOKUP(B5538,'Babblefish-APUMA'!$A$1:$B$86,2)</f>
        <v>75</v>
      </c>
      <c r="F5538" s="0" t="n">
        <f aca="false">IF(C5538&gt;1,IF(C5538&lt;99,VLOOKUP(C5538,'Babblefish-APUMA'!$A$1:$B$86,2),C5538),C5538)</f>
        <v>92</v>
      </c>
    </row>
    <row r="5539" customFormat="false" ht="12.75" hidden="false" customHeight="false" outlineLevel="0" collapsed="false">
      <c r="A5539" s="0" t="n">
        <f aca="false">B5539*1000+C5539</f>
        <v>75085</v>
      </c>
      <c r="B5539" s="0" t="n">
        <v>75</v>
      </c>
      <c r="C5539" s="0" t="n">
        <v>85</v>
      </c>
      <c r="D5539" s="0" t="n">
        <v>0</v>
      </c>
      <c r="E5539" s="0" t="n">
        <f aca="false">VLOOKUP(B5539,'Babblefish-APUMA'!$A$1:$B$86,2)</f>
        <v>75</v>
      </c>
      <c r="F5539" s="0" t="n">
        <f aca="false">IF(C5539&gt;1,IF(C5539&lt;99,VLOOKUP(C5539,'Babblefish-APUMA'!$A$1:$B$86,2),C5539),C5539)</f>
        <v>97</v>
      </c>
    </row>
    <row r="5540" customFormat="false" ht="12.75" hidden="false" customHeight="false" outlineLevel="0" collapsed="false">
      <c r="A5540" s="0" t="n">
        <f aca="false">B5540*1000+C5540</f>
        <v>75858</v>
      </c>
      <c r="B5540" s="0" t="n">
        <v>75</v>
      </c>
      <c r="C5540" s="0" t="n">
        <v>858</v>
      </c>
      <c r="D5540" s="0" t="n">
        <v>0</v>
      </c>
      <c r="E5540" s="0" t="n">
        <f aca="false">VLOOKUP(B5540,'Babblefish-APUMA'!$A$1:$B$86,2)</f>
        <v>75</v>
      </c>
      <c r="F5540" s="0" t="n">
        <f aca="false">IF(C5540&gt;1,IF(C5540&lt;99,VLOOKUP(C5540,'Babblefish-APUMA'!$A$1:$B$86,2),C5540),C5540)</f>
        <v>858</v>
      </c>
    </row>
    <row r="5541" customFormat="false" ht="12.75" hidden="false" customHeight="false" outlineLevel="0" collapsed="false">
      <c r="A5541" s="0" t="n">
        <f aca="false">B5541*1000+C5541</f>
        <v>75983</v>
      </c>
      <c r="B5541" s="0" t="n">
        <v>75</v>
      </c>
      <c r="C5541" s="0" t="n">
        <v>983</v>
      </c>
      <c r="D5541" s="0" t="n">
        <v>0</v>
      </c>
      <c r="E5541" s="0" t="n">
        <f aca="false">VLOOKUP(B5541,'Babblefish-APUMA'!$A$1:$B$86,2)</f>
        <v>75</v>
      </c>
      <c r="F5541" s="0" t="n">
        <f aca="false">IF(C5541&gt;1,IF(C5541&lt;99,VLOOKUP(C5541,'Babblefish-APUMA'!$A$1:$B$86,2),C5541),C5541)</f>
        <v>983</v>
      </c>
    </row>
    <row r="5542" customFormat="false" ht="12.75" hidden="false" customHeight="false" outlineLevel="0" collapsed="false">
      <c r="A5542" s="0" t="n">
        <f aca="false">B5542*1000+C5542</f>
        <v>75999</v>
      </c>
      <c r="B5542" s="0" t="n">
        <v>75</v>
      </c>
      <c r="C5542" s="0" t="n">
        <v>999</v>
      </c>
      <c r="D5542" s="0" t="n">
        <v>91</v>
      </c>
      <c r="E5542" s="0" t="n">
        <f aca="false">VLOOKUP(B5542,'Babblefish-APUMA'!$A$1:$B$86,2)</f>
        <v>75</v>
      </c>
      <c r="F5542" s="0" t="n">
        <f aca="false">IF(C5542&gt;1,IF(C5542&lt;99,VLOOKUP(C5542,'Babblefish-APUMA'!$A$1:$B$86,2),C5542),C5542)</f>
        <v>999</v>
      </c>
    </row>
    <row r="5543" customFormat="false" ht="12.75" hidden="false" customHeight="false" outlineLevel="0" collapsed="false">
      <c r="A5543" s="0" t="n">
        <f aca="false">B5543*1000+C5543</f>
        <v>76000</v>
      </c>
      <c r="B5543" s="0" t="n">
        <v>76</v>
      </c>
      <c r="C5543" s="0" t="n">
        <v>0</v>
      </c>
      <c r="D5543" s="0" t="n">
        <v>116324</v>
      </c>
      <c r="E5543" s="0" t="n">
        <f aca="false">VLOOKUP(B5543,'Babblefish-APUMA'!$A$1:$B$86,2)</f>
        <v>76</v>
      </c>
      <c r="F5543" s="0" t="n">
        <f aca="false">IF(C5543&gt;1,IF(C5543&lt;99,VLOOKUP(C5543,'Babblefish-APUMA'!$A$1:$B$86,2),C5543),C5543)</f>
        <v>0</v>
      </c>
    </row>
    <row r="5544" customFormat="false" ht="12.75" hidden="false" customHeight="false" outlineLevel="0" collapsed="false">
      <c r="A5544" s="0" t="n">
        <f aca="false">B5544*1000+C5544</f>
        <v>76001</v>
      </c>
      <c r="B5544" s="0" t="n">
        <v>76</v>
      </c>
      <c r="C5544" s="0" t="n">
        <v>1</v>
      </c>
      <c r="D5544" s="0" t="n">
        <v>0</v>
      </c>
      <c r="E5544" s="0" t="n">
        <f aca="false">VLOOKUP(B5544,'Babblefish-APUMA'!$A$1:$B$86,2)</f>
        <v>76</v>
      </c>
      <c r="F5544" s="0" t="n">
        <f aca="false">IF(C5544&gt;1,IF(C5544&lt;99,VLOOKUP(C5544,'Babblefish-APUMA'!$A$1:$B$86,2),C5544),C5544)</f>
        <v>1</v>
      </c>
    </row>
    <row r="5545" customFormat="false" ht="12.75" hidden="false" customHeight="false" outlineLevel="0" collapsed="false">
      <c r="A5545" s="0" t="n">
        <f aca="false">B5545*1000+C5545</f>
        <v>76002</v>
      </c>
      <c r="B5545" s="0" t="n">
        <v>76</v>
      </c>
      <c r="C5545" s="0" t="n">
        <v>2</v>
      </c>
      <c r="D5545" s="0" t="n">
        <v>0</v>
      </c>
      <c r="E5545" s="0" t="n">
        <f aca="false">VLOOKUP(B5545,'Babblefish-APUMA'!$A$1:$B$86,2)</f>
        <v>76</v>
      </c>
      <c r="F5545" s="0" t="n">
        <f aca="false">IF(C5545&gt;1,IF(C5545&lt;99,VLOOKUP(C5545,'Babblefish-APUMA'!$A$1:$B$86,2),C5545),C5545)</f>
        <v>2</v>
      </c>
    </row>
    <row r="5546" customFormat="false" ht="12.75" hidden="false" customHeight="false" outlineLevel="0" collapsed="false">
      <c r="A5546" s="0" t="n">
        <f aca="false">B5546*1000+C5546</f>
        <v>76003</v>
      </c>
      <c r="B5546" s="0" t="n">
        <v>76</v>
      </c>
      <c r="C5546" s="0" t="n">
        <v>3</v>
      </c>
      <c r="D5546" s="0" t="n">
        <v>0</v>
      </c>
      <c r="E5546" s="0" t="n">
        <f aca="false">VLOOKUP(B5546,'Babblefish-APUMA'!$A$1:$B$86,2)</f>
        <v>76</v>
      </c>
      <c r="F5546" s="0" t="n">
        <f aca="false">IF(C5546&gt;1,IF(C5546&lt;99,VLOOKUP(C5546,'Babblefish-APUMA'!$A$1:$B$86,2),C5546),C5546)</f>
        <v>3</v>
      </c>
    </row>
    <row r="5547" customFormat="false" ht="12.75" hidden="false" customHeight="false" outlineLevel="0" collapsed="false">
      <c r="A5547" s="0" t="n">
        <f aca="false">B5547*1000+C5547</f>
        <v>76004</v>
      </c>
      <c r="B5547" s="0" t="n">
        <v>76</v>
      </c>
      <c r="C5547" s="0" t="n">
        <v>4</v>
      </c>
      <c r="D5547" s="0" t="n">
        <v>143</v>
      </c>
      <c r="E5547" s="0" t="n">
        <f aca="false">VLOOKUP(B5547,'Babblefish-APUMA'!$A$1:$B$86,2)</f>
        <v>76</v>
      </c>
      <c r="F5547" s="0" t="n">
        <f aca="false">IF(C5547&gt;1,IF(C5547&lt;99,VLOOKUP(C5547,'Babblefish-APUMA'!$A$1:$B$86,2),C5547),C5547)</f>
        <v>4</v>
      </c>
    </row>
    <row r="5548" customFormat="false" ht="12.75" hidden="false" customHeight="false" outlineLevel="0" collapsed="false">
      <c r="A5548" s="0" t="n">
        <f aca="false">B5548*1000+C5548</f>
        <v>76005</v>
      </c>
      <c r="B5548" s="0" t="n">
        <v>76</v>
      </c>
      <c r="C5548" s="0" t="n">
        <v>5</v>
      </c>
      <c r="D5548" s="0" t="n">
        <v>0</v>
      </c>
      <c r="E5548" s="0" t="n">
        <f aca="false">VLOOKUP(B5548,'Babblefish-APUMA'!$A$1:$B$86,2)</f>
        <v>76</v>
      </c>
      <c r="F5548" s="0" t="n">
        <f aca="false">IF(C5548&gt;1,IF(C5548&lt;99,VLOOKUP(C5548,'Babblefish-APUMA'!$A$1:$B$86,2),C5548),C5548)</f>
        <v>5</v>
      </c>
    </row>
    <row r="5549" customFormat="false" ht="12.75" hidden="false" customHeight="false" outlineLevel="0" collapsed="false">
      <c r="A5549" s="0" t="n">
        <f aca="false">B5549*1000+C5549</f>
        <v>76006</v>
      </c>
      <c r="B5549" s="0" t="n">
        <v>76</v>
      </c>
      <c r="C5549" s="0" t="n">
        <v>6</v>
      </c>
      <c r="D5549" s="0" t="n">
        <v>0</v>
      </c>
      <c r="E5549" s="0" t="n">
        <f aca="false">VLOOKUP(B5549,'Babblefish-APUMA'!$A$1:$B$86,2)</f>
        <v>76</v>
      </c>
      <c r="F5549" s="0" t="n">
        <f aca="false">IF(C5549&gt;1,IF(C5549&lt;99,VLOOKUP(C5549,'Babblefish-APUMA'!$A$1:$B$86,2),C5549),C5549)</f>
        <v>6</v>
      </c>
    </row>
    <row r="5550" customFormat="false" ht="12.75" hidden="false" customHeight="false" outlineLevel="0" collapsed="false">
      <c r="A5550" s="0" t="n">
        <f aca="false">B5550*1000+C5550</f>
        <v>76007</v>
      </c>
      <c r="B5550" s="0" t="n">
        <v>76</v>
      </c>
      <c r="C5550" s="0" t="n">
        <v>7</v>
      </c>
      <c r="D5550" s="0" t="n">
        <v>0</v>
      </c>
      <c r="E5550" s="0" t="n">
        <f aca="false">VLOOKUP(B5550,'Babblefish-APUMA'!$A$1:$B$86,2)</f>
        <v>76</v>
      </c>
      <c r="F5550" s="0" t="n">
        <f aca="false">IF(C5550&gt;1,IF(C5550&lt;99,VLOOKUP(C5550,'Babblefish-APUMA'!$A$1:$B$86,2),C5550),C5550)</f>
        <v>7</v>
      </c>
    </row>
    <row r="5551" customFormat="false" ht="12.75" hidden="false" customHeight="false" outlineLevel="0" collapsed="false">
      <c r="A5551" s="0" t="n">
        <f aca="false">B5551*1000+C5551</f>
        <v>76008</v>
      </c>
      <c r="B5551" s="0" t="n">
        <v>76</v>
      </c>
      <c r="C5551" s="0" t="n">
        <v>8</v>
      </c>
      <c r="D5551" s="0" t="n">
        <v>0</v>
      </c>
      <c r="E5551" s="0" t="n">
        <f aca="false">VLOOKUP(B5551,'Babblefish-APUMA'!$A$1:$B$86,2)</f>
        <v>76</v>
      </c>
      <c r="F5551" s="0" t="n">
        <f aca="false">IF(C5551&gt;1,IF(C5551&lt;99,VLOOKUP(C5551,'Babblefish-APUMA'!$A$1:$B$86,2),C5551),C5551)</f>
        <v>8</v>
      </c>
    </row>
    <row r="5552" customFormat="false" ht="12.75" hidden="false" customHeight="false" outlineLevel="0" collapsed="false">
      <c r="A5552" s="0" t="n">
        <f aca="false">B5552*1000+C5552</f>
        <v>76009</v>
      </c>
      <c r="B5552" s="0" t="n">
        <v>76</v>
      </c>
      <c r="C5552" s="0" t="n">
        <v>9</v>
      </c>
      <c r="D5552" s="0" t="n">
        <v>0</v>
      </c>
      <c r="E5552" s="0" t="n">
        <f aca="false">VLOOKUP(B5552,'Babblefish-APUMA'!$A$1:$B$86,2)</f>
        <v>76</v>
      </c>
      <c r="F5552" s="0" t="n">
        <f aca="false">IF(C5552&gt;1,IF(C5552&lt;99,VLOOKUP(C5552,'Babblefish-APUMA'!$A$1:$B$86,2),C5552),C5552)</f>
        <v>9</v>
      </c>
    </row>
    <row r="5553" customFormat="false" ht="12.75" hidden="false" customHeight="false" outlineLevel="0" collapsed="false">
      <c r="A5553" s="0" t="n">
        <f aca="false">B5553*1000+C5553</f>
        <v>76010</v>
      </c>
      <c r="B5553" s="0" t="n">
        <v>76</v>
      </c>
      <c r="C5553" s="0" t="n">
        <v>10</v>
      </c>
      <c r="D5553" s="0" t="n">
        <v>0</v>
      </c>
      <c r="E5553" s="0" t="n">
        <f aca="false">VLOOKUP(B5553,'Babblefish-APUMA'!$A$1:$B$86,2)</f>
        <v>76</v>
      </c>
      <c r="F5553" s="0" t="n">
        <f aca="false">IF(C5553&gt;1,IF(C5553&lt;99,VLOOKUP(C5553,'Babblefish-APUMA'!$A$1:$B$86,2),C5553),C5553)</f>
        <v>10</v>
      </c>
    </row>
    <row r="5554" customFormat="false" ht="12.75" hidden="false" customHeight="false" outlineLevel="0" collapsed="false">
      <c r="A5554" s="0" t="n">
        <f aca="false">B5554*1000+C5554</f>
        <v>76011</v>
      </c>
      <c r="B5554" s="0" t="n">
        <v>76</v>
      </c>
      <c r="C5554" s="0" t="n">
        <v>11</v>
      </c>
      <c r="D5554" s="0" t="n">
        <v>0</v>
      </c>
      <c r="E5554" s="0" t="n">
        <f aca="false">VLOOKUP(B5554,'Babblefish-APUMA'!$A$1:$B$86,2)</f>
        <v>76</v>
      </c>
      <c r="F5554" s="0" t="n">
        <f aca="false">IF(C5554&gt;1,IF(C5554&lt;99,VLOOKUP(C5554,'Babblefish-APUMA'!$A$1:$B$86,2),C5554),C5554)</f>
        <v>11</v>
      </c>
    </row>
    <row r="5555" customFormat="false" ht="12.75" hidden="false" customHeight="false" outlineLevel="0" collapsed="false">
      <c r="A5555" s="0" t="n">
        <f aca="false">B5555*1000+C5555</f>
        <v>76012</v>
      </c>
      <c r="B5555" s="0" t="n">
        <v>76</v>
      </c>
      <c r="C5555" s="0" t="n">
        <v>12</v>
      </c>
      <c r="D5555" s="0" t="n">
        <v>0</v>
      </c>
      <c r="E5555" s="0" t="n">
        <f aca="false">VLOOKUP(B5555,'Babblefish-APUMA'!$A$1:$B$86,2)</f>
        <v>76</v>
      </c>
      <c r="F5555" s="0" t="n">
        <f aca="false">IF(C5555&gt;1,IF(C5555&lt;99,VLOOKUP(C5555,'Babblefish-APUMA'!$A$1:$B$86,2),C5555),C5555)</f>
        <v>12</v>
      </c>
    </row>
    <row r="5556" customFormat="false" ht="12.75" hidden="false" customHeight="false" outlineLevel="0" collapsed="false">
      <c r="A5556" s="0" t="n">
        <f aca="false">B5556*1000+C5556</f>
        <v>76013</v>
      </c>
      <c r="B5556" s="0" t="n">
        <v>76</v>
      </c>
      <c r="C5556" s="0" t="n">
        <v>13</v>
      </c>
      <c r="D5556" s="0" t="n">
        <v>0</v>
      </c>
      <c r="E5556" s="0" t="n">
        <f aca="false">VLOOKUP(B5556,'Babblefish-APUMA'!$A$1:$B$86,2)</f>
        <v>76</v>
      </c>
      <c r="F5556" s="0" t="n">
        <f aca="false">IF(C5556&gt;1,IF(C5556&lt;99,VLOOKUP(C5556,'Babblefish-APUMA'!$A$1:$B$86,2),C5556),C5556)</f>
        <v>100</v>
      </c>
    </row>
    <row r="5557" customFormat="false" ht="12.75" hidden="false" customHeight="false" outlineLevel="0" collapsed="false">
      <c r="A5557" s="0" t="n">
        <f aca="false">B5557*1000+C5557</f>
        <v>76014</v>
      </c>
      <c r="B5557" s="0" t="n">
        <v>76</v>
      </c>
      <c r="C5557" s="0" t="n">
        <v>14</v>
      </c>
      <c r="D5557" s="0" t="n">
        <v>0</v>
      </c>
      <c r="E5557" s="0" t="n">
        <f aca="false">VLOOKUP(B5557,'Babblefish-APUMA'!$A$1:$B$86,2)</f>
        <v>76</v>
      </c>
      <c r="F5557" s="0" t="n">
        <f aca="false">IF(C5557&gt;1,IF(C5557&lt;99,VLOOKUP(C5557,'Babblefish-APUMA'!$A$1:$B$86,2),C5557),C5557)</f>
        <v>100</v>
      </c>
    </row>
    <row r="5558" customFormat="false" ht="12.75" hidden="false" customHeight="false" outlineLevel="0" collapsed="false">
      <c r="A5558" s="0" t="n">
        <f aca="false">B5558*1000+C5558</f>
        <v>76015</v>
      </c>
      <c r="B5558" s="0" t="n">
        <v>76</v>
      </c>
      <c r="C5558" s="0" t="n">
        <v>15</v>
      </c>
      <c r="D5558" s="0" t="n">
        <v>0</v>
      </c>
      <c r="E5558" s="0" t="n">
        <f aca="false">VLOOKUP(B5558,'Babblefish-APUMA'!$A$1:$B$86,2)</f>
        <v>76</v>
      </c>
      <c r="F5558" s="0" t="n">
        <f aca="false">IF(C5558&gt;1,IF(C5558&lt;99,VLOOKUP(C5558,'Babblefish-APUMA'!$A$1:$B$86,2),C5558),C5558)</f>
        <v>15</v>
      </c>
    </row>
    <row r="5559" customFormat="false" ht="12.75" hidden="false" customHeight="false" outlineLevel="0" collapsed="false">
      <c r="A5559" s="0" t="n">
        <f aca="false">B5559*1000+C5559</f>
        <v>76016</v>
      </c>
      <c r="B5559" s="0" t="n">
        <v>76</v>
      </c>
      <c r="C5559" s="0" t="n">
        <v>16</v>
      </c>
      <c r="D5559" s="0" t="n">
        <v>0</v>
      </c>
      <c r="E5559" s="0" t="n">
        <f aca="false">VLOOKUP(B5559,'Babblefish-APUMA'!$A$1:$B$86,2)</f>
        <v>76</v>
      </c>
      <c r="F5559" s="0" t="n">
        <f aca="false">IF(C5559&gt;1,IF(C5559&lt;99,VLOOKUP(C5559,'Babblefish-APUMA'!$A$1:$B$86,2),C5559),C5559)</f>
        <v>99</v>
      </c>
    </row>
    <row r="5560" customFormat="false" ht="12.75" hidden="false" customHeight="false" outlineLevel="0" collapsed="false">
      <c r="A5560" s="0" t="n">
        <f aca="false">B5560*1000+C5560</f>
        <v>76017</v>
      </c>
      <c r="B5560" s="0" t="n">
        <v>76</v>
      </c>
      <c r="C5560" s="0" t="n">
        <v>17</v>
      </c>
      <c r="D5560" s="0" t="n">
        <v>0</v>
      </c>
      <c r="E5560" s="0" t="n">
        <f aca="false">VLOOKUP(B5560,'Babblefish-APUMA'!$A$1:$B$86,2)</f>
        <v>76</v>
      </c>
      <c r="F5560" s="0" t="n">
        <f aca="false">IF(C5560&gt;1,IF(C5560&lt;99,VLOOKUP(C5560,'Babblefish-APUMA'!$A$1:$B$86,2),C5560),C5560)</f>
        <v>87</v>
      </c>
    </row>
    <row r="5561" customFormat="false" ht="12.75" hidden="false" customHeight="false" outlineLevel="0" collapsed="false">
      <c r="A5561" s="0" t="n">
        <f aca="false">B5561*1000+C5561</f>
        <v>76018</v>
      </c>
      <c r="B5561" s="0" t="n">
        <v>76</v>
      </c>
      <c r="C5561" s="0" t="n">
        <v>18</v>
      </c>
      <c r="D5561" s="0" t="n">
        <v>182</v>
      </c>
      <c r="E5561" s="0" t="n">
        <f aca="false">VLOOKUP(B5561,'Babblefish-APUMA'!$A$1:$B$86,2)</f>
        <v>76</v>
      </c>
      <c r="F5561" s="0" t="n">
        <f aca="false">IF(C5561&gt;1,IF(C5561&lt;99,VLOOKUP(C5561,'Babblefish-APUMA'!$A$1:$B$86,2),C5561),C5561)</f>
        <v>87</v>
      </c>
    </row>
    <row r="5562" customFormat="false" ht="12.75" hidden="false" customHeight="false" outlineLevel="0" collapsed="false">
      <c r="A5562" s="0" t="n">
        <f aca="false">B5562*1000+C5562</f>
        <v>76019</v>
      </c>
      <c r="B5562" s="0" t="n">
        <v>76</v>
      </c>
      <c r="C5562" s="0" t="n">
        <v>19</v>
      </c>
      <c r="D5562" s="0" t="n">
        <v>572</v>
      </c>
      <c r="E5562" s="0" t="n">
        <f aca="false">VLOOKUP(B5562,'Babblefish-APUMA'!$A$1:$B$86,2)</f>
        <v>76</v>
      </c>
      <c r="F5562" s="0" t="n">
        <f aca="false">IF(C5562&gt;1,IF(C5562&lt;99,VLOOKUP(C5562,'Babblefish-APUMA'!$A$1:$B$86,2),C5562),C5562)</f>
        <v>19</v>
      </c>
    </row>
    <row r="5563" customFormat="false" ht="12.75" hidden="false" customHeight="false" outlineLevel="0" collapsed="false">
      <c r="A5563" s="0" t="n">
        <f aca="false">B5563*1000+C5563</f>
        <v>76020</v>
      </c>
      <c r="B5563" s="0" t="n">
        <v>76</v>
      </c>
      <c r="C5563" s="0" t="n">
        <v>20</v>
      </c>
      <c r="D5563" s="0" t="n">
        <v>91</v>
      </c>
      <c r="E5563" s="0" t="n">
        <f aca="false">VLOOKUP(B5563,'Babblefish-APUMA'!$A$1:$B$86,2)</f>
        <v>76</v>
      </c>
      <c r="F5563" s="0" t="n">
        <f aca="false">IF(C5563&gt;1,IF(C5563&lt;99,VLOOKUP(C5563,'Babblefish-APUMA'!$A$1:$B$86,2),C5563),C5563)</f>
        <v>86</v>
      </c>
    </row>
    <row r="5564" customFormat="false" ht="12.75" hidden="false" customHeight="false" outlineLevel="0" collapsed="false">
      <c r="A5564" s="0" t="n">
        <f aca="false">B5564*1000+C5564</f>
        <v>76021</v>
      </c>
      <c r="B5564" s="0" t="n">
        <v>76</v>
      </c>
      <c r="C5564" s="0" t="n">
        <v>21</v>
      </c>
      <c r="D5564" s="0" t="n">
        <v>780</v>
      </c>
      <c r="E5564" s="0" t="n">
        <f aca="false">VLOOKUP(B5564,'Babblefish-APUMA'!$A$1:$B$86,2)</f>
        <v>76</v>
      </c>
      <c r="F5564" s="0" t="n">
        <f aca="false">IF(C5564&gt;1,IF(C5564&lt;99,VLOOKUP(C5564,'Babblefish-APUMA'!$A$1:$B$86,2),C5564),C5564)</f>
        <v>86</v>
      </c>
    </row>
    <row r="5565" customFormat="false" ht="12.75" hidden="false" customHeight="false" outlineLevel="0" collapsed="false">
      <c r="A5565" s="0" t="n">
        <f aca="false">B5565*1000+C5565</f>
        <v>76022</v>
      </c>
      <c r="B5565" s="0" t="n">
        <v>76</v>
      </c>
      <c r="C5565" s="0" t="n">
        <v>22</v>
      </c>
      <c r="D5565" s="0" t="n">
        <v>1534</v>
      </c>
      <c r="E5565" s="0" t="n">
        <f aca="false">VLOOKUP(B5565,'Babblefish-APUMA'!$A$1:$B$86,2)</f>
        <v>76</v>
      </c>
      <c r="F5565" s="0" t="n">
        <f aca="false">IF(C5565&gt;1,IF(C5565&lt;99,VLOOKUP(C5565,'Babblefish-APUMA'!$A$1:$B$86,2),C5565),C5565)</f>
        <v>22</v>
      </c>
    </row>
    <row r="5566" customFormat="false" ht="12.75" hidden="false" customHeight="false" outlineLevel="0" collapsed="false">
      <c r="A5566" s="0" t="n">
        <f aca="false">B5566*1000+C5566</f>
        <v>76023</v>
      </c>
      <c r="B5566" s="0" t="n">
        <v>76</v>
      </c>
      <c r="C5566" s="0" t="n">
        <v>23</v>
      </c>
      <c r="D5566" s="0" t="n">
        <v>0</v>
      </c>
      <c r="E5566" s="0" t="n">
        <f aca="false">VLOOKUP(B5566,'Babblefish-APUMA'!$A$1:$B$86,2)</f>
        <v>76</v>
      </c>
      <c r="F5566" s="0" t="n">
        <f aca="false">IF(C5566&gt;1,IF(C5566&lt;99,VLOOKUP(C5566,'Babblefish-APUMA'!$A$1:$B$86,2),C5566),C5566)</f>
        <v>97</v>
      </c>
    </row>
    <row r="5567" customFormat="false" ht="12.75" hidden="false" customHeight="false" outlineLevel="0" collapsed="false">
      <c r="A5567" s="0" t="n">
        <f aca="false">B5567*1000+C5567</f>
        <v>76024</v>
      </c>
      <c r="B5567" s="0" t="n">
        <v>76</v>
      </c>
      <c r="C5567" s="0" t="n">
        <v>24</v>
      </c>
      <c r="D5567" s="0" t="n">
        <v>0</v>
      </c>
      <c r="E5567" s="0" t="n">
        <f aca="false">VLOOKUP(B5567,'Babblefish-APUMA'!$A$1:$B$86,2)</f>
        <v>76</v>
      </c>
      <c r="F5567" s="0" t="n">
        <f aca="false">IF(C5567&gt;1,IF(C5567&lt;99,VLOOKUP(C5567,'Babblefish-APUMA'!$A$1:$B$86,2),C5567),C5567)</f>
        <v>101</v>
      </c>
    </row>
    <row r="5568" customFormat="false" ht="12.75" hidden="false" customHeight="false" outlineLevel="0" collapsed="false">
      <c r="A5568" s="0" t="n">
        <f aca="false">B5568*1000+C5568</f>
        <v>76025</v>
      </c>
      <c r="B5568" s="0" t="n">
        <v>76</v>
      </c>
      <c r="C5568" s="0" t="n">
        <v>25</v>
      </c>
      <c r="D5568" s="0" t="n">
        <v>104</v>
      </c>
      <c r="E5568" s="0" t="n">
        <f aca="false">VLOOKUP(B5568,'Babblefish-APUMA'!$A$1:$B$86,2)</f>
        <v>76</v>
      </c>
      <c r="F5568" s="0" t="n">
        <f aca="false">IF(C5568&gt;1,IF(C5568&lt;99,VLOOKUP(C5568,'Babblefish-APUMA'!$A$1:$B$86,2),C5568),C5568)</f>
        <v>101</v>
      </c>
    </row>
    <row r="5569" customFormat="false" ht="12.75" hidden="false" customHeight="false" outlineLevel="0" collapsed="false">
      <c r="A5569" s="0" t="n">
        <f aca="false">B5569*1000+C5569</f>
        <v>76026</v>
      </c>
      <c r="B5569" s="0" t="n">
        <v>76</v>
      </c>
      <c r="C5569" s="0" t="n">
        <v>26</v>
      </c>
      <c r="D5569" s="0" t="n">
        <v>0</v>
      </c>
      <c r="E5569" s="0" t="n">
        <f aca="false">VLOOKUP(B5569,'Babblefish-APUMA'!$A$1:$B$86,2)</f>
        <v>76</v>
      </c>
      <c r="F5569" s="0" t="n">
        <f aca="false">IF(C5569&gt;1,IF(C5569&lt;99,VLOOKUP(C5569,'Babblefish-APUMA'!$A$1:$B$86,2),C5569),C5569)</f>
        <v>26</v>
      </c>
    </row>
    <row r="5570" customFormat="false" ht="12.75" hidden="false" customHeight="false" outlineLevel="0" collapsed="false">
      <c r="A5570" s="0" t="n">
        <f aca="false">B5570*1000+C5570</f>
        <v>76027</v>
      </c>
      <c r="B5570" s="0" t="n">
        <v>76</v>
      </c>
      <c r="C5570" s="0" t="n">
        <v>27</v>
      </c>
      <c r="D5570" s="0" t="n">
        <v>104</v>
      </c>
      <c r="E5570" s="0" t="n">
        <f aca="false">VLOOKUP(B5570,'Babblefish-APUMA'!$A$1:$B$86,2)</f>
        <v>76</v>
      </c>
      <c r="F5570" s="0" t="n">
        <f aca="false">IF(C5570&gt;1,IF(C5570&lt;99,VLOOKUP(C5570,'Babblefish-APUMA'!$A$1:$B$86,2),C5570),C5570)</f>
        <v>27</v>
      </c>
    </row>
    <row r="5571" customFormat="false" ht="12.75" hidden="false" customHeight="false" outlineLevel="0" collapsed="false">
      <c r="A5571" s="0" t="n">
        <f aca="false">B5571*1000+C5571</f>
        <v>76028</v>
      </c>
      <c r="B5571" s="0" t="n">
        <v>76</v>
      </c>
      <c r="C5571" s="0" t="n">
        <v>28</v>
      </c>
      <c r="D5571" s="0" t="n">
        <v>0</v>
      </c>
      <c r="E5571" s="0" t="n">
        <f aca="false">VLOOKUP(B5571,'Babblefish-APUMA'!$A$1:$B$86,2)</f>
        <v>76</v>
      </c>
      <c r="F5571" s="0" t="n">
        <f aca="false">IF(C5571&gt;1,IF(C5571&lt;99,VLOOKUP(C5571,'Babblefish-APUMA'!$A$1:$B$86,2),C5571),C5571)</f>
        <v>94</v>
      </c>
    </row>
    <row r="5572" customFormat="false" ht="12.75" hidden="false" customHeight="false" outlineLevel="0" collapsed="false">
      <c r="A5572" s="0" t="n">
        <f aca="false">B5572*1000+C5572</f>
        <v>76029</v>
      </c>
      <c r="B5572" s="0" t="n">
        <v>76</v>
      </c>
      <c r="C5572" s="0" t="n">
        <v>29</v>
      </c>
      <c r="D5572" s="0" t="n">
        <v>0</v>
      </c>
      <c r="E5572" s="0" t="n">
        <f aca="false">VLOOKUP(B5572,'Babblefish-APUMA'!$A$1:$B$86,2)</f>
        <v>76</v>
      </c>
      <c r="F5572" s="0" t="n">
        <f aca="false">IF(C5572&gt;1,IF(C5572&lt;99,VLOOKUP(C5572,'Babblefish-APUMA'!$A$1:$B$86,2),C5572),C5572)</f>
        <v>94</v>
      </c>
    </row>
    <row r="5573" customFormat="false" ht="12.75" hidden="false" customHeight="false" outlineLevel="0" collapsed="false">
      <c r="A5573" s="0" t="n">
        <f aca="false">B5573*1000+C5573</f>
        <v>76030</v>
      </c>
      <c r="B5573" s="0" t="n">
        <v>76</v>
      </c>
      <c r="C5573" s="0" t="n">
        <v>30</v>
      </c>
      <c r="D5573" s="0" t="n">
        <v>0</v>
      </c>
      <c r="E5573" s="0" t="n">
        <f aca="false">VLOOKUP(B5573,'Babblefish-APUMA'!$A$1:$B$86,2)</f>
        <v>76</v>
      </c>
      <c r="F5573" s="0" t="n">
        <f aca="false">IF(C5573&gt;1,IF(C5573&lt;99,VLOOKUP(C5573,'Babblefish-APUMA'!$A$1:$B$86,2),C5573),C5573)</f>
        <v>30</v>
      </c>
    </row>
    <row r="5574" customFormat="false" ht="12.75" hidden="false" customHeight="false" outlineLevel="0" collapsed="false">
      <c r="A5574" s="0" t="n">
        <f aca="false">B5574*1000+C5574</f>
        <v>76031</v>
      </c>
      <c r="B5574" s="0" t="n">
        <v>76</v>
      </c>
      <c r="C5574" s="0" t="n">
        <v>31</v>
      </c>
      <c r="D5574" s="0" t="n">
        <v>0</v>
      </c>
      <c r="E5574" s="0" t="n">
        <f aca="false">VLOOKUP(B5574,'Babblefish-APUMA'!$A$1:$B$86,2)</f>
        <v>76</v>
      </c>
      <c r="F5574" s="0" t="n">
        <f aca="false">IF(C5574&gt;1,IF(C5574&lt;99,VLOOKUP(C5574,'Babblefish-APUMA'!$A$1:$B$86,2),C5574),C5574)</f>
        <v>31</v>
      </c>
    </row>
    <row r="5575" customFormat="false" ht="12.75" hidden="false" customHeight="false" outlineLevel="0" collapsed="false">
      <c r="A5575" s="0" t="n">
        <f aca="false">B5575*1000+C5575</f>
        <v>76032</v>
      </c>
      <c r="B5575" s="0" t="n">
        <v>76</v>
      </c>
      <c r="C5575" s="0" t="n">
        <v>32</v>
      </c>
      <c r="D5575" s="0" t="n">
        <v>0</v>
      </c>
      <c r="E5575" s="0" t="n">
        <f aca="false">VLOOKUP(B5575,'Babblefish-APUMA'!$A$1:$B$86,2)</f>
        <v>76</v>
      </c>
      <c r="F5575" s="0" t="n">
        <f aca="false">IF(C5575&gt;1,IF(C5575&lt;99,VLOOKUP(C5575,'Babblefish-APUMA'!$A$1:$B$86,2),C5575),C5575)</f>
        <v>32</v>
      </c>
    </row>
    <row r="5576" customFormat="false" ht="12.75" hidden="false" customHeight="false" outlineLevel="0" collapsed="false">
      <c r="A5576" s="0" t="n">
        <f aca="false">B5576*1000+C5576</f>
        <v>76033</v>
      </c>
      <c r="B5576" s="0" t="n">
        <v>76</v>
      </c>
      <c r="C5576" s="0" t="n">
        <v>33</v>
      </c>
      <c r="D5576" s="0" t="n">
        <v>91</v>
      </c>
      <c r="E5576" s="0" t="n">
        <f aca="false">VLOOKUP(B5576,'Babblefish-APUMA'!$A$1:$B$86,2)</f>
        <v>76</v>
      </c>
      <c r="F5576" s="0" t="n">
        <f aca="false">IF(C5576&gt;1,IF(C5576&lt;99,VLOOKUP(C5576,'Babblefish-APUMA'!$A$1:$B$86,2),C5576),C5576)</f>
        <v>96</v>
      </c>
    </row>
    <row r="5577" customFormat="false" ht="12.75" hidden="false" customHeight="false" outlineLevel="0" collapsed="false">
      <c r="A5577" s="0" t="n">
        <f aca="false">B5577*1000+C5577</f>
        <v>76034</v>
      </c>
      <c r="B5577" s="0" t="n">
        <v>76</v>
      </c>
      <c r="C5577" s="0" t="n">
        <v>34</v>
      </c>
      <c r="D5577" s="0" t="n">
        <v>0</v>
      </c>
      <c r="E5577" s="0" t="n">
        <f aca="false">VLOOKUP(B5577,'Babblefish-APUMA'!$A$1:$B$86,2)</f>
        <v>76</v>
      </c>
      <c r="F5577" s="0" t="n">
        <f aca="false">IF(C5577&gt;1,IF(C5577&lt;99,VLOOKUP(C5577,'Babblefish-APUMA'!$A$1:$B$86,2),C5577),C5577)</f>
        <v>96</v>
      </c>
    </row>
    <row r="5578" customFormat="false" ht="12.75" hidden="false" customHeight="false" outlineLevel="0" collapsed="false">
      <c r="A5578" s="0" t="n">
        <f aca="false">B5578*1000+C5578</f>
        <v>76035</v>
      </c>
      <c r="B5578" s="0" t="n">
        <v>76</v>
      </c>
      <c r="C5578" s="0" t="n">
        <v>35</v>
      </c>
      <c r="D5578" s="0" t="n">
        <v>0</v>
      </c>
      <c r="E5578" s="0" t="n">
        <f aca="false">VLOOKUP(B5578,'Babblefish-APUMA'!$A$1:$B$86,2)</f>
        <v>76</v>
      </c>
      <c r="F5578" s="0" t="n">
        <f aca="false">IF(C5578&gt;1,IF(C5578&lt;99,VLOOKUP(C5578,'Babblefish-APUMA'!$A$1:$B$86,2),C5578),C5578)</f>
        <v>96</v>
      </c>
    </row>
    <row r="5579" customFormat="false" ht="12.75" hidden="false" customHeight="false" outlineLevel="0" collapsed="false">
      <c r="A5579" s="0" t="n">
        <f aca="false">B5579*1000+C5579</f>
        <v>76036</v>
      </c>
      <c r="B5579" s="0" t="n">
        <v>76</v>
      </c>
      <c r="C5579" s="0" t="n">
        <v>36</v>
      </c>
      <c r="D5579" s="0" t="n">
        <v>0</v>
      </c>
      <c r="E5579" s="0" t="n">
        <f aca="false">VLOOKUP(B5579,'Babblefish-APUMA'!$A$1:$B$86,2)</f>
        <v>76</v>
      </c>
      <c r="F5579" s="0" t="n">
        <f aca="false">IF(C5579&gt;1,IF(C5579&lt;99,VLOOKUP(C5579,'Babblefish-APUMA'!$A$1:$B$86,2),C5579),C5579)</f>
        <v>96</v>
      </c>
    </row>
    <row r="5580" customFormat="false" ht="12.75" hidden="false" customHeight="false" outlineLevel="0" collapsed="false">
      <c r="A5580" s="0" t="n">
        <f aca="false">B5580*1000+C5580</f>
        <v>76037</v>
      </c>
      <c r="B5580" s="0" t="n">
        <v>76</v>
      </c>
      <c r="C5580" s="0" t="n">
        <v>37</v>
      </c>
      <c r="D5580" s="0" t="n">
        <v>0</v>
      </c>
      <c r="E5580" s="0" t="n">
        <f aca="false">VLOOKUP(B5580,'Babblefish-APUMA'!$A$1:$B$86,2)</f>
        <v>76</v>
      </c>
      <c r="F5580" s="0" t="n">
        <f aca="false">IF(C5580&gt;1,IF(C5580&lt;99,VLOOKUP(C5580,'Babblefish-APUMA'!$A$1:$B$86,2),C5580),C5580)</f>
        <v>96</v>
      </c>
    </row>
    <row r="5581" customFormat="false" ht="12.75" hidden="false" customHeight="false" outlineLevel="0" collapsed="false">
      <c r="A5581" s="0" t="n">
        <f aca="false">B5581*1000+C5581</f>
        <v>76038</v>
      </c>
      <c r="B5581" s="0" t="n">
        <v>76</v>
      </c>
      <c r="C5581" s="0" t="n">
        <v>38</v>
      </c>
      <c r="D5581" s="0" t="n">
        <v>1157</v>
      </c>
      <c r="E5581" s="0" t="n">
        <f aca="false">VLOOKUP(B5581,'Babblefish-APUMA'!$A$1:$B$86,2)</f>
        <v>76</v>
      </c>
      <c r="F5581" s="0" t="n">
        <f aca="false">IF(C5581&gt;1,IF(C5581&lt;99,VLOOKUP(C5581,'Babblefish-APUMA'!$A$1:$B$86,2),C5581),C5581)</f>
        <v>91</v>
      </c>
    </row>
    <row r="5582" customFormat="false" ht="12.75" hidden="false" customHeight="false" outlineLevel="0" collapsed="false">
      <c r="A5582" s="0" t="n">
        <f aca="false">B5582*1000+C5582</f>
        <v>76039</v>
      </c>
      <c r="B5582" s="0" t="n">
        <v>76</v>
      </c>
      <c r="C5582" s="0" t="n">
        <v>39</v>
      </c>
      <c r="D5582" s="0" t="n">
        <v>3263</v>
      </c>
      <c r="E5582" s="0" t="n">
        <f aca="false">VLOOKUP(B5582,'Babblefish-APUMA'!$A$1:$B$86,2)</f>
        <v>76</v>
      </c>
      <c r="F5582" s="0" t="n">
        <f aca="false">IF(C5582&gt;1,IF(C5582&lt;99,VLOOKUP(C5582,'Babblefish-APUMA'!$A$1:$B$86,2),C5582),C5582)</f>
        <v>91</v>
      </c>
    </row>
    <row r="5583" customFormat="false" ht="12.75" hidden="false" customHeight="false" outlineLevel="0" collapsed="false">
      <c r="A5583" s="0" t="n">
        <f aca="false">B5583*1000+C5583</f>
        <v>76040</v>
      </c>
      <c r="B5583" s="0" t="n">
        <v>76</v>
      </c>
      <c r="C5583" s="0" t="n">
        <v>40</v>
      </c>
      <c r="D5583" s="0" t="n">
        <v>0</v>
      </c>
      <c r="E5583" s="0" t="n">
        <f aca="false">VLOOKUP(B5583,'Babblefish-APUMA'!$A$1:$B$86,2)</f>
        <v>76</v>
      </c>
      <c r="F5583" s="0" t="n">
        <f aca="false">IF(C5583&gt;1,IF(C5583&lt;99,VLOOKUP(C5583,'Babblefish-APUMA'!$A$1:$B$86,2),C5583),C5583)</f>
        <v>88</v>
      </c>
    </row>
    <row r="5584" customFormat="false" ht="12.75" hidden="false" customHeight="false" outlineLevel="0" collapsed="false">
      <c r="A5584" s="0" t="n">
        <f aca="false">B5584*1000+C5584</f>
        <v>76041</v>
      </c>
      <c r="B5584" s="0" t="n">
        <v>76</v>
      </c>
      <c r="C5584" s="0" t="n">
        <v>41</v>
      </c>
      <c r="D5584" s="0" t="n">
        <v>52</v>
      </c>
      <c r="E5584" s="0" t="n">
        <f aca="false">VLOOKUP(B5584,'Babblefish-APUMA'!$A$1:$B$86,2)</f>
        <v>76</v>
      </c>
      <c r="F5584" s="0" t="n">
        <f aca="false">IF(C5584&gt;1,IF(C5584&lt;99,VLOOKUP(C5584,'Babblefish-APUMA'!$A$1:$B$86,2),C5584),C5584)</f>
        <v>88</v>
      </c>
    </row>
    <row r="5585" customFormat="false" ht="12.75" hidden="false" customHeight="false" outlineLevel="0" collapsed="false">
      <c r="A5585" s="0" t="n">
        <f aca="false">B5585*1000+C5585</f>
        <v>76042</v>
      </c>
      <c r="B5585" s="0" t="n">
        <v>76</v>
      </c>
      <c r="C5585" s="0" t="n">
        <v>42</v>
      </c>
      <c r="D5585" s="0" t="n">
        <v>0</v>
      </c>
      <c r="E5585" s="0" t="n">
        <f aca="false">VLOOKUP(B5585,'Babblefish-APUMA'!$A$1:$B$86,2)</f>
        <v>76</v>
      </c>
      <c r="F5585" s="0" t="n">
        <f aca="false">IF(C5585&gt;1,IF(C5585&lt;99,VLOOKUP(C5585,'Babblefish-APUMA'!$A$1:$B$86,2),C5585),C5585)</f>
        <v>92</v>
      </c>
    </row>
    <row r="5586" customFormat="false" ht="12.75" hidden="false" customHeight="false" outlineLevel="0" collapsed="false">
      <c r="A5586" s="0" t="n">
        <f aca="false">B5586*1000+C5586</f>
        <v>76043</v>
      </c>
      <c r="B5586" s="0" t="n">
        <v>76</v>
      </c>
      <c r="C5586" s="0" t="n">
        <v>43</v>
      </c>
      <c r="D5586" s="0" t="n">
        <v>0</v>
      </c>
      <c r="E5586" s="0" t="n">
        <f aca="false">VLOOKUP(B5586,'Babblefish-APUMA'!$A$1:$B$86,2)</f>
        <v>76</v>
      </c>
      <c r="F5586" s="0" t="n">
        <f aca="false">IF(C5586&gt;1,IF(C5586&lt;99,VLOOKUP(C5586,'Babblefish-APUMA'!$A$1:$B$86,2),C5586),C5586)</f>
        <v>92</v>
      </c>
    </row>
    <row r="5587" customFormat="false" ht="12.75" hidden="false" customHeight="false" outlineLevel="0" collapsed="false">
      <c r="A5587" s="0" t="n">
        <f aca="false">B5587*1000+C5587</f>
        <v>76044</v>
      </c>
      <c r="B5587" s="0" t="n">
        <v>76</v>
      </c>
      <c r="C5587" s="0" t="n">
        <v>44</v>
      </c>
      <c r="D5587" s="0" t="n">
        <v>0</v>
      </c>
      <c r="E5587" s="0" t="n">
        <f aca="false">VLOOKUP(B5587,'Babblefish-APUMA'!$A$1:$B$86,2)</f>
        <v>76</v>
      </c>
      <c r="F5587" s="0" t="n">
        <f aca="false">IF(C5587&gt;1,IF(C5587&lt;99,VLOOKUP(C5587,'Babblefish-APUMA'!$A$1:$B$86,2),C5587),C5587)</f>
        <v>92</v>
      </c>
    </row>
    <row r="5588" customFormat="false" ht="12.75" hidden="false" customHeight="false" outlineLevel="0" collapsed="false">
      <c r="A5588" s="0" t="n">
        <f aca="false">B5588*1000+C5588</f>
        <v>76045</v>
      </c>
      <c r="B5588" s="0" t="n">
        <v>76</v>
      </c>
      <c r="C5588" s="0" t="n">
        <v>45</v>
      </c>
      <c r="D5588" s="0" t="n">
        <v>0</v>
      </c>
      <c r="E5588" s="0" t="n">
        <f aca="false">VLOOKUP(B5588,'Babblefish-APUMA'!$A$1:$B$86,2)</f>
        <v>76</v>
      </c>
      <c r="F5588" s="0" t="n">
        <f aca="false">IF(C5588&gt;1,IF(C5588&lt;99,VLOOKUP(C5588,'Babblefish-APUMA'!$A$1:$B$86,2),C5588),C5588)</f>
        <v>92</v>
      </c>
    </row>
    <row r="5589" customFormat="false" ht="12.75" hidden="false" customHeight="false" outlineLevel="0" collapsed="false">
      <c r="A5589" s="0" t="n">
        <f aca="false">B5589*1000+C5589</f>
        <v>76046</v>
      </c>
      <c r="B5589" s="0" t="n">
        <v>76</v>
      </c>
      <c r="C5589" s="0" t="n">
        <v>46</v>
      </c>
      <c r="D5589" s="0" t="n">
        <v>0</v>
      </c>
      <c r="E5589" s="0" t="n">
        <f aca="false">VLOOKUP(B5589,'Babblefish-APUMA'!$A$1:$B$86,2)</f>
        <v>76</v>
      </c>
      <c r="F5589" s="0" t="n">
        <f aca="false">IF(C5589&gt;1,IF(C5589&lt;99,VLOOKUP(C5589,'Babblefish-APUMA'!$A$1:$B$86,2),C5589),C5589)</f>
        <v>92</v>
      </c>
    </row>
    <row r="5590" customFormat="false" ht="12.75" hidden="false" customHeight="false" outlineLevel="0" collapsed="false">
      <c r="A5590" s="0" t="n">
        <f aca="false">B5590*1000+C5590</f>
        <v>76047</v>
      </c>
      <c r="B5590" s="0" t="n">
        <v>76</v>
      </c>
      <c r="C5590" s="0" t="n">
        <v>47</v>
      </c>
      <c r="D5590" s="0" t="n">
        <v>0</v>
      </c>
      <c r="E5590" s="0" t="n">
        <f aca="false">VLOOKUP(B5590,'Babblefish-APUMA'!$A$1:$B$86,2)</f>
        <v>76</v>
      </c>
      <c r="F5590" s="0" t="n">
        <f aca="false">IF(C5590&gt;1,IF(C5590&lt;99,VLOOKUP(C5590,'Babblefish-APUMA'!$A$1:$B$86,2),C5590),C5590)</f>
        <v>92</v>
      </c>
    </row>
    <row r="5591" customFormat="false" ht="12.75" hidden="false" customHeight="false" outlineLevel="0" collapsed="false">
      <c r="A5591" s="0" t="n">
        <f aca="false">B5591*1000+C5591</f>
        <v>76048</v>
      </c>
      <c r="B5591" s="0" t="n">
        <v>76</v>
      </c>
      <c r="C5591" s="0" t="n">
        <v>48</v>
      </c>
      <c r="D5591" s="0" t="n">
        <v>0</v>
      </c>
      <c r="E5591" s="0" t="n">
        <f aca="false">VLOOKUP(B5591,'Babblefish-APUMA'!$A$1:$B$86,2)</f>
        <v>76</v>
      </c>
      <c r="F5591" s="0" t="n">
        <f aca="false">IF(C5591&gt;1,IF(C5591&lt;99,VLOOKUP(C5591,'Babblefish-APUMA'!$A$1:$B$86,2),C5591),C5591)</f>
        <v>92</v>
      </c>
    </row>
    <row r="5592" customFormat="false" ht="12.75" hidden="false" customHeight="false" outlineLevel="0" collapsed="false">
      <c r="A5592" s="0" t="n">
        <f aca="false">B5592*1000+C5592</f>
        <v>76049</v>
      </c>
      <c r="B5592" s="0" t="n">
        <v>76</v>
      </c>
      <c r="C5592" s="0" t="n">
        <v>49</v>
      </c>
      <c r="D5592" s="0" t="n">
        <v>7371</v>
      </c>
      <c r="E5592" s="0" t="n">
        <f aca="false">VLOOKUP(B5592,'Babblefish-APUMA'!$A$1:$B$86,2)</f>
        <v>76</v>
      </c>
      <c r="F5592" s="0" t="n">
        <f aca="false">IF(C5592&gt;1,IF(C5592&lt;99,VLOOKUP(C5592,'Babblefish-APUMA'!$A$1:$B$86,2),C5592),C5592)</f>
        <v>98</v>
      </c>
    </row>
    <row r="5593" customFormat="false" ht="12.75" hidden="false" customHeight="false" outlineLevel="0" collapsed="false">
      <c r="A5593" s="0" t="n">
        <f aca="false">B5593*1000+C5593</f>
        <v>76050</v>
      </c>
      <c r="B5593" s="0" t="n">
        <v>76</v>
      </c>
      <c r="C5593" s="0" t="n">
        <v>50</v>
      </c>
      <c r="D5593" s="0" t="n">
        <v>1482</v>
      </c>
      <c r="E5593" s="0" t="n">
        <f aca="false">VLOOKUP(B5593,'Babblefish-APUMA'!$A$1:$B$86,2)</f>
        <v>76</v>
      </c>
      <c r="F5593" s="0" t="n">
        <f aca="false">IF(C5593&gt;1,IF(C5593&lt;99,VLOOKUP(C5593,'Babblefish-APUMA'!$A$1:$B$86,2),C5593),C5593)</f>
        <v>98</v>
      </c>
    </row>
    <row r="5594" customFormat="false" ht="12.75" hidden="false" customHeight="false" outlineLevel="0" collapsed="false">
      <c r="A5594" s="0" t="n">
        <f aca="false">B5594*1000+C5594</f>
        <v>76051</v>
      </c>
      <c r="B5594" s="0" t="n">
        <v>76</v>
      </c>
      <c r="C5594" s="0" t="n">
        <v>51</v>
      </c>
      <c r="D5594" s="0" t="n">
        <v>6591</v>
      </c>
      <c r="E5594" s="0" t="n">
        <f aca="false">VLOOKUP(B5594,'Babblefish-APUMA'!$A$1:$B$86,2)</f>
        <v>76</v>
      </c>
      <c r="F5594" s="0" t="n">
        <f aca="false">IF(C5594&gt;1,IF(C5594&lt;99,VLOOKUP(C5594,'Babblefish-APUMA'!$A$1:$B$86,2),C5594),C5594)</f>
        <v>98</v>
      </c>
    </row>
    <row r="5595" customFormat="false" ht="12.75" hidden="false" customHeight="false" outlineLevel="0" collapsed="false">
      <c r="A5595" s="0" t="n">
        <f aca="false">B5595*1000+C5595</f>
        <v>76052</v>
      </c>
      <c r="B5595" s="0" t="n">
        <v>76</v>
      </c>
      <c r="C5595" s="0" t="n">
        <v>52</v>
      </c>
      <c r="D5595" s="0" t="n">
        <v>0</v>
      </c>
      <c r="E5595" s="0" t="n">
        <f aca="false">VLOOKUP(B5595,'Babblefish-APUMA'!$A$1:$B$86,2)</f>
        <v>76</v>
      </c>
      <c r="F5595" s="0" t="n">
        <f aca="false">IF(C5595&gt;1,IF(C5595&lt;99,VLOOKUP(C5595,'Babblefish-APUMA'!$A$1:$B$86,2),C5595),C5595)</f>
        <v>90</v>
      </c>
    </row>
    <row r="5596" customFormat="false" ht="12.75" hidden="false" customHeight="false" outlineLevel="0" collapsed="false">
      <c r="A5596" s="0" t="n">
        <f aca="false">B5596*1000+C5596</f>
        <v>76053</v>
      </c>
      <c r="B5596" s="0" t="n">
        <v>76</v>
      </c>
      <c r="C5596" s="0" t="n">
        <v>53</v>
      </c>
      <c r="D5596" s="0" t="n">
        <v>0</v>
      </c>
      <c r="E5596" s="0" t="n">
        <f aca="false">VLOOKUP(B5596,'Babblefish-APUMA'!$A$1:$B$86,2)</f>
        <v>76</v>
      </c>
      <c r="F5596" s="0" t="n">
        <f aca="false">IF(C5596&gt;1,IF(C5596&lt;99,VLOOKUP(C5596,'Babblefish-APUMA'!$A$1:$B$86,2),C5596),C5596)</f>
        <v>90</v>
      </c>
    </row>
    <row r="5597" customFormat="false" ht="12.75" hidden="false" customHeight="false" outlineLevel="0" collapsed="false">
      <c r="A5597" s="0" t="n">
        <f aca="false">B5597*1000+C5597</f>
        <v>76054</v>
      </c>
      <c r="B5597" s="0" t="n">
        <v>76</v>
      </c>
      <c r="C5597" s="0" t="n">
        <v>54</v>
      </c>
      <c r="D5597" s="0" t="n">
        <v>0</v>
      </c>
      <c r="E5597" s="0" t="n">
        <f aca="false">VLOOKUP(B5597,'Babblefish-APUMA'!$A$1:$B$86,2)</f>
        <v>76</v>
      </c>
      <c r="F5597" s="0" t="n">
        <f aca="false">IF(C5597&gt;1,IF(C5597&lt;99,VLOOKUP(C5597,'Babblefish-APUMA'!$A$1:$B$86,2),C5597),C5597)</f>
        <v>90</v>
      </c>
    </row>
    <row r="5598" customFormat="false" ht="12.75" hidden="false" customHeight="false" outlineLevel="0" collapsed="false">
      <c r="A5598" s="0" t="n">
        <f aca="false">B5598*1000+C5598</f>
        <v>76055</v>
      </c>
      <c r="B5598" s="0" t="n">
        <v>76</v>
      </c>
      <c r="C5598" s="0" t="n">
        <v>55</v>
      </c>
      <c r="D5598" s="0" t="n">
        <v>0</v>
      </c>
      <c r="E5598" s="0" t="n">
        <f aca="false">VLOOKUP(B5598,'Babblefish-APUMA'!$A$1:$B$86,2)</f>
        <v>76</v>
      </c>
      <c r="F5598" s="0" t="n">
        <f aca="false">IF(C5598&gt;1,IF(C5598&lt;99,VLOOKUP(C5598,'Babblefish-APUMA'!$A$1:$B$86,2),C5598),C5598)</f>
        <v>90</v>
      </c>
    </row>
    <row r="5599" customFormat="false" ht="12.75" hidden="false" customHeight="false" outlineLevel="0" collapsed="false">
      <c r="A5599" s="0" t="n">
        <f aca="false">B5599*1000+C5599</f>
        <v>76056</v>
      </c>
      <c r="B5599" s="0" t="n">
        <v>76</v>
      </c>
      <c r="C5599" s="0" t="n">
        <v>56</v>
      </c>
      <c r="D5599" s="0" t="n">
        <v>0</v>
      </c>
      <c r="E5599" s="0" t="n">
        <f aca="false">VLOOKUP(B5599,'Babblefish-APUMA'!$A$1:$B$86,2)</f>
        <v>76</v>
      </c>
      <c r="F5599" s="0" t="n">
        <f aca="false">IF(C5599&gt;1,IF(C5599&lt;99,VLOOKUP(C5599,'Babblefish-APUMA'!$A$1:$B$86,2),C5599),C5599)</f>
        <v>90</v>
      </c>
    </row>
    <row r="5600" customFormat="false" ht="12.75" hidden="false" customHeight="false" outlineLevel="0" collapsed="false">
      <c r="A5600" s="0" t="n">
        <f aca="false">B5600*1000+C5600</f>
        <v>76057</v>
      </c>
      <c r="B5600" s="0" t="n">
        <v>76</v>
      </c>
      <c r="C5600" s="0" t="n">
        <v>57</v>
      </c>
      <c r="D5600" s="0" t="n">
        <v>0</v>
      </c>
      <c r="E5600" s="0" t="n">
        <f aca="false">VLOOKUP(B5600,'Babblefish-APUMA'!$A$1:$B$86,2)</f>
        <v>76</v>
      </c>
      <c r="F5600" s="0" t="n">
        <f aca="false">IF(C5600&gt;1,IF(C5600&lt;99,VLOOKUP(C5600,'Babblefish-APUMA'!$A$1:$B$86,2),C5600),C5600)</f>
        <v>90</v>
      </c>
    </row>
    <row r="5601" customFormat="false" ht="12.75" hidden="false" customHeight="false" outlineLevel="0" collapsed="false">
      <c r="A5601" s="0" t="n">
        <f aca="false">B5601*1000+C5601</f>
        <v>76058</v>
      </c>
      <c r="B5601" s="0" t="n">
        <v>76</v>
      </c>
      <c r="C5601" s="0" t="n">
        <v>58</v>
      </c>
      <c r="D5601" s="0" t="n">
        <v>0</v>
      </c>
      <c r="E5601" s="0" t="n">
        <f aca="false">VLOOKUP(B5601,'Babblefish-APUMA'!$A$1:$B$86,2)</f>
        <v>76</v>
      </c>
      <c r="F5601" s="0" t="n">
        <f aca="false">IF(C5601&gt;1,IF(C5601&lt;99,VLOOKUP(C5601,'Babblefish-APUMA'!$A$1:$B$86,2),C5601),C5601)</f>
        <v>90</v>
      </c>
    </row>
    <row r="5602" customFormat="false" ht="12.75" hidden="false" customHeight="false" outlineLevel="0" collapsed="false">
      <c r="A5602" s="0" t="n">
        <f aca="false">B5602*1000+C5602</f>
        <v>76059</v>
      </c>
      <c r="B5602" s="0" t="n">
        <v>76</v>
      </c>
      <c r="C5602" s="0" t="n">
        <v>59</v>
      </c>
      <c r="D5602" s="0" t="n">
        <v>0</v>
      </c>
      <c r="E5602" s="0" t="n">
        <f aca="false">VLOOKUP(B5602,'Babblefish-APUMA'!$A$1:$B$86,2)</f>
        <v>76</v>
      </c>
      <c r="F5602" s="0" t="n">
        <f aca="false">IF(C5602&gt;1,IF(C5602&lt;99,VLOOKUP(C5602,'Babblefish-APUMA'!$A$1:$B$86,2),C5602),C5602)</f>
        <v>90</v>
      </c>
    </row>
    <row r="5603" customFormat="false" ht="12.75" hidden="false" customHeight="false" outlineLevel="0" collapsed="false">
      <c r="A5603" s="0" t="n">
        <f aca="false">B5603*1000+C5603</f>
        <v>76060</v>
      </c>
      <c r="B5603" s="0" t="n">
        <v>76</v>
      </c>
      <c r="C5603" s="0" t="n">
        <v>60</v>
      </c>
      <c r="D5603" s="0" t="n">
        <v>0</v>
      </c>
      <c r="E5603" s="0" t="n">
        <f aca="false">VLOOKUP(B5603,'Babblefish-APUMA'!$A$1:$B$86,2)</f>
        <v>76</v>
      </c>
      <c r="F5603" s="0" t="n">
        <f aca="false">IF(C5603&gt;1,IF(C5603&lt;99,VLOOKUP(C5603,'Babblefish-APUMA'!$A$1:$B$86,2),C5603),C5603)</f>
        <v>90</v>
      </c>
    </row>
    <row r="5604" customFormat="false" ht="12.75" hidden="false" customHeight="false" outlineLevel="0" collapsed="false">
      <c r="A5604" s="0" t="n">
        <f aca="false">B5604*1000+C5604</f>
        <v>76061</v>
      </c>
      <c r="B5604" s="0" t="n">
        <v>76</v>
      </c>
      <c r="C5604" s="0" t="n">
        <v>61</v>
      </c>
      <c r="D5604" s="0" t="n">
        <v>0</v>
      </c>
      <c r="E5604" s="0" t="n">
        <f aca="false">VLOOKUP(B5604,'Babblefish-APUMA'!$A$1:$B$86,2)</f>
        <v>76</v>
      </c>
      <c r="F5604" s="0" t="n">
        <f aca="false">IF(C5604&gt;1,IF(C5604&lt;99,VLOOKUP(C5604,'Babblefish-APUMA'!$A$1:$B$86,2),C5604),C5604)</f>
        <v>90</v>
      </c>
    </row>
    <row r="5605" customFormat="false" ht="12.75" hidden="false" customHeight="false" outlineLevel="0" collapsed="false">
      <c r="A5605" s="0" t="n">
        <f aca="false">B5605*1000+C5605</f>
        <v>76062</v>
      </c>
      <c r="B5605" s="0" t="n">
        <v>76</v>
      </c>
      <c r="C5605" s="0" t="n">
        <v>62</v>
      </c>
      <c r="D5605" s="0" t="n">
        <v>0</v>
      </c>
      <c r="E5605" s="0" t="n">
        <f aca="false">VLOOKUP(B5605,'Babblefish-APUMA'!$A$1:$B$86,2)</f>
        <v>76</v>
      </c>
      <c r="F5605" s="0" t="n">
        <f aca="false">IF(C5605&gt;1,IF(C5605&lt;99,VLOOKUP(C5605,'Babblefish-APUMA'!$A$1:$B$86,2),C5605),C5605)</f>
        <v>90</v>
      </c>
    </row>
    <row r="5606" customFormat="false" ht="12.75" hidden="false" customHeight="false" outlineLevel="0" collapsed="false">
      <c r="A5606" s="0" t="n">
        <f aca="false">B5606*1000+C5606</f>
        <v>76063</v>
      </c>
      <c r="B5606" s="0" t="n">
        <v>76</v>
      </c>
      <c r="C5606" s="0" t="n">
        <v>63</v>
      </c>
      <c r="D5606" s="0" t="n">
        <v>0</v>
      </c>
      <c r="E5606" s="0" t="n">
        <f aca="false">VLOOKUP(B5606,'Babblefish-APUMA'!$A$1:$B$86,2)</f>
        <v>76</v>
      </c>
      <c r="F5606" s="0" t="n">
        <f aca="false">IF(C5606&gt;1,IF(C5606&lt;99,VLOOKUP(C5606,'Babblefish-APUMA'!$A$1:$B$86,2),C5606),C5606)</f>
        <v>90</v>
      </c>
    </row>
    <row r="5607" customFormat="false" ht="12.75" hidden="false" customHeight="false" outlineLevel="0" collapsed="false">
      <c r="A5607" s="0" t="n">
        <f aca="false">B5607*1000+C5607</f>
        <v>76064</v>
      </c>
      <c r="B5607" s="0" t="n">
        <v>76</v>
      </c>
      <c r="C5607" s="0" t="n">
        <v>64</v>
      </c>
      <c r="D5607" s="0" t="n">
        <v>0</v>
      </c>
      <c r="E5607" s="0" t="n">
        <f aca="false">VLOOKUP(B5607,'Babblefish-APUMA'!$A$1:$B$86,2)</f>
        <v>76</v>
      </c>
      <c r="F5607" s="0" t="n">
        <f aca="false">IF(C5607&gt;1,IF(C5607&lt;99,VLOOKUP(C5607,'Babblefish-APUMA'!$A$1:$B$86,2),C5607),C5607)</f>
        <v>90</v>
      </c>
    </row>
    <row r="5608" customFormat="false" ht="12.75" hidden="false" customHeight="false" outlineLevel="0" collapsed="false">
      <c r="A5608" s="0" t="n">
        <f aca="false">B5608*1000+C5608</f>
        <v>76065</v>
      </c>
      <c r="B5608" s="0" t="n">
        <v>76</v>
      </c>
      <c r="C5608" s="0" t="n">
        <v>65</v>
      </c>
      <c r="D5608" s="0" t="n">
        <v>247</v>
      </c>
      <c r="E5608" s="0" t="n">
        <f aca="false">VLOOKUP(B5608,'Babblefish-APUMA'!$A$1:$B$86,2)</f>
        <v>76</v>
      </c>
      <c r="F5608" s="0" t="n">
        <f aca="false">IF(C5608&gt;1,IF(C5608&lt;99,VLOOKUP(C5608,'Babblefish-APUMA'!$A$1:$B$86,2),C5608),C5608)</f>
        <v>90</v>
      </c>
    </row>
    <row r="5609" customFormat="false" ht="12.75" hidden="false" customHeight="false" outlineLevel="0" collapsed="false">
      <c r="A5609" s="0" t="n">
        <f aca="false">B5609*1000+C5609</f>
        <v>76066</v>
      </c>
      <c r="B5609" s="0" t="n">
        <v>76</v>
      </c>
      <c r="C5609" s="0" t="n">
        <v>66</v>
      </c>
      <c r="D5609" s="0" t="n">
        <v>0</v>
      </c>
      <c r="E5609" s="0" t="n">
        <f aca="false">VLOOKUP(B5609,'Babblefish-APUMA'!$A$1:$B$86,2)</f>
        <v>76</v>
      </c>
      <c r="F5609" s="0" t="n">
        <f aca="false">IF(C5609&gt;1,IF(C5609&lt;99,VLOOKUP(C5609,'Babblefish-APUMA'!$A$1:$B$86,2),C5609),C5609)</f>
        <v>90</v>
      </c>
    </row>
    <row r="5610" customFormat="false" ht="12.75" hidden="false" customHeight="false" outlineLevel="0" collapsed="false">
      <c r="A5610" s="0" t="n">
        <f aca="false">B5610*1000+C5610</f>
        <v>76067</v>
      </c>
      <c r="B5610" s="0" t="n">
        <v>76</v>
      </c>
      <c r="C5610" s="0" t="n">
        <v>67</v>
      </c>
      <c r="D5610" s="0" t="n">
        <v>0</v>
      </c>
      <c r="E5610" s="0" t="n">
        <f aca="false">VLOOKUP(B5610,'Babblefish-APUMA'!$A$1:$B$86,2)</f>
        <v>76</v>
      </c>
      <c r="F5610" s="0" t="n">
        <f aca="false">IF(C5610&gt;1,IF(C5610&lt;99,VLOOKUP(C5610,'Babblefish-APUMA'!$A$1:$B$86,2),C5610),C5610)</f>
        <v>103</v>
      </c>
    </row>
    <row r="5611" customFormat="false" ht="12.75" hidden="false" customHeight="false" outlineLevel="0" collapsed="false">
      <c r="A5611" s="0" t="n">
        <f aca="false">B5611*1000+C5611</f>
        <v>76068</v>
      </c>
      <c r="B5611" s="0" t="n">
        <v>76</v>
      </c>
      <c r="C5611" s="0" t="n">
        <v>68</v>
      </c>
      <c r="D5611" s="0" t="n">
        <v>0</v>
      </c>
      <c r="E5611" s="0" t="n">
        <f aca="false">VLOOKUP(B5611,'Babblefish-APUMA'!$A$1:$B$86,2)</f>
        <v>76</v>
      </c>
      <c r="F5611" s="0" t="n">
        <f aca="false">IF(C5611&gt;1,IF(C5611&lt;99,VLOOKUP(C5611,'Babblefish-APUMA'!$A$1:$B$86,2),C5611),C5611)</f>
        <v>93</v>
      </c>
    </row>
    <row r="5612" customFormat="false" ht="12.75" hidden="false" customHeight="false" outlineLevel="0" collapsed="false">
      <c r="A5612" s="0" t="n">
        <f aca="false">B5612*1000+C5612</f>
        <v>76069</v>
      </c>
      <c r="B5612" s="0" t="n">
        <v>76</v>
      </c>
      <c r="C5612" s="0" t="n">
        <v>69</v>
      </c>
      <c r="D5612" s="0" t="n">
        <v>0</v>
      </c>
      <c r="E5612" s="0" t="n">
        <f aca="false">VLOOKUP(B5612,'Babblefish-APUMA'!$A$1:$B$86,2)</f>
        <v>76</v>
      </c>
      <c r="F5612" s="0" t="n">
        <f aca="false">IF(C5612&gt;1,IF(C5612&lt;99,VLOOKUP(C5612,'Babblefish-APUMA'!$A$1:$B$86,2),C5612),C5612)</f>
        <v>93</v>
      </c>
    </row>
    <row r="5613" customFormat="false" ht="12.75" hidden="false" customHeight="false" outlineLevel="0" collapsed="false">
      <c r="A5613" s="0" t="n">
        <f aca="false">B5613*1000+C5613</f>
        <v>76070</v>
      </c>
      <c r="B5613" s="0" t="n">
        <v>76</v>
      </c>
      <c r="C5613" s="0" t="n">
        <v>70</v>
      </c>
      <c r="D5613" s="0" t="n">
        <v>0</v>
      </c>
      <c r="E5613" s="0" t="n">
        <f aca="false">VLOOKUP(B5613,'Babblefish-APUMA'!$A$1:$B$86,2)</f>
        <v>76</v>
      </c>
      <c r="F5613" s="0" t="n">
        <f aca="false">IF(C5613&gt;1,IF(C5613&lt;99,VLOOKUP(C5613,'Babblefish-APUMA'!$A$1:$B$86,2),C5613),C5613)</f>
        <v>95</v>
      </c>
    </row>
    <row r="5614" customFormat="false" ht="12.75" hidden="false" customHeight="false" outlineLevel="0" collapsed="false">
      <c r="A5614" s="0" t="n">
        <f aca="false">B5614*1000+C5614</f>
        <v>76071</v>
      </c>
      <c r="B5614" s="0" t="n">
        <v>76</v>
      </c>
      <c r="C5614" s="0" t="n">
        <v>71</v>
      </c>
      <c r="D5614" s="0" t="n">
        <v>0</v>
      </c>
      <c r="E5614" s="0" t="n">
        <f aca="false">VLOOKUP(B5614,'Babblefish-APUMA'!$A$1:$B$86,2)</f>
        <v>76</v>
      </c>
      <c r="F5614" s="0" t="n">
        <f aca="false">IF(C5614&gt;1,IF(C5614&lt;99,VLOOKUP(C5614,'Babblefish-APUMA'!$A$1:$B$86,2),C5614),C5614)</f>
        <v>95</v>
      </c>
    </row>
    <row r="5615" customFormat="false" ht="12.75" hidden="false" customHeight="false" outlineLevel="0" collapsed="false">
      <c r="A5615" s="0" t="n">
        <f aca="false">B5615*1000+C5615</f>
        <v>76072</v>
      </c>
      <c r="B5615" s="0" t="n">
        <v>76</v>
      </c>
      <c r="C5615" s="0" t="n">
        <v>72</v>
      </c>
      <c r="D5615" s="0" t="n">
        <v>0</v>
      </c>
      <c r="E5615" s="0" t="n">
        <f aca="false">VLOOKUP(B5615,'Babblefish-APUMA'!$A$1:$B$86,2)</f>
        <v>76</v>
      </c>
      <c r="F5615" s="0" t="n">
        <f aca="false">IF(C5615&gt;1,IF(C5615&lt;99,VLOOKUP(C5615,'Babblefish-APUMA'!$A$1:$B$86,2),C5615),C5615)</f>
        <v>95</v>
      </c>
    </row>
    <row r="5616" customFormat="false" ht="12.75" hidden="false" customHeight="false" outlineLevel="0" collapsed="false">
      <c r="A5616" s="0" t="n">
        <f aca="false">B5616*1000+C5616</f>
        <v>76073</v>
      </c>
      <c r="B5616" s="0" t="n">
        <v>76</v>
      </c>
      <c r="C5616" s="0" t="n">
        <v>73</v>
      </c>
      <c r="D5616" s="0" t="n">
        <v>0</v>
      </c>
      <c r="E5616" s="0" t="n">
        <f aca="false">VLOOKUP(B5616,'Babblefish-APUMA'!$A$1:$B$86,2)</f>
        <v>76</v>
      </c>
      <c r="F5616" s="0" t="n">
        <f aca="false">IF(C5616&gt;1,IF(C5616&lt;99,VLOOKUP(C5616,'Babblefish-APUMA'!$A$1:$B$86,2),C5616),C5616)</f>
        <v>99</v>
      </c>
    </row>
    <row r="5617" customFormat="false" ht="12.75" hidden="false" customHeight="false" outlineLevel="0" collapsed="false">
      <c r="A5617" s="0" t="n">
        <f aca="false">B5617*1000+C5617</f>
        <v>76075</v>
      </c>
      <c r="B5617" s="0" t="n">
        <v>76</v>
      </c>
      <c r="C5617" s="0" t="n">
        <v>75</v>
      </c>
      <c r="D5617" s="0" t="n">
        <v>0</v>
      </c>
      <c r="E5617" s="0" t="n">
        <f aca="false">VLOOKUP(B5617,'Babblefish-APUMA'!$A$1:$B$86,2)</f>
        <v>76</v>
      </c>
      <c r="F5617" s="0" t="n">
        <f aca="false">IF(C5617&gt;1,IF(C5617&lt;99,VLOOKUP(C5617,'Babblefish-APUMA'!$A$1:$B$86,2),C5617),C5617)</f>
        <v>75</v>
      </c>
    </row>
    <row r="5618" customFormat="false" ht="12.75" hidden="false" customHeight="false" outlineLevel="0" collapsed="false">
      <c r="A5618" s="0" t="n">
        <f aca="false">B5618*1000+C5618</f>
        <v>76076</v>
      </c>
      <c r="B5618" s="0" t="n">
        <v>76</v>
      </c>
      <c r="C5618" s="0" t="n">
        <v>76</v>
      </c>
      <c r="D5618" s="0" t="n">
        <v>88868</v>
      </c>
      <c r="E5618" s="0" t="n">
        <f aca="false">VLOOKUP(B5618,'Babblefish-APUMA'!$A$1:$B$86,2)</f>
        <v>76</v>
      </c>
      <c r="F5618" s="0" t="n">
        <f aca="false">IF(C5618&gt;1,IF(C5618&lt;99,VLOOKUP(C5618,'Babblefish-APUMA'!$A$1:$B$86,2),C5618),C5618)</f>
        <v>76</v>
      </c>
    </row>
    <row r="5619" customFormat="false" ht="12.75" hidden="false" customHeight="false" outlineLevel="0" collapsed="false">
      <c r="A5619" s="0" t="n">
        <f aca="false">B5619*1000+C5619</f>
        <v>76077</v>
      </c>
      <c r="B5619" s="0" t="n">
        <v>76</v>
      </c>
      <c r="C5619" s="0" t="n">
        <v>77</v>
      </c>
      <c r="D5619" s="0" t="n">
        <v>0</v>
      </c>
      <c r="E5619" s="0" t="n">
        <f aca="false">VLOOKUP(B5619,'Babblefish-APUMA'!$A$1:$B$86,2)</f>
        <v>76</v>
      </c>
      <c r="F5619" s="0" t="n">
        <f aca="false">IF(C5619&gt;1,IF(C5619&lt;99,VLOOKUP(C5619,'Babblefish-APUMA'!$A$1:$B$86,2),C5619),C5619)</f>
        <v>77</v>
      </c>
    </row>
    <row r="5620" customFormat="false" ht="12.75" hidden="false" customHeight="false" outlineLevel="0" collapsed="false">
      <c r="A5620" s="0" t="n">
        <f aca="false">B5620*1000+C5620</f>
        <v>76078</v>
      </c>
      <c r="B5620" s="0" t="n">
        <v>76</v>
      </c>
      <c r="C5620" s="0" t="n">
        <v>78</v>
      </c>
      <c r="D5620" s="0" t="n">
        <v>65</v>
      </c>
      <c r="E5620" s="0" t="n">
        <f aca="false">VLOOKUP(B5620,'Babblefish-APUMA'!$A$1:$B$86,2)</f>
        <v>76</v>
      </c>
      <c r="F5620" s="0" t="n">
        <f aca="false">IF(C5620&gt;1,IF(C5620&lt;99,VLOOKUP(C5620,'Babblefish-APUMA'!$A$1:$B$86,2),C5620),C5620)</f>
        <v>89</v>
      </c>
    </row>
    <row r="5621" customFormat="false" ht="12.75" hidden="false" customHeight="false" outlineLevel="0" collapsed="false">
      <c r="A5621" s="0" t="n">
        <f aca="false">B5621*1000+C5621</f>
        <v>76079</v>
      </c>
      <c r="B5621" s="0" t="n">
        <v>76</v>
      </c>
      <c r="C5621" s="0" t="n">
        <v>79</v>
      </c>
      <c r="D5621" s="0" t="n">
        <v>208</v>
      </c>
      <c r="E5621" s="0" t="n">
        <f aca="false">VLOOKUP(B5621,'Babblefish-APUMA'!$A$1:$B$86,2)</f>
        <v>76</v>
      </c>
      <c r="F5621" s="0" t="n">
        <f aca="false">IF(C5621&gt;1,IF(C5621&lt;99,VLOOKUP(C5621,'Babblefish-APUMA'!$A$1:$B$86,2),C5621),C5621)</f>
        <v>89</v>
      </c>
    </row>
    <row r="5622" customFormat="false" ht="12.75" hidden="false" customHeight="false" outlineLevel="0" collapsed="false">
      <c r="A5622" s="0" t="n">
        <f aca="false">B5622*1000+C5622</f>
        <v>76080</v>
      </c>
      <c r="B5622" s="0" t="n">
        <v>76</v>
      </c>
      <c r="C5622" s="0" t="n">
        <v>80</v>
      </c>
      <c r="D5622" s="0" t="n">
        <v>0</v>
      </c>
      <c r="E5622" s="0" t="n">
        <f aca="false">VLOOKUP(B5622,'Babblefish-APUMA'!$A$1:$B$86,2)</f>
        <v>76</v>
      </c>
      <c r="F5622" s="0" t="n">
        <f aca="false">IF(C5622&gt;1,IF(C5622&lt;99,VLOOKUP(C5622,'Babblefish-APUMA'!$A$1:$B$86,2),C5622),C5622)</f>
        <v>80</v>
      </c>
    </row>
    <row r="5623" customFormat="false" ht="12.75" hidden="false" customHeight="false" outlineLevel="0" collapsed="false">
      <c r="A5623" s="0" t="n">
        <f aca="false">B5623*1000+C5623</f>
        <v>76081</v>
      </c>
      <c r="B5623" s="0" t="n">
        <v>76</v>
      </c>
      <c r="C5623" s="0" t="n">
        <v>81</v>
      </c>
      <c r="D5623" s="0" t="n">
        <v>0</v>
      </c>
      <c r="E5623" s="0" t="n">
        <f aca="false">VLOOKUP(B5623,'Babblefish-APUMA'!$A$1:$B$86,2)</f>
        <v>76</v>
      </c>
      <c r="F5623" s="0" t="n">
        <f aca="false">IF(C5623&gt;1,IF(C5623&lt;99,VLOOKUP(C5623,'Babblefish-APUMA'!$A$1:$B$86,2),C5623),C5623)</f>
        <v>93</v>
      </c>
    </row>
    <row r="5624" customFormat="false" ht="12.75" hidden="false" customHeight="false" outlineLevel="0" collapsed="false">
      <c r="A5624" s="0" t="n">
        <f aca="false">B5624*1000+C5624</f>
        <v>76082</v>
      </c>
      <c r="B5624" s="0" t="n">
        <v>76</v>
      </c>
      <c r="C5624" s="0" t="n">
        <v>82</v>
      </c>
      <c r="D5624" s="0" t="n">
        <v>0</v>
      </c>
      <c r="E5624" s="0" t="n">
        <f aca="false">VLOOKUP(B5624,'Babblefish-APUMA'!$A$1:$B$86,2)</f>
        <v>76</v>
      </c>
      <c r="F5624" s="0" t="n">
        <f aca="false">IF(C5624&gt;1,IF(C5624&lt;99,VLOOKUP(C5624,'Babblefish-APUMA'!$A$1:$B$86,2),C5624),C5624)</f>
        <v>95</v>
      </c>
    </row>
    <row r="5625" customFormat="false" ht="12.75" hidden="false" customHeight="false" outlineLevel="0" collapsed="false">
      <c r="A5625" s="0" t="n">
        <f aca="false">B5625*1000+C5625</f>
        <v>76083</v>
      </c>
      <c r="B5625" s="0" t="n">
        <v>76</v>
      </c>
      <c r="C5625" s="0" t="n">
        <v>83</v>
      </c>
      <c r="D5625" s="0" t="n">
        <v>91</v>
      </c>
      <c r="E5625" s="0" t="n">
        <f aca="false">VLOOKUP(B5625,'Babblefish-APUMA'!$A$1:$B$86,2)</f>
        <v>76</v>
      </c>
      <c r="F5625" s="0" t="n">
        <f aca="false">IF(C5625&gt;1,IF(C5625&lt;99,VLOOKUP(C5625,'Babblefish-APUMA'!$A$1:$B$86,2),C5625),C5625)</f>
        <v>103</v>
      </c>
    </row>
    <row r="5626" customFormat="false" ht="12.75" hidden="false" customHeight="false" outlineLevel="0" collapsed="false">
      <c r="A5626" s="0" t="n">
        <f aca="false">B5626*1000+C5626</f>
        <v>76084</v>
      </c>
      <c r="B5626" s="0" t="n">
        <v>76</v>
      </c>
      <c r="C5626" s="0" t="n">
        <v>84</v>
      </c>
      <c r="D5626" s="0" t="n">
        <v>0</v>
      </c>
      <c r="E5626" s="0" t="n">
        <f aca="false">VLOOKUP(B5626,'Babblefish-APUMA'!$A$1:$B$86,2)</f>
        <v>76</v>
      </c>
      <c r="F5626" s="0" t="n">
        <f aca="false">IF(C5626&gt;1,IF(C5626&lt;99,VLOOKUP(C5626,'Babblefish-APUMA'!$A$1:$B$86,2),C5626),C5626)</f>
        <v>92</v>
      </c>
    </row>
    <row r="5627" customFormat="false" ht="12.75" hidden="false" customHeight="false" outlineLevel="0" collapsed="false">
      <c r="A5627" s="0" t="n">
        <f aca="false">B5627*1000+C5627</f>
        <v>76085</v>
      </c>
      <c r="B5627" s="0" t="n">
        <v>76</v>
      </c>
      <c r="C5627" s="0" t="n">
        <v>85</v>
      </c>
      <c r="D5627" s="0" t="n">
        <v>0</v>
      </c>
      <c r="E5627" s="0" t="n">
        <f aca="false">VLOOKUP(B5627,'Babblefish-APUMA'!$A$1:$B$86,2)</f>
        <v>76</v>
      </c>
      <c r="F5627" s="0" t="n">
        <f aca="false">IF(C5627&gt;1,IF(C5627&lt;99,VLOOKUP(C5627,'Babblefish-APUMA'!$A$1:$B$86,2),C5627),C5627)</f>
        <v>97</v>
      </c>
    </row>
    <row r="5628" customFormat="false" ht="12.75" hidden="false" customHeight="false" outlineLevel="0" collapsed="false">
      <c r="A5628" s="0" t="n">
        <f aca="false">B5628*1000+C5628</f>
        <v>76858</v>
      </c>
      <c r="B5628" s="0" t="n">
        <v>76</v>
      </c>
      <c r="C5628" s="0" t="n">
        <v>858</v>
      </c>
      <c r="D5628" s="0" t="n">
        <v>0</v>
      </c>
      <c r="E5628" s="0" t="n">
        <f aca="false">VLOOKUP(B5628,'Babblefish-APUMA'!$A$1:$B$86,2)</f>
        <v>76</v>
      </c>
      <c r="F5628" s="0" t="n">
        <f aca="false">IF(C5628&gt;1,IF(C5628&lt;99,VLOOKUP(C5628,'Babblefish-APUMA'!$A$1:$B$86,2),C5628),C5628)</f>
        <v>858</v>
      </c>
    </row>
    <row r="5629" customFormat="false" ht="12.75" hidden="false" customHeight="false" outlineLevel="0" collapsed="false">
      <c r="A5629" s="0" t="n">
        <f aca="false">B5629*1000+C5629</f>
        <v>76983</v>
      </c>
      <c r="B5629" s="0" t="n">
        <v>76</v>
      </c>
      <c r="C5629" s="0" t="n">
        <v>983</v>
      </c>
      <c r="D5629" s="0" t="n">
        <v>0</v>
      </c>
      <c r="E5629" s="0" t="n">
        <f aca="false">VLOOKUP(B5629,'Babblefish-APUMA'!$A$1:$B$86,2)</f>
        <v>76</v>
      </c>
      <c r="F5629" s="0" t="n">
        <f aca="false">IF(C5629&gt;1,IF(C5629&lt;99,VLOOKUP(C5629,'Babblefish-APUMA'!$A$1:$B$86,2),C5629),C5629)</f>
        <v>983</v>
      </c>
    </row>
    <row r="5630" customFormat="false" ht="12.75" hidden="false" customHeight="false" outlineLevel="0" collapsed="false">
      <c r="A5630" s="0" t="n">
        <f aca="false">B5630*1000+C5630</f>
        <v>76999</v>
      </c>
      <c r="B5630" s="0" t="n">
        <v>76</v>
      </c>
      <c r="C5630" s="0" t="n">
        <v>999</v>
      </c>
      <c r="D5630" s="0" t="n">
        <v>208</v>
      </c>
      <c r="E5630" s="0" t="n">
        <f aca="false">VLOOKUP(B5630,'Babblefish-APUMA'!$A$1:$B$86,2)</f>
        <v>76</v>
      </c>
      <c r="F5630" s="0" t="n">
        <f aca="false">IF(C5630&gt;1,IF(C5630&lt;99,VLOOKUP(C5630,'Babblefish-APUMA'!$A$1:$B$86,2),C5630),C5630)</f>
        <v>999</v>
      </c>
    </row>
    <row r="5631" customFormat="false" ht="12.75" hidden="false" customHeight="false" outlineLevel="0" collapsed="false">
      <c r="A5631" s="0" t="n">
        <f aca="false">B5631*1000+C5631</f>
        <v>77000</v>
      </c>
      <c r="B5631" s="0" t="n">
        <v>77</v>
      </c>
      <c r="C5631" s="0" t="n">
        <v>0</v>
      </c>
      <c r="D5631" s="0" t="n">
        <v>73463</v>
      </c>
      <c r="E5631" s="0" t="n">
        <f aca="false">VLOOKUP(B5631,'Babblefish-APUMA'!$A$1:$B$86,2)</f>
        <v>77</v>
      </c>
      <c r="F5631" s="0" t="n">
        <f aca="false">IF(C5631&gt;1,IF(C5631&lt;99,VLOOKUP(C5631,'Babblefish-APUMA'!$A$1:$B$86,2),C5631),C5631)</f>
        <v>0</v>
      </c>
    </row>
    <row r="5632" customFormat="false" ht="12.75" hidden="false" customHeight="false" outlineLevel="0" collapsed="false">
      <c r="A5632" s="0" t="n">
        <f aca="false">B5632*1000+C5632</f>
        <v>77001</v>
      </c>
      <c r="B5632" s="0" t="n">
        <v>77</v>
      </c>
      <c r="C5632" s="0" t="n">
        <v>1</v>
      </c>
      <c r="D5632" s="0" t="n">
        <v>0</v>
      </c>
      <c r="E5632" s="0" t="n">
        <f aca="false">VLOOKUP(B5632,'Babblefish-APUMA'!$A$1:$B$86,2)</f>
        <v>77</v>
      </c>
      <c r="F5632" s="0" t="n">
        <f aca="false">IF(C5632&gt;1,IF(C5632&lt;99,VLOOKUP(C5632,'Babblefish-APUMA'!$A$1:$B$86,2),C5632),C5632)</f>
        <v>1</v>
      </c>
    </row>
    <row r="5633" customFormat="false" ht="12.75" hidden="false" customHeight="false" outlineLevel="0" collapsed="false">
      <c r="A5633" s="0" t="n">
        <f aca="false">B5633*1000+C5633</f>
        <v>77002</v>
      </c>
      <c r="B5633" s="0" t="n">
        <v>77</v>
      </c>
      <c r="C5633" s="0" t="n">
        <v>2</v>
      </c>
      <c r="D5633" s="0" t="n">
        <v>0</v>
      </c>
      <c r="E5633" s="0" t="n">
        <f aca="false">VLOOKUP(B5633,'Babblefish-APUMA'!$A$1:$B$86,2)</f>
        <v>77</v>
      </c>
      <c r="F5633" s="0" t="n">
        <f aca="false">IF(C5633&gt;1,IF(C5633&lt;99,VLOOKUP(C5633,'Babblefish-APUMA'!$A$1:$B$86,2),C5633),C5633)</f>
        <v>2</v>
      </c>
    </row>
    <row r="5634" customFormat="false" ht="12.75" hidden="false" customHeight="false" outlineLevel="0" collapsed="false">
      <c r="A5634" s="0" t="n">
        <f aca="false">B5634*1000+C5634</f>
        <v>77003</v>
      </c>
      <c r="B5634" s="0" t="n">
        <v>77</v>
      </c>
      <c r="C5634" s="0" t="n">
        <v>3</v>
      </c>
      <c r="D5634" s="0" t="n">
        <v>0</v>
      </c>
      <c r="E5634" s="0" t="n">
        <f aca="false">VLOOKUP(B5634,'Babblefish-APUMA'!$A$1:$B$86,2)</f>
        <v>77</v>
      </c>
      <c r="F5634" s="0" t="n">
        <f aca="false">IF(C5634&gt;1,IF(C5634&lt;99,VLOOKUP(C5634,'Babblefish-APUMA'!$A$1:$B$86,2),C5634),C5634)</f>
        <v>3</v>
      </c>
    </row>
    <row r="5635" customFormat="false" ht="12.75" hidden="false" customHeight="false" outlineLevel="0" collapsed="false">
      <c r="A5635" s="0" t="n">
        <f aca="false">B5635*1000+C5635</f>
        <v>77004</v>
      </c>
      <c r="B5635" s="0" t="n">
        <v>77</v>
      </c>
      <c r="C5635" s="0" t="n">
        <v>4</v>
      </c>
      <c r="D5635" s="0" t="n">
        <v>377</v>
      </c>
      <c r="E5635" s="0" t="n">
        <f aca="false">VLOOKUP(B5635,'Babblefish-APUMA'!$A$1:$B$86,2)</f>
        <v>77</v>
      </c>
      <c r="F5635" s="0" t="n">
        <f aca="false">IF(C5635&gt;1,IF(C5635&lt;99,VLOOKUP(C5635,'Babblefish-APUMA'!$A$1:$B$86,2),C5635),C5635)</f>
        <v>4</v>
      </c>
    </row>
    <row r="5636" customFormat="false" ht="12.75" hidden="false" customHeight="false" outlineLevel="0" collapsed="false">
      <c r="A5636" s="0" t="n">
        <f aca="false">B5636*1000+C5636</f>
        <v>77005</v>
      </c>
      <c r="B5636" s="0" t="n">
        <v>77</v>
      </c>
      <c r="C5636" s="0" t="n">
        <v>5</v>
      </c>
      <c r="D5636" s="0" t="n">
        <v>0</v>
      </c>
      <c r="E5636" s="0" t="n">
        <f aca="false">VLOOKUP(B5636,'Babblefish-APUMA'!$A$1:$B$86,2)</f>
        <v>77</v>
      </c>
      <c r="F5636" s="0" t="n">
        <f aca="false">IF(C5636&gt;1,IF(C5636&lt;99,VLOOKUP(C5636,'Babblefish-APUMA'!$A$1:$B$86,2),C5636),C5636)</f>
        <v>5</v>
      </c>
    </row>
    <row r="5637" customFormat="false" ht="12.75" hidden="false" customHeight="false" outlineLevel="0" collapsed="false">
      <c r="A5637" s="0" t="n">
        <f aca="false">B5637*1000+C5637</f>
        <v>77006</v>
      </c>
      <c r="B5637" s="0" t="n">
        <v>77</v>
      </c>
      <c r="C5637" s="0" t="n">
        <v>6</v>
      </c>
      <c r="D5637" s="0" t="n">
        <v>0</v>
      </c>
      <c r="E5637" s="0" t="n">
        <f aca="false">VLOOKUP(B5637,'Babblefish-APUMA'!$A$1:$B$86,2)</f>
        <v>77</v>
      </c>
      <c r="F5637" s="0" t="n">
        <f aca="false">IF(C5637&gt;1,IF(C5637&lt;99,VLOOKUP(C5637,'Babblefish-APUMA'!$A$1:$B$86,2),C5637),C5637)</f>
        <v>6</v>
      </c>
    </row>
    <row r="5638" customFormat="false" ht="12.75" hidden="false" customHeight="false" outlineLevel="0" collapsed="false">
      <c r="A5638" s="0" t="n">
        <f aca="false">B5638*1000+C5638</f>
        <v>77007</v>
      </c>
      <c r="B5638" s="0" t="n">
        <v>77</v>
      </c>
      <c r="C5638" s="0" t="n">
        <v>7</v>
      </c>
      <c r="D5638" s="0" t="n">
        <v>0</v>
      </c>
      <c r="E5638" s="0" t="n">
        <f aca="false">VLOOKUP(B5638,'Babblefish-APUMA'!$A$1:$B$86,2)</f>
        <v>77</v>
      </c>
      <c r="F5638" s="0" t="n">
        <f aca="false">IF(C5638&gt;1,IF(C5638&lt;99,VLOOKUP(C5638,'Babblefish-APUMA'!$A$1:$B$86,2),C5638),C5638)</f>
        <v>7</v>
      </c>
    </row>
    <row r="5639" customFormat="false" ht="12.75" hidden="false" customHeight="false" outlineLevel="0" collapsed="false">
      <c r="A5639" s="0" t="n">
        <f aca="false">B5639*1000+C5639</f>
        <v>77008</v>
      </c>
      <c r="B5639" s="0" t="n">
        <v>77</v>
      </c>
      <c r="C5639" s="0" t="n">
        <v>8</v>
      </c>
      <c r="D5639" s="0" t="n">
        <v>0</v>
      </c>
      <c r="E5639" s="0" t="n">
        <f aca="false">VLOOKUP(B5639,'Babblefish-APUMA'!$A$1:$B$86,2)</f>
        <v>77</v>
      </c>
      <c r="F5639" s="0" t="n">
        <f aca="false">IF(C5639&gt;1,IF(C5639&lt;99,VLOOKUP(C5639,'Babblefish-APUMA'!$A$1:$B$86,2),C5639),C5639)</f>
        <v>8</v>
      </c>
    </row>
    <row r="5640" customFormat="false" ht="12.75" hidden="false" customHeight="false" outlineLevel="0" collapsed="false">
      <c r="A5640" s="0" t="n">
        <f aca="false">B5640*1000+C5640</f>
        <v>77009</v>
      </c>
      <c r="B5640" s="0" t="n">
        <v>77</v>
      </c>
      <c r="C5640" s="0" t="n">
        <v>9</v>
      </c>
      <c r="D5640" s="0" t="n">
        <v>0</v>
      </c>
      <c r="E5640" s="0" t="n">
        <f aca="false">VLOOKUP(B5640,'Babblefish-APUMA'!$A$1:$B$86,2)</f>
        <v>77</v>
      </c>
      <c r="F5640" s="0" t="n">
        <f aca="false">IF(C5640&gt;1,IF(C5640&lt;99,VLOOKUP(C5640,'Babblefish-APUMA'!$A$1:$B$86,2),C5640),C5640)</f>
        <v>9</v>
      </c>
    </row>
    <row r="5641" customFormat="false" ht="12.75" hidden="false" customHeight="false" outlineLevel="0" collapsed="false">
      <c r="A5641" s="0" t="n">
        <f aca="false">B5641*1000+C5641</f>
        <v>77010</v>
      </c>
      <c r="B5641" s="0" t="n">
        <v>77</v>
      </c>
      <c r="C5641" s="0" t="n">
        <v>10</v>
      </c>
      <c r="D5641" s="0" t="n">
        <v>0</v>
      </c>
      <c r="E5641" s="0" t="n">
        <f aca="false">VLOOKUP(B5641,'Babblefish-APUMA'!$A$1:$B$86,2)</f>
        <v>77</v>
      </c>
      <c r="F5641" s="0" t="n">
        <f aca="false">IF(C5641&gt;1,IF(C5641&lt;99,VLOOKUP(C5641,'Babblefish-APUMA'!$A$1:$B$86,2),C5641),C5641)</f>
        <v>10</v>
      </c>
    </row>
    <row r="5642" customFormat="false" ht="12.75" hidden="false" customHeight="false" outlineLevel="0" collapsed="false">
      <c r="A5642" s="0" t="n">
        <f aca="false">B5642*1000+C5642</f>
        <v>77011</v>
      </c>
      <c r="B5642" s="0" t="n">
        <v>77</v>
      </c>
      <c r="C5642" s="0" t="n">
        <v>11</v>
      </c>
      <c r="D5642" s="0" t="n">
        <v>0</v>
      </c>
      <c r="E5642" s="0" t="n">
        <f aca="false">VLOOKUP(B5642,'Babblefish-APUMA'!$A$1:$B$86,2)</f>
        <v>77</v>
      </c>
      <c r="F5642" s="0" t="n">
        <f aca="false">IF(C5642&gt;1,IF(C5642&lt;99,VLOOKUP(C5642,'Babblefish-APUMA'!$A$1:$B$86,2),C5642),C5642)</f>
        <v>11</v>
      </c>
    </row>
    <row r="5643" customFormat="false" ht="12.75" hidden="false" customHeight="false" outlineLevel="0" collapsed="false">
      <c r="A5643" s="0" t="n">
        <f aca="false">B5643*1000+C5643</f>
        <v>77012</v>
      </c>
      <c r="B5643" s="0" t="n">
        <v>77</v>
      </c>
      <c r="C5643" s="0" t="n">
        <v>12</v>
      </c>
      <c r="D5643" s="0" t="n">
        <v>0</v>
      </c>
      <c r="E5643" s="0" t="n">
        <f aca="false">VLOOKUP(B5643,'Babblefish-APUMA'!$A$1:$B$86,2)</f>
        <v>77</v>
      </c>
      <c r="F5643" s="0" t="n">
        <f aca="false">IF(C5643&gt;1,IF(C5643&lt;99,VLOOKUP(C5643,'Babblefish-APUMA'!$A$1:$B$86,2),C5643),C5643)</f>
        <v>12</v>
      </c>
    </row>
    <row r="5644" customFormat="false" ht="12.75" hidden="false" customHeight="false" outlineLevel="0" collapsed="false">
      <c r="A5644" s="0" t="n">
        <f aca="false">B5644*1000+C5644</f>
        <v>77013</v>
      </c>
      <c r="B5644" s="0" t="n">
        <v>77</v>
      </c>
      <c r="C5644" s="0" t="n">
        <v>13</v>
      </c>
      <c r="D5644" s="0" t="n">
        <v>0</v>
      </c>
      <c r="E5644" s="0" t="n">
        <f aca="false">VLOOKUP(B5644,'Babblefish-APUMA'!$A$1:$B$86,2)</f>
        <v>77</v>
      </c>
      <c r="F5644" s="0" t="n">
        <f aca="false">IF(C5644&gt;1,IF(C5644&lt;99,VLOOKUP(C5644,'Babblefish-APUMA'!$A$1:$B$86,2),C5644),C5644)</f>
        <v>100</v>
      </c>
    </row>
    <row r="5645" customFormat="false" ht="12.75" hidden="false" customHeight="false" outlineLevel="0" collapsed="false">
      <c r="A5645" s="0" t="n">
        <f aca="false">B5645*1000+C5645</f>
        <v>77014</v>
      </c>
      <c r="B5645" s="0" t="n">
        <v>77</v>
      </c>
      <c r="C5645" s="0" t="n">
        <v>14</v>
      </c>
      <c r="D5645" s="0" t="n">
        <v>0</v>
      </c>
      <c r="E5645" s="0" t="n">
        <f aca="false">VLOOKUP(B5645,'Babblefish-APUMA'!$A$1:$B$86,2)</f>
        <v>77</v>
      </c>
      <c r="F5645" s="0" t="n">
        <f aca="false">IF(C5645&gt;1,IF(C5645&lt;99,VLOOKUP(C5645,'Babblefish-APUMA'!$A$1:$B$86,2),C5645),C5645)</f>
        <v>100</v>
      </c>
    </row>
    <row r="5646" customFormat="false" ht="12.75" hidden="false" customHeight="false" outlineLevel="0" collapsed="false">
      <c r="A5646" s="0" t="n">
        <f aca="false">B5646*1000+C5646</f>
        <v>77015</v>
      </c>
      <c r="B5646" s="0" t="n">
        <v>77</v>
      </c>
      <c r="C5646" s="0" t="n">
        <v>15</v>
      </c>
      <c r="D5646" s="0" t="n">
        <v>39</v>
      </c>
      <c r="E5646" s="0" t="n">
        <f aca="false">VLOOKUP(B5646,'Babblefish-APUMA'!$A$1:$B$86,2)</f>
        <v>77</v>
      </c>
      <c r="F5646" s="0" t="n">
        <f aca="false">IF(C5646&gt;1,IF(C5646&lt;99,VLOOKUP(C5646,'Babblefish-APUMA'!$A$1:$B$86,2),C5646),C5646)</f>
        <v>15</v>
      </c>
    </row>
    <row r="5647" customFormat="false" ht="12.75" hidden="false" customHeight="false" outlineLevel="0" collapsed="false">
      <c r="A5647" s="0" t="n">
        <f aca="false">B5647*1000+C5647</f>
        <v>77016</v>
      </c>
      <c r="B5647" s="0" t="n">
        <v>77</v>
      </c>
      <c r="C5647" s="0" t="n">
        <v>16</v>
      </c>
      <c r="D5647" s="0" t="n">
        <v>0</v>
      </c>
      <c r="E5647" s="0" t="n">
        <f aca="false">VLOOKUP(B5647,'Babblefish-APUMA'!$A$1:$B$86,2)</f>
        <v>77</v>
      </c>
      <c r="F5647" s="0" t="n">
        <f aca="false">IF(C5647&gt;1,IF(C5647&lt;99,VLOOKUP(C5647,'Babblefish-APUMA'!$A$1:$B$86,2),C5647),C5647)</f>
        <v>99</v>
      </c>
    </row>
    <row r="5648" customFormat="false" ht="12.75" hidden="false" customHeight="false" outlineLevel="0" collapsed="false">
      <c r="A5648" s="0" t="n">
        <f aca="false">B5648*1000+C5648</f>
        <v>77017</v>
      </c>
      <c r="B5648" s="0" t="n">
        <v>77</v>
      </c>
      <c r="C5648" s="0" t="n">
        <v>17</v>
      </c>
      <c r="D5648" s="0" t="n">
        <v>0</v>
      </c>
      <c r="E5648" s="0" t="n">
        <f aca="false">VLOOKUP(B5648,'Babblefish-APUMA'!$A$1:$B$86,2)</f>
        <v>77</v>
      </c>
      <c r="F5648" s="0" t="n">
        <f aca="false">IF(C5648&gt;1,IF(C5648&lt;99,VLOOKUP(C5648,'Babblefish-APUMA'!$A$1:$B$86,2),C5648),C5648)</f>
        <v>87</v>
      </c>
    </row>
    <row r="5649" customFormat="false" ht="12.75" hidden="false" customHeight="false" outlineLevel="0" collapsed="false">
      <c r="A5649" s="0" t="n">
        <f aca="false">B5649*1000+C5649</f>
        <v>77018</v>
      </c>
      <c r="B5649" s="0" t="n">
        <v>77</v>
      </c>
      <c r="C5649" s="0" t="n">
        <v>18</v>
      </c>
      <c r="D5649" s="0" t="n">
        <v>0</v>
      </c>
      <c r="E5649" s="0" t="n">
        <f aca="false">VLOOKUP(B5649,'Babblefish-APUMA'!$A$1:$B$86,2)</f>
        <v>77</v>
      </c>
      <c r="F5649" s="0" t="n">
        <f aca="false">IF(C5649&gt;1,IF(C5649&lt;99,VLOOKUP(C5649,'Babblefish-APUMA'!$A$1:$B$86,2),C5649),C5649)</f>
        <v>87</v>
      </c>
    </row>
    <row r="5650" customFormat="false" ht="12.75" hidden="false" customHeight="false" outlineLevel="0" collapsed="false">
      <c r="A5650" s="0" t="n">
        <f aca="false">B5650*1000+C5650</f>
        <v>77019</v>
      </c>
      <c r="B5650" s="0" t="n">
        <v>77</v>
      </c>
      <c r="C5650" s="0" t="n">
        <v>19</v>
      </c>
      <c r="D5650" s="0" t="n">
        <v>0</v>
      </c>
      <c r="E5650" s="0" t="n">
        <f aca="false">VLOOKUP(B5650,'Babblefish-APUMA'!$A$1:$B$86,2)</f>
        <v>77</v>
      </c>
      <c r="F5650" s="0" t="n">
        <f aca="false">IF(C5650&gt;1,IF(C5650&lt;99,VLOOKUP(C5650,'Babblefish-APUMA'!$A$1:$B$86,2),C5650),C5650)</f>
        <v>19</v>
      </c>
    </row>
    <row r="5651" customFormat="false" ht="12.75" hidden="false" customHeight="false" outlineLevel="0" collapsed="false">
      <c r="A5651" s="0" t="n">
        <f aca="false">B5651*1000+C5651</f>
        <v>77020</v>
      </c>
      <c r="B5651" s="0" t="n">
        <v>77</v>
      </c>
      <c r="C5651" s="0" t="n">
        <v>20</v>
      </c>
      <c r="D5651" s="0" t="n">
        <v>0</v>
      </c>
      <c r="E5651" s="0" t="n">
        <f aca="false">VLOOKUP(B5651,'Babblefish-APUMA'!$A$1:$B$86,2)</f>
        <v>77</v>
      </c>
      <c r="F5651" s="0" t="n">
        <f aca="false">IF(C5651&gt;1,IF(C5651&lt;99,VLOOKUP(C5651,'Babblefish-APUMA'!$A$1:$B$86,2),C5651),C5651)</f>
        <v>86</v>
      </c>
    </row>
    <row r="5652" customFormat="false" ht="12.75" hidden="false" customHeight="false" outlineLevel="0" collapsed="false">
      <c r="A5652" s="0" t="n">
        <f aca="false">B5652*1000+C5652</f>
        <v>77021</v>
      </c>
      <c r="B5652" s="0" t="n">
        <v>77</v>
      </c>
      <c r="C5652" s="0" t="n">
        <v>21</v>
      </c>
      <c r="D5652" s="0" t="n">
        <v>78</v>
      </c>
      <c r="E5652" s="0" t="n">
        <f aca="false">VLOOKUP(B5652,'Babblefish-APUMA'!$A$1:$B$86,2)</f>
        <v>77</v>
      </c>
      <c r="F5652" s="0" t="n">
        <f aca="false">IF(C5652&gt;1,IF(C5652&lt;99,VLOOKUP(C5652,'Babblefish-APUMA'!$A$1:$B$86,2),C5652),C5652)</f>
        <v>86</v>
      </c>
    </row>
    <row r="5653" customFormat="false" ht="12.75" hidden="false" customHeight="false" outlineLevel="0" collapsed="false">
      <c r="A5653" s="0" t="n">
        <f aca="false">B5653*1000+C5653</f>
        <v>77022</v>
      </c>
      <c r="B5653" s="0" t="n">
        <v>77</v>
      </c>
      <c r="C5653" s="0" t="n">
        <v>22</v>
      </c>
      <c r="D5653" s="0" t="n">
        <v>0</v>
      </c>
      <c r="E5653" s="0" t="n">
        <f aca="false">VLOOKUP(B5653,'Babblefish-APUMA'!$A$1:$B$86,2)</f>
        <v>77</v>
      </c>
      <c r="F5653" s="0" t="n">
        <f aca="false">IF(C5653&gt;1,IF(C5653&lt;99,VLOOKUP(C5653,'Babblefish-APUMA'!$A$1:$B$86,2),C5653),C5653)</f>
        <v>22</v>
      </c>
    </row>
    <row r="5654" customFormat="false" ht="12.75" hidden="false" customHeight="false" outlineLevel="0" collapsed="false">
      <c r="A5654" s="0" t="n">
        <f aca="false">B5654*1000+C5654</f>
        <v>77023</v>
      </c>
      <c r="B5654" s="0" t="n">
        <v>77</v>
      </c>
      <c r="C5654" s="0" t="n">
        <v>23</v>
      </c>
      <c r="D5654" s="0" t="n">
        <v>0</v>
      </c>
      <c r="E5654" s="0" t="n">
        <f aca="false">VLOOKUP(B5654,'Babblefish-APUMA'!$A$1:$B$86,2)</f>
        <v>77</v>
      </c>
      <c r="F5654" s="0" t="n">
        <f aca="false">IF(C5654&gt;1,IF(C5654&lt;99,VLOOKUP(C5654,'Babblefish-APUMA'!$A$1:$B$86,2),C5654),C5654)</f>
        <v>97</v>
      </c>
    </row>
    <row r="5655" customFormat="false" ht="12.75" hidden="false" customHeight="false" outlineLevel="0" collapsed="false">
      <c r="A5655" s="0" t="n">
        <f aca="false">B5655*1000+C5655</f>
        <v>77024</v>
      </c>
      <c r="B5655" s="0" t="n">
        <v>77</v>
      </c>
      <c r="C5655" s="0" t="n">
        <v>24</v>
      </c>
      <c r="D5655" s="0" t="n">
        <v>0</v>
      </c>
      <c r="E5655" s="0" t="n">
        <f aca="false">VLOOKUP(B5655,'Babblefish-APUMA'!$A$1:$B$86,2)</f>
        <v>77</v>
      </c>
      <c r="F5655" s="0" t="n">
        <f aca="false">IF(C5655&gt;1,IF(C5655&lt;99,VLOOKUP(C5655,'Babblefish-APUMA'!$A$1:$B$86,2),C5655),C5655)</f>
        <v>101</v>
      </c>
    </row>
    <row r="5656" customFormat="false" ht="12.75" hidden="false" customHeight="false" outlineLevel="0" collapsed="false">
      <c r="A5656" s="0" t="n">
        <f aca="false">B5656*1000+C5656</f>
        <v>77025</v>
      </c>
      <c r="B5656" s="0" t="n">
        <v>77</v>
      </c>
      <c r="C5656" s="0" t="n">
        <v>25</v>
      </c>
      <c r="D5656" s="0" t="n">
        <v>0</v>
      </c>
      <c r="E5656" s="0" t="n">
        <f aca="false">VLOOKUP(B5656,'Babblefish-APUMA'!$A$1:$B$86,2)</f>
        <v>77</v>
      </c>
      <c r="F5656" s="0" t="n">
        <f aca="false">IF(C5656&gt;1,IF(C5656&lt;99,VLOOKUP(C5656,'Babblefish-APUMA'!$A$1:$B$86,2),C5656),C5656)</f>
        <v>101</v>
      </c>
    </row>
    <row r="5657" customFormat="false" ht="12.75" hidden="false" customHeight="false" outlineLevel="0" collapsed="false">
      <c r="A5657" s="0" t="n">
        <f aca="false">B5657*1000+C5657</f>
        <v>77026</v>
      </c>
      <c r="B5657" s="0" t="n">
        <v>77</v>
      </c>
      <c r="C5657" s="0" t="n">
        <v>26</v>
      </c>
      <c r="D5657" s="0" t="n">
        <v>0</v>
      </c>
      <c r="E5657" s="0" t="n">
        <f aca="false">VLOOKUP(B5657,'Babblefish-APUMA'!$A$1:$B$86,2)</f>
        <v>77</v>
      </c>
      <c r="F5657" s="0" t="n">
        <f aca="false">IF(C5657&gt;1,IF(C5657&lt;99,VLOOKUP(C5657,'Babblefish-APUMA'!$A$1:$B$86,2),C5657),C5657)</f>
        <v>26</v>
      </c>
    </row>
    <row r="5658" customFormat="false" ht="12.75" hidden="false" customHeight="false" outlineLevel="0" collapsed="false">
      <c r="A5658" s="0" t="n">
        <f aca="false">B5658*1000+C5658</f>
        <v>77027</v>
      </c>
      <c r="B5658" s="0" t="n">
        <v>77</v>
      </c>
      <c r="C5658" s="0" t="n">
        <v>27</v>
      </c>
      <c r="D5658" s="0" t="n">
        <v>0</v>
      </c>
      <c r="E5658" s="0" t="n">
        <f aca="false">VLOOKUP(B5658,'Babblefish-APUMA'!$A$1:$B$86,2)</f>
        <v>77</v>
      </c>
      <c r="F5658" s="0" t="n">
        <f aca="false">IF(C5658&gt;1,IF(C5658&lt;99,VLOOKUP(C5658,'Babblefish-APUMA'!$A$1:$B$86,2),C5658),C5658)</f>
        <v>27</v>
      </c>
    </row>
    <row r="5659" customFormat="false" ht="12.75" hidden="false" customHeight="false" outlineLevel="0" collapsed="false">
      <c r="A5659" s="0" t="n">
        <f aca="false">B5659*1000+C5659</f>
        <v>77028</v>
      </c>
      <c r="B5659" s="0" t="n">
        <v>77</v>
      </c>
      <c r="C5659" s="0" t="n">
        <v>28</v>
      </c>
      <c r="D5659" s="0" t="n">
        <v>78</v>
      </c>
      <c r="E5659" s="0" t="n">
        <f aca="false">VLOOKUP(B5659,'Babblefish-APUMA'!$A$1:$B$86,2)</f>
        <v>77</v>
      </c>
      <c r="F5659" s="0" t="n">
        <f aca="false">IF(C5659&gt;1,IF(C5659&lt;99,VLOOKUP(C5659,'Babblefish-APUMA'!$A$1:$B$86,2),C5659),C5659)</f>
        <v>94</v>
      </c>
    </row>
    <row r="5660" customFormat="false" ht="12.75" hidden="false" customHeight="false" outlineLevel="0" collapsed="false">
      <c r="A5660" s="0" t="n">
        <f aca="false">B5660*1000+C5660</f>
        <v>77029</v>
      </c>
      <c r="B5660" s="0" t="n">
        <v>77</v>
      </c>
      <c r="C5660" s="0" t="n">
        <v>29</v>
      </c>
      <c r="D5660" s="0" t="n">
        <v>0</v>
      </c>
      <c r="E5660" s="0" t="n">
        <f aca="false">VLOOKUP(B5660,'Babblefish-APUMA'!$A$1:$B$86,2)</f>
        <v>77</v>
      </c>
      <c r="F5660" s="0" t="n">
        <f aca="false">IF(C5660&gt;1,IF(C5660&lt;99,VLOOKUP(C5660,'Babblefish-APUMA'!$A$1:$B$86,2),C5660),C5660)</f>
        <v>94</v>
      </c>
    </row>
    <row r="5661" customFormat="false" ht="12.75" hidden="false" customHeight="false" outlineLevel="0" collapsed="false">
      <c r="A5661" s="0" t="n">
        <f aca="false">B5661*1000+C5661</f>
        <v>77030</v>
      </c>
      <c r="B5661" s="0" t="n">
        <v>77</v>
      </c>
      <c r="C5661" s="0" t="n">
        <v>30</v>
      </c>
      <c r="D5661" s="0" t="n">
        <v>0</v>
      </c>
      <c r="E5661" s="0" t="n">
        <f aca="false">VLOOKUP(B5661,'Babblefish-APUMA'!$A$1:$B$86,2)</f>
        <v>77</v>
      </c>
      <c r="F5661" s="0" t="n">
        <f aca="false">IF(C5661&gt;1,IF(C5661&lt;99,VLOOKUP(C5661,'Babblefish-APUMA'!$A$1:$B$86,2),C5661),C5661)</f>
        <v>30</v>
      </c>
    </row>
    <row r="5662" customFormat="false" ht="12.75" hidden="false" customHeight="false" outlineLevel="0" collapsed="false">
      <c r="A5662" s="0" t="n">
        <f aca="false">B5662*1000+C5662</f>
        <v>77031</v>
      </c>
      <c r="B5662" s="0" t="n">
        <v>77</v>
      </c>
      <c r="C5662" s="0" t="n">
        <v>31</v>
      </c>
      <c r="D5662" s="0" t="n">
        <v>0</v>
      </c>
      <c r="E5662" s="0" t="n">
        <f aca="false">VLOOKUP(B5662,'Babblefish-APUMA'!$A$1:$B$86,2)</f>
        <v>77</v>
      </c>
      <c r="F5662" s="0" t="n">
        <f aca="false">IF(C5662&gt;1,IF(C5662&lt;99,VLOOKUP(C5662,'Babblefish-APUMA'!$A$1:$B$86,2),C5662),C5662)</f>
        <v>31</v>
      </c>
    </row>
    <row r="5663" customFormat="false" ht="12.75" hidden="false" customHeight="false" outlineLevel="0" collapsed="false">
      <c r="A5663" s="0" t="n">
        <f aca="false">B5663*1000+C5663</f>
        <v>77032</v>
      </c>
      <c r="B5663" s="0" t="n">
        <v>77</v>
      </c>
      <c r="C5663" s="0" t="n">
        <v>32</v>
      </c>
      <c r="D5663" s="0" t="n">
        <v>0</v>
      </c>
      <c r="E5663" s="0" t="n">
        <f aca="false">VLOOKUP(B5663,'Babblefish-APUMA'!$A$1:$B$86,2)</f>
        <v>77</v>
      </c>
      <c r="F5663" s="0" t="n">
        <f aca="false">IF(C5663&gt;1,IF(C5663&lt;99,VLOOKUP(C5663,'Babblefish-APUMA'!$A$1:$B$86,2),C5663),C5663)</f>
        <v>32</v>
      </c>
    </row>
    <row r="5664" customFormat="false" ht="12.75" hidden="false" customHeight="false" outlineLevel="0" collapsed="false">
      <c r="A5664" s="0" t="n">
        <f aca="false">B5664*1000+C5664</f>
        <v>77033</v>
      </c>
      <c r="B5664" s="0" t="n">
        <v>77</v>
      </c>
      <c r="C5664" s="0" t="n">
        <v>33</v>
      </c>
      <c r="D5664" s="0" t="n">
        <v>143</v>
      </c>
      <c r="E5664" s="0" t="n">
        <f aca="false">VLOOKUP(B5664,'Babblefish-APUMA'!$A$1:$B$86,2)</f>
        <v>77</v>
      </c>
      <c r="F5664" s="0" t="n">
        <f aca="false">IF(C5664&gt;1,IF(C5664&lt;99,VLOOKUP(C5664,'Babblefish-APUMA'!$A$1:$B$86,2),C5664),C5664)</f>
        <v>96</v>
      </c>
    </row>
    <row r="5665" customFormat="false" ht="12.75" hidden="false" customHeight="false" outlineLevel="0" collapsed="false">
      <c r="A5665" s="0" t="n">
        <f aca="false">B5665*1000+C5665</f>
        <v>77034</v>
      </c>
      <c r="B5665" s="0" t="n">
        <v>77</v>
      </c>
      <c r="C5665" s="0" t="n">
        <v>34</v>
      </c>
      <c r="D5665" s="0" t="n">
        <v>0</v>
      </c>
      <c r="E5665" s="0" t="n">
        <f aca="false">VLOOKUP(B5665,'Babblefish-APUMA'!$A$1:$B$86,2)</f>
        <v>77</v>
      </c>
      <c r="F5665" s="0" t="n">
        <f aca="false">IF(C5665&gt;1,IF(C5665&lt;99,VLOOKUP(C5665,'Babblefish-APUMA'!$A$1:$B$86,2),C5665),C5665)</f>
        <v>96</v>
      </c>
    </row>
    <row r="5666" customFormat="false" ht="12.75" hidden="false" customHeight="false" outlineLevel="0" collapsed="false">
      <c r="A5666" s="0" t="n">
        <f aca="false">B5666*1000+C5666</f>
        <v>77035</v>
      </c>
      <c r="B5666" s="0" t="n">
        <v>77</v>
      </c>
      <c r="C5666" s="0" t="n">
        <v>35</v>
      </c>
      <c r="D5666" s="0" t="n">
        <v>0</v>
      </c>
      <c r="E5666" s="0" t="n">
        <f aca="false">VLOOKUP(B5666,'Babblefish-APUMA'!$A$1:$B$86,2)</f>
        <v>77</v>
      </c>
      <c r="F5666" s="0" t="n">
        <f aca="false">IF(C5666&gt;1,IF(C5666&lt;99,VLOOKUP(C5666,'Babblefish-APUMA'!$A$1:$B$86,2),C5666),C5666)</f>
        <v>96</v>
      </c>
    </row>
    <row r="5667" customFormat="false" ht="12.75" hidden="false" customHeight="false" outlineLevel="0" collapsed="false">
      <c r="A5667" s="0" t="n">
        <f aca="false">B5667*1000+C5667</f>
        <v>77036</v>
      </c>
      <c r="B5667" s="0" t="n">
        <v>77</v>
      </c>
      <c r="C5667" s="0" t="n">
        <v>36</v>
      </c>
      <c r="D5667" s="0" t="n">
        <v>0</v>
      </c>
      <c r="E5667" s="0" t="n">
        <f aca="false">VLOOKUP(B5667,'Babblefish-APUMA'!$A$1:$B$86,2)</f>
        <v>77</v>
      </c>
      <c r="F5667" s="0" t="n">
        <f aca="false">IF(C5667&gt;1,IF(C5667&lt;99,VLOOKUP(C5667,'Babblefish-APUMA'!$A$1:$B$86,2),C5667),C5667)</f>
        <v>96</v>
      </c>
    </row>
    <row r="5668" customFormat="false" ht="12.75" hidden="false" customHeight="false" outlineLevel="0" collapsed="false">
      <c r="A5668" s="0" t="n">
        <f aca="false">B5668*1000+C5668</f>
        <v>77037</v>
      </c>
      <c r="B5668" s="0" t="n">
        <v>77</v>
      </c>
      <c r="C5668" s="0" t="n">
        <v>37</v>
      </c>
      <c r="D5668" s="0" t="n">
        <v>52</v>
      </c>
      <c r="E5668" s="0" t="n">
        <f aca="false">VLOOKUP(B5668,'Babblefish-APUMA'!$A$1:$B$86,2)</f>
        <v>77</v>
      </c>
      <c r="F5668" s="0" t="n">
        <f aca="false">IF(C5668&gt;1,IF(C5668&lt;99,VLOOKUP(C5668,'Babblefish-APUMA'!$A$1:$B$86,2),C5668),C5668)</f>
        <v>96</v>
      </c>
    </row>
    <row r="5669" customFormat="false" ht="12.75" hidden="false" customHeight="false" outlineLevel="0" collapsed="false">
      <c r="A5669" s="0" t="n">
        <f aca="false">B5669*1000+C5669</f>
        <v>77038</v>
      </c>
      <c r="B5669" s="0" t="n">
        <v>77</v>
      </c>
      <c r="C5669" s="0" t="n">
        <v>38</v>
      </c>
      <c r="D5669" s="0" t="n">
        <v>0</v>
      </c>
      <c r="E5669" s="0" t="n">
        <f aca="false">VLOOKUP(B5669,'Babblefish-APUMA'!$A$1:$B$86,2)</f>
        <v>77</v>
      </c>
      <c r="F5669" s="0" t="n">
        <f aca="false">IF(C5669&gt;1,IF(C5669&lt;99,VLOOKUP(C5669,'Babblefish-APUMA'!$A$1:$B$86,2),C5669),C5669)</f>
        <v>91</v>
      </c>
    </row>
    <row r="5670" customFormat="false" ht="12.75" hidden="false" customHeight="false" outlineLevel="0" collapsed="false">
      <c r="A5670" s="0" t="n">
        <f aca="false">B5670*1000+C5670</f>
        <v>77039</v>
      </c>
      <c r="B5670" s="0" t="n">
        <v>77</v>
      </c>
      <c r="C5670" s="0" t="n">
        <v>39</v>
      </c>
      <c r="D5670" s="0" t="n">
        <v>0</v>
      </c>
      <c r="E5670" s="0" t="n">
        <f aca="false">VLOOKUP(B5670,'Babblefish-APUMA'!$A$1:$B$86,2)</f>
        <v>77</v>
      </c>
      <c r="F5670" s="0" t="n">
        <f aca="false">IF(C5670&gt;1,IF(C5670&lt;99,VLOOKUP(C5670,'Babblefish-APUMA'!$A$1:$B$86,2),C5670),C5670)</f>
        <v>91</v>
      </c>
    </row>
    <row r="5671" customFormat="false" ht="12.75" hidden="false" customHeight="false" outlineLevel="0" collapsed="false">
      <c r="A5671" s="0" t="n">
        <f aca="false">B5671*1000+C5671</f>
        <v>77040</v>
      </c>
      <c r="B5671" s="0" t="n">
        <v>77</v>
      </c>
      <c r="C5671" s="0" t="n">
        <v>40</v>
      </c>
      <c r="D5671" s="0" t="n">
        <v>0</v>
      </c>
      <c r="E5671" s="0" t="n">
        <f aca="false">VLOOKUP(B5671,'Babblefish-APUMA'!$A$1:$B$86,2)</f>
        <v>77</v>
      </c>
      <c r="F5671" s="0" t="n">
        <f aca="false">IF(C5671&gt;1,IF(C5671&lt;99,VLOOKUP(C5671,'Babblefish-APUMA'!$A$1:$B$86,2),C5671),C5671)</f>
        <v>88</v>
      </c>
    </row>
    <row r="5672" customFormat="false" ht="12.75" hidden="false" customHeight="false" outlineLevel="0" collapsed="false">
      <c r="A5672" s="0" t="n">
        <f aca="false">B5672*1000+C5672</f>
        <v>77041</v>
      </c>
      <c r="B5672" s="0" t="n">
        <v>77</v>
      </c>
      <c r="C5672" s="0" t="n">
        <v>41</v>
      </c>
      <c r="D5672" s="0" t="n">
        <v>0</v>
      </c>
      <c r="E5672" s="0" t="n">
        <f aca="false">VLOOKUP(B5672,'Babblefish-APUMA'!$A$1:$B$86,2)</f>
        <v>77</v>
      </c>
      <c r="F5672" s="0" t="n">
        <f aca="false">IF(C5672&gt;1,IF(C5672&lt;99,VLOOKUP(C5672,'Babblefish-APUMA'!$A$1:$B$86,2),C5672),C5672)</f>
        <v>88</v>
      </c>
    </row>
    <row r="5673" customFormat="false" ht="12.75" hidden="false" customHeight="false" outlineLevel="0" collapsed="false">
      <c r="A5673" s="0" t="n">
        <f aca="false">B5673*1000+C5673</f>
        <v>77042</v>
      </c>
      <c r="B5673" s="0" t="n">
        <v>77</v>
      </c>
      <c r="C5673" s="0" t="n">
        <v>42</v>
      </c>
      <c r="D5673" s="0" t="n">
        <v>0</v>
      </c>
      <c r="E5673" s="0" t="n">
        <f aca="false">VLOOKUP(B5673,'Babblefish-APUMA'!$A$1:$B$86,2)</f>
        <v>77</v>
      </c>
      <c r="F5673" s="0" t="n">
        <f aca="false">IF(C5673&gt;1,IF(C5673&lt;99,VLOOKUP(C5673,'Babblefish-APUMA'!$A$1:$B$86,2),C5673),C5673)</f>
        <v>92</v>
      </c>
    </row>
    <row r="5674" customFormat="false" ht="12.75" hidden="false" customHeight="false" outlineLevel="0" collapsed="false">
      <c r="A5674" s="0" t="n">
        <f aca="false">B5674*1000+C5674</f>
        <v>77043</v>
      </c>
      <c r="B5674" s="0" t="n">
        <v>77</v>
      </c>
      <c r="C5674" s="0" t="n">
        <v>43</v>
      </c>
      <c r="D5674" s="0" t="n">
        <v>0</v>
      </c>
      <c r="E5674" s="0" t="n">
        <f aca="false">VLOOKUP(B5674,'Babblefish-APUMA'!$A$1:$B$86,2)</f>
        <v>77</v>
      </c>
      <c r="F5674" s="0" t="n">
        <f aca="false">IF(C5674&gt;1,IF(C5674&lt;99,VLOOKUP(C5674,'Babblefish-APUMA'!$A$1:$B$86,2),C5674),C5674)</f>
        <v>92</v>
      </c>
    </row>
    <row r="5675" customFormat="false" ht="12.75" hidden="false" customHeight="false" outlineLevel="0" collapsed="false">
      <c r="A5675" s="0" t="n">
        <f aca="false">B5675*1000+C5675</f>
        <v>77044</v>
      </c>
      <c r="B5675" s="0" t="n">
        <v>77</v>
      </c>
      <c r="C5675" s="0" t="n">
        <v>44</v>
      </c>
      <c r="D5675" s="0" t="n">
        <v>0</v>
      </c>
      <c r="E5675" s="0" t="n">
        <f aca="false">VLOOKUP(B5675,'Babblefish-APUMA'!$A$1:$B$86,2)</f>
        <v>77</v>
      </c>
      <c r="F5675" s="0" t="n">
        <f aca="false">IF(C5675&gt;1,IF(C5675&lt;99,VLOOKUP(C5675,'Babblefish-APUMA'!$A$1:$B$86,2),C5675),C5675)</f>
        <v>92</v>
      </c>
    </row>
    <row r="5676" customFormat="false" ht="12.75" hidden="false" customHeight="false" outlineLevel="0" collapsed="false">
      <c r="A5676" s="0" t="n">
        <f aca="false">B5676*1000+C5676</f>
        <v>77045</v>
      </c>
      <c r="B5676" s="0" t="n">
        <v>77</v>
      </c>
      <c r="C5676" s="0" t="n">
        <v>45</v>
      </c>
      <c r="D5676" s="0" t="n">
        <v>0</v>
      </c>
      <c r="E5676" s="0" t="n">
        <f aca="false">VLOOKUP(B5676,'Babblefish-APUMA'!$A$1:$B$86,2)</f>
        <v>77</v>
      </c>
      <c r="F5676" s="0" t="n">
        <f aca="false">IF(C5676&gt;1,IF(C5676&lt;99,VLOOKUP(C5676,'Babblefish-APUMA'!$A$1:$B$86,2),C5676),C5676)</f>
        <v>92</v>
      </c>
    </row>
    <row r="5677" customFormat="false" ht="12.75" hidden="false" customHeight="false" outlineLevel="0" collapsed="false">
      <c r="A5677" s="0" t="n">
        <f aca="false">B5677*1000+C5677</f>
        <v>77046</v>
      </c>
      <c r="B5677" s="0" t="n">
        <v>77</v>
      </c>
      <c r="C5677" s="0" t="n">
        <v>46</v>
      </c>
      <c r="D5677" s="0" t="n">
        <v>0</v>
      </c>
      <c r="E5677" s="0" t="n">
        <f aca="false">VLOOKUP(B5677,'Babblefish-APUMA'!$A$1:$B$86,2)</f>
        <v>77</v>
      </c>
      <c r="F5677" s="0" t="n">
        <f aca="false">IF(C5677&gt;1,IF(C5677&lt;99,VLOOKUP(C5677,'Babblefish-APUMA'!$A$1:$B$86,2),C5677),C5677)</f>
        <v>92</v>
      </c>
    </row>
    <row r="5678" customFormat="false" ht="12.75" hidden="false" customHeight="false" outlineLevel="0" collapsed="false">
      <c r="A5678" s="0" t="n">
        <f aca="false">B5678*1000+C5678</f>
        <v>77047</v>
      </c>
      <c r="B5678" s="0" t="n">
        <v>77</v>
      </c>
      <c r="C5678" s="0" t="n">
        <v>47</v>
      </c>
      <c r="D5678" s="0" t="n">
        <v>0</v>
      </c>
      <c r="E5678" s="0" t="n">
        <f aca="false">VLOOKUP(B5678,'Babblefish-APUMA'!$A$1:$B$86,2)</f>
        <v>77</v>
      </c>
      <c r="F5678" s="0" t="n">
        <f aca="false">IF(C5678&gt;1,IF(C5678&lt;99,VLOOKUP(C5678,'Babblefish-APUMA'!$A$1:$B$86,2),C5678),C5678)</f>
        <v>92</v>
      </c>
    </row>
    <row r="5679" customFormat="false" ht="12.75" hidden="false" customHeight="false" outlineLevel="0" collapsed="false">
      <c r="A5679" s="0" t="n">
        <f aca="false">B5679*1000+C5679</f>
        <v>77048</v>
      </c>
      <c r="B5679" s="0" t="n">
        <v>77</v>
      </c>
      <c r="C5679" s="0" t="n">
        <v>48</v>
      </c>
      <c r="D5679" s="0" t="n">
        <v>0</v>
      </c>
      <c r="E5679" s="0" t="n">
        <f aca="false">VLOOKUP(B5679,'Babblefish-APUMA'!$A$1:$B$86,2)</f>
        <v>77</v>
      </c>
      <c r="F5679" s="0" t="n">
        <f aca="false">IF(C5679&gt;1,IF(C5679&lt;99,VLOOKUP(C5679,'Babblefish-APUMA'!$A$1:$B$86,2),C5679),C5679)</f>
        <v>92</v>
      </c>
    </row>
    <row r="5680" customFormat="false" ht="12.75" hidden="false" customHeight="false" outlineLevel="0" collapsed="false">
      <c r="A5680" s="0" t="n">
        <f aca="false">B5680*1000+C5680</f>
        <v>77049</v>
      </c>
      <c r="B5680" s="0" t="n">
        <v>77</v>
      </c>
      <c r="C5680" s="0" t="n">
        <v>49</v>
      </c>
      <c r="D5680" s="0" t="n">
        <v>0</v>
      </c>
      <c r="E5680" s="0" t="n">
        <f aca="false">VLOOKUP(B5680,'Babblefish-APUMA'!$A$1:$B$86,2)</f>
        <v>77</v>
      </c>
      <c r="F5680" s="0" t="n">
        <f aca="false">IF(C5680&gt;1,IF(C5680&lt;99,VLOOKUP(C5680,'Babblefish-APUMA'!$A$1:$B$86,2),C5680),C5680)</f>
        <v>98</v>
      </c>
    </row>
    <row r="5681" customFormat="false" ht="12.75" hidden="false" customHeight="false" outlineLevel="0" collapsed="false">
      <c r="A5681" s="0" t="n">
        <f aca="false">B5681*1000+C5681</f>
        <v>77050</v>
      </c>
      <c r="B5681" s="0" t="n">
        <v>77</v>
      </c>
      <c r="C5681" s="0" t="n">
        <v>50</v>
      </c>
      <c r="D5681" s="0" t="n">
        <v>0</v>
      </c>
      <c r="E5681" s="0" t="n">
        <f aca="false">VLOOKUP(B5681,'Babblefish-APUMA'!$A$1:$B$86,2)</f>
        <v>77</v>
      </c>
      <c r="F5681" s="0" t="n">
        <f aca="false">IF(C5681&gt;1,IF(C5681&lt;99,VLOOKUP(C5681,'Babblefish-APUMA'!$A$1:$B$86,2),C5681),C5681)</f>
        <v>98</v>
      </c>
    </row>
    <row r="5682" customFormat="false" ht="12.75" hidden="false" customHeight="false" outlineLevel="0" collapsed="false">
      <c r="A5682" s="0" t="n">
        <f aca="false">B5682*1000+C5682</f>
        <v>77051</v>
      </c>
      <c r="B5682" s="0" t="n">
        <v>77</v>
      </c>
      <c r="C5682" s="0" t="n">
        <v>51</v>
      </c>
      <c r="D5682" s="0" t="n">
        <v>0</v>
      </c>
      <c r="E5682" s="0" t="n">
        <f aca="false">VLOOKUP(B5682,'Babblefish-APUMA'!$A$1:$B$86,2)</f>
        <v>77</v>
      </c>
      <c r="F5682" s="0" t="n">
        <f aca="false">IF(C5682&gt;1,IF(C5682&lt;99,VLOOKUP(C5682,'Babblefish-APUMA'!$A$1:$B$86,2),C5682),C5682)</f>
        <v>98</v>
      </c>
    </row>
    <row r="5683" customFormat="false" ht="12.75" hidden="false" customHeight="false" outlineLevel="0" collapsed="false">
      <c r="A5683" s="0" t="n">
        <f aca="false">B5683*1000+C5683</f>
        <v>77052</v>
      </c>
      <c r="B5683" s="0" t="n">
        <v>77</v>
      </c>
      <c r="C5683" s="0" t="n">
        <v>52</v>
      </c>
      <c r="D5683" s="0" t="n">
        <v>0</v>
      </c>
      <c r="E5683" s="0" t="n">
        <f aca="false">VLOOKUP(B5683,'Babblefish-APUMA'!$A$1:$B$86,2)</f>
        <v>77</v>
      </c>
      <c r="F5683" s="0" t="n">
        <f aca="false">IF(C5683&gt;1,IF(C5683&lt;99,VLOOKUP(C5683,'Babblefish-APUMA'!$A$1:$B$86,2),C5683),C5683)</f>
        <v>90</v>
      </c>
    </row>
    <row r="5684" customFormat="false" ht="12.75" hidden="false" customHeight="false" outlineLevel="0" collapsed="false">
      <c r="A5684" s="0" t="n">
        <f aca="false">B5684*1000+C5684</f>
        <v>77053</v>
      </c>
      <c r="B5684" s="0" t="n">
        <v>77</v>
      </c>
      <c r="C5684" s="0" t="n">
        <v>53</v>
      </c>
      <c r="D5684" s="0" t="n">
        <v>0</v>
      </c>
      <c r="E5684" s="0" t="n">
        <f aca="false">VLOOKUP(B5684,'Babblefish-APUMA'!$A$1:$B$86,2)</f>
        <v>77</v>
      </c>
      <c r="F5684" s="0" t="n">
        <f aca="false">IF(C5684&gt;1,IF(C5684&lt;99,VLOOKUP(C5684,'Babblefish-APUMA'!$A$1:$B$86,2),C5684),C5684)</f>
        <v>90</v>
      </c>
    </row>
    <row r="5685" customFormat="false" ht="12.75" hidden="false" customHeight="false" outlineLevel="0" collapsed="false">
      <c r="A5685" s="0" t="n">
        <f aca="false">B5685*1000+C5685</f>
        <v>77054</v>
      </c>
      <c r="B5685" s="0" t="n">
        <v>77</v>
      </c>
      <c r="C5685" s="0" t="n">
        <v>54</v>
      </c>
      <c r="D5685" s="0" t="n">
        <v>0</v>
      </c>
      <c r="E5685" s="0" t="n">
        <f aca="false">VLOOKUP(B5685,'Babblefish-APUMA'!$A$1:$B$86,2)</f>
        <v>77</v>
      </c>
      <c r="F5685" s="0" t="n">
        <f aca="false">IF(C5685&gt;1,IF(C5685&lt;99,VLOOKUP(C5685,'Babblefish-APUMA'!$A$1:$B$86,2),C5685),C5685)</f>
        <v>90</v>
      </c>
    </row>
    <row r="5686" customFormat="false" ht="12.75" hidden="false" customHeight="false" outlineLevel="0" collapsed="false">
      <c r="A5686" s="0" t="n">
        <f aca="false">B5686*1000+C5686</f>
        <v>77055</v>
      </c>
      <c r="B5686" s="0" t="n">
        <v>77</v>
      </c>
      <c r="C5686" s="0" t="n">
        <v>55</v>
      </c>
      <c r="D5686" s="0" t="n">
        <v>0</v>
      </c>
      <c r="E5686" s="0" t="n">
        <f aca="false">VLOOKUP(B5686,'Babblefish-APUMA'!$A$1:$B$86,2)</f>
        <v>77</v>
      </c>
      <c r="F5686" s="0" t="n">
        <f aca="false">IF(C5686&gt;1,IF(C5686&lt;99,VLOOKUP(C5686,'Babblefish-APUMA'!$A$1:$B$86,2),C5686),C5686)</f>
        <v>90</v>
      </c>
    </row>
    <row r="5687" customFormat="false" ht="12.75" hidden="false" customHeight="false" outlineLevel="0" collapsed="false">
      <c r="A5687" s="0" t="n">
        <f aca="false">B5687*1000+C5687</f>
        <v>77056</v>
      </c>
      <c r="B5687" s="0" t="n">
        <v>77</v>
      </c>
      <c r="C5687" s="0" t="n">
        <v>56</v>
      </c>
      <c r="D5687" s="0" t="n">
        <v>0</v>
      </c>
      <c r="E5687" s="0" t="n">
        <f aca="false">VLOOKUP(B5687,'Babblefish-APUMA'!$A$1:$B$86,2)</f>
        <v>77</v>
      </c>
      <c r="F5687" s="0" t="n">
        <f aca="false">IF(C5687&gt;1,IF(C5687&lt;99,VLOOKUP(C5687,'Babblefish-APUMA'!$A$1:$B$86,2),C5687),C5687)</f>
        <v>90</v>
      </c>
    </row>
    <row r="5688" customFormat="false" ht="12.75" hidden="false" customHeight="false" outlineLevel="0" collapsed="false">
      <c r="A5688" s="0" t="n">
        <f aca="false">B5688*1000+C5688</f>
        <v>77057</v>
      </c>
      <c r="B5688" s="0" t="n">
        <v>77</v>
      </c>
      <c r="C5688" s="0" t="n">
        <v>57</v>
      </c>
      <c r="D5688" s="0" t="n">
        <v>0</v>
      </c>
      <c r="E5688" s="0" t="n">
        <f aca="false">VLOOKUP(B5688,'Babblefish-APUMA'!$A$1:$B$86,2)</f>
        <v>77</v>
      </c>
      <c r="F5688" s="0" t="n">
        <f aca="false">IF(C5688&gt;1,IF(C5688&lt;99,VLOOKUP(C5688,'Babblefish-APUMA'!$A$1:$B$86,2),C5688),C5688)</f>
        <v>90</v>
      </c>
    </row>
    <row r="5689" customFormat="false" ht="12.75" hidden="false" customHeight="false" outlineLevel="0" collapsed="false">
      <c r="A5689" s="0" t="n">
        <f aca="false">B5689*1000+C5689</f>
        <v>77058</v>
      </c>
      <c r="B5689" s="0" t="n">
        <v>77</v>
      </c>
      <c r="C5689" s="0" t="n">
        <v>58</v>
      </c>
      <c r="D5689" s="0" t="n">
        <v>0</v>
      </c>
      <c r="E5689" s="0" t="n">
        <f aca="false">VLOOKUP(B5689,'Babblefish-APUMA'!$A$1:$B$86,2)</f>
        <v>77</v>
      </c>
      <c r="F5689" s="0" t="n">
        <f aca="false">IF(C5689&gt;1,IF(C5689&lt;99,VLOOKUP(C5689,'Babblefish-APUMA'!$A$1:$B$86,2),C5689),C5689)</f>
        <v>90</v>
      </c>
    </row>
    <row r="5690" customFormat="false" ht="12.75" hidden="false" customHeight="false" outlineLevel="0" collapsed="false">
      <c r="A5690" s="0" t="n">
        <f aca="false">B5690*1000+C5690</f>
        <v>77059</v>
      </c>
      <c r="B5690" s="0" t="n">
        <v>77</v>
      </c>
      <c r="C5690" s="0" t="n">
        <v>59</v>
      </c>
      <c r="D5690" s="0" t="n">
        <v>0</v>
      </c>
      <c r="E5690" s="0" t="n">
        <f aca="false">VLOOKUP(B5690,'Babblefish-APUMA'!$A$1:$B$86,2)</f>
        <v>77</v>
      </c>
      <c r="F5690" s="0" t="n">
        <f aca="false">IF(C5690&gt;1,IF(C5690&lt;99,VLOOKUP(C5690,'Babblefish-APUMA'!$A$1:$B$86,2),C5690),C5690)</f>
        <v>90</v>
      </c>
    </row>
    <row r="5691" customFormat="false" ht="12.75" hidden="false" customHeight="false" outlineLevel="0" collapsed="false">
      <c r="A5691" s="0" t="n">
        <f aca="false">B5691*1000+C5691</f>
        <v>77060</v>
      </c>
      <c r="B5691" s="0" t="n">
        <v>77</v>
      </c>
      <c r="C5691" s="0" t="n">
        <v>60</v>
      </c>
      <c r="D5691" s="0" t="n">
        <v>0</v>
      </c>
      <c r="E5691" s="0" t="n">
        <f aca="false">VLOOKUP(B5691,'Babblefish-APUMA'!$A$1:$B$86,2)</f>
        <v>77</v>
      </c>
      <c r="F5691" s="0" t="n">
        <f aca="false">IF(C5691&gt;1,IF(C5691&lt;99,VLOOKUP(C5691,'Babblefish-APUMA'!$A$1:$B$86,2),C5691),C5691)</f>
        <v>90</v>
      </c>
    </row>
    <row r="5692" customFormat="false" ht="12.75" hidden="false" customHeight="false" outlineLevel="0" collapsed="false">
      <c r="A5692" s="0" t="n">
        <f aca="false">B5692*1000+C5692</f>
        <v>77061</v>
      </c>
      <c r="B5692" s="0" t="n">
        <v>77</v>
      </c>
      <c r="C5692" s="0" t="n">
        <v>61</v>
      </c>
      <c r="D5692" s="0" t="n">
        <v>0</v>
      </c>
      <c r="E5692" s="0" t="n">
        <f aca="false">VLOOKUP(B5692,'Babblefish-APUMA'!$A$1:$B$86,2)</f>
        <v>77</v>
      </c>
      <c r="F5692" s="0" t="n">
        <f aca="false">IF(C5692&gt;1,IF(C5692&lt;99,VLOOKUP(C5692,'Babblefish-APUMA'!$A$1:$B$86,2),C5692),C5692)</f>
        <v>90</v>
      </c>
    </row>
    <row r="5693" customFormat="false" ht="12.75" hidden="false" customHeight="false" outlineLevel="0" collapsed="false">
      <c r="A5693" s="0" t="n">
        <f aca="false">B5693*1000+C5693</f>
        <v>77062</v>
      </c>
      <c r="B5693" s="0" t="n">
        <v>77</v>
      </c>
      <c r="C5693" s="0" t="n">
        <v>62</v>
      </c>
      <c r="D5693" s="0" t="n">
        <v>0</v>
      </c>
      <c r="E5693" s="0" t="n">
        <f aca="false">VLOOKUP(B5693,'Babblefish-APUMA'!$A$1:$B$86,2)</f>
        <v>77</v>
      </c>
      <c r="F5693" s="0" t="n">
        <f aca="false">IF(C5693&gt;1,IF(C5693&lt;99,VLOOKUP(C5693,'Babblefish-APUMA'!$A$1:$B$86,2),C5693),C5693)</f>
        <v>90</v>
      </c>
    </row>
    <row r="5694" customFormat="false" ht="12.75" hidden="false" customHeight="false" outlineLevel="0" collapsed="false">
      <c r="A5694" s="0" t="n">
        <f aca="false">B5694*1000+C5694</f>
        <v>77063</v>
      </c>
      <c r="B5694" s="0" t="n">
        <v>77</v>
      </c>
      <c r="C5694" s="0" t="n">
        <v>63</v>
      </c>
      <c r="D5694" s="0" t="n">
        <v>0</v>
      </c>
      <c r="E5694" s="0" t="n">
        <f aca="false">VLOOKUP(B5694,'Babblefish-APUMA'!$A$1:$B$86,2)</f>
        <v>77</v>
      </c>
      <c r="F5694" s="0" t="n">
        <f aca="false">IF(C5694&gt;1,IF(C5694&lt;99,VLOOKUP(C5694,'Babblefish-APUMA'!$A$1:$B$86,2),C5694),C5694)</f>
        <v>90</v>
      </c>
    </row>
    <row r="5695" customFormat="false" ht="12.75" hidden="false" customHeight="false" outlineLevel="0" collapsed="false">
      <c r="A5695" s="0" t="n">
        <f aca="false">B5695*1000+C5695</f>
        <v>77064</v>
      </c>
      <c r="B5695" s="0" t="n">
        <v>77</v>
      </c>
      <c r="C5695" s="0" t="n">
        <v>64</v>
      </c>
      <c r="D5695" s="0" t="n">
        <v>156</v>
      </c>
      <c r="E5695" s="0" t="n">
        <f aca="false">VLOOKUP(B5695,'Babblefish-APUMA'!$A$1:$B$86,2)</f>
        <v>77</v>
      </c>
      <c r="F5695" s="0" t="n">
        <f aca="false">IF(C5695&gt;1,IF(C5695&lt;99,VLOOKUP(C5695,'Babblefish-APUMA'!$A$1:$B$86,2),C5695),C5695)</f>
        <v>90</v>
      </c>
    </row>
    <row r="5696" customFormat="false" ht="12.75" hidden="false" customHeight="false" outlineLevel="0" collapsed="false">
      <c r="A5696" s="0" t="n">
        <f aca="false">B5696*1000+C5696</f>
        <v>77065</v>
      </c>
      <c r="B5696" s="0" t="n">
        <v>77</v>
      </c>
      <c r="C5696" s="0" t="n">
        <v>65</v>
      </c>
      <c r="D5696" s="0" t="n">
        <v>0</v>
      </c>
      <c r="E5696" s="0" t="n">
        <f aca="false">VLOOKUP(B5696,'Babblefish-APUMA'!$A$1:$B$86,2)</f>
        <v>77</v>
      </c>
      <c r="F5696" s="0" t="n">
        <f aca="false">IF(C5696&gt;1,IF(C5696&lt;99,VLOOKUP(C5696,'Babblefish-APUMA'!$A$1:$B$86,2),C5696),C5696)</f>
        <v>90</v>
      </c>
    </row>
    <row r="5697" customFormat="false" ht="12.75" hidden="false" customHeight="false" outlineLevel="0" collapsed="false">
      <c r="A5697" s="0" t="n">
        <f aca="false">B5697*1000+C5697</f>
        <v>77066</v>
      </c>
      <c r="B5697" s="0" t="n">
        <v>77</v>
      </c>
      <c r="C5697" s="0" t="n">
        <v>66</v>
      </c>
      <c r="D5697" s="0" t="n">
        <v>0</v>
      </c>
      <c r="E5697" s="0" t="n">
        <f aca="false">VLOOKUP(B5697,'Babblefish-APUMA'!$A$1:$B$86,2)</f>
        <v>77</v>
      </c>
      <c r="F5697" s="0" t="n">
        <f aca="false">IF(C5697&gt;1,IF(C5697&lt;99,VLOOKUP(C5697,'Babblefish-APUMA'!$A$1:$B$86,2),C5697),C5697)</f>
        <v>90</v>
      </c>
    </row>
    <row r="5698" customFormat="false" ht="12.75" hidden="false" customHeight="false" outlineLevel="0" collapsed="false">
      <c r="A5698" s="0" t="n">
        <f aca="false">B5698*1000+C5698</f>
        <v>77067</v>
      </c>
      <c r="B5698" s="0" t="n">
        <v>77</v>
      </c>
      <c r="C5698" s="0" t="n">
        <v>67</v>
      </c>
      <c r="D5698" s="0" t="n">
        <v>0</v>
      </c>
      <c r="E5698" s="0" t="n">
        <f aca="false">VLOOKUP(B5698,'Babblefish-APUMA'!$A$1:$B$86,2)</f>
        <v>77</v>
      </c>
      <c r="F5698" s="0" t="n">
        <f aca="false">IF(C5698&gt;1,IF(C5698&lt;99,VLOOKUP(C5698,'Babblefish-APUMA'!$A$1:$B$86,2),C5698),C5698)</f>
        <v>103</v>
      </c>
    </row>
    <row r="5699" customFormat="false" ht="12.75" hidden="false" customHeight="false" outlineLevel="0" collapsed="false">
      <c r="A5699" s="0" t="n">
        <f aca="false">B5699*1000+C5699</f>
        <v>77068</v>
      </c>
      <c r="B5699" s="0" t="n">
        <v>77</v>
      </c>
      <c r="C5699" s="0" t="n">
        <v>68</v>
      </c>
      <c r="D5699" s="0" t="n">
        <v>0</v>
      </c>
      <c r="E5699" s="0" t="n">
        <f aca="false">VLOOKUP(B5699,'Babblefish-APUMA'!$A$1:$B$86,2)</f>
        <v>77</v>
      </c>
      <c r="F5699" s="0" t="n">
        <f aca="false">IF(C5699&gt;1,IF(C5699&lt;99,VLOOKUP(C5699,'Babblefish-APUMA'!$A$1:$B$86,2),C5699),C5699)</f>
        <v>93</v>
      </c>
    </row>
    <row r="5700" customFormat="false" ht="12.75" hidden="false" customHeight="false" outlineLevel="0" collapsed="false">
      <c r="A5700" s="0" t="n">
        <f aca="false">B5700*1000+C5700</f>
        <v>77069</v>
      </c>
      <c r="B5700" s="0" t="n">
        <v>77</v>
      </c>
      <c r="C5700" s="0" t="n">
        <v>69</v>
      </c>
      <c r="D5700" s="0" t="n">
        <v>624</v>
      </c>
      <c r="E5700" s="0" t="n">
        <f aca="false">VLOOKUP(B5700,'Babblefish-APUMA'!$A$1:$B$86,2)</f>
        <v>77</v>
      </c>
      <c r="F5700" s="0" t="n">
        <f aca="false">IF(C5700&gt;1,IF(C5700&lt;99,VLOOKUP(C5700,'Babblefish-APUMA'!$A$1:$B$86,2),C5700),C5700)</f>
        <v>93</v>
      </c>
    </row>
    <row r="5701" customFormat="false" ht="12.75" hidden="false" customHeight="false" outlineLevel="0" collapsed="false">
      <c r="A5701" s="0" t="n">
        <f aca="false">B5701*1000+C5701</f>
        <v>77070</v>
      </c>
      <c r="B5701" s="0" t="n">
        <v>77</v>
      </c>
      <c r="C5701" s="0" t="n">
        <v>70</v>
      </c>
      <c r="D5701" s="0" t="n">
        <v>0</v>
      </c>
      <c r="E5701" s="0" t="n">
        <f aca="false">VLOOKUP(B5701,'Babblefish-APUMA'!$A$1:$B$86,2)</f>
        <v>77</v>
      </c>
      <c r="F5701" s="0" t="n">
        <f aca="false">IF(C5701&gt;1,IF(C5701&lt;99,VLOOKUP(C5701,'Babblefish-APUMA'!$A$1:$B$86,2),C5701),C5701)</f>
        <v>95</v>
      </c>
    </row>
    <row r="5702" customFormat="false" ht="12.75" hidden="false" customHeight="false" outlineLevel="0" collapsed="false">
      <c r="A5702" s="0" t="n">
        <f aca="false">B5702*1000+C5702</f>
        <v>77071</v>
      </c>
      <c r="B5702" s="0" t="n">
        <v>77</v>
      </c>
      <c r="C5702" s="0" t="n">
        <v>71</v>
      </c>
      <c r="D5702" s="0" t="n">
        <v>0</v>
      </c>
      <c r="E5702" s="0" t="n">
        <f aca="false">VLOOKUP(B5702,'Babblefish-APUMA'!$A$1:$B$86,2)</f>
        <v>77</v>
      </c>
      <c r="F5702" s="0" t="n">
        <f aca="false">IF(C5702&gt;1,IF(C5702&lt;99,VLOOKUP(C5702,'Babblefish-APUMA'!$A$1:$B$86,2),C5702),C5702)</f>
        <v>95</v>
      </c>
    </row>
    <row r="5703" customFormat="false" ht="12.75" hidden="false" customHeight="false" outlineLevel="0" collapsed="false">
      <c r="A5703" s="0" t="n">
        <f aca="false">B5703*1000+C5703</f>
        <v>77072</v>
      </c>
      <c r="B5703" s="0" t="n">
        <v>77</v>
      </c>
      <c r="C5703" s="0" t="n">
        <v>72</v>
      </c>
      <c r="D5703" s="0" t="n">
        <v>0</v>
      </c>
      <c r="E5703" s="0" t="n">
        <f aca="false">VLOOKUP(B5703,'Babblefish-APUMA'!$A$1:$B$86,2)</f>
        <v>77</v>
      </c>
      <c r="F5703" s="0" t="n">
        <f aca="false">IF(C5703&gt;1,IF(C5703&lt;99,VLOOKUP(C5703,'Babblefish-APUMA'!$A$1:$B$86,2),C5703),C5703)</f>
        <v>95</v>
      </c>
    </row>
    <row r="5704" customFormat="false" ht="12.75" hidden="false" customHeight="false" outlineLevel="0" collapsed="false">
      <c r="A5704" s="0" t="n">
        <f aca="false">B5704*1000+C5704</f>
        <v>77073</v>
      </c>
      <c r="B5704" s="0" t="n">
        <v>77</v>
      </c>
      <c r="C5704" s="0" t="n">
        <v>73</v>
      </c>
      <c r="D5704" s="0" t="n">
        <v>0</v>
      </c>
      <c r="E5704" s="0" t="n">
        <f aca="false">VLOOKUP(B5704,'Babblefish-APUMA'!$A$1:$B$86,2)</f>
        <v>77</v>
      </c>
      <c r="F5704" s="0" t="n">
        <f aca="false">IF(C5704&gt;1,IF(C5704&lt;99,VLOOKUP(C5704,'Babblefish-APUMA'!$A$1:$B$86,2),C5704),C5704)</f>
        <v>99</v>
      </c>
    </row>
    <row r="5705" customFormat="false" ht="12.75" hidden="false" customHeight="false" outlineLevel="0" collapsed="false">
      <c r="A5705" s="0" t="n">
        <f aca="false">B5705*1000+C5705</f>
        <v>77075</v>
      </c>
      <c r="B5705" s="0" t="n">
        <v>77</v>
      </c>
      <c r="C5705" s="0" t="n">
        <v>75</v>
      </c>
      <c r="D5705" s="0" t="n">
        <v>0</v>
      </c>
      <c r="E5705" s="0" t="n">
        <f aca="false">VLOOKUP(B5705,'Babblefish-APUMA'!$A$1:$B$86,2)</f>
        <v>77</v>
      </c>
      <c r="F5705" s="0" t="n">
        <f aca="false">IF(C5705&gt;1,IF(C5705&lt;99,VLOOKUP(C5705,'Babblefish-APUMA'!$A$1:$B$86,2),C5705),C5705)</f>
        <v>75</v>
      </c>
    </row>
    <row r="5706" customFormat="false" ht="12.75" hidden="false" customHeight="false" outlineLevel="0" collapsed="false">
      <c r="A5706" s="0" t="n">
        <f aca="false">B5706*1000+C5706</f>
        <v>77076</v>
      </c>
      <c r="B5706" s="0" t="n">
        <v>77</v>
      </c>
      <c r="C5706" s="0" t="n">
        <v>76</v>
      </c>
      <c r="D5706" s="0" t="n">
        <v>0</v>
      </c>
      <c r="E5706" s="0" t="n">
        <f aca="false">VLOOKUP(B5706,'Babblefish-APUMA'!$A$1:$B$86,2)</f>
        <v>77</v>
      </c>
      <c r="F5706" s="0" t="n">
        <f aca="false">IF(C5706&gt;1,IF(C5706&lt;99,VLOOKUP(C5706,'Babblefish-APUMA'!$A$1:$B$86,2),C5706),C5706)</f>
        <v>76</v>
      </c>
    </row>
    <row r="5707" customFormat="false" ht="12.75" hidden="false" customHeight="false" outlineLevel="0" collapsed="false">
      <c r="A5707" s="0" t="n">
        <f aca="false">B5707*1000+C5707</f>
        <v>77077</v>
      </c>
      <c r="B5707" s="0" t="n">
        <v>77</v>
      </c>
      <c r="C5707" s="0" t="n">
        <v>77</v>
      </c>
      <c r="D5707" s="0" t="n">
        <v>33397</v>
      </c>
      <c r="E5707" s="0" t="n">
        <f aca="false">VLOOKUP(B5707,'Babblefish-APUMA'!$A$1:$B$86,2)</f>
        <v>77</v>
      </c>
      <c r="F5707" s="0" t="n">
        <f aca="false">IF(C5707&gt;1,IF(C5707&lt;99,VLOOKUP(C5707,'Babblefish-APUMA'!$A$1:$B$86,2),C5707),C5707)</f>
        <v>77</v>
      </c>
    </row>
    <row r="5708" customFormat="false" ht="12.75" hidden="false" customHeight="false" outlineLevel="0" collapsed="false">
      <c r="A5708" s="0" t="n">
        <f aca="false">B5708*1000+C5708</f>
        <v>77078</v>
      </c>
      <c r="B5708" s="0" t="n">
        <v>77</v>
      </c>
      <c r="C5708" s="0" t="n">
        <v>78</v>
      </c>
      <c r="D5708" s="0" t="n">
        <v>0</v>
      </c>
      <c r="E5708" s="0" t="n">
        <f aca="false">VLOOKUP(B5708,'Babblefish-APUMA'!$A$1:$B$86,2)</f>
        <v>77</v>
      </c>
      <c r="F5708" s="0" t="n">
        <f aca="false">IF(C5708&gt;1,IF(C5708&lt;99,VLOOKUP(C5708,'Babblefish-APUMA'!$A$1:$B$86,2),C5708),C5708)</f>
        <v>89</v>
      </c>
    </row>
    <row r="5709" customFormat="false" ht="12.75" hidden="false" customHeight="false" outlineLevel="0" collapsed="false">
      <c r="A5709" s="0" t="n">
        <f aca="false">B5709*1000+C5709</f>
        <v>77079</v>
      </c>
      <c r="B5709" s="0" t="n">
        <v>77</v>
      </c>
      <c r="C5709" s="0" t="n">
        <v>79</v>
      </c>
      <c r="D5709" s="0" t="n">
        <v>0</v>
      </c>
      <c r="E5709" s="0" t="n">
        <f aca="false">VLOOKUP(B5709,'Babblefish-APUMA'!$A$1:$B$86,2)</f>
        <v>77</v>
      </c>
      <c r="F5709" s="0" t="n">
        <f aca="false">IF(C5709&gt;1,IF(C5709&lt;99,VLOOKUP(C5709,'Babblefish-APUMA'!$A$1:$B$86,2),C5709),C5709)</f>
        <v>89</v>
      </c>
    </row>
    <row r="5710" customFormat="false" ht="12.75" hidden="false" customHeight="false" outlineLevel="0" collapsed="false">
      <c r="A5710" s="0" t="n">
        <f aca="false">B5710*1000+C5710</f>
        <v>77080</v>
      </c>
      <c r="B5710" s="0" t="n">
        <v>77</v>
      </c>
      <c r="C5710" s="0" t="n">
        <v>80</v>
      </c>
      <c r="D5710" s="0" t="n">
        <v>0</v>
      </c>
      <c r="E5710" s="0" t="n">
        <f aca="false">VLOOKUP(B5710,'Babblefish-APUMA'!$A$1:$B$86,2)</f>
        <v>77</v>
      </c>
      <c r="F5710" s="0" t="n">
        <f aca="false">IF(C5710&gt;1,IF(C5710&lt;99,VLOOKUP(C5710,'Babblefish-APUMA'!$A$1:$B$86,2),C5710),C5710)</f>
        <v>80</v>
      </c>
    </row>
    <row r="5711" customFormat="false" ht="12.75" hidden="false" customHeight="false" outlineLevel="0" collapsed="false">
      <c r="A5711" s="0" t="n">
        <f aca="false">B5711*1000+C5711</f>
        <v>77081</v>
      </c>
      <c r="B5711" s="0" t="n">
        <v>77</v>
      </c>
      <c r="C5711" s="0" t="n">
        <v>81</v>
      </c>
      <c r="D5711" s="0" t="n">
        <v>0</v>
      </c>
      <c r="E5711" s="0" t="n">
        <f aca="false">VLOOKUP(B5711,'Babblefish-APUMA'!$A$1:$B$86,2)</f>
        <v>77</v>
      </c>
      <c r="F5711" s="0" t="n">
        <f aca="false">IF(C5711&gt;1,IF(C5711&lt;99,VLOOKUP(C5711,'Babblefish-APUMA'!$A$1:$B$86,2),C5711),C5711)</f>
        <v>93</v>
      </c>
    </row>
    <row r="5712" customFormat="false" ht="12.75" hidden="false" customHeight="false" outlineLevel="0" collapsed="false">
      <c r="A5712" s="0" t="n">
        <f aca="false">B5712*1000+C5712</f>
        <v>77082</v>
      </c>
      <c r="B5712" s="0" t="n">
        <v>77</v>
      </c>
      <c r="C5712" s="0" t="n">
        <v>82</v>
      </c>
      <c r="D5712" s="0" t="n">
        <v>0</v>
      </c>
      <c r="E5712" s="0" t="n">
        <f aca="false">VLOOKUP(B5712,'Babblefish-APUMA'!$A$1:$B$86,2)</f>
        <v>77</v>
      </c>
      <c r="F5712" s="0" t="n">
        <f aca="false">IF(C5712&gt;1,IF(C5712&lt;99,VLOOKUP(C5712,'Babblefish-APUMA'!$A$1:$B$86,2),C5712),C5712)</f>
        <v>95</v>
      </c>
    </row>
    <row r="5713" customFormat="false" ht="12.75" hidden="false" customHeight="false" outlineLevel="0" collapsed="false">
      <c r="A5713" s="0" t="n">
        <f aca="false">B5713*1000+C5713</f>
        <v>77083</v>
      </c>
      <c r="B5713" s="0" t="n">
        <v>77</v>
      </c>
      <c r="C5713" s="0" t="n">
        <v>83</v>
      </c>
      <c r="D5713" s="0" t="n">
        <v>0</v>
      </c>
      <c r="E5713" s="0" t="n">
        <f aca="false">VLOOKUP(B5713,'Babblefish-APUMA'!$A$1:$B$86,2)</f>
        <v>77</v>
      </c>
      <c r="F5713" s="0" t="n">
        <f aca="false">IF(C5713&gt;1,IF(C5713&lt;99,VLOOKUP(C5713,'Babblefish-APUMA'!$A$1:$B$86,2),C5713),C5713)</f>
        <v>103</v>
      </c>
    </row>
    <row r="5714" customFormat="false" ht="12.75" hidden="false" customHeight="false" outlineLevel="0" collapsed="false">
      <c r="A5714" s="0" t="n">
        <f aca="false">B5714*1000+C5714</f>
        <v>77084</v>
      </c>
      <c r="B5714" s="0" t="n">
        <v>77</v>
      </c>
      <c r="C5714" s="0" t="n">
        <v>84</v>
      </c>
      <c r="D5714" s="0" t="n">
        <v>0</v>
      </c>
      <c r="E5714" s="0" t="n">
        <f aca="false">VLOOKUP(B5714,'Babblefish-APUMA'!$A$1:$B$86,2)</f>
        <v>77</v>
      </c>
      <c r="F5714" s="0" t="n">
        <f aca="false">IF(C5714&gt;1,IF(C5714&lt;99,VLOOKUP(C5714,'Babblefish-APUMA'!$A$1:$B$86,2),C5714),C5714)</f>
        <v>92</v>
      </c>
    </row>
    <row r="5715" customFormat="false" ht="12.75" hidden="false" customHeight="false" outlineLevel="0" collapsed="false">
      <c r="A5715" s="0" t="n">
        <f aca="false">B5715*1000+C5715</f>
        <v>77085</v>
      </c>
      <c r="B5715" s="0" t="n">
        <v>77</v>
      </c>
      <c r="C5715" s="0" t="n">
        <v>85</v>
      </c>
      <c r="D5715" s="0" t="n">
        <v>0</v>
      </c>
      <c r="E5715" s="0" t="n">
        <f aca="false">VLOOKUP(B5715,'Babblefish-APUMA'!$A$1:$B$86,2)</f>
        <v>77</v>
      </c>
      <c r="F5715" s="0" t="n">
        <f aca="false">IF(C5715&gt;1,IF(C5715&lt;99,VLOOKUP(C5715,'Babblefish-APUMA'!$A$1:$B$86,2),C5715),C5715)</f>
        <v>97</v>
      </c>
    </row>
    <row r="5716" customFormat="false" ht="12.75" hidden="false" customHeight="false" outlineLevel="0" collapsed="false">
      <c r="A5716" s="0" t="n">
        <f aca="false">B5716*1000+C5716</f>
        <v>77858</v>
      </c>
      <c r="B5716" s="0" t="n">
        <v>77</v>
      </c>
      <c r="C5716" s="0" t="n">
        <v>858</v>
      </c>
      <c r="D5716" s="0" t="n">
        <v>0</v>
      </c>
      <c r="E5716" s="0" t="n">
        <f aca="false">VLOOKUP(B5716,'Babblefish-APUMA'!$A$1:$B$86,2)</f>
        <v>77</v>
      </c>
      <c r="F5716" s="0" t="n">
        <f aca="false">IF(C5716&gt;1,IF(C5716&lt;99,VLOOKUP(C5716,'Babblefish-APUMA'!$A$1:$B$86,2),C5716),C5716)</f>
        <v>858</v>
      </c>
    </row>
    <row r="5717" customFormat="false" ht="12.75" hidden="false" customHeight="false" outlineLevel="0" collapsed="false">
      <c r="A5717" s="0" t="n">
        <f aca="false">B5717*1000+C5717</f>
        <v>77983</v>
      </c>
      <c r="B5717" s="0" t="n">
        <v>77</v>
      </c>
      <c r="C5717" s="0" t="n">
        <v>983</v>
      </c>
      <c r="D5717" s="0" t="n">
        <v>0</v>
      </c>
      <c r="E5717" s="0" t="n">
        <f aca="false">VLOOKUP(B5717,'Babblefish-APUMA'!$A$1:$B$86,2)</f>
        <v>77</v>
      </c>
      <c r="F5717" s="0" t="n">
        <f aca="false">IF(C5717&gt;1,IF(C5717&lt;99,VLOOKUP(C5717,'Babblefish-APUMA'!$A$1:$B$86,2),C5717),C5717)</f>
        <v>983</v>
      </c>
    </row>
    <row r="5718" customFormat="false" ht="12.75" hidden="false" customHeight="false" outlineLevel="0" collapsed="false">
      <c r="A5718" s="0" t="n">
        <f aca="false">B5718*1000+C5718</f>
        <v>77999</v>
      </c>
      <c r="B5718" s="0" t="n">
        <v>77</v>
      </c>
      <c r="C5718" s="0" t="n">
        <v>999</v>
      </c>
      <c r="D5718" s="0" t="n">
        <v>65</v>
      </c>
      <c r="E5718" s="0" t="n">
        <f aca="false">VLOOKUP(B5718,'Babblefish-APUMA'!$A$1:$B$86,2)</f>
        <v>77</v>
      </c>
      <c r="F5718" s="0" t="n">
        <f aca="false">IF(C5718&gt;1,IF(C5718&lt;99,VLOOKUP(C5718,'Babblefish-APUMA'!$A$1:$B$86,2),C5718),C5718)</f>
        <v>999</v>
      </c>
    </row>
    <row r="5719" customFormat="false" ht="12.75" hidden="false" customHeight="false" outlineLevel="0" collapsed="false">
      <c r="A5719" s="0" t="n">
        <f aca="false">B5719*1000+C5719</f>
        <v>78000</v>
      </c>
      <c r="B5719" s="0" t="n">
        <v>78</v>
      </c>
      <c r="C5719" s="0" t="n">
        <v>0</v>
      </c>
      <c r="D5719" s="0" t="n">
        <v>100061</v>
      </c>
      <c r="E5719" s="0" t="n">
        <f aca="false">VLOOKUP(B5719,'Babblefish-APUMA'!$A$1:$B$86,2)</f>
        <v>89</v>
      </c>
      <c r="F5719" s="0" t="n">
        <f aca="false">IF(C5719&gt;1,IF(C5719&lt;99,VLOOKUP(C5719,'Babblefish-APUMA'!$A$1:$B$86,2),C5719),C5719)</f>
        <v>0</v>
      </c>
    </row>
    <row r="5720" customFormat="false" ht="12.75" hidden="false" customHeight="false" outlineLevel="0" collapsed="false">
      <c r="A5720" s="0" t="n">
        <f aca="false">B5720*1000+C5720</f>
        <v>78001</v>
      </c>
      <c r="B5720" s="0" t="n">
        <v>78</v>
      </c>
      <c r="C5720" s="0" t="n">
        <v>1</v>
      </c>
      <c r="D5720" s="0" t="n">
        <v>104</v>
      </c>
      <c r="E5720" s="0" t="n">
        <f aca="false">VLOOKUP(B5720,'Babblefish-APUMA'!$A$1:$B$86,2)</f>
        <v>89</v>
      </c>
      <c r="F5720" s="0" t="n">
        <f aca="false">IF(C5720&gt;1,IF(C5720&lt;99,VLOOKUP(C5720,'Babblefish-APUMA'!$A$1:$B$86,2),C5720),C5720)</f>
        <v>1</v>
      </c>
    </row>
    <row r="5721" customFormat="false" ht="12.75" hidden="false" customHeight="false" outlineLevel="0" collapsed="false">
      <c r="A5721" s="0" t="n">
        <f aca="false">B5721*1000+C5721</f>
        <v>78002</v>
      </c>
      <c r="B5721" s="0" t="n">
        <v>78</v>
      </c>
      <c r="C5721" s="0" t="n">
        <v>2</v>
      </c>
      <c r="D5721" s="0" t="n">
        <v>0</v>
      </c>
      <c r="E5721" s="0" t="n">
        <f aca="false">VLOOKUP(B5721,'Babblefish-APUMA'!$A$1:$B$86,2)</f>
        <v>89</v>
      </c>
      <c r="F5721" s="0" t="n">
        <f aca="false">IF(C5721&gt;1,IF(C5721&lt;99,VLOOKUP(C5721,'Babblefish-APUMA'!$A$1:$B$86,2),C5721),C5721)</f>
        <v>2</v>
      </c>
    </row>
    <row r="5722" customFormat="false" ht="12.75" hidden="false" customHeight="false" outlineLevel="0" collapsed="false">
      <c r="A5722" s="0" t="n">
        <f aca="false">B5722*1000+C5722</f>
        <v>78003</v>
      </c>
      <c r="B5722" s="0" t="n">
        <v>78</v>
      </c>
      <c r="C5722" s="0" t="n">
        <v>3</v>
      </c>
      <c r="D5722" s="0" t="n">
        <v>0</v>
      </c>
      <c r="E5722" s="0" t="n">
        <f aca="false">VLOOKUP(B5722,'Babblefish-APUMA'!$A$1:$B$86,2)</f>
        <v>89</v>
      </c>
      <c r="F5722" s="0" t="n">
        <f aca="false">IF(C5722&gt;1,IF(C5722&lt;99,VLOOKUP(C5722,'Babblefish-APUMA'!$A$1:$B$86,2),C5722),C5722)</f>
        <v>3</v>
      </c>
    </row>
    <row r="5723" customFormat="false" ht="12.75" hidden="false" customHeight="false" outlineLevel="0" collapsed="false">
      <c r="A5723" s="0" t="n">
        <f aca="false">B5723*1000+C5723</f>
        <v>78004</v>
      </c>
      <c r="B5723" s="0" t="n">
        <v>78</v>
      </c>
      <c r="C5723" s="0" t="n">
        <v>4</v>
      </c>
      <c r="D5723" s="0" t="n">
        <v>0</v>
      </c>
      <c r="E5723" s="0" t="n">
        <f aca="false">VLOOKUP(B5723,'Babblefish-APUMA'!$A$1:$B$86,2)</f>
        <v>89</v>
      </c>
      <c r="F5723" s="0" t="n">
        <f aca="false">IF(C5723&gt;1,IF(C5723&lt;99,VLOOKUP(C5723,'Babblefish-APUMA'!$A$1:$B$86,2),C5723),C5723)</f>
        <v>4</v>
      </c>
    </row>
    <row r="5724" customFormat="false" ht="12.75" hidden="false" customHeight="false" outlineLevel="0" collapsed="false">
      <c r="A5724" s="0" t="n">
        <f aca="false">B5724*1000+C5724</f>
        <v>78005</v>
      </c>
      <c r="B5724" s="0" t="n">
        <v>78</v>
      </c>
      <c r="C5724" s="0" t="n">
        <v>5</v>
      </c>
      <c r="D5724" s="0" t="n">
        <v>0</v>
      </c>
      <c r="E5724" s="0" t="n">
        <f aca="false">VLOOKUP(B5724,'Babblefish-APUMA'!$A$1:$B$86,2)</f>
        <v>89</v>
      </c>
      <c r="F5724" s="0" t="n">
        <f aca="false">IF(C5724&gt;1,IF(C5724&lt;99,VLOOKUP(C5724,'Babblefish-APUMA'!$A$1:$B$86,2),C5724),C5724)</f>
        <v>5</v>
      </c>
    </row>
    <row r="5725" customFormat="false" ht="12.75" hidden="false" customHeight="false" outlineLevel="0" collapsed="false">
      <c r="A5725" s="0" t="n">
        <f aca="false">B5725*1000+C5725</f>
        <v>78006</v>
      </c>
      <c r="B5725" s="0" t="n">
        <v>78</v>
      </c>
      <c r="C5725" s="0" t="n">
        <v>6</v>
      </c>
      <c r="D5725" s="0" t="n">
        <v>0</v>
      </c>
      <c r="E5725" s="0" t="n">
        <f aca="false">VLOOKUP(B5725,'Babblefish-APUMA'!$A$1:$B$86,2)</f>
        <v>89</v>
      </c>
      <c r="F5725" s="0" t="n">
        <f aca="false">IF(C5725&gt;1,IF(C5725&lt;99,VLOOKUP(C5725,'Babblefish-APUMA'!$A$1:$B$86,2),C5725),C5725)</f>
        <v>6</v>
      </c>
    </row>
    <row r="5726" customFormat="false" ht="12.75" hidden="false" customHeight="false" outlineLevel="0" collapsed="false">
      <c r="A5726" s="0" t="n">
        <f aca="false">B5726*1000+C5726</f>
        <v>78007</v>
      </c>
      <c r="B5726" s="0" t="n">
        <v>78</v>
      </c>
      <c r="C5726" s="0" t="n">
        <v>7</v>
      </c>
      <c r="D5726" s="0" t="n">
        <v>0</v>
      </c>
      <c r="E5726" s="0" t="n">
        <f aca="false">VLOOKUP(B5726,'Babblefish-APUMA'!$A$1:$B$86,2)</f>
        <v>89</v>
      </c>
      <c r="F5726" s="0" t="n">
        <f aca="false">IF(C5726&gt;1,IF(C5726&lt;99,VLOOKUP(C5726,'Babblefish-APUMA'!$A$1:$B$86,2),C5726),C5726)</f>
        <v>7</v>
      </c>
    </row>
    <row r="5727" customFormat="false" ht="12.75" hidden="false" customHeight="false" outlineLevel="0" collapsed="false">
      <c r="A5727" s="0" t="n">
        <f aca="false">B5727*1000+C5727</f>
        <v>78008</v>
      </c>
      <c r="B5727" s="0" t="n">
        <v>78</v>
      </c>
      <c r="C5727" s="0" t="n">
        <v>8</v>
      </c>
      <c r="D5727" s="0" t="n">
        <v>0</v>
      </c>
      <c r="E5727" s="0" t="n">
        <f aca="false">VLOOKUP(B5727,'Babblefish-APUMA'!$A$1:$B$86,2)</f>
        <v>89</v>
      </c>
      <c r="F5727" s="0" t="n">
        <f aca="false">IF(C5727&gt;1,IF(C5727&lt;99,VLOOKUP(C5727,'Babblefish-APUMA'!$A$1:$B$86,2),C5727),C5727)</f>
        <v>8</v>
      </c>
    </row>
    <row r="5728" customFormat="false" ht="12.75" hidden="false" customHeight="false" outlineLevel="0" collapsed="false">
      <c r="A5728" s="0" t="n">
        <f aca="false">B5728*1000+C5728</f>
        <v>78009</v>
      </c>
      <c r="B5728" s="0" t="n">
        <v>78</v>
      </c>
      <c r="C5728" s="0" t="n">
        <v>9</v>
      </c>
      <c r="D5728" s="0" t="n">
        <v>0</v>
      </c>
      <c r="E5728" s="0" t="n">
        <f aca="false">VLOOKUP(B5728,'Babblefish-APUMA'!$A$1:$B$86,2)</f>
        <v>89</v>
      </c>
      <c r="F5728" s="0" t="n">
        <f aca="false">IF(C5728&gt;1,IF(C5728&lt;99,VLOOKUP(C5728,'Babblefish-APUMA'!$A$1:$B$86,2),C5728),C5728)</f>
        <v>9</v>
      </c>
    </row>
    <row r="5729" customFormat="false" ht="12.75" hidden="false" customHeight="false" outlineLevel="0" collapsed="false">
      <c r="A5729" s="0" t="n">
        <f aca="false">B5729*1000+C5729</f>
        <v>78010</v>
      </c>
      <c r="B5729" s="0" t="n">
        <v>78</v>
      </c>
      <c r="C5729" s="0" t="n">
        <v>10</v>
      </c>
      <c r="D5729" s="0" t="n">
        <v>0</v>
      </c>
      <c r="E5729" s="0" t="n">
        <f aca="false">VLOOKUP(B5729,'Babblefish-APUMA'!$A$1:$B$86,2)</f>
        <v>89</v>
      </c>
      <c r="F5729" s="0" t="n">
        <f aca="false">IF(C5729&gt;1,IF(C5729&lt;99,VLOOKUP(C5729,'Babblefish-APUMA'!$A$1:$B$86,2),C5729),C5729)</f>
        <v>10</v>
      </c>
    </row>
    <row r="5730" customFormat="false" ht="12.75" hidden="false" customHeight="false" outlineLevel="0" collapsed="false">
      <c r="A5730" s="0" t="n">
        <f aca="false">B5730*1000+C5730</f>
        <v>78011</v>
      </c>
      <c r="B5730" s="0" t="n">
        <v>78</v>
      </c>
      <c r="C5730" s="0" t="n">
        <v>11</v>
      </c>
      <c r="D5730" s="0" t="n">
        <v>0</v>
      </c>
      <c r="E5730" s="0" t="n">
        <f aca="false">VLOOKUP(B5730,'Babblefish-APUMA'!$A$1:$B$86,2)</f>
        <v>89</v>
      </c>
      <c r="F5730" s="0" t="n">
        <f aca="false">IF(C5730&gt;1,IF(C5730&lt;99,VLOOKUP(C5730,'Babblefish-APUMA'!$A$1:$B$86,2),C5730),C5730)</f>
        <v>11</v>
      </c>
    </row>
    <row r="5731" customFormat="false" ht="12.75" hidden="false" customHeight="false" outlineLevel="0" collapsed="false">
      <c r="A5731" s="0" t="n">
        <f aca="false">B5731*1000+C5731</f>
        <v>78012</v>
      </c>
      <c r="B5731" s="0" t="n">
        <v>78</v>
      </c>
      <c r="C5731" s="0" t="n">
        <v>12</v>
      </c>
      <c r="D5731" s="0" t="n">
        <v>0</v>
      </c>
      <c r="E5731" s="0" t="n">
        <f aca="false">VLOOKUP(B5731,'Babblefish-APUMA'!$A$1:$B$86,2)</f>
        <v>89</v>
      </c>
      <c r="F5731" s="0" t="n">
        <f aca="false">IF(C5731&gt;1,IF(C5731&lt;99,VLOOKUP(C5731,'Babblefish-APUMA'!$A$1:$B$86,2),C5731),C5731)</f>
        <v>12</v>
      </c>
    </row>
    <row r="5732" customFormat="false" ht="12.75" hidden="false" customHeight="false" outlineLevel="0" collapsed="false">
      <c r="A5732" s="0" t="n">
        <f aca="false">B5732*1000+C5732</f>
        <v>78013</v>
      </c>
      <c r="B5732" s="0" t="n">
        <v>78</v>
      </c>
      <c r="C5732" s="0" t="n">
        <v>13</v>
      </c>
      <c r="D5732" s="0" t="n">
        <v>0</v>
      </c>
      <c r="E5732" s="0" t="n">
        <f aca="false">VLOOKUP(B5732,'Babblefish-APUMA'!$A$1:$B$86,2)</f>
        <v>89</v>
      </c>
      <c r="F5732" s="0" t="n">
        <f aca="false">IF(C5732&gt;1,IF(C5732&lt;99,VLOOKUP(C5732,'Babblefish-APUMA'!$A$1:$B$86,2),C5732),C5732)</f>
        <v>100</v>
      </c>
    </row>
    <row r="5733" customFormat="false" ht="12.75" hidden="false" customHeight="false" outlineLevel="0" collapsed="false">
      <c r="A5733" s="0" t="n">
        <f aca="false">B5733*1000+C5733</f>
        <v>78014</v>
      </c>
      <c r="B5733" s="0" t="n">
        <v>78</v>
      </c>
      <c r="C5733" s="0" t="n">
        <v>14</v>
      </c>
      <c r="D5733" s="0" t="n">
        <v>0</v>
      </c>
      <c r="E5733" s="0" t="n">
        <f aca="false">VLOOKUP(B5733,'Babblefish-APUMA'!$A$1:$B$86,2)</f>
        <v>89</v>
      </c>
      <c r="F5733" s="0" t="n">
        <f aca="false">IF(C5733&gt;1,IF(C5733&lt;99,VLOOKUP(C5733,'Babblefish-APUMA'!$A$1:$B$86,2),C5733),C5733)</f>
        <v>100</v>
      </c>
    </row>
    <row r="5734" customFormat="false" ht="12.75" hidden="false" customHeight="false" outlineLevel="0" collapsed="false">
      <c r="A5734" s="0" t="n">
        <f aca="false">B5734*1000+C5734</f>
        <v>78015</v>
      </c>
      <c r="B5734" s="0" t="n">
        <v>78</v>
      </c>
      <c r="C5734" s="0" t="n">
        <v>15</v>
      </c>
      <c r="D5734" s="0" t="n">
        <v>91</v>
      </c>
      <c r="E5734" s="0" t="n">
        <f aca="false">VLOOKUP(B5734,'Babblefish-APUMA'!$A$1:$B$86,2)</f>
        <v>89</v>
      </c>
      <c r="F5734" s="0" t="n">
        <f aca="false">IF(C5734&gt;1,IF(C5734&lt;99,VLOOKUP(C5734,'Babblefish-APUMA'!$A$1:$B$86,2),C5734),C5734)</f>
        <v>15</v>
      </c>
    </row>
    <row r="5735" customFormat="false" ht="12.75" hidden="false" customHeight="false" outlineLevel="0" collapsed="false">
      <c r="A5735" s="0" t="n">
        <f aca="false">B5735*1000+C5735</f>
        <v>78016</v>
      </c>
      <c r="B5735" s="0" t="n">
        <v>78</v>
      </c>
      <c r="C5735" s="0" t="n">
        <v>16</v>
      </c>
      <c r="D5735" s="0" t="n">
        <v>0</v>
      </c>
      <c r="E5735" s="0" t="n">
        <f aca="false">VLOOKUP(B5735,'Babblefish-APUMA'!$A$1:$B$86,2)</f>
        <v>89</v>
      </c>
      <c r="F5735" s="0" t="n">
        <f aca="false">IF(C5735&gt;1,IF(C5735&lt;99,VLOOKUP(C5735,'Babblefish-APUMA'!$A$1:$B$86,2),C5735),C5735)</f>
        <v>99</v>
      </c>
    </row>
    <row r="5736" customFormat="false" ht="12.75" hidden="false" customHeight="false" outlineLevel="0" collapsed="false">
      <c r="A5736" s="0" t="n">
        <f aca="false">B5736*1000+C5736</f>
        <v>78017</v>
      </c>
      <c r="B5736" s="0" t="n">
        <v>78</v>
      </c>
      <c r="C5736" s="0" t="n">
        <v>17</v>
      </c>
      <c r="D5736" s="0" t="n">
        <v>0</v>
      </c>
      <c r="E5736" s="0" t="n">
        <f aca="false">VLOOKUP(B5736,'Babblefish-APUMA'!$A$1:$B$86,2)</f>
        <v>89</v>
      </c>
      <c r="F5736" s="0" t="n">
        <f aca="false">IF(C5736&gt;1,IF(C5736&lt;99,VLOOKUP(C5736,'Babblefish-APUMA'!$A$1:$B$86,2),C5736),C5736)</f>
        <v>87</v>
      </c>
    </row>
    <row r="5737" customFormat="false" ht="12.75" hidden="false" customHeight="false" outlineLevel="0" collapsed="false">
      <c r="A5737" s="0" t="n">
        <f aca="false">B5737*1000+C5737</f>
        <v>78018</v>
      </c>
      <c r="B5737" s="0" t="n">
        <v>78</v>
      </c>
      <c r="C5737" s="0" t="n">
        <v>18</v>
      </c>
      <c r="D5737" s="0" t="n">
        <v>0</v>
      </c>
      <c r="E5737" s="0" t="n">
        <f aca="false">VLOOKUP(B5737,'Babblefish-APUMA'!$A$1:$B$86,2)</f>
        <v>89</v>
      </c>
      <c r="F5737" s="0" t="n">
        <f aca="false">IF(C5737&gt;1,IF(C5737&lt;99,VLOOKUP(C5737,'Babblefish-APUMA'!$A$1:$B$86,2),C5737),C5737)</f>
        <v>87</v>
      </c>
    </row>
    <row r="5738" customFormat="false" ht="12.75" hidden="false" customHeight="false" outlineLevel="0" collapsed="false">
      <c r="A5738" s="0" t="n">
        <f aca="false">B5738*1000+C5738</f>
        <v>78019</v>
      </c>
      <c r="B5738" s="0" t="n">
        <v>78</v>
      </c>
      <c r="C5738" s="0" t="n">
        <v>19</v>
      </c>
      <c r="D5738" s="0" t="n">
        <v>0</v>
      </c>
      <c r="E5738" s="0" t="n">
        <f aca="false">VLOOKUP(B5738,'Babblefish-APUMA'!$A$1:$B$86,2)</f>
        <v>89</v>
      </c>
      <c r="F5738" s="0" t="n">
        <f aca="false">IF(C5738&gt;1,IF(C5738&lt;99,VLOOKUP(C5738,'Babblefish-APUMA'!$A$1:$B$86,2),C5738),C5738)</f>
        <v>19</v>
      </c>
    </row>
    <row r="5739" customFormat="false" ht="12.75" hidden="false" customHeight="false" outlineLevel="0" collapsed="false">
      <c r="A5739" s="0" t="n">
        <f aca="false">B5739*1000+C5739</f>
        <v>78020</v>
      </c>
      <c r="B5739" s="0" t="n">
        <v>78</v>
      </c>
      <c r="C5739" s="0" t="n">
        <v>20</v>
      </c>
      <c r="D5739" s="0" t="n">
        <v>104</v>
      </c>
      <c r="E5739" s="0" t="n">
        <f aca="false">VLOOKUP(B5739,'Babblefish-APUMA'!$A$1:$B$86,2)</f>
        <v>89</v>
      </c>
      <c r="F5739" s="0" t="n">
        <f aca="false">IF(C5739&gt;1,IF(C5739&lt;99,VLOOKUP(C5739,'Babblefish-APUMA'!$A$1:$B$86,2),C5739),C5739)</f>
        <v>86</v>
      </c>
    </row>
    <row r="5740" customFormat="false" ht="12.75" hidden="false" customHeight="false" outlineLevel="0" collapsed="false">
      <c r="A5740" s="0" t="n">
        <f aca="false">B5740*1000+C5740</f>
        <v>78021</v>
      </c>
      <c r="B5740" s="0" t="n">
        <v>78</v>
      </c>
      <c r="C5740" s="0" t="n">
        <v>21</v>
      </c>
      <c r="D5740" s="0" t="n">
        <v>0</v>
      </c>
      <c r="E5740" s="0" t="n">
        <f aca="false">VLOOKUP(B5740,'Babblefish-APUMA'!$A$1:$B$86,2)</f>
        <v>89</v>
      </c>
      <c r="F5740" s="0" t="n">
        <f aca="false">IF(C5740&gt;1,IF(C5740&lt;99,VLOOKUP(C5740,'Babblefish-APUMA'!$A$1:$B$86,2),C5740),C5740)</f>
        <v>86</v>
      </c>
    </row>
    <row r="5741" customFormat="false" ht="12.75" hidden="false" customHeight="false" outlineLevel="0" collapsed="false">
      <c r="A5741" s="0" t="n">
        <f aca="false">B5741*1000+C5741</f>
        <v>78022</v>
      </c>
      <c r="B5741" s="0" t="n">
        <v>78</v>
      </c>
      <c r="C5741" s="0" t="n">
        <v>22</v>
      </c>
      <c r="D5741" s="0" t="n">
        <v>0</v>
      </c>
      <c r="E5741" s="0" t="n">
        <f aca="false">VLOOKUP(B5741,'Babblefish-APUMA'!$A$1:$B$86,2)</f>
        <v>89</v>
      </c>
      <c r="F5741" s="0" t="n">
        <f aca="false">IF(C5741&gt;1,IF(C5741&lt;99,VLOOKUP(C5741,'Babblefish-APUMA'!$A$1:$B$86,2),C5741),C5741)</f>
        <v>22</v>
      </c>
    </row>
    <row r="5742" customFormat="false" ht="12.75" hidden="false" customHeight="false" outlineLevel="0" collapsed="false">
      <c r="A5742" s="0" t="n">
        <f aca="false">B5742*1000+C5742</f>
        <v>78023</v>
      </c>
      <c r="B5742" s="0" t="n">
        <v>78</v>
      </c>
      <c r="C5742" s="0" t="n">
        <v>23</v>
      </c>
      <c r="D5742" s="0" t="n">
        <v>91</v>
      </c>
      <c r="E5742" s="0" t="n">
        <f aca="false">VLOOKUP(B5742,'Babblefish-APUMA'!$A$1:$B$86,2)</f>
        <v>89</v>
      </c>
      <c r="F5742" s="0" t="n">
        <f aca="false">IF(C5742&gt;1,IF(C5742&lt;99,VLOOKUP(C5742,'Babblefish-APUMA'!$A$1:$B$86,2),C5742),C5742)</f>
        <v>97</v>
      </c>
    </row>
    <row r="5743" customFormat="false" ht="12.75" hidden="false" customHeight="false" outlineLevel="0" collapsed="false">
      <c r="A5743" s="0" t="n">
        <f aca="false">B5743*1000+C5743</f>
        <v>78024</v>
      </c>
      <c r="B5743" s="0" t="n">
        <v>78</v>
      </c>
      <c r="C5743" s="0" t="n">
        <v>24</v>
      </c>
      <c r="D5743" s="0" t="n">
        <v>0</v>
      </c>
      <c r="E5743" s="0" t="n">
        <f aca="false">VLOOKUP(B5743,'Babblefish-APUMA'!$A$1:$B$86,2)</f>
        <v>89</v>
      </c>
      <c r="F5743" s="0" t="n">
        <f aca="false">IF(C5743&gt;1,IF(C5743&lt;99,VLOOKUP(C5743,'Babblefish-APUMA'!$A$1:$B$86,2),C5743),C5743)</f>
        <v>101</v>
      </c>
    </row>
    <row r="5744" customFormat="false" ht="12.75" hidden="false" customHeight="false" outlineLevel="0" collapsed="false">
      <c r="A5744" s="0" t="n">
        <f aca="false">B5744*1000+C5744</f>
        <v>78025</v>
      </c>
      <c r="B5744" s="0" t="n">
        <v>78</v>
      </c>
      <c r="C5744" s="0" t="n">
        <v>25</v>
      </c>
      <c r="D5744" s="0" t="n">
        <v>0</v>
      </c>
      <c r="E5744" s="0" t="n">
        <f aca="false">VLOOKUP(B5744,'Babblefish-APUMA'!$A$1:$B$86,2)</f>
        <v>89</v>
      </c>
      <c r="F5744" s="0" t="n">
        <f aca="false">IF(C5744&gt;1,IF(C5744&lt;99,VLOOKUP(C5744,'Babblefish-APUMA'!$A$1:$B$86,2),C5744),C5744)</f>
        <v>101</v>
      </c>
    </row>
    <row r="5745" customFormat="false" ht="12.75" hidden="false" customHeight="false" outlineLevel="0" collapsed="false">
      <c r="A5745" s="0" t="n">
        <f aca="false">B5745*1000+C5745</f>
        <v>78026</v>
      </c>
      <c r="B5745" s="0" t="n">
        <v>78</v>
      </c>
      <c r="C5745" s="0" t="n">
        <v>26</v>
      </c>
      <c r="D5745" s="0" t="n">
        <v>0</v>
      </c>
      <c r="E5745" s="0" t="n">
        <f aca="false">VLOOKUP(B5745,'Babblefish-APUMA'!$A$1:$B$86,2)</f>
        <v>89</v>
      </c>
      <c r="F5745" s="0" t="n">
        <f aca="false">IF(C5745&gt;1,IF(C5745&lt;99,VLOOKUP(C5745,'Babblefish-APUMA'!$A$1:$B$86,2),C5745),C5745)</f>
        <v>26</v>
      </c>
    </row>
    <row r="5746" customFormat="false" ht="12.75" hidden="false" customHeight="false" outlineLevel="0" collapsed="false">
      <c r="A5746" s="0" t="n">
        <f aca="false">B5746*1000+C5746</f>
        <v>78027</v>
      </c>
      <c r="B5746" s="0" t="n">
        <v>78</v>
      </c>
      <c r="C5746" s="0" t="n">
        <v>27</v>
      </c>
      <c r="D5746" s="0" t="n">
        <v>0</v>
      </c>
      <c r="E5746" s="0" t="n">
        <f aca="false">VLOOKUP(B5746,'Babblefish-APUMA'!$A$1:$B$86,2)</f>
        <v>89</v>
      </c>
      <c r="F5746" s="0" t="n">
        <f aca="false">IF(C5746&gt;1,IF(C5746&lt;99,VLOOKUP(C5746,'Babblefish-APUMA'!$A$1:$B$86,2),C5746),C5746)</f>
        <v>27</v>
      </c>
    </row>
    <row r="5747" customFormat="false" ht="12.75" hidden="false" customHeight="false" outlineLevel="0" collapsed="false">
      <c r="A5747" s="0" t="n">
        <f aca="false">B5747*1000+C5747</f>
        <v>78028</v>
      </c>
      <c r="B5747" s="0" t="n">
        <v>78</v>
      </c>
      <c r="C5747" s="0" t="n">
        <v>28</v>
      </c>
      <c r="D5747" s="0" t="n">
        <v>0</v>
      </c>
      <c r="E5747" s="0" t="n">
        <f aca="false">VLOOKUP(B5747,'Babblefish-APUMA'!$A$1:$B$86,2)</f>
        <v>89</v>
      </c>
      <c r="F5747" s="0" t="n">
        <f aca="false">IF(C5747&gt;1,IF(C5747&lt;99,VLOOKUP(C5747,'Babblefish-APUMA'!$A$1:$B$86,2),C5747),C5747)</f>
        <v>94</v>
      </c>
    </row>
    <row r="5748" customFormat="false" ht="12.75" hidden="false" customHeight="false" outlineLevel="0" collapsed="false">
      <c r="A5748" s="0" t="n">
        <f aca="false">B5748*1000+C5748</f>
        <v>78029</v>
      </c>
      <c r="B5748" s="0" t="n">
        <v>78</v>
      </c>
      <c r="C5748" s="0" t="n">
        <v>29</v>
      </c>
      <c r="D5748" s="0" t="n">
        <v>0</v>
      </c>
      <c r="E5748" s="0" t="n">
        <f aca="false">VLOOKUP(B5748,'Babblefish-APUMA'!$A$1:$B$86,2)</f>
        <v>89</v>
      </c>
      <c r="F5748" s="0" t="n">
        <f aca="false">IF(C5748&gt;1,IF(C5748&lt;99,VLOOKUP(C5748,'Babblefish-APUMA'!$A$1:$B$86,2),C5748),C5748)</f>
        <v>94</v>
      </c>
    </row>
    <row r="5749" customFormat="false" ht="12.75" hidden="false" customHeight="false" outlineLevel="0" collapsed="false">
      <c r="A5749" s="0" t="n">
        <f aca="false">B5749*1000+C5749</f>
        <v>78030</v>
      </c>
      <c r="B5749" s="0" t="n">
        <v>78</v>
      </c>
      <c r="C5749" s="0" t="n">
        <v>30</v>
      </c>
      <c r="D5749" s="0" t="n">
        <v>0</v>
      </c>
      <c r="E5749" s="0" t="n">
        <f aca="false">VLOOKUP(B5749,'Babblefish-APUMA'!$A$1:$B$86,2)</f>
        <v>89</v>
      </c>
      <c r="F5749" s="0" t="n">
        <f aca="false">IF(C5749&gt;1,IF(C5749&lt;99,VLOOKUP(C5749,'Babblefish-APUMA'!$A$1:$B$86,2),C5749),C5749)</f>
        <v>30</v>
      </c>
    </row>
    <row r="5750" customFormat="false" ht="12.75" hidden="false" customHeight="false" outlineLevel="0" collapsed="false">
      <c r="A5750" s="0" t="n">
        <f aca="false">B5750*1000+C5750</f>
        <v>78031</v>
      </c>
      <c r="B5750" s="0" t="n">
        <v>78</v>
      </c>
      <c r="C5750" s="0" t="n">
        <v>31</v>
      </c>
      <c r="D5750" s="0" t="n">
        <v>104</v>
      </c>
      <c r="E5750" s="0" t="n">
        <f aca="false">VLOOKUP(B5750,'Babblefish-APUMA'!$A$1:$B$86,2)</f>
        <v>89</v>
      </c>
      <c r="F5750" s="0" t="n">
        <f aca="false">IF(C5750&gt;1,IF(C5750&lt;99,VLOOKUP(C5750,'Babblefish-APUMA'!$A$1:$B$86,2),C5750),C5750)</f>
        <v>31</v>
      </c>
    </row>
    <row r="5751" customFormat="false" ht="12.75" hidden="false" customHeight="false" outlineLevel="0" collapsed="false">
      <c r="A5751" s="0" t="n">
        <f aca="false">B5751*1000+C5751</f>
        <v>78032</v>
      </c>
      <c r="B5751" s="0" t="n">
        <v>78</v>
      </c>
      <c r="C5751" s="0" t="n">
        <v>32</v>
      </c>
      <c r="D5751" s="0" t="n">
        <v>143</v>
      </c>
      <c r="E5751" s="0" t="n">
        <f aca="false">VLOOKUP(B5751,'Babblefish-APUMA'!$A$1:$B$86,2)</f>
        <v>89</v>
      </c>
      <c r="F5751" s="0" t="n">
        <f aca="false">IF(C5751&gt;1,IF(C5751&lt;99,VLOOKUP(C5751,'Babblefish-APUMA'!$A$1:$B$86,2),C5751),C5751)</f>
        <v>32</v>
      </c>
    </row>
    <row r="5752" customFormat="false" ht="12.75" hidden="false" customHeight="false" outlineLevel="0" collapsed="false">
      <c r="A5752" s="0" t="n">
        <f aca="false">B5752*1000+C5752</f>
        <v>78033</v>
      </c>
      <c r="B5752" s="0" t="n">
        <v>78</v>
      </c>
      <c r="C5752" s="0" t="n">
        <v>33</v>
      </c>
      <c r="D5752" s="0" t="n">
        <v>0</v>
      </c>
      <c r="E5752" s="0" t="n">
        <f aca="false">VLOOKUP(B5752,'Babblefish-APUMA'!$A$1:$B$86,2)</f>
        <v>89</v>
      </c>
      <c r="F5752" s="0" t="n">
        <f aca="false">IF(C5752&gt;1,IF(C5752&lt;99,VLOOKUP(C5752,'Babblefish-APUMA'!$A$1:$B$86,2),C5752),C5752)</f>
        <v>96</v>
      </c>
    </row>
    <row r="5753" customFormat="false" ht="12.75" hidden="false" customHeight="false" outlineLevel="0" collapsed="false">
      <c r="A5753" s="0" t="n">
        <f aca="false">B5753*1000+C5753</f>
        <v>78034</v>
      </c>
      <c r="B5753" s="0" t="n">
        <v>78</v>
      </c>
      <c r="C5753" s="0" t="n">
        <v>34</v>
      </c>
      <c r="D5753" s="0" t="n">
        <v>0</v>
      </c>
      <c r="E5753" s="0" t="n">
        <f aca="false">VLOOKUP(B5753,'Babblefish-APUMA'!$A$1:$B$86,2)</f>
        <v>89</v>
      </c>
      <c r="F5753" s="0" t="n">
        <f aca="false">IF(C5753&gt;1,IF(C5753&lt;99,VLOOKUP(C5753,'Babblefish-APUMA'!$A$1:$B$86,2),C5753),C5753)</f>
        <v>96</v>
      </c>
    </row>
    <row r="5754" customFormat="false" ht="12.75" hidden="false" customHeight="false" outlineLevel="0" collapsed="false">
      <c r="A5754" s="0" t="n">
        <f aca="false">B5754*1000+C5754</f>
        <v>78035</v>
      </c>
      <c r="B5754" s="0" t="n">
        <v>78</v>
      </c>
      <c r="C5754" s="0" t="n">
        <v>35</v>
      </c>
      <c r="D5754" s="0" t="n">
        <v>0</v>
      </c>
      <c r="E5754" s="0" t="n">
        <f aca="false">VLOOKUP(B5754,'Babblefish-APUMA'!$A$1:$B$86,2)</f>
        <v>89</v>
      </c>
      <c r="F5754" s="0" t="n">
        <f aca="false">IF(C5754&gt;1,IF(C5754&lt;99,VLOOKUP(C5754,'Babblefish-APUMA'!$A$1:$B$86,2),C5754),C5754)</f>
        <v>96</v>
      </c>
    </row>
    <row r="5755" customFormat="false" ht="12.75" hidden="false" customHeight="false" outlineLevel="0" collapsed="false">
      <c r="A5755" s="0" t="n">
        <f aca="false">B5755*1000+C5755</f>
        <v>78036</v>
      </c>
      <c r="B5755" s="0" t="n">
        <v>78</v>
      </c>
      <c r="C5755" s="0" t="n">
        <v>36</v>
      </c>
      <c r="D5755" s="0" t="n">
        <v>0</v>
      </c>
      <c r="E5755" s="0" t="n">
        <f aca="false">VLOOKUP(B5755,'Babblefish-APUMA'!$A$1:$B$86,2)</f>
        <v>89</v>
      </c>
      <c r="F5755" s="0" t="n">
        <f aca="false">IF(C5755&gt;1,IF(C5755&lt;99,VLOOKUP(C5755,'Babblefish-APUMA'!$A$1:$B$86,2),C5755),C5755)</f>
        <v>96</v>
      </c>
    </row>
    <row r="5756" customFormat="false" ht="12.75" hidden="false" customHeight="false" outlineLevel="0" collapsed="false">
      <c r="A5756" s="0" t="n">
        <f aca="false">B5756*1000+C5756</f>
        <v>78037</v>
      </c>
      <c r="B5756" s="0" t="n">
        <v>78</v>
      </c>
      <c r="C5756" s="0" t="n">
        <v>37</v>
      </c>
      <c r="D5756" s="0" t="n">
        <v>0</v>
      </c>
      <c r="E5756" s="0" t="n">
        <f aca="false">VLOOKUP(B5756,'Babblefish-APUMA'!$A$1:$B$86,2)</f>
        <v>89</v>
      </c>
      <c r="F5756" s="0" t="n">
        <f aca="false">IF(C5756&gt;1,IF(C5756&lt;99,VLOOKUP(C5756,'Babblefish-APUMA'!$A$1:$B$86,2),C5756),C5756)</f>
        <v>96</v>
      </c>
    </row>
    <row r="5757" customFormat="false" ht="12.75" hidden="false" customHeight="false" outlineLevel="0" collapsed="false">
      <c r="A5757" s="0" t="n">
        <f aca="false">B5757*1000+C5757</f>
        <v>78038</v>
      </c>
      <c r="B5757" s="0" t="n">
        <v>78</v>
      </c>
      <c r="C5757" s="0" t="n">
        <v>38</v>
      </c>
      <c r="D5757" s="0" t="n">
        <v>0</v>
      </c>
      <c r="E5757" s="0" t="n">
        <f aca="false">VLOOKUP(B5757,'Babblefish-APUMA'!$A$1:$B$86,2)</f>
        <v>89</v>
      </c>
      <c r="F5757" s="0" t="n">
        <f aca="false">IF(C5757&gt;1,IF(C5757&lt;99,VLOOKUP(C5757,'Babblefish-APUMA'!$A$1:$B$86,2),C5757),C5757)</f>
        <v>91</v>
      </c>
    </row>
    <row r="5758" customFormat="false" ht="12.75" hidden="false" customHeight="false" outlineLevel="0" collapsed="false">
      <c r="A5758" s="0" t="n">
        <f aca="false">B5758*1000+C5758</f>
        <v>78039</v>
      </c>
      <c r="B5758" s="0" t="n">
        <v>78</v>
      </c>
      <c r="C5758" s="0" t="n">
        <v>39</v>
      </c>
      <c r="D5758" s="0" t="n">
        <v>0</v>
      </c>
      <c r="E5758" s="0" t="n">
        <f aca="false">VLOOKUP(B5758,'Babblefish-APUMA'!$A$1:$B$86,2)</f>
        <v>89</v>
      </c>
      <c r="F5758" s="0" t="n">
        <f aca="false">IF(C5758&gt;1,IF(C5758&lt;99,VLOOKUP(C5758,'Babblefish-APUMA'!$A$1:$B$86,2),C5758),C5758)</f>
        <v>91</v>
      </c>
    </row>
    <row r="5759" customFormat="false" ht="12.75" hidden="false" customHeight="false" outlineLevel="0" collapsed="false">
      <c r="A5759" s="0" t="n">
        <f aca="false">B5759*1000+C5759</f>
        <v>78040</v>
      </c>
      <c r="B5759" s="0" t="n">
        <v>78</v>
      </c>
      <c r="C5759" s="0" t="n">
        <v>40</v>
      </c>
      <c r="D5759" s="0" t="n">
        <v>91</v>
      </c>
      <c r="E5759" s="0" t="n">
        <f aca="false">VLOOKUP(B5759,'Babblefish-APUMA'!$A$1:$B$86,2)</f>
        <v>89</v>
      </c>
      <c r="F5759" s="0" t="n">
        <f aca="false">IF(C5759&gt;1,IF(C5759&lt;99,VLOOKUP(C5759,'Babblefish-APUMA'!$A$1:$B$86,2),C5759),C5759)</f>
        <v>88</v>
      </c>
    </row>
    <row r="5760" customFormat="false" ht="12.75" hidden="false" customHeight="false" outlineLevel="0" collapsed="false">
      <c r="A5760" s="0" t="n">
        <f aca="false">B5760*1000+C5760</f>
        <v>78041</v>
      </c>
      <c r="B5760" s="0" t="n">
        <v>78</v>
      </c>
      <c r="C5760" s="0" t="n">
        <v>41</v>
      </c>
      <c r="D5760" s="0" t="n">
        <v>0</v>
      </c>
      <c r="E5760" s="0" t="n">
        <f aca="false">VLOOKUP(B5760,'Babblefish-APUMA'!$A$1:$B$86,2)</f>
        <v>89</v>
      </c>
      <c r="F5760" s="0" t="n">
        <f aca="false">IF(C5760&gt;1,IF(C5760&lt;99,VLOOKUP(C5760,'Babblefish-APUMA'!$A$1:$B$86,2),C5760),C5760)</f>
        <v>88</v>
      </c>
    </row>
    <row r="5761" customFormat="false" ht="12.75" hidden="false" customHeight="false" outlineLevel="0" collapsed="false">
      <c r="A5761" s="0" t="n">
        <f aca="false">B5761*1000+C5761</f>
        <v>78042</v>
      </c>
      <c r="B5761" s="0" t="n">
        <v>78</v>
      </c>
      <c r="C5761" s="0" t="n">
        <v>42</v>
      </c>
      <c r="D5761" s="0" t="n">
        <v>0</v>
      </c>
      <c r="E5761" s="0" t="n">
        <f aca="false">VLOOKUP(B5761,'Babblefish-APUMA'!$A$1:$B$86,2)</f>
        <v>89</v>
      </c>
      <c r="F5761" s="0" t="n">
        <f aca="false">IF(C5761&gt;1,IF(C5761&lt;99,VLOOKUP(C5761,'Babblefish-APUMA'!$A$1:$B$86,2),C5761),C5761)</f>
        <v>92</v>
      </c>
    </row>
    <row r="5762" customFormat="false" ht="12.75" hidden="false" customHeight="false" outlineLevel="0" collapsed="false">
      <c r="A5762" s="0" t="n">
        <f aca="false">B5762*1000+C5762</f>
        <v>78043</v>
      </c>
      <c r="B5762" s="0" t="n">
        <v>78</v>
      </c>
      <c r="C5762" s="0" t="n">
        <v>43</v>
      </c>
      <c r="D5762" s="0" t="n">
        <v>0</v>
      </c>
      <c r="E5762" s="0" t="n">
        <f aca="false">VLOOKUP(B5762,'Babblefish-APUMA'!$A$1:$B$86,2)</f>
        <v>89</v>
      </c>
      <c r="F5762" s="0" t="n">
        <f aca="false">IF(C5762&gt;1,IF(C5762&lt;99,VLOOKUP(C5762,'Babblefish-APUMA'!$A$1:$B$86,2),C5762),C5762)</f>
        <v>92</v>
      </c>
    </row>
    <row r="5763" customFormat="false" ht="12.75" hidden="false" customHeight="false" outlineLevel="0" collapsed="false">
      <c r="A5763" s="0" t="n">
        <f aca="false">B5763*1000+C5763</f>
        <v>78044</v>
      </c>
      <c r="B5763" s="0" t="n">
        <v>78</v>
      </c>
      <c r="C5763" s="0" t="n">
        <v>44</v>
      </c>
      <c r="D5763" s="0" t="n">
        <v>0</v>
      </c>
      <c r="E5763" s="0" t="n">
        <f aca="false">VLOOKUP(B5763,'Babblefish-APUMA'!$A$1:$B$86,2)</f>
        <v>89</v>
      </c>
      <c r="F5763" s="0" t="n">
        <f aca="false">IF(C5763&gt;1,IF(C5763&lt;99,VLOOKUP(C5763,'Babblefish-APUMA'!$A$1:$B$86,2),C5763),C5763)</f>
        <v>92</v>
      </c>
    </row>
    <row r="5764" customFormat="false" ht="12.75" hidden="false" customHeight="false" outlineLevel="0" collapsed="false">
      <c r="A5764" s="0" t="n">
        <f aca="false">B5764*1000+C5764</f>
        <v>78045</v>
      </c>
      <c r="B5764" s="0" t="n">
        <v>78</v>
      </c>
      <c r="C5764" s="0" t="n">
        <v>45</v>
      </c>
      <c r="D5764" s="0" t="n">
        <v>0</v>
      </c>
      <c r="E5764" s="0" t="n">
        <f aca="false">VLOOKUP(B5764,'Babblefish-APUMA'!$A$1:$B$86,2)</f>
        <v>89</v>
      </c>
      <c r="F5764" s="0" t="n">
        <f aca="false">IF(C5764&gt;1,IF(C5764&lt;99,VLOOKUP(C5764,'Babblefish-APUMA'!$A$1:$B$86,2),C5764),C5764)</f>
        <v>92</v>
      </c>
    </row>
    <row r="5765" customFormat="false" ht="12.75" hidden="false" customHeight="false" outlineLevel="0" collapsed="false">
      <c r="A5765" s="0" t="n">
        <f aca="false">B5765*1000+C5765</f>
        <v>78046</v>
      </c>
      <c r="B5765" s="0" t="n">
        <v>78</v>
      </c>
      <c r="C5765" s="0" t="n">
        <v>46</v>
      </c>
      <c r="D5765" s="0" t="n">
        <v>0</v>
      </c>
      <c r="E5765" s="0" t="n">
        <f aca="false">VLOOKUP(B5765,'Babblefish-APUMA'!$A$1:$B$86,2)</f>
        <v>89</v>
      </c>
      <c r="F5765" s="0" t="n">
        <f aca="false">IF(C5765&gt;1,IF(C5765&lt;99,VLOOKUP(C5765,'Babblefish-APUMA'!$A$1:$B$86,2),C5765),C5765)</f>
        <v>92</v>
      </c>
    </row>
    <row r="5766" customFormat="false" ht="12.75" hidden="false" customHeight="false" outlineLevel="0" collapsed="false">
      <c r="A5766" s="0" t="n">
        <f aca="false">B5766*1000+C5766</f>
        <v>78047</v>
      </c>
      <c r="B5766" s="0" t="n">
        <v>78</v>
      </c>
      <c r="C5766" s="0" t="n">
        <v>47</v>
      </c>
      <c r="D5766" s="0" t="n">
        <v>0</v>
      </c>
      <c r="E5766" s="0" t="n">
        <f aca="false">VLOOKUP(B5766,'Babblefish-APUMA'!$A$1:$B$86,2)</f>
        <v>89</v>
      </c>
      <c r="F5766" s="0" t="n">
        <f aca="false">IF(C5766&gt;1,IF(C5766&lt;99,VLOOKUP(C5766,'Babblefish-APUMA'!$A$1:$B$86,2),C5766),C5766)</f>
        <v>92</v>
      </c>
    </row>
    <row r="5767" customFormat="false" ht="12.75" hidden="false" customHeight="false" outlineLevel="0" collapsed="false">
      <c r="A5767" s="0" t="n">
        <f aca="false">B5767*1000+C5767</f>
        <v>78048</v>
      </c>
      <c r="B5767" s="0" t="n">
        <v>78</v>
      </c>
      <c r="C5767" s="0" t="n">
        <v>48</v>
      </c>
      <c r="D5767" s="0" t="n">
        <v>0</v>
      </c>
      <c r="E5767" s="0" t="n">
        <f aca="false">VLOOKUP(B5767,'Babblefish-APUMA'!$A$1:$B$86,2)</f>
        <v>89</v>
      </c>
      <c r="F5767" s="0" t="n">
        <f aca="false">IF(C5767&gt;1,IF(C5767&lt;99,VLOOKUP(C5767,'Babblefish-APUMA'!$A$1:$B$86,2),C5767),C5767)</f>
        <v>92</v>
      </c>
    </row>
    <row r="5768" customFormat="false" ht="12.75" hidden="false" customHeight="false" outlineLevel="0" collapsed="false">
      <c r="A5768" s="0" t="n">
        <f aca="false">B5768*1000+C5768</f>
        <v>78049</v>
      </c>
      <c r="B5768" s="0" t="n">
        <v>78</v>
      </c>
      <c r="C5768" s="0" t="n">
        <v>49</v>
      </c>
      <c r="D5768" s="0" t="n">
        <v>0</v>
      </c>
      <c r="E5768" s="0" t="n">
        <f aca="false">VLOOKUP(B5768,'Babblefish-APUMA'!$A$1:$B$86,2)</f>
        <v>89</v>
      </c>
      <c r="F5768" s="0" t="n">
        <f aca="false">IF(C5768&gt;1,IF(C5768&lt;99,VLOOKUP(C5768,'Babblefish-APUMA'!$A$1:$B$86,2),C5768),C5768)</f>
        <v>98</v>
      </c>
    </row>
    <row r="5769" customFormat="false" ht="12.75" hidden="false" customHeight="false" outlineLevel="0" collapsed="false">
      <c r="A5769" s="0" t="n">
        <f aca="false">B5769*1000+C5769</f>
        <v>78050</v>
      </c>
      <c r="B5769" s="0" t="n">
        <v>78</v>
      </c>
      <c r="C5769" s="0" t="n">
        <v>50</v>
      </c>
      <c r="D5769" s="0" t="n">
        <v>0</v>
      </c>
      <c r="E5769" s="0" t="n">
        <f aca="false">VLOOKUP(B5769,'Babblefish-APUMA'!$A$1:$B$86,2)</f>
        <v>89</v>
      </c>
      <c r="F5769" s="0" t="n">
        <f aca="false">IF(C5769&gt;1,IF(C5769&lt;99,VLOOKUP(C5769,'Babblefish-APUMA'!$A$1:$B$86,2),C5769),C5769)</f>
        <v>98</v>
      </c>
    </row>
    <row r="5770" customFormat="false" ht="12.75" hidden="false" customHeight="false" outlineLevel="0" collapsed="false">
      <c r="A5770" s="0" t="n">
        <f aca="false">B5770*1000+C5770</f>
        <v>78051</v>
      </c>
      <c r="B5770" s="0" t="n">
        <v>78</v>
      </c>
      <c r="C5770" s="0" t="n">
        <v>51</v>
      </c>
      <c r="D5770" s="0" t="n">
        <v>0</v>
      </c>
      <c r="E5770" s="0" t="n">
        <f aca="false">VLOOKUP(B5770,'Babblefish-APUMA'!$A$1:$B$86,2)</f>
        <v>89</v>
      </c>
      <c r="F5770" s="0" t="n">
        <f aca="false">IF(C5770&gt;1,IF(C5770&lt;99,VLOOKUP(C5770,'Babblefish-APUMA'!$A$1:$B$86,2),C5770),C5770)</f>
        <v>98</v>
      </c>
    </row>
    <row r="5771" customFormat="false" ht="12.75" hidden="false" customHeight="false" outlineLevel="0" collapsed="false">
      <c r="A5771" s="0" t="n">
        <f aca="false">B5771*1000+C5771</f>
        <v>78052</v>
      </c>
      <c r="B5771" s="0" t="n">
        <v>78</v>
      </c>
      <c r="C5771" s="0" t="n">
        <v>52</v>
      </c>
      <c r="D5771" s="0" t="n">
        <v>0</v>
      </c>
      <c r="E5771" s="0" t="n">
        <f aca="false">VLOOKUP(B5771,'Babblefish-APUMA'!$A$1:$B$86,2)</f>
        <v>89</v>
      </c>
      <c r="F5771" s="0" t="n">
        <f aca="false">IF(C5771&gt;1,IF(C5771&lt;99,VLOOKUP(C5771,'Babblefish-APUMA'!$A$1:$B$86,2),C5771),C5771)</f>
        <v>90</v>
      </c>
    </row>
    <row r="5772" customFormat="false" ht="12.75" hidden="false" customHeight="false" outlineLevel="0" collapsed="false">
      <c r="A5772" s="0" t="n">
        <f aca="false">B5772*1000+C5772</f>
        <v>78053</v>
      </c>
      <c r="B5772" s="0" t="n">
        <v>78</v>
      </c>
      <c r="C5772" s="0" t="n">
        <v>53</v>
      </c>
      <c r="D5772" s="0" t="n">
        <v>0</v>
      </c>
      <c r="E5772" s="0" t="n">
        <f aca="false">VLOOKUP(B5772,'Babblefish-APUMA'!$A$1:$B$86,2)</f>
        <v>89</v>
      </c>
      <c r="F5772" s="0" t="n">
        <f aca="false">IF(C5772&gt;1,IF(C5772&lt;99,VLOOKUP(C5772,'Babblefish-APUMA'!$A$1:$B$86,2),C5772),C5772)</f>
        <v>90</v>
      </c>
    </row>
    <row r="5773" customFormat="false" ht="12.75" hidden="false" customHeight="false" outlineLevel="0" collapsed="false">
      <c r="A5773" s="0" t="n">
        <f aca="false">B5773*1000+C5773</f>
        <v>78054</v>
      </c>
      <c r="B5773" s="0" t="n">
        <v>78</v>
      </c>
      <c r="C5773" s="0" t="n">
        <v>54</v>
      </c>
      <c r="D5773" s="0" t="n">
        <v>0</v>
      </c>
      <c r="E5773" s="0" t="n">
        <f aca="false">VLOOKUP(B5773,'Babblefish-APUMA'!$A$1:$B$86,2)</f>
        <v>89</v>
      </c>
      <c r="F5773" s="0" t="n">
        <f aca="false">IF(C5773&gt;1,IF(C5773&lt;99,VLOOKUP(C5773,'Babblefish-APUMA'!$A$1:$B$86,2),C5773),C5773)</f>
        <v>90</v>
      </c>
    </row>
    <row r="5774" customFormat="false" ht="12.75" hidden="false" customHeight="false" outlineLevel="0" collapsed="false">
      <c r="A5774" s="0" t="n">
        <f aca="false">B5774*1000+C5774</f>
        <v>78055</v>
      </c>
      <c r="B5774" s="0" t="n">
        <v>78</v>
      </c>
      <c r="C5774" s="0" t="n">
        <v>55</v>
      </c>
      <c r="D5774" s="0" t="n">
        <v>0</v>
      </c>
      <c r="E5774" s="0" t="n">
        <f aca="false">VLOOKUP(B5774,'Babblefish-APUMA'!$A$1:$B$86,2)</f>
        <v>89</v>
      </c>
      <c r="F5774" s="0" t="n">
        <f aca="false">IF(C5774&gt;1,IF(C5774&lt;99,VLOOKUP(C5774,'Babblefish-APUMA'!$A$1:$B$86,2),C5774),C5774)</f>
        <v>90</v>
      </c>
    </row>
    <row r="5775" customFormat="false" ht="12.75" hidden="false" customHeight="false" outlineLevel="0" collapsed="false">
      <c r="A5775" s="0" t="n">
        <f aca="false">B5775*1000+C5775</f>
        <v>78056</v>
      </c>
      <c r="B5775" s="0" t="n">
        <v>78</v>
      </c>
      <c r="C5775" s="0" t="n">
        <v>56</v>
      </c>
      <c r="D5775" s="0" t="n">
        <v>0</v>
      </c>
      <c r="E5775" s="0" t="n">
        <f aca="false">VLOOKUP(B5775,'Babblefish-APUMA'!$A$1:$B$86,2)</f>
        <v>89</v>
      </c>
      <c r="F5775" s="0" t="n">
        <f aca="false">IF(C5775&gt;1,IF(C5775&lt;99,VLOOKUP(C5775,'Babblefish-APUMA'!$A$1:$B$86,2),C5775),C5775)</f>
        <v>90</v>
      </c>
    </row>
    <row r="5776" customFormat="false" ht="12.75" hidden="false" customHeight="false" outlineLevel="0" collapsed="false">
      <c r="A5776" s="0" t="n">
        <f aca="false">B5776*1000+C5776</f>
        <v>78057</v>
      </c>
      <c r="B5776" s="0" t="n">
        <v>78</v>
      </c>
      <c r="C5776" s="0" t="n">
        <v>57</v>
      </c>
      <c r="D5776" s="0" t="n">
        <v>0</v>
      </c>
      <c r="E5776" s="0" t="n">
        <f aca="false">VLOOKUP(B5776,'Babblefish-APUMA'!$A$1:$B$86,2)</f>
        <v>89</v>
      </c>
      <c r="F5776" s="0" t="n">
        <f aca="false">IF(C5776&gt;1,IF(C5776&lt;99,VLOOKUP(C5776,'Babblefish-APUMA'!$A$1:$B$86,2),C5776),C5776)</f>
        <v>90</v>
      </c>
    </row>
    <row r="5777" customFormat="false" ht="12.75" hidden="false" customHeight="false" outlineLevel="0" collapsed="false">
      <c r="A5777" s="0" t="n">
        <f aca="false">B5777*1000+C5777</f>
        <v>78058</v>
      </c>
      <c r="B5777" s="0" t="n">
        <v>78</v>
      </c>
      <c r="C5777" s="0" t="n">
        <v>58</v>
      </c>
      <c r="D5777" s="0" t="n">
        <v>0</v>
      </c>
      <c r="E5777" s="0" t="n">
        <f aca="false">VLOOKUP(B5777,'Babblefish-APUMA'!$A$1:$B$86,2)</f>
        <v>89</v>
      </c>
      <c r="F5777" s="0" t="n">
        <f aca="false">IF(C5777&gt;1,IF(C5777&lt;99,VLOOKUP(C5777,'Babblefish-APUMA'!$A$1:$B$86,2),C5777),C5777)</f>
        <v>90</v>
      </c>
    </row>
    <row r="5778" customFormat="false" ht="12.75" hidden="false" customHeight="false" outlineLevel="0" collapsed="false">
      <c r="A5778" s="0" t="n">
        <f aca="false">B5778*1000+C5778</f>
        <v>78059</v>
      </c>
      <c r="B5778" s="0" t="n">
        <v>78</v>
      </c>
      <c r="C5778" s="0" t="n">
        <v>59</v>
      </c>
      <c r="D5778" s="0" t="n">
        <v>0</v>
      </c>
      <c r="E5778" s="0" t="n">
        <f aca="false">VLOOKUP(B5778,'Babblefish-APUMA'!$A$1:$B$86,2)</f>
        <v>89</v>
      </c>
      <c r="F5778" s="0" t="n">
        <f aca="false">IF(C5778&gt;1,IF(C5778&lt;99,VLOOKUP(C5778,'Babblefish-APUMA'!$A$1:$B$86,2),C5778),C5778)</f>
        <v>90</v>
      </c>
    </row>
    <row r="5779" customFormat="false" ht="12.75" hidden="false" customHeight="false" outlineLevel="0" collapsed="false">
      <c r="A5779" s="0" t="n">
        <f aca="false">B5779*1000+C5779</f>
        <v>78060</v>
      </c>
      <c r="B5779" s="0" t="n">
        <v>78</v>
      </c>
      <c r="C5779" s="0" t="n">
        <v>60</v>
      </c>
      <c r="D5779" s="0" t="n">
        <v>0</v>
      </c>
      <c r="E5779" s="0" t="n">
        <f aca="false">VLOOKUP(B5779,'Babblefish-APUMA'!$A$1:$B$86,2)</f>
        <v>89</v>
      </c>
      <c r="F5779" s="0" t="n">
        <f aca="false">IF(C5779&gt;1,IF(C5779&lt;99,VLOOKUP(C5779,'Babblefish-APUMA'!$A$1:$B$86,2),C5779),C5779)</f>
        <v>90</v>
      </c>
    </row>
    <row r="5780" customFormat="false" ht="12.75" hidden="false" customHeight="false" outlineLevel="0" collapsed="false">
      <c r="A5780" s="0" t="n">
        <f aca="false">B5780*1000+C5780</f>
        <v>78061</v>
      </c>
      <c r="B5780" s="0" t="n">
        <v>78</v>
      </c>
      <c r="C5780" s="0" t="n">
        <v>61</v>
      </c>
      <c r="D5780" s="0" t="n">
        <v>0</v>
      </c>
      <c r="E5780" s="0" t="n">
        <f aca="false">VLOOKUP(B5780,'Babblefish-APUMA'!$A$1:$B$86,2)</f>
        <v>89</v>
      </c>
      <c r="F5780" s="0" t="n">
        <f aca="false">IF(C5780&gt;1,IF(C5780&lt;99,VLOOKUP(C5780,'Babblefish-APUMA'!$A$1:$B$86,2),C5780),C5780)</f>
        <v>90</v>
      </c>
    </row>
    <row r="5781" customFormat="false" ht="12.75" hidden="false" customHeight="false" outlineLevel="0" collapsed="false">
      <c r="A5781" s="0" t="n">
        <f aca="false">B5781*1000+C5781</f>
        <v>78062</v>
      </c>
      <c r="B5781" s="0" t="n">
        <v>78</v>
      </c>
      <c r="C5781" s="0" t="n">
        <v>62</v>
      </c>
      <c r="D5781" s="0" t="n">
        <v>0</v>
      </c>
      <c r="E5781" s="0" t="n">
        <f aca="false">VLOOKUP(B5781,'Babblefish-APUMA'!$A$1:$B$86,2)</f>
        <v>89</v>
      </c>
      <c r="F5781" s="0" t="n">
        <f aca="false">IF(C5781&gt;1,IF(C5781&lt;99,VLOOKUP(C5781,'Babblefish-APUMA'!$A$1:$B$86,2),C5781),C5781)</f>
        <v>90</v>
      </c>
    </row>
    <row r="5782" customFormat="false" ht="12.75" hidden="false" customHeight="false" outlineLevel="0" collapsed="false">
      <c r="A5782" s="0" t="n">
        <f aca="false">B5782*1000+C5782</f>
        <v>78063</v>
      </c>
      <c r="B5782" s="0" t="n">
        <v>78</v>
      </c>
      <c r="C5782" s="0" t="n">
        <v>63</v>
      </c>
      <c r="D5782" s="0" t="n">
        <v>0</v>
      </c>
      <c r="E5782" s="0" t="n">
        <f aca="false">VLOOKUP(B5782,'Babblefish-APUMA'!$A$1:$B$86,2)</f>
        <v>89</v>
      </c>
      <c r="F5782" s="0" t="n">
        <f aca="false">IF(C5782&gt;1,IF(C5782&lt;99,VLOOKUP(C5782,'Babblefish-APUMA'!$A$1:$B$86,2),C5782),C5782)</f>
        <v>90</v>
      </c>
    </row>
    <row r="5783" customFormat="false" ht="12.75" hidden="false" customHeight="false" outlineLevel="0" collapsed="false">
      <c r="A5783" s="0" t="n">
        <f aca="false">B5783*1000+C5783</f>
        <v>78064</v>
      </c>
      <c r="B5783" s="0" t="n">
        <v>78</v>
      </c>
      <c r="C5783" s="0" t="n">
        <v>64</v>
      </c>
      <c r="D5783" s="0" t="n">
        <v>585</v>
      </c>
      <c r="E5783" s="0" t="n">
        <f aca="false">VLOOKUP(B5783,'Babblefish-APUMA'!$A$1:$B$86,2)</f>
        <v>89</v>
      </c>
      <c r="F5783" s="0" t="n">
        <f aca="false">IF(C5783&gt;1,IF(C5783&lt;99,VLOOKUP(C5783,'Babblefish-APUMA'!$A$1:$B$86,2),C5783),C5783)</f>
        <v>90</v>
      </c>
    </row>
    <row r="5784" customFormat="false" ht="12.75" hidden="false" customHeight="false" outlineLevel="0" collapsed="false">
      <c r="A5784" s="0" t="n">
        <f aca="false">B5784*1000+C5784</f>
        <v>78065</v>
      </c>
      <c r="B5784" s="0" t="n">
        <v>78</v>
      </c>
      <c r="C5784" s="0" t="n">
        <v>65</v>
      </c>
      <c r="D5784" s="0" t="n">
        <v>234</v>
      </c>
      <c r="E5784" s="0" t="n">
        <f aca="false">VLOOKUP(B5784,'Babblefish-APUMA'!$A$1:$B$86,2)</f>
        <v>89</v>
      </c>
      <c r="F5784" s="0" t="n">
        <f aca="false">IF(C5784&gt;1,IF(C5784&lt;99,VLOOKUP(C5784,'Babblefish-APUMA'!$A$1:$B$86,2),C5784),C5784)</f>
        <v>90</v>
      </c>
    </row>
    <row r="5785" customFormat="false" ht="12.75" hidden="false" customHeight="false" outlineLevel="0" collapsed="false">
      <c r="A5785" s="0" t="n">
        <f aca="false">B5785*1000+C5785</f>
        <v>78066</v>
      </c>
      <c r="B5785" s="0" t="n">
        <v>78</v>
      </c>
      <c r="C5785" s="0" t="n">
        <v>66</v>
      </c>
      <c r="D5785" s="0" t="n">
        <v>0</v>
      </c>
      <c r="E5785" s="0" t="n">
        <f aca="false">VLOOKUP(B5785,'Babblefish-APUMA'!$A$1:$B$86,2)</f>
        <v>89</v>
      </c>
      <c r="F5785" s="0" t="n">
        <f aca="false">IF(C5785&gt;1,IF(C5785&lt;99,VLOOKUP(C5785,'Babblefish-APUMA'!$A$1:$B$86,2),C5785),C5785)</f>
        <v>90</v>
      </c>
    </row>
    <row r="5786" customFormat="false" ht="12.75" hidden="false" customHeight="false" outlineLevel="0" collapsed="false">
      <c r="A5786" s="0" t="n">
        <f aca="false">B5786*1000+C5786</f>
        <v>78067</v>
      </c>
      <c r="B5786" s="0" t="n">
        <v>78</v>
      </c>
      <c r="C5786" s="0" t="n">
        <v>67</v>
      </c>
      <c r="D5786" s="0" t="n">
        <v>91</v>
      </c>
      <c r="E5786" s="0" t="n">
        <f aca="false">VLOOKUP(B5786,'Babblefish-APUMA'!$A$1:$B$86,2)</f>
        <v>89</v>
      </c>
      <c r="F5786" s="0" t="n">
        <f aca="false">IF(C5786&gt;1,IF(C5786&lt;99,VLOOKUP(C5786,'Babblefish-APUMA'!$A$1:$B$86,2),C5786),C5786)</f>
        <v>103</v>
      </c>
    </row>
    <row r="5787" customFormat="false" ht="12.75" hidden="false" customHeight="false" outlineLevel="0" collapsed="false">
      <c r="A5787" s="0" t="n">
        <f aca="false">B5787*1000+C5787</f>
        <v>78068</v>
      </c>
      <c r="B5787" s="0" t="n">
        <v>78</v>
      </c>
      <c r="C5787" s="0" t="n">
        <v>68</v>
      </c>
      <c r="D5787" s="0" t="n">
        <v>0</v>
      </c>
      <c r="E5787" s="0" t="n">
        <f aca="false">VLOOKUP(B5787,'Babblefish-APUMA'!$A$1:$B$86,2)</f>
        <v>89</v>
      </c>
      <c r="F5787" s="0" t="n">
        <f aca="false">IF(C5787&gt;1,IF(C5787&lt;99,VLOOKUP(C5787,'Babblefish-APUMA'!$A$1:$B$86,2),C5787),C5787)</f>
        <v>93</v>
      </c>
    </row>
    <row r="5788" customFormat="false" ht="12.75" hidden="false" customHeight="false" outlineLevel="0" collapsed="false">
      <c r="A5788" s="0" t="n">
        <f aca="false">B5788*1000+C5788</f>
        <v>78069</v>
      </c>
      <c r="B5788" s="0" t="n">
        <v>78</v>
      </c>
      <c r="C5788" s="0" t="n">
        <v>69</v>
      </c>
      <c r="D5788" s="0" t="n">
        <v>0</v>
      </c>
      <c r="E5788" s="0" t="n">
        <f aca="false">VLOOKUP(B5788,'Babblefish-APUMA'!$A$1:$B$86,2)</f>
        <v>89</v>
      </c>
      <c r="F5788" s="0" t="n">
        <f aca="false">IF(C5788&gt;1,IF(C5788&lt;99,VLOOKUP(C5788,'Babblefish-APUMA'!$A$1:$B$86,2),C5788),C5788)</f>
        <v>93</v>
      </c>
    </row>
    <row r="5789" customFormat="false" ht="12.75" hidden="false" customHeight="false" outlineLevel="0" collapsed="false">
      <c r="A5789" s="0" t="n">
        <f aca="false">B5789*1000+C5789</f>
        <v>78070</v>
      </c>
      <c r="B5789" s="0" t="n">
        <v>78</v>
      </c>
      <c r="C5789" s="0" t="n">
        <v>70</v>
      </c>
      <c r="D5789" s="0" t="n">
        <v>0</v>
      </c>
      <c r="E5789" s="0" t="n">
        <f aca="false">VLOOKUP(B5789,'Babblefish-APUMA'!$A$1:$B$86,2)</f>
        <v>89</v>
      </c>
      <c r="F5789" s="0" t="n">
        <f aca="false">IF(C5789&gt;1,IF(C5789&lt;99,VLOOKUP(C5789,'Babblefish-APUMA'!$A$1:$B$86,2),C5789),C5789)</f>
        <v>95</v>
      </c>
    </row>
    <row r="5790" customFormat="false" ht="12.75" hidden="false" customHeight="false" outlineLevel="0" collapsed="false">
      <c r="A5790" s="0" t="n">
        <f aca="false">B5790*1000+C5790</f>
        <v>78071</v>
      </c>
      <c r="B5790" s="0" t="n">
        <v>78</v>
      </c>
      <c r="C5790" s="0" t="n">
        <v>71</v>
      </c>
      <c r="D5790" s="0" t="n">
        <v>0</v>
      </c>
      <c r="E5790" s="0" t="n">
        <f aca="false">VLOOKUP(B5790,'Babblefish-APUMA'!$A$1:$B$86,2)</f>
        <v>89</v>
      </c>
      <c r="F5790" s="0" t="n">
        <f aca="false">IF(C5790&gt;1,IF(C5790&lt;99,VLOOKUP(C5790,'Babblefish-APUMA'!$A$1:$B$86,2),C5790),C5790)</f>
        <v>95</v>
      </c>
    </row>
    <row r="5791" customFormat="false" ht="12.75" hidden="false" customHeight="false" outlineLevel="0" collapsed="false">
      <c r="A5791" s="0" t="n">
        <f aca="false">B5791*1000+C5791</f>
        <v>78072</v>
      </c>
      <c r="B5791" s="0" t="n">
        <v>78</v>
      </c>
      <c r="C5791" s="0" t="n">
        <v>72</v>
      </c>
      <c r="D5791" s="0" t="n">
        <v>247</v>
      </c>
      <c r="E5791" s="0" t="n">
        <f aca="false">VLOOKUP(B5791,'Babblefish-APUMA'!$A$1:$B$86,2)</f>
        <v>89</v>
      </c>
      <c r="F5791" s="0" t="n">
        <f aca="false">IF(C5791&gt;1,IF(C5791&lt;99,VLOOKUP(C5791,'Babblefish-APUMA'!$A$1:$B$86,2),C5791),C5791)</f>
        <v>95</v>
      </c>
    </row>
    <row r="5792" customFormat="false" ht="12.75" hidden="false" customHeight="false" outlineLevel="0" collapsed="false">
      <c r="A5792" s="0" t="n">
        <f aca="false">B5792*1000+C5792</f>
        <v>78073</v>
      </c>
      <c r="B5792" s="0" t="n">
        <v>78</v>
      </c>
      <c r="C5792" s="0" t="n">
        <v>73</v>
      </c>
      <c r="D5792" s="0" t="n">
        <v>0</v>
      </c>
      <c r="E5792" s="0" t="n">
        <f aca="false">VLOOKUP(B5792,'Babblefish-APUMA'!$A$1:$B$86,2)</f>
        <v>89</v>
      </c>
      <c r="F5792" s="0" t="n">
        <f aca="false">IF(C5792&gt;1,IF(C5792&lt;99,VLOOKUP(C5792,'Babblefish-APUMA'!$A$1:$B$86,2),C5792),C5792)</f>
        <v>99</v>
      </c>
    </row>
    <row r="5793" customFormat="false" ht="12.75" hidden="false" customHeight="false" outlineLevel="0" collapsed="false">
      <c r="A5793" s="0" t="n">
        <f aca="false">B5793*1000+C5793</f>
        <v>78075</v>
      </c>
      <c r="B5793" s="0" t="n">
        <v>78</v>
      </c>
      <c r="C5793" s="0" t="n">
        <v>75</v>
      </c>
      <c r="D5793" s="0" t="n">
        <v>0</v>
      </c>
      <c r="E5793" s="0" t="n">
        <f aca="false">VLOOKUP(B5793,'Babblefish-APUMA'!$A$1:$B$86,2)</f>
        <v>89</v>
      </c>
      <c r="F5793" s="0" t="n">
        <f aca="false">IF(C5793&gt;1,IF(C5793&lt;99,VLOOKUP(C5793,'Babblefish-APUMA'!$A$1:$B$86,2),C5793),C5793)</f>
        <v>75</v>
      </c>
    </row>
    <row r="5794" customFormat="false" ht="12.75" hidden="false" customHeight="false" outlineLevel="0" collapsed="false">
      <c r="A5794" s="0" t="n">
        <f aca="false">B5794*1000+C5794</f>
        <v>78076</v>
      </c>
      <c r="B5794" s="0" t="n">
        <v>78</v>
      </c>
      <c r="C5794" s="0" t="n">
        <v>76</v>
      </c>
      <c r="D5794" s="0" t="n">
        <v>0</v>
      </c>
      <c r="E5794" s="0" t="n">
        <f aca="false">VLOOKUP(B5794,'Babblefish-APUMA'!$A$1:$B$86,2)</f>
        <v>89</v>
      </c>
      <c r="F5794" s="0" t="n">
        <f aca="false">IF(C5794&gt;1,IF(C5794&lt;99,VLOOKUP(C5794,'Babblefish-APUMA'!$A$1:$B$86,2),C5794),C5794)</f>
        <v>76</v>
      </c>
    </row>
    <row r="5795" customFormat="false" ht="12.75" hidden="false" customHeight="false" outlineLevel="0" collapsed="false">
      <c r="A5795" s="0" t="n">
        <f aca="false">B5795*1000+C5795</f>
        <v>78077</v>
      </c>
      <c r="B5795" s="0" t="n">
        <v>78</v>
      </c>
      <c r="C5795" s="0" t="n">
        <v>77</v>
      </c>
      <c r="D5795" s="0" t="n">
        <v>143</v>
      </c>
      <c r="E5795" s="0" t="n">
        <f aca="false">VLOOKUP(B5795,'Babblefish-APUMA'!$A$1:$B$86,2)</f>
        <v>89</v>
      </c>
      <c r="F5795" s="0" t="n">
        <f aca="false">IF(C5795&gt;1,IF(C5795&lt;99,VLOOKUP(C5795,'Babblefish-APUMA'!$A$1:$B$86,2),C5795),C5795)</f>
        <v>77</v>
      </c>
    </row>
    <row r="5796" customFormat="false" ht="12.75" hidden="false" customHeight="false" outlineLevel="0" collapsed="false">
      <c r="A5796" s="0" t="n">
        <f aca="false">B5796*1000+C5796</f>
        <v>78078</v>
      </c>
      <c r="B5796" s="0" t="n">
        <v>78</v>
      </c>
      <c r="C5796" s="0" t="n">
        <v>78</v>
      </c>
      <c r="D5796" s="0" t="n">
        <v>56394</v>
      </c>
      <c r="E5796" s="0" t="n">
        <f aca="false">VLOOKUP(B5796,'Babblefish-APUMA'!$A$1:$B$86,2)</f>
        <v>89</v>
      </c>
      <c r="F5796" s="0" t="n">
        <f aca="false">IF(C5796&gt;1,IF(C5796&lt;99,VLOOKUP(C5796,'Babblefish-APUMA'!$A$1:$B$86,2),C5796),C5796)</f>
        <v>89</v>
      </c>
    </row>
    <row r="5797" customFormat="false" ht="12.75" hidden="false" customHeight="false" outlineLevel="0" collapsed="false">
      <c r="A5797" s="0" t="n">
        <f aca="false">B5797*1000+C5797</f>
        <v>78079</v>
      </c>
      <c r="B5797" s="0" t="n">
        <v>78</v>
      </c>
      <c r="C5797" s="0" t="n">
        <v>79</v>
      </c>
      <c r="D5797" s="0" t="n">
        <v>19071</v>
      </c>
      <c r="E5797" s="0" t="n">
        <f aca="false">VLOOKUP(B5797,'Babblefish-APUMA'!$A$1:$B$86,2)</f>
        <v>89</v>
      </c>
      <c r="F5797" s="0" t="n">
        <f aca="false">IF(C5797&gt;1,IF(C5797&lt;99,VLOOKUP(C5797,'Babblefish-APUMA'!$A$1:$B$86,2),C5797),C5797)</f>
        <v>89</v>
      </c>
    </row>
    <row r="5798" customFormat="false" ht="12.75" hidden="false" customHeight="false" outlineLevel="0" collapsed="false">
      <c r="A5798" s="0" t="n">
        <f aca="false">B5798*1000+C5798</f>
        <v>78080</v>
      </c>
      <c r="B5798" s="0" t="n">
        <v>78</v>
      </c>
      <c r="C5798" s="0" t="n">
        <v>80</v>
      </c>
      <c r="D5798" s="0" t="n">
        <v>0</v>
      </c>
      <c r="E5798" s="0" t="n">
        <f aca="false">VLOOKUP(B5798,'Babblefish-APUMA'!$A$1:$B$86,2)</f>
        <v>89</v>
      </c>
      <c r="F5798" s="0" t="n">
        <f aca="false">IF(C5798&gt;1,IF(C5798&lt;99,VLOOKUP(C5798,'Babblefish-APUMA'!$A$1:$B$86,2),C5798),C5798)</f>
        <v>80</v>
      </c>
    </row>
    <row r="5799" customFormat="false" ht="12.75" hidden="false" customHeight="false" outlineLevel="0" collapsed="false">
      <c r="A5799" s="0" t="n">
        <f aca="false">B5799*1000+C5799</f>
        <v>78081</v>
      </c>
      <c r="B5799" s="0" t="n">
        <v>78</v>
      </c>
      <c r="C5799" s="0" t="n">
        <v>81</v>
      </c>
      <c r="D5799" s="0" t="n">
        <v>0</v>
      </c>
      <c r="E5799" s="0" t="n">
        <f aca="false">VLOOKUP(B5799,'Babblefish-APUMA'!$A$1:$B$86,2)</f>
        <v>89</v>
      </c>
      <c r="F5799" s="0" t="n">
        <f aca="false">IF(C5799&gt;1,IF(C5799&lt;99,VLOOKUP(C5799,'Babblefish-APUMA'!$A$1:$B$86,2),C5799),C5799)</f>
        <v>93</v>
      </c>
    </row>
    <row r="5800" customFormat="false" ht="12.75" hidden="false" customHeight="false" outlineLevel="0" collapsed="false">
      <c r="A5800" s="0" t="n">
        <f aca="false">B5800*1000+C5800</f>
        <v>78082</v>
      </c>
      <c r="B5800" s="0" t="n">
        <v>78</v>
      </c>
      <c r="C5800" s="0" t="n">
        <v>82</v>
      </c>
      <c r="D5800" s="0" t="n">
        <v>0</v>
      </c>
      <c r="E5800" s="0" t="n">
        <f aca="false">VLOOKUP(B5800,'Babblefish-APUMA'!$A$1:$B$86,2)</f>
        <v>89</v>
      </c>
      <c r="F5800" s="0" t="n">
        <f aca="false">IF(C5800&gt;1,IF(C5800&lt;99,VLOOKUP(C5800,'Babblefish-APUMA'!$A$1:$B$86,2),C5800),C5800)</f>
        <v>95</v>
      </c>
    </row>
    <row r="5801" customFormat="false" ht="12.75" hidden="false" customHeight="false" outlineLevel="0" collapsed="false">
      <c r="A5801" s="0" t="n">
        <f aca="false">B5801*1000+C5801</f>
        <v>78083</v>
      </c>
      <c r="B5801" s="0" t="n">
        <v>78</v>
      </c>
      <c r="C5801" s="0" t="n">
        <v>83</v>
      </c>
      <c r="D5801" s="0" t="n">
        <v>0</v>
      </c>
      <c r="E5801" s="0" t="n">
        <f aca="false">VLOOKUP(B5801,'Babblefish-APUMA'!$A$1:$B$86,2)</f>
        <v>89</v>
      </c>
      <c r="F5801" s="0" t="n">
        <f aca="false">IF(C5801&gt;1,IF(C5801&lt;99,VLOOKUP(C5801,'Babblefish-APUMA'!$A$1:$B$86,2),C5801),C5801)</f>
        <v>103</v>
      </c>
    </row>
    <row r="5802" customFormat="false" ht="12.75" hidden="false" customHeight="false" outlineLevel="0" collapsed="false">
      <c r="A5802" s="0" t="n">
        <f aca="false">B5802*1000+C5802</f>
        <v>78084</v>
      </c>
      <c r="B5802" s="0" t="n">
        <v>78</v>
      </c>
      <c r="C5802" s="0" t="n">
        <v>84</v>
      </c>
      <c r="D5802" s="0" t="n">
        <v>0</v>
      </c>
      <c r="E5802" s="0" t="n">
        <f aca="false">VLOOKUP(B5802,'Babblefish-APUMA'!$A$1:$B$86,2)</f>
        <v>89</v>
      </c>
      <c r="F5802" s="0" t="n">
        <f aca="false">IF(C5802&gt;1,IF(C5802&lt;99,VLOOKUP(C5802,'Babblefish-APUMA'!$A$1:$B$86,2),C5802),C5802)</f>
        <v>92</v>
      </c>
    </row>
    <row r="5803" customFormat="false" ht="12.75" hidden="false" customHeight="false" outlineLevel="0" collapsed="false">
      <c r="A5803" s="0" t="n">
        <f aca="false">B5803*1000+C5803</f>
        <v>78085</v>
      </c>
      <c r="B5803" s="0" t="n">
        <v>78</v>
      </c>
      <c r="C5803" s="0" t="n">
        <v>85</v>
      </c>
      <c r="D5803" s="0" t="n">
        <v>0</v>
      </c>
      <c r="E5803" s="0" t="n">
        <f aca="false">VLOOKUP(B5803,'Babblefish-APUMA'!$A$1:$B$86,2)</f>
        <v>89</v>
      </c>
      <c r="F5803" s="0" t="n">
        <f aca="false">IF(C5803&gt;1,IF(C5803&lt;99,VLOOKUP(C5803,'Babblefish-APUMA'!$A$1:$B$86,2),C5803),C5803)</f>
        <v>97</v>
      </c>
    </row>
    <row r="5804" customFormat="false" ht="12.75" hidden="false" customHeight="false" outlineLevel="0" collapsed="false">
      <c r="A5804" s="0" t="n">
        <f aca="false">B5804*1000+C5804</f>
        <v>78858</v>
      </c>
      <c r="B5804" s="0" t="n">
        <v>78</v>
      </c>
      <c r="C5804" s="0" t="n">
        <v>858</v>
      </c>
      <c r="D5804" s="0" t="n">
        <v>0</v>
      </c>
      <c r="E5804" s="0" t="n">
        <f aca="false">VLOOKUP(B5804,'Babblefish-APUMA'!$A$1:$B$86,2)</f>
        <v>89</v>
      </c>
      <c r="F5804" s="0" t="n">
        <f aca="false">IF(C5804&gt;1,IF(C5804&lt;99,VLOOKUP(C5804,'Babblefish-APUMA'!$A$1:$B$86,2),C5804),C5804)</f>
        <v>858</v>
      </c>
    </row>
    <row r="5805" customFormat="false" ht="12.75" hidden="false" customHeight="false" outlineLevel="0" collapsed="false">
      <c r="A5805" s="0" t="n">
        <f aca="false">B5805*1000+C5805</f>
        <v>78983</v>
      </c>
      <c r="B5805" s="0" t="n">
        <v>78</v>
      </c>
      <c r="C5805" s="0" t="n">
        <v>983</v>
      </c>
      <c r="D5805" s="0" t="n">
        <v>0</v>
      </c>
      <c r="E5805" s="0" t="n">
        <f aca="false">VLOOKUP(B5805,'Babblefish-APUMA'!$A$1:$B$86,2)</f>
        <v>89</v>
      </c>
      <c r="F5805" s="0" t="n">
        <f aca="false">IF(C5805&gt;1,IF(C5805&lt;99,VLOOKUP(C5805,'Babblefish-APUMA'!$A$1:$B$86,2),C5805),C5805)</f>
        <v>983</v>
      </c>
    </row>
    <row r="5806" customFormat="false" ht="12.75" hidden="false" customHeight="false" outlineLevel="0" collapsed="false">
      <c r="A5806" s="0" t="n">
        <f aca="false">B5806*1000+C5806</f>
        <v>78999</v>
      </c>
      <c r="B5806" s="0" t="n">
        <v>78</v>
      </c>
      <c r="C5806" s="0" t="n">
        <v>999</v>
      </c>
      <c r="D5806" s="0" t="n">
        <v>0</v>
      </c>
      <c r="E5806" s="0" t="n">
        <f aca="false">VLOOKUP(B5806,'Babblefish-APUMA'!$A$1:$B$86,2)</f>
        <v>89</v>
      </c>
      <c r="F5806" s="0" t="n">
        <f aca="false">IF(C5806&gt;1,IF(C5806&lt;99,VLOOKUP(C5806,'Babblefish-APUMA'!$A$1:$B$86,2),C5806),C5806)</f>
        <v>999</v>
      </c>
    </row>
    <row r="5807" customFormat="false" ht="12.75" hidden="false" customHeight="false" outlineLevel="0" collapsed="false">
      <c r="A5807" s="0" t="n">
        <f aca="false">B5807*1000+C5807</f>
        <v>79000</v>
      </c>
      <c r="B5807" s="0" t="n">
        <v>79</v>
      </c>
      <c r="C5807" s="0" t="n">
        <v>0</v>
      </c>
      <c r="D5807" s="0" t="n">
        <v>220766</v>
      </c>
      <c r="E5807" s="0" t="n">
        <f aca="false">VLOOKUP(B5807,'Babblefish-APUMA'!$A$1:$B$86,2)</f>
        <v>89</v>
      </c>
      <c r="F5807" s="0" t="n">
        <f aca="false">IF(C5807&gt;1,IF(C5807&lt;99,VLOOKUP(C5807,'Babblefish-APUMA'!$A$1:$B$86,2),C5807),C5807)</f>
        <v>0</v>
      </c>
    </row>
    <row r="5808" customFormat="false" ht="12.75" hidden="false" customHeight="false" outlineLevel="0" collapsed="false">
      <c r="A5808" s="0" t="n">
        <f aca="false">B5808*1000+C5808</f>
        <v>79001</v>
      </c>
      <c r="B5808" s="0" t="n">
        <v>79</v>
      </c>
      <c r="C5808" s="0" t="n">
        <v>1</v>
      </c>
      <c r="D5808" s="0" t="n">
        <v>0</v>
      </c>
      <c r="E5808" s="0" t="n">
        <f aca="false">VLOOKUP(B5808,'Babblefish-APUMA'!$A$1:$B$86,2)</f>
        <v>89</v>
      </c>
      <c r="F5808" s="0" t="n">
        <f aca="false">IF(C5808&gt;1,IF(C5808&lt;99,VLOOKUP(C5808,'Babblefish-APUMA'!$A$1:$B$86,2),C5808),C5808)</f>
        <v>1</v>
      </c>
    </row>
    <row r="5809" customFormat="false" ht="12.75" hidden="false" customHeight="false" outlineLevel="0" collapsed="false">
      <c r="A5809" s="0" t="n">
        <f aca="false">B5809*1000+C5809</f>
        <v>79002</v>
      </c>
      <c r="B5809" s="0" t="n">
        <v>79</v>
      </c>
      <c r="C5809" s="0" t="n">
        <v>2</v>
      </c>
      <c r="D5809" s="0" t="n">
        <v>0</v>
      </c>
      <c r="E5809" s="0" t="n">
        <f aca="false">VLOOKUP(B5809,'Babblefish-APUMA'!$A$1:$B$86,2)</f>
        <v>89</v>
      </c>
      <c r="F5809" s="0" t="n">
        <f aca="false">IF(C5809&gt;1,IF(C5809&lt;99,VLOOKUP(C5809,'Babblefish-APUMA'!$A$1:$B$86,2),C5809),C5809)</f>
        <v>2</v>
      </c>
    </row>
    <row r="5810" customFormat="false" ht="12.75" hidden="false" customHeight="false" outlineLevel="0" collapsed="false">
      <c r="A5810" s="0" t="n">
        <f aca="false">B5810*1000+C5810</f>
        <v>79003</v>
      </c>
      <c r="B5810" s="0" t="n">
        <v>79</v>
      </c>
      <c r="C5810" s="0" t="n">
        <v>3</v>
      </c>
      <c r="D5810" s="0" t="n">
        <v>0</v>
      </c>
      <c r="E5810" s="0" t="n">
        <f aca="false">VLOOKUP(B5810,'Babblefish-APUMA'!$A$1:$B$86,2)</f>
        <v>89</v>
      </c>
      <c r="F5810" s="0" t="n">
        <f aca="false">IF(C5810&gt;1,IF(C5810&lt;99,VLOOKUP(C5810,'Babblefish-APUMA'!$A$1:$B$86,2),C5810),C5810)</f>
        <v>3</v>
      </c>
    </row>
    <row r="5811" customFormat="false" ht="12.75" hidden="false" customHeight="false" outlineLevel="0" collapsed="false">
      <c r="A5811" s="0" t="n">
        <f aca="false">B5811*1000+C5811</f>
        <v>79004</v>
      </c>
      <c r="B5811" s="0" t="n">
        <v>79</v>
      </c>
      <c r="C5811" s="0" t="n">
        <v>4</v>
      </c>
      <c r="D5811" s="0" t="n">
        <v>182</v>
      </c>
      <c r="E5811" s="0" t="n">
        <f aca="false">VLOOKUP(B5811,'Babblefish-APUMA'!$A$1:$B$86,2)</f>
        <v>89</v>
      </c>
      <c r="F5811" s="0" t="n">
        <f aca="false">IF(C5811&gt;1,IF(C5811&lt;99,VLOOKUP(C5811,'Babblefish-APUMA'!$A$1:$B$86,2),C5811),C5811)</f>
        <v>4</v>
      </c>
    </row>
    <row r="5812" customFormat="false" ht="12.75" hidden="false" customHeight="false" outlineLevel="0" collapsed="false">
      <c r="A5812" s="0" t="n">
        <f aca="false">B5812*1000+C5812</f>
        <v>79005</v>
      </c>
      <c r="B5812" s="0" t="n">
        <v>79</v>
      </c>
      <c r="C5812" s="0" t="n">
        <v>5</v>
      </c>
      <c r="D5812" s="0" t="n">
        <v>0</v>
      </c>
      <c r="E5812" s="0" t="n">
        <f aca="false">VLOOKUP(B5812,'Babblefish-APUMA'!$A$1:$B$86,2)</f>
        <v>89</v>
      </c>
      <c r="F5812" s="0" t="n">
        <f aca="false">IF(C5812&gt;1,IF(C5812&lt;99,VLOOKUP(C5812,'Babblefish-APUMA'!$A$1:$B$86,2),C5812),C5812)</f>
        <v>5</v>
      </c>
    </row>
    <row r="5813" customFormat="false" ht="12.75" hidden="false" customHeight="false" outlineLevel="0" collapsed="false">
      <c r="A5813" s="0" t="n">
        <f aca="false">B5813*1000+C5813</f>
        <v>79006</v>
      </c>
      <c r="B5813" s="0" t="n">
        <v>79</v>
      </c>
      <c r="C5813" s="0" t="n">
        <v>6</v>
      </c>
      <c r="D5813" s="0" t="n">
        <v>0</v>
      </c>
      <c r="E5813" s="0" t="n">
        <f aca="false">VLOOKUP(B5813,'Babblefish-APUMA'!$A$1:$B$86,2)</f>
        <v>89</v>
      </c>
      <c r="F5813" s="0" t="n">
        <f aca="false">IF(C5813&gt;1,IF(C5813&lt;99,VLOOKUP(C5813,'Babblefish-APUMA'!$A$1:$B$86,2),C5813),C5813)</f>
        <v>6</v>
      </c>
    </row>
    <row r="5814" customFormat="false" ht="12.75" hidden="false" customHeight="false" outlineLevel="0" collapsed="false">
      <c r="A5814" s="0" t="n">
        <f aca="false">B5814*1000+C5814</f>
        <v>79007</v>
      </c>
      <c r="B5814" s="0" t="n">
        <v>79</v>
      </c>
      <c r="C5814" s="0" t="n">
        <v>7</v>
      </c>
      <c r="D5814" s="0" t="n">
        <v>0</v>
      </c>
      <c r="E5814" s="0" t="n">
        <f aca="false">VLOOKUP(B5814,'Babblefish-APUMA'!$A$1:$B$86,2)</f>
        <v>89</v>
      </c>
      <c r="F5814" s="0" t="n">
        <f aca="false">IF(C5814&gt;1,IF(C5814&lt;99,VLOOKUP(C5814,'Babblefish-APUMA'!$A$1:$B$86,2),C5814),C5814)</f>
        <v>7</v>
      </c>
    </row>
    <row r="5815" customFormat="false" ht="12.75" hidden="false" customHeight="false" outlineLevel="0" collapsed="false">
      <c r="A5815" s="0" t="n">
        <f aca="false">B5815*1000+C5815</f>
        <v>79008</v>
      </c>
      <c r="B5815" s="0" t="n">
        <v>79</v>
      </c>
      <c r="C5815" s="0" t="n">
        <v>8</v>
      </c>
      <c r="D5815" s="0" t="n">
        <v>0</v>
      </c>
      <c r="E5815" s="0" t="n">
        <f aca="false">VLOOKUP(B5815,'Babblefish-APUMA'!$A$1:$B$86,2)</f>
        <v>89</v>
      </c>
      <c r="F5815" s="0" t="n">
        <f aca="false">IF(C5815&gt;1,IF(C5815&lt;99,VLOOKUP(C5815,'Babblefish-APUMA'!$A$1:$B$86,2),C5815),C5815)</f>
        <v>8</v>
      </c>
    </row>
    <row r="5816" customFormat="false" ht="12.75" hidden="false" customHeight="false" outlineLevel="0" collapsed="false">
      <c r="A5816" s="0" t="n">
        <f aca="false">B5816*1000+C5816</f>
        <v>79009</v>
      </c>
      <c r="B5816" s="0" t="n">
        <v>79</v>
      </c>
      <c r="C5816" s="0" t="n">
        <v>9</v>
      </c>
      <c r="D5816" s="0" t="n">
        <v>0</v>
      </c>
      <c r="E5816" s="0" t="n">
        <f aca="false">VLOOKUP(B5816,'Babblefish-APUMA'!$A$1:$B$86,2)</f>
        <v>89</v>
      </c>
      <c r="F5816" s="0" t="n">
        <f aca="false">IF(C5816&gt;1,IF(C5816&lt;99,VLOOKUP(C5816,'Babblefish-APUMA'!$A$1:$B$86,2),C5816),C5816)</f>
        <v>9</v>
      </c>
    </row>
    <row r="5817" customFormat="false" ht="12.75" hidden="false" customHeight="false" outlineLevel="0" collapsed="false">
      <c r="A5817" s="0" t="n">
        <f aca="false">B5817*1000+C5817</f>
        <v>79010</v>
      </c>
      <c r="B5817" s="0" t="n">
        <v>79</v>
      </c>
      <c r="C5817" s="0" t="n">
        <v>10</v>
      </c>
      <c r="D5817" s="0" t="n">
        <v>0</v>
      </c>
      <c r="E5817" s="0" t="n">
        <f aca="false">VLOOKUP(B5817,'Babblefish-APUMA'!$A$1:$B$86,2)</f>
        <v>89</v>
      </c>
      <c r="F5817" s="0" t="n">
        <f aca="false">IF(C5817&gt;1,IF(C5817&lt;99,VLOOKUP(C5817,'Babblefish-APUMA'!$A$1:$B$86,2),C5817),C5817)</f>
        <v>10</v>
      </c>
    </row>
    <row r="5818" customFormat="false" ht="12.75" hidden="false" customHeight="false" outlineLevel="0" collapsed="false">
      <c r="A5818" s="0" t="n">
        <f aca="false">B5818*1000+C5818</f>
        <v>79011</v>
      </c>
      <c r="B5818" s="0" t="n">
        <v>79</v>
      </c>
      <c r="C5818" s="0" t="n">
        <v>11</v>
      </c>
      <c r="D5818" s="0" t="n">
        <v>0</v>
      </c>
      <c r="E5818" s="0" t="n">
        <f aca="false">VLOOKUP(B5818,'Babblefish-APUMA'!$A$1:$B$86,2)</f>
        <v>89</v>
      </c>
      <c r="F5818" s="0" t="n">
        <f aca="false">IF(C5818&gt;1,IF(C5818&lt;99,VLOOKUP(C5818,'Babblefish-APUMA'!$A$1:$B$86,2),C5818),C5818)</f>
        <v>11</v>
      </c>
    </row>
    <row r="5819" customFormat="false" ht="12.75" hidden="false" customHeight="false" outlineLevel="0" collapsed="false">
      <c r="A5819" s="0" t="n">
        <f aca="false">B5819*1000+C5819</f>
        <v>79012</v>
      </c>
      <c r="B5819" s="0" t="n">
        <v>79</v>
      </c>
      <c r="C5819" s="0" t="n">
        <v>12</v>
      </c>
      <c r="D5819" s="0" t="n">
        <v>0</v>
      </c>
      <c r="E5819" s="0" t="n">
        <f aca="false">VLOOKUP(B5819,'Babblefish-APUMA'!$A$1:$B$86,2)</f>
        <v>89</v>
      </c>
      <c r="F5819" s="0" t="n">
        <f aca="false">IF(C5819&gt;1,IF(C5819&lt;99,VLOOKUP(C5819,'Babblefish-APUMA'!$A$1:$B$86,2),C5819),C5819)</f>
        <v>12</v>
      </c>
    </row>
    <row r="5820" customFormat="false" ht="12.75" hidden="false" customHeight="false" outlineLevel="0" collapsed="false">
      <c r="A5820" s="0" t="n">
        <f aca="false">B5820*1000+C5820</f>
        <v>79013</v>
      </c>
      <c r="B5820" s="0" t="n">
        <v>79</v>
      </c>
      <c r="C5820" s="0" t="n">
        <v>13</v>
      </c>
      <c r="D5820" s="0" t="n">
        <v>0</v>
      </c>
      <c r="E5820" s="0" t="n">
        <f aca="false">VLOOKUP(B5820,'Babblefish-APUMA'!$A$1:$B$86,2)</f>
        <v>89</v>
      </c>
      <c r="F5820" s="0" t="n">
        <f aca="false">IF(C5820&gt;1,IF(C5820&lt;99,VLOOKUP(C5820,'Babblefish-APUMA'!$A$1:$B$86,2),C5820),C5820)</f>
        <v>100</v>
      </c>
    </row>
    <row r="5821" customFormat="false" ht="12.75" hidden="false" customHeight="false" outlineLevel="0" collapsed="false">
      <c r="A5821" s="0" t="n">
        <f aca="false">B5821*1000+C5821</f>
        <v>79014</v>
      </c>
      <c r="B5821" s="0" t="n">
        <v>79</v>
      </c>
      <c r="C5821" s="0" t="n">
        <v>14</v>
      </c>
      <c r="D5821" s="0" t="n">
        <v>0</v>
      </c>
      <c r="E5821" s="0" t="n">
        <f aca="false">VLOOKUP(B5821,'Babblefish-APUMA'!$A$1:$B$86,2)</f>
        <v>89</v>
      </c>
      <c r="F5821" s="0" t="n">
        <f aca="false">IF(C5821&gt;1,IF(C5821&lt;99,VLOOKUP(C5821,'Babblefish-APUMA'!$A$1:$B$86,2),C5821),C5821)</f>
        <v>100</v>
      </c>
    </row>
    <row r="5822" customFormat="false" ht="12.75" hidden="false" customHeight="false" outlineLevel="0" collapsed="false">
      <c r="A5822" s="0" t="n">
        <f aca="false">B5822*1000+C5822</f>
        <v>79015</v>
      </c>
      <c r="B5822" s="0" t="n">
        <v>79</v>
      </c>
      <c r="C5822" s="0" t="n">
        <v>15</v>
      </c>
      <c r="D5822" s="0" t="n">
        <v>0</v>
      </c>
      <c r="E5822" s="0" t="n">
        <f aca="false">VLOOKUP(B5822,'Babblefish-APUMA'!$A$1:$B$86,2)</f>
        <v>89</v>
      </c>
      <c r="F5822" s="0" t="n">
        <f aca="false">IF(C5822&gt;1,IF(C5822&lt;99,VLOOKUP(C5822,'Babblefish-APUMA'!$A$1:$B$86,2),C5822),C5822)</f>
        <v>15</v>
      </c>
    </row>
    <row r="5823" customFormat="false" ht="12.75" hidden="false" customHeight="false" outlineLevel="0" collapsed="false">
      <c r="A5823" s="0" t="n">
        <f aca="false">B5823*1000+C5823</f>
        <v>79016</v>
      </c>
      <c r="B5823" s="0" t="n">
        <v>79</v>
      </c>
      <c r="C5823" s="0" t="n">
        <v>16</v>
      </c>
      <c r="D5823" s="0" t="n">
        <v>0</v>
      </c>
      <c r="E5823" s="0" t="n">
        <f aca="false">VLOOKUP(B5823,'Babblefish-APUMA'!$A$1:$B$86,2)</f>
        <v>89</v>
      </c>
      <c r="F5823" s="0" t="n">
        <f aca="false">IF(C5823&gt;1,IF(C5823&lt;99,VLOOKUP(C5823,'Babblefish-APUMA'!$A$1:$B$86,2),C5823),C5823)</f>
        <v>99</v>
      </c>
    </row>
    <row r="5824" customFormat="false" ht="12.75" hidden="false" customHeight="false" outlineLevel="0" collapsed="false">
      <c r="A5824" s="0" t="n">
        <f aca="false">B5824*1000+C5824</f>
        <v>79017</v>
      </c>
      <c r="B5824" s="0" t="n">
        <v>79</v>
      </c>
      <c r="C5824" s="0" t="n">
        <v>17</v>
      </c>
      <c r="D5824" s="0" t="n">
        <v>0</v>
      </c>
      <c r="E5824" s="0" t="n">
        <f aca="false">VLOOKUP(B5824,'Babblefish-APUMA'!$A$1:$B$86,2)</f>
        <v>89</v>
      </c>
      <c r="F5824" s="0" t="n">
        <f aca="false">IF(C5824&gt;1,IF(C5824&lt;99,VLOOKUP(C5824,'Babblefish-APUMA'!$A$1:$B$86,2),C5824),C5824)</f>
        <v>87</v>
      </c>
    </row>
    <row r="5825" customFormat="false" ht="12.75" hidden="false" customHeight="false" outlineLevel="0" collapsed="false">
      <c r="A5825" s="0" t="n">
        <f aca="false">B5825*1000+C5825</f>
        <v>79018</v>
      </c>
      <c r="B5825" s="0" t="n">
        <v>79</v>
      </c>
      <c r="C5825" s="0" t="n">
        <v>18</v>
      </c>
      <c r="D5825" s="0" t="n">
        <v>0</v>
      </c>
      <c r="E5825" s="0" t="n">
        <f aca="false">VLOOKUP(B5825,'Babblefish-APUMA'!$A$1:$B$86,2)</f>
        <v>89</v>
      </c>
      <c r="F5825" s="0" t="n">
        <f aca="false">IF(C5825&gt;1,IF(C5825&lt;99,VLOOKUP(C5825,'Babblefish-APUMA'!$A$1:$B$86,2),C5825),C5825)</f>
        <v>87</v>
      </c>
    </row>
    <row r="5826" customFormat="false" ht="12.75" hidden="false" customHeight="false" outlineLevel="0" collapsed="false">
      <c r="A5826" s="0" t="n">
        <f aca="false">B5826*1000+C5826</f>
        <v>79019</v>
      </c>
      <c r="B5826" s="0" t="n">
        <v>79</v>
      </c>
      <c r="C5826" s="0" t="n">
        <v>19</v>
      </c>
      <c r="D5826" s="0" t="n">
        <v>78</v>
      </c>
      <c r="E5826" s="0" t="n">
        <f aca="false">VLOOKUP(B5826,'Babblefish-APUMA'!$A$1:$B$86,2)</f>
        <v>89</v>
      </c>
      <c r="F5826" s="0" t="n">
        <f aca="false">IF(C5826&gt;1,IF(C5826&lt;99,VLOOKUP(C5826,'Babblefish-APUMA'!$A$1:$B$86,2),C5826),C5826)</f>
        <v>19</v>
      </c>
    </row>
    <row r="5827" customFormat="false" ht="12.75" hidden="false" customHeight="false" outlineLevel="0" collapsed="false">
      <c r="A5827" s="0" t="n">
        <f aca="false">B5827*1000+C5827</f>
        <v>79020</v>
      </c>
      <c r="B5827" s="0" t="n">
        <v>79</v>
      </c>
      <c r="C5827" s="0" t="n">
        <v>20</v>
      </c>
      <c r="D5827" s="0" t="n">
        <v>0</v>
      </c>
      <c r="E5827" s="0" t="n">
        <f aca="false">VLOOKUP(B5827,'Babblefish-APUMA'!$A$1:$B$86,2)</f>
        <v>89</v>
      </c>
      <c r="F5827" s="0" t="n">
        <f aca="false">IF(C5827&gt;1,IF(C5827&lt;99,VLOOKUP(C5827,'Babblefish-APUMA'!$A$1:$B$86,2),C5827),C5827)</f>
        <v>86</v>
      </c>
    </row>
    <row r="5828" customFormat="false" ht="12.75" hidden="false" customHeight="false" outlineLevel="0" collapsed="false">
      <c r="A5828" s="0" t="n">
        <f aca="false">B5828*1000+C5828</f>
        <v>79021</v>
      </c>
      <c r="B5828" s="0" t="n">
        <v>79</v>
      </c>
      <c r="C5828" s="0" t="n">
        <v>21</v>
      </c>
      <c r="D5828" s="0" t="n">
        <v>0</v>
      </c>
      <c r="E5828" s="0" t="n">
        <f aca="false">VLOOKUP(B5828,'Babblefish-APUMA'!$A$1:$B$86,2)</f>
        <v>89</v>
      </c>
      <c r="F5828" s="0" t="n">
        <f aca="false">IF(C5828&gt;1,IF(C5828&lt;99,VLOOKUP(C5828,'Babblefish-APUMA'!$A$1:$B$86,2),C5828),C5828)</f>
        <v>86</v>
      </c>
    </row>
    <row r="5829" customFormat="false" ht="12.75" hidden="false" customHeight="false" outlineLevel="0" collapsed="false">
      <c r="A5829" s="0" t="n">
        <f aca="false">B5829*1000+C5829</f>
        <v>79022</v>
      </c>
      <c r="B5829" s="0" t="n">
        <v>79</v>
      </c>
      <c r="C5829" s="0" t="n">
        <v>22</v>
      </c>
      <c r="D5829" s="0" t="n">
        <v>0</v>
      </c>
      <c r="E5829" s="0" t="n">
        <f aca="false">VLOOKUP(B5829,'Babblefish-APUMA'!$A$1:$B$86,2)</f>
        <v>89</v>
      </c>
      <c r="F5829" s="0" t="n">
        <f aca="false">IF(C5829&gt;1,IF(C5829&lt;99,VLOOKUP(C5829,'Babblefish-APUMA'!$A$1:$B$86,2),C5829),C5829)</f>
        <v>22</v>
      </c>
    </row>
    <row r="5830" customFormat="false" ht="12.75" hidden="false" customHeight="false" outlineLevel="0" collapsed="false">
      <c r="A5830" s="0" t="n">
        <f aca="false">B5830*1000+C5830</f>
        <v>79023</v>
      </c>
      <c r="B5830" s="0" t="n">
        <v>79</v>
      </c>
      <c r="C5830" s="0" t="n">
        <v>23</v>
      </c>
      <c r="D5830" s="0" t="n">
        <v>0</v>
      </c>
      <c r="E5830" s="0" t="n">
        <f aca="false">VLOOKUP(B5830,'Babblefish-APUMA'!$A$1:$B$86,2)</f>
        <v>89</v>
      </c>
      <c r="F5830" s="0" t="n">
        <f aca="false">IF(C5830&gt;1,IF(C5830&lt;99,VLOOKUP(C5830,'Babblefish-APUMA'!$A$1:$B$86,2),C5830),C5830)</f>
        <v>97</v>
      </c>
    </row>
    <row r="5831" customFormat="false" ht="12.75" hidden="false" customHeight="false" outlineLevel="0" collapsed="false">
      <c r="A5831" s="0" t="n">
        <f aca="false">B5831*1000+C5831</f>
        <v>79024</v>
      </c>
      <c r="B5831" s="0" t="n">
        <v>79</v>
      </c>
      <c r="C5831" s="0" t="n">
        <v>24</v>
      </c>
      <c r="D5831" s="0" t="n">
        <v>0</v>
      </c>
      <c r="E5831" s="0" t="n">
        <f aca="false">VLOOKUP(B5831,'Babblefish-APUMA'!$A$1:$B$86,2)</f>
        <v>89</v>
      </c>
      <c r="F5831" s="0" t="n">
        <f aca="false">IF(C5831&gt;1,IF(C5831&lt;99,VLOOKUP(C5831,'Babblefish-APUMA'!$A$1:$B$86,2),C5831),C5831)</f>
        <v>101</v>
      </c>
    </row>
    <row r="5832" customFormat="false" ht="12.75" hidden="false" customHeight="false" outlineLevel="0" collapsed="false">
      <c r="A5832" s="0" t="n">
        <f aca="false">B5832*1000+C5832</f>
        <v>79025</v>
      </c>
      <c r="B5832" s="0" t="n">
        <v>79</v>
      </c>
      <c r="C5832" s="0" t="n">
        <v>25</v>
      </c>
      <c r="D5832" s="0" t="n">
        <v>0</v>
      </c>
      <c r="E5832" s="0" t="n">
        <f aca="false">VLOOKUP(B5832,'Babblefish-APUMA'!$A$1:$B$86,2)</f>
        <v>89</v>
      </c>
      <c r="F5832" s="0" t="n">
        <f aca="false">IF(C5832&gt;1,IF(C5832&lt;99,VLOOKUP(C5832,'Babblefish-APUMA'!$A$1:$B$86,2),C5832),C5832)</f>
        <v>101</v>
      </c>
    </row>
    <row r="5833" customFormat="false" ht="12.75" hidden="false" customHeight="false" outlineLevel="0" collapsed="false">
      <c r="A5833" s="0" t="n">
        <f aca="false">B5833*1000+C5833</f>
        <v>79026</v>
      </c>
      <c r="B5833" s="0" t="n">
        <v>79</v>
      </c>
      <c r="C5833" s="0" t="n">
        <v>26</v>
      </c>
      <c r="D5833" s="0" t="n">
        <v>299</v>
      </c>
      <c r="E5833" s="0" t="n">
        <f aca="false">VLOOKUP(B5833,'Babblefish-APUMA'!$A$1:$B$86,2)</f>
        <v>89</v>
      </c>
      <c r="F5833" s="0" t="n">
        <f aca="false">IF(C5833&gt;1,IF(C5833&lt;99,VLOOKUP(C5833,'Babblefish-APUMA'!$A$1:$B$86,2),C5833),C5833)</f>
        <v>26</v>
      </c>
    </row>
    <row r="5834" customFormat="false" ht="12.75" hidden="false" customHeight="false" outlineLevel="0" collapsed="false">
      <c r="A5834" s="0" t="n">
        <f aca="false">B5834*1000+C5834</f>
        <v>79027</v>
      </c>
      <c r="B5834" s="0" t="n">
        <v>79</v>
      </c>
      <c r="C5834" s="0" t="n">
        <v>27</v>
      </c>
      <c r="D5834" s="0" t="n">
        <v>208</v>
      </c>
      <c r="E5834" s="0" t="n">
        <f aca="false">VLOOKUP(B5834,'Babblefish-APUMA'!$A$1:$B$86,2)</f>
        <v>89</v>
      </c>
      <c r="F5834" s="0" t="n">
        <f aca="false">IF(C5834&gt;1,IF(C5834&lt;99,VLOOKUP(C5834,'Babblefish-APUMA'!$A$1:$B$86,2),C5834),C5834)</f>
        <v>27</v>
      </c>
    </row>
    <row r="5835" customFormat="false" ht="12.75" hidden="false" customHeight="false" outlineLevel="0" collapsed="false">
      <c r="A5835" s="0" t="n">
        <f aca="false">B5835*1000+C5835</f>
        <v>79028</v>
      </c>
      <c r="B5835" s="0" t="n">
        <v>79</v>
      </c>
      <c r="C5835" s="0" t="n">
        <v>28</v>
      </c>
      <c r="D5835" s="0" t="n">
        <v>0</v>
      </c>
      <c r="E5835" s="0" t="n">
        <f aca="false">VLOOKUP(B5835,'Babblefish-APUMA'!$A$1:$B$86,2)</f>
        <v>89</v>
      </c>
      <c r="F5835" s="0" t="n">
        <f aca="false">IF(C5835&gt;1,IF(C5835&lt;99,VLOOKUP(C5835,'Babblefish-APUMA'!$A$1:$B$86,2),C5835),C5835)</f>
        <v>94</v>
      </c>
    </row>
    <row r="5836" customFormat="false" ht="12.75" hidden="false" customHeight="false" outlineLevel="0" collapsed="false">
      <c r="A5836" s="0" t="n">
        <f aca="false">B5836*1000+C5836</f>
        <v>79029</v>
      </c>
      <c r="B5836" s="0" t="n">
        <v>79</v>
      </c>
      <c r="C5836" s="0" t="n">
        <v>29</v>
      </c>
      <c r="D5836" s="0" t="n">
        <v>0</v>
      </c>
      <c r="E5836" s="0" t="n">
        <f aca="false">VLOOKUP(B5836,'Babblefish-APUMA'!$A$1:$B$86,2)</f>
        <v>89</v>
      </c>
      <c r="F5836" s="0" t="n">
        <f aca="false">IF(C5836&gt;1,IF(C5836&lt;99,VLOOKUP(C5836,'Babblefish-APUMA'!$A$1:$B$86,2),C5836),C5836)</f>
        <v>94</v>
      </c>
    </row>
    <row r="5837" customFormat="false" ht="12.75" hidden="false" customHeight="false" outlineLevel="0" collapsed="false">
      <c r="A5837" s="0" t="n">
        <f aca="false">B5837*1000+C5837</f>
        <v>79030</v>
      </c>
      <c r="B5837" s="0" t="n">
        <v>79</v>
      </c>
      <c r="C5837" s="0" t="n">
        <v>30</v>
      </c>
      <c r="D5837" s="0" t="n">
        <v>0</v>
      </c>
      <c r="E5837" s="0" t="n">
        <f aca="false">VLOOKUP(B5837,'Babblefish-APUMA'!$A$1:$B$86,2)</f>
        <v>89</v>
      </c>
      <c r="F5837" s="0" t="n">
        <f aca="false">IF(C5837&gt;1,IF(C5837&lt;99,VLOOKUP(C5837,'Babblefish-APUMA'!$A$1:$B$86,2),C5837),C5837)</f>
        <v>30</v>
      </c>
    </row>
    <row r="5838" customFormat="false" ht="12.75" hidden="false" customHeight="false" outlineLevel="0" collapsed="false">
      <c r="A5838" s="0" t="n">
        <f aca="false">B5838*1000+C5838</f>
        <v>79031</v>
      </c>
      <c r="B5838" s="0" t="n">
        <v>79</v>
      </c>
      <c r="C5838" s="0" t="n">
        <v>31</v>
      </c>
      <c r="D5838" s="0" t="n">
        <v>78</v>
      </c>
      <c r="E5838" s="0" t="n">
        <f aca="false">VLOOKUP(B5838,'Babblefish-APUMA'!$A$1:$B$86,2)</f>
        <v>89</v>
      </c>
      <c r="F5838" s="0" t="n">
        <f aca="false">IF(C5838&gt;1,IF(C5838&lt;99,VLOOKUP(C5838,'Babblefish-APUMA'!$A$1:$B$86,2),C5838),C5838)</f>
        <v>31</v>
      </c>
    </row>
    <row r="5839" customFormat="false" ht="12.75" hidden="false" customHeight="false" outlineLevel="0" collapsed="false">
      <c r="A5839" s="0" t="n">
        <f aca="false">B5839*1000+C5839</f>
        <v>79032</v>
      </c>
      <c r="B5839" s="0" t="n">
        <v>79</v>
      </c>
      <c r="C5839" s="0" t="n">
        <v>32</v>
      </c>
      <c r="D5839" s="0" t="n">
        <v>208</v>
      </c>
      <c r="E5839" s="0" t="n">
        <f aca="false">VLOOKUP(B5839,'Babblefish-APUMA'!$A$1:$B$86,2)</f>
        <v>89</v>
      </c>
      <c r="F5839" s="0" t="n">
        <f aca="false">IF(C5839&gt;1,IF(C5839&lt;99,VLOOKUP(C5839,'Babblefish-APUMA'!$A$1:$B$86,2),C5839),C5839)</f>
        <v>32</v>
      </c>
    </row>
    <row r="5840" customFormat="false" ht="12.75" hidden="false" customHeight="false" outlineLevel="0" collapsed="false">
      <c r="A5840" s="0" t="n">
        <f aca="false">B5840*1000+C5840</f>
        <v>79033</v>
      </c>
      <c r="B5840" s="0" t="n">
        <v>79</v>
      </c>
      <c r="C5840" s="0" t="n">
        <v>33</v>
      </c>
      <c r="D5840" s="0" t="n">
        <v>0</v>
      </c>
      <c r="E5840" s="0" t="n">
        <f aca="false">VLOOKUP(B5840,'Babblefish-APUMA'!$A$1:$B$86,2)</f>
        <v>89</v>
      </c>
      <c r="F5840" s="0" t="n">
        <f aca="false">IF(C5840&gt;1,IF(C5840&lt;99,VLOOKUP(C5840,'Babblefish-APUMA'!$A$1:$B$86,2),C5840),C5840)</f>
        <v>96</v>
      </c>
    </row>
    <row r="5841" customFormat="false" ht="12.75" hidden="false" customHeight="false" outlineLevel="0" collapsed="false">
      <c r="A5841" s="0" t="n">
        <f aca="false">B5841*1000+C5841</f>
        <v>79034</v>
      </c>
      <c r="B5841" s="0" t="n">
        <v>79</v>
      </c>
      <c r="C5841" s="0" t="n">
        <v>34</v>
      </c>
      <c r="D5841" s="0" t="n">
        <v>0</v>
      </c>
      <c r="E5841" s="0" t="n">
        <f aca="false">VLOOKUP(B5841,'Babblefish-APUMA'!$A$1:$B$86,2)</f>
        <v>89</v>
      </c>
      <c r="F5841" s="0" t="n">
        <f aca="false">IF(C5841&gt;1,IF(C5841&lt;99,VLOOKUP(C5841,'Babblefish-APUMA'!$A$1:$B$86,2),C5841),C5841)</f>
        <v>96</v>
      </c>
    </row>
    <row r="5842" customFormat="false" ht="12.75" hidden="false" customHeight="false" outlineLevel="0" collapsed="false">
      <c r="A5842" s="0" t="n">
        <f aca="false">B5842*1000+C5842</f>
        <v>79035</v>
      </c>
      <c r="B5842" s="0" t="n">
        <v>79</v>
      </c>
      <c r="C5842" s="0" t="n">
        <v>35</v>
      </c>
      <c r="D5842" s="0" t="n">
        <v>0</v>
      </c>
      <c r="E5842" s="0" t="n">
        <f aca="false">VLOOKUP(B5842,'Babblefish-APUMA'!$A$1:$B$86,2)</f>
        <v>89</v>
      </c>
      <c r="F5842" s="0" t="n">
        <f aca="false">IF(C5842&gt;1,IF(C5842&lt;99,VLOOKUP(C5842,'Babblefish-APUMA'!$A$1:$B$86,2),C5842),C5842)</f>
        <v>96</v>
      </c>
    </row>
    <row r="5843" customFormat="false" ht="12.75" hidden="false" customHeight="false" outlineLevel="0" collapsed="false">
      <c r="A5843" s="0" t="n">
        <f aca="false">B5843*1000+C5843</f>
        <v>79036</v>
      </c>
      <c r="B5843" s="0" t="n">
        <v>79</v>
      </c>
      <c r="C5843" s="0" t="n">
        <v>36</v>
      </c>
      <c r="D5843" s="0" t="n">
        <v>0</v>
      </c>
      <c r="E5843" s="0" t="n">
        <f aca="false">VLOOKUP(B5843,'Babblefish-APUMA'!$A$1:$B$86,2)</f>
        <v>89</v>
      </c>
      <c r="F5843" s="0" t="n">
        <f aca="false">IF(C5843&gt;1,IF(C5843&lt;99,VLOOKUP(C5843,'Babblefish-APUMA'!$A$1:$B$86,2),C5843),C5843)</f>
        <v>96</v>
      </c>
    </row>
    <row r="5844" customFormat="false" ht="12.75" hidden="false" customHeight="false" outlineLevel="0" collapsed="false">
      <c r="A5844" s="0" t="n">
        <f aca="false">B5844*1000+C5844</f>
        <v>79037</v>
      </c>
      <c r="B5844" s="0" t="n">
        <v>79</v>
      </c>
      <c r="C5844" s="0" t="n">
        <v>37</v>
      </c>
      <c r="D5844" s="0" t="n">
        <v>0</v>
      </c>
      <c r="E5844" s="0" t="n">
        <f aca="false">VLOOKUP(B5844,'Babblefish-APUMA'!$A$1:$B$86,2)</f>
        <v>89</v>
      </c>
      <c r="F5844" s="0" t="n">
        <f aca="false">IF(C5844&gt;1,IF(C5844&lt;99,VLOOKUP(C5844,'Babblefish-APUMA'!$A$1:$B$86,2),C5844),C5844)</f>
        <v>96</v>
      </c>
    </row>
    <row r="5845" customFormat="false" ht="12.75" hidden="false" customHeight="false" outlineLevel="0" collapsed="false">
      <c r="A5845" s="0" t="n">
        <f aca="false">B5845*1000+C5845</f>
        <v>79038</v>
      </c>
      <c r="B5845" s="0" t="n">
        <v>79</v>
      </c>
      <c r="C5845" s="0" t="n">
        <v>38</v>
      </c>
      <c r="D5845" s="0" t="n">
        <v>117</v>
      </c>
      <c r="E5845" s="0" t="n">
        <f aca="false">VLOOKUP(B5845,'Babblefish-APUMA'!$A$1:$B$86,2)</f>
        <v>89</v>
      </c>
      <c r="F5845" s="0" t="n">
        <f aca="false">IF(C5845&gt;1,IF(C5845&lt;99,VLOOKUP(C5845,'Babblefish-APUMA'!$A$1:$B$86,2),C5845),C5845)</f>
        <v>91</v>
      </c>
    </row>
    <row r="5846" customFormat="false" ht="12.75" hidden="false" customHeight="false" outlineLevel="0" collapsed="false">
      <c r="A5846" s="0" t="n">
        <f aca="false">B5846*1000+C5846</f>
        <v>79039</v>
      </c>
      <c r="B5846" s="0" t="n">
        <v>79</v>
      </c>
      <c r="C5846" s="0" t="n">
        <v>39</v>
      </c>
      <c r="D5846" s="0" t="n">
        <v>91</v>
      </c>
      <c r="E5846" s="0" t="n">
        <f aca="false">VLOOKUP(B5846,'Babblefish-APUMA'!$A$1:$B$86,2)</f>
        <v>89</v>
      </c>
      <c r="F5846" s="0" t="n">
        <f aca="false">IF(C5846&gt;1,IF(C5846&lt;99,VLOOKUP(C5846,'Babblefish-APUMA'!$A$1:$B$86,2),C5846),C5846)</f>
        <v>91</v>
      </c>
    </row>
    <row r="5847" customFormat="false" ht="12.75" hidden="false" customHeight="false" outlineLevel="0" collapsed="false">
      <c r="A5847" s="0" t="n">
        <f aca="false">B5847*1000+C5847</f>
        <v>79040</v>
      </c>
      <c r="B5847" s="0" t="n">
        <v>79</v>
      </c>
      <c r="C5847" s="0" t="n">
        <v>40</v>
      </c>
      <c r="D5847" s="0" t="n">
        <v>0</v>
      </c>
      <c r="E5847" s="0" t="n">
        <f aca="false">VLOOKUP(B5847,'Babblefish-APUMA'!$A$1:$B$86,2)</f>
        <v>89</v>
      </c>
      <c r="F5847" s="0" t="n">
        <f aca="false">IF(C5847&gt;1,IF(C5847&lt;99,VLOOKUP(C5847,'Babblefish-APUMA'!$A$1:$B$86,2),C5847),C5847)</f>
        <v>88</v>
      </c>
    </row>
    <row r="5848" customFormat="false" ht="12.75" hidden="false" customHeight="false" outlineLevel="0" collapsed="false">
      <c r="A5848" s="0" t="n">
        <f aca="false">B5848*1000+C5848</f>
        <v>79041</v>
      </c>
      <c r="B5848" s="0" t="n">
        <v>79</v>
      </c>
      <c r="C5848" s="0" t="n">
        <v>41</v>
      </c>
      <c r="D5848" s="0" t="n">
        <v>65</v>
      </c>
      <c r="E5848" s="0" t="n">
        <f aca="false">VLOOKUP(B5848,'Babblefish-APUMA'!$A$1:$B$86,2)</f>
        <v>89</v>
      </c>
      <c r="F5848" s="0" t="n">
        <f aca="false">IF(C5848&gt;1,IF(C5848&lt;99,VLOOKUP(C5848,'Babblefish-APUMA'!$A$1:$B$86,2),C5848),C5848)</f>
        <v>88</v>
      </c>
    </row>
    <row r="5849" customFormat="false" ht="12.75" hidden="false" customHeight="false" outlineLevel="0" collapsed="false">
      <c r="A5849" s="0" t="n">
        <f aca="false">B5849*1000+C5849</f>
        <v>79042</v>
      </c>
      <c r="B5849" s="0" t="n">
        <v>79</v>
      </c>
      <c r="C5849" s="0" t="n">
        <v>42</v>
      </c>
      <c r="D5849" s="0" t="n">
        <v>0</v>
      </c>
      <c r="E5849" s="0" t="n">
        <f aca="false">VLOOKUP(B5849,'Babblefish-APUMA'!$A$1:$B$86,2)</f>
        <v>89</v>
      </c>
      <c r="F5849" s="0" t="n">
        <f aca="false">IF(C5849&gt;1,IF(C5849&lt;99,VLOOKUP(C5849,'Babblefish-APUMA'!$A$1:$B$86,2),C5849),C5849)</f>
        <v>92</v>
      </c>
    </row>
    <row r="5850" customFormat="false" ht="12.75" hidden="false" customHeight="false" outlineLevel="0" collapsed="false">
      <c r="A5850" s="0" t="n">
        <f aca="false">B5850*1000+C5850</f>
        <v>79043</v>
      </c>
      <c r="B5850" s="0" t="n">
        <v>79</v>
      </c>
      <c r="C5850" s="0" t="n">
        <v>43</v>
      </c>
      <c r="D5850" s="0" t="n">
        <v>0</v>
      </c>
      <c r="E5850" s="0" t="n">
        <f aca="false">VLOOKUP(B5850,'Babblefish-APUMA'!$A$1:$B$86,2)</f>
        <v>89</v>
      </c>
      <c r="F5850" s="0" t="n">
        <f aca="false">IF(C5850&gt;1,IF(C5850&lt;99,VLOOKUP(C5850,'Babblefish-APUMA'!$A$1:$B$86,2),C5850),C5850)</f>
        <v>92</v>
      </c>
    </row>
    <row r="5851" customFormat="false" ht="12.75" hidden="false" customHeight="false" outlineLevel="0" collapsed="false">
      <c r="A5851" s="0" t="n">
        <f aca="false">B5851*1000+C5851</f>
        <v>79044</v>
      </c>
      <c r="B5851" s="0" t="n">
        <v>79</v>
      </c>
      <c r="C5851" s="0" t="n">
        <v>44</v>
      </c>
      <c r="D5851" s="0" t="n">
        <v>0</v>
      </c>
      <c r="E5851" s="0" t="n">
        <f aca="false">VLOOKUP(B5851,'Babblefish-APUMA'!$A$1:$B$86,2)</f>
        <v>89</v>
      </c>
      <c r="F5851" s="0" t="n">
        <f aca="false">IF(C5851&gt;1,IF(C5851&lt;99,VLOOKUP(C5851,'Babblefish-APUMA'!$A$1:$B$86,2),C5851),C5851)</f>
        <v>92</v>
      </c>
    </row>
    <row r="5852" customFormat="false" ht="12.75" hidden="false" customHeight="false" outlineLevel="0" collapsed="false">
      <c r="A5852" s="0" t="n">
        <f aca="false">B5852*1000+C5852</f>
        <v>79045</v>
      </c>
      <c r="B5852" s="0" t="n">
        <v>79</v>
      </c>
      <c r="C5852" s="0" t="n">
        <v>45</v>
      </c>
      <c r="D5852" s="0" t="n">
        <v>0</v>
      </c>
      <c r="E5852" s="0" t="n">
        <f aca="false">VLOOKUP(B5852,'Babblefish-APUMA'!$A$1:$B$86,2)</f>
        <v>89</v>
      </c>
      <c r="F5852" s="0" t="n">
        <f aca="false">IF(C5852&gt;1,IF(C5852&lt;99,VLOOKUP(C5852,'Babblefish-APUMA'!$A$1:$B$86,2),C5852),C5852)</f>
        <v>92</v>
      </c>
    </row>
    <row r="5853" customFormat="false" ht="12.75" hidden="false" customHeight="false" outlineLevel="0" collapsed="false">
      <c r="A5853" s="0" t="n">
        <f aca="false">B5853*1000+C5853</f>
        <v>79046</v>
      </c>
      <c r="B5853" s="0" t="n">
        <v>79</v>
      </c>
      <c r="C5853" s="0" t="n">
        <v>46</v>
      </c>
      <c r="D5853" s="0" t="n">
        <v>0</v>
      </c>
      <c r="E5853" s="0" t="n">
        <f aca="false">VLOOKUP(B5853,'Babblefish-APUMA'!$A$1:$B$86,2)</f>
        <v>89</v>
      </c>
      <c r="F5853" s="0" t="n">
        <f aca="false">IF(C5853&gt;1,IF(C5853&lt;99,VLOOKUP(C5853,'Babblefish-APUMA'!$A$1:$B$86,2),C5853),C5853)</f>
        <v>92</v>
      </c>
    </row>
    <row r="5854" customFormat="false" ht="12.75" hidden="false" customHeight="false" outlineLevel="0" collapsed="false">
      <c r="A5854" s="0" t="n">
        <f aca="false">B5854*1000+C5854</f>
        <v>79047</v>
      </c>
      <c r="B5854" s="0" t="n">
        <v>79</v>
      </c>
      <c r="C5854" s="0" t="n">
        <v>47</v>
      </c>
      <c r="D5854" s="0" t="n">
        <v>0</v>
      </c>
      <c r="E5854" s="0" t="n">
        <f aca="false">VLOOKUP(B5854,'Babblefish-APUMA'!$A$1:$B$86,2)</f>
        <v>89</v>
      </c>
      <c r="F5854" s="0" t="n">
        <f aca="false">IF(C5854&gt;1,IF(C5854&lt;99,VLOOKUP(C5854,'Babblefish-APUMA'!$A$1:$B$86,2),C5854),C5854)</f>
        <v>92</v>
      </c>
    </row>
    <row r="5855" customFormat="false" ht="12.75" hidden="false" customHeight="false" outlineLevel="0" collapsed="false">
      <c r="A5855" s="0" t="n">
        <f aca="false">B5855*1000+C5855</f>
        <v>79048</v>
      </c>
      <c r="B5855" s="0" t="n">
        <v>79</v>
      </c>
      <c r="C5855" s="0" t="n">
        <v>48</v>
      </c>
      <c r="D5855" s="0" t="n">
        <v>169</v>
      </c>
      <c r="E5855" s="0" t="n">
        <f aca="false">VLOOKUP(B5855,'Babblefish-APUMA'!$A$1:$B$86,2)</f>
        <v>89</v>
      </c>
      <c r="F5855" s="0" t="n">
        <f aca="false">IF(C5855&gt;1,IF(C5855&lt;99,VLOOKUP(C5855,'Babblefish-APUMA'!$A$1:$B$86,2),C5855),C5855)</f>
        <v>92</v>
      </c>
    </row>
    <row r="5856" customFormat="false" ht="12.75" hidden="false" customHeight="false" outlineLevel="0" collapsed="false">
      <c r="A5856" s="0" t="n">
        <f aca="false">B5856*1000+C5856</f>
        <v>79049</v>
      </c>
      <c r="B5856" s="0" t="n">
        <v>79</v>
      </c>
      <c r="C5856" s="0" t="n">
        <v>49</v>
      </c>
      <c r="D5856" s="0" t="n">
        <v>0</v>
      </c>
      <c r="E5856" s="0" t="n">
        <f aca="false">VLOOKUP(B5856,'Babblefish-APUMA'!$A$1:$B$86,2)</f>
        <v>89</v>
      </c>
      <c r="F5856" s="0" t="n">
        <f aca="false">IF(C5856&gt;1,IF(C5856&lt;99,VLOOKUP(C5856,'Babblefish-APUMA'!$A$1:$B$86,2),C5856),C5856)</f>
        <v>98</v>
      </c>
    </row>
    <row r="5857" customFormat="false" ht="12.75" hidden="false" customHeight="false" outlineLevel="0" collapsed="false">
      <c r="A5857" s="0" t="n">
        <f aca="false">B5857*1000+C5857</f>
        <v>79050</v>
      </c>
      <c r="B5857" s="0" t="n">
        <v>79</v>
      </c>
      <c r="C5857" s="0" t="n">
        <v>50</v>
      </c>
      <c r="D5857" s="0" t="n">
        <v>0</v>
      </c>
      <c r="E5857" s="0" t="n">
        <f aca="false">VLOOKUP(B5857,'Babblefish-APUMA'!$A$1:$B$86,2)</f>
        <v>89</v>
      </c>
      <c r="F5857" s="0" t="n">
        <f aca="false">IF(C5857&gt;1,IF(C5857&lt;99,VLOOKUP(C5857,'Babblefish-APUMA'!$A$1:$B$86,2),C5857),C5857)</f>
        <v>98</v>
      </c>
    </row>
    <row r="5858" customFormat="false" ht="12.75" hidden="false" customHeight="false" outlineLevel="0" collapsed="false">
      <c r="A5858" s="0" t="n">
        <f aca="false">B5858*1000+C5858</f>
        <v>79051</v>
      </c>
      <c r="B5858" s="0" t="n">
        <v>79</v>
      </c>
      <c r="C5858" s="0" t="n">
        <v>51</v>
      </c>
      <c r="D5858" s="0" t="n">
        <v>0</v>
      </c>
      <c r="E5858" s="0" t="n">
        <f aca="false">VLOOKUP(B5858,'Babblefish-APUMA'!$A$1:$B$86,2)</f>
        <v>89</v>
      </c>
      <c r="F5858" s="0" t="n">
        <f aca="false">IF(C5858&gt;1,IF(C5858&lt;99,VLOOKUP(C5858,'Babblefish-APUMA'!$A$1:$B$86,2),C5858),C5858)</f>
        <v>98</v>
      </c>
    </row>
    <row r="5859" customFormat="false" ht="12.75" hidden="false" customHeight="false" outlineLevel="0" collapsed="false">
      <c r="A5859" s="0" t="n">
        <f aca="false">B5859*1000+C5859</f>
        <v>79052</v>
      </c>
      <c r="B5859" s="0" t="n">
        <v>79</v>
      </c>
      <c r="C5859" s="0" t="n">
        <v>52</v>
      </c>
      <c r="D5859" s="0" t="n">
        <v>650</v>
      </c>
      <c r="E5859" s="0" t="n">
        <f aca="false">VLOOKUP(B5859,'Babblefish-APUMA'!$A$1:$B$86,2)</f>
        <v>89</v>
      </c>
      <c r="F5859" s="0" t="n">
        <f aca="false">IF(C5859&gt;1,IF(C5859&lt;99,VLOOKUP(C5859,'Babblefish-APUMA'!$A$1:$B$86,2),C5859),C5859)</f>
        <v>90</v>
      </c>
    </row>
    <row r="5860" customFormat="false" ht="12.75" hidden="false" customHeight="false" outlineLevel="0" collapsed="false">
      <c r="A5860" s="0" t="n">
        <f aca="false">B5860*1000+C5860</f>
        <v>79053</v>
      </c>
      <c r="B5860" s="0" t="n">
        <v>79</v>
      </c>
      <c r="C5860" s="0" t="n">
        <v>53</v>
      </c>
      <c r="D5860" s="0" t="n">
        <v>0</v>
      </c>
      <c r="E5860" s="0" t="n">
        <f aca="false">VLOOKUP(B5860,'Babblefish-APUMA'!$A$1:$B$86,2)</f>
        <v>89</v>
      </c>
      <c r="F5860" s="0" t="n">
        <f aca="false">IF(C5860&gt;1,IF(C5860&lt;99,VLOOKUP(C5860,'Babblefish-APUMA'!$A$1:$B$86,2),C5860),C5860)</f>
        <v>90</v>
      </c>
    </row>
    <row r="5861" customFormat="false" ht="12.75" hidden="false" customHeight="false" outlineLevel="0" collapsed="false">
      <c r="A5861" s="0" t="n">
        <f aca="false">B5861*1000+C5861</f>
        <v>79054</v>
      </c>
      <c r="B5861" s="0" t="n">
        <v>79</v>
      </c>
      <c r="C5861" s="0" t="n">
        <v>54</v>
      </c>
      <c r="D5861" s="0" t="n">
        <v>0</v>
      </c>
      <c r="E5861" s="0" t="n">
        <f aca="false">VLOOKUP(B5861,'Babblefish-APUMA'!$A$1:$B$86,2)</f>
        <v>89</v>
      </c>
      <c r="F5861" s="0" t="n">
        <f aca="false">IF(C5861&gt;1,IF(C5861&lt;99,VLOOKUP(C5861,'Babblefish-APUMA'!$A$1:$B$86,2),C5861),C5861)</f>
        <v>90</v>
      </c>
    </row>
    <row r="5862" customFormat="false" ht="12.75" hidden="false" customHeight="false" outlineLevel="0" collapsed="false">
      <c r="A5862" s="0" t="n">
        <f aca="false">B5862*1000+C5862</f>
        <v>79055</v>
      </c>
      <c r="B5862" s="0" t="n">
        <v>79</v>
      </c>
      <c r="C5862" s="0" t="n">
        <v>55</v>
      </c>
      <c r="D5862" s="0" t="n">
        <v>0</v>
      </c>
      <c r="E5862" s="0" t="n">
        <f aca="false">VLOOKUP(B5862,'Babblefish-APUMA'!$A$1:$B$86,2)</f>
        <v>89</v>
      </c>
      <c r="F5862" s="0" t="n">
        <f aca="false">IF(C5862&gt;1,IF(C5862&lt;99,VLOOKUP(C5862,'Babblefish-APUMA'!$A$1:$B$86,2),C5862),C5862)</f>
        <v>90</v>
      </c>
    </row>
    <row r="5863" customFormat="false" ht="12.75" hidden="false" customHeight="false" outlineLevel="0" collapsed="false">
      <c r="A5863" s="0" t="n">
        <f aca="false">B5863*1000+C5863</f>
        <v>79056</v>
      </c>
      <c r="B5863" s="0" t="n">
        <v>79</v>
      </c>
      <c r="C5863" s="0" t="n">
        <v>56</v>
      </c>
      <c r="D5863" s="0" t="n">
        <v>0</v>
      </c>
      <c r="E5863" s="0" t="n">
        <f aca="false">VLOOKUP(B5863,'Babblefish-APUMA'!$A$1:$B$86,2)</f>
        <v>89</v>
      </c>
      <c r="F5863" s="0" t="n">
        <f aca="false">IF(C5863&gt;1,IF(C5863&lt;99,VLOOKUP(C5863,'Babblefish-APUMA'!$A$1:$B$86,2),C5863),C5863)</f>
        <v>90</v>
      </c>
    </row>
    <row r="5864" customFormat="false" ht="12.75" hidden="false" customHeight="false" outlineLevel="0" collapsed="false">
      <c r="A5864" s="0" t="n">
        <f aca="false">B5864*1000+C5864</f>
        <v>79057</v>
      </c>
      <c r="B5864" s="0" t="n">
        <v>79</v>
      </c>
      <c r="C5864" s="0" t="n">
        <v>57</v>
      </c>
      <c r="D5864" s="0" t="n">
        <v>0</v>
      </c>
      <c r="E5864" s="0" t="n">
        <f aca="false">VLOOKUP(B5864,'Babblefish-APUMA'!$A$1:$B$86,2)</f>
        <v>89</v>
      </c>
      <c r="F5864" s="0" t="n">
        <f aca="false">IF(C5864&gt;1,IF(C5864&lt;99,VLOOKUP(C5864,'Babblefish-APUMA'!$A$1:$B$86,2),C5864),C5864)</f>
        <v>90</v>
      </c>
    </row>
    <row r="5865" customFormat="false" ht="12.75" hidden="false" customHeight="false" outlineLevel="0" collapsed="false">
      <c r="A5865" s="0" t="n">
        <f aca="false">B5865*1000+C5865</f>
        <v>79058</v>
      </c>
      <c r="B5865" s="0" t="n">
        <v>79</v>
      </c>
      <c r="C5865" s="0" t="n">
        <v>58</v>
      </c>
      <c r="D5865" s="0" t="n">
        <v>0</v>
      </c>
      <c r="E5865" s="0" t="n">
        <f aca="false">VLOOKUP(B5865,'Babblefish-APUMA'!$A$1:$B$86,2)</f>
        <v>89</v>
      </c>
      <c r="F5865" s="0" t="n">
        <f aca="false">IF(C5865&gt;1,IF(C5865&lt;99,VLOOKUP(C5865,'Babblefish-APUMA'!$A$1:$B$86,2),C5865),C5865)</f>
        <v>90</v>
      </c>
    </row>
    <row r="5866" customFormat="false" ht="12.75" hidden="false" customHeight="false" outlineLevel="0" collapsed="false">
      <c r="A5866" s="0" t="n">
        <f aca="false">B5866*1000+C5866</f>
        <v>79059</v>
      </c>
      <c r="B5866" s="0" t="n">
        <v>79</v>
      </c>
      <c r="C5866" s="0" t="n">
        <v>59</v>
      </c>
      <c r="D5866" s="0" t="n">
        <v>0</v>
      </c>
      <c r="E5866" s="0" t="n">
        <f aca="false">VLOOKUP(B5866,'Babblefish-APUMA'!$A$1:$B$86,2)</f>
        <v>89</v>
      </c>
      <c r="F5866" s="0" t="n">
        <f aca="false">IF(C5866&gt;1,IF(C5866&lt;99,VLOOKUP(C5866,'Babblefish-APUMA'!$A$1:$B$86,2),C5866),C5866)</f>
        <v>90</v>
      </c>
    </row>
    <row r="5867" customFormat="false" ht="12.75" hidden="false" customHeight="false" outlineLevel="0" collapsed="false">
      <c r="A5867" s="0" t="n">
        <f aca="false">B5867*1000+C5867</f>
        <v>79060</v>
      </c>
      <c r="B5867" s="0" t="n">
        <v>79</v>
      </c>
      <c r="C5867" s="0" t="n">
        <v>60</v>
      </c>
      <c r="D5867" s="0" t="n">
        <v>0</v>
      </c>
      <c r="E5867" s="0" t="n">
        <f aca="false">VLOOKUP(B5867,'Babblefish-APUMA'!$A$1:$B$86,2)</f>
        <v>89</v>
      </c>
      <c r="F5867" s="0" t="n">
        <f aca="false">IF(C5867&gt;1,IF(C5867&lt;99,VLOOKUP(C5867,'Babblefish-APUMA'!$A$1:$B$86,2),C5867),C5867)</f>
        <v>90</v>
      </c>
    </row>
    <row r="5868" customFormat="false" ht="12.75" hidden="false" customHeight="false" outlineLevel="0" collapsed="false">
      <c r="A5868" s="0" t="n">
        <f aca="false">B5868*1000+C5868</f>
        <v>79061</v>
      </c>
      <c r="B5868" s="0" t="n">
        <v>79</v>
      </c>
      <c r="C5868" s="0" t="n">
        <v>61</v>
      </c>
      <c r="D5868" s="0" t="n">
        <v>0</v>
      </c>
      <c r="E5868" s="0" t="n">
        <f aca="false">VLOOKUP(B5868,'Babblefish-APUMA'!$A$1:$B$86,2)</f>
        <v>89</v>
      </c>
      <c r="F5868" s="0" t="n">
        <f aca="false">IF(C5868&gt;1,IF(C5868&lt;99,VLOOKUP(C5868,'Babblefish-APUMA'!$A$1:$B$86,2),C5868),C5868)</f>
        <v>90</v>
      </c>
    </row>
    <row r="5869" customFormat="false" ht="12.75" hidden="false" customHeight="false" outlineLevel="0" collapsed="false">
      <c r="A5869" s="0" t="n">
        <f aca="false">B5869*1000+C5869</f>
        <v>79062</v>
      </c>
      <c r="B5869" s="0" t="n">
        <v>79</v>
      </c>
      <c r="C5869" s="0" t="n">
        <v>62</v>
      </c>
      <c r="D5869" s="0" t="n">
        <v>0</v>
      </c>
      <c r="E5869" s="0" t="n">
        <f aca="false">VLOOKUP(B5869,'Babblefish-APUMA'!$A$1:$B$86,2)</f>
        <v>89</v>
      </c>
      <c r="F5869" s="0" t="n">
        <f aca="false">IF(C5869&gt;1,IF(C5869&lt;99,VLOOKUP(C5869,'Babblefish-APUMA'!$A$1:$B$86,2),C5869),C5869)</f>
        <v>90</v>
      </c>
    </row>
    <row r="5870" customFormat="false" ht="12.75" hidden="false" customHeight="false" outlineLevel="0" collapsed="false">
      <c r="A5870" s="0" t="n">
        <f aca="false">B5870*1000+C5870</f>
        <v>79063</v>
      </c>
      <c r="B5870" s="0" t="n">
        <v>79</v>
      </c>
      <c r="C5870" s="0" t="n">
        <v>63</v>
      </c>
      <c r="D5870" s="0" t="n">
        <v>0</v>
      </c>
      <c r="E5870" s="0" t="n">
        <f aca="false">VLOOKUP(B5870,'Babblefish-APUMA'!$A$1:$B$86,2)</f>
        <v>89</v>
      </c>
      <c r="F5870" s="0" t="n">
        <f aca="false">IF(C5870&gt;1,IF(C5870&lt;99,VLOOKUP(C5870,'Babblefish-APUMA'!$A$1:$B$86,2),C5870),C5870)</f>
        <v>90</v>
      </c>
    </row>
    <row r="5871" customFormat="false" ht="12.75" hidden="false" customHeight="false" outlineLevel="0" collapsed="false">
      <c r="A5871" s="0" t="n">
        <f aca="false">B5871*1000+C5871</f>
        <v>79064</v>
      </c>
      <c r="B5871" s="0" t="n">
        <v>79</v>
      </c>
      <c r="C5871" s="0" t="n">
        <v>64</v>
      </c>
      <c r="D5871" s="0" t="n">
        <v>5018</v>
      </c>
      <c r="E5871" s="0" t="n">
        <f aca="false">VLOOKUP(B5871,'Babblefish-APUMA'!$A$1:$B$86,2)</f>
        <v>89</v>
      </c>
      <c r="F5871" s="0" t="n">
        <f aca="false">IF(C5871&gt;1,IF(C5871&lt;99,VLOOKUP(C5871,'Babblefish-APUMA'!$A$1:$B$86,2),C5871),C5871)</f>
        <v>90</v>
      </c>
    </row>
    <row r="5872" customFormat="false" ht="12.75" hidden="false" customHeight="false" outlineLevel="0" collapsed="false">
      <c r="A5872" s="0" t="n">
        <f aca="false">B5872*1000+C5872</f>
        <v>79065</v>
      </c>
      <c r="B5872" s="0" t="n">
        <v>79</v>
      </c>
      <c r="C5872" s="0" t="n">
        <v>65</v>
      </c>
      <c r="D5872" s="0" t="n">
        <v>1131</v>
      </c>
      <c r="E5872" s="0" t="n">
        <f aca="false">VLOOKUP(B5872,'Babblefish-APUMA'!$A$1:$B$86,2)</f>
        <v>89</v>
      </c>
      <c r="F5872" s="0" t="n">
        <f aca="false">IF(C5872&gt;1,IF(C5872&lt;99,VLOOKUP(C5872,'Babblefish-APUMA'!$A$1:$B$86,2),C5872),C5872)</f>
        <v>90</v>
      </c>
    </row>
    <row r="5873" customFormat="false" ht="12.75" hidden="false" customHeight="false" outlineLevel="0" collapsed="false">
      <c r="A5873" s="0" t="n">
        <f aca="false">B5873*1000+C5873</f>
        <v>79066</v>
      </c>
      <c r="B5873" s="0" t="n">
        <v>79</v>
      </c>
      <c r="C5873" s="0" t="n">
        <v>66</v>
      </c>
      <c r="D5873" s="0" t="n">
        <v>0</v>
      </c>
      <c r="E5873" s="0" t="n">
        <f aca="false">VLOOKUP(B5873,'Babblefish-APUMA'!$A$1:$B$86,2)</f>
        <v>89</v>
      </c>
      <c r="F5873" s="0" t="n">
        <f aca="false">IF(C5873&gt;1,IF(C5873&lt;99,VLOOKUP(C5873,'Babblefish-APUMA'!$A$1:$B$86,2),C5873),C5873)</f>
        <v>90</v>
      </c>
    </row>
    <row r="5874" customFormat="false" ht="12.75" hidden="false" customHeight="false" outlineLevel="0" collapsed="false">
      <c r="A5874" s="0" t="n">
        <f aca="false">B5874*1000+C5874</f>
        <v>79067</v>
      </c>
      <c r="B5874" s="0" t="n">
        <v>79</v>
      </c>
      <c r="C5874" s="0" t="n">
        <v>67</v>
      </c>
      <c r="D5874" s="0" t="n">
        <v>117</v>
      </c>
      <c r="E5874" s="0" t="n">
        <f aca="false">VLOOKUP(B5874,'Babblefish-APUMA'!$A$1:$B$86,2)</f>
        <v>89</v>
      </c>
      <c r="F5874" s="0" t="n">
        <f aca="false">IF(C5874&gt;1,IF(C5874&lt;99,VLOOKUP(C5874,'Babblefish-APUMA'!$A$1:$B$86,2),C5874),C5874)</f>
        <v>103</v>
      </c>
    </row>
    <row r="5875" customFormat="false" ht="12.75" hidden="false" customHeight="false" outlineLevel="0" collapsed="false">
      <c r="A5875" s="0" t="n">
        <f aca="false">B5875*1000+C5875</f>
        <v>79068</v>
      </c>
      <c r="B5875" s="0" t="n">
        <v>79</v>
      </c>
      <c r="C5875" s="0" t="n">
        <v>68</v>
      </c>
      <c r="D5875" s="0" t="n">
        <v>0</v>
      </c>
      <c r="E5875" s="0" t="n">
        <f aca="false">VLOOKUP(B5875,'Babblefish-APUMA'!$A$1:$B$86,2)</f>
        <v>89</v>
      </c>
      <c r="F5875" s="0" t="n">
        <f aca="false">IF(C5875&gt;1,IF(C5875&lt;99,VLOOKUP(C5875,'Babblefish-APUMA'!$A$1:$B$86,2),C5875),C5875)</f>
        <v>93</v>
      </c>
    </row>
    <row r="5876" customFormat="false" ht="12.75" hidden="false" customHeight="false" outlineLevel="0" collapsed="false">
      <c r="A5876" s="0" t="n">
        <f aca="false">B5876*1000+C5876</f>
        <v>79069</v>
      </c>
      <c r="B5876" s="0" t="n">
        <v>79</v>
      </c>
      <c r="C5876" s="0" t="n">
        <v>69</v>
      </c>
      <c r="D5876" s="0" t="n">
        <v>91</v>
      </c>
      <c r="E5876" s="0" t="n">
        <f aca="false">VLOOKUP(B5876,'Babblefish-APUMA'!$A$1:$B$86,2)</f>
        <v>89</v>
      </c>
      <c r="F5876" s="0" t="n">
        <f aca="false">IF(C5876&gt;1,IF(C5876&lt;99,VLOOKUP(C5876,'Babblefish-APUMA'!$A$1:$B$86,2),C5876),C5876)</f>
        <v>93</v>
      </c>
    </row>
    <row r="5877" customFormat="false" ht="12.75" hidden="false" customHeight="false" outlineLevel="0" collapsed="false">
      <c r="A5877" s="0" t="n">
        <f aca="false">B5877*1000+C5877</f>
        <v>79070</v>
      </c>
      <c r="B5877" s="0" t="n">
        <v>79</v>
      </c>
      <c r="C5877" s="0" t="n">
        <v>70</v>
      </c>
      <c r="D5877" s="0" t="n">
        <v>0</v>
      </c>
      <c r="E5877" s="0" t="n">
        <f aca="false">VLOOKUP(B5877,'Babblefish-APUMA'!$A$1:$B$86,2)</f>
        <v>89</v>
      </c>
      <c r="F5877" s="0" t="n">
        <f aca="false">IF(C5877&gt;1,IF(C5877&lt;99,VLOOKUP(C5877,'Babblefish-APUMA'!$A$1:$B$86,2),C5877),C5877)</f>
        <v>95</v>
      </c>
    </row>
    <row r="5878" customFormat="false" ht="12.75" hidden="false" customHeight="false" outlineLevel="0" collapsed="false">
      <c r="A5878" s="0" t="n">
        <f aca="false">B5878*1000+C5878</f>
        <v>79071</v>
      </c>
      <c r="B5878" s="0" t="n">
        <v>79</v>
      </c>
      <c r="C5878" s="0" t="n">
        <v>71</v>
      </c>
      <c r="D5878" s="0" t="n">
        <v>0</v>
      </c>
      <c r="E5878" s="0" t="n">
        <f aca="false">VLOOKUP(B5878,'Babblefish-APUMA'!$A$1:$B$86,2)</f>
        <v>89</v>
      </c>
      <c r="F5878" s="0" t="n">
        <f aca="false">IF(C5878&gt;1,IF(C5878&lt;99,VLOOKUP(C5878,'Babblefish-APUMA'!$A$1:$B$86,2),C5878),C5878)</f>
        <v>95</v>
      </c>
    </row>
    <row r="5879" customFormat="false" ht="12.75" hidden="false" customHeight="false" outlineLevel="0" collapsed="false">
      <c r="A5879" s="0" t="n">
        <f aca="false">B5879*1000+C5879</f>
        <v>79072</v>
      </c>
      <c r="B5879" s="0" t="n">
        <v>79</v>
      </c>
      <c r="C5879" s="0" t="n">
        <v>72</v>
      </c>
      <c r="D5879" s="0" t="n">
        <v>1417</v>
      </c>
      <c r="E5879" s="0" t="n">
        <f aca="false">VLOOKUP(B5879,'Babblefish-APUMA'!$A$1:$B$86,2)</f>
        <v>89</v>
      </c>
      <c r="F5879" s="0" t="n">
        <f aca="false">IF(C5879&gt;1,IF(C5879&lt;99,VLOOKUP(C5879,'Babblefish-APUMA'!$A$1:$B$86,2),C5879),C5879)</f>
        <v>95</v>
      </c>
    </row>
    <row r="5880" customFormat="false" ht="12.75" hidden="false" customHeight="false" outlineLevel="0" collapsed="false">
      <c r="A5880" s="0" t="n">
        <f aca="false">B5880*1000+C5880</f>
        <v>79073</v>
      </c>
      <c r="B5880" s="0" t="n">
        <v>79</v>
      </c>
      <c r="C5880" s="0" t="n">
        <v>73</v>
      </c>
      <c r="D5880" s="0" t="n">
        <v>0</v>
      </c>
      <c r="E5880" s="0" t="n">
        <f aca="false">VLOOKUP(B5880,'Babblefish-APUMA'!$A$1:$B$86,2)</f>
        <v>89</v>
      </c>
      <c r="F5880" s="0" t="n">
        <f aca="false">IF(C5880&gt;1,IF(C5880&lt;99,VLOOKUP(C5880,'Babblefish-APUMA'!$A$1:$B$86,2),C5880),C5880)</f>
        <v>99</v>
      </c>
    </row>
    <row r="5881" customFormat="false" ht="12.75" hidden="false" customHeight="false" outlineLevel="0" collapsed="false">
      <c r="A5881" s="0" t="n">
        <f aca="false">B5881*1000+C5881</f>
        <v>79075</v>
      </c>
      <c r="B5881" s="0" t="n">
        <v>79</v>
      </c>
      <c r="C5881" s="0" t="n">
        <v>75</v>
      </c>
      <c r="D5881" s="0" t="n">
        <v>1469</v>
      </c>
      <c r="E5881" s="0" t="n">
        <f aca="false">VLOOKUP(B5881,'Babblefish-APUMA'!$A$1:$B$86,2)</f>
        <v>89</v>
      </c>
      <c r="F5881" s="0" t="n">
        <f aca="false">IF(C5881&gt;1,IF(C5881&lt;99,VLOOKUP(C5881,'Babblefish-APUMA'!$A$1:$B$86,2),C5881),C5881)</f>
        <v>75</v>
      </c>
    </row>
    <row r="5882" customFormat="false" ht="12.75" hidden="false" customHeight="false" outlineLevel="0" collapsed="false">
      <c r="A5882" s="0" t="n">
        <f aca="false">B5882*1000+C5882</f>
        <v>79076</v>
      </c>
      <c r="B5882" s="0" t="n">
        <v>79</v>
      </c>
      <c r="C5882" s="0" t="n">
        <v>76</v>
      </c>
      <c r="D5882" s="0" t="n">
        <v>0</v>
      </c>
      <c r="E5882" s="0" t="n">
        <f aca="false">VLOOKUP(B5882,'Babblefish-APUMA'!$A$1:$B$86,2)</f>
        <v>89</v>
      </c>
      <c r="F5882" s="0" t="n">
        <f aca="false">IF(C5882&gt;1,IF(C5882&lt;99,VLOOKUP(C5882,'Babblefish-APUMA'!$A$1:$B$86,2),C5882),C5882)</f>
        <v>76</v>
      </c>
    </row>
    <row r="5883" customFormat="false" ht="12.75" hidden="false" customHeight="false" outlineLevel="0" collapsed="false">
      <c r="A5883" s="0" t="n">
        <f aca="false">B5883*1000+C5883</f>
        <v>79077</v>
      </c>
      <c r="B5883" s="0" t="n">
        <v>79</v>
      </c>
      <c r="C5883" s="0" t="n">
        <v>77</v>
      </c>
      <c r="D5883" s="0" t="n">
        <v>0</v>
      </c>
      <c r="E5883" s="0" t="n">
        <f aca="false">VLOOKUP(B5883,'Babblefish-APUMA'!$A$1:$B$86,2)</f>
        <v>89</v>
      </c>
      <c r="F5883" s="0" t="n">
        <f aca="false">IF(C5883&gt;1,IF(C5883&lt;99,VLOOKUP(C5883,'Babblefish-APUMA'!$A$1:$B$86,2),C5883),C5883)</f>
        <v>77</v>
      </c>
    </row>
    <row r="5884" customFormat="false" ht="12.75" hidden="false" customHeight="false" outlineLevel="0" collapsed="false">
      <c r="A5884" s="0" t="n">
        <f aca="false">B5884*1000+C5884</f>
        <v>79078</v>
      </c>
      <c r="B5884" s="0" t="n">
        <v>79</v>
      </c>
      <c r="C5884" s="0" t="n">
        <v>78</v>
      </c>
      <c r="D5884" s="0" t="n">
        <v>36257</v>
      </c>
      <c r="E5884" s="0" t="n">
        <f aca="false">VLOOKUP(B5884,'Babblefish-APUMA'!$A$1:$B$86,2)</f>
        <v>89</v>
      </c>
      <c r="F5884" s="0" t="n">
        <f aca="false">IF(C5884&gt;1,IF(C5884&lt;99,VLOOKUP(C5884,'Babblefish-APUMA'!$A$1:$B$86,2),C5884),C5884)</f>
        <v>89</v>
      </c>
    </row>
    <row r="5885" customFormat="false" ht="12.75" hidden="false" customHeight="false" outlineLevel="0" collapsed="false">
      <c r="A5885" s="0" t="n">
        <f aca="false">B5885*1000+C5885</f>
        <v>79079</v>
      </c>
      <c r="B5885" s="0" t="n">
        <v>79</v>
      </c>
      <c r="C5885" s="0" t="n">
        <v>79</v>
      </c>
      <c r="D5885" s="0" t="n">
        <v>96213</v>
      </c>
      <c r="E5885" s="0" t="n">
        <f aca="false">VLOOKUP(B5885,'Babblefish-APUMA'!$A$1:$B$86,2)</f>
        <v>89</v>
      </c>
      <c r="F5885" s="0" t="n">
        <f aca="false">IF(C5885&gt;1,IF(C5885&lt;99,VLOOKUP(C5885,'Babblefish-APUMA'!$A$1:$B$86,2),C5885),C5885)</f>
        <v>89</v>
      </c>
    </row>
    <row r="5886" customFormat="false" ht="12.75" hidden="false" customHeight="false" outlineLevel="0" collapsed="false">
      <c r="A5886" s="0" t="n">
        <f aca="false">B5886*1000+C5886</f>
        <v>79080</v>
      </c>
      <c r="B5886" s="0" t="n">
        <v>79</v>
      </c>
      <c r="C5886" s="0" t="n">
        <v>80</v>
      </c>
      <c r="D5886" s="0" t="n">
        <v>208</v>
      </c>
      <c r="E5886" s="0" t="n">
        <f aca="false">VLOOKUP(B5886,'Babblefish-APUMA'!$A$1:$B$86,2)</f>
        <v>89</v>
      </c>
      <c r="F5886" s="0" t="n">
        <f aca="false">IF(C5886&gt;1,IF(C5886&lt;99,VLOOKUP(C5886,'Babblefish-APUMA'!$A$1:$B$86,2),C5886),C5886)</f>
        <v>80</v>
      </c>
    </row>
    <row r="5887" customFormat="false" ht="12.75" hidden="false" customHeight="false" outlineLevel="0" collapsed="false">
      <c r="A5887" s="0" t="n">
        <f aca="false">B5887*1000+C5887</f>
        <v>79081</v>
      </c>
      <c r="B5887" s="0" t="n">
        <v>79</v>
      </c>
      <c r="C5887" s="0" t="n">
        <v>81</v>
      </c>
      <c r="D5887" s="0" t="n">
        <v>0</v>
      </c>
      <c r="E5887" s="0" t="n">
        <f aca="false">VLOOKUP(B5887,'Babblefish-APUMA'!$A$1:$B$86,2)</f>
        <v>89</v>
      </c>
      <c r="F5887" s="0" t="n">
        <f aca="false">IF(C5887&gt;1,IF(C5887&lt;99,VLOOKUP(C5887,'Babblefish-APUMA'!$A$1:$B$86,2),C5887),C5887)</f>
        <v>93</v>
      </c>
    </row>
    <row r="5888" customFormat="false" ht="12.75" hidden="false" customHeight="false" outlineLevel="0" collapsed="false">
      <c r="A5888" s="0" t="n">
        <f aca="false">B5888*1000+C5888</f>
        <v>79082</v>
      </c>
      <c r="B5888" s="0" t="n">
        <v>79</v>
      </c>
      <c r="C5888" s="0" t="n">
        <v>82</v>
      </c>
      <c r="D5888" s="0" t="n">
        <v>0</v>
      </c>
      <c r="E5888" s="0" t="n">
        <f aca="false">VLOOKUP(B5888,'Babblefish-APUMA'!$A$1:$B$86,2)</f>
        <v>89</v>
      </c>
      <c r="F5888" s="0" t="n">
        <f aca="false">IF(C5888&gt;1,IF(C5888&lt;99,VLOOKUP(C5888,'Babblefish-APUMA'!$A$1:$B$86,2),C5888),C5888)</f>
        <v>95</v>
      </c>
    </row>
    <row r="5889" customFormat="false" ht="12.75" hidden="false" customHeight="false" outlineLevel="0" collapsed="false">
      <c r="A5889" s="0" t="n">
        <f aca="false">B5889*1000+C5889</f>
        <v>79083</v>
      </c>
      <c r="B5889" s="0" t="n">
        <v>79</v>
      </c>
      <c r="C5889" s="0" t="n">
        <v>83</v>
      </c>
      <c r="D5889" s="0" t="n">
        <v>0</v>
      </c>
      <c r="E5889" s="0" t="n">
        <f aca="false">VLOOKUP(B5889,'Babblefish-APUMA'!$A$1:$B$86,2)</f>
        <v>89</v>
      </c>
      <c r="F5889" s="0" t="n">
        <f aca="false">IF(C5889&gt;1,IF(C5889&lt;99,VLOOKUP(C5889,'Babblefish-APUMA'!$A$1:$B$86,2),C5889),C5889)</f>
        <v>103</v>
      </c>
    </row>
    <row r="5890" customFormat="false" ht="12.75" hidden="false" customHeight="false" outlineLevel="0" collapsed="false">
      <c r="A5890" s="0" t="n">
        <f aca="false">B5890*1000+C5890</f>
        <v>79084</v>
      </c>
      <c r="B5890" s="0" t="n">
        <v>79</v>
      </c>
      <c r="C5890" s="0" t="n">
        <v>84</v>
      </c>
      <c r="D5890" s="0" t="n">
        <v>0</v>
      </c>
      <c r="E5890" s="0" t="n">
        <f aca="false">VLOOKUP(B5890,'Babblefish-APUMA'!$A$1:$B$86,2)</f>
        <v>89</v>
      </c>
      <c r="F5890" s="0" t="n">
        <f aca="false">IF(C5890&gt;1,IF(C5890&lt;99,VLOOKUP(C5890,'Babblefish-APUMA'!$A$1:$B$86,2),C5890),C5890)</f>
        <v>92</v>
      </c>
    </row>
    <row r="5891" customFormat="false" ht="12.75" hidden="false" customHeight="false" outlineLevel="0" collapsed="false">
      <c r="A5891" s="0" t="n">
        <f aca="false">B5891*1000+C5891</f>
        <v>79085</v>
      </c>
      <c r="B5891" s="0" t="n">
        <v>79</v>
      </c>
      <c r="C5891" s="0" t="n">
        <v>85</v>
      </c>
      <c r="D5891" s="0" t="n">
        <v>0</v>
      </c>
      <c r="E5891" s="0" t="n">
        <f aca="false">VLOOKUP(B5891,'Babblefish-APUMA'!$A$1:$B$86,2)</f>
        <v>89</v>
      </c>
      <c r="F5891" s="0" t="n">
        <f aca="false">IF(C5891&gt;1,IF(C5891&lt;99,VLOOKUP(C5891,'Babblefish-APUMA'!$A$1:$B$86,2),C5891),C5891)</f>
        <v>97</v>
      </c>
    </row>
    <row r="5892" customFormat="false" ht="12.75" hidden="false" customHeight="false" outlineLevel="0" collapsed="false">
      <c r="A5892" s="0" t="n">
        <f aca="false">B5892*1000+C5892</f>
        <v>79858</v>
      </c>
      <c r="B5892" s="0" t="n">
        <v>79</v>
      </c>
      <c r="C5892" s="0" t="n">
        <v>858</v>
      </c>
      <c r="D5892" s="0" t="n">
        <v>0</v>
      </c>
      <c r="E5892" s="0" t="n">
        <f aca="false">VLOOKUP(B5892,'Babblefish-APUMA'!$A$1:$B$86,2)</f>
        <v>89</v>
      </c>
      <c r="F5892" s="0" t="n">
        <f aca="false">IF(C5892&gt;1,IF(C5892&lt;99,VLOOKUP(C5892,'Babblefish-APUMA'!$A$1:$B$86,2),C5892),C5892)</f>
        <v>858</v>
      </c>
    </row>
    <row r="5893" customFormat="false" ht="12.75" hidden="false" customHeight="false" outlineLevel="0" collapsed="false">
      <c r="A5893" s="0" t="n">
        <f aca="false">B5893*1000+C5893</f>
        <v>79983</v>
      </c>
      <c r="B5893" s="0" t="n">
        <v>79</v>
      </c>
      <c r="C5893" s="0" t="n">
        <v>983</v>
      </c>
      <c r="D5893" s="0" t="n">
        <v>0</v>
      </c>
      <c r="E5893" s="0" t="n">
        <f aca="false">VLOOKUP(B5893,'Babblefish-APUMA'!$A$1:$B$86,2)</f>
        <v>89</v>
      </c>
      <c r="F5893" s="0" t="n">
        <f aca="false">IF(C5893&gt;1,IF(C5893&lt;99,VLOOKUP(C5893,'Babblefish-APUMA'!$A$1:$B$86,2),C5893),C5893)</f>
        <v>983</v>
      </c>
    </row>
    <row r="5894" customFormat="false" ht="12.75" hidden="false" customHeight="false" outlineLevel="0" collapsed="false">
      <c r="A5894" s="0" t="n">
        <f aca="false">B5894*1000+C5894</f>
        <v>79999</v>
      </c>
      <c r="B5894" s="0" t="n">
        <v>79</v>
      </c>
      <c r="C5894" s="0" t="n">
        <v>999</v>
      </c>
      <c r="D5894" s="0" t="n">
        <v>0</v>
      </c>
      <c r="E5894" s="0" t="n">
        <f aca="false">VLOOKUP(B5894,'Babblefish-APUMA'!$A$1:$B$86,2)</f>
        <v>89</v>
      </c>
      <c r="F5894" s="0" t="n">
        <f aca="false">IF(C5894&gt;1,IF(C5894&lt;99,VLOOKUP(C5894,'Babblefish-APUMA'!$A$1:$B$86,2),C5894),C5894)</f>
        <v>999</v>
      </c>
    </row>
    <row r="5895" customFormat="false" ht="12.75" hidden="false" customHeight="false" outlineLevel="0" collapsed="false">
      <c r="A5895" s="0" t="n">
        <f aca="false">B5895*1000+C5895</f>
        <v>80000</v>
      </c>
      <c r="B5895" s="0" t="n">
        <v>80</v>
      </c>
      <c r="C5895" s="0" t="n">
        <v>0</v>
      </c>
      <c r="D5895" s="0" t="n">
        <v>118885</v>
      </c>
      <c r="E5895" s="0" t="n">
        <f aca="false">VLOOKUP(B5895,'Babblefish-APUMA'!$A$1:$B$86,2)</f>
        <v>80</v>
      </c>
      <c r="F5895" s="0" t="n">
        <f aca="false">IF(C5895&gt;1,IF(C5895&lt;99,VLOOKUP(C5895,'Babblefish-APUMA'!$A$1:$B$86,2),C5895),C5895)</f>
        <v>0</v>
      </c>
    </row>
    <row r="5896" customFormat="false" ht="12.75" hidden="false" customHeight="false" outlineLevel="0" collapsed="false">
      <c r="A5896" s="0" t="n">
        <f aca="false">B5896*1000+C5896</f>
        <v>80001</v>
      </c>
      <c r="B5896" s="0" t="n">
        <v>80</v>
      </c>
      <c r="C5896" s="0" t="n">
        <v>1</v>
      </c>
      <c r="D5896" s="0" t="n">
        <v>0</v>
      </c>
      <c r="E5896" s="0" t="n">
        <f aca="false">VLOOKUP(B5896,'Babblefish-APUMA'!$A$1:$B$86,2)</f>
        <v>80</v>
      </c>
      <c r="F5896" s="0" t="n">
        <f aca="false">IF(C5896&gt;1,IF(C5896&lt;99,VLOOKUP(C5896,'Babblefish-APUMA'!$A$1:$B$86,2),C5896),C5896)</f>
        <v>1</v>
      </c>
    </row>
    <row r="5897" customFormat="false" ht="12.75" hidden="false" customHeight="false" outlineLevel="0" collapsed="false">
      <c r="A5897" s="0" t="n">
        <f aca="false">B5897*1000+C5897</f>
        <v>80002</v>
      </c>
      <c r="B5897" s="0" t="n">
        <v>80</v>
      </c>
      <c r="C5897" s="0" t="n">
        <v>2</v>
      </c>
      <c r="D5897" s="0" t="n">
        <v>247</v>
      </c>
      <c r="E5897" s="0" t="n">
        <f aca="false">VLOOKUP(B5897,'Babblefish-APUMA'!$A$1:$B$86,2)</f>
        <v>80</v>
      </c>
      <c r="F5897" s="0" t="n">
        <f aca="false">IF(C5897&gt;1,IF(C5897&lt;99,VLOOKUP(C5897,'Babblefish-APUMA'!$A$1:$B$86,2),C5897),C5897)</f>
        <v>2</v>
      </c>
    </row>
    <row r="5898" customFormat="false" ht="12.75" hidden="false" customHeight="false" outlineLevel="0" collapsed="false">
      <c r="A5898" s="0" t="n">
        <f aca="false">B5898*1000+C5898</f>
        <v>80003</v>
      </c>
      <c r="B5898" s="0" t="n">
        <v>80</v>
      </c>
      <c r="C5898" s="0" t="n">
        <v>3</v>
      </c>
      <c r="D5898" s="0" t="n">
        <v>0</v>
      </c>
      <c r="E5898" s="0" t="n">
        <f aca="false">VLOOKUP(B5898,'Babblefish-APUMA'!$A$1:$B$86,2)</f>
        <v>80</v>
      </c>
      <c r="F5898" s="0" t="n">
        <f aca="false">IF(C5898&gt;1,IF(C5898&lt;99,VLOOKUP(C5898,'Babblefish-APUMA'!$A$1:$B$86,2),C5898),C5898)</f>
        <v>3</v>
      </c>
    </row>
    <row r="5899" customFormat="false" ht="12.75" hidden="false" customHeight="false" outlineLevel="0" collapsed="false">
      <c r="A5899" s="0" t="n">
        <f aca="false">B5899*1000+C5899</f>
        <v>80004</v>
      </c>
      <c r="B5899" s="0" t="n">
        <v>80</v>
      </c>
      <c r="C5899" s="0" t="n">
        <v>4</v>
      </c>
      <c r="D5899" s="0" t="n">
        <v>0</v>
      </c>
      <c r="E5899" s="0" t="n">
        <f aca="false">VLOOKUP(B5899,'Babblefish-APUMA'!$A$1:$B$86,2)</f>
        <v>80</v>
      </c>
      <c r="F5899" s="0" t="n">
        <f aca="false">IF(C5899&gt;1,IF(C5899&lt;99,VLOOKUP(C5899,'Babblefish-APUMA'!$A$1:$B$86,2),C5899),C5899)</f>
        <v>4</v>
      </c>
    </row>
    <row r="5900" customFormat="false" ht="12.75" hidden="false" customHeight="false" outlineLevel="0" collapsed="false">
      <c r="A5900" s="0" t="n">
        <f aca="false">B5900*1000+C5900</f>
        <v>80005</v>
      </c>
      <c r="B5900" s="0" t="n">
        <v>80</v>
      </c>
      <c r="C5900" s="0" t="n">
        <v>5</v>
      </c>
      <c r="D5900" s="0" t="n">
        <v>0</v>
      </c>
      <c r="E5900" s="0" t="n">
        <f aca="false">VLOOKUP(B5900,'Babblefish-APUMA'!$A$1:$B$86,2)</f>
        <v>80</v>
      </c>
      <c r="F5900" s="0" t="n">
        <f aca="false">IF(C5900&gt;1,IF(C5900&lt;99,VLOOKUP(C5900,'Babblefish-APUMA'!$A$1:$B$86,2),C5900),C5900)</f>
        <v>5</v>
      </c>
    </row>
    <row r="5901" customFormat="false" ht="12.75" hidden="false" customHeight="false" outlineLevel="0" collapsed="false">
      <c r="A5901" s="0" t="n">
        <f aca="false">B5901*1000+C5901</f>
        <v>80006</v>
      </c>
      <c r="B5901" s="0" t="n">
        <v>80</v>
      </c>
      <c r="C5901" s="0" t="n">
        <v>6</v>
      </c>
      <c r="D5901" s="0" t="n">
        <v>0</v>
      </c>
      <c r="E5901" s="0" t="n">
        <f aca="false">VLOOKUP(B5901,'Babblefish-APUMA'!$A$1:$B$86,2)</f>
        <v>80</v>
      </c>
      <c r="F5901" s="0" t="n">
        <f aca="false">IF(C5901&gt;1,IF(C5901&lt;99,VLOOKUP(C5901,'Babblefish-APUMA'!$A$1:$B$86,2),C5901),C5901)</f>
        <v>6</v>
      </c>
    </row>
    <row r="5902" customFormat="false" ht="12.75" hidden="false" customHeight="false" outlineLevel="0" collapsed="false">
      <c r="A5902" s="0" t="n">
        <f aca="false">B5902*1000+C5902</f>
        <v>80007</v>
      </c>
      <c r="B5902" s="0" t="n">
        <v>80</v>
      </c>
      <c r="C5902" s="0" t="n">
        <v>7</v>
      </c>
      <c r="D5902" s="0" t="n">
        <v>0</v>
      </c>
      <c r="E5902" s="0" t="n">
        <f aca="false">VLOOKUP(B5902,'Babblefish-APUMA'!$A$1:$B$86,2)</f>
        <v>80</v>
      </c>
      <c r="F5902" s="0" t="n">
        <f aca="false">IF(C5902&gt;1,IF(C5902&lt;99,VLOOKUP(C5902,'Babblefish-APUMA'!$A$1:$B$86,2),C5902),C5902)</f>
        <v>7</v>
      </c>
    </row>
    <row r="5903" customFormat="false" ht="12.75" hidden="false" customHeight="false" outlineLevel="0" collapsed="false">
      <c r="A5903" s="0" t="n">
        <f aca="false">B5903*1000+C5903</f>
        <v>80008</v>
      </c>
      <c r="B5903" s="0" t="n">
        <v>80</v>
      </c>
      <c r="C5903" s="0" t="n">
        <v>8</v>
      </c>
      <c r="D5903" s="0" t="n">
        <v>0</v>
      </c>
      <c r="E5903" s="0" t="n">
        <f aca="false">VLOOKUP(B5903,'Babblefish-APUMA'!$A$1:$B$86,2)</f>
        <v>80</v>
      </c>
      <c r="F5903" s="0" t="n">
        <f aca="false">IF(C5903&gt;1,IF(C5903&lt;99,VLOOKUP(C5903,'Babblefish-APUMA'!$A$1:$B$86,2),C5903),C5903)</f>
        <v>8</v>
      </c>
    </row>
    <row r="5904" customFormat="false" ht="12.75" hidden="false" customHeight="false" outlineLevel="0" collapsed="false">
      <c r="A5904" s="0" t="n">
        <f aca="false">B5904*1000+C5904</f>
        <v>80009</v>
      </c>
      <c r="B5904" s="0" t="n">
        <v>80</v>
      </c>
      <c r="C5904" s="0" t="n">
        <v>9</v>
      </c>
      <c r="D5904" s="0" t="n">
        <v>0</v>
      </c>
      <c r="E5904" s="0" t="n">
        <f aca="false">VLOOKUP(B5904,'Babblefish-APUMA'!$A$1:$B$86,2)</f>
        <v>80</v>
      </c>
      <c r="F5904" s="0" t="n">
        <f aca="false">IF(C5904&gt;1,IF(C5904&lt;99,VLOOKUP(C5904,'Babblefish-APUMA'!$A$1:$B$86,2),C5904),C5904)</f>
        <v>9</v>
      </c>
    </row>
    <row r="5905" customFormat="false" ht="12.75" hidden="false" customHeight="false" outlineLevel="0" collapsed="false">
      <c r="A5905" s="0" t="n">
        <f aca="false">B5905*1000+C5905</f>
        <v>80010</v>
      </c>
      <c r="B5905" s="0" t="n">
        <v>80</v>
      </c>
      <c r="C5905" s="0" t="n">
        <v>10</v>
      </c>
      <c r="D5905" s="0" t="n">
        <v>0</v>
      </c>
      <c r="E5905" s="0" t="n">
        <f aca="false">VLOOKUP(B5905,'Babblefish-APUMA'!$A$1:$B$86,2)</f>
        <v>80</v>
      </c>
      <c r="F5905" s="0" t="n">
        <f aca="false">IF(C5905&gt;1,IF(C5905&lt;99,VLOOKUP(C5905,'Babblefish-APUMA'!$A$1:$B$86,2),C5905),C5905)</f>
        <v>10</v>
      </c>
    </row>
    <row r="5906" customFormat="false" ht="12.75" hidden="false" customHeight="false" outlineLevel="0" collapsed="false">
      <c r="A5906" s="0" t="n">
        <f aca="false">B5906*1000+C5906</f>
        <v>80011</v>
      </c>
      <c r="B5906" s="0" t="n">
        <v>80</v>
      </c>
      <c r="C5906" s="0" t="n">
        <v>11</v>
      </c>
      <c r="D5906" s="0" t="n">
        <v>0</v>
      </c>
      <c r="E5906" s="0" t="n">
        <f aca="false">VLOOKUP(B5906,'Babblefish-APUMA'!$A$1:$B$86,2)</f>
        <v>80</v>
      </c>
      <c r="F5906" s="0" t="n">
        <f aca="false">IF(C5906&gt;1,IF(C5906&lt;99,VLOOKUP(C5906,'Babblefish-APUMA'!$A$1:$B$86,2),C5906),C5906)</f>
        <v>11</v>
      </c>
    </row>
    <row r="5907" customFormat="false" ht="12.75" hidden="false" customHeight="false" outlineLevel="0" collapsed="false">
      <c r="A5907" s="0" t="n">
        <f aca="false">B5907*1000+C5907</f>
        <v>80012</v>
      </c>
      <c r="B5907" s="0" t="n">
        <v>80</v>
      </c>
      <c r="C5907" s="0" t="n">
        <v>12</v>
      </c>
      <c r="D5907" s="0" t="n">
        <v>0</v>
      </c>
      <c r="E5907" s="0" t="n">
        <f aca="false">VLOOKUP(B5907,'Babblefish-APUMA'!$A$1:$B$86,2)</f>
        <v>80</v>
      </c>
      <c r="F5907" s="0" t="n">
        <f aca="false">IF(C5907&gt;1,IF(C5907&lt;99,VLOOKUP(C5907,'Babblefish-APUMA'!$A$1:$B$86,2),C5907),C5907)</f>
        <v>12</v>
      </c>
    </row>
    <row r="5908" customFormat="false" ht="12.75" hidden="false" customHeight="false" outlineLevel="0" collapsed="false">
      <c r="A5908" s="0" t="n">
        <f aca="false">B5908*1000+C5908</f>
        <v>80013</v>
      </c>
      <c r="B5908" s="0" t="n">
        <v>80</v>
      </c>
      <c r="C5908" s="0" t="n">
        <v>13</v>
      </c>
      <c r="D5908" s="0" t="n">
        <v>0</v>
      </c>
      <c r="E5908" s="0" t="n">
        <f aca="false">VLOOKUP(B5908,'Babblefish-APUMA'!$A$1:$B$86,2)</f>
        <v>80</v>
      </c>
      <c r="F5908" s="0" t="n">
        <f aca="false">IF(C5908&gt;1,IF(C5908&lt;99,VLOOKUP(C5908,'Babblefish-APUMA'!$A$1:$B$86,2),C5908),C5908)</f>
        <v>100</v>
      </c>
    </row>
    <row r="5909" customFormat="false" ht="12.75" hidden="false" customHeight="false" outlineLevel="0" collapsed="false">
      <c r="A5909" s="0" t="n">
        <f aca="false">B5909*1000+C5909</f>
        <v>80014</v>
      </c>
      <c r="B5909" s="0" t="n">
        <v>80</v>
      </c>
      <c r="C5909" s="0" t="n">
        <v>14</v>
      </c>
      <c r="D5909" s="0" t="n">
        <v>0</v>
      </c>
      <c r="E5909" s="0" t="n">
        <f aca="false">VLOOKUP(B5909,'Babblefish-APUMA'!$A$1:$B$86,2)</f>
        <v>80</v>
      </c>
      <c r="F5909" s="0" t="n">
        <f aca="false">IF(C5909&gt;1,IF(C5909&lt;99,VLOOKUP(C5909,'Babblefish-APUMA'!$A$1:$B$86,2),C5909),C5909)</f>
        <v>100</v>
      </c>
    </row>
    <row r="5910" customFormat="false" ht="12.75" hidden="false" customHeight="false" outlineLevel="0" collapsed="false">
      <c r="A5910" s="0" t="n">
        <f aca="false">B5910*1000+C5910</f>
        <v>80015</v>
      </c>
      <c r="B5910" s="0" t="n">
        <v>80</v>
      </c>
      <c r="C5910" s="0" t="n">
        <v>15</v>
      </c>
      <c r="D5910" s="0" t="n">
        <v>0</v>
      </c>
      <c r="E5910" s="0" t="n">
        <f aca="false">VLOOKUP(B5910,'Babblefish-APUMA'!$A$1:$B$86,2)</f>
        <v>80</v>
      </c>
      <c r="F5910" s="0" t="n">
        <f aca="false">IF(C5910&gt;1,IF(C5910&lt;99,VLOOKUP(C5910,'Babblefish-APUMA'!$A$1:$B$86,2),C5910),C5910)</f>
        <v>15</v>
      </c>
    </row>
    <row r="5911" customFormat="false" ht="12.75" hidden="false" customHeight="false" outlineLevel="0" collapsed="false">
      <c r="A5911" s="0" t="n">
        <f aca="false">B5911*1000+C5911</f>
        <v>80016</v>
      </c>
      <c r="B5911" s="0" t="n">
        <v>80</v>
      </c>
      <c r="C5911" s="0" t="n">
        <v>16</v>
      </c>
      <c r="D5911" s="0" t="n">
        <v>0</v>
      </c>
      <c r="E5911" s="0" t="n">
        <f aca="false">VLOOKUP(B5911,'Babblefish-APUMA'!$A$1:$B$86,2)</f>
        <v>80</v>
      </c>
      <c r="F5911" s="0" t="n">
        <f aca="false">IF(C5911&gt;1,IF(C5911&lt;99,VLOOKUP(C5911,'Babblefish-APUMA'!$A$1:$B$86,2),C5911),C5911)</f>
        <v>99</v>
      </c>
    </row>
    <row r="5912" customFormat="false" ht="12.75" hidden="false" customHeight="false" outlineLevel="0" collapsed="false">
      <c r="A5912" s="0" t="n">
        <f aca="false">B5912*1000+C5912</f>
        <v>80017</v>
      </c>
      <c r="B5912" s="0" t="n">
        <v>80</v>
      </c>
      <c r="C5912" s="0" t="n">
        <v>17</v>
      </c>
      <c r="D5912" s="0" t="n">
        <v>0</v>
      </c>
      <c r="E5912" s="0" t="n">
        <f aca="false">VLOOKUP(B5912,'Babblefish-APUMA'!$A$1:$B$86,2)</f>
        <v>80</v>
      </c>
      <c r="F5912" s="0" t="n">
        <f aca="false">IF(C5912&gt;1,IF(C5912&lt;99,VLOOKUP(C5912,'Babblefish-APUMA'!$A$1:$B$86,2),C5912),C5912)</f>
        <v>87</v>
      </c>
    </row>
    <row r="5913" customFormat="false" ht="12.75" hidden="false" customHeight="false" outlineLevel="0" collapsed="false">
      <c r="A5913" s="0" t="n">
        <f aca="false">B5913*1000+C5913</f>
        <v>80018</v>
      </c>
      <c r="B5913" s="0" t="n">
        <v>80</v>
      </c>
      <c r="C5913" s="0" t="n">
        <v>18</v>
      </c>
      <c r="D5913" s="0" t="n">
        <v>78</v>
      </c>
      <c r="E5913" s="0" t="n">
        <f aca="false">VLOOKUP(B5913,'Babblefish-APUMA'!$A$1:$B$86,2)</f>
        <v>80</v>
      </c>
      <c r="F5913" s="0" t="n">
        <f aca="false">IF(C5913&gt;1,IF(C5913&lt;99,VLOOKUP(C5913,'Babblefish-APUMA'!$A$1:$B$86,2),C5913),C5913)</f>
        <v>87</v>
      </c>
    </row>
    <row r="5914" customFormat="false" ht="12.75" hidden="false" customHeight="false" outlineLevel="0" collapsed="false">
      <c r="A5914" s="0" t="n">
        <f aca="false">B5914*1000+C5914</f>
        <v>80019</v>
      </c>
      <c r="B5914" s="0" t="n">
        <v>80</v>
      </c>
      <c r="C5914" s="0" t="n">
        <v>19</v>
      </c>
      <c r="D5914" s="0" t="n">
        <v>104</v>
      </c>
      <c r="E5914" s="0" t="n">
        <f aca="false">VLOOKUP(B5914,'Babblefish-APUMA'!$A$1:$B$86,2)</f>
        <v>80</v>
      </c>
      <c r="F5914" s="0" t="n">
        <f aca="false">IF(C5914&gt;1,IF(C5914&lt;99,VLOOKUP(C5914,'Babblefish-APUMA'!$A$1:$B$86,2),C5914),C5914)</f>
        <v>19</v>
      </c>
    </row>
    <row r="5915" customFormat="false" ht="12.75" hidden="false" customHeight="false" outlineLevel="0" collapsed="false">
      <c r="A5915" s="0" t="n">
        <f aca="false">B5915*1000+C5915</f>
        <v>80020</v>
      </c>
      <c r="B5915" s="0" t="n">
        <v>80</v>
      </c>
      <c r="C5915" s="0" t="n">
        <v>20</v>
      </c>
      <c r="D5915" s="0" t="n">
        <v>0</v>
      </c>
      <c r="E5915" s="0" t="n">
        <f aca="false">VLOOKUP(B5915,'Babblefish-APUMA'!$A$1:$B$86,2)</f>
        <v>80</v>
      </c>
      <c r="F5915" s="0" t="n">
        <f aca="false">IF(C5915&gt;1,IF(C5915&lt;99,VLOOKUP(C5915,'Babblefish-APUMA'!$A$1:$B$86,2),C5915),C5915)</f>
        <v>86</v>
      </c>
    </row>
    <row r="5916" customFormat="false" ht="12.75" hidden="false" customHeight="false" outlineLevel="0" collapsed="false">
      <c r="A5916" s="0" t="n">
        <f aca="false">B5916*1000+C5916</f>
        <v>80021</v>
      </c>
      <c r="B5916" s="0" t="n">
        <v>80</v>
      </c>
      <c r="C5916" s="0" t="n">
        <v>21</v>
      </c>
      <c r="D5916" s="0" t="n">
        <v>0</v>
      </c>
      <c r="E5916" s="0" t="n">
        <f aca="false">VLOOKUP(B5916,'Babblefish-APUMA'!$A$1:$B$86,2)</f>
        <v>80</v>
      </c>
      <c r="F5916" s="0" t="n">
        <f aca="false">IF(C5916&gt;1,IF(C5916&lt;99,VLOOKUP(C5916,'Babblefish-APUMA'!$A$1:$B$86,2),C5916),C5916)</f>
        <v>86</v>
      </c>
    </row>
    <row r="5917" customFormat="false" ht="12.75" hidden="false" customHeight="false" outlineLevel="0" collapsed="false">
      <c r="A5917" s="0" t="n">
        <f aca="false">B5917*1000+C5917</f>
        <v>80022</v>
      </c>
      <c r="B5917" s="0" t="n">
        <v>80</v>
      </c>
      <c r="C5917" s="0" t="n">
        <v>22</v>
      </c>
      <c r="D5917" s="0" t="n">
        <v>91</v>
      </c>
      <c r="E5917" s="0" t="n">
        <f aca="false">VLOOKUP(B5917,'Babblefish-APUMA'!$A$1:$B$86,2)</f>
        <v>80</v>
      </c>
      <c r="F5917" s="0" t="n">
        <f aca="false">IF(C5917&gt;1,IF(C5917&lt;99,VLOOKUP(C5917,'Babblefish-APUMA'!$A$1:$B$86,2),C5917),C5917)</f>
        <v>22</v>
      </c>
    </row>
    <row r="5918" customFormat="false" ht="12.75" hidden="false" customHeight="false" outlineLevel="0" collapsed="false">
      <c r="A5918" s="0" t="n">
        <f aca="false">B5918*1000+C5918</f>
        <v>80023</v>
      </c>
      <c r="B5918" s="0" t="n">
        <v>80</v>
      </c>
      <c r="C5918" s="0" t="n">
        <v>23</v>
      </c>
      <c r="D5918" s="0" t="n">
        <v>0</v>
      </c>
      <c r="E5918" s="0" t="n">
        <f aca="false">VLOOKUP(B5918,'Babblefish-APUMA'!$A$1:$B$86,2)</f>
        <v>80</v>
      </c>
      <c r="F5918" s="0" t="n">
        <f aca="false">IF(C5918&gt;1,IF(C5918&lt;99,VLOOKUP(C5918,'Babblefish-APUMA'!$A$1:$B$86,2),C5918),C5918)</f>
        <v>97</v>
      </c>
    </row>
    <row r="5919" customFormat="false" ht="12.75" hidden="false" customHeight="false" outlineLevel="0" collapsed="false">
      <c r="A5919" s="0" t="n">
        <f aca="false">B5919*1000+C5919</f>
        <v>80024</v>
      </c>
      <c r="B5919" s="0" t="n">
        <v>80</v>
      </c>
      <c r="C5919" s="0" t="n">
        <v>24</v>
      </c>
      <c r="D5919" s="0" t="n">
        <v>0</v>
      </c>
      <c r="E5919" s="0" t="n">
        <f aca="false">VLOOKUP(B5919,'Babblefish-APUMA'!$A$1:$B$86,2)</f>
        <v>80</v>
      </c>
      <c r="F5919" s="0" t="n">
        <f aca="false">IF(C5919&gt;1,IF(C5919&lt;99,VLOOKUP(C5919,'Babblefish-APUMA'!$A$1:$B$86,2),C5919),C5919)</f>
        <v>101</v>
      </c>
    </row>
    <row r="5920" customFormat="false" ht="12.75" hidden="false" customHeight="false" outlineLevel="0" collapsed="false">
      <c r="A5920" s="0" t="n">
        <f aca="false">B5920*1000+C5920</f>
        <v>80025</v>
      </c>
      <c r="B5920" s="0" t="n">
        <v>80</v>
      </c>
      <c r="C5920" s="0" t="n">
        <v>25</v>
      </c>
      <c r="D5920" s="0" t="n">
        <v>91</v>
      </c>
      <c r="E5920" s="0" t="n">
        <f aca="false">VLOOKUP(B5920,'Babblefish-APUMA'!$A$1:$B$86,2)</f>
        <v>80</v>
      </c>
      <c r="F5920" s="0" t="n">
        <f aca="false">IF(C5920&gt;1,IF(C5920&lt;99,VLOOKUP(C5920,'Babblefish-APUMA'!$A$1:$B$86,2),C5920),C5920)</f>
        <v>101</v>
      </c>
    </row>
    <row r="5921" customFormat="false" ht="12.75" hidden="false" customHeight="false" outlineLevel="0" collapsed="false">
      <c r="A5921" s="0" t="n">
        <f aca="false">B5921*1000+C5921</f>
        <v>80026</v>
      </c>
      <c r="B5921" s="0" t="n">
        <v>80</v>
      </c>
      <c r="C5921" s="0" t="n">
        <v>26</v>
      </c>
      <c r="D5921" s="0" t="n">
        <v>0</v>
      </c>
      <c r="E5921" s="0" t="n">
        <f aca="false">VLOOKUP(B5921,'Babblefish-APUMA'!$A$1:$B$86,2)</f>
        <v>80</v>
      </c>
      <c r="F5921" s="0" t="n">
        <f aca="false">IF(C5921&gt;1,IF(C5921&lt;99,VLOOKUP(C5921,'Babblefish-APUMA'!$A$1:$B$86,2),C5921),C5921)</f>
        <v>26</v>
      </c>
    </row>
    <row r="5922" customFormat="false" ht="12.75" hidden="false" customHeight="false" outlineLevel="0" collapsed="false">
      <c r="A5922" s="0" t="n">
        <f aca="false">B5922*1000+C5922</f>
        <v>80027</v>
      </c>
      <c r="B5922" s="0" t="n">
        <v>80</v>
      </c>
      <c r="C5922" s="0" t="n">
        <v>27</v>
      </c>
      <c r="D5922" s="0" t="n">
        <v>0</v>
      </c>
      <c r="E5922" s="0" t="n">
        <f aca="false">VLOOKUP(B5922,'Babblefish-APUMA'!$A$1:$B$86,2)</f>
        <v>80</v>
      </c>
      <c r="F5922" s="0" t="n">
        <f aca="false">IF(C5922&gt;1,IF(C5922&lt;99,VLOOKUP(C5922,'Babblefish-APUMA'!$A$1:$B$86,2),C5922),C5922)</f>
        <v>27</v>
      </c>
    </row>
    <row r="5923" customFormat="false" ht="12.75" hidden="false" customHeight="false" outlineLevel="0" collapsed="false">
      <c r="A5923" s="0" t="n">
        <f aca="false">B5923*1000+C5923</f>
        <v>80028</v>
      </c>
      <c r="B5923" s="0" t="n">
        <v>80</v>
      </c>
      <c r="C5923" s="0" t="n">
        <v>28</v>
      </c>
      <c r="D5923" s="0" t="n">
        <v>104</v>
      </c>
      <c r="E5923" s="0" t="n">
        <f aca="false">VLOOKUP(B5923,'Babblefish-APUMA'!$A$1:$B$86,2)</f>
        <v>80</v>
      </c>
      <c r="F5923" s="0" t="n">
        <f aca="false">IF(C5923&gt;1,IF(C5923&lt;99,VLOOKUP(C5923,'Babblefish-APUMA'!$A$1:$B$86,2),C5923),C5923)</f>
        <v>94</v>
      </c>
    </row>
    <row r="5924" customFormat="false" ht="12.75" hidden="false" customHeight="false" outlineLevel="0" collapsed="false">
      <c r="A5924" s="0" t="n">
        <f aca="false">B5924*1000+C5924</f>
        <v>80029</v>
      </c>
      <c r="B5924" s="0" t="n">
        <v>80</v>
      </c>
      <c r="C5924" s="0" t="n">
        <v>29</v>
      </c>
      <c r="D5924" s="0" t="n">
        <v>117</v>
      </c>
      <c r="E5924" s="0" t="n">
        <f aca="false">VLOOKUP(B5924,'Babblefish-APUMA'!$A$1:$B$86,2)</f>
        <v>80</v>
      </c>
      <c r="F5924" s="0" t="n">
        <f aca="false">IF(C5924&gt;1,IF(C5924&lt;99,VLOOKUP(C5924,'Babblefish-APUMA'!$A$1:$B$86,2),C5924),C5924)</f>
        <v>94</v>
      </c>
    </row>
    <row r="5925" customFormat="false" ht="12.75" hidden="false" customHeight="false" outlineLevel="0" collapsed="false">
      <c r="A5925" s="0" t="n">
        <f aca="false">B5925*1000+C5925</f>
        <v>80030</v>
      </c>
      <c r="B5925" s="0" t="n">
        <v>80</v>
      </c>
      <c r="C5925" s="0" t="n">
        <v>30</v>
      </c>
      <c r="D5925" s="0" t="n">
        <v>0</v>
      </c>
      <c r="E5925" s="0" t="n">
        <f aca="false">VLOOKUP(B5925,'Babblefish-APUMA'!$A$1:$B$86,2)</f>
        <v>80</v>
      </c>
      <c r="F5925" s="0" t="n">
        <f aca="false">IF(C5925&gt;1,IF(C5925&lt;99,VLOOKUP(C5925,'Babblefish-APUMA'!$A$1:$B$86,2),C5925),C5925)</f>
        <v>30</v>
      </c>
    </row>
    <row r="5926" customFormat="false" ht="12.75" hidden="false" customHeight="false" outlineLevel="0" collapsed="false">
      <c r="A5926" s="0" t="n">
        <f aca="false">B5926*1000+C5926</f>
        <v>80031</v>
      </c>
      <c r="B5926" s="0" t="n">
        <v>80</v>
      </c>
      <c r="C5926" s="0" t="n">
        <v>31</v>
      </c>
      <c r="D5926" s="0" t="n">
        <v>169</v>
      </c>
      <c r="E5926" s="0" t="n">
        <f aca="false">VLOOKUP(B5926,'Babblefish-APUMA'!$A$1:$B$86,2)</f>
        <v>80</v>
      </c>
      <c r="F5926" s="0" t="n">
        <f aca="false">IF(C5926&gt;1,IF(C5926&lt;99,VLOOKUP(C5926,'Babblefish-APUMA'!$A$1:$B$86,2),C5926),C5926)</f>
        <v>31</v>
      </c>
    </row>
    <row r="5927" customFormat="false" ht="12.75" hidden="false" customHeight="false" outlineLevel="0" collapsed="false">
      <c r="A5927" s="0" t="n">
        <f aca="false">B5927*1000+C5927</f>
        <v>80032</v>
      </c>
      <c r="B5927" s="0" t="n">
        <v>80</v>
      </c>
      <c r="C5927" s="0" t="n">
        <v>32</v>
      </c>
      <c r="D5927" s="0" t="n">
        <v>5980</v>
      </c>
      <c r="E5927" s="0" t="n">
        <f aca="false">VLOOKUP(B5927,'Babblefish-APUMA'!$A$1:$B$86,2)</f>
        <v>80</v>
      </c>
      <c r="F5927" s="0" t="n">
        <f aca="false">IF(C5927&gt;1,IF(C5927&lt;99,VLOOKUP(C5927,'Babblefish-APUMA'!$A$1:$B$86,2),C5927),C5927)</f>
        <v>32</v>
      </c>
    </row>
    <row r="5928" customFormat="false" ht="12.75" hidden="false" customHeight="false" outlineLevel="0" collapsed="false">
      <c r="A5928" s="0" t="n">
        <f aca="false">B5928*1000+C5928</f>
        <v>80033</v>
      </c>
      <c r="B5928" s="0" t="n">
        <v>80</v>
      </c>
      <c r="C5928" s="0" t="n">
        <v>33</v>
      </c>
      <c r="D5928" s="0" t="n">
        <v>0</v>
      </c>
      <c r="E5928" s="0" t="n">
        <f aca="false">VLOOKUP(B5928,'Babblefish-APUMA'!$A$1:$B$86,2)</f>
        <v>80</v>
      </c>
      <c r="F5928" s="0" t="n">
        <f aca="false">IF(C5928&gt;1,IF(C5928&lt;99,VLOOKUP(C5928,'Babblefish-APUMA'!$A$1:$B$86,2),C5928),C5928)</f>
        <v>96</v>
      </c>
    </row>
    <row r="5929" customFormat="false" ht="12.75" hidden="false" customHeight="false" outlineLevel="0" collapsed="false">
      <c r="A5929" s="0" t="n">
        <f aca="false">B5929*1000+C5929</f>
        <v>80034</v>
      </c>
      <c r="B5929" s="0" t="n">
        <v>80</v>
      </c>
      <c r="C5929" s="0" t="n">
        <v>34</v>
      </c>
      <c r="D5929" s="0" t="n">
        <v>0</v>
      </c>
      <c r="E5929" s="0" t="n">
        <f aca="false">VLOOKUP(B5929,'Babblefish-APUMA'!$A$1:$B$86,2)</f>
        <v>80</v>
      </c>
      <c r="F5929" s="0" t="n">
        <f aca="false">IF(C5929&gt;1,IF(C5929&lt;99,VLOOKUP(C5929,'Babblefish-APUMA'!$A$1:$B$86,2),C5929),C5929)</f>
        <v>96</v>
      </c>
    </row>
    <row r="5930" customFormat="false" ht="12.75" hidden="false" customHeight="false" outlineLevel="0" collapsed="false">
      <c r="A5930" s="0" t="n">
        <f aca="false">B5930*1000+C5930</f>
        <v>80035</v>
      </c>
      <c r="B5930" s="0" t="n">
        <v>80</v>
      </c>
      <c r="C5930" s="0" t="n">
        <v>35</v>
      </c>
      <c r="D5930" s="0" t="n">
        <v>0</v>
      </c>
      <c r="E5930" s="0" t="n">
        <f aca="false">VLOOKUP(B5930,'Babblefish-APUMA'!$A$1:$B$86,2)</f>
        <v>80</v>
      </c>
      <c r="F5930" s="0" t="n">
        <f aca="false">IF(C5930&gt;1,IF(C5930&lt;99,VLOOKUP(C5930,'Babblefish-APUMA'!$A$1:$B$86,2),C5930),C5930)</f>
        <v>96</v>
      </c>
    </row>
    <row r="5931" customFormat="false" ht="12.75" hidden="false" customHeight="false" outlineLevel="0" collapsed="false">
      <c r="A5931" s="0" t="n">
        <f aca="false">B5931*1000+C5931</f>
        <v>80036</v>
      </c>
      <c r="B5931" s="0" t="n">
        <v>80</v>
      </c>
      <c r="C5931" s="0" t="n">
        <v>36</v>
      </c>
      <c r="D5931" s="0" t="n">
        <v>0</v>
      </c>
      <c r="E5931" s="0" t="n">
        <f aca="false">VLOOKUP(B5931,'Babblefish-APUMA'!$A$1:$B$86,2)</f>
        <v>80</v>
      </c>
      <c r="F5931" s="0" t="n">
        <f aca="false">IF(C5931&gt;1,IF(C5931&lt;99,VLOOKUP(C5931,'Babblefish-APUMA'!$A$1:$B$86,2),C5931),C5931)</f>
        <v>96</v>
      </c>
    </row>
    <row r="5932" customFormat="false" ht="12.75" hidden="false" customHeight="false" outlineLevel="0" collapsed="false">
      <c r="A5932" s="0" t="n">
        <f aca="false">B5932*1000+C5932</f>
        <v>80037</v>
      </c>
      <c r="B5932" s="0" t="n">
        <v>80</v>
      </c>
      <c r="C5932" s="0" t="n">
        <v>37</v>
      </c>
      <c r="D5932" s="0" t="n">
        <v>169</v>
      </c>
      <c r="E5932" s="0" t="n">
        <f aca="false">VLOOKUP(B5932,'Babblefish-APUMA'!$A$1:$B$86,2)</f>
        <v>80</v>
      </c>
      <c r="F5932" s="0" t="n">
        <f aca="false">IF(C5932&gt;1,IF(C5932&lt;99,VLOOKUP(C5932,'Babblefish-APUMA'!$A$1:$B$86,2),C5932),C5932)</f>
        <v>96</v>
      </c>
    </row>
    <row r="5933" customFormat="false" ht="12.75" hidden="false" customHeight="false" outlineLevel="0" collapsed="false">
      <c r="A5933" s="0" t="n">
        <f aca="false">B5933*1000+C5933</f>
        <v>80038</v>
      </c>
      <c r="B5933" s="0" t="n">
        <v>80</v>
      </c>
      <c r="C5933" s="0" t="n">
        <v>38</v>
      </c>
      <c r="D5933" s="0" t="n">
        <v>104</v>
      </c>
      <c r="E5933" s="0" t="n">
        <f aca="false">VLOOKUP(B5933,'Babblefish-APUMA'!$A$1:$B$86,2)</f>
        <v>80</v>
      </c>
      <c r="F5933" s="0" t="n">
        <f aca="false">IF(C5933&gt;1,IF(C5933&lt;99,VLOOKUP(C5933,'Babblefish-APUMA'!$A$1:$B$86,2),C5933),C5933)</f>
        <v>91</v>
      </c>
    </row>
    <row r="5934" customFormat="false" ht="12.75" hidden="false" customHeight="false" outlineLevel="0" collapsed="false">
      <c r="A5934" s="0" t="n">
        <f aca="false">B5934*1000+C5934</f>
        <v>80039</v>
      </c>
      <c r="B5934" s="0" t="n">
        <v>80</v>
      </c>
      <c r="C5934" s="0" t="n">
        <v>39</v>
      </c>
      <c r="D5934" s="0" t="n">
        <v>0</v>
      </c>
      <c r="E5934" s="0" t="n">
        <f aca="false">VLOOKUP(B5934,'Babblefish-APUMA'!$A$1:$B$86,2)</f>
        <v>80</v>
      </c>
      <c r="F5934" s="0" t="n">
        <f aca="false">IF(C5934&gt;1,IF(C5934&lt;99,VLOOKUP(C5934,'Babblefish-APUMA'!$A$1:$B$86,2),C5934),C5934)</f>
        <v>91</v>
      </c>
    </row>
    <row r="5935" customFormat="false" ht="12.75" hidden="false" customHeight="false" outlineLevel="0" collapsed="false">
      <c r="A5935" s="0" t="n">
        <f aca="false">B5935*1000+C5935</f>
        <v>80040</v>
      </c>
      <c r="B5935" s="0" t="n">
        <v>80</v>
      </c>
      <c r="C5935" s="0" t="n">
        <v>40</v>
      </c>
      <c r="D5935" s="0" t="n">
        <v>0</v>
      </c>
      <c r="E5935" s="0" t="n">
        <f aca="false">VLOOKUP(B5935,'Babblefish-APUMA'!$A$1:$B$86,2)</f>
        <v>80</v>
      </c>
      <c r="F5935" s="0" t="n">
        <f aca="false">IF(C5935&gt;1,IF(C5935&lt;99,VLOOKUP(C5935,'Babblefish-APUMA'!$A$1:$B$86,2),C5935),C5935)</f>
        <v>88</v>
      </c>
    </row>
    <row r="5936" customFormat="false" ht="12.75" hidden="false" customHeight="false" outlineLevel="0" collapsed="false">
      <c r="A5936" s="0" t="n">
        <f aca="false">B5936*1000+C5936</f>
        <v>80041</v>
      </c>
      <c r="B5936" s="0" t="n">
        <v>80</v>
      </c>
      <c r="C5936" s="0" t="n">
        <v>41</v>
      </c>
      <c r="D5936" s="0" t="n">
        <v>0</v>
      </c>
      <c r="E5936" s="0" t="n">
        <f aca="false">VLOOKUP(B5936,'Babblefish-APUMA'!$A$1:$B$86,2)</f>
        <v>80</v>
      </c>
      <c r="F5936" s="0" t="n">
        <f aca="false">IF(C5936&gt;1,IF(C5936&lt;99,VLOOKUP(C5936,'Babblefish-APUMA'!$A$1:$B$86,2),C5936),C5936)</f>
        <v>88</v>
      </c>
    </row>
    <row r="5937" customFormat="false" ht="12.75" hidden="false" customHeight="false" outlineLevel="0" collapsed="false">
      <c r="A5937" s="0" t="n">
        <f aca="false">B5937*1000+C5937</f>
        <v>80042</v>
      </c>
      <c r="B5937" s="0" t="n">
        <v>80</v>
      </c>
      <c r="C5937" s="0" t="n">
        <v>42</v>
      </c>
      <c r="D5937" s="0" t="n">
        <v>0</v>
      </c>
      <c r="E5937" s="0" t="n">
        <f aca="false">VLOOKUP(B5937,'Babblefish-APUMA'!$A$1:$B$86,2)</f>
        <v>80</v>
      </c>
      <c r="F5937" s="0" t="n">
        <f aca="false">IF(C5937&gt;1,IF(C5937&lt;99,VLOOKUP(C5937,'Babblefish-APUMA'!$A$1:$B$86,2),C5937),C5937)</f>
        <v>92</v>
      </c>
    </row>
    <row r="5938" customFormat="false" ht="12.75" hidden="false" customHeight="false" outlineLevel="0" collapsed="false">
      <c r="A5938" s="0" t="n">
        <f aca="false">B5938*1000+C5938</f>
        <v>80043</v>
      </c>
      <c r="B5938" s="0" t="n">
        <v>80</v>
      </c>
      <c r="C5938" s="0" t="n">
        <v>43</v>
      </c>
      <c r="D5938" s="0" t="n">
        <v>0</v>
      </c>
      <c r="E5938" s="0" t="n">
        <f aca="false">VLOOKUP(B5938,'Babblefish-APUMA'!$A$1:$B$86,2)</f>
        <v>80</v>
      </c>
      <c r="F5938" s="0" t="n">
        <f aca="false">IF(C5938&gt;1,IF(C5938&lt;99,VLOOKUP(C5938,'Babblefish-APUMA'!$A$1:$B$86,2),C5938),C5938)</f>
        <v>92</v>
      </c>
    </row>
    <row r="5939" customFormat="false" ht="12.75" hidden="false" customHeight="false" outlineLevel="0" collapsed="false">
      <c r="A5939" s="0" t="n">
        <f aca="false">B5939*1000+C5939</f>
        <v>80044</v>
      </c>
      <c r="B5939" s="0" t="n">
        <v>80</v>
      </c>
      <c r="C5939" s="0" t="n">
        <v>44</v>
      </c>
      <c r="D5939" s="0" t="n">
        <v>0</v>
      </c>
      <c r="E5939" s="0" t="n">
        <f aca="false">VLOOKUP(B5939,'Babblefish-APUMA'!$A$1:$B$86,2)</f>
        <v>80</v>
      </c>
      <c r="F5939" s="0" t="n">
        <f aca="false">IF(C5939&gt;1,IF(C5939&lt;99,VLOOKUP(C5939,'Babblefish-APUMA'!$A$1:$B$86,2),C5939),C5939)</f>
        <v>92</v>
      </c>
    </row>
    <row r="5940" customFormat="false" ht="12.75" hidden="false" customHeight="false" outlineLevel="0" collapsed="false">
      <c r="A5940" s="0" t="n">
        <f aca="false">B5940*1000+C5940</f>
        <v>80045</v>
      </c>
      <c r="B5940" s="0" t="n">
        <v>80</v>
      </c>
      <c r="C5940" s="0" t="n">
        <v>45</v>
      </c>
      <c r="D5940" s="0" t="n">
        <v>0</v>
      </c>
      <c r="E5940" s="0" t="n">
        <f aca="false">VLOOKUP(B5940,'Babblefish-APUMA'!$A$1:$B$86,2)</f>
        <v>80</v>
      </c>
      <c r="F5940" s="0" t="n">
        <f aca="false">IF(C5940&gt;1,IF(C5940&lt;99,VLOOKUP(C5940,'Babblefish-APUMA'!$A$1:$B$86,2),C5940),C5940)</f>
        <v>92</v>
      </c>
    </row>
    <row r="5941" customFormat="false" ht="12.75" hidden="false" customHeight="false" outlineLevel="0" collapsed="false">
      <c r="A5941" s="0" t="n">
        <f aca="false">B5941*1000+C5941</f>
        <v>80046</v>
      </c>
      <c r="B5941" s="0" t="n">
        <v>80</v>
      </c>
      <c r="C5941" s="0" t="n">
        <v>46</v>
      </c>
      <c r="D5941" s="0" t="n">
        <v>0</v>
      </c>
      <c r="E5941" s="0" t="n">
        <f aca="false">VLOOKUP(B5941,'Babblefish-APUMA'!$A$1:$B$86,2)</f>
        <v>80</v>
      </c>
      <c r="F5941" s="0" t="n">
        <f aca="false">IF(C5941&gt;1,IF(C5941&lt;99,VLOOKUP(C5941,'Babblefish-APUMA'!$A$1:$B$86,2),C5941),C5941)</f>
        <v>92</v>
      </c>
    </row>
    <row r="5942" customFormat="false" ht="12.75" hidden="false" customHeight="false" outlineLevel="0" collapsed="false">
      <c r="A5942" s="0" t="n">
        <f aca="false">B5942*1000+C5942</f>
        <v>80047</v>
      </c>
      <c r="B5942" s="0" t="n">
        <v>80</v>
      </c>
      <c r="C5942" s="0" t="n">
        <v>47</v>
      </c>
      <c r="D5942" s="0" t="n">
        <v>0</v>
      </c>
      <c r="E5942" s="0" t="n">
        <f aca="false">VLOOKUP(B5942,'Babblefish-APUMA'!$A$1:$B$86,2)</f>
        <v>80</v>
      </c>
      <c r="F5942" s="0" t="n">
        <f aca="false">IF(C5942&gt;1,IF(C5942&lt;99,VLOOKUP(C5942,'Babblefish-APUMA'!$A$1:$B$86,2),C5942),C5942)</f>
        <v>92</v>
      </c>
    </row>
    <row r="5943" customFormat="false" ht="12.75" hidden="false" customHeight="false" outlineLevel="0" collapsed="false">
      <c r="A5943" s="0" t="n">
        <f aca="false">B5943*1000+C5943</f>
        <v>80048</v>
      </c>
      <c r="B5943" s="0" t="n">
        <v>80</v>
      </c>
      <c r="C5943" s="0" t="n">
        <v>48</v>
      </c>
      <c r="D5943" s="0" t="n">
        <v>0</v>
      </c>
      <c r="E5943" s="0" t="n">
        <f aca="false">VLOOKUP(B5943,'Babblefish-APUMA'!$A$1:$B$86,2)</f>
        <v>80</v>
      </c>
      <c r="F5943" s="0" t="n">
        <f aca="false">IF(C5943&gt;1,IF(C5943&lt;99,VLOOKUP(C5943,'Babblefish-APUMA'!$A$1:$B$86,2),C5943),C5943)</f>
        <v>92</v>
      </c>
    </row>
    <row r="5944" customFormat="false" ht="12.75" hidden="false" customHeight="false" outlineLevel="0" collapsed="false">
      <c r="A5944" s="0" t="n">
        <f aca="false">B5944*1000+C5944</f>
        <v>80049</v>
      </c>
      <c r="B5944" s="0" t="n">
        <v>80</v>
      </c>
      <c r="C5944" s="0" t="n">
        <v>49</v>
      </c>
      <c r="D5944" s="0" t="n">
        <v>0</v>
      </c>
      <c r="E5944" s="0" t="n">
        <f aca="false">VLOOKUP(B5944,'Babblefish-APUMA'!$A$1:$B$86,2)</f>
        <v>80</v>
      </c>
      <c r="F5944" s="0" t="n">
        <f aca="false">IF(C5944&gt;1,IF(C5944&lt;99,VLOOKUP(C5944,'Babblefish-APUMA'!$A$1:$B$86,2),C5944),C5944)</f>
        <v>98</v>
      </c>
    </row>
    <row r="5945" customFormat="false" ht="12.75" hidden="false" customHeight="false" outlineLevel="0" collapsed="false">
      <c r="A5945" s="0" t="n">
        <f aca="false">B5945*1000+C5945</f>
        <v>80050</v>
      </c>
      <c r="B5945" s="0" t="n">
        <v>80</v>
      </c>
      <c r="C5945" s="0" t="n">
        <v>50</v>
      </c>
      <c r="D5945" s="0" t="n">
        <v>0</v>
      </c>
      <c r="E5945" s="0" t="n">
        <f aca="false">VLOOKUP(B5945,'Babblefish-APUMA'!$A$1:$B$86,2)</f>
        <v>80</v>
      </c>
      <c r="F5945" s="0" t="n">
        <f aca="false">IF(C5945&gt;1,IF(C5945&lt;99,VLOOKUP(C5945,'Babblefish-APUMA'!$A$1:$B$86,2),C5945),C5945)</f>
        <v>98</v>
      </c>
    </row>
    <row r="5946" customFormat="false" ht="12.75" hidden="false" customHeight="false" outlineLevel="0" collapsed="false">
      <c r="A5946" s="0" t="n">
        <f aca="false">B5946*1000+C5946</f>
        <v>80051</v>
      </c>
      <c r="B5946" s="0" t="n">
        <v>80</v>
      </c>
      <c r="C5946" s="0" t="n">
        <v>51</v>
      </c>
      <c r="D5946" s="0" t="n">
        <v>247</v>
      </c>
      <c r="E5946" s="0" t="n">
        <f aca="false">VLOOKUP(B5946,'Babblefish-APUMA'!$A$1:$B$86,2)</f>
        <v>80</v>
      </c>
      <c r="F5946" s="0" t="n">
        <f aca="false">IF(C5946&gt;1,IF(C5946&lt;99,VLOOKUP(C5946,'Babblefish-APUMA'!$A$1:$B$86,2),C5946),C5946)</f>
        <v>98</v>
      </c>
    </row>
    <row r="5947" customFormat="false" ht="12.75" hidden="false" customHeight="false" outlineLevel="0" collapsed="false">
      <c r="A5947" s="0" t="n">
        <f aca="false">B5947*1000+C5947</f>
        <v>80052</v>
      </c>
      <c r="B5947" s="0" t="n">
        <v>80</v>
      </c>
      <c r="C5947" s="0" t="n">
        <v>52</v>
      </c>
      <c r="D5947" s="0" t="n">
        <v>0</v>
      </c>
      <c r="E5947" s="0" t="n">
        <f aca="false">VLOOKUP(B5947,'Babblefish-APUMA'!$A$1:$B$86,2)</f>
        <v>80</v>
      </c>
      <c r="F5947" s="0" t="n">
        <f aca="false">IF(C5947&gt;1,IF(C5947&lt;99,VLOOKUP(C5947,'Babblefish-APUMA'!$A$1:$B$86,2),C5947),C5947)</f>
        <v>90</v>
      </c>
    </row>
    <row r="5948" customFormat="false" ht="12.75" hidden="false" customHeight="false" outlineLevel="0" collapsed="false">
      <c r="A5948" s="0" t="n">
        <f aca="false">B5948*1000+C5948</f>
        <v>80053</v>
      </c>
      <c r="B5948" s="0" t="n">
        <v>80</v>
      </c>
      <c r="C5948" s="0" t="n">
        <v>53</v>
      </c>
      <c r="D5948" s="0" t="n">
        <v>0</v>
      </c>
      <c r="E5948" s="0" t="n">
        <f aca="false">VLOOKUP(B5948,'Babblefish-APUMA'!$A$1:$B$86,2)</f>
        <v>80</v>
      </c>
      <c r="F5948" s="0" t="n">
        <f aca="false">IF(C5948&gt;1,IF(C5948&lt;99,VLOOKUP(C5948,'Babblefish-APUMA'!$A$1:$B$86,2),C5948),C5948)</f>
        <v>90</v>
      </c>
    </row>
    <row r="5949" customFormat="false" ht="12.75" hidden="false" customHeight="false" outlineLevel="0" collapsed="false">
      <c r="A5949" s="0" t="n">
        <f aca="false">B5949*1000+C5949</f>
        <v>80054</v>
      </c>
      <c r="B5949" s="0" t="n">
        <v>80</v>
      </c>
      <c r="C5949" s="0" t="n">
        <v>54</v>
      </c>
      <c r="D5949" s="0" t="n">
        <v>0</v>
      </c>
      <c r="E5949" s="0" t="n">
        <f aca="false">VLOOKUP(B5949,'Babblefish-APUMA'!$A$1:$B$86,2)</f>
        <v>80</v>
      </c>
      <c r="F5949" s="0" t="n">
        <f aca="false">IF(C5949&gt;1,IF(C5949&lt;99,VLOOKUP(C5949,'Babblefish-APUMA'!$A$1:$B$86,2),C5949),C5949)</f>
        <v>90</v>
      </c>
    </row>
    <row r="5950" customFormat="false" ht="12.75" hidden="false" customHeight="false" outlineLevel="0" collapsed="false">
      <c r="A5950" s="0" t="n">
        <f aca="false">B5950*1000+C5950</f>
        <v>80055</v>
      </c>
      <c r="B5950" s="0" t="n">
        <v>80</v>
      </c>
      <c r="C5950" s="0" t="n">
        <v>55</v>
      </c>
      <c r="D5950" s="0" t="n">
        <v>0</v>
      </c>
      <c r="E5950" s="0" t="n">
        <f aca="false">VLOOKUP(B5950,'Babblefish-APUMA'!$A$1:$B$86,2)</f>
        <v>80</v>
      </c>
      <c r="F5950" s="0" t="n">
        <f aca="false">IF(C5950&gt;1,IF(C5950&lt;99,VLOOKUP(C5950,'Babblefish-APUMA'!$A$1:$B$86,2),C5950),C5950)</f>
        <v>90</v>
      </c>
    </row>
    <row r="5951" customFormat="false" ht="12.75" hidden="false" customHeight="false" outlineLevel="0" collapsed="false">
      <c r="A5951" s="0" t="n">
        <f aca="false">B5951*1000+C5951</f>
        <v>80056</v>
      </c>
      <c r="B5951" s="0" t="n">
        <v>80</v>
      </c>
      <c r="C5951" s="0" t="n">
        <v>56</v>
      </c>
      <c r="D5951" s="0" t="n">
        <v>0</v>
      </c>
      <c r="E5951" s="0" t="n">
        <f aca="false">VLOOKUP(B5951,'Babblefish-APUMA'!$A$1:$B$86,2)</f>
        <v>80</v>
      </c>
      <c r="F5951" s="0" t="n">
        <f aca="false">IF(C5951&gt;1,IF(C5951&lt;99,VLOOKUP(C5951,'Babblefish-APUMA'!$A$1:$B$86,2),C5951),C5951)</f>
        <v>90</v>
      </c>
    </row>
    <row r="5952" customFormat="false" ht="12.75" hidden="false" customHeight="false" outlineLevel="0" collapsed="false">
      <c r="A5952" s="0" t="n">
        <f aca="false">B5952*1000+C5952</f>
        <v>80057</v>
      </c>
      <c r="B5952" s="0" t="n">
        <v>80</v>
      </c>
      <c r="C5952" s="0" t="n">
        <v>57</v>
      </c>
      <c r="D5952" s="0" t="n">
        <v>0</v>
      </c>
      <c r="E5952" s="0" t="n">
        <f aca="false">VLOOKUP(B5952,'Babblefish-APUMA'!$A$1:$B$86,2)</f>
        <v>80</v>
      </c>
      <c r="F5952" s="0" t="n">
        <f aca="false">IF(C5952&gt;1,IF(C5952&lt;99,VLOOKUP(C5952,'Babblefish-APUMA'!$A$1:$B$86,2),C5952),C5952)</f>
        <v>90</v>
      </c>
    </row>
    <row r="5953" customFormat="false" ht="12.75" hidden="false" customHeight="false" outlineLevel="0" collapsed="false">
      <c r="A5953" s="0" t="n">
        <f aca="false">B5953*1000+C5953</f>
        <v>80058</v>
      </c>
      <c r="B5953" s="0" t="n">
        <v>80</v>
      </c>
      <c r="C5953" s="0" t="n">
        <v>58</v>
      </c>
      <c r="D5953" s="0" t="n">
        <v>0</v>
      </c>
      <c r="E5953" s="0" t="n">
        <f aca="false">VLOOKUP(B5953,'Babblefish-APUMA'!$A$1:$B$86,2)</f>
        <v>80</v>
      </c>
      <c r="F5953" s="0" t="n">
        <f aca="false">IF(C5953&gt;1,IF(C5953&lt;99,VLOOKUP(C5953,'Babblefish-APUMA'!$A$1:$B$86,2),C5953),C5953)</f>
        <v>90</v>
      </c>
    </row>
    <row r="5954" customFormat="false" ht="12.75" hidden="false" customHeight="false" outlineLevel="0" collapsed="false">
      <c r="A5954" s="0" t="n">
        <f aca="false">B5954*1000+C5954</f>
        <v>80059</v>
      </c>
      <c r="B5954" s="0" t="n">
        <v>80</v>
      </c>
      <c r="C5954" s="0" t="n">
        <v>59</v>
      </c>
      <c r="D5954" s="0" t="n">
        <v>0</v>
      </c>
      <c r="E5954" s="0" t="n">
        <f aca="false">VLOOKUP(B5954,'Babblefish-APUMA'!$A$1:$B$86,2)</f>
        <v>80</v>
      </c>
      <c r="F5954" s="0" t="n">
        <f aca="false">IF(C5954&gt;1,IF(C5954&lt;99,VLOOKUP(C5954,'Babblefish-APUMA'!$A$1:$B$86,2),C5954),C5954)</f>
        <v>90</v>
      </c>
    </row>
    <row r="5955" customFormat="false" ht="12.75" hidden="false" customHeight="false" outlineLevel="0" collapsed="false">
      <c r="A5955" s="0" t="n">
        <f aca="false">B5955*1000+C5955</f>
        <v>80060</v>
      </c>
      <c r="B5955" s="0" t="n">
        <v>80</v>
      </c>
      <c r="C5955" s="0" t="n">
        <v>60</v>
      </c>
      <c r="D5955" s="0" t="n">
        <v>0</v>
      </c>
      <c r="E5955" s="0" t="n">
        <f aca="false">VLOOKUP(B5955,'Babblefish-APUMA'!$A$1:$B$86,2)</f>
        <v>80</v>
      </c>
      <c r="F5955" s="0" t="n">
        <f aca="false">IF(C5955&gt;1,IF(C5955&lt;99,VLOOKUP(C5955,'Babblefish-APUMA'!$A$1:$B$86,2),C5955),C5955)</f>
        <v>90</v>
      </c>
    </row>
    <row r="5956" customFormat="false" ht="12.75" hidden="false" customHeight="false" outlineLevel="0" collapsed="false">
      <c r="A5956" s="0" t="n">
        <f aca="false">B5956*1000+C5956</f>
        <v>80061</v>
      </c>
      <c r="B5956" s="0" t="n">
        <v>80</v>
      </c>
      <c r="C5956" s="0" t="n">
        <v>61</v>
      </c>
      <c r="D5956" s="0" t="n">
        <v>0</v>
      </c>
      <c r="E5956" s="0" t="n">
        <f aca="false">VLOOKUP(B5956,'Babblefish-APUMA'!$A$1:$B$86,2)</f>
        <v>80</v>
      </c>
      <c r="F5956" s="0" t="n">
        <f aca="false">IF(C5956&gt;1,IF(C5956&lt;99,VLOOKUP(C5956,'Babblefish-APUMA'!$A$1:$B$86,2),C5956),C5956)</f>
        <v>90</v>
      </c>
    </row>
    <row r="5957" customFormat="false" ht="12.75" hidden="false" customHeight="false" outlineLevel="0" collapsed="false">
      <c r="A5957" s="0" t="n">
        <f aca="false">B5957*1000+C5957</f>
        <v>80062</v>
      </c>
      <c r="B5957" s="0" t="n">
        <v>80</v>
      </c>
      <c r="C5957" s="0" t="n">
        <v>62</v>
      </c>
      <c r="D5957" s="0" t="n">
        <v>0</v>
      </c>
      <c r="E5957" s="0" t="n">
        <f aca="false">VLOOKUP(B5957,'Babblefish-APUMA'!$A$1:$B$86,2)</f>
        <v>80</v>
      </c>
      <c r="F5957" s="0" t="n">
        <f aca="false">IF(C5957&gt;1,IF(C5957&lt;99,VLOOKUP(C5957,'Babblefish-APUMA'!$A$1:$B$86,2),C5957),C5957)</f>
        <v>90</v>
      </c>
    </row>
    <row r="5958" customFormat="false" ht="12.75" hidden="false" customHeight="false" outlineLevel="0" collapsed="false">
      <c r="A5958" s="0" t="n">
        <f aca="false">B5958*1000+C5958</f>
        <v>80063</v>
      </c>
      <c r="B5958" s="0" t="n">
        <v>80</v>
      </c>
      <c r="C5958" s="0" t="n">
        <v>63</v>
      </c>
      <c r="D5958" s="0" t="n">
        <v>0</v>
      </c>
      <c r="E5958" s="0" t="n">
        <f aca="false">VLOOKUP(B5958,'Babblefish-APUMA'!$A$1:$B$86,2)</f>
        <v>80</v>
      </c>
      <c r="F5958" s="0" t="n">
        <f aca="false">IF(C5958&gt;1,IF(C5958&lt;99,VLOOKUP(C5958,'Babblefish-APUMA'!$A$1:$B$86,2),C5958),C5958)</f>
        <v>90</v>
      </c>
    </row>
    <row r="5959" customFormat="false" ht="12.75" hidden="false" customHeight="false" outlineLevel="0" collapsed="false">
      <c r="A5959" s="0" t="n">
        <f aca="false">B5959*1000+C5959</f>
        <v>80064</v>
      </c>
      <c r="B5959" s="0" t="n">
        <v>80</v>
      </c>
      <c r="C5959" s="0" t="n">
        <v>64</v>
      </c>
      <c r="D5959" s="0" t="n">
        <v>494</v>
      </c>
      <c r="E5959" s="0" t="n">
        <f aca="false">VLOOKUP(B5959,'Babblefish-APUMA'!$A$1:$B$86,2)</f>
        <v>80</v>
      </c>
      <c r="F5959" s="0" t="n">
        <f aca="false">IF(C5959&gt;1,IF(C5959&lt;99,VLOOKUP(C5959,'Babblefish-APUMA'!$A$1:$B$86,2),C5959),C5959)</f>
        <v>90</v>
      </c>
    </row>
    <row r="5960" customFormat="false" ht="12.75" hidden="false" customHeight="false" outlineLevel="0" collapsed="false">
      <c r="A5960" s="0" t="n">
        <f aca="false">B5960*1000+C5960</f>
        <v>80065</v>
      </c>
      <c r="B5960" s="0" t="n">
        <v>80</v>
      </c>
      <c r="C5960" s="0" t="n">
        <v>65</v>
      </c>
      <c r="D5960" s="0" t="n">
        <v>104</v>
      </c>
      <c r="E5960" s="0" t="n">
        <f aca="false">VLOOKUP(B5960,'Babblefish-APUMA'!$A$1:$B$86,2)</f>
        <v>80</v>
      </c>
      <c r="F5960" s="0" t="n">
        <f aca="false">IF(C5960&gt;1,IF(C5960&lt;99,VLOOKUP(C5960,'Babblefish-APUMA'!$A$1:$B$86,2),C5960),C5960)</f>
        <v>90</v>
      </c>
    </row>
    <row r="5961" customFormat="false" ht="12.75" hidden="false" customHeight="false" outlineLevel="0" collapsed="false">
      <c r="A5961" s="0" t="n">
        <f aca="false">B5961*1000+C5961</f>
        <v>80066</v>
      </c>
      <c r="B5961" s="0" t="n">
        <v>80</v>
      </c>
      <c r="C5961" s="0" t="n">
        <v>66</v>
      </c>
      <c r="D5961" s="0" t="n">
        <v>0</v>
      </c>
      <c r="E5961" s="0" t="n">
        <f aca="false">VLOOKUP(B5961,'Babblefish-APUMA'!$A$1:$B$86,2)</f>
        <v>80</v>
      </c>
      <c r="F5961" s="0" t="n">
        <f aca="false">IF(C5961&gt;1,IF(C5961&lt;99,VLOOKUP(C5961,'Babblefish-APUMA'!$A$1:$B$86,2),C5961),C5961)</f>
        <v>90</v>
      </c>
    </row>
    <row r="5962" customFormat="false" ht="12.75" hidden="false" customHeight="false" outlineLevel="0" collapsed="false">
      <c r="A5962" s="0" t="n">
        <f aca="false">B5962*1000+C5962</f>
        <v>80067</v>
      </c>
      <c r="B5962" s="0" t="n">
        <v>80</v>
      </c>
      <c r="C5962" s="0" t="n">
        <v>67</v>
      </c>
      <c r="D5962" s="0" t="n">
        <v>182</v>
      </c>
      <c r="E5962" s="0" t="n">
        <f aca="false">VLOOKUP(B5962,'Babblefish-APUMA'!$A$1:$B$86,2)</f>
        <v>80</v>
      </c>
      <c r="F5962" s="0" t="n">
        <f aca="false">IF(C5962&gt;1,IF(C5962&lt;99,VLOOKUP(C5962,'Babblefish-APUMA'!$A$1:$B$86,2),C5962),C5962)</f>
        <v>103</v>
      </c>
    </row>
    <row r="5963" customFormat="false" ht="12.75" hidden="false" customHeight="false" outlineLevel="0" collapsed="false">
      <c r="A5963" s="0" t="n">
        <f aca="false">B5963*1000+C5963</f>
        <v>80068</v>
      </c>
      <c r="B5963" s="0" t="n">
        <v>80</v>
      </c>
      <c r="C5963" s="0" t="n">
        <v>68</v>
      </c>
      <c r="D5963" s="0" t="n">
        <v>0</v>
      </c>
      <c r="E5963" s="0" t="n">
        <f aca="false">VLOOKUP(B5963,'Babblefish-APUMA'!$A$1:$B$86,2)</f>
        <v>80</v>
      </c>
      <c r="F5963" s="0" t="n">
        <f aca="false">IF(C5963&gt;1,IF(C5963&lt;99,VLOOKUP(C5963,'Babblefish-APUMA'!$A$1:$B$86,2),C5963),C5963)</f>
        <v>93</v>
      </c>
    </row>
    <row r="5964" customFormat="false" ht="12.75" hidden="false" customHeight="false" outlineLevel="0" collapsed="false">
      <c r="A5964" s="0" t="n">
        <f aca="false">B5964*1000+C5964</f>
        <v>80069</v>
      </c>
      <c r="B5964" s="0" t="n">
        <v>80</v>
      </c>
      <c r="C5964" s="0" t="n">
        <v>69</v>
      </c>
      <c r="D5964" s="0" t="n">
        <v>0</v>
      </c>
      <c r="E5964" s="0" t="n">
        <f aca="false">VLOOKUP(B5964,'Babblefish-APUMA'!$A$1:$B$86,2)</f>
        <v>80</v>
      </c>
      <c r="F5964" s="0" t="n">
        <f aca="false">IF(C5964&gt;1,IF(C5964&lt;99,VLOOKUP(C5964,'Babblefish-APUMA'!$A$1:$B$86,2),C5964),C5964)</f>
        <v>93</v>
      </c>
    </row>
    <row r="5965" customFormat="false" ht="12.75" hidden="false" customHeight="false" outlineLevel="0" collapsed="false">
      <c r="A5965" s="0" t="n">
        <f aca="false">B5965*1000+C5965</f>
        <v>80070</v>
      </c>
      <c r="B5965" s="0" t="n">
        <v>80</v>
      </c>
      <c r="C5965" s="0" t="n">
        <v>70</v>
      </c>
      <c r="D5965" s="0" t="n">
        <v>0</v>
      </c>
      <c r="E5965" s="0" t="n">
        <f aca="false">VLOOKUP(B5965,'Babblefish-APUMA'!$A$1:$B$86,2)</f>
        <v>80</v>
      </c>
      <c r="F5965" s="0" t="n">
        <f aca="false">IF(C5965&gt;1,IF(C5965&lt;99,VLOOKUP(C5965,'Babblefish-APUMA'!$A$1:$B$86,2),C5965),C5965)</f>
        <v>95</v>
      </c>
    </row>
    <row r="5966" customFormat="false" ht="12.75" hidden="false" customHeight="false" outlineLevel="0" collapsed="false">
      <c r="A5966" s="0" t="n">
        <f aca="false">B5966*1000+C5966</f>
        <v>80071</v>
      </c>
      <c r="B5966" s="0" t="n">
        <v>80</v>
      </c>
      <c r="C5966" s="0" t="n">
        <v>71</v>
      </c>
      <c r="D5966" s="0" t="n">
        <v>0</v>
      </c>
      <c r="E5966" s="0" t="n">
        <f aca="false">VLOOKUP(B5966,'Babblefish-APUMA'!$A$1:$B$86,2)</f>
        <v>80</v>
      </c>
      <c r="F5966" s="0" t="n">
        <f aca="false">IF(C5966&gt;1,IF(C5966&lt;99,VLOOKUP(C5966,'Babblefish-APUMA'!$A$1:$B$86,2),C5966),C5966)</f>
        <v>95</v>
      </c>
    </row>
    <row r="5967" customFormat="false" ht="12.75" hidden="false" customHeight="false" outlineLevel="0" collapsed="false">
      <c r="A5967" s="0" t="n">
        <f aca="false">B5967*1000+C5967</f>
        <v>80072</v>
      </c>
      <c r="B5967" s="0" t="n">
        <v>80</v>
      </c>
      <c r="C5967" s="0" t="n">
        <v>72</v>
      </c>
      <c r="D5967" s="0" t="n">
        <v>0</v>
      </c>
      <c r="E5967" s="0" t="n">
        <f aca="false">VLOOKUP(B5967,'Babblefish-APUMA'!$A$1:$B$86,2)</f>
        <v>80</v>
      </c>
      <c r="F5967" s="0" t="n">
        <f aca="false">IF(C5967&gt;1,IF(C5967&lt;99,VLOOKUP(C5967,'Babblefish-APUMA'!$A$1:$B$86,2),C5967),C5967)</f>
        <v>95</v>
      </c>
    </row>
    <row r="5968" customFormat="false" ht="12.75" hidden="false" customHeight="false" outlineLevel="0" collapsed="false">
      <c r="A5968" s="0" t="n">
        <f aca="false">B5968*1000+C5968</f>
        <v>80073</v>
      </c>
      <c r="B5968" s="0" t="n">
        <v>80</v>
      </c>
      <c r="C5968" s="0" t="n">
        <v>73</v>
      </c>
      <c r="D5968" s="0" t="n">
        <v>0</v>
      </c>
      <c r="E5968" s="0" t="n">
        <f aca="false">VLOOKUP(B5968,'Babblefish-APUMA'!$A$1:$B$86,2)</f>
        <v>80</v>
      </c>
      <c r="F5968" s="0" t="n">
        <f aca="false">IF(C5968&gt;1,IF(C5968&lt;99,VLOOKUP(C5968,'Babblefish-APUMA'!$A$1:$B$86,2),C5968),C5968)</f>
        <v>99</v>
      </c>
    </row>
    <row r="5969" customFormat="false" ht="12.75" hidden="false" customHeight="false" outlineLevel="0" collapsed="false">
      <c r="A5969" s="0" t="n">
        <f aca="false">B5969*1000+C5969</f>
        <v>80075</v>
      </c>
      <c r="B5969" s="0" t="n">
        <v>80</v>
      </c>
      <c r="C5969" s="0" t="n">
        <v>75</v>
      </c>
      <c r="D5969" s="0" t="n">
        <v>0</v>
      </c>
      <c r="E5969" s="0" t="n">
        <f aca="false">VLOOKUP(B5969,'Babblefish-APUMA'!$A$1:$B$86,2)</f>
        <v>80</v>
      </c>
      <c r="F5969" s="0" t="n">
        <f aca="false">IF(C5969&gt;1,IF(C5969&lt;99,VLOOKUP(C5969,'Babblefish-APUMA'!$A$1:$B$86,2),C5969),C5969)</f>
        <v>75</v>
      </c>
    </row>
    <row r="5970" customFormat="false" ht="12.75" hidden="false" customHeight="false" outlineLevel="0" collapsed="false">
      <c r="A5970" s="0" t="n">
        <f aca="false">B5970*1000+C5970</f>
        <v>80076</v>
      </c>
      <c r="B5970" s="0" t="n">
        <v>80</v>
      </c>
      <c r="C5970" s="0" t="n">
        <v>76</v>
      </c>
      <c r="D5970" s="0" t="n">
        <v>0</v>
      </c>
      <c r="E5970" s="0" t="n">
        <f aca="false">VLOOKUP(B5970,'Babblefish-APUMA'!$A$1:$B$86,2)</f>
        <v>80</v>
      </c>
      <c r="F5970" s="0" t="n">
        <f aca="false">IF(C5970&gt;1,IF(C5970&lt;99,VLOOKUP(C5970,'Babblefish-APUMA'!$A$1:$B$86,2),C5970),C5970)</f>
        <v>76</v>
      </c>
    </row>
    <row r="5971" customFormat="false" ht="12.75" hidden="false" customHeight="false" outlineLevel="0" collapsed="false">
      <c r="A5971" s="0" t="n">
        <f aca="false">B5971*1000+C5971</f>
        <v>80077</v>
      </c>
      <c r="B5971" s="0" t="n">
        <v>80</v>
      </c>
      <c r="C5971" s="0" t="n">
        <v>77</v>
      </c>
      <c r="D5971" s="0" t="n">
        <v>0</v>
      </c>
      <c r="E5971" s="0" t="n">
        <f aca="false">VLOOKUP(B5971,'Babblefish-APUMA'!$A$1:$B$86,2)</f>
        <v>80</v>
      </c>
      <c r="F5971" s="0" t="n">
        <f aca="false">IF(C5971&gt;1,IF(C5971&lt;99,VLOOKUP(C5971,'Babblefish-APUMA'!$A$1:$B$86,2),C5971),C5971)</f>
        <v>77</v>
      </c>
    </row>
    <row r="5972" customFormat="false" ht="12.75" hidden="false" customHeight="false" outlineLevel="0" collapsed="false">
      <c r="A5972" s="0" t="n">
        <f aca="false">B5972*1000+C5972</f>
        <v>80078</v>
      </c>
      <c r="B5972" s="0" t="n">
        <v>80</v>
      </c>
      <c r="C5972" s="0" t="n">
        <v>78</v>
      </c>
      <c r="D5972" s="0" t="n">
        <v>91</v>
      </c>
      <c r="E5972" s="0" t="n">
        <f aca="false">VLOOKUP(B5972,'Babblefish-APUMA'!$A$1:$B$86,2)</f>
        <v>80</v>
      </c>
      <c r="F5972" s="0" t="n">
        <f aca="false">IF(C5972&gt;1,IF(C5972&lt;99,VLOOKUP(C5972,'Babblefish-APUMA'!$A$1:$B$86,2),C5972),C5972)</f>
        <v>89</v>
      </c>
    </row>
    <row r="5973" customFormat="false" ht="12.75" hidden="false" customHeight="false" outlineLevel="0" collapsed="false">
      <c r="A5973" s="0" t="n">
        <f aca="false">B5973*1000+C5973</f>
        <v>80079</v>
      </c>
      <c r="B5973" s="0" t="n">
        <v>80</v>
      </c>
      <c r="C5973" s="0" t="n">
        <v>79</v>
      </c>
      <c r="D5973" s="0" t="n">
        <v>169</v>
      </c>
      <c r="E5973" s="0" t="n">
        <f aca="false">VLOOKUP(B5973,'Babblefish-APUMA'!$A$1:$B$86,2)</f>
        <v>80</v>
      </c>
      <c r="F5973" s="0" t="n">
        <f aca="false">IF(C5973&gt;1,IF(C5973&lt;99,VLOOKUP(C5973,'Babblefish-APUMA'!$A$1:$B$86,2),C5973),C5973)</f>
        <v>89</v>
      </c>
    </row>
    <row r="5974" customFormat="false" ht="12.75" hidden="false" customHeight="false" outlineLevel="0" collapsed="false">
      <c r="A5974" s="0" t="n">
        <f aca="false">B5974*1000+C5974</f>
        <v>80080</v>
      </c>
      <c r="B5974" s="0" t="n">
        <v>80</v>
      </c>
      <c r="C5974" s="0" t="n">
        <v>80</v>
      </c>
      <c r="D5974" s="0" t="n">
        <v>82537</v>
      </c>
      <c r="E5974" s="0" t="n">
        <f aca="false">VLOOKUP(B5974,'Babblefish-APUMA'!$A$1:$B$86,2)</f>
        <v>80</v>
      </c>
      <c r="F5974" s="0" t="n">
        <f aca="false">IF(C5974&gt;1,IF(C5974&lt;99,VLOOKUP(C5974,'Babblefish-APUMA'!$A$1:$B$86,2),C5974),C5974)</f>
        <v>80</v>
      </c>
    </row>
    <row r="5975" customFormat="false" ht="12.75" hidden="false" customHeight="false" outlineLevel="0" collapsed="false">
      <c r="A5975" s="0" t="n">
        <f aca="false">B5975*1000+C5975</f>
        <v>80081</v>
      </c>
      <c r="B5975" s="0" t="n">
        <v>80</v>
      </c>
      <c r="C5975" s="0" t="n">
        <v>81</v>
      </c>
      <c r="D5975" s="0" t="n">
        <v>0</v>
      </c>
      <c r="E5975" s="0" t="n">
        <f aca="false">VLOOKUP(B5975,'Babblefish-APUMA'!$A$1:$B$86,2)</f>
        <v>80</v>
      </c>
      <c r="F5975" s="0" t="n">
        <f aca="false">IF(C5975&gt;1,IF(C5975&lt;99,VLOOKUP(C5975,'Babblefish-APUMA'!$A$1:$B$86,2),C5975),C5975)</f>
        <v>93</v>
      </c>
    </row>
    <row r="5976" customFormat="false" ht="12.75" hidden="false" customHeight="false" outlineLevel="0" collapsed="false">
      <c r="A5976" s="0" t="n">
        <f aca="false">B5976*1000+C5976</f>
        <v>80082</v>
      </c>
      <c r="B5976" s="0" t="n">
        <v>80</v>
      </c>
      <c r="C5976" s="0" t="n">
        <v>82</v>
      </c>
      <c r="D5976" s="0" t="n">
        <v>0</v>
      </c>
      <c r="E5976" s="0" t="n">
        <f aca="false">VLOOKUP(B5976,'Babblefish-APUMA'!$A$1:$B$86,2)</f>
        <v>80</v>
      </c>
      <c r="F5976" s="0" t="n">
        <f aca="false">IF(C5976&gt;1,IF(C5976&lt;99,VLOOKUP(C5976,'Babblefish-APUMA'!$A$1:$B$86,2),C5976),C5976)</f>
        <v>95</v>
      </c>
    </row>
    <row r="5977" customFormat="false" ht="12.75" hidden="false" customHeight="false" outlineLevel="0" collapsed="false">
      <c r="A5977" s="0" t="n">
        <f aca="false">B5977*1000+C5977</f>
        <v>80083</v>
      </c>
      <c r="B5977" s="0" t="n">
        <v>80</v>
      </c>
      <c r="C5977" s="0" t="n">
        <v>83</v>
      </c>
      <c r="D5977" s="0" t="n">
        <v>130</v>
      </c>
      <c r="E5977" s="0" t="n">
        <f aca="false">VLOOKUP(B5977,'Babblefish-APUMA'!$A$1:$B$86,2)</f>
        <v>80</v>
      </c>
      <c r="F5977" s="0" t="n">
        <f aca="false">IF(C5977&gt;1,IF(C5977&lt;99,VLOOKUP(C5977,'Babblefish-APUMA'!$A$1:$B$86,2),C5977),C5977)</f>
        <v>103</v>
      </c>
    </row>
    <row r="5978" customFormat="false" ht="12.75" hidden="false" customHeight="false" outlineLevel="0" collapsed="false">
      <c r="A5978" s="0" t="n">
        <f aca="false">B5978*1000+C5978</f>
        <v>80084</v>
      </c>
      <c r="B5978" s="0" t="n">
        <v>80</v>
      </c>
      <c r="C5978" s="0" t="n">
        <v>84</v>
      </c>
      <c r="D5978" s="0" t="n">
        <v>0</v>
      </c>
      <c r="E5978" s="0" t="n">
        <f aca="false">VLOOKUP(B5978,'Babblefish-APUMA'!$A$1:$B$86,2)</f>
        <v>80</v>
      </c>
      <c r="F5978" s="0" t="n">
        <f aca="false">IF(C5978&gt;1,IF(C5978&lt;99,VLOOKUP(C5978,'Babblefish-APUMA'!$A$1:$B$86,2),C5978),C5978)</f>
        <v>92</v>
      </c>
    </row>
    <row r="5979" customFormat="false" ht="12.75" hidden="false" customHeight="false" outlineLevel="0" collapsed="false">
      <c r="A5979" s="0" t="n">
        <f aca="false">B5979*1000+C5979</f>
        <v>80085</v>
      </c>
      <c r="B5979" s="0" t="n">
        <v>80</v>
      </c>
      <c r="C5979" s="0" t="n">
        <v>85</v>
      </c>
      <c r="D5979" s="0" t="n">
        <v>0</v>
      </c>
      <c r="E5979" s="0" t="n">
        <f aca="false">VLOOKUP(B5979,'Babblefish-APUMA'!$A$1:$B$86,2)</f>
        <v>80</v>
      </c>
      <c r="F5979" s="0" t="n">
        <f aca="false">IF(C5979&gt;1,IF(C5979&lt;99,VLOOKUP(C5979,'Babblefish-APUMA'!$A$1:$B$86,2),C5979),C5979)</f>
        <v>97</v>
      </c>
    </row>
    <row r="5980" customFormat="false" ht="12.75" hidden="false" customHeight="false" outlineLevel="0" collapsed="false">
      <c r="A5980" s="0" t="n">
        <f aca="false">B5980*1000+C5980</f>
        <v>80858</v>
      </c>
      <c r="B5980" s="0" t="n">
        <v>80</v>
      </c>
      <c r="C5980" s="0" t="n">
        <v>858</v>
      </c>
      <c r="D5980" s="0" t="n">
        <v>0</v>
      </c>
      <c r="E5980" s="0" t="n">
        <f aca="false">VLOOKUP(B5980,'Babblefish-APUMA'!$A$1:$B$86,2)</f>
        <v>80</v>
      </c>
      <c r="F5980" s="0" t="n">
        <f aca="false">IF(C5980&gt;1,IF(C5980&lt;99,VLOOKUP(C5980,'Babblefish-APUMA'!$A$1:$B$86,2),C5980),C5980)</f>
        <v>858</v>
      </c>
    </row>
    <row r="5981" customFormat="false" ht="12.75" hidden="false" customHeight="false" outlineLevel="0" collapsed="false">
      <c r="A5981" s="0" t="n">
        <f aca="false">B5981*1000+C5981</f>
        <v>80983</v>
      </c>
      <c r="B5981" s="0" t="n">
        <v>80</v>
      </c>
      <c r="C5981" s="0" t="n">
        <v>983</v>
      </c>
      <c r="D5981" s="0" t="n">
        <v>0</v>
      </c>
      <c r="E5981" s="0" t="n">
        <f aca="false">VLOOKUP(B5981,'Babblefish-APUMA'!$A$1:$B$86,2)</f>
        <v>80</v>
      </c>
      <c r="F5981" s="0" t="n">
        <f aca="false">IF(C5981&gt;1,IF(C5981&lt;99,VLOOKUP(C5981,'Babblefish-APUMA'!$A$1:$B$86,2),C5981),C5981)</f>
        <v>983</v>
      </c>
    </row>
    <row r="5982" customFormat="false" ht="12.75" hidden="false" customHeight="false" outlineLevel="0" collapsed="false">
      <c r="A5982" s="0" t="n">
        <f aca="false">B5982*1000+C5982</f>
        <v>80999</v>
      </c>
      <c r="B5982" s="0" t="n">
        <v>80</v>
      </c>
      <c r="C5982" s="0" t="n">
        <v>999</v>
      </c>
      <c r="D5982" s="0" t="n">
        <v>0</v>
      </c>
      <c r="E5982" s="0" t="n">
        <f aca="false">VLOOKUP(B5982,'Babblefish-APUMA'!$A$1:$B$86,2)</f>
        <v>80</v>
      </c>
      <c r="F5982" s="0" t="n">
        <f aca="false">IF(C5982&gt;1,IF(C5982&lt;99,VLOOKUP(C5982,'Babblefish-APUMA'!$A$1:$B$86,2),C5982),C5982)</f>
        <v>999</v>
      </c>
    </row>
    <row r="5983" customFormat="false" ht="12.75" hidden="false" customHeight="false" outlineLevel="0" collapsed="false">
      <c r="A5983" s="0" t="n">
        <f aca="false">B5983*1000+C5983</f>
        <v>81000</v>
      </c>
      <c r="B5983" s="0" t="n">
        <v>81</v>
      </c>
      <c r="C5983" s="0" t="n">
        <v>0</v>
      </c>
      <c r="D5983" s="0" t="n">
        <v>122642</v>
      </c>
      <c r="E5983" s="0" t="n">
        <f aca="false">VLOOKUP(B5983,'Babblefish-APUMA'!$A$1:$B$86,2)</f>
        <v>93</v>
      </c>
      <c r="F5983" s="0" t="n">
        <f aca="false">IF(C5983&gt;1,IF(C5983&lt;99,VLOOKUP(C5983,'Babblefish-APUMA'!$A$1:$B$86,2),C5983),C5983)</f>
        <v>0</v>
      </c>
    </row>
    <row r="5984" customFormat="false" ht="12.75" hidden="false" customHeight="false" outlineLevel="0" collapsed="false">
      <c r="A5984" s="0" t="n">
        <f aca="false">B5984*1000+C5984</f>
        <v>81001</v>
      </c>
      <c r="B5984" s="0" t="n">
        <v>81</v>
      </c>
      <c r="C5984" s="0" t="n">
        <v>1</v>
      </c>
      <c r="D5984" s="0" t="n">
        <v>117</v>
      </c>
      <c r="E5984" s="0" t="n">
        <f aca="false">VLOOKUP(B5984,'Babblefish-APUMA'!$A$1:$B$86,2)</f>
        <v>93</v>
      </c>
      <c r="F5984" s="0" t="n">
        <f aca="false">IF(C5984&gt;1,IF(C5984&lt;99,VLOOKUP(C5984,'Babblefish-APUMA'!$A$1:$B$86,2),C5984),C5984)</f>
        <v>1</v>
      </c>
    </row>
    <row r="5985" customFormat="false" ht="12.75" hidden="false" customHeight="false" outlineLevel="0" collapsed="false">
      <c r="A5985" s="0" t="n">
        <f aca="false">B5985*1000+C5985</f>
        <v>81002</v>
      </c>
      <c r="B5985" s="0" t="n">
        <v>81</v>
      </c>
      <c r="C5985" s="0" t="n">
        <v>2</v>
      </c>
      <c r="D5985" s="0" t="n">
        <v>104</v>
      </c>
      <c r="E5985" s="0" t="n">
        <f aca="false">VLOOKUP(B5985,'Babblefish-APUMA'!$A$1:$B$86,2)</f>
        <v>93</v>
      </c>
      <c r="F5985" s="0" t="n">
        <f aca="false">IF(C5985&gt;1,IF(C5985&lt;99,VLOOKUP(C5985,'Babblefish-APUMA'!$A$1:$B$86,2),C5985),C5985)</f>
        <v>2</v>
      </c>
    </row>
    <row r="5986" customFormat="false" ht="12.75" hidden="false" customHeight="false" outlineLevel="0" collapsed="false">
      <c r="A5986" s="0" t="n">
        <f aca="false">B5986*1000+C5986</f>
        <v>81003</v>
      </c>
      <c r="B5986" s="0" t="n">
        <v>81</v>
      </c>
      <c r="C5986" s="0" t="n">
        <v>3</v>
      </c>
      <c r="D5986" s="0" t="n">
        <v>0</v>
      </c>
      <c r="E5986" s="0" t="n">
        <f aca="false">VLOOKUP(B5986,'Babblefish-APUMA'!$A$1:$B$86,2)</f>
        <v>93</v>
      </c>
      <c r="F5986" s="0" t="n">
        <f aca="false">IF(C5986&gt;1,IF(C5986&lt;99,VLOOKUP(C5986,'Babblefish-APUMA'!$A$1:$B$86,2),C5986),C5986)</f>
        <v>3</v>
      </c>
    </row>
    <row r="5987" customFormat="false" ht="12.75" hidden="false" customHeight="false" outlineLevel="0" collapsed="false">
      <c r="A5987" s="0" t="n">
        <f aca="false">B5987*1000+C5987</f>
        <v>81004</v>
      </c>
      <c r="B5987" s="0" t="n">
        <v>81</v>
      </c>
      <c r="C5987" s="0" t="n">
        <v>4</v>
      </c>
      <c r="D5987" s="0" t="n">
        <v>0</v>
      </c>
      <c r="E5987" s="0" t="n">
        <f aca="false">VLOOKUP(B5987,'Babblefish-APUMA'!$A$1:$B$86,2)</f>
        <v>93</v>
      </c>
      <c r="F5987" s="0" t="n">
        <f aca="false">IF(C5987&gt;1,IF(C5987&lt;99,VLOOKUP(C5987,'Babblefish-APUMA'!$A$1:$B$86,2),C5987),C5987)</f>
        <v>4</v>
      </c>
    </row>
    <row r="5988" customFormat="false" ht="12.75" hidden="false" customHeight="false" outlineLevel="0" collapsed="false">
      <c r="A5988" s="0" t="n">
        <f aca="false">B5988*1000+C5988</f>
        <v>81005</v>
      </c>
      <c r="B5988" s="0" t="n">
        <v>81</v>
      </c>
      <c r="C5988" s="0" t="n">
        <v>5</v>
      </c>
      <c r="D5988" s="0" t="n">
        <v>0</v>
      </c>
      <c r="E5988" s="0" t="n">
        <f aca="false">VLOOKUP(B5988,'Babblefish-APUMA'!$A$1:$B$86,2)</f>
        <v>93</v>
      </c>
      <c r="F5988" s="0" t="n">
        <f aca="false">IF(C5988&gt;1,IF(C5988&lt;99,VLOOKUP(C5988,'Babblefish-APUMA'!$A$1:$B$86,2),C5988),C5988)</f>
        <v>5</v>
      </c>
    </row>
    <row r="5989" customFormat="false" ht="12.75" hidden="false" customHeight="false" outlineLevel="0" collapsed="false">
      <c r="A5989" s="0" t="n">
        <f aca="false">B5989*1000+C5989</f>
        <v>81006</v>
      </c>
      <c r="B5989" s="0" t="n">
        <v>81</v>
      </c>
      <c r="C5989" s="0" t="n">
        <v>6</v>
      </c>
      <c r="D5989" s="0" t="n">
        <v>117</v>
      </c>
      <c r="E5989" s="0" t="n">
        <f aca="false">VLOOKUP(B5989,'Babblefish-APUMA'!$A$1:$B$86,2)</f>
        <v>93</v>
      </c>
      <c r="F5989" s="0" t="n">
        <f aca="false">IF(C5989&gt;1,IF(C5989&lt;99,VLOOKUP(C5989,'Babblefish-APUMA'!$A$1:$B$86,2),C5989),C5989)</f>
        <v>6</v>
      </c>
    </row>
    <row r="5990" customFormat="false" ht="12.75" hidden="false" customHeight="false" outlineLevel="0" collapsed="false">
      <c r="A5990" s="0" t="n">
        <f aca="false">B5990*1000+C5990</f>
        <v>81007</v>
      </c>
      <c r="B5990" s="0" t="n">
        <v>81</v>
      </c>
      <c r="C5990" s="0" t="n">
        <v>7</v>
      </c>
      <c r="D5990" s="0" t="n">
        <v>0</v>
      </c>
      <c r="E5990" s="0" t="n">
        <f aca="false">VLOOKUP(B5990,'Babblefish-APUMA'!$A$1:$B$86,2)</f>
        <v>93</v>
      </c>
      <c r="F5990" s="0" t="n">
        <f aca="false">IF(C5990&gt;1,IF(C5990&lt;99,VLOOKUP(C5990,'Babblefish-APUMA'!$A$1:$B$86,2),C5990),C5990)</f>
        <v>7</v>
      </c>
    </row>
    <row r="5991" customFormat="false" ht="12.75" hidden="false" customHeight="false" outlineLevel="0" collapsed="false">
      <c r="A5991" s="0" t="n">
        <f aca="false">B5991*1000+C5991</f>
        <v>81008</v>
      </c>
      <c r="B5991" s="0" t="n">
        <v>81</v>
      </c>
      <c r="C5991" s="0" t="n">
        <v>8</v>
      </c>
      <c r="D5991" s="0" t="n">
        <v>0</v>
      </c>
      <c r="E5991" s="0" t="n">
        <f aca="false">VLOOKUP(B5991,'Babblefish-APUMA'!$A$1:$B$86,2)</f>
        <v>93</v>
      </c>
      <c r="F5991" s="0" t="n">
        <f aca="false">IF(C5991&gt;1,IF(C5991&lt;99,VLOOKUP(C5991,'Babblefish-APUMA'!$A$1:$B$86,2),C5991),C5991)</f>
        <v>8</v>
      </c>
    </row>
    <row r="5992" customFormat="false" ht="12.75" hidden="false" customHeight="false" outlineLevel="0" collapsed="false">
      <c r="A5992" s="0" t="n">
        <f aca="false">B5992*1000+C5992</f>
        <v>81009</v>
      </c>
      <c r="B5992" s="0" t="n">
        <v>81</v>
      </c>
      <c r="C5992" s="0" t="n">
        <v>9</v>
      </c>
      <c r="D5992" s="0" t="n">
        <v>0</v>
      </c>
      <c r="E5992" s="0" t="n">
        <f aca="false">VLOOKUP(B5992,'Babblefish-APUMA'!$A$1:$B$86,2)</f>
        <v>93</v>
      </c>
      <c r="F5992" s="0" t="n">
        <f aca="false">IF(C5992&gt;1,IF(C5992&lt;99,VLOOKUP(C5992,'Babblefish-APUMA'!$A$1:$B$86,2),C5992),C5992)</f>
        <v>9</v>
      </c>
    </row>
    <row r="5993" customFormat="false" ht="12.75" hidden="false" customHeight="false" outlineLevel="0" collapsed="false">
      <c r="A5993" s="0" t="n">
        <f aca="false">B5993*1000+C5993</f>
        <v>81010</v>
      </c>
      <c r="B5993" s="0" t="n">
        <v>81</v>
      </c>
      <c r="C5993" s="0" t="n">
        <v>10</v>
      </c>
      <c r="D5993" s="0" t="n">
        <v>0</v>
      </c>
      <c r="E5993" s="0" t="n">
        <f aca="false">VLOOKUP(B5993,'Babblefish-APUMA'!$A$1:$B$86,2)</f>
        <v>93</v>
      </c>
      <c r="F5993" s="0" t="n">
        <f aca="false">IF(C5993&gt;1,IF(C5993&lt;99,VLOOKUP(C5993,'Babblefish-APUMA'!$A$1:$B$86,2),C5993),C5993)</f>
        <v>10</v>
      </c>
    </row>
    <row r="5994" customFormat="false" ht="12.75" hidden="false" customHeight="false" outlineLevel="0" collapsed="false">
      <c r="A5994" s="0" t="n">
        <f aca="false">B5994*1000+C5994</f>
        <v>81011</v>
      </c>
      <c r="B5994" s="0" t="n">
        <v>81</v>
      </c>
      <c r="C5994" s="0" t="n">
        <v>11</v>
      </c>
      <c r="D5994" s="0" t="n">
        <v>0</v>
      </c>
      <c r="E5994" s="0" t="n">
        <f aca="false">VLOOKUP(B5994,'Babblefish-APUMA'!$A$1:$B$86,2)</f>
        <v>93</v>
      </c>
      <c r="F5994" s="0" t="n">
        <f aca="false">IF(C5994&gt;1,IF(C5994&lt;99,VLOOKUP(C5994,'Babblefish-APUMA'!$A$1:$B$86,2),C5994),C5994)</f>
        <v>11</v>
      </c>
    </row>
    <row r="5995" customFormat="false" ht="12.75" hidden="false" customHeight="false" outlineLevel="0" collapsed="false">
      <c r="A5995" s="0" t="n">
        <f aca="false">B5995*1000+C5995</f>
        <v>81012</v>
      </c>
      <c r="B5995" s="0" t="n">
        <v>81</v>
      </c>
      <c r="C5995" s="0" t="n">
        <v>12</v>
      </c>
      <c r="D5995" s="0" t="n">
        <v>0</v>
      </c>
      <c r="E5995" s="0" t="n">
        <f aca="false">VLOOKUP(B5995,'Babblefish-APUMA'!$A$1:$B$86,2)</f>
        <v>93</v>
      </c>
      <c r="F5995" s="0" t="n">
        <f aca="false">IF(C5995&gt;1,IF(C5995&lt;99,VLOOKUP(C5995,'Babblefish-APUMA'!$A$1:$B$86,2),C5995),C5995)</f>
        <v>12</v>
      </c>
    </row>
    <row r="5996" customFormat="false" ht="12.75" hidden="false" customHeight="false" outlineLevel="0" collapsed="false">
      <c r="A5996" s="0" t="n">
        <f aca="false">B5996*1000+C5996</f>
        <v>81013</v>
      </c>
      <c r="B5996" s="0" t="n">
        <v>81</v>
      </c>
      <c r="C5996" s="0" t="n">
        <v>13</v>
      </c>
      <c r="D5996" s="0" t="n">
        <v>0</v>
      </c>
      <c r="E5996" s="0" t="n">
        <f aca="false">VLOOKUP(B5996,'Babblefish-APUMA'!$A$1:$B$86,2)</f>
        <v>93</v>
      </c>
      <c r="F5996" s="0" t="n">
        <f aca="false">IF(C5996&gt;1,IF(C5996&lt;99,VLOOKUP(C5996,'Babblefish-APUMA'!$A$1:$B$86,2),C5996),C5996)</f>
        <v>100</v>
      </c>
    </row>
    <row r="5997" customFormat="false" ht="12.75" hidden="false" customHeight="false" outlineLevel="0" collapsed="false">
      <c r="A5997" s="0" t="n">
        <f aca="false">B5997*1000+C5997</f>
        <v>81014</v>
      </c>
      <c r="B5997" s="0" t="n">
        <v>81</v>
      </c>
      <c r="C5997" s="0" t="n">
        <v>14</v>
      </c>
      <c r="D5997" s="0" t="n">
        <v>0</v>
      </c>
      <c r="E5997" s="0" t="n">
        <f aca="false">VLOOKUP(B5997,'Babblefish-APUMA'!$A$1:$B$86,2)</f>
        <v>93</v>
      </c>
      <c r="F5997" s="0" t="n">
        <f aca="false">IF(C5997&gt;1,IF(C5997&lt;99,VLOOKUP(C5997,'Babblefish-APUMA'!$A$1:$B$86,2),C5997),C5997)</f>
        <v>100</v>
      </c>
    </row>
    <row r="5998" customFormat="false" ht="12.75" hidden="false" customHeight="false" outlineLevel="0" collapsed="false">
      <c r="A5998" s="0" t="n">
        <f aca="false">B5998*1000+C5998</f>
        <v>81015</v>
      </c>
      <c r="B5998" s="0" t="n">
        <v>81</v>
      </c>
      <c r="C5998" s="0" t="n">
        <v>15</v>
      </c>
      <c r="D5998" s="0" t="n">
        <v>0</v>
      </c>
      <c r="E5998" s="0" t="n">
        <f aca="false">VLOOKUP(B5998,'Babblefish-APUMA'!$A$1:$B$86,2)</f>
        <v>93</v>
      </c>
      <c r="F5998" s="0" t="n">
        <f aca="false">IF(C5998&gt;1,IF(C5998&lt;99,VLOOKUP(C5998,'Babblefish-APUMA'!$A$1:$B$86,2),C5998),C5998)</f>
        <v>15</v>
      </c>
    </row>
    <row r="5999" customFormat="false" ht="12.75" hidden="false" customHeight="false" outlineLevel="0" collapsed="false">
      <c r="A5999" s="0" t="n">
        <f aca="false">B5999*1000+C5999</f>
        <v>81016</v>
      </c>
      <c r="B5999" s="0" t="n">
        <v>81</v>
      </c>
      <c r="C5999" s="0" t="n">
        <v>16</v>
      </c>
      <c r="D5999" s="0" t="n">
        <v>0</v>
      </c>
      <c r="E5999" s="0" t="n">
        <f aca="false">VLOOKUP(B5999,'Babblefish-APUMA'!$A$1:$B$86,2)</f>
        <v>93</v>
      </c>
      <c r="F5999" s="0" t="n">
        <f aca="false">IF(C5999&gt;1,IF(C5999&lt;99,VLOOKUP(C5999,'Babblefish-APUMA'!$A$1:$B$86,2),C5999),C5999)</f>
        <v>99</v>
      </c>
    </row>
    <row r="6000" customFormat="false" ht="12.75" hidden="false" customHeight="false" outlineLevel="0" collapsed="false">
      <c r="A6000" s="0" t="n">
        <f aca="false">B6000*1000+C6000</f>
        <v>81017</v>
      </c>
      <c r="B6000" s="0" t="n">
        <v>81</v>
      </c>
      <c r="C6000" s="0" t="n">
        <v>17</v>
      </c>
      <c r="D6000" s="0" t="n">
        <v>0</v>
      </c>
      <c r="E6000" s="0" t="n">
        <f aca="false">VLOOKUP(B6000,'Babblefish-APUMA'!$A$1:$B$86,2)</f>
        <v>93</v>
      </c>
      <c r="F6000" s="0" t="n">
        <f aca="false">IF(C6000&gt;1,IF(C6000&lt;99,VLOOKUP(C6000,'Babblefish-APUMA'!$A$1:$B$86,2),C6000),C6000)</f>
        <v>87</v>
      </c>
    </row>
    <row r="6001" customFormat="false" ht="12.75" hidden="false" customHeight="false" outlineLevel="0" collapsed="false">
      <c r="A6001" s="0" t="n">
        <f aca="false">B6001*1000+C6001</f>
        <v>81018</v>
      </c>
      <c r="B6001" s="0" t="n">
        <v>81</v>
      </c>
      <c r="C6001" s="0" t="n">
        <v>18</v>
      </c>
      <c r="D6001" s="0" t="n">
        <v>0</v>
      </c>
      <c r="E6001" s="0" t="n">
        <f aca="false">VLOOKUP(B6001,'Babblefish-APUMA'!$A$1:$B$86,2)</f>
        <v>93</v>
      </c>
      <c r="F6001" s="0" t="n">
        <f aca="false">IF(C6001&gt;1,IF(C6001&lt;99,VLOOKUP(C6001,'Babblefish-APUMA'!$A$1:$B$86,2),C6001),C6001)</f>
        <v>87</v>
      </c>
    </row>
    <row r="6002" customFormat="false" ht="12.75" hidden="false" customHeight="false" outlineLevel="0" collapsed="false">
      <c r="A6002" s="0" t="n">
        <f aca="false">B6002*1000+C6002</f>
        <v>81019</v>
      </c>
      <c r="B6002" s="0" t="n">
        <v>81</v>
      </c>
      <c r="C6002" s="0" t="n">
        <v>19</v>
      </c>
      <c r="D6002" s="0" t="n">
        <v>130</v>
      </c>
      <c r="E6002" s="0" t="n">
        <f aca="false">VLOOKUP(B6002,'Babblefish-APUMA'!$A$1:$B$86,2)</f>
        <v>93</v>
      </c>
      <c r="F6002" s="0" t="n">
        <f aca="false">IF(C6002&gt;1,IF(C6002&lt;99,VLOOKUP(C6002,'Babblefish-APUMA'!$A$1:$B$86,2),C6002),C6002)</f>
        <v>19</v>
      </c>
    </row>
    <row r="6003" customFormat="false" ht="12.75" hidden="false" customHeight="false" outlineLevel="0" collapsed="false">
      <c r="A6003" s="0" t="n">
        <f aca="false">B6003*1000+C6003</f>
        <v>81020</v>
      </c>
      <c r="B6003" s="0" t="n">
        <v>81</v>
      </c>
      <c r="C6003" s="0" t="n">
        <v>20</v>
      </c>
      <c r="D6003" s="0" t="n">
        <v>0</v>
      </c>
      <c r="E6003" s="0" t="n">
        <f aca="false">VLOOKUP(B6003,'Babblefish-APUMA'!$A$1:$B$86,2)</f>
        <v>93</v>
      </c>
      <c r="F6003" s="0" t="n">
        <f aca="false">IF(C6003&gt;1,IF(C6003&lt;99,VLOOKUP(C6003,'Babblefish-APUMA'!$A$1:$B$86,2),C6003),C6003)</f>
        <v>86</v>
      </c>
    </row>
    <row r="6004" customFormat="false" ht="12.75" hidden="false" customHeight="false" outlineLevel="0" collapsed="false">
      <c r="A6004" s="0" t="n">
        <f aca="false">B6004*1000+C6004</f>
        <v>81021</v>
      </c>
      <c r="B6004" s="0" t="n">
        <v>81</v>
      </c>
      <c r="C6004" s="0" t="n">
        <v>21</v>
      </c>
      <c r="D6004" s="0" t="n">
        <v>104</v>
      </c>
      <c r="E6004" s="0" t="n">
        <f aca="false">VLOOKUP(B6004,'Babblefish-APUMA'!$A$1:$B$86,2)</f>
        <v>93</v>
      </c>
      <c r="F6004" s="0" t="n">
        <f aca="false">IF(C6004&gt;1,IF(C6004&lt;99,VLOOKUP(C6004,'Babblefish-APUMA'!$A$1:$B$86,2),C6004),C6004)</f>
        <v>86</v>
      </c>
    </row>
    <row r="6005" customFormat="false" ht="12.75" hidden="false" customHeight="false" outlineLevel="0" collapsed="false">
      <c r="A6005" s="0" t="n">
        <f aca="false">B6005*1000+C6005</f>
        <v>81022</v>
      </c>
      <c r="B6005" s="0" t="n">
        <v>81</v>
      </c>
      <c r="C6005" s="0" t="n">
        <v>22</v>
      </c>
      <c r="D6005" s="0" t="n">
        <v>0</v>
      </c>
      <c r="E6005" s="0" t="n">
        <f aca="false">VLOOKUP(B6005,'Babblefish-APUMA'!$A$1:$B$86,2)</f>
        <v>93</v>
      </c>
      <c r="F6005" s="0" t="n">
        <f aca="false">IF(C6005&gt;1,IF(C6005&lt;99,VLOOKUP(C6005,'Babblefish-APUMA'!$A$1:$B$86,2),C6005),C6005)</f>
        <v>22</v>
      </c>
    </row>
    <row r="6006" customFormat="false" ht="12.75" hidden="false" customHeight="false" outlineLevel="0" collapsed="false">
      <c r="A6006" s="0" t="n">
        <f aca="false">B6006*1000+C6006</f>
        <v>81023</v>
      </c>
      <c r="B6006" s="0" t="n">
        <v>81</v>
      </c>
      <c r="C6006" s="0" t="n">
        <v>23</v>
      </c>
      <c r="D6006" s="0" t="n">
        <v>0</v>
      </c>
      <c r="E6006" s="0" t="n">
        <f aca="false">VLOOKUP(B6006,'Babblefish-APUMA'!$A$1:$B$86,2)</f>
        <v>93</v>
      </c>
      <c r="F6006" s="0" t="n">
        <f aca="false">IF(C6006&gt;1,IF(C6006&lt;99,VLOOKUP(C6006,'Babblefish-APUMA'!$A$1:$B$86,2),C6006),C6006)</f>
        <v>97</v>
      </c>
    </row>
    <row r="6007" customFormat="false" ht="12.75" hidden="false" customHeight="false" outlineLevel="0" collapsed="false">
      <c r="A6007" s="0" t="n">
        <f aca="false">B6007*1000+C6007</f>
        <v>81024</v>
      </c>
      <c r="B6007" s="0" t="n">
        <v>81</v>
      </c>
      <c r="C6007" s="0" t="n">
        <v>24</v>
      </c>
      <c r="D6007" s="0" t="n">
        <v>0</v>
      </c>
      <c r="E6007" s="0" t="n">
        <f aca="false">VLOOKUP(B6007,'Babblefish-APUMA'!$A$1:$B$86,2)</f>
        <v>93</v>
      </c>
      <c r="F6007" s="0" t="n">
        <f aca="false">IF(C6007&gt;1,IF(C6007&lt;99,VLOOKUP(C6007,'Babblefish-APUMA'!$A$1:$B$86,2),C6007),C6007)</f>
        <v>101</v>
      </c>
    </row>
    <row r="6008" customFormat="false" ht="12.75" hidden="false" customHeight="false" outlineLevel="0" collapsed="false">
      <c r="A6008" s="0" t="n">
        <f aca="false">B6008*1000+C6008</f>
        <v>81025</v>
      </c>
      <c r="B6008" s="0" t="n">
        <v>81</v>
      </c>
      <c r="C6008" s="0" t="n">
        <v>25</v>
      </c>
      <c r="D6008" s="0" t="n">
        <v>0</v>
      </c>
      <c r="E6008" s="0" t="n">
        <f aca="false">VLOOKUP(B6008,'Babblefish-APUMA'!$A$1:$B$86,2)</f>
        <v>93</v>
      </c>
      <c r="F6008" s="0" t="n">
        <f aca="false">IF(C6008&gt;1,IF(C6008&lt;99,VLOOKUP(C6008,'Babblefish-APUMA'!$A$1:$B$86,2),C6008),C6008)</f>
        <v>101</v>
      </c>
    </row>
    <row r="6009" customFormat="false" ht="12.75" hidden="false" customHeight="false" outlineLevel="0" collapsed="false">
      <c r="A6009" s="0" t="n">
        <f aca="false">B6009*1000+C6009</f>
        <v>81026</v>
      </c>
      <c r="B6009" s="0" t="n">
        <v>81</v>
      </c>
      <c r="C6009" s="0" t="n">
        <v>26</v>
      </c>
      <c r="D6009" s="0" t="n">
        <v>0</v>
      </c>
      <c r="E6009" s="0" t="n">
        <f aca="false">VLOOKUP(B6009,'Babblefish-APUMA'!$A$1:$B$86,2)</f>
        <v>93</v>
      </c>
      <c r="F6009" s="0" t="n">
        <f aca="false">IF(C6009&gt;1,IF(C6009&lt;99,VLOOKUP(C6009,'Babblefish-APUMA'!$A$1:$B$86,2),C6009),C6009)</f>
        <v>26</v>
      </c>
    </row>
    <row r="6010" customFormat="false" ht="12.75" hidden="false" customHeight="false" outlineLevel="0" collapsed="false">
      <c r="A6010" s="0" t="n">
        <f aca="false">B6010*1000+C6010</f>
        <v>81027</v>
      </c>
      <c r="B6010" s="0" t="n">
        <v>81</v>
      </c>
      <c r="C6010" s="0" t="n">
        <v>27</v>
      </c>
      <c r="D6010" s="0" t="n">
        <v>0</v>
      </c>
      <c r="E6010" s="0" t="n">
        <f aca="false">VLOOKUP(B6010,'Babblefish-APUMA'!$A$1:$B$86,2)</f>
        <v>93</v>
      </c>
      <c r="F6010" s="0" t="n">
        <f aca="false">IF(C6010&gt;1,IF(C6010&lt;99,VLOOKUP(C6010,'Babblefish-APUMA'!$A$1:$B$86,2),C6010),C6010)</f>
        <v>27</v>
      </c>
    </row>
    <row r="6011" customFormat="false" ht="12.75" hidden="false" customHeight="false" outlineLevel="0" collapsed="false">
      <c r="A6011" s="0" t="n">
        <f aca="false">B6011*1000+C6011</f>
        <v>81028</v>
      </c>
      <c r="B6011" s="0" t="n">
        <v>81</v>
      </c>
      <c r="C6011" s="0" t="n">
        <v>28</v>
      </c>
      <c r="D6011" s="0" t="n">
        <v>0</v>
      </c>
      <c r="E6011" s="0" t="n">
        <f aca="false">VLOOKUP(B6011,'Babblefish-APUMA'!$A$1:$B$86,2)</f>
        <v>93</v>
      </c>
      <c r="F6011" s="0" t="n">
        <f aca="false">IF(C6011&gt;1,IF(C6011&lt;99,VLOOKUP(C6011,'Babblefish-APUMA'!$A$1:$B$86,2),C6011),C6011)</f>
        <v>94</v>
      </c>
    </row>
    <row r="6012" customFormat="false" ht="12.75" hidden="false" customHeight="false" outlineLevel="0" collapsed="false">
      <c r="A6012" s="0" t="n">
        <f aca="false">B6012*1000+C6012</f>
        <v>81029</v>
      </c>
      <c r="B6012" s="0" t="n">
        <v>81</v>
      </c>
      <c r="C6012" s="0" t="n">
        <v>29</v>
      </c>
      <c r="D6012" s="0" t="n">
        <v>0</v>
      </c>
      <c r="E6012" s="0" t="n">
        <f aca="false">VLOOKUP(B6012,'Babblefish-APUMA'!$A$1:$B$86,2)</f>
        <v>93</v>
      </c>
      <c r="F6012" s="0" t="n">
        <f aca="false">IF(C6012&gt;1,IF(C6012&lt;99,VLOOKUP(C6012,'Babblefish-APUMA'!$A$1:$B$86,2),C6012),C6012)</f>
        <v>94</v>
      </c>
    </row>
    <row r="6013" customFormat="false" ht="12.75" hidden="false" customHeight="false" outlineLevel="0" collapsed="false">
      <c r="A6013" s="0" t="n">
        <f aca="false">B6013*1000+C6013</f>
        <v>81030</v>
      </c>
      <c r="B6013" s="0" t="n">
        <v>81</v>
      </c>
      <c r="C6013" s="0" t="n">
        <v>30</v>
      </c>
      <c r="D6013" s="0" t="n">
        <v>0</v>
      </c>
      <c r="E6013" s="0" t="n">
        <f aca="false">VLOOKUP(B6013,'Babblefish-APUMA'!$A$1:$B$86,2)</f>
        <v>93</v>
      </c>
      <c r="F6013" s="0" t="n">
        <f aca="false">IF(C6013&gt;1,IF(C6013&lt;99,VLOOKUP(C6013,'Babblefish-APUMA'!$A$1:$B$86,2),C6013),C6013)</f>
        <v>30</v>
      </c>
    </row>
    <row r="6014" customFormat="false" ht="12.75" hidden="false" customHeight="false" outlineLevel="0" collapsed="false">
      <c r="A6014" s="0" t="n">
        <f aca="false">B6014*1000+C6014</f>
        <v>81031</v>
      </c>
      <c r="B6014" s="0" t="n">
        <v>81</v>
      </c>
      <c r="C6014" s="0" t="n">
        <v>31</v>
      </c>
      <c r="D6014" s="0" t="n">
        <v>0</v>
      </c>
      <c r="E6014" s="0" t="n">
        <f aca="false">VLOOKUP(B6014,'Babblefish-APUMA'!$A$1:$B$86,2)</f>
        <v>93</v>
      </c>
      <c r="F6014" s="0" t="n">
        <f aca="false">IF(C6014&gt;1,IF(C6014&lt;99,VLOOKUP(C6014,'Babblefish-APUMA'!$A$1:$B$86,2),C6014),C6014)</f>
        <v>31</v>
      </c>
    </row>
    <row r="6015" customFormat="false" ht="12.75" hidden="false" customHeight="false" outlineLevel="0" collapsed="false">
      <c r="A6015" s="0" t="n">
        <f aca="false">B6015*1000+C6015</f>
        <v>81032</v>
      </c>
      <c r="B6015" s="0" t="n">
        <v>81</v>
      </c>
      <c r="C6015" s="0" t="n">
        <v>32</v>
      </c>
      <c r="D6015" s="0" t="n">
        <v>0</v>
      </c>
      <c r="E6015" s="0" t="n">
        <f aca="false">VLOOKUP(B6015,'Babblefish-APUMA'!$A$1:$B$86,2)</f>
        <v>93</v>
      </c>
      <c r="F6015" s="0" t="n">
        <f aca="false">IF(C6015&gt;1,IF(C6015&lt;99,VLOOKUP(C6015,'Babblefish-APUMA'!$A$1:$B$86,2),C6015),C6015)</f>
        <v>32</v>
      </c>
    </row>
    <row r="6016" customFormat="false" ht="12.75" hidden="false" customHeight="false" outlineLevel="0" collapsed="false">
      <c r="A6016" s="0" t="n">
        <f aca="false">B6016*1000+C6016</f>
        <v>81033</v>
      </c>
      <c r="B6016" s="0" t="n">
        <v>81</v>
      </c>
      <c r="C6016" s="0" t="n">
        <v>33</v>
      </c>
      <c r="D6016" s="0" t="n">
        <v>0</v>
      </c>
      <c r="E6016" s="0" t="n">
        <f aca="false">VLOOKUP(B6016,'Babblefish-APUMA'!$A$1:$B$86,2)</f>
        <v>93</v>
      </c>
      <c r="F6016" s="0" t="n">
        <f aca="false">IF(C6016&gt;1,IF(C6016&lt;99,VLOOKUP(C6016,'Babblefish-APUMA'!$A$1:$B$86,2),C6016),C6016)</f>
        <v>96</v>
      </c>
    </row>
    <row r="6017" customFormat="false" ht="12.75" hidden="false" customHeight="false" outlineLevel="0" collapsed="false">
      <c r="A6017" s="0" t="n">
        <f aca="false">B6017*1000+C6017</f>
        <v>81034</v>
      </c>
      <c r="B6017" s="0" t="n">
        <v>81</v>
      </c>
      <c r="C6017" s="0" t="n">
        <v>34</v>
      </c>
      <c r="D6017" s="0" t="n">
        <v>143</v>
      </c>
      <c r="E6017" s="0" t="n">
        <f aca="false">VLOOKUP(B6017,'Babblefish-APUMA'!$A$1:$B$86,2)</f>
        <v>93</v>
      </c>
      <c r="F6017" s="0" t="n">
        <f aca="false">IF(C6017&gt;1,IF(C6017&lt;99,VLOOKUP(C6017,'Babblefish-APUMA'!$A$1:$B$86,2),C6017),C6017)</f>
        <v>96</v>
      </c>
    </row>
    <row r="6018" customFormat="false" ht="12.75" hidden="false" customHeight="false" outlineLevel="0" collapsed="false">
      <c r="A6018" s="0" t="n">
        <f aca="false">B6018*1000+C6018</f>
        <v>81035</v>
      </c>
      <c r="B6018" s="0" t="n">
        <v>81</v>
      </c>
      <c r="C6018" s="0" t="n">
        <v>35</v>
      </c>
      <c r="D6018" s="0" t="n">
        <v>0</v>
      </c>
      <c r="E6018" s="0" t="n">
        <f aca="false">VLOOKUP(B6018,'Babblefish-APUMA'!$A$1:$B$86,2)</f>
        <v>93</v>
      </c>
      <c r="F6018" s="0" t="n">
        <f aca="false">IF(C6018&gt;1,IF(C6018&lt;99,VLOOKUP(C6018,'Babblefish-APUMA'!$A$1:$B$86,2),C6018),C6018)</f>
        <v>96</v>
      </c>
    </row>
    <row r="6019" customFormat="false" ht="12.75" hidden="false" customHeight="false" outlineLevel="0" collapsed="false">
      <c r="A6019" s="0" t="n">
        <f aca="false">B6019*1000+C6019</f>
        <v>81036</v>
      </c>
      <c r="B6019" s="0" t="n">
        <v>81</v>
      </c>
      <c r="C6019" s="0" t="n">
        <v>36</v>
      </c>
      <c r="D6019" s="0" t="n">
        <v>0</v>
      </c>
      <c r="E6019" s="0" t="n">
        <f aca="false">VLOOKUP(B6019,'Babblefish-APUMA'!$A$1:$B$86,2)</f>
        <v>93</v>
      </c>
      <c r="F6019" s="0" t="n">
        <f aca="false">IF(C6019&gt;1,IF(C6019&lt;99,VLOOKUP(C6019,'Babblefish-APUMA'!$A$1:$B$86,2),C6019),C6019)</f>
        <v>96</v>
      </c>
    </row>
    <row r="6020" customFormat="false" ht="12.75" hidden="false" customHeight="false" outlineLevel="0" collapsed="false">
      <c r="A6020" s="0" t="n">
        <f aca="false">B6020*1000+C6020</f>
        <v>81037</v>
      </c>
      <c r="B6020" s="0" t="n">
        <v>81</v>
      </c>
      <c r="C6020" s="0" t="n">
        <v>37</v>
      </c>
      <c r="D6020" s="0" t="n">
        <v>0</v>
      </c>
      <c r="E6020" s="0" t="n">
        <f aca="false">VLOOKUP(B6020,'Babblefish-APUMA'!$A$1:$B$86,2)</f>
        <v>93</v>
      </c>
      <c r="F6020" s="0" t="n">
        <f aca="false">IF(C6020&gt;1,IF(C6020&lt;99,VLOOKUP(C6020,'Babblefish-APUMA'!$A$1:$B$86,2),C6020),C6020)</f>
        <v>96</v>
      </c>
    </row>
    <row r="6021" customFormat="false" ht="12.75" hidden="false" customHeight="false" outlineLevel="0" collapsed="false">
      <c r="A6021" s="0" t="n">
        <f aca="false">B6021*1000+C6021</f>
        <v>81038</v>
      </c>
      <c r="B6021" s="0" t="n">
        <v>81</v>
      </c>
      <c r="C6021" s="0" t="n">
        <v>38</v>
      </c>
      <c r="D6021" s="0" t="n">
        <v>78</v>
      </c>
      <c r="E6021" s="0" t="n">
        <f aca="false">VLOOKUP(B6021,'Babblefish-APUMA'!$A$1:$B$86,2)</f>
        <v>93</v>
      </c>
      <c r="F6021" s="0" t="n">
        <f aca="false">IF(C6021&gt;1,IF(C6021&lt;99,VLOOKUP(C6021,'Babblefish-APUMA'!$A$1:$B$86,2),C6021),C6021)</f>
        <v>91</v>
      </c>
    </row>
    <row r="6022" customFormat="false" ht="12.75" hidden="false" customHeight="false" outlineLevel="0" collapsed="false">
      <c r="A6022" s="0" t="n">
        <f aca="false">B6022*1000+C6022</f>
        <v>81039</v>
      </c>
      <c r="B6022" s="0" t="n">
        <v>81</v>
      </c>
      <c r="C6022" s="0" t="n">
        <v>39</v>
      </c>
      <c r="D6022" s="0" t="n">
        <v>0</v>
      </c>
      <c r="E6022" s="0" t="n">
        <f aca="false">VLOOKUP(B6022,'Babblefish-APUMA'!$A$1:$B$86,2)</f>
        <v>93</v>
      </c>
      <c r="F6022" s="0" t="n">
        <f aca="false">IF(C6022&gt;1,IF(C6022&lt;99,VLOOKUP(C6022,'Babblefish-APUMA'!$A$1:$B$86,2),C6022),C6022)</f>
        <v>91</v>
      </c>
    </row>
    <row r="6023" customFormat="false" ht="12.75" hidden="false" customHeight="false" outlineLevel="0" collapsed="false">
      <c r="A6023" s="0" t="n">
        <f aca="false">B6023*1000+C6023</f>
        <v>81040</v>
      </c>
      <c r="B6023" s="0" t="n">
        <v>81</v>
      </c>
      <c r="C6023" s="0" t="n">
        <v>40</v>
      </c>
      <c r="D6023" s="0" t="n">
        <v>0</v>
      </c>
      <c r="E6023" s="0" t="n">
        <f aca="false">VLOOKUP(B6023,'Babblefish-APUMA'!$A$1:$B$86,2)</f>
        <v>93</v>
      </c>
      <c r="F6023" s="0" t="n">
        <f aca="false">IF(C6023&gt;1,IF(C6023&lt;99,VLOOKUP(C6023,'Babblefish-APUMA'!$A$1:$B$86,2),C6023),C6023)</f>
        <v>88</v>
      </c>
    </row>
    <row r="6024" customFormat="false" ht="12.75" hidden="false" customHeight="false" outlineLevel="0" collapsed="false">
      <c r="A6024" s="0" t="n">
        <f aca="false">B6024*1000+C6024</f>
        <v>81041</v>
      </c>
      <c r="B6024" s="0" t="n">
        <v>81</v>
      </c>
      <c r="C6024" s="0" t="n">
        <v>41</v>
      </c>
      <c r="D6024" s="0" t="n">
        <v>0</v>
      </c>
      <c r="E6024" s="0" t="n">
        <f aca="false">VLOOKUP(B6024,'Babblefish-APUMA'!$A$1:$B$86,2)</f>
        <v>93</v>
      </c>
      <c r="F6024" s="0" t="n">
        <f aca="false">IF(C6024&gt;1,IF(C6024&lt;99,VLOOKUP(C6024,'Babblefish-APUMA'!$A$1:$B$86,2),C6024),C6024)</f>
        <v>88</v>
      </c>
    </row>
    <row r="6025" customFormat="false" ht="12.75" hidden="false" customHeight="false" outlineLevel="0" collapsed="false">
      <c r="A6025" s="0" t="n">
        <f aca="false">B6025*1000+C6025</f>
        <v>81042</v>
      </c>
      <c r="B6025" s="0" t="n">
        <v>81</v>
      </c>
      <c r="C6025" s="0" t="n">
        <v>42</v>
      </c>
      <c r="D6025" s="0" t="n">
        <v>1469</v>
      </c>
      <c r="E6025" s="0" t="n">
        <f aca="false">VLOOKUP(B6025,'Babblefish-APUMA'!$A$1:$B$86,2)</f>
        <v>93</v>
      </c>
      <c r="F6025" s="0" t="n">
        <f aca="false">IF(C6025&gt;1,IF(C6025&lt;99,VLOOKUP(C6025,'Babblefish-APUMA'!$A$1:$B$86,2),C6025),C6025)</f>
        <v>92</v>
      </c>
    </row>
    <row r="6026" customFormat="false" ht="12.75" hidden="false" customHeight="false" outlineLevel="0" collapsed="false">
      <c r="A6026" s="0" t="n">
        <f aca="false">B6026*1000+C6026</f>
        <v>81043</v>
      </c>
      <c r="B6026" s="0" t="n">
        <v>81</v>
      </c>
      <c r="C6026" s="0" t="n">
        <v>43</v>
      </c>
      <c r="D6026" s="0" t="n">
        <v>156</v>
      </c>
      <c r="E6026" s="0" t="n">
        <f aca="false">VLOOKUP(B6026,'Babblefish-APUMA'!$A$1:$B$86,2)</f>
        <v>93</v>
      </c>
      <c r="F6026" s="0" t="n">
        <f aca="false">IF(C6026&gt;1,IF(C6026&lt;99,VLOOKUP(C6026,'Babblefish-APUMA'!$A$1:$B$86,2),C6026),C6026)</f>
        <v>92</v>
      </c>
    </row>
    <row r="6027" customFormat="false" ht="12.75" hidden="false" customHeight="false" outlineLevel="0" collapsed="false">
      <c r="A6027" s="0" t="n">
        <f aca="false">B6027*1000+C6027</f>
        <v>81044</v>
      </c>
      <c r="B6027" s="0" t="n">
        <v>81</v>
      </c>
      <c r="C6027" s="0" t="n">
        <v>44</v>
      </c>
      <c r="D6027" s="0" t="n">
        <v>0</v>
      </c>
      <c r="E6027" s="0" t="n">
        <f aca="false">VLOOKUP(B6027,'Babblefish-APUMA'!$A$1:$B$86,2)</f>
        <v>93</v>
      </c>
      <c r="F6027" s="0" t="n">
        <f aca="false">IF(C6027&gt;1,IF(C6027&lt;99,VLOOKUP(C6027,'Babblefish-APUMA'!$A$1:$B$86,2),C6027),C6027)</f>
        <v>92</v>
      </c>
    </row>
    <row r="6028" customFormat="false" ht="12.75" hidden="false" customHeight="false" outlineLevel="0" collapsed="false">
      <c r="A6028" s="0" t="n">
        <f aca="false">B6028*1000+C6028</f>
        <v>81045</v>
      </c>
      <c r="B6028" s="0" t="n">
        <v>81</v>
      </c>
      <c r="C6028" s="0" t="n">
        <v>45</v>
      </c>
      <c r="D6028" s="0" t="n">
        <v>143</v>
      </c>
      <c r="E6028" s="0" t="n">
        <f aca="false">VLOOKUP(B6028,'Babblefish-APUMA'!$A$1:$B$86,2)</f>
        <v>93</v>
      </c>
      <c r="F6028" s="0" t="n">
        <f aca="false">IF(C6028&gt;1,IF(C6028&lt;99,VLOOKUP(C6028,'Babblefish-APUMA'!$A$1:$B$86,2),C6028),C6028)</f>
        <v>92</v>
      </c>
    </row>
    <row r="6029" customFormat="false" ht="12.75" hidden="false" customHeight="false" outlineLevel="0" collapsed="false">
      <c r="A6029" s="0" t="n">
        <f aca="false">B6029*1000+C6029</f>
        <v>81046</v>
      </c>
      <c r="B6029" s="0" t="n">
        <v>81</v>
      </c>
      <c r="C6029" s="0" t="n">
        <v>46</v>
      </c>
      <c r="D6029" s="0" t="n">
        <v>325</v>
      </c>
      <c r="E6029" s="0" t="n">
        <f aca="false">VLOOKUP(B6029,'Babblefish-APUMA'!$A$1:$B$86,2)</f>
        <v>93</v>
      </c>
      <c r="F6029" s="0" t="n">
        <f aca="false">IF(C6029&gt;1,IF(C6029&lt;99,VLOOKUP(C6029,'Babblefish-APUMA'!$A$1:$B$86,2),C6029),C6029)</f>
        <v>92</v>
      </c>
    </row>
    <row r="6030" customFormat="false" ht="12.75" hidden="false" customHeight="false" outlineLevel="0" collapsed="false">
      <c r="A6030" s="0" t="n">
        <f aca="false">B6030*1000+C6030</f>
        <v>81047</v>
      </c>
      <c r="B6030" s="0" t="n">
        <v>81</v>
      </c>
      <c r="C6030" s="0" t="n">
        <v>47</v>
      </c>
      <c r="D6030" s="0" t="n">
        <v>637</v>
      </c>
      <c r="E6030" s="0" t="n">
        <f aca="false">VLOOKUP(B6030,'Babblefish-APUMA'!$A$1:$B$86,2)</f>
        <v>93</v>
      </c>
      <c r="F6030" s="0" t="n">
        <f aca="false">IF(C6030&gt;1,IF(C6030&lt;99,VLOOKUP(C6030,'Babblefish-APUMA'!$A$1:$B$86,2),C6030),C6030)</f>
        <v>92</v>
      </c>
    </row>
    <row r="6031" customFormat="false" ht="12.75" hidden="false" customHeight="false" outlineLevel="0" collapsed="false">
      <c r="A6031" s="0" t="n">
        <f aca="false">B6031*1000+C6031</f>
        <v>81048</v>
      </c>
      <c r="B6031" s="0" t="n">
        <v>81</v>
      </c>
      <c r="C6031" s="0" t="n">
        <v>48</v>
      </c>
      <c r="D6031" s="0" t="n">
        <v>4225</v>
      </c>
      <c r="E6031" s="0" t="n">
        <f aca="false">VLOOKUP(B6031,'Babblefish-APUMA'!$A$1:$B$86,2)</f>
        <v>93</v>
      </c>
      <c r="F6031" s="0" t="n">
        <f aca="false">IF(C6031&gt;1,IF(C6031&lt;99,VLOOKUP(C6031,'Babblefish-APUMA'!$A$1:$B$86,2),C6031),C6031)</f>
        <v>92</v>
      </c>
    </row>
    <row r="6032" customFormat="false" ht="12.75" hidden="false" customHeight="false" outlineLevel="0" collapsed="false">
      <c r="A6032" s="0" t="n">
        <f aca="false">B6032*1000+C6032</f>
        <v>81049</v>
      </c>
      <c r="B6032" s="0" t="n">
        <v>81</v>
      </c>
      <c r="C6032" s="0" t="n">
        <v>49</v>
      </c>
      <c r="D6032" s="0" t="n">
        <v>0</v>
      </c>
      <c r="E6032" s="0" t="n">
        <f aca="false">VLOOKUP(B6032,'Babblefish-APUMA'!$A$1:$B$86,2)</f>
        <v>93</v>
      </c>
      <c r="F6032" s="0" t="n">
        <f aca="false">IF(C6032&gt;1,IF(C6032&lt;99,VLOOKUP(C6032,'Babblefish-APUMA'!$A$1:$B$86,2),C6032),C6032)</f>
        <v>98</v>
      </c>
    </row>
    <row r="6033" customFormat="false" ht="12.75" hidden="false" customHeight="false" outlineLevel="0" collapsed="false">
      <c r="A6033" s="0" t="n">
        <f aca="false">B6033*1000+C6033</f>
        <v>81050</v>
      </c>
      <c r="B6033" s="0" t="n">
        <v>81</v>
      </c>
      <c r="C6033" s="0" t="n">
        <v>50</v>
      </c>
      <c r="D6033" s="0" t="n">
        <v>0</v>
      </c>
      <c r="E6033" s="0" t="n">
        <f aca="false">VLOOKUP(B6033,'Babblefish-APUMA'!$A$1:$B$86,2)</f>
        <v>93</v>
      </c>
      <c r="F6033" s="0" t="n">
        <f aca="false">IF(C6033&gt;1,IF(C6033&lt;99,VLOOKUP(C6033,'Babblefish-APUMA'!$A$1:$B$86,2),C6033),C6033)</f>
        <v>98</v>
      </c>
    </row>
    <row r="6034" customFormat="false" ht="12.75" hidden="false" customHeight="false" outlineLevel="0" collapsed="false">
      <c r="A6034" s="0" t="n">
        <f aca="false">B6034*1000+C6034</f>
        <v>81051</v>
      </c>
      <c r="B6034" s="0" t="n">
        <v>81</v>
      </c>
      <c r="C6034" s="0" t="n">
        <v>51</v>
      </c>
      <c r="D6034" s="0" t="n">
        <v>0</v>
      </c>
      <c r="E6034" s="0" t="n">
        <f aca="false">VLOOKUP(B6034,'Babblefish-APUMA'!$A$1:$B$86,2)</f>
        <v>93</v>
      </c>
      <c r="F6034" s="0" t="n">
        <f aca="false">IF(C6034&gt;1,IF(C6034&lt;99,VLOOKUP(C6034,'Babblefish-APUMA'!$A$1:$B$86,2),C6034),C6034)</f>
        <v>98</v>
      </c>
    </row>
    <row r="6035" customFormat="false" ht="12.75" hidden="false" customHeight="false" outlineLevel="0" collapsed="false">
      <c r="A6035" s="0" t="n">
        <f aca="false">B6035*1000+C6035</f>
        <v>81052</v>
      </c>
      <c r="B6035" s="0" t="n">
        <v>81</v>
      </c>
      <c r="C6035" s="0" t="n">
        <v>52</v>
      </c>
      <c r="D6035" s="0" t="n">
        <v>104</v>
      </c>
      <c r="E6035" s="0" t="n">
        <f aca="false">VLOOKUP(B6035,'Babblefish-APUMA'!$A$1:$B$86,2)</f>
        <v>93</v>
      </c>
      <c r="F6035" s="0" t="n">
        <f aca="false">IF(C6035&gt;1,IF(C6035&lt;99,VLOOKUP(C6035,'Babblefish-APUMA'!$A$1:$B$86,2),C6035),C6035)</f>
        <v>90</v>
      </c>
    </row>
    <row r="6036" customFormat="false" ht="12.75" hidden="false" customHeight="false" outlineLevel="0" collapsed="false">
      <c r="A6036" s="0" t="n">
        <f aca="false">B6036*1000+C6036</f>
        <v>81053</v>
      </c>
      <c r="B6036" s="0" t="n">
        <v>81</v>
      </c>
      <c r="C6036" s="0" t="n">
        <v>53</v>
      </c>
      <c r="D6036" s="0" t="n">
        <v>130</v>
      </c>
      <c r="E6036" s="0" t="n">
        <f aca="false">VLOOKUP(B6036,'Babblefish-APUMA'!$A$1:$B$86,2)</f>
        <v>93</v>
      </c>
      <c r="F6036" s="0" t="n">
        <f aca="false">IF(C6036&gt;1,IF(C6036&lt;99,VLOOKUP(C6036,'Babblefish-APUMA'!$A$1:$B$86,2),C6036),C6036)</f>
        <v>90</v>
      </c>
    </row>
    <row r="6037" customFormat="false" ht="12.75" hidden="false" customHeight="false" outlineLevel="0" collapsed="false">
      <c r="A6037" s="0" t="n">
        <f aca="false">B6037*1000+C6037</f>
        <v>81054</v>
      </c>
      <c r="B6037" s="0" t="n">
        <v>81</v>
      </c>
      <c r="C6037" s="0" t="n">
        <v>54</v>
      </c>
      <c r="D6037" s="0" t="n">
        <v>0</v>
      </c>
      <c r="E6037" s="0" t="n">
        <f aca="false">VLOOKUP(B6037,'Babblefish-APUMA'!$A$1:$B$86,2)</f>
        <v>93</v>
      </c>
      <c r="F6037" s="0" t="n">
        <f aca="false">IF(C6037&gt;1,IF(C6037&lt;99,VLOOKUP(C6037,'Babblefish-APUMA'!$A$1:$B$86,2),C6037),C6037)</f>
        <v>90</v>
      </c>
    </row>
    <row r="6038" customFormat="false" ht="12.75" hidden="false" customHeight="false" outlineLevel="0" collapsed="false">
      <c r="A6038" s="0" t="n">
        <f aca="false">B6038*1000+C6038</f>
        <v>81055</v>
      </c>
      <c r="B6038" s="0" t="n">
        <v>81</v>
      </c>
      <c r="C6038" s="0" t="n">
        <v>55</v>
      </c>
      <c r="D6038" s="0" t="n">
        <v>0</v>
      </c>
      <c r="E6038" s="0" t="n">
        <f aca="false">VLOOKUP(B6038,'Babblefish-APUMA'!$A$1:$B$86,2)</f>
        <v>93</v>
      </c>
      <c r="F6038" s="0" t="n">
        <f aca="false">IF(C6038&gt;1,IF(C6038&lt;99,VLOOKUP(C6038,'Babblefish-APUMA'!$A$1:$B$86,2),C6038),C6038)</f>
        <v>90</v>
      </c>
    </row>
    <row r="6039" customFormat="false" ht="12.75" hidden="false" customHeight="false" outlineLevel="0" collapsed="false">
      <c r="A6039" s="0" t="n">
        <f aca="false">B6039*1000+C6039</f>
        <v>81056</v>
      </c>
      <c r="B6039" s="0" t="n">
        <v>81</v>
      </c>
      <c r="C6039" s="0" t="n">
        <v>56</v>
      </c>
      <c r="D6039" s="0" t="n">
        <v>0</v>
      </c>
      <c r="E6039" s="0" t="n">
        <f aca="false">VLOOKUP(B6039,'Babblefish-APUMA'!$A$1:$B$86,2)</f>
        <v>93</v>
      </c>
      <c r="F6039" s="0" t="n">
        <f aca="false">IF(C6039&gt;1,IF(C6039&lt;99,VLOOKUP(C6039,'Babblefish-APUMA'!$A$1:$B$86,2),C6039),C6039)</f>
        <v>90</v>
      </c>
    </row>
    <row r="6040" customFormat="false" ht="12.75" hidden="false" customHeight="false" outlineLevel="0" collapsed="false">
      <c r="A6040" s="0" t="n">
        <f aca="false">B6040*1000+C6040</f>
        <v>81057</v>
      </c>
      <c r="B6040" s="0" t="n">
        <v>81</v>
      </c>
      <c r="C6040" s="0" t="n">
        <v>57</v>
      </c>
      <c r="D6040" s="0" t="n">
        <v>0</v>
      </c>
      <c r="E6040" s="0" t="n">
        <f aca="false">VLOOKUP(B6040,'Babblefish-APUMA'!$A$1:$B$86,2)</f>
        <v>93</v>
      </c>
      <c r="F6040" s="0" t="n">
        <f aca="false">IF(C6040&gt;1,IF(C6040&lt;99,VLOOKUP(C6040,'Babblefish-APUMA'!$A$1:$B$86,2),C6040),C6040)</f>
        <v>90</v>
      </c>
    </row>
    <row r="6041" customFormat="false" ht="12.75" hidden="false" customHeight="false" outlineLevel="0" collapsed="false">
      <c r="A6041" s="0" t="n">
        <f aca="false">B6041*1000+C6041</f>
        <v>81058</v>
      </c>
      <c r="B6041" s="0" t="n">
        <v>81</v>
      </c>
      <c r="C6041" s="0" t="n">
        <v>58</v>
      </c>
      <c r="D6041" s="0" t="n">
        <v>0</v>
      </c>
      <c r="E6041" s="0" t="n">
        <f aca="false">VLOOKUP(B6041,'Babblefish-APUMA'!$A$1:$B$86,2)</f>
        <v>93</v>
      </c>
      <c r="F6041" s="0" t="n">
        <f aca="false">IF(C6041&gt;1,IF(C6041&lt;99,VLOOKUP(C6041,'Babblefish-APUMA'!$A$1:$B$86,2),C6041),C6041)</f>
        <v>90</v>
      </c>
    </row>
    <row r="6042" customFormat="false" ht="12.75" hidden="false" customHeight="false" outlineLevel="0" collapsed="false">
      <c r="A6042" s="0" t="n">
        <f aca="false">B6042*1000+C6042</f>
        <v>81059</v>
      </c>
      <c r="B6042" s="0" t="n">
        <v>81</v>
      </c>
      <c r="C6042" s="0" t="n">
        <v>59</v>
      </c>
      <c r="D6042" s="0" t="n">
        <v>91</v>
      </c>
      <c r="E6042" s="0" t="n">
        <f aca="false">VLOOKUP(B6042,'Babblefish-APUMA'!$A$1:$B$86,2)</f>
        <v>93</v>
      </c>
      <c r="F6042" s="0" t="n">
        <f aca="false">IF(C6042&gt;1,IF(C6042&lt;99,VLOOKUP(C6042,'Babblefish-APUMA'!$A$1:$B$86,2),C6042),C6042)</f>
        <v>90</v>
      </c>
    </row>
    <row r="6043" customFormat="false" ht="12.75" hidden="false" customHeight="false" outlineLevel="0" collapsed="false">
      <c r="A6043" s="0" t="n">
        <f aca="false">B6043*1000+C6043</f>
        <v>81060</v>
      </c>
      <c r="B6043" s="0" t="n">
        <v>81</v>
      </c>
      <c r="C6043" s="0" t="n">
        <v>60</v>
      </c>
      <c r="D6043" s="0" t="n">
        <v>0</v>
      </c>
      <c r="E6043" s="0" t="n">
        <f aca="false">VLOOKUP(B6043,'Babblefish-APUMA'!$A$1:$B$86,2)</f>
        <v>93</v>
      </c>
      <c r="F6043" s="0" t="n">
        <f aca="false">IF(C6043&gt;1,IF(C6043&lt;99,VLOOKUP(C6043,'Babblefish-APUMA'!$A$1:$B$86,2),C6043),C6043)</f>
        <v>90</v>
      </c>
    </row>
    <row r="6044" customFormat="false" ht="12.75" hidden="false" customHeight="false" outlineLevel="0" collapsed="false">
      <c r="A6044" s="0" t="n">
        <f aca="false">B6044*1000+C6044</f>
        <v>81061</v>
      </c>
      <c r="B6044" s="0" t="n">
        <v>81</v>
      </c>
      <c r="C6044" s="0" t="n">
        <v>61</v>
      </c>
      <c r="D6044" s="0" t="n">
        <v>0</v>
      </c>
      <c r="E6044" s="0" t="n">
        <f aca="false">VLOOKUP(B6044,'Babblefish-APUMA'!$A$1:$B$86,2)</f>
        <v>93</v>
      </c>
      <c r="F6044" s="0" t="n">
        <f aca="false">IF(C6044&gt;1,IF(C6044&lt;99,VLOOKUP(C6044,'Babblefish-APUMA'!$A$1:$B$86,2),C6044),C6044)</f>
        <v>90</v>
      </c>
    </row>
    <row r="6045" customFormat="false" ht="12.75" hidden="false" customHeight="false" outlineLevel="0" collapsed="false">
      <c r="A6045" s="0" t="n">
        <f aca="false">B6045*1000+C6045</f>
        <v>81062</v>
      </c>
      <c r="B6045" s="0" t="n">
        <v>81</v>
      </c>
      <c r="C6045" s="0" t="n">
        <v>62</v>
      </c>
      <c r="D6045" s="0" t="n">
        <v>0</v>
      </c>
      <c r="E6045" s="0" t="n">
        <f aca="false">VLOOKUP(B6045,'Babblefish-APUMA'!$A$1:$B$86,2)</f>
        <v>93</v>
      </c>
      <c r="F6045" s="0" t="n">
        <f aca="false">IF(C6045&gt;1,IF(C6045&lt;99,VLOOKUP(C6045,'Babblefish-APUMA'!$A$1:$B$86,2),C6045),C6045)</f>
        <v>90</v>
      </c>
    </row>
    <row r="6046" customFormat="false" ht="12.75" hidden="false" customHeight="false" outlineLevel="0" collapsed="false">
      <c r="A6046" s="0" t="n">
        <f aca="false">B6046*1000+C6046</f>
        <v>81063</v>
      </c>
      <c r="B6046" s="0" t="n">
        <v>81</v>
      </c>
      <c r="C6046" s="0" t="n">
        <v>63</v>
      </c>
      <c r="D6046" s="0" t="n">
        <v>143</v>
      </c>
      <c r="E6046" s="0" t="n">
        <f aca="false">VLOOKUP(B6046,'Babblefish-APUMA'!$A$1:$B$86,2)</f>
        <v>93</v>
      </c>
      <c r="F6046" s="0" t="n">
        <f aca="false">IF(C6046&gt;1,IF(C6046&lt;99,VLOOKUP(C6046,'Babblefish-APUMA'!$A$1:$B$86,2),C6046),C6046)</f>
        <v>90</v>
      </c>
    </row>
    <row r="6047" customFormat="false" ht="12.75" hidden="false" customHeight="false" outlineLevel="0" collapsed="false">
      <c r="A6047" s="0" t="n">
        <f aca="false">B6047*1000+C6047</f>
        <v>81064</v>
      </c>
      <c r="B6047" s="0" t="n">
        <v>81</v>
      </c>
      <c r="C6047" s="0" t="n">
        <v>64</v>
      </c>
      <c r="D6047" s="0" t="n">
        <v>4238</v>
      </c>
      <c r="E6047" s="0" t="n">
        <f aca="false">VLOOKUP(B6047,'Babblefish-APUMA'!$A$1:$B$86,2)</f>
        <v>93</v>
      </c>
      <c r="F6047" s="0" t="n">
        <f aca="false">IF(C6047&gt;1,IF(C6047&lt;99,VLOOKUP(C6047,'Babblefish-APUMA'!$A$1:$B$86,2),C6047),C6047)</f>
        <v>90</v>
      </c>
    </row>
    <row r="6048" customFormat="false" ht="12.75" hidden="false" customHeight="false" outlineLevel="0" collapsed="false">
      <c r="A6048" s="0" t="n">
        <f aca="false">B6048*1000+C6048</f>
        <v>81065</v>
      </c>
      <c r="B6048" s="0" t="n">
        <v>81</v>
      </c>
      <c r="C6048" s="0" t="n">
        <v>65</v>
      </c>
      <c r="D6048" s="0" t="n">
        <v>975</v>
      </c>
      <c r="E6048" s="0" t="n">
        <f aca="false">VLOOKUP(B6048,'Babblefish-APUMA'!$A$1:$B$86,2)</f>
        <v>93</v>
      </c>
      <c r="F6048" s="0" t="n">
        <f aca="false">IF(C6048&gt;1,IF(C6048&lt;99,VLOOKUP(C6048,'Babblefish-APUMA'!$A$1:$B$86,2),C6048),C6048)</f>
        <v>90</v>
      </c>
    </row>
    <row r="6049" customFormat="false" ht="12.75" hidden="false" customHeight="false" outlineLevel="0" collapsed="false">
      <c r="A6049" s="0" t="n">
        <f aca="false">B6049*1000+C6049</f>
        <v>81066</v>
      </c>
      <c r="B6049" s="0" t="n">
        <v>81</v>
      </c>
      <c r="C6049" s="0" t="n">
        <v>66</v>
      </c>
      <c r="D6049" s="0" t="n">
        <v>416</v>
      </c>
      <c r="E6049" s="0" t="n">
        <f aca="false">VLOOKUP(B6049,'Babblefish-APUMA'!$A$1:$B$86,2)</f>
        <v>93</v>
      </c>
      <c r="F6049" s="0" t="n">
        <f aca="false">IF(C6049&gt;1,IF(C6049&lt;99,VLOOKUP(C6049,'Babblefish-APUMA'!$A$1:$B$86,2),C6049),C6049)</f>
        <v>90</v>
      </c>
    </row>
    <row r="6050" customFormat="false" ht="12.75" hidden="false" customHeight="false" outlineLevel="0" collapsed="false">
      <c r="A6050" s="0" t="n">
        <f aca="false">B6050*1000+C6050</f>
        <v>81067</v>
      </c>
      <c r="B6050" s="0" t="n">
        <v>81</v>
      </c>
      <c r="C6050" s="0" t="n">
        <v>67</v>
      </c>
      <c r="D6050" s="0" t="n">
        <v>0</v>
      </c>
      <c r="E6050" s="0" t="n">
        <f aca="false">VLOOKUP(B6050,'Babblefish-APUMA'!$A$1:$B$86,2)</f>
        <v>93</v>
      </c>
      <c r="F6050" s="0" t="n">
        <f aca="false">IF(C6050&gt;1,IF(C6050&lt;99,VLOOKUP(C6050,'Babblefish-APUMA'!$A$1:$B$86,2),C6050),C6050)</f>
        <v>103</v>
      </c>
    </row>
    <row r="6051" customFormat="false" ht="12.75" hidden="false" customHeight="false" outlineLevel="0" collapsed="false">
      <c r="A6051" s="0" t="n">
        <f aca="false">B6051*1000+C6051</f>
        <v>81068</v>
      </c>
      <c r="B6051" s="0" t="n">
        <v>81</v>
      </c>
      <c r="C6051" s="0" t="n">
        <v>68</v>
      </c>
      <c r="D6051" s="0" t="n">
        <v>2444</v>
      </c>
      <c r="E6051" s="0" t="n">
        <f aca="false">VLOOKUP(B6051,'Babblefish-APUMA'!$A$1:$B$86,2)</f>
        <v>93</v>
      </c>
      <c r="F6051" s="0" t="n">
        <f aca="false">IF(C6051&gt;1,IF(C6051&lt;99,VLOOKUP(C6051,'Babblefish-APUMA'!$A$1:$B$86,2),C6051),C6051)</f>
        <v>93</v>
      </c>
    </row>
    <row r="6052" customFormat="false" ht="12.75" hidden="false" customHeight="false" outlineLevel="0" collapsed="false">
      <c r="A6052" s="0" t="n">
        <f aca="false">B6052*1000+C6052</f>
        <v>81069</v>
      </c>
      <c r="B6052" s="0" t="n">
        <v>81</v>
      </c>
      <c r="C6052" s="0" t="n">
        <v>69</v>
      </c>
      <c r="D6052" s="0" t="n">
        <v>16055</v>
      </c>
      <c r="E6052" s="0" t="n">
        <f aca="false">VLOOKUP(B6052,'Babblefish-APUMA'!$A$1:$B$86,2)</f>
        <v>93</v>
      </c>
      <c r="F6052" s="0" t="n">
        <f aca="false">IF(C6052&gt;1,IF(C6052&lt;99,VLOOKUP(C6052,'Babblefish-APUMA'!$A$1:$B$86,2),C6052),C6052)</f>
        <v>93</v>
      </c>
    </row>
    <row r="6053" customFormat="false" ht="12.75" hidden="false" customHeight="false" outlineLevel="0" collapsed="false">
      <c r="A6053" s="0" t="n">
        <f aca="false">B6053*1000+C6053</f>
        <v>81070</v>
      </c>
      <c r="B6053" s="0" t="n">
        <v>81</v>
      </c>
      <c r="C6053" s="0" t="n">
        <v>70</v>
      </c>
      <c r="D6053" s="0" t="n">
        <v>416</v>
      </c>
      <c r="E6053" s="0" t="n">
        <f aca="false">VLOOKUP(B6053,'Babblefish-APUMA'!$A$1:$B$86,2)</f>
        <v>93</v>
      </c>
      <c r="F6053" s="0" t="n">
        <f aca="false">IF(C6053&gt;1,IF(C6053&lt;99,VLOOKUP(C6053,'Babblefish-APUMA'!$A$1:$B$86,2),C6053),C6053)</f>
        <v>95</v>
      </c>
    </row>
    <row r="6054" customFormat="false" ht="12.75" hidden="false" customHeight="false" outlineLevel="0" collapsed="false">
      <c r="A6054" s="0" t="n">
        <f aca="false">B6054*1000+C6054</f>
        <v>81071</v>
      </c>
      <c r="B6054" s="0" t="n">
        <v>81</v>
      </c>
      <c r="C6054" s="0" t="n">
        <v>71</v>
      </c>
      <c r="D6054" s="0" t="n">
        <v>1586</v>
      </c>
      <c r="E6054" s="0" t="n">
        <f aca="false">VLOOKUP(B6054,'Babblefish-APUMA'!$A$1:$B$86,2)</f>
        <v>93</v>
      </c>
      <c r="F6054" s="0" t="n">
        <f aca="false">IF(C6054&gt;1,IF(C6054&lt;99,VLOOKUP(C6054,'Babblefish-APUMA'!$A$1:$B$86,2),C6054),C6054)</f>
        <v>95</v>
      </c>
    </row>
    <row r="6055" customFormat="false" ht="12.75" hidden="false" customHeight="false" outlineLevel="0" collapsed="false">
      <c r="A6055" s="0" t="n">
        <f aca="false">B6055*1000+C6055</f>
        <v>81072</v>
      </c>
      <c r="B6055" s="0" t="n">
        <v>81</v>
      </c>
      <c r="C6055" s="0" t="n">
        <v>72</v>
      </c>
      <c r="D6055" s="0" t="n">
        <v>5980</v>
      </c>
      <c r="E6055" s="0" t="n">
        <f aca="false">VLOOKUP(B6055,'Babblefish-APUMA'!$A$1:$B$86,2)</f>
        <v>93</v>
      </c>
      <c r="F6055" s="0" t="n">
        <f aca="false">IF(C6055&gt;1,IF(C6055&lt;99,VLOOKUP(C6055,'Babblefish-APUMA'!$A$1:$B$86,2),C6055),C6055)</f>
        <v>95</v>
      </c>
    </row>
    <row r="6056" customFormat="false" ht="12.75" hidden="false" customHeight="false" outlineLevel="0" collapsed="false">
      <c r="A6056" s="0" t="n">
        <f aca="false">B6056*1000+C6056</f>
        <v>81073</v>
      </c>
      <c r="B6056" s="0" t="n">
        <v>81</v>
      </c>
      <c r="C6056" s="0" t="n">
        <v>73</v>
      </c>
      <c r="D6056" s="0" t="n">
        <v>0</v>
      </c>
      <c r="E6056" s="0" t="n">
        <f aca="false">VLOOKUP(B6056,'Babblefish-APUMA'!$A$1:$B$86,2)</f>
        <v>93</v>
      </c>
      <c r="F6056" s="0" t="n">
        <f aca="false">IF(C6056&gt;1,IF(C6056&lt;99,VLOOKUP(C6056,'Babblefish-APUMA'!$A$1:$B$86,2),C6056),C6056)</f>
        <v>99</v>
      </c>
    </row>
    <row r="6057" customFormat="false" ht="12.75" hidden="false" customHeight="false" outlineLevel="0" collapsed="false">
      <c r="A6057" s="0" t="n">
        <f aca="false">B6057*1000+C6057</f>
        <v>81075</v>
      </c>
      <c r="B6057" s="0" t="n">
        <v>81</v>
      </c>
      <c r="C6057" s="0" t="n">
        <v>75</v>
      </c>
      <c r="D6057" s="0" t="n">
        <v>0</v>
      </c>
      <c r="E6057" s="0" t="n">
        <f aca="false">VLOOKUP(B6057,'Babblefish-APUMA'!$A$1:$B$86,2)</f>
        <v>93</v>
      </c>
      <c r="F6057" s="0" t="n">
        <f aca="false">IF(C6057&gt;1,IF(C6057&lt;99,VLOOKUP(C6057,'Babblefish-APUMA'!$A$1:$B$86,2),C6057),C6057)</f>
        <v>75</v>
      </c>
    </row>
    <row r="6058" customFormat="false" ht="12.75" hidden="false" customHeight="false" outlineLevel="0" collapsed="false">
      <c r="A6058" s="0" t="n">
        <f aca="false">B6058*1000+C6058</f>
        <v>81076</v>
      </c>
      <c r="B6058" s="0" t="n">
        <v>81</v>
      </c>
      <c r="C6058" s="0" t="n">
        <v>76</v>
      </c>
      <c r="D6058" s="0" t="n">
        <v>0</v>
      </c>
      <c r="E6058" s="0" t="n">
        <f aca="false">VLOOKUP(B6058,'Babblefish-APUMA'!$A$1:$B$86,2)</f>
        <v>93</v>
      </c>
      <c r="F6058" s="0" t="n">
        <f aca="false">IF(C6058&gt;1,IF(C6058&lt;99,VLOOKUP(C6058,'Babblefish-APUMA'!$A$1:$B$86,2),C6058),C6058)</f>
        <v>76</v>
      </c>
    </row>
    <row r="6059" customFormat="false" ht="12.75" hidden="false" customHeight="false" outlineLevel="0" collapsed="false">
      <c r="A6059" s="0" t="n">
        <f aca="false">B6059*1000+C6059</f>
        <v>81077</v>
      </c>
      <c r="B6059" s="0" t="n">
        <v>81</v>
      </c>
      <c r="C6059" s="0" t="n">
        <v>77</v>
      </c>
      <c r="D6059" s="0" t="n">
        <v>0</v>
      </c>
      <c r="E6059" s="0" t="n">
        <f aca="false">VLOOKUP(B6059,'Babblefish-APUMA'!$A$1:$B$86,2)</f>
        <v>93</v>
      </c>
      <c r="F6059" s="0" t="n">
        <f aca="false">IF(C6059&gt;1,IF(C6059&lt;99,VLOOKUP(C6059,'Babblefish-APUMA'!$A$1:$B$86,2),C6059),C6059)</f>
        <v>77</v>
      </c>
    </row>
    <row r="6060" customFormat="false" ht="12.75" hidden="false" customHeight="false" outlineLevel="0" collapsed="false">
      <c r="A6060" s="0" t="n">
        <f aca="false">B6060*1000+C6060</f>
        <v>81078</v>
      </c>
      <c r="B6060" s="0" t="n">
        <v>81</v>
      </c>
      <c r="C6060" s="0" t="n">
        <v>78</v>
      </c>
      <c r="D6060" s="0" t="n">
        <v>0</v>
      </c>
      <c r="E6060" s="0" t="n">
        <f aca="false">VLOOKUP(B6060,'Babblefish-APUMA'!$A$1:$B$86,2)</f>
        <v>93</v>
      </c>
      <c r="F6060" s="0" t="n">
        <f aca="false">IF(C6060&gt;1,IF(C6060&lt;99,VLOOKUP(C6060,'Babblefish-APUMA'!$A$1:$B$86,2),C6060),C6060)</f>
        <v>89</v>
      </c>
    </row>
    <row r="6061" customFormat="false" ht="12.75" hidden="false" customHeight="false" outlineLevel="0" collapsed="false">
      <c r="A6061" s="0" t="n">
        <f aca="false">B6061*1000+C6061</f>
        <v>81079</v>
      </c>
      <c r="B6061" s="0" t="n">
        <v>81</v>
      </c>
      <c r="C6061" s="0" t="n">
        <v>79</v>
      </c>
      <c r="D6061" s="0" t="n">
        <v>0</v>
      </c>
      <c r="E6061" s="0" t="n">
        <f aca="false">VLOOKUP(B6061,'Babblefish-APUMA'!$A$1:$B$86,2)</f>
        <v>93</v>
      </c>
      <c r="F6061" s="0" t="n">
        <f aca="false">IF(C6061&gt;1,IF(C6061&lt;99,VLOOKUP(C6061,'Babblefish-APUMA'!$A$1:$B$86,2),C6061),C6061)</f>
        <v>89</v>
      </c>
    </row>
    <row r="6062" customFormat="false" ht="12.75" hidden="false" customHeight="false" outlineLevel="0" collapsed="false">
      <c r="A6062" s="0" t="n">
        <f aca="false">B6062*1000+C6062</f>
        <v>81080</v>
      </c>
      <c r="B6062" s="0" t="n">
        <v>81</v>
      </c>
      <c r="C6062" s="0" t="n">
        <v>80</v>
      </c>
      <c r="D6062" s="0" t="n">
        <v>104</v>
      </c>
      <c r="E6062" s="0" t="n">
        <f aca="false">VLOOKUP(B6062,'Babblefish-APUMA'!$A$1:$B$86,2)</f>
        <v>93</v>
      </c>
      <c r="F6062" s="0" t="n">
        <f aca="false">IF(C6062&gt;1,IF(C6062&lt;99,VLOOKUP(C6062,'Babblefish-APUMA'!$A$1:$B$86,2),C6062),C6062)</f>
        <v>80</v>
      </c>
    </row>
    <row r="6063" customFormat="false" ht="12.75" hidden="false" customHeight="false" outlineLevel="0" collapsed="false">
      <c r="A6063" s="0" t="n">
        <f aca="false">B6063*1000+C6063</f>
        <v>81081</v>
      </c>
      <c r="B6063" s="0" t="n">
        <v>81</v>
      </c>
      <c r="C6063" s="0" t="n">
        <v>81</v>
      </c>
      <c r="D6063" s="0" t="n">
        <v>53495</v>
      </c>
      <c r="E6063" s="0" t="n">
        <f aca="false">VLOOKUP(B6063,'Babblefish-APUMA'!$A$1:$B$86,2)</f>
        <v>93</v>
      </c>
      <c r="F6063" s="0" t="n">
        <f aca="false">IF(C6063&gt;1,IF(C6063&lt;99,VLOOKUP(C6063,'Babblefish-APUMA'!$A$1:$B$86,2),C6063),C6063)</f>
        <v>93</v>
      </c>
    </row>
    <row r="6064" customFormat="false" ht="12.75" hidden="false" customHeight="false" outlineLevel="0" collapsed="false">
      <c r="A6064" s="0" t="n">
        <f aca="false">B6064*1000+C6064</f>
        <v>81082</v>
      </c>
      <c r="B6064" s="0" t="n">
        <v>81</v>
      </c>
      <c r="C6064" s="0" t="n">
        <v>82</v>
      </c>
      <c r="D6064" s="0" t="n">
        <v>3835</v>
      </c>
      <c r="E6064" s="0" t="n">
        <f aca="false">VLOOKUP(B6064,'Babblefish-APUMA'!$A$1:$B$86,2)</f>
        <v>93</v>
      </c>
      <c r="F6064" s="0" t="n">
        <f aca="false">IF(C6064&gt;1,IF(C6064&lt;99,VLOOKUP(C6064,'Babblefish-APUMA'!$A$1:$B$86,2),C6064),C6064)</f>
        <v>95</v>
      </c>
    </row>
    <row r="6065" customFormat="false" ht="12.75" hidden="false" customHeight="false" outlineLevel="0" collapsed="false">
      <c r="A6065" s="0" t="n">
        <f aca="false">B6065*1000+C6065</f>
        <v>81083</v>
      </c>
      <c r="B6065" s="0" t="n">
        <v>81</v>
      </c>
      <c r="C6065" s="0" t="n">
        <v>83</v>
      </c>
      <c r="D6065" s="0" t="n">
        <v>0</v>
      </c>
      <c r="E6065" s="0" t="n">
        <f aca="false">VLOOKUP(B6065,'Babblefish-APUMA'!$A$1:$B$86,2)</f>
        <v>93</v>
      </c>
      <c r="F6065" s="0" t="n">
        <f aca="false">IF(C6065&gt;1,IF(C6065&lt;99,VLOOKUP(C6065,'Babblefish-APUMA'!$A$1:$B$86,2),C6065),C6065)</f>
        <v>103</v>
      </c>
    </row>
    <row r="6066" customFormat="false" ht="12.75" hidden="false" customHeight="false" outlineLevel="0" collapsed="false">
      <c r="A6066" s="0" t="n">
        <f aca="false">B6066*1000+C6066</f>
        <v>81084</v>
      </c>
      <c r="B6066" s="0" t="n">
        <v>81</v>
      </c>
      <c r="C6066" s="0" t="n">
        <v>84</v>
      </c>
      <c r="D6066" s="0" t="n">
        <v>3289</v>
      </c>
      <c r="E6066" s="0" t="n">
        <f aca="false">VLOOKUP(B6066,'Babblefish-APUMA'!$A$1:$B$86,2)</f>
        <v>93</v>
      </c>
      <c r="F6066" s="0" t="n">
        <f aca="false">IF(C6066&gt;1,IF(C6066&lt;99,VLOOKUP(C6066,'Babblefish-APUMA'!$A$1:$B$86,2),C6066),C6066)</f>
        <v>92</v>
      </c>
    </row>
    <row r="6067" customFormat="false" ht="12.75" hidden="false" customHeight="false" outlineLevel="0" collapsed="false">
      <c r="A6067" s="0" t="n">
        <f aca="false">B6067*1000+C6067</f>
        <v>81085</v>
      </c>
      <c r="B6067" s="0" t="n">
        <v>81</v>
      </c>
      <c r="C6067" s="0" t="n">
        <v>85</v>
      </c>
      <c r="D6067" s="0" t="n">
        <v>0</v>
      </c>
      <c r="E6067" s="0" t="n">
        <f aca="false">VLOOKUP(B6067,'Babblefish-APUMA'!$A$1:$B$86,2)</f>
        <v>93</v>
      </c>
      <c r="F6067" s="0" t="n">
        <f aca="false">IF(C6067&gt;1,IF(C6067&lt;99,VLOOKUP(C6067,'Babblefish-APUMA'!$A$1:$B$86,2),C6067),C6067)</f>
        <v>97</v>
      </c>
    </row>
    <row r="6068" customFormat="false" ht="12.75" hidden="false" customHeight="false" outlineLevel="0" collapsed="false">
      <c r="A6068" s="0" t="n">
        <f aca="false">B6068*1000+C6068</f>
        <v>81858</v>
      </c>
      <c r="B6068" s="0" t="n">
        <v>81</v>
      </c>
      <c r="C6068" s="0" t="n">
        <v>858</v>
      </c>
      <c r="D6068" s="0" t="n">
        <v>0</v>
      </c>
      <c r="E6068" s="0" t="n">
        <f aca="false">VLOOKUP(B6068,'Babblefish-APUMA'!$A$1:$B$86,2)</f>
        <v>93</v>
      </c>
      <c r="F6068" s="0" t="n">
        <f aca="false">IF(C6068&gt;1,IF(C6068&lt;99,VLOOKUP(C6068,'Babblefish-APUMA'!$A$1:$B$86,2),C6068),C6068)</f>
        <v>858</v>
      </c>
    </row>
    <row r="6069" customFormat="false" ht="12.75" hidden="false" customHeight="false" outlineLevel="0" collapsed="false">
      <c r="A6069" s="0" t="n">
        <f aca="false">B6069*1000+C6069</f>
        <v>81983</v>
      </c>
      <c r="B6069" s="0" t="n">
        <v>81</v>
      </c>
      <c r="C6069" s="0" t="n">
        <v>983</v>
      </c>
      <c r="D6069" s="0" t="n">
        <v>0</v>
      </c>
      <c r="E6069" s="0" t="n">
        <f aca="false">VLOOKUP(B6069,'Babblefish-APUMA'!$A$1:$B$86,2)</f>
        <v>93</v>
      </c>
      <c r="F6069" s="0" t="n">
        <f aca="false">IF(C6069&gt;1,IF(C6069&lt;99,VLOOKUP(C6069,'Babblefish-APUMA'!$A$1:$B$86,2),C6069),C6069)</f>
        <v>983</v>
      </c>
    </row>
    <row r="6070" customFormat="false" ht="12.75" hidden="false" customHeight="false" outlineLevel="0" collapsed="false">
      <c r="A6070" s="0" t="n">
        <f aca="false">B6070*1000+C6070</f>
        <v>81999</v>
      </c>
      <c r="B6070" s="0" t="n">
        <v>81</v>
      </c>
      <c r="C6070" s="0" t="n">
        <v>999</v>
      </c>
      <c r="D6070" s="0" t="n">
        <v>0</v>
      </c>
      <c r="E6070" s="0" t="n">
        <f aca="false">VLOOKUP(B6070,'Babblefish-APUMA'!$A$1:$B$86,2)</f>
        <v>93</v>
      </c>
      <c r="F6070" s="0" t="n">
        <f aca="false">IF(C6070&gt;1,IF(C6070&lt;99,VLOOKUP(C6070,'Babblefish-APUMA'!$A$1:$B$86,2),C6070),C6070)</f>
        <v>999</v>
      </c>
    </row>
    <row r="6071" customFormat="false" ht="12.75" hidden="false" customHeight="false" outlineLevel="0" collapsed="false">
      <c r="A6071" s="0" t="n">
        <f aca="false">B6071*1000+C6071</f>
        <v>82000</v>
      </c>
      <c r="B6071" s="0" t="n">
        <v>82</v>
      </c>
      <c r="C6071" s="0" t="n">
        <v>0</v>
      </c>
      <c r="D6071" s="0" t="n">
        <v>97097</v>
      </c>
      <c r="E6071" s="0" t="n">
        <f aca="false">VLOOKUP(B6071,'Babblefish-APUMA'!$A$1:$B$86,2)</f>
        <v>95</v>
      </c>
      <c r="F6071" s="0" t="n">
        <f aca="false">IF(C6071&gt;1,IF(C6071&lt;99,VLOOKUP(C6071,'Babblefish-APUMA'!$A$1:$B$86,2),C6071),C6071)</f>
        <v>0</v>
      </c>
    </row>
    <row r="6072" customFormat="false" ht="12.75" hidden="false" customHeight="false" outlineLevel="0" collapsed="false">
      <c r="A6072" s="0" t="n">
        <f aca="false">B6072*1000+C6072</f>
        <v>82001</v>
      </c>
      <c r="B6072" s="0" t="n">
        <v>82</v>
      </c>
      <c r="C6072" s="0" t="n">
        <v>1</v>
      </c>
      <c r="D6072" s="0" t="n">
        <v>195</v>
      </c>
      <c r="E6072" s="0" t="n">
        <f aca="false">VLOOKUP(B6072,'Babblefish-APUMA'!$A$1:$B$86,2)</f>
        <v>95</v>
      </c>
      <c r="F6072" s="0" t="n">
        <f aca="false">IF(C6072&gt;1,IF(C6072&lt;99,VLOOKUP(C6072,'Babblefish-APUMA'!$A$1:$B$86,2),C6072),C6072)</f>
        <v>1</v>
      </c>
    </row>
    <row r="6073" customFormat="false" ht="12.75" hidden="false" customHeight="false" outlineLevel="0" collapsed="false">
      <c r="A6073" s="0" t="n">
        <f aca="false">B6073*1000+C6073</f>
        <v>82002</v>
      </c>
      <c r="B6073" s="0" t="n">
        <v>82</v>
      </c>
      <c r="C6073" s="0" t="n">
        <v>2</v>
      </c>
      <c r="D6073" s="0" t="n">
        <v>130</v>
      </c>
      <c r="E6073" s="0" t="n">
        <f aca="false">VLOOKUP(B6073,'Babblefish-APUMA'!$A$1:$B$86,2)</f>
        <v>95</v>
      </c>
      <c r="F6073" s="0" t="n">
        <f aca="false">IF(C6073&gt;1,IF(C6073&lt;99,VLOOKUP(C6073,'Babblefish-APUMA'!$A$1:$B$86,2),C6073),C6073)</f>
        <v>2</v>
      </c>
    </row>
    <row r="6074" customFormat="false" ht="12.75" hidden="false" customHeight="false" outlineLevel="0" collapsed="false">
      <c r="A6074" s="0" t="n">
        <f aca="false">B6074*1000+C6074</f>
        <v>82003</v>
      </c>
      <c r="B6074" s="0" t="n">
        <v>82</v>
      </c>
      <c r="C6074" s="0" t="n">
        <v>3</v>
      </c>
      <c r="D6074" s="0" t="n">
        <v>91</v>
      </c>
      <c r="E6074" s="0" t="n">
        <f aca="false">VLOOKUP(B6074,'Babblefish-APUMA'!$A$1:$B$86,2)</f>
        <v>95</v>
      </c>
      <c r="F6074" s="0" t="n">
        <f aca="false">IF(C6074&gt;1,IF(C6074&lt;99,VLOOKUP(C6074,'Babblefish-APUMA'!$A$1:$B$86,2),C6074),C6074)</f>
        <v>3</v>
      </c>
    </row>
    <row r="6075" customFormat="false" ht="12.75" hidden="false" customHeight="false" outlineLevel="0" collapsed="false">
      <c r="A6075" s="0" t="n">
        <f aca="false">B6075*1000+C6075</f>
        <v>82004</v>
      </c>
      <c r="B6075" s="0" t="n">
        <v>82</v>
      </c>
      <c r="C6075" s="0" t="n">
        <v>4</v>
      </c>
      <c r="D6075" s="0" t="n">
        <v>0</v>
      </c>
      <c r="E6075" s="0" t="n">
        <f aca="false">VLOOKUP(B6075,'Babblefish-APUMA'!$A$1:$B$86,2)</f>
        <v>95</v>
      </c>
      <c r="F6075" s="0" t="n">
        <f aca="false">IF(C6075&gt;1,IF(C6075&lt;99,VLOOKUP(C6075,'Babblefish-APUMA'!$A$1:$B$86,2),C6075),C6075)</f>
        <v>4</v>
      </c>
    </row>
    <row r="6076" customFormat="false" ht="12.75" hidden="false" customHeight="false" outlineLevel="0" collapsed="false">
      <c r="A6076" s="0" t="n">
        <f aca="false">B6076*1000+C6076</f>
        <v>82005</v>
      </c>
      <c r="B6076" s="0" t="n">
        <v>82</v>
      </c>
      <c r="C6076" s="0" t="n">
        <v>5</v>
      </c>
      <c r="D6076" s="0" t="n">
        <v>0</v>
      </c>
      <c r="E6076" s="0" t="n">
        <f aca="false">VLOOKUP(B6076,'Babblefish-APUMA'!$A$1:$B$86,2)</f>
        <v>95</v>
      </c>
      <c r="F6076" s="0" t="n">
        <f aca="false">IF(C6076&gt;1,IF(C6076&lt;99,VLOOKUP(C6076,'Babblefish-APUMA'!$A$1:$B$86,2),C6076),C6076)</f>
        <v>5</v>
      </c>
    </row>
    <row r="6077" customFormat="false" ht="12.75" hidden="false" customHeight="false" outlineLevel="0" collapsed="false">
      <c r="A6077" s="0" t="n">
        <f aca="false">B6077*1000+C6077</f>
        <v>82006</v>
      </c>
      <c r="B6077" s="0" t="n">
        <v>82</v>
      </c>
      <c r="C6077" s="0" t="n">
        <v>6</v>
      </c>
      <c r="D6077" s="0" t="n">
        <v>0</v>
      </c>
      <c r="E6077" s="0" t="n">
        <f aca="false">VLOOKUP(B6077,'Babblefish-APUMA'!$A$1:$B$86,2)</f>
        <v>95</v>
      </c>
      <c r="F6077" s="0" t="n">
        <f aca="false">IF(C6077&gt;1,IF(C6077&lt;99,VLOOKUP(C6077,'Babblefish-APUMA'!$A$1:$B$86,2),C6077),C6077)</f>
        <v>6</v>
      </c>
    </row>
    <row r="6078" customFormat="false" ht="12.75" hidden="false" customHeight="false" outlineLevel="0" collapsed="false">
      <c r="A6078" s="0" t="n">
        <f aca="false">B6078*1000+C6078</f>
        <v>82007</v>
      </c>
      <c r="B6078" s="0" t="n">
        <v>82</v>
      </c>
      <c r="C6078" s="0" t="n">
        <v>7</v>
      </c>
      <c r="D6078" s="0" t="n">
        <v>0</v>
      </c>
      <c r="E6078" s="0" t="n">
        <f aca="false">VLOOKUP(B6078,'Babblefish-APUMA'!$A$1:$B$86,2)</f>
        <v>95</v>
      </c>
      <c r="F6078" s="0" t="n">
        <f aca="false">IF(C6078&gt;1,IF(C6078&lt;99,VLOOKUP(C6078,'Babblefish-APUMA'!$A$1:$B$86,2),C6078),C6078)</f>
        <v>7</v>
      </c>
    </row>
    <row r="6079" customFormat="false" ht="12.75" hidden="false" customHeight="false" outlineLevel="0" collapsed="false">
      <c r="A6079" s="0" t="n">
        <f aca="false">B6079*1000+C6079</f>
        <v>82008</v>
      </c>
      <c r="B6079" s="0" t="n">
        <v>82</v>
      </c>
      <c r="C6079" s="0" t="n">
        <v>8</v>
      </c>
      <c r="D6079" s="0" t="n">
        <v>0</v>
      </c>
      <c r="E6079" s="0" t="n">
        <f aca="false">VLOOKUP(B6079,'Babblefish-APUMA'!$A$1:$B$86,2)</f>
        <v>95</v>
      </c>
      <c r="F6079" s="0" t="n">
        <f aca="false">IF(C6079&gt;1,IF(C6079&lt;99,VLOOKUP(C6079,'Babblefish-APUMA'!$A$1:$B$86,2),C6079),C6079)</f>
        <v>8</v>
      </c>
    </row>
    <row r="6080" customFormat="false" ht="12.75" hidden="false" customHeight="false" outlineLevel="0" collapsed="false">
      <c r="A6080" s="0" t="n">
        <f aca="false">B6080*1000+C6080</f>
        <v>82009</v>
      </c>
      <c r="B6080" s="0" t="n">
        <v>82</v>
      </c>
      <c r="C6080" s="0" t="n">
        <v>9</v>
      </c>
      <c r="D6080" s="0" t="n">
        <v>0</v>
      </c>
      <c r="E6080" s="0" t="n">
        <f aca="false">VLOOKUP(B6080,'Babblefish-APUMA'!$A$1:$B$86,2)</f>
        <v>95</v>
      </c>
      <c r="F6080" s="0" t="n">
        <f aca="false">IF(C6080&gt;1,IF(C6080&lt;99,VLOOKUP(C6080,'Babblefish-APUMA'!$A$1:$B$86,2),C6080),C6080)</f>
        <v>9</v>
      </c>
    </row>
    <row r="6081" customFormat="false" ht="12.75" hidden="false" customHeight="false" outlineLevel="0" collapsed="false">
      <c r="A6081" s="0" t="n">
        <f aca="false">B6081*1000+C6081</f>
        <v>82010</v>
      </c>
      <c r="B6081" s="0" t="n">
        <v>82</v>
      </c>
      <c r="C6081" s="0" t="n">
        <v>10</v>
      </c>
      <c r="D6081" s="0" t="n">
        <v>0</v>
      </c>
      <c r="E6081" s="0" t="n">
        <f aca="false">VLOOKUP(B6081,'Babblefish-APUMA'!$A$1:$B$86,2)</f>
        <v>95</v>
      </c>
      <c r="F6081" s="0" t="n">
        <f aca="false">IF(C6081&gt;1,IF(C6081&lt;99,VLOOKUP(C6081,'Babblefish-APUMA'!$A$1:$B$86,2),C6081),C6081)</f>
        <v>10</v>
      </c>
    </row>
    <row r="6082" customFormat="false" ht="12.75" hidden="false" customHeight="false" outlineLevel="0" collapsed="false">
      <c r="A6082" s="0" t="n">
        <f aca="false">B6082*1000+C6082</f>
        <v>82011</v>
      </c>
      <c r="B6082" s="0" t="n">
        <v>82</v>
      </c>
      <c r="C6082" s="0" t="n">
        <v>11</v>
      </c>
      <c r="D6082" s="0" t="n">
        <v>0</v>
      </c>
      <c r="E6082" s="0" t="n">
        <f aca="false">VLOOKUP(B6082,'Babblefish-APUMA'!$A$1:$B$86,2)</f>
        <v>95</v>
      </c>
      <c r="F6082" s="0" t="n">
        <f aca="false">IF(C6082&gt;1,IF(C6082&lt;99,VLOOKUP(C6082,'Babblefish-APUMA'!$A$1:$B$86,2),C6082),C6082)</f>
        <v>11</v>
      </c>
    </row>
    <row r="6083" customFormat="false" ht="12.75" hidden="false" customHeight="false" outlineLevel="0" collapsed="false">
      <c r="A6083" s="0" t="n">
        <f aca="false">B6083*1000+C6083</f>
        <v>82012</v>
      </c>
      <c r="B6083" s="0" t="n">
        <v>82</v>
      </c>
      <c r="C6083" s="0" t="n">
        <v>12</v>
      </c>
      <c r="D6083" s="0" t="n">
        <v>0</v>
      </c>
      <c r="E6083" s="0" t="n">
        <f aca="false">VLOOKUP(B6083,'Babblefish-APUMA'!$A$1:$B$86,2)</f>
        <v>95</v>
      </c>
      <c r="F6083" s="0" t="n">
        <f aca="false">IF(C6083&gt;1,IF(C6083&lt;99,VLOOKUP(C6083,'Babblefish-APUMA'!$A$1:$B$86,2),C6083),C6083)</f>
        <v>12</v>
      </c>
    </row>
    <row r="6084" customFormat="false" ht="12.75" hidden="false" customHeight="false" outlineLevel="0" collapsed="false">
      <c r="A6084" s="0" t="n">
        <f aca="false">B6084*1000+C6084</f>
        <v>82013</v>
      </c>
      <c r="B6084" s="0" t="n">
        <v>82</v>
      </c>
      <c r="C6084" s="0" t="n">
        <v>13</v>
      </c>
      <c r="D6084" s="0" t="n">
        <v>0</v>
      </c>
      <c r="E6084" s="0" t="n">
        <f aca="false">VLOOKUP(B6084,'Babblefish-APUMA'!$A$1:$B$86,2)</f>
        <v>95</v>
      </c>
      <c r="F6084" s="0" t="n">
        <f aca="false">IF(C6084&gt;1,IF(C6084&lt;99,VLOOKUP(C6084,'Babblefish-APUMA'!$A$1:$B$86,2),C6084),C6084)</f>
        <v>100</v>
      </c>
    </row>
    <row r="6085" customFormat="false" ht="12.75" hidden="false" customHeight="false" outlineLevel="0" collapsed="false">
      <c r="A6085" s="0" t="n">
        <f aca="false">B6085*1000+C6085</f>
        <v>82014</v>
      </c>
      <c r="B6085" s="0" t="n">
        <v>82</v>
      </c>
      <c r="C6085" s="0" t="n">
        <v>14</v>
      </c>
      <c r="D6085" s="0" t="n">
        <v>0</v>
      </c>
      <c r="E6085" s="0" t="n">
        <f aca="false">VLOOKUP(B6085,'Babblefish-APUMA'!$A$1:$B$86,2)</f>
        <v>95</v>
      </c>
      <c r="F6085" s="0" t="n">
        <f aca="false">IF(C6085&gt;1,IF(C6085&lt;99,VLOOKUP(C6085,'Babblefish-APUMA'!$A$1:$B$86,2),C6085),C6085)</f>
        <v>100</v>
      </c>
    </row>
    <row r="6086" customFormat="false" ht="12.75" hidden="false" customHeight="false" outlineLevel="0" collapsed="false">
      <c r="A6086" s="0" t="n">
        <f aca="false">B6086*1000+C6086</f>
        <v>82015</v>
      </c>
      <c r="B6086" s="0" t="n">
        <v>82</v>
      </c>
      <c r="C6086" s="0" t="n">
        <v>15</v>
      </c>
      <c r="D6086" s="0" t="n">
        <v>0</v>
      </c>
      <c r="E6086" s="0" t="n">
        <f aca="false">VLOOKUP(B6086,'Babblefish-APUMA'!$A$1:$B$86,2)</f>
        <v>95</v>
      </c>
      <c r="F6086" s="0" t="n">
        <f aca="false">IF(C6086&gt;1,IF(C6086&lt;99,VLOOKUP(C6086,'Babblefish-APUMA'!$A$1:$B$86,2),C6086),C6086)</f>
        <v>15</v>
      </c>
    </row>
    <row r="6087" customFormat="false" ht="12.75" hidden="false" customHeight="false" outlineLevel="0" collapsed="false">
      <c r="A6087" s="0" t="n">
        <f aca="false">B6087*1000+C6087</f>
        <v>82016</v>
      </c>
      <c r="B6087" s="0" t="n">
        <v>82</v>
      </c>
      <c r="C6087" s="0" t="n">
        <v>16</v>
      </c>
      <c r="D6087" s="0" t="n">
        <v>0</v>
      </c>
      <c r="E6087" s="0" t="n">
        <f aca="false">VLOOKUP(B6087,'Babblefish-APUMA'!$A$1:$B$86,2)</f>
        <v>95</v>
      </c>
      <c r="F6087" s="0" t="n">
        <f aca="false">IF(C6087&gt;1,IF(C6087&lt;99,VLOOKUP(C6087,'Babblefish-APUMA'!$A$1:$B$86,2),C6087),C6087)</f>
        <v>99</v>
      </c>
    </row>
    <row r="6088" customFormat="false" ht="12.75" hidden="false" customHeight="false" outlineLevel="0" collapsed="false">
      <c r="A6088" s="0" t="n">
        <f aca="false">B6088*1000+C6088</f>
        <v>82017</v>
      </c>
      <c r="B6088" s="0" t="n">
        <v>82</v>
      </c>
      <c r="C6088" s="0" t="n">
        <v>17</v>
      </c>
      <c r="D6088" s="0" t="n">
        <v>0</v>
      </c>
      <c r="E6088" s="0" t="n">
        <f aca="false">VLOOKUP(B6088,'Babblefish-APUMA'!$A$1:$B$86,2)</f>
        <v>95</v>
      </c>
      <c r="F6088" s="0" t="n">
        <f aca="false">IF(C6088&gt;1,IF(C6088&lt;99,VLOOKUP(C6088,'Babblefish-APUMA'!$A$1:$B$86,2),C6088),C6088)</f>
        <v>87</v>
      </c>
    </row>
    <row r="6089" customFormat="false" ht="12.75" hidden="false" customHeight="false" outlineLevel="0" collapsed="false">
      <c r="A6089" s="0" t="n">
        <f aca="false">B6089*1000+C6089</f>
        <v>82018</v>
      </c>
      <c r="B6089" s="0" t="n">
        <v>82</v>
      </c>
      <c r="C6089" s="0" t="n">
        <v>18</v>
      </c>
      <c r="D6089" s="0" t="n">
        <v>0</v>
      </c>
      <c r="E6089" s="0" t="n">
        <f aca="false">VLOOKUP(B6089,'Babblefish-APUMA'!$A$1:$B$86,2)</f>
        <v>95</v>
      </c>
      <c r="F6089" s="0" t="n">
        <f aca="false">IF(C6089&gt;1,IF(C6089&lt;99,VLOOKUP(C6089,'Babblefish-APUMA'!$A$1:$B$86,2),C6089),C6089)</f>
        <v>87</v>
      </c>
    </row>
    <row r="6090" customFormat="false" ht="12.75" hidden="false" customHeight="false" outlineLevel="0" collapsed="false">
      <c r="A6090" s="0" t="n">
        <f aca="false">B6090*1000+C6090</f>
        <v>82019</v>
      </c>
      <c r="B6090" s="0" t="n">
        <v>82</v>
      </c>
      <c r="C6090" s="0" t="n">
        <v>19</v>
      </c>
      <c r="D6090" s="0" t="n">
        <v>0</v>
      </c>
      <c r="E6090" s="0" t="n">
        <f aca="false">VLOOKUP(B6090,'Babblefish-APUMA'!$A$1:$B$86,2)</f>
        <v>95</v>
      </c>
      <c r="F6090" s="0" t="n">
        <f aca="false">IF(C6090&gt;1,IF(C6090&lt;99,VLOOKUP(C6090,'Babblefish-APUMA'!$A$1:$B$86,2),C6090),C6090)</f>
        <v>19</v>
      </c>
    </row>
    <row r="6091" customFormat="false" ht="12.75" hidden="false" customHeight="false" outlineLevel="0" collapsed="false">
      <c r="A6091" s="0" t="n">
        <f aca="false">B6091*1000+C6091</f>
        <v>82020</v>
      </c>
      <c r="B6091" s="0" t="n">
        <v>82</v>
      </c>
      <c r="C6091" s="0" t="n">
        <v>20</v>
      </c>
      <c r="D6091" s="0" t="n">
        <v>0</v>
      </c>
      <c r="E6091" s="0" t="n">
        <f aca="false">VLOOKUP(B6091,'Babblefish-APUMA'!$A$1:$B$86,2)</f>
        <v>95</v>
      </c>
      <c r="F6091" s="0" t="n">
        <f aca="false">IF(C6091&gt;1,IF(C6091&lt;99,VLOOKUP(C6091,'Babblefish-APUMA'!$A$1:$B$86,2),C6091),C6091)</f>
        <v>86</v>
      </c>
    </row>
    <row r="6092" customFormat="false" ht="12.75" hidden="false" customHeight="false" outlineLevel="0" collapsed="false">
      <c r="A6092" s="0" t="n">
        <f aca="false">B6092*1000+C6092</f>
        <v>82021</v>
      </c>
      <c r="B6092" s="0" t="n">
        <v>82</v>
      </c>
      <c r="C6092" s="0" t="n">
        <v>21</v>
      </c>
      <c r="D6092" s="0" t="n">
        <v>0</v>
      </c>
      <c r="E6092" s="0" t="n">
        <f aca="false">VLOOKUP(B6092,'Babblefish-APUMA'!$A$1:$B$86,2)</f>
        <v>95</v>
      </c>
      <c r="F6092" s="0" t="n">
        <f aca="false">IF(C6092&gt;1,IF(C6092&lt;99,VLOOKUP(C6092,'Babblefish-APUMA'!$A$1:$B$86,2),C6092),C6092)</f>
        <v>86</v>
      </c>
    </row>
    <row r="6093" customFormat="false" ht="12.75" hidden="false" customHeight="false" outlineLevel="0" collapsed="false">
      <c r="A6093" s="0" t="n">
        <f aca="false">B6093*1000+C6093</f>
        <v>82022</v>
      </c>
      <c r="B6093" s="0" t="n">
        <v>82</v>
      </c>
      <c r="C6093" s="0" t="n">
        <v>22</v>
      </c>
      <c r="D6093" s="0" t="n">
        <v>0</v>
      </c>
      <c r="E6093" s="0" t="n">
        <f aca="false">VLOOKUP(B6093,'Babblefish-APUMA'!$A$1:$B$86,2)</f>
        <v>95</v>
      </c>
      <c r="F6093" s="0" t="n">
        <f aca="false">IF(C6093&gt;1,IF(C6093&lt;99,VLOOKUP(C6093,'Babblefish-APUMA'!$A$1:$B$86,2),C6093),C6093)</f>
        <v>22</v>
      </c>
    </row>
    <row r="6094" customFormat="false" ht="12.75" hidden="false" customHeight="false" outlineLevel="0" collapsed="false">
      <c r="A6094" s="0" t="n">
        <f aca="false">B6094*1000+C6094</f>
        <v>82023</v>
      </c>
      <c r="B6094" s="0" t="n">
        <v>82</v>
      </c>
      <c r="C6094" s="0" t="n">
        <v>23</v>
      </c>
      <c r="D6094" s="0" t="n">
        <v>0</v>
      </c>
      <c r="E6094" s="0" t="n">
        <f aca="false">VLOOKUP(B6094,'Babblefish-APUMA'!$A$1:$B$86,2)</f>
        <v>95</v>
      </c>
      <c r="F6094" s="0" t="n">
        <f aca="false">IF(C6094&gt;1,IF(C6094&lt;99,VLOOKUP(C6094,'Babblefish-APUMA'!$A$1:$B$86,2),C6094),C6094)</f>
        <v>97</v>
      </c>
    </row>
    <row r="6095" customFormat="false" ht="12.75" hidden="false" customHeight="false" outlineLevel="0" collapsed="false">
      <c r="A6095" s="0" t="n">
        <f aca="false">B6095*1000+C6095</f>
        <v>82024</v>
      </c>
      <c r="B6095" s="0" t="n">
        <v>82</v>
      </c>
      <c r="C6095" s="0" t="n">
        <v>24</v>
      </c>
      <c r="D6095" s="0" t="n">
        <v>0</v>
      </c>
      <c r="E6095" s="0" t="n">
        <f aca="false">VLOOKUP(B6095,'Babblefish-APUMA'!$A$1:$B$86,2)</f>
        <v>95</v>
      </c>
      <c r="F6095" s="0" t="n">
        <f aca="false">IF(C6095&gt;1,IF(C6095&lt;99,VLOOKUP(C6095,'Babblefish-APUMA'!$A$1:$B$86,2),C6095),C6095)</f>
        <v>101</v>
      </c>
    </row>
    <row r="6096" customFormat="false" ht="12.75" hidden="false" customHeight="false" outlineLevel="0" collapsed="false">
      <c r="A6096" s="0" t="n">
        <f aca="false">B6096*1000+C6096</f>
        <v>82025</v>
      </c>
      <c r="B6096" s="0" t="n">
        <v>82</v>
      </c>
      <c r="C6096" s="0" t="n">
        <v>25</v>
      </c>
      <c r="D6096" s="0" t="n">
        <v>0</v>
      </c>
      <c r="E6096" s="0" t="n">
        <f aca="false">VLOOKUP(B6096,'Babblefish-APUMA'!$A$1:$B$86,2)</f>
        <v>95</v>
      </c>
      <c r="F6096" s="0" t="n">
        <f aca="false">IF(C6096&gt;1,IF(C6096&lt;99,VLOOKUP(C6096,'Babblefish-APUMA'!$A$1:$B$86,2),C6096),C6096)</f>
        <v>101</v>
      </c>
    </row>
    <row r="6097" customFormat="false" ht="12.75" hidden="false" customHeight="false" outlineLevel="0" collapsed="false">
      <c r="A6097" s="0" t="n">
        <f aca="false">B6097*1000+C6097</f>
        <v>82026</v>
      </c>
      <c r="B6097" s="0" t="n">
        <v>82</v>
      </c>
      <c r="C6097" s="0" t="n">
        <v>26</v>
      </c>
      <c r="D6097" s="0" t="n">
        <v>0</v>
      </c>
      <c r="E6097" s="0" t="n">
        <f aca="false">VLOOKUP(B6097,'Babblefish-APUMA'!$A$1:$B$86,2)</f>
        <v>95</v>
      </c>
      <c r="F6097" s="0" t="n">
        <f aca="false">IF(C6097&gt;1,IF(C6097&lt;99,VLOOKUP(C6097,'Babblefish-APUMA'!$A$1:$B$86,2),C6097),C6097)</f>
        <v>26</v>
      </c>
    </row>
    <row r="6098" customFormat="false" ht="12.75" hidden="false" customHeight="false" outlineLevel="0" collapsed="false">
      <c r="A6098" s="0" t="n">
        <f aca="false">B6098*1000+C6098</f>
        <v>82027</v>
      </c>
      <c r="B6098" s="0" t="n">
        <v>82</v>
      </c>
      <c r="C6098" s="0" t="n">
        <v>27</v>
      </c>
      <c r="D6098" s="0" t="n">
        <v>0</v>
      </c>
      <c r="E6098" s="0" t="n">
        <f aca="false">VLOOKUP(B6098,'Babblefish-APUMA'!$A$1:$B$86,2)</f>
        <v>95</v>
      </c>
      <c r="F6098" s="0" t="n">
        <f aca="false">IF(C6098&gt;1,IF(C6098&lt;99,VLOOKUP(C6098,'Babblefish-APUMA'!$A$1:$B$86,2),C6098),C6098)</f>
        <v>27</v>
      </c>
    </row>
    <row r="6099" customFormat="false" ht="12.75" hidden="false" customHeight="false" outlineLevel="0" collapsed="false">
      <c r="A6099" s="0" t="n">
        <f aca="false">B6099*1000+C6099</f>
        <v>82028</v>
      </c>
      <c r="B6099" s="0" t="n">
        <v>82</v>
      </c>
      <c r="C6099" s="0" t="n">
        <v>28</v>
      </c>
      <c r="D6099" s="0" t="n">
        <v>0</v>
      </c>
      <c r="E6099" s="0" t="n">
        <f aca="false">VLOOKUP(B6099,'Babblefish-APUMA'!$A$1:$B$86,2)</f>
        <v>95</v>
      </c>
      <c r="F6099" s="0" t="n">
        <f aca="false">IF(C6099&gt;1,IF(C6099&lt;99,VLOOKUP(C6099,'Babblefish-APUMA'!$A$1:$B$86,2),C6099),C6099)</f>
        <v>94</v>
      </c>
    </row>
    <row r="6100" customFormat="false" ht="12.75" hidden="false" customHeight="false" outlineLevel="0" collapsed="false">
      <c r="A6100" s="0" t="n">
        <f aca="false">B6100*1000+C6100</f>
        <v>82029</v>
      </c>
      <c r="B6100" s="0" t="n">
        <v>82</v>
      </c>
      <c r="C6100" s="0" t="n">
        <v>29</v>
      </c>
      <c r="D6100" s="0" t="n">
        <v>0</v>
      </c>
      <c r="E6100" s="0" t="n">
        <f aca="false">VLOOKUP(B6100,'Babblefish-APUMA'!$A$1:$B$86,2)</f>
        <v>95</v>
      </c>
      <c r="F6100" s="0" t="n">
        <f aca="false">IF(C6100&gt;1,IF(C6100&lt;99,VLOOKUP(C6100,'Babblefish-APUMA'!$A$1:$B$86,2),C6100),C6100)</f>
        <v>94</v>
      </c>
    </row>
    <row r="6101" customFormat="false" ht="12.75" hidden="false" customHeight="false" outlineLevel="0" collapsed="false">
      <c r="A6101" s="0" t="n">
        <f aca="false">B6101*1000+C6101</f>
        <v>82030</v>
      </c>
      <c r="B6101" s="0" t="n">
        <v>82</v>
      </c>
      <c r="C6101" s="0" t="n">
        <v>30</v>
      </c>
      <c r="D6101" s="0" t="n">
        <v>0</v>
      </c>
      <c r="E6101" s="0" t="n">
        <f aca="false">VLOOKUP(B6101,'Babblefish-APUMA'!$A$1:$B$86,2)</f>
        <v>95</v>
      </c>
      <c r="F6101" s="0" t="n">
        <f aca="false">IF(C6101&gt;1,IF(C6101&lt;99,VLOOKUP(C6101,'Babblefish-APUMA'!$A$1:$B$86,2),C6101),C6101)</f>
        <v>30</v>
      </c>
    </row>
    <row r="6102" customFormat="false" ht="12.75" hidden="false" customHeight="false" outlineLevel="0" collapsed="false">
      <c r="A6102" s="0" t="n">
        <f aca="false">B6102*1000+C6102</f>
        <v>82031</v>
      </c>
      <c r="B6102" s="0" t="n">
        <v>82</v>
      </c>
      <c r="C6102" s="0" t="n">
        <v>31</v>
      </c>
      <c r="D6102" s="0" t="n">
        <v>0</v>
      </c>
      <c r="E6102" s="0" t="n">
        <f aca="false">VLOOKUP(B6102,'Babblefish-APUMA'!$A$1:$B$86,2)</f>
        <v>95</v>
      </c>
      <c r="F6102" s="0" t="n">
        <f aca="false">IF(C6102&gt;1,IF(C6102&lt;99,VLOOKUP(C6102,'Babblefish-APUMA'!$A$1:$B$86,2),C6102),C6102)</f>
        <v>31</v>
      </c>
    </row>
    <row r="6103" customFormat="false" ht="12.75" hidden="false" customHeight="false" outlineLevel="0" collapsed="false">
      <c r="A6103" s="0" t="n">
        <f aca="false">B6103*1000+C6103</f>
        <v>82032</v>
      </c>
      <c r="B6103" s="0" t="n">
        <v>82</v>
      </c>
      <c r="C6103" s="0" t="n">
        <v>32</v>
      </c>
      <c r="D6103" s="0" t="n">
        <v>0</v>
      </c>
      <c r="E6103" s="0" t="n">
        <f aca="false">VLOOKUP(B6103,'Babblefish-APUMA'!$A$1:$B$86,2)</f>
        <v>95</v>
      </c>
      <c r="F6103" s="0" t="n">
        <f aca="false">IF(C6103&gt;1,IF(C6103&lt;99,VLOOKUP(C6103,'Babblefish-APUMA'!$A$1:$B$86,2),C6103),C6103)</f>
        <v>32</v>
      </c>
    </row>
    <row r="6104" customFormat="false" ht="12.75" hidden="false" customHeight="false" outlineLevel="0" collapsed="false">
      <c r="A6104" s="0" t="n">
        <f aca="false">B6104*1000+C6104</f>
        <v>82033</v>
      </c>
      <c r="B6104" s="0" t="n">
        <v>82</v>
      </c>
      <c r="C6104" s="0" t="n">
        <v>33</v>
      </c>
      <c r="D6104" s="0" t="n">
        <v>0</v>
      </c>
      <c r="E6104" s="0" t="n">
        <f aca="false">VLOOKUP(B6104,'Babblefish-APUMA'!$A$1:$B$86,2)</f>
        <v>95</v>
      </c>
      <c r="F6104" s="0" t="n">
        <f aca="false">IF(C6104&gt;1,IF(C6104&lt;99,VLOOKUP(C6104,'Babblefish-APUMA'!$A$1:$B$86,2),C6104),C6104)</f>
        <v>96</v>
      </c>
    </row>
    <row r="6105" customFormat="false" ht="12.75" hidden="false" customHeight="false" outlineLevel="0" collapsed="false">
      <c r="A6105" s="0" t="n">
        <f aca="false">B6105*1000+C6105</f>
        <v>82034</v>
      </c>
      <c r="B6105" s="0" t="n">
        <v>82</v>
      </c>
      <c r="C6105" s="0" t="n">
        <v>34</v>
      </c>
      <c r="D6105" s="0" t="n">
        <v>0</v>
      </c>
      <c r="E6105" s="0" t="n">
        <f aca="false">VLOOKUP(B6105,'Babblefish-APUMA'!$A$1:$B$86,2)</f>
        <v>95</v>
      </c>
      <c r="F6105" s="0" t="n">
        <f aca="false">IF(C6105&gt;1,IF(C6105&lt;99,VLOOKUP(C6105,'Babblefish-APUMA'!$A$1:$B$86,2),C6105),C6105)</f>
        <v>96</v>
      </c>
    </row>
    <row r="6106" customFormat="false" ht="12.75" hidden="false" customHeight="false" outlineLevel="0" collapsed="false">
      <c r="A6106" s="0" t="n">
        <f aca="false">B6106*1000+C6106</f>
        <v>82035</v>
      </c>
      <c r="B6106" s="0" t="n">
        <v>82</v>
      </c>
      <c r="C6106" s="0" t="n">
        <v>35</v>
      </c>
      <c r="D6106" s="0" t="n">
        <v>0</v>
      </c>
      <c r="E6106" s="0" t="n">
        <f aca="false">VLOOKUP(B6106,'Babblefish-APUMA'!$A$1:$B$86,2)</f>
        <v>95</v>
      </c>
      <c r="F6106" s="0" t="n">
        <f aca="false">IF(C6106&gt;1,IF(C6106&lt;99,VLOOKUP(C6106,'Babblefish-APUMA'!$A$1:$B$86,2),C6106),C6106)</f>
        <v>96</v>
      </c>
    </row>
    <row r="6107" customFormat="false" ht="12.75" hidden="false" customHeight="false" outlineLevel="0" collapsed="false">
      <c r="A6107" s="0" t="n">
        <f aca="false">B6107*1000+C6107</f>
        <v>82036</v>
      </c>
      <c r="B6107" s="0" t="n">
        <v>82</v>
      </c>
      <c r="C6107" s="0" t="n">
        <v>36</v>
      </c>
      <c r="D6107" s="0" t="n">
        <v>0</v>
      </c>
      <c r="E6107" s="0" t="n">
        <f aca="false">VLOOKUP(B6107,'Babblefish-APUMA'!$A$1:$B$86,2)</f>
        <v>95</v>
      </c>
      <c r="F6107" s="0" t="n">
        <f aca="false">IF(C6107&gt;1,IF(C6107&lt;99,VLOOKUP(C6107,'Babblefish-APUMA'!$A$1:$B$86,2),C6107),C6107)</f>
        <v>96</v>
      </c>
    </row>
    <row r="6108" customFormat="false" ht="12.75" hidden="false" customHeight="false" outlineLevel="0" collapsed="false">
      <c r="A6108" s="0" t="n">
        <f aca="false">B6108*1000+C6108</f>
        <v>82037</v>
      </c>
      <c r="B6108" s="0" t="n">
        <v>82</v>
      </c>
      <c r="C6108" s="0" t="n">
        <v>37</v>
      </c>
      <c r="D6108" s="0" t="n">
        <v>0</v>
      </c>
      <c r="E6108" s="0" t="n">
        <f aca="false">VLOOKUP(B6108,'Babblefish-APUMA'!$A$1:$B$86,2)</f>
        <v>95</v>
      </c>
      <c r="F6108" s="0" t="n">
        <f aca="false">IF(C6108&gt;1,IF(C6108&lt;99,VLOOKUP(C6108,'Babblefish-APUMA'!$A$1:$B$86,2),C6108),C6108)</f>
        <v>96</v>
      </c>
    </row>
    <row r="6109" customFormat="false" ht="12.75" hidden="false" customHeight="false" outlineLevel="0" collapsed="false">
      <c r="A6109" s="0" t="n">
        <f aca="false">B6109*1000+C6109</f>
        <v>82038</v>
      </c>
      <c r="B6109" s="0" t="n">
        <v>82</v>
      </c>
      <c r="C6109" s="0" t="n">
        <v>38</v>
      </c>
      <c r="D6109" s="0" t="n">
        <v>0</v>
      </c>
      <c r="E6109" s="0" t="n">
        <f aca="false">VLOOKUP(B6109,'Babblefish-APUMA'!$A$1:$B$86,2)</f>
        <v>95</v>
      </c>
      <c r="F6109" s="0" t="n">
        <f aca="false">IF(C6109&gt;1,IF(C6109&lt;99,VLOOKUP(C6109,'Babblefish-APUMA'!$A$1:$B$86,2),C6109),C6109)</f>
        <v>91</v>
      </c>
    </row>
    <row r="6110" customFormat="false" ht="12.75" hidden="false" customHeight="false" outlineLevel="0" collapsed="false">
      <c r="A6110" s="0" t="n">
        <f aca="false">B6110*1000+C6110</f>
        <v>82039</v>
      </c>
      <c r="B6110" s="0" t="n">
        <v>82</v>
      </c>
      <c r="C6110" s="0" t="n">
        <v>39</v>
      </c>
      <c r="D6110" s="0" t="n">
        <v>91</v>
      </c>
      <c r="E6110" s="0" t="n">
        <f aca="false">VLOOKUP(B6110,'Babblefish-APUMA'!$A$1:$B$86,2)</f>
        <v>95</v>
      </c>
      <c r="F6110" s="0" t="n">
        <f aca="false">IF(C6110&gt;1,IF(C6110&lt;99,VLOOKUP(C6110,'Babblefish-APUMA'!$A$1:$B$86,2),C6110),C6110)</f>
        <v>91</v>
      </c>
    </row>
    <row r="6111" customFormat="false" ht="12.75" hidden="false" customHeight="false" outlineLevel="0" collapsed="false">
      <c r="A6111" s="0" t="n">
        <f aca="false">B6111*1000+C6111</f>
        <v>82040</v>
      </c>
      <c r="B6111" s="0" t="n">
        <v>82</v>
      </c>
      <c r="C6111" s="0" t="n">
        <v>40</v>
      </c>
      <c r="D6111" s="0" t="n">
        <v>0</v>
      </c>
      <c r="E6111" s="0" t="n">
        <f aca="false">VLOOKUP(B6111,'Babblefish-APUMA'!$A$1:$B$86,2)</f>
        <v>95</v>
      </c>
      <c r="F6111" s="0" t="n">
        <f aca="false">IF(C6111&gt;1,IF(C6111&lt;99,VLOOKUP(C6111,'Babblefish-APUMA'!$A$1:$B$86,2),C6111),C6111)</f>
        <v>88</v>
      </c>
    </row>
    <row r="6112" customFormat="false" ht="12.75" hidden="false" customHeight="false" outlineLevel="0" collapsed="false">
      <c r="A6112" s="0" t="n">
        <f aca="false">B6112*1000+C6112</f>
        <v>82041</v>
      </c>
      <c r="B6112" s="0" t="n">
        <v>82</v>
      </c>
      <c r="C6112" s="0" t="n">
        <v>41</v>
      </c>
      <c r="D6112" s="0" t="n">
        <v>0</v>
      </c>
      <c r="E6112" s="0" t="n">
        <f aca="false">VLOOKUP(B6112,'Babblefish-APUMA'!$A$1:$B$86,2)</f>
        <v>95</v>
      </c>
      <c r="F6112" s="0" t="n">
        <f aca="false">IF(C6112&gt;1,IF(C6112&lt;99,VLOOKUP(C6112,'Babblefish-APUMA'!$A$1:$B$86,2),C6112),C6112)</f>
        <v>88</v>
      </c>
    </row>
    <row r="6113" customFormat="false" ht="12.75" hidden="false" customHeight="false" outlineLevel="0" collapsed="false">
      <c r="A6113" s="0" t="n">
        <f aca="false">B6113*1000+C6113</f>
        <v>82042</v>
      </c>
      <c r="B6113" s="0" t="n">
        <v>82</v>
      </c>
      <c r="C6113" s="0" t="n">
        <v>42</v>
      </c>
      <c r="D6113" s="0" t="n">
        <v>299</v>
      </c>
      <c r="E6113" s="0" t="n">
        <f aca="false">VLOOKUP(B6113,'Babblefish-APUMA'!$A$1:$B$86,2)</f>
        <v>95</v>
      </c>
      <c r="F6113" s="0" t="n">
        <f aca="false">IF(C6113&gt;1,IF(C6113&lt;99,VLOOKUP(C6113,'Babblefish-APUMA'!$A$1:$B$86,2),C6113),C6113)</f>
        <v>92</v>
      </c>
    </row>
    <row r="6114" customFormat="false" ht="12.75" hidden="false" customHeight="false" outlineLevel="0" collapsed="false">
      <c r="A6114" s="0" t="n">
        <f aca="false">B6114*1000+C6114</f>
        <v>82043</v>
      </c>
      <c r="B6114" s="0" t="n">
        <v>82</v>
      </c>
      <c r="C6114" s="0" t="n">
        <v>43</v>
      </c>
      <c r="D6114" s="0" t="n">
        <v>0</v>
      </c>
      <c r="E6114" s="0" t="n">
        <f aca="false">VLOOKUP(B6114,'Babblefish-APUMA'!$A$1:$B$86,2)</f>
        <v>95</v>
      </c>
      <c r="F6114" s="0" t="n">
        <f aca="false">IF(C6114&gt;1,IF(C6114&lt;99,VLOOKUP(C6114,'Babblefish-APUMA'!$A$1:$B$86,2),C6114),C6114)</f>
        <v>92</v>
      </c>
    </row>
    <row r="6115" customFormat="false" ht="12.75" hidden="false" customHeight="false" outlineLevel="0" collapsed="false">
      <c r="A6115" s="0" t="n">
        <f aca="false">B6115*1000+C6115</f>
        <v>82044</v>
      </c>
      <c r="B6115" s="0" t="n">
        <v>82</v>
      </c>
      <c r="C6115" s="0" t="n">
        <v>44</v>
      </c>
      <c r="D6115" s="0" t="n">
        <v>0</v>
      </c>
      <c r="E6115" s="0" t="n">
        <f aca="false">VLOOKUP(B6115,'Babblefish-APUMA'!$A$1:$B$86,2)</f>
        <v>95</v>
      </c>
      <c r="F6115" s="0" t="n">
        <f aca="false">IF(C6115&gt;1,IF(C6115&lt;99,VLOOKUP(C6115,'Babblefish-APUMA'!$A$1:$B$86,2),C6115),C6115)</f>
        <v>92</v>
      </c>
    </row>
    <row r="6116" customFormat="false" ht="12.75" hidden="false" customHeight="false" outlineLevel="0" collapsed="false">
      <c r="A6116" s="0" t="n">
        <f aca="false">B6116*1000+C6116</f>
        <v>82045</v>
      </c>
      <c r="B6116" s="0" t="n">
        <v>82</v>
      </c>
      <c r="C6116" s="0" t="n">
        <v>45</v>
      </c>
      <c r="D6116" s="0" t="n">
        <v>0</v>
      </c>
      <c r="E6116" s="0" t="n">
        <f aca="false">VLOOKUP(B6116,'Babblefish-APUMA'!$A$1:$B$86,2)</f>
        <v>95</v>
      </c>
      <c r="F6116" s="0" t="n">
        <f aca="false">IF(C6116&gt;1,IF(C6116&lt;99,VLOOKUP(C6116,'Babblefish-APUMA'!$A$1:$B$86,2),C6116),C6116)</f>
        <v>92</v>
      </c>
    </row>
    <row r="6117" customFormat="false" ht="12.75" hidden="false" customHeight="false" outlineLevel="0" collapsed="false">
      <c r="A6117" s="0" t="n">
        <f aca="false">B6117*1000+C6117</f>
        <v>82046</v>
      </c>
      <c r="B6117" s="0" t="n">
        <v>82</v>
      </c>
      <c r="C6117" s="0" t="n">
        <v>46</v>
      </c>
      <c r="D6117" s="0" t="n">
        <v>0</v>
      </c>
      <c r="E6117" s="0" t="n">
        <f aca="false">VLOOKUP(B6117,'Babblefish-APUMA'!$A$1:$B$86,2)</f>
        <v>95</v>
      </c>
      <c r="F6117" s="0" t="n">
        <f aca="false">IF(C6117&gt;1,IF(C6117&lt;99,VLOOKUP(C6117,'Babblefish-APUMA'!$A$1:$B$86,2),C6117),C6117)</f>
        <v>92</v>
      </c>
    </row>
    <row r="6118" customFormat="false" ht="12.75" hidden="false" customHeight="false" outlineLevel="0" collapsed="false">
      <c r="A6118" s="0" t="n">
        <f aca="false">B6118*1000+C6118</f>
        <v>82047</v>
      </c>
      <c r="B6118" s="0" t="n">
        <v>82</v>
      </c>
      <c r="C6118" s="0" t="n">
        <v>47</v>
      </c>
      <c r="D6118" s="0" t="n">
        <v>104</v>
      </c>
      <c r="E6118" s="0" t="n">
        <f aca="false">VLOOKUP(B6118,'Babblefish-APUMA'!$A$1:$B$86,2)</f>
        <v>95</v>
      </c>
      <c r="F6118" s="0" t="n">
        <f aca="false">IF(C6118&gt;1,IF(C6118&lt;99,VLOOKUP(C6118,'Babblefish-APUMA'!$A$1:$B$86,2),C6118),C6118)</f>
        <v>92</v>
      </c>
    </row>
    <row r="6119" customFormat="false" ht="12.75" hidden="false" customHeight="false" outlineLevel="0" collapsed="false">
      <c r="A6119" s="0" t="n">
        <f aca="false">B6119*1000+C6119</f>
        <v>82048</v>
      </c>
      <c r="B6119" s="0" t="n">
        <v>82</v>
      </c>
      <c r="C6119" s="0" t="n">
        <v>48</v>
      </c>
      <c r="D6119" s="0" t="n">
        <v>1287</v>
      </c>
      <c r="E6119" s="0" t="n">
        <f aca="false">VLOOKUP(B6119,'Babblefish-APUMA'!$A$1:$B$86,2)</f>
        <v>95</v>
      </c>
      <c r="F6119" s="0" t="n">
        <f aca="false">IF(C6119&gt;1,IF(C6119&lt;99,VLOOKUP(C6119,'Babblefish-APUMA'!$A$1:$B$86,2),C6119),C6119)</f>
        <v>92</v>
      </c>
    </row>
    <row r="6120" customFormat="false" ht="12.75" hidden="false" customHeight="false" outlineLevel="0" collapsed="false">
      <c r="A6120" s="0" t="n">
        <f aca="false">B6120*1000+C6120</f>
        <v>82049</v>
      </c>
      <c r="B6120" s="0" t="n">
        <v>82</v>
      </c>
      <c r="C6120" s="0" t="n">
        <v>49</v>
      </c>
      <c r="D6120" s="0" t="n">
        <v>156</v>
      </c>
      <c r="E6120" s="0" t="n">
        <f aca="false">VLOOKUP(B6120,'Babblefish-APUMA'!$A$1:$B$86,2)</f>
        <v>95</v>
      </c>
      <c r="F6120" s="0" t="n">
        <f aca="false">IF(C6120&gt;1,IF(C6120&lt;99,VLOOKUP(C6120,'Babblefish-APUMA'!$A$1:$B$86,2),C6120),C6120)</f>
        <v>98</v>
      </c>
    </row>
    <row r="6121" customFormat="false" ht="12.75" hidden="false" customHeight="false" outlineLevel="0" collapsed="false">
      <c r="A6121" s="0" t="n">
        <f aca="false">B6121*1000+C6121</f>
        <v>82050</v>
      </c>
      <c r="B6121" s="0" t="n">
        <v>82</v>
      </c>
      <c r="C6121" s="0" t="n">
        <v>50</v>
      </c>
      <c r="D6121" s="0" t="n">
        <v>0</v>
      </c>
      <c r="E6121" s="0" t="n">
        <f aca="false">VLOOKUP(B6121,'Babblefish-APUMA'!$A$1:$B$86,2)</f>
        <v>95</v>
      </c>
      <c r="F6121" s="0" t="n">
        <f aca="false">IF(C6121&gt;1,IF(C6121&lt;99,VLOOKUP(C6121,'Babblefish-APUMA'!$A$1:$B$86,2),C6121),C6121)</f>
        <v>98</v>
      </c>
    </row>
    <row r="6122" customFormat="false" ht="12.75" hidden="false" customHeight="false" outlineLevel="0" collapsed="false">
      <c r="A6122" s="0" t="n">
        <f aca="false">B6122*1000+C6122</f>
        <v>82051</v>
      </c>
      <c r="B6122" s="0" t="n">
        <v>82</v>
      </c>
      <c r="C6122" s="0" t="n">
        <v>51</v>
      </c>
      <c r="D6122" s="0" t="n">
        <v>0</v>
      </c>
      <c r="E6122" s="0" t="n">
        <f aca="false">VLOOKUP(B6122,'Babblefish-APUMA'!$A$1:$B$86,2)</f>
        <v>95</v>
      </c>
      <c r="F6122" s="0" t="n">
        <f aca="false">IF(C6122&gt;1,IF(C6122&lt;99,VLOOKUP(C6122,'Babblefish-APUMA'!$A$1:$B$86,2),C6122),C6122)</f>
        <v>98</v>
      </c>
    </row>
    <row r="6123" customFormat="false" ht="12.75" hidden="false" customHeight="false" outlineLevel="0" collapsed="false">
      <c r="A6123" s="0" t="n">
        <f aca="false">B6123*1000+C6123</f>
        <v>82052</v>
      </c>
      <c r="B6123" s="0" t="n">
        <v>82</v>
      </c>
      <c r="C6123" s="0" t="n">
        <v>52</v>
      </c>
      <c r="D6123" s="0" t="n">
        <v>364</v>
      </c>
      <c r="E6123" s="0" t="n">
        <f aca="false">VLOOKUP(B6123,'Babblefish-APUMA'!$A$1:$B$86,2)</f>
        <v>95</v>
      </c>
      <c r="F6123" s="0" t="n">
        <f aca="false">IF(C6123&gt;1,IF(C6123&lt;99,VLOOKUP(C6123,'Babblefish-APUMA'!$A$1:$B$86,2),C6123),C6123)</f>
        <v>90</v>
      </c>
    </row>
    <row r="6124" customFormat="false" ht="12.75" hidden="false" customHeight="false" outlineLevel="0" collapsed="false">
      <c r="A6124" s="0" t="n">
        <f aca="false">B6124*1000+C6124</f>
        <v>82053</v>
      </c>
      <c r="B6124" s="0" t="n">
        <v>82</v>
      </c>
      <c r="C6124" s="0" t="n">
        <v>53</v>
      </c>
      <c r="D6124" s="0" t="n">
        <v>143</v>
      </c>
      <c r="E6124" s="0" t="n">
        <f aca="false">VLOOKUP(B6124,'Babblefish-APUMA'!$A$1:$B$86,2)</f>
        <v>95</v>
      </c>
      <c r="F6124" s="0" t="n">
        <f aca="false">IF(C6124&gt;1,IF(C6124&lt;99,VLOOKUP(C6124,'Babblefish-APUMA'!$A$1:$B$86,2),C6124),C6124)</f>
        <v>90</v>
      </c>
    </row>
    <row r="6125" customFormat="false" ht="12.75" hidden="false" customHeight="false" outlineLevel="0" collapsed="false">
      <c r="A6125" s="0" t="n">
        <f aca="false">B6125*1000+C6125</f>
        <v>82054</v>
      </c>
      <c r="B6125" s="0" t="n">
        <v>82</v>
      </c>
      <c r="C6125" s="0" t="n">
        <v>54</v>
      </c>
      <c r="D6125" s="0" t="n">
        <v>0</v>
      </c>
      <c r="E6125" s="0" t="n">
        <f aca="false">VLOOKUP(B6125,'Babblefish-APUMA'!$A$1:$B$86,2)</f>
        <v>95</v>
      </c>
      <c r="F6125" s="0" t="n">
        <f aca="false">IF(C6125&gt;1,IF(C6125&lt;99,VLOOKUP(C6125,'Babblefish-APUMA'!$A$1:$B$86,2),C6125),C6125)</f>
        <v>90</v>
      </c>
    </row>
    <row r="6126" customFormat="false" ht="12.75" hidden="false" customHeight="false" outlineLevel="0" collapsed="false">
      <c r="A6126" s="0" t="n">
        <f aca="false">B6126*1000+C6126</f>
        <v>82055</v>
      </c>
      <c r="B6126" s="0" t="n">
        <v>82</v>
      </c>
      <c r="C6126" s="0" t="n">
        <v>55</v>
      </c>
      <c r="D6126" s="0" t="n">
        <v>143</v>
      </c>
      <c r="E6126" s="0" t="n">
        <f aca="false">VLOOKUP(B6126,'Babblefish-APUMA'!$A$1:$B$86,2)</f>
        <v>95</v>
      </c>
      <c r="F6126" s="0" t="n">
        <f aca="false">IF(C6126&gt;1,IF(C6126&lt;99,VLOOKUP(C6126,'Babblefish-APUMA'!$A$1:$B$86,2),C6126),C6126)</f>
        <v>90</v>
      </c>
    </row>
    <row r="6127" customFormat="false" ht="12.75" hidden="false" customHeight="false" outlineLevel="0" collapsed="false">
      <c r="A6127" s="0" t="n">
        <f aca="false">B6127*1000+C6127</f>
        <v>82056</v>
      </c>
      <c r="B6127" s="0" t="n">
        <v>82</v>
      </c>
      <c r="C6127" s="0" t="n">
        <v>56</v>
      </c>
      <c r="D6127" s="0" t="n">
        <v>0</v>
      </c>
      <c r="E6127" s="0" t="n">
        <f aca="false">VLOOKUP(B6127,'Babblefish-APUMA'!$A$1:$B$86,2)</f>
        <v>95</v>
      </c>
      <c r="F6127" s="0" t="n">
        <f aca="false">IF(C6127&gt;1,IF(C6127&lt;99,VLOOKUP(C6127,'Babblefish-APUMA'!$A$1:$B$86,2),C6127),C6127)</f>
        <v>90</v>
      </c>
    </row>
    <row r="6128" customFormat="false" ht="12.75" hidden="false" customHeight="false" outlineLevel="0" collapsed="false">
      <c r="A6128" s="0" t="n">
        <f aca="false">B6128*1000+C6128</f>
        <v>82057</v>
      </c>
      <c r="B6128" s="0" t="n">
        <v>82</v>
      </c>
      <c r="C6128" s="0" t="n">
        <v>57</v>
      </c>
      <c r="D6128" s="0" t="n">
        <v>0</v>
      </c>
      <c r="E6128" s="0" t="n">
        <f aca="false">VLOOKUP(B6128,'Babblefish-APUMA'!$A$1:$B$86,2)</f>
        <v>95</v>
      </c>
      <c r="F6128" s="0" t="n">
        <f aca="false">IF(C6128&gt;1,IF(C6128&lt;99,VLOOKUP(C6128,'Babblefish-APUMA'!$A$1:$B$86,2),C6128),C6128)</f>
        <v>90</v>
      </c>
    </row>
    <row r="6129" customFormat="false" ht="12.75" hidden="false" customHeight="false" outlineLevel="0" collapsed="false">
      <c r="A6129" s="0" t="n">
        <f aca="false">B6129*1000+C6129</f>
        <v>82058</v>
      </c>
      <c r="B6129" s="0" t="n">
        <v>82</v>
      </c>
      <c r="C6129" s="0" t="n">
        <v>58</v>
      </c>
      <c r="D6129" s="0" t="n">
        <v>0</v>
      </c>
      <c r="E6129" s="0" t="n">
        <f aca="false">VLOOKUP(B6129,'Babblefish-APUMA'!$A$1:$B$86,2)</f>
        <v>95</v>
      </c>
      <c r="F6129" s="0" t="n">
        <f aca="false">IF(C6129&gt;1,IF(C6129&lt;99,VLOOKUP(C6129,'Babblefish-APUMA'!$A$1:$B$86,2),C6129),C6129)</f>
        <v>90</v>
      </c>
    </row>
    <row r="6130" customFormat="false" ht="12.75" hidden="false" customHeight="false" outlineLevel="0" collapsed="false">
      <c r="A6130" s="0" t="n">
        <f aca="false">B6130*1000+C6130</f>
        <v>82059</v>
      </c>
      <c r="B6130" s="0" t="n">
        <v>82</v>
      </c>
      <c r="C6130" s="0" t="n">
        <v>59</v>
      </c>
      <c r="D6130" s="0" t="n">
        <v>585</v>
      </c>
      <c r="E6130" s="0" t="n">
        <f aca="false">VLOOKUP(B6130,'Babblefish-APUMA'!$A$1:$B$86,2)</f>
        <v>95</v>
      </c>
      <c r="F6130" s="0" t="n">
        <f aca="false">IF(C6130&gt;1,IF(C6130&lt;99,VLOOKUP(C6130,'Babblefish-APUMA'!$A$1:$B$86,2),C6130),C6130)</f>
        <v>90</v>
      </c>
    </row>
    <row r="6131" customFormat="false" ht="12.75" hidden="false" customHeight="false" outlineLevel="0" collapsed="false">
      <c r="A6131" s="0" t="n">
        <f aca="false">B6131*1000+C6131</f>
        <v>82060</v>
      </c>
      <c r="B6131" s="0" t="n">
        <v>82</v>
      </c>
      <c r="C6131" s="0" t="n">
        <v>60</v>
      </c>
      <c r="D6131" s="0" t="n">
        <v>0</v>
      </c>
      <c r="E6131" s="0" t="n">
        <f aca="false">VLOOKUP(B6131,'Babblefish-APUMA'!$A$1:$B$86,2)</f>
        <v>95</v>
      </c>
      <c r="F6131" s="0" t="n">
        <f aca="false">IF(C6131&gt;1,IF(C6131&lt;99,VLOOKUP(C6131,'Babblefish-APUMA'!$A$1:$B$86,2),C6131),C6131)</f>
        <v>90</v>
      </c>
    </row>
    <row r="6132" customFormat="false" ht="12.75" hidden="false" customHeight="false" outlineLevel="0" collapsed="false">
      <c r="A6132" s="0" t="n">
        <f aca="false">B6132*1000+C6132</f>
        <v>82061</v>
      </c>
      <c r="B6132" s="0" t="n">
        <v>82</v>
      </c>
      <c r="C6132" s="0" t="n">
        <v>61</v>
      </c>
      <c r="D6132" s="0" t="n">
        <v>0</v>
      </c>
      <c r="E6132" s="0" t="n">
        <f aca="false">VLOOKUP(B6132,'Babblefish-APUMA'!$A$1:$B$86,2)</f>
        <v>95</v>
      </c>
      <c r="F6132" s="0" t="n">
        <f aca="false">IF(C6132&gt;1,IF(C6132&lt;99,VLOOKUP(C6132,'Babblefish-APUMA'!$A$1:$B$86,2),C6132),C6132)</f>
        <v>90</v>
      </c>
    </row>
    <row r="6133" customFormat="false" ht="12.75" hidden="false" customHeight="false" outlineLevel="0" collapsed="false">
      <c r="A6133" s="0" t="n">
        <f aca="false">B6133*1000+C6133</f>
        <v>82062</v>
      </c>
      <c r="B6133" s="0" t="n">
        <v>82</v>
      </c>
      <c r="C6133" s="0" t="n">
        <v>62</v>
      </c>
      <c r="D6133" s="0" t="n">
        <v>78</v>
      </c>
      <c r="E6133" s="0" t="n">
        <f aca="false">VLOOKUP(B6133,'Babblefish-APUMA'!$A$1:$B$86,2)</f>
        <v>95</v>
      </c>
      <c r="F6133" s="0" t="n">
        <f aca="false">IF(C6133&gt;1,IF(C6133&lt;99,VLOOKUP(C6133,'Babblefish-APUMA'!$A$1:$B$86,2),C6133),C6133)</f>
        <v>90</v>
      </c>
    </row>
    <row r="6134" customFormat="false" ht="12.75" hidden="false" customHeight="false" outlineLevel="0" collapsed="false">
      <c r="A6134" s="0" t="n">
        <f aca="false">B6134*1000+C6134</f>
        <v>82063</v>
      </c>
      <c r="B6134" s="0" t="n">
        <v>82</v>
      </c>
      <c r="C6134" s="0" t="n">
        <v>63</v>
      </c>
      <c r="D6134" s="0" t="n">
        <v>208</v>
      </c>
      <c r="E6134" s="0" t="n">
        <f aca="false">VLOOKUP(B6134,'Babblefish-APUMA'!$A$1:$B$86,2)</f>
        <v>95</v>
      </c>
      <c r="F6134" s="0" t="n">
        <f aca="false">IF(C6134&gt;1,IF(C6134&lt;99,VLOOKUP(C6134,'Babblefish-APUMA'!$A$1:$B$86,2),C6134),C6134)</f>
        <v>90</v>
      </c>
    </row>
    <row r="6135" customFormat="false" ht="12.75" hidden="false" customHeight="false" outlineLevel="0" collapsed="false">
      <c r="A6135" s="0" t="n">
        <f aca="false">B6135*1000+C6135</f>
        <v>82064</v>
      </c>
      <c r="B6135" s="0" t="n">
        <v>82</v>
      </c>
      <c r="C6135" s="0" t="n">
        <v>64</v>
      </c>
      <c r="D6135" s="0" t="n">
        <v>1521</v>
      </c>
      <c r="E6135" s="0" t="n">
        <f aca="false">VLOOKUP(B6135,'Babblefish-APUMA'!$A$1:$B$86,2)</f>
        <v>95</v>
      </c>
      <c r="F6135" s="0" t="n">
        <f aca="false">IF(C6135&gt;1,IF(C6135&lt;99,VLOOKUP(C6135,'Babblefish-APUMA'!$A$1:$B$86,2),C6135),C6135)</f>
        <v>90</v>
      </c>
    </row>
    <row r="6136" customFormat="false" ht="12.75" hidden="false" customHeight="false" outlineLevel="0" collapsed="false">
      <c r="A6136" s="0" t="n">
        <f aca="false">B6136*1000+C6136</f>
        <v>82065</v>
      </c>
      <c r="B6136" s="0" t="n">
        <v>82</v>
      </c>
      <c r="C6136" s="0" t="n">
        <v>65</v>
      </c>
      <c r="D6136" s="0" t="n">
        <v>949</v>
      </c>
      <c r="E6136" s="0" t="n">
        <f aca="false">VLOOKUP(B6136,'Babblefish-APUMA'!$A$1:$B$86,2)</f>
        <v>95</v>
      </c>
      <c r="F6136" s="0" t="n">
        <f aca="false">IF(C6136&gt;1,IF(C6136&lt;99,VLOOKUP(C6136,'Babblefish-APUMA'!$A$1:$B$86,2),C6136),C6136)</f>
        <v>90</v>
      </c>
    </row>
    <row r="6137" customFormat="false" ht="12.75" hidden="false" customHeight="false" outlineLevel="0" collapsed="false">
      <c r="A6137" s="0" t="n">
        <f aca="false">B6137*1000+C6137</f>
        <v>82066</v>
      </c>
      <c r="B6137" s="0" t="n">
        <v>82</v>
      </c>
      <c r="C6137" s="0" t="n">
        <v>66</v>
      </c>
      <c r="D6137" s="0" t="n">
        <v>208</v>
      </c>
      <c r="E6137" s="0" t="n">
        <f aca="false">VLOOKUP(B6137,'Babblefish-APUMA'!$A$1:$B$86,2)</f>
        <v>95</v>
      </c>
      <c r="F6137" s="0" t="n">
        <f aca="false">IF(C6137&gt;1,IF(C6137&lt;99,VLOOKUP(C6137,'Babblefish-APUMA'!$A$1:$B$86,2),C6137),C6137)</f>
        <v>90</v>
      </c>
    </row>
    <row r="6138" customFormat="false" ht="12.75" hidden="false" customHeight="false" outlineLevel="0" collapsed="false">
      <c r="A6138" s="0" t="n">
        <f aca="false">B6138*1000+C6138</f>
        <v>82067</v>
      </c>
      <c r="B6138" s="0" t="n">
        <v>82</v>
      </c>
      <c r="C6138" s="0" t="n">
        <v>67</v>
      </c>
      <c r="D6138" s="0" t="n">
        <v>0</v>
      </c>
      <c r="E6138" s="0" t="n">
        <f aca="false">VLOOKUP(B6138,'Babblefish-APUMA'!$A$1:$B$86,2)</f>
        <v>95</v>
      </c>
      <c r="F6138" s="0" t="n">
        <f aca="false">IF(C6138&gt;1,IF(C6138&lt;99,VLOOKUP(C6138,'Babblefish-APUMA'!$A$1:$B$86,2),C6138),C6138)</f>
        <v>103</v>
      </c>
    </row>
    <row r="6139" customFormat="false" ht="12.75" hidden="false" customHeight="false" outlineLevel="0" collapsed="false">
      <c r="A6139" s="0" t="n">
        <f aca="false">B6139*1000+C6139</f>
        <v>82068</v>
      </c>
      <c r="B6139" s="0" t="n">
        <v>82</v>
      </c>
      <c r="C6139" s="0" t="n">
        <v>68</v>
      </c>
      <c r="D6139" s="0" t="n">
        <v>468</v>
      </c>
      <c r="E6139" s="0" t="n">
        <f aca="false">VLOOKUP(B6139,'Babblefish-APUMA'!$A$1:$B$86,2)</f>
        <v>95</v>
      </c>
      <c r="F6139" s="0" t="n">
        <f aca="false">IF(C6139&gt;1,IF(C6139&lt;99,VLOOKUP(C6139,'Babblefish-APUMA'!$A$1:$B$86,2),C6139),C6139)</f>
        <v>93</v>
      </c>
    </row>
    <row r="6140" customFormat="false" ht="12.75" hidden="false" customHeight="false" outlineLevel="0" collapsed="false">
      <c r="A6140" s="0" t="n">
        <f aca="false">B6140*1000+C6140</f>
        <v>82069</v>
      </c>
      <c r="B6140" s="0" t="n">
        <v>82</v>
      </c>
      <c r="C6140" s="0" t="n">
        <v>69</v>
      </c>
      <c r="D6140" s="0" t="n">
        <v>1742</v>
      </c>
      <c r="E6140" s="0" t="n">
        <f aca="false">VLOOKUP(B6140,'Babblefish-APUMA'!$A$1:$B$86,2)</f>
        <v>95</v>
      </c>
      <c r="F6140" s="0" t="n">
        <f aca="false">IF(C6140&gt;1,IF(C6140&lt;99,VLOOKUP(C6140,'Babblefish-APUMA'!$A$1:$B$86,2),C6140),C6140)</f>
        <v>93</v>
      </c>
    </row>
    <row r="6141" customFormat="false" ht="12.75" hidden="false" customHeight="false" outlineLevel="0" collapsed="false">
      <c r="A6141" s="0" t="n">
        <f aca="false">B6141*1000+C6141</f>
        <v>82070</v>
      </c>
      <c r="B6141" s="0" t="n">
        <v>82</v>
      </c>
      <c r="C6141" s="0" t="n">
        <v>70</v>
      </c>
      <c r="D6141" s="0" t="n">
        <v>1105</v>
      </c>
      <c r="E6141" s="0" t="n">
        <f aca="false">VLOOKUP(B6141,'Babblefish-APUMA'!$A$1:$B$86,2)</f>
        <v>95</v>
      </c>
      <c r="F6141" s="0" t="n">
        <f aca="false">IF(C6141&gt;1,IF(C6141&lt;99,VLOOKUP(C6141,'Babblefish-APUMA'!$A$1:$B$86,2),C6141),C6141)</f>
        <v>95</v>
      </c>
    </row>
    <row r="6142" customFormat="false" ht="12.75" hidden="false" customHeight="false" outlineLevel="0" collapsed="false">
      <c r="A6142" s="0" t="n">
        <f aca="false">B6142*1000+C6142</f>
        <v>82071</v>
      </c>
      <c r="B6142" s="0" t="n">
        <v>82</v>
      </c>
      <c r="C6142" s="0" t="n">
        <v>71</v>
      </c>
      <c r="D6142" s="0" t="n">
        <v>1742</v>
      </c>
      <c r="E6142" s="0" t="n">
        <f aca="false">VLOOKUP(B6142,'Babblefish-APUMA'!$A$1:$B$86,2)</f>
        <v>95</v>
      </c>
      <c r="F6142" s="0" t="n">
        <f aca="false">IF(C6142&gt;1,IF(C6142&lt;99,VLOOKUP(C6142,'Babblefish-APUMA'!$A$1:$B$86,2),C6142),C6142)</f>
        <v>95</v>
      </c>
    </row>
    <row r="6143" customFormat="false" ht="12.75" hidden="false" customHeight="false" outlineLevel="0" collapsed="false">
      <c r="A6143" s="0" t="n">
        <f aca="false">B6143*1000+C6143</f>
        <v>82072</v>
      </c>
      <c r="B6143" s="0" t="n">
        <v>82</v>
      </c>
      <c r="C6143" s="0" t="n">
        <v>72</v>
      </c>
      <c r="D6143" s="0" t="n">
        <v>16406</v>
      </c>
      <c r="E6143" s="0" t="n">
        <f aca="false">VLOOKUP(B6143,'Babblefish-APUMA'!$A$1:$B$86,2)</f>
        <v>95</v>
      </c>
      <c r="F6143" s="0" t="n">
        <f aca="false">IF(C6143&gt;1,IF(C6143&lt;99,VLOOKUP(C6143,'Babblefish-APUMA'!$A$1:$B$86,2),C6143),C6143)</f>
        <v>95</v>
      </c>
    </row>
    <row r="6144" customFormat="false" ht="12.75" hidden="false" customHeight="false" outlineLevel="0" collapsed="false">
      <c r="A6144" s="0" t="n">
        <f aca="false">B6144*1000+C6144</f>
        <v>82073</v>
      </c>
      <c r="B6144" s="0" t="n">
        <v>82</v>
      </c>
      <c r="C6144" s="0" t="n">
        <v>73</v>
      </c>
      <c r="D6144" s="0" t="n">
        <v>0</v>
      </c>
      <c r="E6144" s="0" t="n">
        <f aca="false">VLOOKUP(B6144,'Babblefish-APUMA'!$A$1:$B$86,2)</f>
        <v>95</v>
      </c>
      <c r="F6144" s="0" t="n">
        <f aca="false">IF(C6144&gt;1,IF(C6144&lt;99,VLOOKUP(C6144,'Babblefish-APUMA'!$A$1:$B$86,2),C6144),C6144)</f>
        <v>99</v>
      </c>
    </row>
    <row r="6145" customFormat="false" ht="12.75" hidden="false" customHeight="false" outlineLevel="0" collapsed="false">
      <c r="A6145" s="0" t="n">
        <f aca="false">B6145*1000+C6145</f>
        <v>82075</v>
      </c>
      <c r="B6145" s="0" t="n">
        <v>82</v>
      </c>
      <c r="C6145" s="0" t="n">
        <v>75</v>
      </c>
      <c r="D6145" s="0" t="n">
        <v>0</v>
      </c>
      <c r="E6145" s="0" t="n">
        <f aca="false">VLOOKUP(B6145,'Babblefish-APUMA'!$A$1:$B$86,2)</f>
        <v>95</v>
      </c>
      <c r="F6145" s="0" t="n">
        <f aca="false">IF(C6145&gt;1,IF(C6145&lt;99,VLOOKUP(C6145,'Babblefish-APUMA'!$A$1:$B$86,2),C6145),C6145)</f>
        <v>75</v>
      </c>
    </row>
    <row r="6146" customFormat="false" ht="12.75" hidden="false" customHeight="false" outlineLevel="0" collapsed="false">
      <c r="A6146" s="0" t="n">
        <f aca="false">B6146*1000+C6146</f>
        <v>82076</v>
      </c>
      <c r="B6146" s="0" t="n">
        <v>82</v>
      </c>
      <c r="C6146" s="0" t="n">
        <v>76</v>
      </c>
      <c r="D6146" s="0" t="n">
        <v>0</v>
      </c>
      <c r="E6146" s="0" t="n">
        <f aca="false">VLOOKUP(B6146,'Babblefish-APUMA'!$A$1:$B$86,2)</f>
        <v>95</v>
      </c>
      <c r="F6146" s="0" t="n">
        <f aca="false">IF(C6146&gt;1,IF(C6146&lt;99,VLOOKUP(C6146,'Babblefish-APUMA'!$A$1:$B$86,2),C6146),C6146)</f>
        <v>76</v>
      </c>
    </row>
    <row r="6147" customFormat="false" ht="12.75" hidden="false" customHeight="false" outlineLevel="0" collapsed="false">
      <c r="A6147" s="0" t="n">
        <f aca="false">B6147*1000+C6147</f>
        <v>82077</v>
      </c>
      <c r="B6147" s="0" t="n">
        <v>82</v>
      </c>
      <c r="C6147" s="0" t="n">
        <v>77</v>
      </c>
      <c r="D6147" s="0" t="n">
        <v>0</v>
      </c>
      <c r="E6147" s="0" t="n">
        <f aca="false">VLOOKUP(B6147,'Babblefish-APUMA'!$A$1:$B$86,2)</f>
        <v>95</v>
      </c>
      <c r="F6147" s="0" t="n">
        <f aca="false">IF(C6147&gt;1,IF(C6147&lt;99,VLOOKUP(C6147,'Babblefish-APUMA'!$A$1:$B$86,2),C6147),C6147)</f>
        <v>77</v>
      </c>
    </row>
    <row r="6148" customFormat="false" ht="12.75" hidden="false" customHeight="false" outlineLevel="0" collapsed="false">
      <c r="A6148" s="0" t="n">
        <f aca="false">B6148*1000+C6148</f>
        <v>82078</v>
      </c>
      <c r="B6148" s="0" t="n">
        <v>82</v>
      </c>
      <c r="C6148" s="0" t="n">
        <v>78</v>
      </c>
      <c r="D6148" s="0" t="n">
        <v>0</v>
      </c>
      <c r="E6148" s="0" t="n">
        <f aca="false">VLOOKUP(B6148,'Babblefish-APUMA'!$A$1:$B$86,2)</f>
        <v>95</v>
      </c>
      <c r="F6148" s="0" t="n">
        <f aca="false">IF(C6148&gt;1,IF(C6148&lt;99,VLOOKUP(C6148,'Babblefish-APUMA'!$A$1:$B$86,2),C6148),C6148)</f>
        <v>89</v>
      </c>
    </row>
    <row r="6149" customFormat="false" ht="12.75" hidden="false" customHeight="false" outlineLevel="0" collapsed="false">
      <c r="A6149" s="0" t="n">
        <f aca="false">B6149*1000+C6149</f>
        <v>82079</v>
      </c>
      <c r="B6149" s="0" t="n">
        <v>82</v>
      </c>
      <c r="C6149" s="0" t="n">
        <v>79</v>
      </c>
      <c r="D6149" s="0" t="n">
        <v>0</v>
      </c>
      <c r="E6149" s="0" t="n">
        <f aca="false">VLOOKUP(B6149,'Babblefish-APUMA'!$A$1:$B$86,2)</f>
        <v>95</v>
      </c>
      <c r="F6149" s="0" t="n">
        <f aca="false">IF(C6149&gt;1,IF(C6149&lt;99,VLOOKUP(C6149,'Babblefish-APUMA'!$A$1:$B$86,2),C6149),C6149)</f>
        <v>89</v>
      </c>
    </row>
    <row r="6150" customFormat="false" ht="12.75" hidden="false" customHeight="false" outlineLevel="0" collapsed="false">
      <c r="A6150" s="0" t="n">
        <f aca="false">B6150*1000+C6150</f>
        <v>82080</v>
      </c>
      <c r="B6150" s="0" t="n">
        <v>82</v>
      </c>
      <c r="C6150" s="0" t="n">
        <v>80</v>
      </c>
      <c r="D6150" s="0" t="n">
        <v>0</v>
      </c>
      <c r="E6150" s="0" t="n">
        <f aca="false">VLOOKUP(B6150,'Babblefish-APUMA'!$A$1:$B$86,2)</f>
        <v>95</v>
      </c>
      <c r="F6150" s="0" t="n">
        <f aca="false">IF(C6150&gt;1,IF(C6150&lt;99,VLOOKUP(C6150,'Babblefish-APUMA'!$A$1:$B$86,2),C6150),C6150)</f>
        <v>80</v>
      </c>
    </row>
    <row r="6151" customFormat="false" ht="12.75" hidden="false" customHeight="false" outlineLevel="0" collapsed="false">
      <c r="A6151" s="0" t="n">
        <f aca="false">B6151*1000+C6151</f>
        <v>82081</v>
      </c>
      <c r="B6151" s="0" t="n">
        <v>82</v>
      </c>
      <c r="C6151" s="0" t="n">
        <v>81</v>
      </c>
      <c r="D6151" s="0" t="n">
        <v>2886</v>
      </c>
      <c r="E6151" s="0" t="n">
        <f aca="false">VLOOKUP(B6151,'Babblefish-APUMA'!$A$1:$B$86,2)</f>
        <v>95</v>
      </c>
      <c r="F6151" s="0" t="n">
        <f aca="false">IF(C6151&gt;1,IF(C6151&lt;99,VLOOKUP(C6151,'Babblefish-APUMA'!$A$1:$B$86,2),C6151),C6151)</f>
        <v>93</v>
      </c>
    </row>
    <row r="6152" customFormat="false" ht="12.75" hidden="false" customHeight="false" outlineLevel="0" collapsed="false">
      <c r="A6152" s="0" t="n">
        <f aca="false">B6152*1000+C6152</f>
        <v>82082</v>
      </c>
      <c r="B6152" s="0" t="n">
        <v>82</v>
      </c>
      <c r="C6152" s="0" t="n">
        <v>82</v>
      </c>
      <c r="D6152" s="0" t="n">
        <v>33917</v>
      </c>
      <c r="E6152" s="0" t="n">
        <f aca="false">VLOOKUP(B6152,'Babblefish-APUMA'!$A$1:$B$86,2)</f>
        <v>95</v>
      </c>
      <c r="F6152" s="0" t="n">
        <f aca="false">IF(C6152&gt;1,IF(C6152&lt;99,VLOOKUP(C6152,'Babblefish-APUMA'!$A$1:$B$86,2),C6152),C6152)</f>
        <v>95</v>
      </c>
    </row>
    <row r="6153" customFormat="false" ht="12.75" hidden="false" customHeight="false" outlineLevel="0" collapsed="false">
      <c r="A6153" s="0" t="n">
        <f aca="false">B6153*1000+C6153</f>
        <v>82083</v>
      </c>
      <c r="B6153" s="0" t="n">
        <v>82</v>
      </c>
      <c r="C6153" s="0" t="n">
        <v>83</v>
      </c>
      <c r="D6153" s="0" t="n">
        <v>0</v>
      </c>
      <c r="E6153" s="0" t="n">
        <f aca="false">VLOOKUP(B6153,'Babblefish-APUMA'!$A$1:$B$86,2)</f>
        <v>95</v>
      </c>
      <c r="F6153" s="0" t="n">
        <f aca="false">IF(C6153&gt;1,IF(C6153&lt;99,VLOOKUP(C6153,'Babblefish-APUMA'!$A$1:$B$86,2),C6153),C6153)</f>
        <v>103</v>
      </c>
    </row>
    <row r="6154" customFormat="false" ht="12.75" hidden="false" customHeight="false" outlineLevel="0" collapsed="false">
      <c r="A6154" s="0" t="n">
        <f aca="false">B6154*1000+C6154</f>
        <v>82084</v>
      </c>
      <c r="B6154" s="0" t="n">
        <v>82</v>
      </c>
      <c r="C6154" s="0" t="n">
        <v>84</v>
      </c>
      <c r="D6154" s="0" t="n">
        <v>455</v>
      </c>
      <c r="E6154" s="0" t="n">
        <f aca="false">VLOOKUP(B6154,'Babblefish-APUMA'!$A$1:$B$86,2)</f>
        <v>95</v>
      </c>
      <c r="F6154" s="0" t="n">
        <f aca="false">IF(C6154&gt;1,IF(C6154&lt;99,VLOOKUP(C6154,'Babblefish-APUMA'!$A$1:$B$86,2),C6154),C6154)</f>
        <v>92</v>
      </c>
    </row>
    <row r="6155" customFormat="false" ht="12.75" hidden="false" customHeight="false" outlineLevel="0" collapsed="false">
      <c r="A6155" s="0" t="n">
        <f aca="false">B6155*1000+C6155</f>
        <v>82085</v>
      </c>
      <c r="B6155" s="0" t="n">
        <v>82</v>
      </c>
      <c r="C6155" s="0" t="n">
        <v>85</v>
      </c>
      <c r="D6155" s="0" t="n">
        <v>0</v>
      </c>
      <c r="E6155" s="0" t="n">
        <f aca="false">VLOOKUP(B6155,'Babblefish-APUMA'!$A$1:$B$86,2)</f>
        <v>95</v>
      </c>
      <c r="F6155" s="0" t="n">
        <f aca="false">IF(C6155&gt;1,IF(C6155&lt;99,VLOOKUP(C6155,'Babblefish-APUMA'!$A$1:$B$86,2),C6155),C6155)</f>
        <v>97</v>
      </c>
    </row>
    <row r="6156" customFormat="false" ht="12.75" hidden="false" customHeight="false" outlineLevel="0" collapsed="false">
      <c r="A6156" s="0" t="n">
        <f aca="false">B6156*1000+C6156</f>
        <v>82858</v>
      </c>
      <c r="B6156" s="0" t="n">
        <v>82</v>
      </c>
      <c r="C6156" s="0" t="n">
        <v>858</v>
      </c>
      <c r="D6156" s="0" t="n">
        <v>0</v>
      </c>
      <c r="E6156" s="0" t="n">
        <f aca="false">VLOOKUP(B6156,'Babblefish-APUMA'!$A$1:$B$86,2)</f>
        <v>95</v>
      </c>
      <c r="F6156" s="0" t="n">
        <f aca="false">IF(C6156&gt;1,IF(C6156&lt;99,VLOOKUP(C6156,'Babblefish-APUMA'!$A$1:$B$86,2),C6156),C6156)</f>
        <v>858</v>
      </c>
    </row>
    <row r="6157" customFormat="false" ht="12.75" hidden="false" customHeight="false" outlineLevel="0" collapsed="false">
      <c r="A6157" s="0" t="n">
        <f aca="false">B6157*1000+C6157</f>
        <v>82983</v>
      </c>
      <c r="B6157" s="0" t="n">
        <v>82</v>
      </c>
      <c r="C6157" s="0" t="n">
        <v>983</v>
      </c>
      <c r="D6157" s="0" t="n">
        <v>0</v>
      </c>
      <c r="E6157" s="0" t="n">
        <f aca="false">VLOOKUP(B6157,'Babblefish-APUMA'!$A$1:$B$86,2)</f>
        <v>95</v>
      </c>
      <c r="F6157" s="0" t="n">
        <f aca="false">IF(C6157&gt;1,IF(C6157&lt;99,VLOOKUP(C6157,'Babblefish-APUMA'!$A$1:$B$86,2),C6157),C6157)</f>
        <v>983</v>
      </c>
    </row>
    <row r="6158" customFormat="false" ht="12.75" hidden="false" customHeight="false" outlineLevel="0" collapsed="false">
      <c r="A6158" s="0" t="n">
        <f aca="false">B6158*1000+C6158</f>
        <v>82999</v>
      </c>
      <c r="B6158" s="0" t="n">
        <v>82</v>
      </c>
      <c r="C6158" s="0" t="n">
        <v>999</v>
      </c>
      <c r="D6158" s="0" t="n">
        <v>117</v>
      </c>
      <c r="E6158" s="0" t="n">
        <f aca="false">VLOOKUP(B6158,'Babblefish-APUMA'!$A$1:$B$86,2)</f>
        <v>95</v>
      </c>
      <c r="F6158" s="0" t="n">
        <f aca="false">IF(C6158&gt;1,IF(C6158&lt;99,VLOOKUP(C6158,'Babblefish-APUMA'!$A$1:$B$86,2),C6158),C6158)</f>
        <v>999</v>
      </c>
    </row>
    <row r="6159" customFormat="false" ht="12.75" hidden="false" customHeight="false" outlineLevel="0" collapsed="false">
      <c r="A6159" s="0" t="n">
        <f aca="false">B6159*1000+C6159</f>
        <v>83000</v>
      </c>
      <c r="B6159" s="0" t="n">
        <v>83</v>
      </c>
      <c r="C6159" s="0" t="n">
        <v>0</v>
      </c>
      <c r="D6159" s="0" t="n">
        <v>77454</v>
      </c>
      <c r="E6159" s="0" t="n">
        <f aca="false">VLOOKUP(B6159,'Babblefish-APUMA'!$A$1:$B$86,2)</f>
        <v>103</v>
      </c>
      <c r="F6159" s="0" t="n">
        <f aca="false">IF(C6159&gt;1,IF(C6159&lt;99,VLOOKUP(C6159,'Babblefish-APUMA'!$A$1:$B$86,2),C6159),C6159)</f>
        <v>0</v>
      </c>
    </row>
    <row r="6160" customFormat="false" ht="12.75" hidden="false" customHeight="false" outlineLevel="0" collapsed="false">
      <c r="A6160" s="0" t="n">
        <f aca="false">B6160*1000+C6160</f>
        <v>83001</v>
      </c>
      <c r="B6160" s="0" t="n">
        <v>83</v>
      </c>
      <c r="C6160" s="0" t="n">
        <v>1</v>
      </c>
      <c r="D6160" s="0" t="n">
        <v>0</v>
      </c>
      <c r="E6160" s="0" t="n">
        <f aca="false">VLOOKUP(B6160,'Babblefish-APUMA'!$A$1:$B$86,2)</f>
        <v>103</v>
      </c>
      <c r="F6160" s="0" t="n">
        <f aca="false">IF(C6160&gt;1,IF(C6160&lt;99,VLOOKUP(C6160,'Babblefish-APUMA'!$A$1:$B$86,2),C6160),C6160)</f>
        <v>1</v>
      </c>
    </row>
    <row r="6161" customFormat="false" ht="12.75" hidden="false" customHeight="false" outlineLevel="0" collapsed="false">
      <c r="A6161" s="0" t="n">
        <f aca="false">B6161*1000+C6161</f>
        <v>83002</v>
      </c>
      <c r="B6161" s="0" t="n">
        <v>83</v>
      </c>
      <c r="C6161" s="0" t="n">
        <v>2</v>
      </c>
      <c r="D6161" s="0" t="n">
        <v>117</v>
      </c>
      <c r="E6161" s="0" t="n">
        <f aca="false">VLOOKUP(B6161,'Babblefish-APUMA'!$A$1:$B$86,2)</f>
        <v>103</v>
      </c>
      <c r="F6161" s="0" t="n">
        <f aca="false">IF(C6161&gt;1,IF(C6161&lt;99,VLOOKUP(C6161,'Babblefish-APUMA'!$A$1:$B$86,2),C6161),C6161)</f>
        <v>2</v>
      </c>
    </row>
    <row r="6162" customFormat="false" ht="12.75" hidden="false" customHeight="false" outlineLevel="0" collapsed="false">
      <c r="A6162" s="0" t="n">
        <f aca="false">B6162*1000+C6162</f>
        <v>83003</v>
      </c>
      <c r="B6162" s="0" t="n">
        <v>83</v>
      </c>
      <c r="C6162" s="0" t="n">
        <v>3</v>
      </c>
      <c r="D6162" s="0" t="n">
        <v>0</v>
      </c>
      <c r="E6162" s="0" t="n">
        <f aca="false">VLOOKUP(B6162,'Babblefish-APUMA'!$A$1:$B$86,2)</f>
        <v>103</v>
      </c>
      <c r="F6162" s="0" t="n">
        <f aca="false">IF(C6162&gt;1,IF(C6162&lt;99,VLOOKUP(C6162,'Babblefish-APUMA'!$A$1:$B$86,2),C6162),C6162)</f>
        <v>3</v>
      </c>
    </row>
    <row r="6163" customFormat="false" ht="12.75" hidden="false" customHeight="false" outlineLevel="0" collapsed="false">
      <c r="A6163" s="0" t="n">
        <f aca="false">B6163*1000+C6163</f>
        <v>83004</v>
      </c>
      <c r="B6163" s="0" t="n">
        <v>83</v>
      </c>
      <c r="C6163" s="0" t="n">
        <v>4</v>
      </c>
      <c r="D6163" s="0" t="n">
        <v>0</v>
      </c>
      <c r="E6163" s="0" t="n">
        <f aca="false">VLOOKUP(B6163,'Babblefish-APUMA'!$A$1:$B$86,2)</f>
        <v>103</v>
      </c>
      <c r="F6163" s="0" t="n">
        <f aca="false">IF(C6163&gt;1,IF(C6163&lt;99,VLOOKUP(C6163,'Babblefish-APUMA'!$A$1:$B$86,2),C6163),C6163)</f>
        <v>4</v>
      </c>
    </row>
    <row r="6164" customFormat="false" ht="12.75" hidden="false" customHeight="false" outlineLevel="0" collapsed="false">
      <c r="A6164" s="0" t="n">
        <f aca="false">B6164*1000+C6164</f>
        <v>83005</v>
      </c>
      <c r="B6164" s="0" t="n">
        <v>83</v>
      </c>
      <c r="C6164" s="0" t="n">
        <v>5</v>
      </c>
      <c r="D6164" s="0" t="n">
        <v>0</v>
      </c>
      <c r="E6164" s="0" t="n">
        <f aca="false">VLOOKUP(B6164,'Babblefish-APUMA'!$A$1:$B$86,2)</f>
        <v>103</v>
      </c>
      <c r="F6164" s="0" t="n">
        <f aca="false">IF(C6164&gt;1,IF(C6164&lt;99,VLOOKUP(C6164,'Babblefish-APUMA'!$A$1:$B$86,2),C6164),C6164)</f>
        <v>5</v>
      </c>
    </row>
    <row r="6165" customFormat="false" ht="12.75" hidden="false" customHeight="false" outlineLevel="0" collapsed="false">
      <c r="A6165" s="0" t="n">
        <f aca="false">B6165*1000+C6165</f>
        <v>83006</v>
      </c>
      <c r="B6165" s="0" t="n">
        <v>83</v>
      </c>
      <c r="C6165" s="0" t="n">
        <v>6</v>
      </c>
      <c r="D6165" s="0" t="n">
        <v>0</v>
      </c>
      <c r="E6165" s="0" t="n">
        <f aca="false">VLOOKUP(B6165,'Babblefish-APUMA'!$A$1:$B$86,2)</f>
        <v>103</v>
      </c>
      <c r="F6165" s="0" t="n">
        <f aca="false">IF(C6165&gt;1,IF(C6165&lt;99,VLOOKUP(C6165,'Babblefish-APUMA'!$A$1:$B$86,2),C6165),C6165)</f>
        <v>6</v>
      </c>
    </row>
    <row r="6166" customFormat="false" ht="12.75" hidden="false" customHeight="false" outlineLevel="0" collapsed="false">
      <c r="A6166" s="0" t="n">
        <f aca="false">B6166*1000+C6166</f>
        <v>83007</v>
      </c>
      <c r="B6166" s="0" t="n">
        <v>83</v>
      </c>
      <c r="C6166" s="0" t="n">
        <v>7</v>
      </c>
      <c r="D6166" s="0" t="n">
        <v>0</v>
      </c>
      <c r="E6166" s="0" t="n">
        <f aca="false">VLOOKUP(B6166,'Babblefish-APUMA'!$A$1:$B$86,2)</f>
        <v>103</v>
      </c>
      <c r="F6166" s="0" t="n">
        <f aca="false">IF(C6166&gt;1,IF(C6166&lt;99,VLOOKUP(C6166,'Babblefish-APUMA'!$A$1:$B$86,2),C6166),C6166)</f>
        <v>7</v>
      </c>
    </row>
    <row r="6167" customFormat="false" ht="12.75" hidden="false" customHeight="false" outlineLevel="0" collapsed="false">
      <c r="A6167" s="0" t="n">
        <f aca="false">B6167*1000+C6167</f>
        <v>83008</v>
      </c>
      <c r="B6167" s="0" t="n">
        <v>83</v>
      </c>
      <c r="C6167" s="0" t="n">
        <v>8</v>
      </c>
      <c r="D6167" s="0" t="n">
        <v>0</v>
      </c>
      <c r="E6167" s="0" t="n">
        <f aca="false">VLOOKUP(B6167,'Babblefish-APUMA'!$A$1:$B$86,2)</f>
        <v>103</v>
      </c>
      <c r="F6167" s="0" t="n">
        <f aca="false">IF(C6167&gt;1,IF(C6167&lt;99,VLOOKUP(C6167,'Babblefish-APUMA'!$A$1:$B$86,2),C6167),C6167)</f>
        <v>8</v>
      </c>
    </row>
    <row r="6168" customFormat="false" ht="12.75" hidden="false" customHeight="false" outlineLevel="0" collapsed="false">
      <c r="A6168" s="0" t="n">
        <f aca="false">B6168*1000+C6168</f>
        <v>83009</v>
      </c>
      <c r="B6168" s="0" t="n">
        <v>83</v>
      </c>
      <c r="C6168" s="0" t="n">
        <v>9</v>
      </c>
      <c r="D6168" s="0" t="n">
        <v>0</v>
      </c>
      <c r="E6168" s="0" t="n">
        <f aca="false">VLOOKUP(B6168,'Babblefish-APUMA'!$A$1:$B$86,2)</f>
        <v>103</v>
      </c>
      <c r="F6168" s="0" t="n">
        <f aca="false">IF(C6168&gt;1,IF(C6168&lt;99,VLOOKUP(C6168,'Babblefish-APUMA'!$A$1:$B$86,2),C6168),C6168)</f>
        <v>9</v>
      </c>
    </row>
    <row r="6169" customFormat="false" ht="12.75" hidden="false" customHeight="false" outlineLevel="0" collapsed="false">
      <c r="A6169" s="0" t="n">
        <f aca="false">B6169*1000+C6169</f>
        <v>83010</v>
      </c>
      <c r="B6169" s="0" t="n">
        <v>83</v>
      </c>
      <c r="C6169" s="0" t="n">
        <v>10</v>
      </c>
      <c r="D6169" s="0" t="n">
        <v>0</v>
      </c>
      <c r="E6169" s="0" t="n">
        <f aca="false">VLOOKUP(B6169,'Babblefish-APUMA'!$A$1:$B$86,2)</f>
        <v>103</v>
      </c>
      <c r="F6169" s="0" t="n">
        <f aca="false">IF(C6169&gt;1,IF(C6169&lt;99,VLOOKUP(C6169,'Babblefish-APUMA'!$A$1:$B$86,2),C6169),C6169)</f>
        <v>10</v>
      </c>
    </row>
    <row r="6170" customFormat="false" ht="12.75" hidden="false" customHeight="false" outlineLevel="0" collapsed="false">
      <c r="A6170" s="0" t="n">
        <f aca="false">B6170*1000+C6170</f>
        <v>83011</v>
      </c>
      <c r="B6170" s="0" t="n">
        <v>83</v>
      </c>
      <c r="C6170" s="0" t="n">
        <v>11</v>
      </c>
      <c r="D6170" s="0" t="n">
        <v>0</v>
      </c>
      <c r="E6170" s="0" t="n">
        <f aca="false">VLOOKUP(B6170,'Babblefish-APUMA'!$A$1:$B$86,2)</f>
        <v>103</v>
      </c>
      <c r="F6170" s="0" t="n">
        <f aca="false">IF(C6170&gt;1,IF(C6170&lt;99,VLOOKUP(C6170,'Babblefish-APUMA'!$A$1:$B$86,2),C6170),C6170)</f>
        <v>11</v>
      </c>
    </row>
    <row r="6171" customFormat="false" ht="12.75" hidden="false" customHeight="false" outlineLevel="0" collapsed="false">
      <c r="A6171" s="0" t="n">
        <f aca="false">B6171*1000+C6171</f>
        <v>83012</v>
      </c>
      <c r="B6171" s="0" t="n">
        <v>83</v>
      </c>
      <c r="C6171" s="0" t="n">
        <v>12</v>
      </c>
      <c r="D6171" s="0" t="n">
        <v>0</v>
      </c>
      <c r="E6171" s="0" t="n">
        <f aca="false">VLOOKUP(B6171,'Babblefish-APUMA'!$A$1:$B$86,2)</f>
        <v>103</v>
      </c>
      <c r="F6171" s="0" t="n">
        <f aca="false">IF(C6171&gt;1,IF(C6171&lt;99,VLOOKUP(C6171,'Babblefish-APUMA'!$A$1:$B$86,2),C6171),C6171)</f>
        <v>12</v>
      </c>
    </row>
    <row r="6172" customFormat="false" ht="12.75" hidden="false" customHeight="false" outlineLevel="0" collapsed="false">
      <c r="A6172" s="0" t="n">
        <f aca="false">B6172*1000+C6172</f>
        <v>83013</v>
      </c>
      <c r="B6172" s="0" t="n">
        <v>83</v>
      </c>
      <c r="C6172" s="0" t="n">
        <v>13</v>
      </c>
      <c r="D6172" s="0" t="n">
        <v>0</v>
      </c>
      <c r="E6172" s="0" t="n">
        <f aca="false">VLOOKUP(B6172,'Babblefish-APUMA'!$A$1:$B$86,2)</f>
        <v>103</v>
      </c>
      <c r="F6172" s="0" t="n">
        <f aca="false">IF(C6172&gt;1,IF(C6172&lt;99,VLOOKUP(C6172,'Babblefish-APUMA'!$A$1:$B$86,2),C6172),C6172)</f>
        <v>100</v>
      </c>
    </row>
    <row r="6173" customFormat="false" ht="12.75" hidden="false" customHeight="false" outlineLevel="0" collapsed="false">
      <c r="A6173" s="0" t="n">
        <f aca="false">B6173*1000+C6173</f>
        <v>83014</v>
      </c>
      <c r="B6173" s="0" t="n">
        <v>83</v>
      </c>
      <c r="C6173" s="0" t="n">
        <v>14</v>
      </c>
      <c r="D6173" s="0" t="n">
        <v>0</v>
      </c>
      <c r="E6173" s="0" t="n">
        <f aca="false">VLOOKUP(B6173,'Babblefish-APUMA'!$A$1:$B$86,2)</f>
        <v>103</v>
      </c>
      <c r="F6173" s="0" t="n">
        <f aca="false">IF(C6173&gt;1,IF(C6173&lt;99,VLOOKUP(C6173,'Babblefish-APUMA'!$A$1:$B$86,2),C6173),C6173)</f>
        <v>100</v>
      </c>
    </row>
    <row r="6174" customFormat="false" ht="12.75" hidden="false" customHeight="false" outlineLevel="0" collapsed="false">
      <c r="A6174" s="0" t="n">
        <f aca="false">B6174*1000+C6174</f>
        <v>83015</v>
      </c>
      <c r="B6174" s="0" t="n">
        <v>83</v>
      </c>
      <c r="C6174" s="0" t="n">
        <v>15</v>
      </c>
      <c r="D6174" s="0" t="n">
        <v>0</v>
      </c>
      <c r="E6174" s="0" t="n">
        <f aca="false">VLOOKUP(B6174,'Babblefish-APUMA'!$A$1:$B$86,2)</f>
        <v>103</v>
      </c>
      <c r="F6174" s="0" t="n">
        <f aca="false">IF(C6174&gt;1,IF(C6174&lt;99,VLOOKUP(C6174,'Babblefish-APUMA'!$A$1:$B$86,2),C6174),C6174)</f>
        <v>15</v>
      </c>
    </row>
    <row r="6175" customFormat="false" ht="12.75" hidden="false" customHeight="false" outlineLevel="0" collapsed="false">
      <c r="A6175" s="0" t="n">
        <f aca="false">B6175*1000+C6175</f>
        <v>83016</v>
      </c>
      <c r="B6175" s="0" t="n">
        <v>83</v>
      </c>
      <c r="C6175" s="0" t="n">
        <v>16</v>
      </c>
      <c r="D6175" s="0" t="n">
        <v>0</v>
      </c>
      <c r="E6175" s="0" t="n">
        <f aca="false">VLOOKUP(B6175,'Babblefish-APUMA'!$A$1:$B$86,2)</f>
        <v>103</v>
      </c>
      <c r="F6175" s="0" t="n">
        <f aca="false">IF(C6175&gt;1,IF(C6175&lt;99,VLOOKUP(C6175,'Babblefish-APUMA'!$A$1:$B$86,2),C6175),C6175)</f>
        <v>99</v>
      </c>
    </row>
    <row r="6176" customFormat="false" ht="12.75" hidden="false" customHeight="false" outlineLevel="0" collapsed="false">
      <c r="A6176" s="0" t="n">
        <f aca="false">B6176*1000+C6176</f>
        <v>83017</v>
      </c>
      <c r="B6176" s="0" t="n">
        <v>83</v>
      </c>
      <c r="C6176" s="0" t="n">
        <v>17</v>
      </c>
      <c r="D6176" s="0" t="n">
        <v>0</v>
      </c>
      <c r="E6176" s="0" t="n">
        <f aca="false">VLOOKUP(B6176,'Babblefish-APUMA'!$A$1:$B$86,2)</f>
        <v>103</v>
      </c>
      <c r="F6176" s="0" t="n">
        <f aca="false">IF(C6176&gt;1,IF(C6176&lt;99,VLOOKUP(C6176,'Babblefish-APUMA'!$A$1:$B$86,2),C6176),C6176)</f>
        <v>87</v>
      </c>
    </row>
    <row r="6177" customFormat="false" ht="12.75" hidden="false" customHeight="false" outlineLevel="0" collapsed="false">
      <c r="A6177" s="0" t="n">
        <f aca="false">B6177*1000+C6177</f>
        <v>83018</v>
      </c>
      <c r="B6177" s="0" t="n">
        <v>83</v>
      </c>
      <c r="C6177" s="0" t="n">
        <v>18</v>
      </c>
      <c r="D6177" s="0" t="n">
        <v>0</v>
      </c>
      <c r="E6177" s="0" t="n">
        <f aca="false">VLOOKUP(B6177,'Babblefish-APUMA'!$A$1:$B$86,2)</f>
        <v>103</v>
      </c>
      <c r="F6177" s="0" t="n">
        <f aca="false">IF(C6177&gt;1,IF(C6177&lt;99,VLOOKUP(C6177,'Babblefish-APUMA'!$A$1:$B$86,2),C6177),C6177)</f>
        <v>87</v>
      </c>
    </row>
    <row r="6178" customFormat="false" ht="12.75" hidden="false" customHeight="false" outlineLevel="0" collapsed="false">
      <c r="A6178" s="0" t="n">
        <f aca="false">B6178*1000+C6178</f>
        <v>83019</v>
      </c>
      <c r="B6178" s="0" t="n">
        <v>83</v>
      </c>
      <c r="C6178" s="0" t="n">
        <v>19</v>
      </c>
      <c r="D6178" s="0" t="n">
        <v>0</v>
      </c>
      <c r="E6178" s="0" t="n">
        <f aca="false">VLOOKUP(B6178,'Babblefish-APUMA'!$A$1:$B$86,2)</f>
        <v>103</v>
      </c>
      <c r="F6178" s="0" t="n">
        <f aca="false">IF(C6178&gt;1,IF(C6178&lt;99,VLOOKUP(C6178,'Babblefish-APUMA'!$A$1:$B$86,2),C6178),C6178)</f>
        <v>19</v>
      </c>
    </row>
    <row r="6179" customFormat="false" ht="12.75" hidden="false" customHeight="false" outlineLevel="0" collapsed="false">
      <c r="A6179" s="0" t="n">
        <f aca="false">B6179*1000+C6179</f>
        <v>83020</v>
      </c>
      <c r="B6179" s="0" t="n">
        <v>83</v>
      </c>
      <c r="C6179" s="0" t="n">
        <v>20</v>
      </c>
      <c r="D6179" s="0" t="n">
        <v>0</v>
      </c>
      <c r="E6179" s="0" t="n">
        <f aca="false">VLOOKUP(B6179,'Babblefish-APUMA'!$A$1:$B$86,2)</f>
        <v>103</v>
      </c>
      <c r="F6179" s="0" t="n">
        <f aca="false">IF(C6179&gt;1,IF(C6179&lt;99,VLOOKUP(C6179,'Babblefish-APUMA'!$A$1:$B$86,2),C6179),C6179)</f>
        <v>86</v>
      </c>
    </row>
    <row r="6180" customFormat="false" ht="12.75" hidden="false" customHeight="false" outlineLevel="0" collapsed="false">
      <c r="A6180" s="0" t="n">
        <f aca="false">B6180*1000+C6180</f>
        <v>83021</v>
      </c>
      <c r="B6180" s="0" t="n">
        <v>83</v>
      </c>
      <c r="C6180" s="0" t="n">
        <v>21</v>
      </c>
      <c r="D6180" s="0" t="n">
        <v>0</v>
      </c>
      <c r="E6180" s="0" t="n">
        <f aca="false">VLOOKUP(B6180,'Babblefish-APUMA'!$A$1:$B$86,2)</f>
        <v>103</v>
      </c>
      <c r="F6180" s="0" t="n">
        <f aca="false">IF(C6180&gt;1,IF(C6180&lt;99,VLOOKUP(C6180,'Babblefish-APUMA'!$A$1:$B$86,2),C6180),C6180)</f>
        <v>86</v>
      </c>
    </row>
    <row r="6181" customFormat="false" ht="12.75" hidden="false" customHeight="false" outlineLevel="0" collapsed="false">
      <c r="A6181" s="0" t="n">
        <f aca="false">B6181*1000+C6181</f>
        <v>83022</v>
      </c>
      <c r="B6181" s="0" t="n">
        <v>83</v>
      </c>
      <c r="C6181" s="0" t="n">
        <v>22</v>
      </c>
      <c r="D6181" s="0" t="n">
        <v>78</v>
      </c>
      <c r="E6181" s="0" t="n">
        <f aca="false">VLOOKUP(B6181,'Babblefish-APUMA'!$A$1:$B$86,2)</f>
        <v>103</v>
      </c>
      <c r="F6181" s="0" t="n">
        <f aca="false">IF(C6181&gt;1,IF(C6181&lt;99,VLOOKUP(C6181,'Babblefish-APUMA'!$A$1:$B$86,2),C6181),C6181)</f>
        <v>22</v>
      </c>
    </row>
    <row r="6182" customFormat="false" ht="12.75" hidden="false" customHeight="false" outlineLevel="0" collapsed="false">
      <c r="A6182" s="0" t="n">
        <f aca="false">B6182*1000+C6182</f>
        <v>83023</v>
      </c>
      <c r="B6182" s="0" t="n">
        <v>83</v>
      </c>
      <c r="C6182" s="0" t="n">
        <v>23</v>
      </c>
      <c r="D6182" s="0" t="n">
        <v>0</v>
      </c>
      <c r="E6182" s="0" t="n">
        <f aca="false">VLOOKUP(B6182,'Babblefish-APUMA'!$A$1:$B$86,2)</f>
        <v>103</v>
      </c>
      <c r="F6182" s="0" t="n">
        <f aca="false">IF(C6182&gt;1,IF(C6182&lt;99,VLOOKUP(C6182,'Babblefish-APUMA'!$A$1:$B$86,2),C6182),C6182)</f>
        <v>97</v>
      </c>
    </row>
    <row r="6183" customFormat="false" ht="12.75" hidden="false" customHeight="false" outlineLevel="0" collapsed="false">
      <c r="A6183" s="0" t="n">
        <f aca="false">B6183*1000+C6183</f>
        <v>83024</v>
      </c>
      <c r="B6183" s="0" t="n">
        <v>83</v>
      </c>
      <c r="C6183" s="0" t="n">
        <v>24</v>
      </c>
      <c r="D6183" s="0" t="n">
        <v>0</v>
      </c>
      <c r="E6183" s="0" t="n">
        <f aca="false">VLOOKUP(B6183,'Babblefish-APUMA'!$A$1:$B$86,2)</f>
        <v>103</v>
      </c>
      <c r="F6183" s="0" t="n">
        <f aca="false">IF(C6183&gt;1,IF(C6183&lt;99,VLOOKUP(C6183,'Babblefish-APUMA'!$A$1:$B$86,2),C6183),C6183)</f>
        <v>101</v>
      </c>
    </row>
    <row r="6184" customFormat="false" ht="12.75" hidden="false" customHeight="false" outlineLevel="0" collapsed="false">
      <c r="A6184" s="0" t="n">
        <f aca="false">B6184*1000+C6184</f>
        <v>83025</v>
      </c>
      <c r="B6184" s="0" t="n">
        <v>83</v>
      </c>
      <c r="C6184" s="0" t="n">
        <v>25</v>
      </c>
      <c r="D6184" s="0" t="n">
        <v>0</v>
      </c>
      <c r="E6184" s="0" t="n">
        <f aca="false">VLOOKUP(B6184,'Babblefish-APUMA'!$A$1:$B$86,2)</f>
        <v>103</v>
      </c>
      <c r="F6184" s="0" t="n">
        <f aca="false">IF(C6184&gt;1,IF(C6184&lt;99,VLOOKUP(C6184,'Babblefish-APUMA'!$A$1:$B$86,2),C6184),C6184)</f>
        <v>101</v>
      </c>
    </row>
    <row r="6185" customFormat="false" ht="12.75" hidden="false" customHeight="false" outlineLevel="0" collapsed="false">
      <c r="A6185" s="0" t="n">
        <f aca="false">B6185*1000+C6185</f>
        <v>83026</v>
      </c>
      <c r="B6185" s="0" t="n">
        <v>83</v>
      </c>
      <c r="C6185" s="0" t="n">
        <v>26</v>
      </c>
      <c r="D6185" s="0" t="n">
        <v>0</v>
      </c>
      <c r="E6185" s="0" t="n">
        <f aca="false">VLOOKUP(B6185,'Babblefish-APUMA'!$A$1:$B$86,2)</f>
        <v>103</v>
      </c>
      <c r="F6185" s="0" t="n">
        <f aca="false">IF(C6185&gt;1,IF(C6185&lt;99,VLOOKUP(C6185,'Babblefish-APUMA'!$A$1:$B$86,2),C6185),C6185)</f>
        <v>26</v>
      </c>
    </row>
    <row r="6186" customFormat="false" ht="12.75" hidden="false" customHeight="false" outlineLevel="0" collapsed="false">
      <c r="A6186" s="0" t="n">
        <f aca="false">B6186*1000+C6186</f>
        <v>83027</v>
      </c>
      <c r="B6186" s="0" t="n">
        <v>83</v>
      </c>
      <c r="C6186" s="0" t="n">
        <v>27</v>
      </c>
      <c r="D6186" s="0" t="n">
        <v>0</v>
      </c>
      <c r="E6186" s="0" t="n">
        <f aca="false">VLOOKUP(B6186,'Babblefish-APUMA'!$A$1:$B$86,2)</f>
        <v>103</v>
      </c>
      <c r="F6186" s="0" t="n">
        <f aca="false">IF(C6186&gt;1,IF(C6186&lt;99,VLOOKUP(C6186,'Babblefish-APUMA'!$A$1:$B$86,2),C6186),C6186)</f>
        <v>27</v>
      </c>
    </row>
    <row r="6187" customFormat="false" ht="12.75" hidden="false" customHeight="false" outlineLevel="0" collapsed="false">
      <c r="A6187" s="0" t="n">
        <f aca="false">B6187*1000+C6187</f>
        <v>83028</v>
      </c>
      <c r="B6187" s="0" t="n">
        <v>83</v>
      </c>
      <c r="C6187" s="0" t="n">
        <v>28</v>
      </c>
      <c r="D6187" s="0" t="n">
        <v>0</v>
      </c>
      <c r="E6187" s="0" t="n">
        <f aca="false">VLOOKUP(B6187,'Babblefish-APUMA'!$A$1:$B$86,2)</f>
        <v>103</v>
      </c>
      <c r="F6187" s="0" t="n">
        <f aca="false">IF(C6187&gt;1,IF(C6187&lt;99,VLOOKUP(C6187,'Babblefish-APUMA'!$A$1:$B$86,2),C6187),C6187)</f>
        <v>94</v>
      </c>
    </row>
    <row r="6188" customFormat="false" ht="12.75" hidden="false" customHeight="false" outlineLevel="0" collapsed="false">
      <c r="A6188" s="0" t="n">
        <f aca="false">B6188*1000+C6188</f>
        <v>83029</v>
      </c>
      <c r="B6188" s="0" t="n">
        <v>83</v>
      </c>
      <c r="C6188" s="0" t="n">
        <v>29</v>
      </c>
      <c r="D6188" s="0" t="n">
        <v>0</v>
      </c>
      <c r="E6188" s="0" t="n">
        <f aca="false">VLOOKUP(B6188,'Babblefish-APUMA'!$A$1:$B$86,2)</f>
        <v>103</v>
      </c>
      <c r="F6188" s="0" t="n">
        <f aca="false">IF(C6188&gt;1,IF(C6188&lt;99,VLOOKUP(C6188,'Babblefish-APUMA'!$A$1:$B$86,2),C6188),C6188)</f>
        <v>94</v>
      </c>
    </row>
    <row r="6189" customFormat="false" ht="12.75" hidden="false" customHeight="false" outlineLevel="0" collapsed="false">
      <c r="A6189" s="0" t="n">
        <f aca="false">B6189*1000+C6189</f>
        <v>83030</v>
      </c>
      <c r="B6189" s="0" t="n">
        <v>83</v>
      </c>
      <c r="C6189" s="0" t="n">
        <v>30</v>
      </c>
      <c r="D6189" s="0" t="n">
        <v>0</v>
      </c>
      <c r="E6189" s="0" t="n">
        <f aca="false">VLOOKUP(B6189,'Babblefish-APUMA'!$A$1:$B$86,2)</f>
        <v>103</v>
      </c>
      <c r="F6189" s="0" t="n">
        <f aca="false">IF(C6189&gt;1,IF(C6189&lt;99,VLOOKUP(C6189,'Babblefish-APUMA'!$A$1:$B$86,2),C6189),C6189)</f>
        <v>30</v>
      </c>
    </row>
    <row r="6190" customFormat="false" ht="12.75" hidden="false" customHeight="false" outlineLevel="0" collapsed="false">
      <c r="A6190" s="0" t="n">
        <f aca="false">B6190*1000+C6190</f>
        <v>83031</v>
      </c>
      <c r="B6190" s="0" t="n">
        <v>83</v>
      </c>
      <c r="C6190" s="0" t="n">
        <v>31</v>
      </c>
      <c r="D6190" s="0" t="n">
        <v>0</v>
      </c>
      <c r="E6190" s="0" t="n">
        <f aca="false">VLOOKUP(B6190,'Babblefish-APUMA'!$A$1:$B$86,2)</f>
        <v>103</v>
      </c>
      <c r="F6190" s="0" t="n">
        <f aca="false">IF(C6190&gt;1,IF(C6190&lt;99,VLOOKUP(C6190,'Babblefish-APUMA'!$A$1:$B$86,2),C6190),C6190)</f>
        <v>31</v>
      </c>
    </row>
    <row r="6191" customFormat="false" ht="12.75" hidden="false" customHeight="false" outlineLevel="0" collapsed="false">
      <c r="A6191" s="0" t="n">
        <f aca="false">B6191*1000+C6191</f>
        <v>83032</v>
      </c>
      <c r="B6191" s="0" t="n">
        <v>83</v>
      </c>
      <c r="C6191" s="0" t="n">
        <v>32</v>
      </c>
      <c r="D6191" s="0" t="n">
        <v>520</v>
      </c>
      <c r="E6191" s="0" t="n">
        <f aca="false">VLOOKUP(B6191,'Babblefish-APUMA'!$A$1:$B$86,2)</f>
        <v>103</v>
      </c>
      <c r="F6191" s="0" t="n">
        <f aca="false">IF(C6191&gt;1,IF(C6191&lt;99,VLOOKUP(C6191,'Babblefish-APUMA'!$A$1:$B$86,2),C6191),C6191)</f>
        <v>32</v>
      </c>
    </row>
    <row r="6192" customFormat="false" ht="12.75" hidden="false" customHeight="false" outlineLevel="0" collapsed="false">
      <c r="A6192" s="0" t="n">
        <f aca="false">B6192*1000+C6192</f>
        <v>83033</v>
      </c>
      <c r="B6192" s="0" t="n">
        <v>83</v>
      </c>
      <c r="C6192" s="0" t="n">
        <v>33</v>
      </c>
      <c r="D6192" s="0" t="n">
        <v>91</v>
      </c>
      <c r="E6192" s="0" t="n">
        <f aca="false">VLOOKUP(B6192,'Babblefish-APUMA'!$A$1:$B$86,2)</f>
        <v>103</v>
      </c>
      <c r="F6192" s="0" t="n">
        <f aca="false">IF(C6192&gt;1,IF(C6192&lt;99,VLOOKUP(C6192,'Babblefish-APUMA'!$A$1:$B$86,2),C6192),C6192)</f>
        <v>96</v>
      </c>
    </row>
    <row r="6193" customFormat="false" ht="12.75" hidden="false" customHeight="false" outlineLevel="0" collapsed="false">
      <c r="A6193" s="0" t="n">
        <f aca="false">B6193*1000+C6193</f>
        <v>83034</v>
      </c>
      <c r="B6193" s="0" t="n">
        <v>83</v>
      </c>
      <c r="C6193" s="0" t="n">
        <v>34</v>
      </c>
      <c r="D6193" s="0" t="n">
        <v>0</v>
      </c>
      <c r="E6193" s="0" t="n">
        <f aca="false">VLOOKUP(B6193,'Babblefish-APUMA'!$A$1:$B$86,2)</f>
        <v>103</v>
      </c>
      <c r="F6193" s="0" t="n">
        <f aca="false">IF(C6193&gt;1,IF(C6193&lt;99,VLOOKUP(C6193,'Babblefish-APUMA'!$A$1:$B$86,2),C6193),C6193)</f>
        <v>96</v>
      </c>
    </row>
    <row r="6194" customFormat="false" ht="12.75" hidden="false" customHeight="false" outlineLevel="0" collapsed="false">
      <c r="A6194" s="0" t="n">
        <f aca="false">B6194*1000+C6194</f>
        <v>83035</v>
      </c>
      <c r="B6194" s="0" t="n">
        <v>83</v>
      </c>
      <c r="C6194" s="0" t="n">
        <v>35</v>
      </c>
      <c r="D6194" s="0" t="n">
        <v>0</v>
      </c>
      <c r="E6194" s="0" t="n">
        <f aca="false">VLOOKUP(B6194,'Babblefish-APUMA'!$A$1:$B$86,2)</f>
        <v>103</v>
      </c>
      <c r="F6194" s="0" t="n">
        <f aca="false">IF(C6194&gt;1,IF(C6194&lt;99,VLOOKUP(C6194,'Babblefish-APUMA'!$A$1:$B$86,2),C6194),C6194)</f>
        <v>96</v>
      </c>
    </row>
    <row r="6195" customFormat="false" ht="12.75" hidden="false" customHeight="false" outlineLevel="0" collapsed="false">
      <c r="A6195" s="0" t="n">
        <f aca="false">B6195*1000+C6195</f>
        <v>83036</v>
      </c>
      <c r="B6195" s="0" t="n">
        <v>83</v>
      </c>
      <c r="C6195" s="0" t="n">
        <v>36</v>
      </c>
      <c r="D6195" s="0" t="n">
        <v>0</v>
      </c>
      <c r="E6195" s="0" t="n">
        <f aca="false">VLOOKUP(B6195,'Babblefish-APUMA'!$A$1:$B$86,2)</f>
        <v>103</v>
      </c>
      <c r="F6195" s="0" t="n">
        <f aca="false">IF(C6195&gt;1,IF(C6195&lt;99,VLOOKUP(C6195,'Babblefish-APUMA'!$A$1:$B$86,2),C6195),C6195)</f>
        <v>96</v>
      </c>
    </row>
    <row r="6196" customFormat="false" ht="12.75" hidden="false" customHeight="false" outlineLevel="0" collapsed="false">
      <c r="A6196" s="0" t="n">
        <f aca="false">B6196*1000+C6196</f>
        <v>83037</v>
      </c>
      <c r="B6196" s="0" t="n">
        <v>83</v>
      </c>
      <c r="C6196" s="0" t="n">
        <v>37</v>
      </c>
      <c r="D6196" s="0" t="n">
        <v>0</v>
      </c>
      <c r="E6196" s="0" t="n">
        <f aca="false">VLOOKUP(B6196,'Babblefish-APUMA'!$A$1:$B$86,2)</f>
        <v>103</v>
      </c>
      <c r="F6196" s="0" t="n">
        <f aca="false">IF(C6196&gt;1,IF(C6196&lt;99,VLOOKUP(C6196,'Babblefish-APUMA'!$A$1:$B$86,2),C6196),C6196)</f>
        <v>96</v>
      </c>
    </row>
    <row r="6197" customFormat="false" ht="12.75" hidden="false" customHeight="false" outlineLevel="0" collapsed="false">
      <c r="A6197" s="0" t="n">
        <f aca="false">B6197*1000+C6197</f>
        <v>83038</v>
      </c>
      <c r="B6197" s="0" t="n">
        <v>83</v>
      </c>
      <c r="C6197" s="0" t="n">
        <v>38</v>
      </c>
      <c r="D6197" s="0" t="n">
        <v>0</v>
      </c>
      <c r="E6197" s="0" t="n">
        <f aca="false">VLOOKUP(B6197,'Babblefish-APUMA'!$A$1:$B$86,2)</f>
        <v>103</v>
      </c>
      <c r="F6197" s="0" t="n">
        <f aca="false">IF(C6197&gt;1,IF(C6197&lt;99,VLOOKUP(C6197,'Babblefish-APUMA'!$A$1:$B$86,2),C6197),C6197)</f>
        <v>91</v>
      </c>
    </row>
    <row r="6198" customFormat="false" ht="12.75" hidden="false" customHeight="false" outlineLevel="0" collapsed="false">
      <c r="A6198" s="0" t="n">
        <f aca="false">B6198*1000+C6198</f>
        <v>83039</v>
      </c>
      <c r="B6198" s="0" t="n">
        <v>83</v>
      </c>
      <c r="C6198" s="0" t="n">
        <v>39</v>
      </c>
      <c r="D6198" s="0" t="n">
        <v>0</v>
      </c>
      <c r="E6198" s="0" t="n">
        <f aca="false">VLOOKUP(B6198,'Babblefish-APUMA'!$A$1:$B$86,2)</f>
        <v>103</v>
      </c>
      <c r="F6198" s="0" t="n">
        <f aca="false">IF(C6198&gt;1,IF(C6198&lt;99,VLOOKUP(C6198,'Babblefish-APUMA'!$A$1:$B$86,2),C6198),C6198)</f>
        <v>91</v>
      </c>
    </row>
    <row r="6199" customFormat="false" ht="12.75" hidden="false" customHeight="false" outlineLevel="0" collapsed="false">
      <c r="A6199" s="0" t="n">
        <f aca="false">B6199*1000+C6199</f>
        <v>83040</v>
      </c>
      <c r="B6199" s="0" t="n">
        <v>83</v>
      </c>
      <c r="C6199" s="0" t="n">
        <v>40</v>
      </c>
      <c r="D6199" s="0" t="n">
        <v>0</v>
      </c>
      <c r="E6199" s="0" t="n">
        <f aca="false">VLOOKUP(B6199,'Babblefish-APUMA'!$A$1:$B$86,2)</f>
        <v>103</v>
      </c>
      <c r="F6199" s="0" t="n">
        <f aca="false">IF(C6199&gt;1,IF(C6199&lt;99,VLOOKUP(C6199,'Babblefish-APUMA'!$A$1:$B$86,2),C6199),C6199)</f>
        <v>88</v>
      </c>
    </row>
    <row r="6200" customFormat="false" ht="12.75" hidden="false" customHeight="false" outlineLevel="0" collapsed="false">
      <c r="A6200" s="0" t="n">
        <f aca="false">B6200*1000+C6200</f>
        <v>83041</v>
      </c>
      <c r="B6200" s="0" t="n">
        <v>83</v>
      </c>
      <c r="C6200" s="0" t="n">
        <v>41</v>
      </c>
      <c r="D6200" s="0" t="n">
        <v>0</v>
      </c>
      <c r="E6200" s="0" t="n">
        <f aca="false">VLOOKUP(B6200,'Babblefish-APUMA'!$A$1:$B$86,2)</f>
        <v>103</v>
      </c>
      <c r="F6200" s="0" t="n">
        <f aca="false">IF(C6200&gt;1,IF(C6200&lt;99,VLOOKUP(C6200,'Babblefish-APUMA'!$A$1:$B$86,2),C6200),C6200)</f>
        <v>88</v>
      </c>
    </row>
    <row r="6201" customFormat="false" ht="12.75" hidden="false" customHeight="false" outlineLevel="0" collapsed="false">
      <c r="A6201" s="0" t="n">
        <f aca="false">B6201*1000+C6201</f>
        <v>83042</v>
      </c>
      <c r="B6201" s="0" t="n">
        <v>83</v>
      </c>
      <c r="C6201" s="0" t="n">
        <v>42</v>
      </c>
      <c r="D6201" s="0" t="n">
        <v>0</v>
      </c>
      <c r="E6201" s="0" t="n">
        <f aca="false">VLOOKUP(B6201,'Babblefish-APUMA'!$A$1:$B$86,2)</f>
        <v>103</v>
      </c>
      <c r="F6201" s="0" t="n">
        <f aca="false">IF(C6201&gt;1,IF(C6201&lt;99,VLOOKUP(C6201,'Babblefish-APUMA'!$A$1:$B$86,2),C6201),C6201)</f>
        <v>92</v>
      </c>
    </row>
    <row r="6202" customFormat="false" ht="12.75" hidden="false" customHeight="false" outlineLevel="0" collapsed="false">
      <c r="A6202" s="0" t="n">
        <f aca="false">B6202*1000+C6202</f>
        <v>83043</v>
      </c>
      <c r="B6202" s="0" t="n">
        <v>83</v>
      </c>
      <c r="C6202" s="0" t="n">
        <v>43</v>
      </c>
      <c r="D6202" s="0" t="n">
        <v>0</v>
      </c>
      <c r="E6202" s="0" t="n">
        <f aca="false">VLOOKUP(B6202,'Babblefish-APUMA'!$A$1:$B$86,2)</f>
        <v>103</v>
      </c>
      <c r="F6202" s="0" t="n">
        <f aca="false">IF(C6202&gt;1,IF(C6202&lt;99,VLOOKUP(C6202,'Babblefish-APUMA'!$A$1:$B$86,2),C6202),C6202)</f>
        <v>92</v>
      </c>
    </row>
    <row r="6203" customFormat="false" ht="12.75" hidden="false" customHeight="false" outlineLevel="0" collapsed="false">
      <c r="A6203" s="0" t="n">
        <f aca="false">B6203*1000+C6203</f>
        <v>83044</v>
      </c>
      <c r="B6203" s="0" t="n">
        <v>83</v>
      </c>
      <c r="C6203" s="0" t="n">
        <v>44</v>
      </c>
      <c r="D6203" s="0" t="n">
        <v>0</v>
      </c>
      <c r="E6203" s="0" t="n">
        <f aca="false">VLOOKUP(B6203,'Babblefish-APUMA'!$A$1:$B$86,2)</f>
        <v>103</v>
      </c>
      <c r="F6203" s="0" t="n">
        <f aca="false">IF(C6203&gt;1,IF(C6203&lt;99,VLOOKUP(C6203,'Babblefish-APUMA'!$A$1:$B$86,2),C6203),C6203)</f>
        <v>92</v>
      </c>
    </row>
    <row r="6204" customFormat="false" ht="12.75" hidden="false" customHeight="false" outlineLevel="0" collapsed="false">
      <c r="A6204" s="0" t="n">
        <f aca="false">B6204*1000+C6204</f>
        <v>83045</v>
      </c>
      <c r="B6204" s="0" t="n">
        <v>83</v>
      </c>
      <c r="C6204" s="0" t="n">
        <v>45</v>
      </c>
      <c r="D6204" s="0" t="n">
        <v>0</v>
      </c>
      <c r="E6204" s="0" t="n">
        <f aca="false">VLOOKUP(B6204,'Babblefish-APUMA'!$A$1:$B$86,2)</f>
        <v>103</v>
      </c>
      <c r="F6204" s="0" t="n">
        <f aca="false">IF(C6204&gt;1,IF(C6204&lt;99,VLOOKUP(C6204,'Babblefish-APUMA'!$A$1:$B$86,2),C6204),C6204)</f>
        <v>92</v>
      </c>
    </row>
    <row r="6205" customFormat="false" ht="12.75" hidden="false" customHeight="false" outlineLevel="0" collapsed="false">
      <c r="A6205" s="0" t="n">
        <f aca="false">B6205*1000+C6205</f>
        <v>83046</v>
      </c>
      <c r="B6205" s="0" t="n">
        <v>83</v>
      </c>
      <c r="C6205" s="0" t="n">
        <v>46</v>
      </c>
      <c r="D6205" s="0" t="n">
        <v>0</v>
      </c>
      <c r="E6205" s="0" t="n">
        <f aca="false">VLOOKUP(B6205,'Babblefish-APUMA'!$A$1:$B$86,2)</f>
        <v>103</v>
      </c>
      <c r="F6205" s="0" t="n">
        <f aca="false">IF(C6205&gt;1,IF(C6205&lt;99,VLOOKUP(C6205,'Babblefish-APUMA'!$A$1:$B$86,2),C6205),C6205)</f>
        <v>92</v>
      </c>
    </row>
    <row r="6206" customFormat="false" ht="12.75" hidden="false" customHeight="false" outlineLevel="0" collapsed="false">
      <c r="A6206" s="0" t="n">
        <f aca="false">B6206*1000+C6206</f>
        <v>83047</v>
      </c>
      <c r="B6206" s="0" t="n">
        <v>83</v>
      </c>
      <c r="C6206" s="0" t="n">
        <v>47</v>
      </c>
      <c r="D6206" s="0" t="n">
        <v>0</v>
      </c>
      <c r="E6206" s="0" t="n">
        <f aca="false">VLOOKUP(B6206,'Babblefish-APUMA'!$A$1:$B$86,2)</f>
        <v>103</v>
      </c>
      <c r="F6206" s="0" t="n">
        <f aca="false">IF(C6206&gt;1,IF(C6206&lt;99,VLOOKUP(C6206,'Babblefish-APUMA'!$A$1:$B$86,2),C6206),C6206)</f>
        <v>92</v>
      </c>
    </row>
    <row r="6207" customFormat="false" ht="12.75" hidden="false" customHeight="false" outlineLevel="0" collapsed="false">
      <c r="A6207" s="0" t="n">
        <f aca="false">B6207*1000+C6207</f>
        <v>83048</v>
      </c>
      <c r="B6207" s="0" t="n">
        <v>83</v>
      </c>
      <c r="C6207" s="0" t="n">
        <v>48</v>
      </c>
      <c r="D6207" s="0" t="n">
        <v>0</v>
      </c>
      <c r="E6207" s="0" t="n">
        <f aca="false">VLOOKUP(B6207,'Babblefish-APUMA'!$A$1:$B$86,2)</f>
        <v>103</v>
      </c>
      <c r="F6207" s="0" t="n">
        <f aca="false">IF(C6207&gt;1,IF(C6207&lt;99,VLOOKUP(C6207,'Babblefish-APUMA'!$A$1:$B$86,2),C6207),C6207)</f>
        <v>92</v>
      </c>
    </row>
    <row r="6208" customFormat="false" ht="12.75" hidden="false" customHeight="false" outlineLevel="0" collapsed="false">
      <c r="A6208" s="0" t="n">
        <f aca="false">B6208*1000+C6208</f>
        <v>83049</v>
      </c>
      <c r="B6208" s="0" t="n">
        <v>83</v>
      </c>
      <c r="C6208" s="0" t="n">
        <v>49</v>
      </c>
      <c r="D6208" s="0" t="n">
        <v>0</v>
      </c>
      <c r="E6208" s="0" t="n">
        <f aca="false">VLOOKUP(B6208,'Babblefish-APUMA'!$A$1:$B$86,2)</f>
        <v>103</v>
      </c>
      <c r="F6208" s="0" t="n">
        <f aca="false">IF(C6208&gt;1,IF(C6208&lt;99,VLOOKUP(C6208,'Babblefish-APUMA'!$A$1:$B$86,2),C6208),C6208)</f>
        <v>98</v>
      </c>
    </row>
    <row r="6209" customFormat="false" ht="12.75" hidden="false" customHeight="false" outlineLevel="0" collapsed="false">
      <c r="A6209" s="0" t="n">
        <f aca="false">B6209*1000+C6209</f>
        <v>83050</v>
      </c>
      <c r="B6209" s="0" t="n">
        <v>83</v>
      </c>
      <c r="C6209" s="0" t="n">
        <v>50</v>
      </c>
      <c r="D6209" s="0" t="n">
        <v>0</v>
      </c>
      <c r="E6209" s="0" t="n">
        <f aca="false">VLOOKUP(B6209,'Babblefish-APUMA'!$A$1:$B$86,2)</f>
        <v>103</v>
      </c>
      <c r="F6209" s="0" t="n">
        <f aca="false">IF(C6209&gt;1,IF(C6209&lt;99,VLOOKUP(C6209,'Babblefish-APUMA'!$A$1:$B$86,2),C6209),C6209)</f>
        <v>98</v>
      </c>
    </row>
    <row r="6210" customFormat="false" ht="12.75" hidden="false" customHeight="false" outlineLevel="0" collapsed="false">
      <c r="A6210" s="0" t="n">
        <f aca="false">B6210*1000+C6210</f>
        <v>83051</v>
      </c>
      <c r="B6210" s="0" t="n">
        <v>83</v>
      </c>
      <c r="C6210" s="0" t="n">
        <v>51</v>
      </c>
      <c r="D6210" s="0" t="n">
        <v>0</v>
      </c>
      <c r="E6210" s="0" t="n">
        <f aca="false">VLOOKUP(B6210,'Babblefish-APUMA'!$A$1:$B$86,2)</f>
        <v>103</v>
      </c>
      <c r="F6210" s="0" t="n">
        <f aca="false">IF(C6210&gt;1,IF(C6210&lt;99,VLOOKUP(C6210,'Babblefish-APUMA'!$A$1:$B$86,2),C6210),C6210)</f>
        <v>98</v>
      </c>
    </row>
    <row r="6211" customFormat="false" ht="12.75" hidden="false" customHeight="false" outlineLevel="0" collapsed="false">
      <c r="A6211" s="0" t="n">
        <f aca="false">B6211*1000+C6211</f>
        <v>83052</v>
      </c>
      <c r="B6211" s="0" t="n">
        <v>83</v>
      </c>
      <c r="C6211" s="0" t="n">
        <v>52</v>
      </c>
      <c r="D6211" s="0" t="n">
        <v>0</v>
      </c>
      <c r="E6211" s="0" t="n">
        <f aca="false">VLOOKUP(B6211,'Babblefish-APUMA'!$A$1:$B$86,2)</f>
        <v>103</v>
      </c>
      <c r="F6211" s="0" t="n">
        <f aca="false">IF(C6211&gt;1,IF(C6211&lt;99,VLOOKUP(C6211,'Babblefish-APUMA'!$A$1:$B$86,2),C6211),C6211)</f>
        <v>90</v>
      </c>
    </row>
    <row r="6212" customFormat="false" ht="12.75" hidden="false" customHeight="false" outlineLevel="0" collapsed="false">
      <c r="A6212" s="0" t="n">
        <f aca="false">B6212*1000+C6212</f>
        <v>83053</v>
      </c>
      <c r="B6212" s="0" t="n">
        <v>83</v>
      </c>
      <c r="C6212" s="0" t="n">
        <v>53</v>
      </c>
      <c r="D6212" s="0" t="n">
        <v>0</v>
      </c>
      <c r="E6212" s="0" t="n">
        <f aca="false">VLOOKUP(B6212,'Babblefish-APUMA'!$A$1:$B$86,2)</f>
        <v>103</v>
      </c>
      <c r="F6212" s="0" t="n">
        <f aca="false">IF(C6212&gt;1,IF(C6212&lt;99,VLOOKUP(C6212,'Babblefish-APUMA'!$A$1:$B$86,2),C6212),C6212)</f>
        <v>90</v>
      </c>
    </row>
    <row r="6213" customFormat="false" ht="12.75" hidden="false" customHeight="false" outlineLevel="0" collapsed="false">
      <c r="A6213" s="0" t="n">
        <f aca="false">B6213*1000+C6213</f>
        <v>83054</v>
      </c>
      <c r="B6213" s="0" t="n">
        <v>83</v>
      </c>
      <c r="C6213" s="0" t="n">
        <v>54</v>
      </c>
      <c r="D6213" s="0" t="n">
        <v>0</v>
      </c>
      <c r="E6213" s="0" t="n">
        <f aca="false">VLOOKUP(B6213,'Babblefish-APUMA'!$A$1:$B$86,2)</f>
        <v>103</v>
      </c>
      <c r="F6213" s="0" t="n">
        <f aca="false">IF(C6213&gt;1,IF(C6213&lt;99,VLOOKUP(C6213,'Babblefish-APUMA'!$A$1:$B$86,2),C6213),C6213)</f>
        <v>90</v>
      </c>
    </row>
    <row r="6214" customFormat="false" ht="12.75" hidden="false" customHeight="false" outlineLevel="0" collapsed="false">
      <c r="A6214" s="0" t="n">
        <f aca="false">B6214*1000+C6214</f>
        <v>83055</v>
      </c>
      <c r="B6214" s="0" t="n">
        <v>83</v>
      </c>
      <c r="C6214" s="0" t="n">
        <v>55</v>
      </c>
      <c r="D6214" s="0" t="n">
        <v>0</v>
      </c>
      <c r="E6214" s="0" t="n">
        <f aca="false">VLOOKUP(B6214,'Babblefish-APUMA'!$A$1:$B$86,2)</f>
        <v>103</v>
      </c>
      <c r="F6214" s="0" t="n">
        <f aca="false">IF(C6214&gt;1,IF(C6214&lt;99,VLOOKUP(C6214,'Babblefish-APUMA'!$A$1:$B$86,2),C6214),C6214)</f>
        <v>90</v>
      </c>
    </row>
    <row r="6215" customFormat="false" ht="12.75" hidden="false" customHeight="false" outlineLevel="0" collapsed="false">
      <c r="A6215" s="0" t="n">
        <f aca="false">B6215*1000+C6215</f>
        <v>83056</v>
      </c>
      <c r="B6215" s="0" t="n">
        <v>83</v>
      </c>
      <c r="C6215" s="0" t="n">
        <v>56</v>
      </c>
      <c r="D6215" s="0" t="n">
        <v>0</v>
      </c>
      <c r="E6215" s="0" t="n">
        <f aca="false">VLOOKUP(B6215,'Babblefish-APUMA'!$A$1:$B$86,2)</f>
        <v>103</v>
      </c>
      <c r="F6215" s="0" t="n">
        <f aca="false">IF(C6215&gt;1,IF(C6215&lt;99,VLOOKUP(C6215,'Babblefish-APUMA'!$A$1:$B$86,2),C6215),C6215)</f>
        <v>90</v>
      </c>
    </row>
    <row r="6216" customFormat="false" ht="12.75" hidden="false" customHeight="false" outlineLevel="0" collapsed="false">
      <c r="A6216" s="0" t="n">
        <f aca="false">B6216*1000+C6216</f>
        <v>83057</v>
      </c>
      <c r="B6216" s="0" t="n">
        <v>83</v>
      </c>
      <c r="C6216" s="0" t="n">
        <v>57</v>
      </c>
      <c r="D6216" s="0" t="n">
        <v>0</v>
      </c>
      <c r="E6216" s="0" t="n">
        <f aca="false">VLOOKUP(B6216,'Babblefish-APUMA'!$A$1:$B$86,2)</f>
        <v>103</v>
      </c>
      <c r="F6216" s="0" t="n">
        <f aca="false">IF(C6216&gt;1,IF(C6216&lt;99,VLOOKUP(C6216,'Babblefish-APUMA'!$A$1:$B$86,2),C6216),C6216)</f>
        <v>90</v>
      </c>
    </row>
    <row r="6217" customFormat="false" ht="12.75" hidden="false" customHeight="false" outlineLevel="0" collapsed="false">
      <c r="A6217" s="0" t="n">
        <f aca="false">B6217*1000+C6217</f>
        <v>83058</v>
      </c>
      <c r="B6217" s="0" t="n">
        <v>83</v>
      </c>
      <c r="C6217" s="0" t="n">
        <v>58</v>
      </c>
      <c r="D6217" s="0" t="n">
        <v>0</v>
      </c>
      <c r="E6217" s="0" t="n">
        <f aca="false">VLOOKUP(B6217,'Babblefish-APUMA'!$A$1:$B$86,2)</f>
        <v>103</v>
      </c>
      <c r="F6217" s="0" t="n">
        <f aca="false">IF(C6217&gt;1,IF(C6217&lt;99,VLOOKUP(C6217,'Babblefish-APUMA'!$A$1:$B$86,2),C6217),C6217)</f>
        <v>90</v>
      </c>
    </row>
    <row r="6218" customFormat="false" ht="12.75" hidden="false" customHeight="false" outlineLevel="0" collapsed="false">
      <c r="A6218" s="0" t="n">
        <f aca="false">B6218*1000+C6218</f>
        <v>83059</v>
      </c>
      <c r="B6218" s="0" t="n">
        <v>83</v>
      </c>
      <c r="C6218" s="0" t="n">
        <v>59</v>
      </c>
      <c r="D6218" s="0" t="n">
        <v>0</v>
      </c>
      <c r="E6218" s="0" t="n">
        <f aca="false">VLOOKUP(B6218,'Babblefish-APUMA'!$A$1:$B$86,2)</f>
        <v>103</v>
      </c>
      <c r="F6218" s="0" t="n">
        <f aca="false">IF(C6218&gt;1,IF(C6218&lt;99,VLOOKUP(C6218,'Babblefish-APUMA'!$A$1:$B$86,2),C6218),C6218)</f>
        <v>90</v>
      </c>
    </row>
    <row r="6219" customFormat="false" ht="12.75" hidden="false" customHeight="false" outlineLevel="0" collapsed="false">
      <c r="A6219" s="0" t="n">
        <f aca="false">B6219*1000+C6219</f>
        <v>83060</v>
      </c>
      <c r="B6219" s="0" t="n">
        <v>83</v>
      </c>
      <c r="C6219" s="0" t="n">
        <v>60</v>
      </c>
      <c r="D6219" s="0" t="n">
        <v>0</v>
      </c>
      <c r="E6219" s="0" t="n">
        <f aca="false">VLOOKUP(B6219,'Babblefish-APUMA'!$A$1:$B$86,2)</f>
        <v>103</v>
      </c>
      <c r="F6219" s="0" t="n">
        <f aca="false">IF(C6219&gt;1,IF(C6219&lt;99,VLOOKUP(C6219,'Babblefish-APUMA'!$A$1:$B$86,2),C6219),C6219)</f>
        <v>90</v>
      </c>
    </row>
    <row r="6220" customFormat="false" ht="12.75" hidden="false" customHeight="false" outlineLevel="0" collapsed="false">
      <c r="A6220" s="0" t="n">
        <f aca="false">B6220*1000+C6220</f>
        <v>83061</v>
      </c>
      <c r="B6220" s="0" t="n">
        <v>83</v>
      </c>
      <c r="C6220" s="0" t="n">
        <v>61</v>
      </c>
      <c r="D6220" s="0" t="n">
        <v>0</v>
      </c>
      <c r="E6220" s="0" t="n">
        <f aca="false">VLOOKUP(B6220,'Babblefish-APUMA'!$A$1:$B$86,2)</f>
        <v>103</v>
      </c>
      <c r="F6220" s="0" t="n">
        <f aca="false">IF(C6220&gt;1,IF(C6220&lt;99,VLOOKUP(C6220,'Babblefish-APUMA'!$A$1:$B$86,2),C6220),C6220)</f>
        <v>90</v>
      </c>
    </row>
    <row r="6221" customFormat="false" ht="12.75" hidden="false" customHeight="false" outlineLevel="0" collapsed="false">
      <c r="A6221" s="0" t="n">
        <f aca="false">B6221*1000+C6221</f>
        <v>83062</v>
      </c>
      <c r="B6221" s="0" t="n">
        <v>83</v>
      </c>
      <c r="C6221" s="0" t="n">
        <v>62</v>
      </c>
      <c r="D6221" s="0" t="n">
        <v>0</v>
      </c>
      <c r="E6221" s="0" t="n">
        <f aca="false">VLOOKUP(B6221,'Babblefish-APUMA'!$A$1:$B$86,2)</f>
        <v>103</v>
      </c>
      <c r="F6221" s="0" t="n">
        <f aca="false">IF(C6221&gt;1,IF(C6221&lt;99,VLOOKUP(C6221,'Babblefish-APUMA'!$A$1:$B$86,2),C6221),C6221)</f>
        <v>90</v>
      </c>
    </row>
    <row r="6222" customFormat="false" ht="12.75" hidden="false" customHeight="false" outlineLevel="0" collapsed="false">
      <c r="A6222" s="0" t="n">
        <f aca="false">B6222*1000+C6222</f>
        <v>83063</v>
      </c>
      <c r="B6222" s="0" t="n">
        <v>83</v>
      </c>
      <c r="C6222" s="0" t="n">
        <v>63</v>
      </c>
      <c r="D6222" s="0" t="n">
        <v>65</v>
      </c>
      <c r="E6222" s="0" t="n">
        <f aca="false">VLOOKUP(B6222,'Babblefish-APUMA'!$A$1:$B$86,2)</f>
        <v>103</v>
      </c>
      <c r="F6222" s="0" t="n">
        <f aca="false">IF(C6222&gt;1,IF(C6222&lt;99,VLOOKUP(C6222,'Babblefish-APUMA'!$A$1:$B$86,2),C6222),C6222)</f>
        <v>90</v>
      </c>
    </row>
    <row r="6223" customFormat="false" ht="12.75" hidden="false" customHeight="false" outlineLevel="0" collapsed="false">
      <c r="A6223" s="0" t="n">
        <f aca="false">B6223*1000+C6223</f>
        <v>83064</v>
      </c>
      <c r="B6223" s="0" t="n">
        <v>83</v>
      </c>
      <c r="C6223" s="0" t="n">
        <v>64</v>
      </c>
      <c r="D6223" s="0" t="n">
        <v>2041</v>
      </c>
      <c r="E6223" s="0" t="n">
        <f aca="false">VLOOKUP(B6223,'Babblefish-APUMA'!$A$1:$B$86,2)</f>
        <v>103</v>
      </c>
      <c r="F6223" s="0" t="n">
        <f aca="false">IF(C6223&gt;1,IF(C6223&lt;99,VLOOKUP(C6223,'Babblefish-APUMA'!$A$1:$B$86,2),C6223),C6223)</f>
        <v>90</v>
      </c>
    </row>
    <row r="6224" customFormat="false" ht="12.75" hidden="false" customHeight="false" outlineLevel="0" collapsed="false">
      <c r="A6224" s="0" t="n">
        <f aca="false">B6224*1000+C6224</f>
        <v>83065</v>
      </c>
      <c r="B6224" s="0" t="n">
        <v>83</v>
      </c>
      <c r="C6224" s="0" t="n">
        <v>65</v>
      </c>
      <c r="D6224" s="0" t="n">
        <v>1677</v>
      </c>
      <c r="E6224" s="0" t="n">
        <f aca="false">VLOOKUP(B6224,'Babblefish-APUMA'!$A$1:$B$86,2)</f>
        <v>103</v>
      </c>
      <c r="F6224" s="0" t="n">
        <f aca="false">IF(C6224&gt;1,IF(C6224&lt;99,VLOOKUP(C6224,'Babblefish-APUMA'!$A$1:$B$86,2),C6224),C6224)</f>
        <v>90</v>
      </c>
    </row>
    <row r="6225" customFormat="false" ht="12.75" hidden="false" customHeight="false" outlineLevel="0" collapsed="false">
      <c r="A6225" s="0" t="n">
        <f aca="false">B6225*1000+C6225</f>
        <v>83066</v>
      </c>
      <c r="B6225" s="0" t="n">
        <v>83</v>
      </c>
      <c r="C6225" s="0" t="n">
        <v>66</v>
      </c>
      <c r="D6225" s="0" t="n">
        <v>234</v>
      </c>
      <c r="E6225" s="0" t="n">
        <f aca="false">VLOOKUP(B6225,'Babblefish-APUMA'!$A$1:$B$86,2)</f>
        <v>103</v>
      </c>
      <c r="F6225" s="0" t="n">
        <f aca="false">IF(C6225&gt;1,IF(C6225&lt;99,VLOOKUP(C6225,'Babblefish-APUMA'!$A$1:$B$86,2),C6225),C6225)</f>
        <v>90</v>
      </c>
    </row>
    <row r="6226" customFormat="false" ht="12.75" hidden="false" customHeight="false" outlineLevel="0" collapsed="false">
      <c r="A6226" s="0" t="n">
        <f aca="false">B6226*1000+C6226</f>
        <v>83067</v>
      </c>
      <c r="B6226" s="0" t="n">
        <v>83</v>
      </c>
      <c r="C6226" s="0" t="n">
        <v>67</v>
      </c>
      <c r="D6226" s="0" t="n">
        <v>33371</v>
      </c>
      <c r="E6226" s="0" t="n">
        <f aca="false">VLOOKUP(B6226,'Babblefish-APUMA'!$A$1:$B$86,2)</f>
        <v>103</v>
      </c>
      <c r="F6226" s="0" t="n">
        <f aca="false">IF(C6226&gt;1,IF(C6226&lt;99,VLOOKUP(C6226,'Babblefish-APUMA'!$A$1:$B$86,2),C6226),C6226)</f>
        <v>103</v>
      </c>
    </row>
    <row r="6227" customFormat="false" ht="12.75" hidden="false" customHeight="false" outlineLevel="0" collapsed="false">
      <c r="A6227" s="0" t="n">
        <f aca="false">B6227*1000+C6227</f>
        <v>83068</v>
      </c>
      <c r="B6227" s="0" t="n">
        <v>83</v>
      </c>
      <c r="C6227" s="0" t="n">
        <v>68</v>
      </c>
      <c r="D6227" s="0" t="n">
        <v>0</v>
      </c>
      <c r="E6227" s="0" t="n">
        <f aca="false">VLOOKUP(B6227,'Babblefish-APUMA'!$A$1:$B$86,2)</f>
        <v>103</v>
      </c>
      <c r="F6227" s="0" t="n">
        <f aca="false">IF(C6227&gt;1,IF(C6227&lt;99,VLOOKUP(C6227,'Babblefish-APUMA'!$A$1:$B$86,2),C6227),C6227)</f>
        <v>93</v>
      </c>
    </row>
    <row r="6228" customFormat="false" ht="12.75" hidden="false" customHeight="false" outlineLevel="0" collapsed="false">
      <c r="A6228" s="0" t="n">
        <f aca="false">B6228*1000+C6228</f>
        <v>83069</v>
      </c>
      <c r="B6228" s="0" t="n">
        <v>83</v>
      </c>
      <c r="C6228" s="0" t="n">
        <v>69</v>
      </c>
      <c r="D6228" s="0" t="n">
        <v>0</v>
      </c>
      <c r="E6228" s="0" t="n">
        <f aca="false">VLOOKUP(B6228,'Babblefish-APUMA'!$A$1:$B$86,2)</f>
        <v>103</v>
      </c>
      <c r="F6228" s="0" t="n">
        <f aca="false">IF(C6228&gt;1,IF(C6228&lt;99,VLOOKUP(C6228,'Babblefish-APUMA'!$A$1:$B$86,2),C6228),C6228)</f>
        <v>93</v>
      </c>
    </row>
    <row r="6229" customFormat="false" ht="12.75" hidden="false" customHeight="false" outlineLevel="0" collapsed="false">
      <c r="A6229" s="0" t="n">
        <f aca="false">B6229*1000+C6229</f>
        <v>83070</v>
      </c>
      <c r="B6229" s="0" t="n">
        <v>83</v>
      </c>
      <c r="C6229" s="0" t="n">
        <v>70</v>
      </c>
      <c r="D6229" s="0" t="n">
        <v>0</v>
      </c>
      <c r="E6229" s="0" t="n">
        <f aca="false">VLOOKUP(B6229,'Babblefish-APUMA'!$A$1:$B$86,2)</f>
        <v>103</v>
      </c>
      <c r="F6229" s="0" t="n">
        <f aca="false">IF(C6229&gt;1,IF(C6229&lt;99,VLOOKUP(C6229,'Babblefish-APUMA'!$A$1:$B$86,2),C6229),C6229)</f>
        <v>95</v>
      </c>
    </row>
    <row r="6230" customFormat="false" ht="12.75" hidden="false" customHeight="false" outlineLevel="0" collapsed="false">
      <c r="A6230" s="0" t="n">
        <f aca="false">B6230*1000+C6230</f>
        <v>83071</v>
      </c>
      <c r="B6230" s="0" t="n">
        <v>83</v>
      </c>
      <c r="C6230" s="0" t="n">
        <v>71</v>
      </c>
      <c r="D6230" s="0" t="n">
        <v>0</v>
      </c>
      <c r="E6230" s="0" t="n">
        <f aca="false">VLOOKUP(B6230,'Babblefish-APUMA'!$A$1:$B$86,2)</f>
        <v>103</v>
      </c>
      <c r="F6230" s="0" t="n">
        <f aca="false">IF(C6230&gt;1,IF(C6230&lt;99,VLOOKUP(C6230,'Babblefish-APUMA'!$A$1:$B$86,2),C6230),C6230)</f>
        <v>95</v>
      </c>
    </row>
    <row r="6231" customFormat="false" ht="12.75" hidden="false" customHeight="false" outlineLevel="0" collapsed="false">
      <c r="A6231" s="0" t="n">
        <f aca="false">B6231*1000+C6231</f>
        <v>83072</v>
      </c>
      <c r="B6231" s="0" t="n">
        <v>83</v>
      </c>
      <c r="C6231" s="0" t="n">
        <v>72</v>
      </c>
      <c r="D6231" s="0" t="n">
        <v>117</v>
      </c>
      <c r="E6231" s="0" t="n">
        <f aca="false">VLOOKUP(B6231,'Babblefish-APUMA'!$A$1:$B$86,2)</f>
        <v>103</v>
      </c>
      <c r="F6231" s="0" t="n">
        <f aca="false">IF(C6231&gt;1,IF(C6231&lt;99,VLOOKUP(C6231,'Babblefish-APUMA'!$A$1:$B$86,2),C6231),C6231)</f>
        <v>95</v>
      </c>
    </row>
    <row r="6232" customFormat="false" ht="12.75" hidden="false" customHeight="false" outlineLevel="0" collapsed="false">
      <c r="A6232" s="0" t="n">
        <f aca="false">B6232*1000+C6232</f>
        <v>83073</v>
      </c>
      <c r="B6232" s="0" t="n">
        <v>83</v>
      </c>
      <c r="C6232" s="0" t="n">
        <v>73</v>
      </c>
      <c r="D6232" s="0" t="n">
        <v>0</v>
      </c>
      <c r="E6232" s="0" t="n">
        <f aca="false">VLOOKUP(B6232,'Babblefish-APUMA'!$A$1:$B$86,2)</f>
        <v>103</v>
      </c>
      <c r="F6232" s="0" t="n">
        <f aca="false">IF(C6232&gt;1,IF(C6232&lt;99,VLOOKUP(C6232,'Babblefish-APUMA'!$A$1:$B$86,2),C6232),C6232)</f>
        <v>99</v>
      </c>
    </row>
    <row r="6233" customFormat="false" ht="12.75" hidden="false" customHeight="false" outlineLevel="0" collapsed="false">
      <c r="A6233" s="0" t="n">
        <f aca="false">B6233*1000+C6233</f>
        <v>83075</v>
      </c>
      <c r="B6233" s="0" t="n">
        <v>83</v>
      </c>
      <c r="C6233" s="0" t="n">
        <v>75</v>
      </c>
      <c r="D6233" s="0" t="n">
        <v>0</v>
      </c>
      <c r="E6233" s="0" t="n">
        <f aca="false">VLOOKUP(B6233,'Babblefish-APUMA'!$A$1:$B$86,2)</f>
        <v>103</v>
      </c>
      <c r="F6233" s="0" t="n">
        <f aca="false">IF(C6233&gt;1,IF(C6233&lt;99,VLOOKUP(C6233,'Babblefish-APUMA'!$A$1:$B$86,2),C6233),C6233)</f>
        <v>75</v>
      </c>
    </row>
    <row r="6234" customFormat="false" ht="12.75" hidden="false" customHeight="false" outlineLevel="0" collapsed="false">
      <c r="A6234" s="0" t="n">
        <f aca="false">B6234*1000+C6234</f>
        <v>83076</v>
      </c>
      <c r="B6234" s="0" t="n">
        <v>83</v>
      </c>
      <c r="C6234" s="0" t="n">
        <v>76</v>
      </c>
      <c r="D6234" s="0" t="n">
        <v>0</v>
      </c>
      <c r="E6234" s="0" t="n">
        <f aca="false">VLOOKUP(B6234,'Babblefish-APUMA'!$A$1:$B$86,2)</f>
        <v>103</v>
      </c>
      <c r="F6234" s="0" t="n">
        <f aca="false">IF(C6234&gt;1,IF(C6234&lt;99,VLOOKUP(C6234,'Babblefish-APUMA'!$A$1:$B$86,2),C6234),C6234)</f>
        <v>76</v>
      </c>
    </row>
    <row r="6235" customFormat="false" ht="12.75" hidden="false" customHeight="false" outlineLevel="0" collapsed="false">
      <c r="A6235" s="0" t="n">
        <f aca="false">B6235*1000+C6235</f>
        <v>83077</v>
      </c>
      <c r="B6235" s="0" t="n">
        <v>83</v>
      </c>
      <c r="C6235" s="0" t="n">
        <v>77</v>
      </c>
      <c r="D6235" s="0" t="n">
        <v>0</v>
      </c>
      <c r="E6235" s="0" t="n">
        <f aca="false">VLOOKUP(B6235,'Babblefish-APUMA'!$A$1:$B$86,2)</f>
        <v>103</v>
      </c>
      <c r="F6235" s="0" t="n">
        <f aca="false">IF(C6235&gt;1,IF(C6235&lt;99,VLOOKUP(C6235,'Babblefish-APUMA'!$A$1:$B$86,2),C6235),C6235)</f>
        <v>77</v>
      </c>
    </row>
    <row r="6236" customFormat="false" ht="12.75" hidden="false" customHeight="false" outlineLevel="0" collapsed="false">
      <c r="A6236" s="0" t="n">
        <f aca="false">B6236*1000+C6236</f>
        <v>83078</v>
      </c>
      <c r="B6236" s="0" t="n">
        <v>83</v>
      </c>
      <c r="C6236" s="0" t="n">
        <v>78</v>
      </c>
      <c r="D6236" s="0" t="n">
        <v>0</v>
      </c>
      <c r="E6236" s="0" t="n">
        <f aca="false">VLOOKUP(B6236,'Babblefish-APUMA'!$A$1:$B$86,2)</f>
        <v>103</v>
      </c>
      <c r="F6236" s="0" t="n">
        <f aca="false">IF(C6236&gt;1,IF(C6236&lt;99,VLOOKUP(C6236,'Babblefish-APUMA'!$A$1:$B$86,2),C6236),C6236)</f>
        <v>89</v>
      </c>
    </row>
    <row r="6237" customFormat="false" ht="12.75" hidden="false" customHeight="false" outlineLevel="0" collapsed="false">
      <c r="A6237" s="0" t="n">
        <f aca="false">B6237*1000+C6237</f>
        <v>83079</v>
      </c>
      <c r="B6237" s="0" t="n">
        <v>83</v>
      </c>
      <c r="C6237" s="0" t="n">
        <v>79</v>
      </c>
      <c r="D6237" s="0" t="n">
        <v>0</v>
      </c>
      <c r="E6237" s="0" t="n">
        <f aca="false">VLOOKUP(B6237,'Babblefish-APUMA'!$A$1:$B$86,2)</f>
        <v>103</v>
      </c>
      <c r="F6237" s="0" t="n">
        <f aca="false">IF(C6237&gt;1,IF(C6237&lt;99,VLOOKUP(C6237,'Babblefish-APUMA'!$A$1:$B$86,2),C6237),C6237)</f>
        <v>89</v>
      </c>
    </row>
    <row r="6238" customFormat="false" ht="12.75" hidden="false" customHeight="false" outlineLevel="0" collapsed="false">
      <c r="A6238" s="0" t="n">
        <f aca="false">B6238*1000+C6238</f>
        <v>83080</v>
      </c>
      <c r="B6238" s="0" t="n">
        <v>83</v>
      </c>
      <c r="C6238" s="0" t="n">
        <v>80</v>
      </c>
      <c r="D6238" s="0" t="n">
        <v>91</v>
      </c>
      <c r="E6238" s="0" t="n">
        <f aca="false">VLOOKUP(B6238,'Babblefish-APUMA'!$A$1:$B$86,2)</f>
        <v>103</v>
      </c>
      <c r="F6238" s="0" t="n">
        <f aca="false">IF(C6238&gt;1,IF(C6238&lt;99,VLOOKUP(C6238,'Babblefish-APUMA'!$A$1:$B$86,2),C6238),C6238)</f>
        <v>80</v>
      </c>
    </row>
    <row r="6239" customFormat="false" ht="12.75" hidden="false" customHeight="false" outlineLevel="0" collapsed="false">
      <c r="A6239" s="0" t="n">
        <f aca="false">B6239*1000+C6239</f>
        <v>83081</v>
      </c>
      <c r="B6239" s="0" t="n">
        <v>83</v>
      </c>
      <c r="C6239" s="0" t="n">
        <v>81</v>
      </c>
      <c r="D6239" s="0" t="n">
        <v>0</v>
      </c>
      <c r="E6239" s="0" t="n">
        <f aca="false">VLOOKUP(B6239,'Babblefish-APUMA'!$A$1:$B$86,2)</f>
        <v>103</v>
      </c>
      <c r="F6239" s="0" t="n">
        <f aca="false">IF(C6239&gt;1,IF(C6239&lt;99,VLOOKUP(C6239,'Babblefish-APUMA'!$A$1:$B$86,2),C6239),C6239)</f>
        <v>93</v>
      </c>
    </row>
    <row r="6240" customFormat="false" ht="12.75" hidden="false" customHeight="false" outlineLevel="0" collapsed="false">
      <c r="A6240" s="0" t="n">
        <f aca="false">B6240*1000+C6240</f>
        <v>83082</v>
      </c>
      <c r="B6240" s="0" t="n">
        <v>83</v>
      </c>
      <c r="C6240" s="0" t="n">
        <v>82</v>
      </c>
      <c r="D6240" s="0" t="n">
        <v>0</v>
      </c>
      <c r="E6240" s="0" t="n">
        <f aca="false">VLOOKUP(B6240,'Babblefish-APUMA'!$A$1:$B$86,2)</f>
        <v>103</v>
      </c>
      <c r="F6240" s="0" t="n">
        <f aca="false">IF(C6240&gt;1,IF(C6240&lt;99,VLOOKUP(C6240,'Babblefish-APUMA'!$A$1:$B$86,2),C6240),C6240)</f>
        <v>95</v>
      </c>
    </row>
    <row r="6241" customFormat="false" ht="12.75" hidden="false" customHeight="false" outlineLevel="0" collapsed="false">
      <c r="A6241" s="0" t="n">
        <f aca="false">B6241*1000+C6241</f>
        <v>83083</v>
      </c>
      <c r="B6241" s="0" t="n">
        <v>83</v>
      </c>
      <c r="C6241" s="0" t="n">
        <v>83</v>
      </c>
      <c r="D6241" s="0" t="n">
        <v>26650</v>
      </c>
      <c r="E6241" s="0" t="n">
        <f aca="false">VLOOKUP(B6241,'Babblefish-APUMA'!$A$1:$B$86,2)</f>
        <v>103</v>
      </c>
      <c r="F6241" s="0" t="n">
        <f aca="false">IF(C6241&gt;1,IF(C6241&lt;99,VLOOKUP(C6241,'Babblefish-APUMA'!$A$1:$B$86,2),C6241),C6241)</f>
        <v>103</v>
      </c>
    </row>
    <row r="6242" customFormat="false" ht="12.75" hidden="false" customHeight="false" outlineLevel="0" collapsed="false">
      <c r="A6242" s="0" t="n">
        <f aca="false">B6242*1000+C6242</f>
        <v>83084</v>
      </c>
      <c r="B6242" s="0" t="n">
        <v>83</v>
      </c>
      <c r="C6242" s="0" t="n">
        <v>84</v>
      </c>
      <c r="D6242" s="0" t="n">
        <v>117</v>
      </c>
      <c r="E6242" s="0" t="n">
        <f aca="false">VLOOKUP(B6242,'Babblefish-APUMA'!$A$1:$B$86,2)</f>
        <v>103</v>
      </c>
      <c r="F6242" s="0" t="n">
        <f aca="false">IF(C6242&gt;1,IF(C6242&lt;99,VLOOKUP(C6242,'Babblefish-APUMA'!$A$1:$B$86,2),C6242),C6242)</f>
        <v>92</v>
      </c>
    </row>
    <row r="6243" customFormat="false" ht="12.75" hidden="false" customHeight="false" outlineLevel="0" collapsed="false">
      <c r="A6243" s="0" t="n">
        <f aca="false">B6243*1000+C6243</f>
        <v>83085</v>
      </c>
      <c r="B6243" s="0" t="n">
        <v>83</v>
      </c>
      <c r="C6243" s="0" t="n">
        <v>85</v>
      </c>
      <c r="D6243" s="0" t="n">
        <v>0</v>
      </c>
      <c r="E6243" s="0" t="n">
        <f aca="false">VLOOKUP(B6243,'Babblefish-APUMA'!$A$1:$B$86,2)</f>
        <v>103</v>
      </c>
      <c r="F6243" s="0" t="n">
        <f aca="false">IF(C6243&gt;1,IF(C6243&lt;99,VLOOKUP(C6243,'Babblefish-APUMA'!$A$1:$B$86,2),C6243),C6243)</f>
        <v>97</v>
      </c>
    </row>
    <row r="6244" customFormat="false" ht="12.75" hidden="false" customHeight="false" outlineLevel="0" collapsed="false">
      <c r="A6244" s="0" t="n">
        <f aca="false">B6244*1000+C6244</f>
        <v>83858</v>
      </c>
      <c r="B6244" s="0" t="n">
        <v>83</v>
      </c>
      <c r="C6244" s="0" t="n">
        <v>858</v>
      </c>
      <c r="D6244" s="0" t="n">
        <v>0</v>
      </c>
      <c r="E6244" s="0" t="n">
        <f aca="false">VLOOKUP(B6244,'Babblefish-APUMA'!$A$1:$B$86,2)</f>
        <v>103</v>
      </c>
      <c r="F6244" s="0" t="n">
        <f aca="false">IF(C6244&gt;1,IF(C6244&lt;99,VLOOKUP(C6244,'Babblefish-APUMA'!$A$1:$B$86,2),C6244),C6244)</f>
        <v>858</v>
      </c>
    </row>
    <row r="6245" customFormat="false" ht="12.75" hidden="false" customHeight="false" outlineLevel="0" collapsed="false">
      <c r="A6245" s="0" t="n">
        <f aca="false">B6245*1000+C6245</f>
        <v>83983</v>
      </c>
      <c r="B6245" s="0" t="n">
        <v>83</v>
      </c>
      <c r="C6245" s="0" t="n">
        <v>983</v>
      </c>
      <c r="D6245" s="0" t="n">
        <v>0</v>
      </c>
      <c r="E6245" s="0" t="n">
        <f aca="false">VLOOKUP(B6245,'Babblefish-APUMA'!$A$1:$B$86,2)</f>
        <v>103</v>
      </c>
      <c r="F6245" s="0" t="n">
        <f aca="false">IF(C6245&gt;1,IF(C6245&lt;99,VLOOKUP(C6245,'Babblefish-APUMA'!$A$1:$B$86,2),C6245),C6245)</f>
        <v>983</v>
      </c>
    </row>
    <row r="6246" customFormat="false" ht="12.75" hidden="false" customHeight="false" outlineLevel="0" collapsed="false">
      <c r="A6246" s="0" t="n">
        <f aca="false">B6246*1000+C6246</f>
        <v>83999</v>
      </c>
      <c r="B6246" s="0" t="n">
        <v>83</v>
      </c>
      <c r="C6246" s="0" t="n">
        <v>999</v>
      </c>
      <c r="D6246" s="0" t="n">
        <v>0</v>
      </c>
      <c r="E6246" s="0" t="n">
        <f aca="false">VLOOKUP(B6246,'Babblefish-APUMA'!$A$1:$B$86,2)</f>
        <v>103</v>
      </c>
      <c r="F6246" s="0" t="n">
        <f aca="false">IF(C6246&gt;1,IF(C6246&lt;99,VLOOKUP(C6246,'Babblefish-APUMA'!$A$1:$B$86,2),C6246),C6246)</f>
        <v>999</v>
      </c>
    </row>
    <row r="6247" customFormat="false" ht="12.75" hidden="false" customHeight="false" outlineLevel="0" collapsed="false">
      <c r="A6247" s="0" t="n">
        <f aca="false">B6247*1000+C6247</f>
        <v>84000</v>
      </c>
      <c r="B6247" s="0" t="n">
        <v>84</v>
      </c>
      <c r="C6247" s="0" t="n">
        <v>0</v>
      </c>
      <c r="D6247" s="0" t="n">
        <v>129155</v>
      </c>
      <c r="E6247" s="0" t="n">
        <f aca="false">VLOOKUP(B6247,'Babblefish-APUMA'!$A$1:$B$86,2)</f>
        <v>92</v>
      </c>
      <c r="F6247" s="0" t="n">
        <f aca="false">IF(C6247&gt;1,IF(C6247&lt;99,VLOOKUP(C6247,'Babblefish-APUMA'!$A$1:$B$86,2),C6247),C6247)</f>
        <v>0</v>
      </c>
    </row>
    <row r="6248" customFormat="false" ht="12.75" hidden="false" customHeight="false" outlineLevel="0" collapsed="false">
      <c r="A6248" s="0" t="n">
        <f aca="false">B6248*1000+C6248</f>
        <v>84001</v>
      </c>
      <c r="B6248" s="0" t="n">
        <v>84</v>
      </c>
      <c r="C6248" s="0" t="n">
        <v>1</v>
      </c>
      <c r="D6248" s="0" t="n">
        <v>78</v>
      </c>
      <c r="E6248" s="0" t="n">
        <f aca="false">VLOOKUP(B6248,'Babblefish-APUMA'!$A$1:$B$86,2)</f>
        <v>92</v>
      </c>
      <c r="F6248" s="0" t="n">
        <f aca="false">IF(C6248&gt;1,IF(C6248&lt;99,VLOOKUP(C6248,'Babblefish-APUMA'!$A$1:$B$86,2),C6248),C6248)</f>
        <v>1</v>
      </c>
    </row>
    <row r="6249" customFormat="false" ht="12.75" hidden="false" customHeight="false" outlineLevel="0" collapsed="false">
      <c r="A6249" s="0" t="n">
        <f aca="false">B6249*1000+C6249</f>
        <v>84002</v>
      </c>
      <c r="B6249" s="0" t="n">
        <v>84</v>
      </c>
      <c r="C6249" s="0" t="n">
        <v>2</v>
      </c>
      <c r="D6249" s="0" t="n">
        <v>0</v>
      </c>
      <c r="E6249" s="0" t="n">
        <f aca="false">VLOOKUP(B6249,'Babblefish-APUMA'!$A$1:$B$86,2)</f>
        <v>92</v>
      </c>
      <c r="F6249" s="0" t="n">
        <f aca="false">IF(C6249&gt;1,IF(C6249&lt;99,VLOOKUP(C6249,'Babblefish-APUMA'!$A$1:$B$86,2),C6249),C6249)</f>
        <v>2</v>
      </c>
    </row>
    <row r="6250" customFormat="false" ht="12.75" hidden="false" customHeight="false" outlineLevel="0" collapsed="false">
      <c r="A6250" s="0" t="n">
        <f aca="false">B6250*1000+C6250</f>
        <v>84003</v>
      </c>
      <c r="B6250" s="0" t="n">
        <v>84</v>
      </c>
      <c r="C6250" s="0" t="n">
        <v>3</v>
      </c>
      <c r="D6250" s="0" t="n">
        <v>0</v>
      </c>
      <c r="E6250" s="0" t="n">
        <f aca="false">VLOOKUP(B6250,'Babblefish-APUMA'!$A$1:$B$86,2)</f>
        <v>92</v>
      </c>
      <c r="F6250" s="0" t="n">
        <f aca="false">IF(C6250&gt;1,IF(C6250&lt;99,VLOOKUP(C6250,'Babblefish-APUMA'!$A$1:$B$86,2),C6250),C6250)</f>
        <v>3</v>
      </c>
    </row>
    <row r="6251" customFormat="false" ht="12.75" hidden="false" customHeight="false" outlineLevel="0" collapsed="false">
      <c r="A6251" s="0" t="n">
        <f aca="false">B6251*1000+C6251</f>
        <v>84004</v>
      </c>
      <c r="B6251" s="0" t="n">
        <v>84</v>
      </c>
      <c r="C6251" s="0" t="n">
        <v>4</v>
      </c>
      <c r="D6251" s="0" t="n">
        <v>0</v>
      </c>
      <c r="E6251" s="0" t="n">
        <f aca="false">VLOOKUP(B6251,'Babblefish-APUMA'!$A$1:$B$86,2)</f>
        <v>92</v>
      </c>
      <c r="F6251" s="0" t="n">
        <f aca="false">IF(C6251&gt;1,IF(C6251&lt;99,VLOOKUP(C6251,'Babblefish-APUMA'!$A$1:$B$86,2),C6251),C6251)</f>
        <v>4</v>
      </c>
    </row>
    <row r="6252" customFormat="false" ht="12.75" hidden="false" customHeight="false" outlineLevel="0" collapsed="false">
      <c r="A6252" s="0" t="n">
        <f aca="false">B6252*1000+C6252</f>
        <v>84005</v>
      </c>
      <c r="B6252" s="0" t="n">
        <v>84</v>
      </c>
      <c r="C6252" s="0" t="n">
        <v>5</v>
      </c>
      <c r="D6252" s="0" t="n">
        <v>0</v>
      </c>
      <c r="E6252" s="0" t="n">
        <f aca="false">VLOOKUP(B6252,'Babblefish-APUMA'!$A$1:$B$86,2)</f>
        <v>92</v>
      </c>
      <c r="F6252" s="0" t="n">
        <f aca="false">IF(C6252&gt;1,IF(C6252&lt;99,VLOOKUP(C6252,'Babblefish-APUMA'!$A$1:$B$86,2),C6252),C6252)</f>
        <v>5</v>
      </c>
    </row>
    <row r="6253" customFormat="false" ht="12.75" hidden="false" customHeight="false" outlineLevel="0" collapsed="false">
      <c r="A6253" s="0" t="n">
        <f aca="false">B6253*1000+C6253</f>
        <v>84006</v>
      </c>
      <c r="B6253" s="0" t="n">
        <v>84</v>
      </c>
      <c r="C6253" s="0" t="n">
        <v>6</v>
      </c>
      <c r="D6253" s="0" t="n">
        <v>0</v>
      </c>
      <c r="E6253" s="0" t="n">
        <f aca="false">VLOOKUP(B6253,'Babblefish-APUMA'!$A$1:$B$86,2)</f>
        <v>92</v>
      </c>
      <c r="F6253" s="0" t="n">
        <f aca="false">IF(C6253&gt;1,IF(C6253&lt;99,VLOOKUP(C6253,'Babblefish-APUMA'!$A$1:$B$86,2),C6253),C6253)</f>
        <v>6</v>
      </c>
    </row>
    <row r="6254" customFormat="false" ht="12.75" hidden="false" customHeight="false" outlineLevel="0" collapsed="false">
      <c r="A6254" s="0" t="n">
        <f aca="false">B6254*1000+C6254</f>
        <v>84007</v>
      </c>
      <c r="B6254" s="0" t="n">
        <v>84</v>
      </c>
      <c r="C6254" s="0" t="n">
        <v>7</v>
      </c>
      <c r="D6254" s="0" t="n">
        <v>0</v>
      </c>
      <c r="E6254" s="0" t="n">
        <f aca="false">VLOOKUP(B6254,'Babblefish-APUMA'!$A$1:$B$86,2)</f>
        <v>92</v>
      </c>
      <c r="F6254" s="0" t="n">
        <f aca="false">IF(C6254&gt;1,IF(C6254&lt;99,VLOOKUP(C6254,'Babblefish-APUMA'!$A$1:$B$86,2),C6254),C6254)</f>
        <v>7</v>
      </c>
    </row>
    <row r="6255" customFormat="false" ht="12.75" hidden="false" customHeight="false" outlineLevel="0" collapsed="false">
      <c r="A6255" s="0" t="n">
        <f aca="false">B6255*1000+C6255</f>
        <v>84008</v>
      </c>
      <c r="B6255" s="0" t="n">
        <v>84</v>
      </c>
      <c r="C6255" s="0" t="n">
        <v>8</v>
      </c>
      <c r="D6255" s="0" t="n">
        <v>0</v>
      </c>
      <c r="E6255" s="0" t="n">
        <f aca="false">VLOOKUP(B6255,'Babblefish-APUMA'!$A$1:$B$86,2)</f>
        <v>92</v>
      </c>
      <c r="F6255" s="0" t="n">
        <f aca="false">IF(C6255&gt;1,IF(C6255&lt;99,VLOOKUP(C6255,'Babblefish-APUMA'!$A$1:$B$86,2),C6255),C6255)</f>
        <v>8</v>
      </c>
    </row>
    <row r="6256" customFormat="false" ht="12.75" hidden="false" customHeight="false" outlineLevel="0" collapsed="false">
      <c r="A6256" s="0" t="n">
        <f aca="false">B6256*1000+C6256</f>
        <v>84009</v>
      </c>
      <c r="B6256" s="0" t="n">
        <v>84</v>
      </c>
      <c r="C6256" s="0" t="n">
        <v>9</v>
      </c>
      <c r="D6256" s="0" t="n">
        <v>0</v>
      </c>
      <c r="E6256" s="0" t="n">
        <f aca="false">VLOOKUP(B6256,'Babblefish-APUMA'!$A$1:$B$86,2)</f>
        <v>92</v>
      </c>
      <c r="F6256" s="0" t="n">
        <f aca="false">IF(C6256&gt;1,IF(C6256&lt;99,VLOOKUP(C6256,'Babblefish-APUMA'!$A$1:$B$86,2),C6256),C6256)</f>
        <v>9</v>
      </c>
    </row>
    <row r="6257" customFormat="false" ht="12.75" hidden="false" customHeight="false" outlineLevel="0" collapsed="false">
      <c r="A6257" s="0" t="n">
        <f aca="false">B6257*1000+C6257</f>
        <v>84010</v>
      </c>
      <c r="B6257" s="0" t="n">
        <v>84</v>
      </c>
      <c r="C6257" s="0" t="n">
        <v>10</v>
      </c>
      <c r="D6257" s="0" t="n">
        <v>0</v>
      </c>
      <c r="E6257" s="0" t="n">
        <f aca="false">VLOOKUP(B6257,'Babblefish-APUMA'!$A$1:$B$86,2)</f>
        <v>92</v>
      </c>
      <c r="F6257" s="0" t="n">
        <f aca="false">IF(C6257&gt;1,IF(C6257&lt;99,VLOOKUP(C6257,'Babblefish-APUMA'!$A$1:$B$86,2),C6257),C6257)</f>
        <v>10</v>
      </c>
    </row>
    <row r="6258" customFormat="false" ht="12.75" hidden="false" customHeight="false" outlineLevel="0" collapsed="false">
      <c r="A6258" s="0" t="n">
        <f aca="false">B6258*1000+C6258</f>
        <v>84011</v>
      </c>
      <c r="B6258" s="0" t="n">
        <v>84</v>
      </c>
      <c r="C6258" s="0" t="n">
        <v>11</v>
      </c>
      <c r="D6258" s="0" t="n">
        <v>78</v>
      </c>
      <c r="E6258" s="0" t="n">
        <f aca="false">VLOOKUP(B6258,'Babblefish-APUMA'!$A$1:$B$86,2)</f>
        <v>92</v>
      </c>
      <c r="F6258" s="0" t="n">
        <f aca="false">IF(C6258&gt;1,IF(C6258&lt;99,VLOOKUP(C6258,'Babblefish-APUMA'!$A$1:$B$86,2),C6258),C6258)</f>
        <v>11</v>
      </c>
    </row>
    <row r="6259" customFormat="false" ht="12.75" hidden="false" customHeight="false" outlineLevel="0" collapsed="false">
      <c r="A6259" s="0" t="n">
        <f aca="false">B6259*1000+C6259</f>
        <v>84012</v>
      </c>
      <c r="B6259" s="0" t="n">
        <v>84</v>
      </c>
      <c r="C6259" s="0" t="n">
        <v>12</v>
      </c>
      <c r="D6259" s="0" t="n">
        <v>0</v>
      </c>
      <c r="E6259" s="0" t="n">
        <f aca="false">VLOOKUP(B6259,'Babblefish-APUMA'!$A$1:$B$86,2)</f>
        <v>92</v>
      </c>
      <c r="F6259" s="0" t="n">
        <f aca="false">IF(C6259&gt;1,IF(C6259&lt;99,VLOOKUP(C6259,'Babblefish-APUMA'!$A$1:$B$86,2),C6259),C6259)</f>
        <v>12</v>
      </c>
    </row>
    <row r="6260" customFormat="false" ht="12.75" hidden="false" customHeight="false" outlineLevel="0" collapsed="false">
      <c r="A6260" s="0" t="n">
        <f aca="false">B6260*1000+C6260</f>
        <v>84013</v>
      </c>
      <c r="B6260" s="0" t="n">
        <v>84</v>
      </c>
      <c r="C6260" s="0" t="n">
        <v>13</v>
      </c>
      <c r="D6260" s="0" t="n">
        <v>0</v>
      </c>
      <c r="E6260" s="0" t="n">
        <f aca="false">VLOOKUP(B6260,'Babblefish-APUMA'!$A$1:$B$86,2)</f>
        <v>92</v>
      </c>
      <c r="F6260" s="0" t="n">
        <f aca="false">IF(C6260&gt;1,IF(C6260&lt;99,VLOOKUP(C6260,'Babblefish-APUMA'!$A$1:$B$86,2),C6260),C6260)</f>
        <v>100</v>
      </c>
    </row>
    <row r="6261" customFormat="false" ht="12.75" hidden="false" customHeight="false" outlineLevel="0" collapsed="false">
      <c r="A6261" s="0" t="n">
        <f aca="false">B6261*1000+C6261</f>
        <v>84014</v>
      </c>
      <c r="B6261" s="0" t="n">
        <v>84</v>
      </c>
      <c r="C6261" s="0" t="n">
        <v>14</v>
      </c>
      <c r="D6261" s="0" t="n">
        <v>0</v>
      </c>
      <c r="E6261" s="0" t="n">
        <f aca="false">VLOOKUP(B6261,'Babblefish-APUMA'!$A$1:$B$86,2)</f>
        <v>92</v>
      </c>
      <c r="F6261" s="0" t="n">
        <f aca="false">IF(C6261&gt;1,IF(C6261&lt;99,VLOOKUP(C6261,'Babblefish-APUMA'!$A$1:$B$86,2),C6261),C6261)</f>
        <v>100</v>
      </c>
    </row>
    <row r="6262" customFormat="false" ht="12.75" hidden="false" customHeight="false" outlineLevel="0" collapsed="false">
      <c r="A6262" s="0" t="n">
        <f aca="false">B6262*1000+C6262</f>
        <v>84015</v>
      </c>
      <c r="B6262" s="0" t="n">
        <v>84</v>
      </c>
      <c r="C6262" s="0" t="n">
        <v>15</v>
      </c>
      <c r="D6262" s="0" t="n">
        <v>0</v>
      </c>
      <c r="E6262" s="0" t="n">
        <f aca="false">VLOOKUP(B6262,'Babblefish-APUMA'!$A$1:$B$86,2)</f>
        <v>92</v>
      </c>
      <c r="F6262" s="0" t="n">
        <f aca="false">IF(C6262&gt;1,IF(C6262&lt;99,VLOOKUP(C6262,'Babblefish-APUMA'!$A$1:$B$86,2),C6262),C6262)</f>
        <v>15</v>
      </c>
    </row>
    <row r="6263" customFormat="false" ht="12.75" hidden="false" customHeight="false" outlineLevel="0" collapsed="false">
      <c r="A6263" s="0" t="n">
        <f aca="false">B6263*1000+C6263</f>
        <v>84016</v>
      </c>
      <c r="B6263" s="0" t="n">
        <v>84</v>
      </c>
      <c r="C6263" s="0" t="n">
        <v>16</v>
      </c>
      <c r="D6263" s="0" t="n">
        <v>0</v>
      </c>
      <c r="E6263" s="0" t="n">
        <f aca="false">VLOOKUP(B6263,'Babblefish-APUMA'!$A$1:$B$86,2)</f>
        <v>92</v>
      </c>
      <c r="F6263" s="0" t="n">
        <f aca="false">IF(C6263&gt;1,IF(C6263&lt;99,VLOOKUP(C6263,'Babblefish-APUMA'!$A$1:$B$86,2),C6263),C6263)</f>
        <v>99</v>
      </c>
    </row>
    <row r="6264" customFormat="false" ht="12.75" hidden="false" customHeight="false" outlineLevel="0" collapsed="false">
      <c r="A6264" s="0" t="n">
        <f aca="false">B6264*1000+C6264</f>
        <v>84017</v>
      </c>
      <c r="B6264" s="0" t="n">
        <v>84</v>
      </c>
      <c r="C6264" s="0" t="n">
        <v>17</v>
      </c>
      <c r="D6264" s="0" t="n">
        <v>0</v>
      </c>
      <c r="E6264" s="0" t="n">
        <f aca="false">VLOOKUP(B6264,'Babblefish-APUMA'!$A$1:$B$86,2)</f>
        <v>92</v>
      </c>
      <c r="F6264" s="0" t="n">
        <f aca="false">IF(C6264&gt;1,IF(C6264&lt;99,VLOOKUP(C6264,'Babblefish-APUMA'!$A$1:$B$86,2),C6264),C6264)</f>
        <v>87</v>
      </c>
    </row>
    <row r="6265" customFormat="false" ht="12.75" hidden="false" customHeight="false" outlineLevel="0" collapsed="false">
      <c r="A6265" s="0" t="n">
        <f aca="false">B6265*1000+C6265</f>
        <v>84018</v>
      </c>
      <c r="B6265" s="0" t="n">
        <v>84</v>
      </c>
      <c r="C6265" s="0" t="n">
        <v>18</v>
      </c>
      <c r="D6265" s="0" t="n">
        <v>104</v>
      </c>
      <c r="E6265" s="0" t="n">
        <f aca="false">VLOOKUP(B6265,'Babblefish-APUMA'!$A$1:$B$86,2)</f>
        <v>92</v>
      </c>
      <c r="F6265" s="0" t="n">
        <f aca="false">IF(C6265&gt;1,IF(C6265&lt;99,VLOOKUP(C6265,'Babblefish-APUMA'!$A$1:$B$86,2),C6265),C6265)</f>
        <v>87</v>
      </c>
    </row>
    <row r="6266" customFormat="false" ht="12.75" hidden="false" customHeight="false" outlineLevel="0" collapsed="false">
      <c r="A6266" s="0" t="n">
        <f aca="false">B6266*1000+C6266</f>
        <v>84019</v>
      </c>
      <c r="B6266" s="0" t="n">
        <v>84</v>
      </c>
      <c r="C6266" s="0" t="n">
        <v>19</v>
      </c>
      <c r="D6266" s="0" t="n">
        <v>0</v>
      </c>
      <c r="E6266" s="0" t="n">
        <f aca="false">VLOOKUP(B6266,'Babblefish-APUMA'!$A$1:$B$86,2)</f>
        <v>92</v>
      </c>
      <c r="F6266" s="0" t="n">
        <f aca="false">IF(C6266&gt;1,IF(C6266&lt;99,VLOOKUP(C6266,'Babblefish-APUMA'!$A$1:$B$86,2),C6266),C6266)</f>
        <v>19</v>
      </c>
    </row>
    <row r="6267" customFormat="false" ht="12.75" hidden="false" customHeight="false" outlineLevel="0" collapsed="false">
      <c r="A6267" s="0" t="n">
        <f aca="false">B6267*1000+C6267</f>
        <v>84020</v>
      </c>
      <c r="B6267" s="0" t="n">
        <v>84</v>
      </c>
      <c r="C6267" s="0" t="n">
        <v>20</v>
      </c>
      <c r="D6267" s="0" t="n">
        <v>0</v>
      </c>
      <c r="E6267" s="0" t="n">
        <f aca="false">VLOOKUP(B6267,'Babblefish-APUMA'!$A$1:$B$86,2)</f>
        <v>92</v>
      </c>
      <c r="F6267" s="0" t="n">
        <f aca="false">IF(C6267&gt;1,IF(C6267&lt;99,VLOOKUP(C6267,'Babblefish-APUMA'!$A$1:$B$86,2),C6267),C6267)</f>
        <v>86</v>
      </c>
    </row>
    <row r="6268" customFormat="false" ht="12.75" hidden="false" customHeight="false" outlineLevel="0" collapsed="false">
      <c r="A6268" s="0" t="n">
        <f aca="false">B6268*1000+C6268</f>
        <v>84021</v>
      </c>
      <c r="B6268" s="0" t="n">
        <v>84</v>
      </c>
      <c r="C6268" s="0" t="n">
        <v>21</v>
      </c>
      <c r="D6268" s="0" t="n">
        <v>0</v>
      </c>
      <c r="E6268" s="0" t="n">
        <f aca="false">VLOOKUP(B6268,'Babblefish-APUMA'!$A$1:$B$86,2)</f>
        <v>92</v>
      </c>
      <c r="F6268" s="0" t="n">
        <f aca="false">IF(C6268&gt;1,IF(C6268&lt;99,VLOOKUP(C6268,'Babblefish-APUMA'!$A$1:$B$86,2),C6268),C6268)</f>
        <v>86</v>
      </c>
    </row>
    <row r="6269" customFormat="false" ht="12.75" hidden="false" customHeight="false" outlineLevel="0" collapsed="false">
      <c r="A6269" s="0" t="n">
        <f aca="false">B6269*1000+C6269</f>
        <v>84022</v>
      </c>
      <c r="B6269" s="0" t="n">
        <v>84</v>
      </c>
      <c r="C6269" s="0" t="n">
        <v>22</v>
      </c>
      <c r="D6269" s="0" t="n">
        <v>0</v>
      </c>
      <c r="E6269" s="0" t="n">
        <f aca="false">VLOOKUP(B6269,'Babblefish-APUMA'!$A$1:$B$86,2)</f>
        <v>92</v>
      </c>
      <c r="F6269" s="0" t="n">
        <f aca="false">IF(C6269&gt;1,IF(C6269&lt;99,VLOOKUP(C6269,'Babblefish-APUMA'!$A$1:$B$86,2),C6269),C6269)</f>
        <v>22</v>
      </c>
    </row>
    <row r="6270" customFormat="false" ht="12.75" hidden="false" customHeight="false" outlineLevel="0" collapsed="false">
      <c r="A6270" s="0" t="n">
        <f aca="false">B6270*1000+C6270</f>
        <v>84023</v>
      </c>
      <c r="B6270" s="0" t="n">
        <v>84</v>
      </c>
      <c r="C6270" s="0" t="n">
        <v>23</v>
      </c>
      <c r="D6270" s="0" t="n">
        <v>0</v>
      </c>
      <c r="E6270" s="0" t="n">
        <f aca="false">VLOOKUP(B6270,'Babblefish-APUMA'!$A$1:$B$86,2)</f>
        <v>92</v>
      </c>
      <c r="F6270" s="0" t="n">
        <f aca="false">IF(C6270&gt;1,IF(C6270&lt;99,VLOOKUP(C6270,'Babblefish-APUMA'!$A$1:$B$86,2),C6270),C6270)</f>
        <v>97</v>
      </c>
    </row>
    <row r="6271" customFormat="false" ht="12.75" hidden="false" customHeight="false" outlineLevel="0" collapsed="false">
      <c r="A6271" s="0" t="n">
        <f aca="false">B6271*1000+C6271</f>
        <v>84024</v>
      </c>
      <c r="B6271" s="0" t="n">
        <v>84</v>
      </c>
      <c r="C6271" s="0" t="n">
        <v>24</v>
      </c>
      <c r="D6271" s="0" t="n">
        <v>0</v>
      </c>
      <c r="E6271" s="0" t="n">
        <f aca="false">VLOOKUP(B6271,'Babblefish-APUMA'!$A$1:$B$86,2)</f>
        <v>92</v>
      </c>
      <c r="F6271" s="0" t="n">
        <f aca="false">IF(C6271&gt;1,IF(C6271&lt;99,VLOOKUP(C6271,'Babblefish-APUMA'!$A$1:$B$86,2),C6271),C6271)</f>
        <v>101</v>
      </c>
    </row>
    <row r="6272" customFormat="false" ht="12.75" hidden="false" customHeight="false" outlineLevel="0" collapsed="false">
      <c r="A6272" s="0" t="n">
        <f aca="false">B6272*1000+C6272</f>
        <v>84025</v>
      </c>
      <c r="B6272" s="0" t="n">
        <v>84</v>
      </c>
      <c r="C6272" s="0" t="n">
        <v>25</v>
      </c>
      <c r="D6272" s="0" t="n">
        <v>0</v>
      </c>
      <c r="E6272" s="0" t="n">
        <f aca="false">VLOOKUP(B6272,'Babblefish-APUMA'!$A$1:$B$86,2)</f>
        <v>92</v>
      </c>
      <c r="F6272" s="0" t="n">
        <f aca="false">IF(C6272&gt;1,IF(C6272&lt;99,VLOOKUP(C6272,'Babblefish-APUMA'!$A$1:$B$86,2),C6272),C6272)</f>
        <v>101</v>
      </c>
    </row>
    <row r="6273" customFormat="false" ht="12.75" hidden="false" customHeight="false" outlineLevel="0" collapsed="false">
      <c r="A6273" s="0" t="n">
        <f aca="false">B6273*1000+C6273</f>
        <v>84026</v>
      </c>
      <c r="B6273" s="0" t="n">
        <v>84</v>
      </c>
      <c r="C6273" s="0" t="n">
        <v>26</v>
      </c>
      <c r="D6273" s="0" t="n">
        <v>0</v>
      </c>
      <c r="E6273" s="0" t="n">
        <f aca="false">VLOOKUP(B6273,'Babblefish-APUMA'!$A$1:$B$86,2)</f>
        <v>92</v>
      </c>
      <c r="F6273" s="0" t="n">
        <f aca="false">IF(C6273&gt;1,IF(C6273&lt;99,VLOOKUP(C6273,'Babblefish-APUMA'!$A$1:$B$86,2),C6273),C6273)</f>
        <v>26</v>
      </c>
    </row>
    <row r="6274" customFormat="false" ht="12.75" hidden="false" customHeight="false" outlineLevel="0" collapsed="false">
      <c r="A6274" s="0" t="n">
        <f aca="false">B6274*1000+C6274</f>
        <v>84027</v>
      </c>
      <c r="B6274" s="0" t="n">
        <v>84</v>
      </c>
      <c r="C6274" s="0" t="n">
        <v>27</v>
      </c>
      <c r="D6274" s="0" t="n">
        <v>0</v>
      </c>
      <c r="E6274" s="0" t="n">
        <f aca="false">VLOOKUP(B6274,'Babblefish-APUMA'!$A$1:$B$86,2)</f>
        <v>92</v>
      </c>
      <c r="F6274" s="0" t="n">
        <f aca="false">IF(C6274&gt;1,IF(C6274&lt;99,VLOOKUP(C6274,'Babblefish-APUMA'!$A$1:$B$86,2),C6274),C6274)</f>
        <v>27</v>
      </c>
    </row>
    <row r="6275" customFormat="false" ht="12.75" hidden="false" customHeight="false" outlineLevel="0" collapsed="false">
      <c r="A6275" s="0" t="n">
        <f aca="false">B6275*1000+C6275</f>
        <v>84028</v>
      </c>
      <c r="B6275" s="0" t="n">
        <v>84</v>
      </c>
      <c r="C6275" s="0" t="n">
        <v>28</v>
      </c>
      <c r="D6275" s="0" t="n">
        <v>0</v>
      </c>
      <c r="E6275" s="0" t="n">
        <f aca="false">VLOOKUP(B6275,'Babblefish-APUMA'!$A$1:$B$86,2)</f>
        <v>92</v>
      </c>
      <c r="F6275" s="0" t="n">
        <f aca="false">IF(C6275&gt;1,IF(C6275&lt;99,VLOOKUP(C6275,'Babblefish-APUMA'!$A$1:$B$86,2),C6275),C6275)</f>
        <v>94</v>
      </c>
    </row>
    <row r="6276" customFormat="false" ht="12.75" hidden="false" customHeight="false" outlineLevel="0" collapsed="false">
      <c r="A6276" s="0" t="n">
        <f aca="false">B6276*1000+C6276</f>
        <v>84029</v>
      </c>
      <c r="B6276" s="0" t="n">
        <v>84</v>
      </c>
      <c r="C6276" s="0" t="n">
        <v>29</v>
      </c>
      <c r="D6276" s="0" t="n">
        <v>0</v>
      </c>
      <c r="E6276" s="0" t="n">
        <f aca="false">VLOOKUP(B6276,'Babblefish-APUMA'!$A$1:$B$86,2)</f>
        <v>92</v>
      </c>
      <c r="F6276" s="0" t="n">
        <f aca="false">IF(C6276&gt;1,IF(C6276&lt;99,VLOOKUP(C6276,'Babblefish-APUMA'!$A$1:$B$86,2),C6276),C6276)</f>
        <v>94</v>
      </c>
    </row>
    <row r="6277" customFormat="false" ht="12.75" hidden="false" customHeight="false" outlineLevel="0" collapsed="false">
      <c r="A6277" s="0" t="n">
        <f aca="false">B6277*1000+C6277</f>
        <v>84030</v>
      </c>
      <c r="B6277" s="0" t="n">
        <v>84</v>
      </c>
      <c r="C6277" s="0" t="n">
        <v>30</v>
      </c>
      <c r="D6277" s="0" t="n">
        <v>0</v>
      </c>
      <c r="E6277" s="0" t="n">
        <f aca="false">VLOOKUP(B6277,'Babblefish-APUMA'!$A$1:$B$86,2)</f>
        <v>92</v>
      </c>
      <c r="F6277" s="0" t="n">
        <f aca="false">IF(C6277&gt;1,IF(C6277&lt;99,VLOOKUP(C6277,'Babblefish-APUMA'!$A$1:$B$86,2),C6277),C6277)</f>
        <v>30</v>
      </c>
    </row>
    <row r="6278" customFormat="false" ht="12.75" hidden="false" customHeight="false" outlineLevel="0" collapsed="false">
      <c r="A6278" s="0" t="n">
        <f aca="false">B6278*1000+C6278</f>
        <v>84031</v>
      </c>
      <c r="B6278" s="0" t="n">
        <v>84</v>
      </c>
      <c r="C6278" s="0" t="n">
        <v>31</v>
      </c>
      <c r="D6278" s="0" t="n">
        <v>0</v>
      </c>
      <c r="E6278" s="0" t="n">
        <f aca="false">VLOOKUP(B6278,'Babblefish-APUMA'!$A$1:$B$86,2)</f>
        <v>92</v>
      </c>
      <c r="F6278" s="0" t="n">
        <f aca="false">IF(C6278&gt;1,IF(C6278&lt;99,VLOOKUP(C6278,'Babblefish-APUMA'!$A$1:$B$86,2),C6278),C6278)</f>
        <v>31</v>
      </c>
    </row>
    <row r="6279" customFormat="false" ht="12.75" hidden="false" customHeight="false" outlineLevel="0" collapsed="false">
      <c r="A6279" s="0" t="n">
        <f aca="false">B6279*1000+C6279</f>
        <v>84032</v>
      </c>
      <c r="B6279" s="0" t="n">
        <v>84</v>
      </c>
      <c r="C6279" s="0" t="n">
        <v>32</v>
      </c>
      <c r="D6279" s="0" t="n">
        <v>0</v>
      </c>
      <c r="E6279" s="0" t="n">
        <f aca="false">VLOOKUP(B6279,'Babblefish-APUMA'!$A$1:$B$86,2)</f>
        <v>92</v>
      </c>
      <c r="F6279" s="0" t="n">
        <f aca="false">IF(C6279&gt;1,IF(C6279&lt;99,VLOOKUP(C6279,'Babblefish-APUMA'!$A$1:$B$86,2),C6279),C6279)</f>
        <v>32</v>
      </c>
    </row>
    <row r="6280" customFormat="false" ht="12.75" hidden="false" customHeight="false" outlineLevel="0" collapsed="false">
      <c r="A6280" s="0" t="n">
        <f aca="false">B6280*1000+C6280</f>
        <v>84033</v>
      </c>
      <c r="B6280" s="0" t="n">
        <v>84</v>
      </c>
      <c r="C6280" s="0" t="n">
        <v>33</v>
      </c>
      <c r="D6280" s="0" t="n">
        <v>91</v>
      </c>
      <c r="E6280" s="0" t="n">
        <f aca="false">VLOOKUP(B6280,'Babblefish-APUMA'!$A$1:$B$86,2)</f>
        <v>92</v>
      </c>
      <c r="F6280" s="0" t="n">
        <f aca="false">IF(C6280&gt;1,IF(C6280&lt;99,VLOOKUP(C6280,'Babblefish-APUMA'!$A$1:$B$86,2),C6280),C6280)</f>
        <v>96</v>
      </c>
    </row>
    <row r="6281" customFormat="false" ht="12.75" hidden="false" customHeight="false" outlineLevel="0" collapsed="false">
      <c r="A6281" s="0" t="n">
        <f aca="false">B6281*1000+C6281</f>
        <v>84034</v>
      </c>
      <c r="B6281" s="0" t="n">
        <v>84</v>
      </c>
      <c r="C6281" s="0" t="n">
        <v>34</v>
      </c>
      <c r="D6281" s="0" t="n">
        <v>221</v>
      </c>
      <c r="E6281" s="0" t="n">
        <f aca="false">VLOOKUP(B6281,'Babblefish-APUMA'!$A$1:$B$86,2)</f>
        <v>92</v>
      </c>
      <c r="F6281" s="0" t="n">
        <f aca="false">IF(C6281&gt;1,IF(C6281&lt;99,VLOOKUP(C6281,'Babblefish-APUMA'!$A$1:$B$86,2),C6281),C6281)</f>
        <v>96</v>
      </c>
    </row>
    <row r="6282" customFormat="false" ht="12.75" hidden="false" customHeight="false" outlineLevel="0" collapsed="false">
      <c r="A6282" s="0" t="n">
        <f aca="false">B6282*1000+C6282</f>
        <v>84035</v>
      </c>
      <c r="B6282" s="0" t="n">
        <v>84</v>
      </c>
      <c r="C6282" s="0" t="n">
        <v>35</v>
      </c>
      <c r="D6282" s="0" t="n">
        <v>0</v>
      </c>
      <c r="E6282" s="0" t="n">
        <f aca="false">VLOOKUP(B6282,'Babblefish-APUMA'!$A$1:$B$86,2)</f>
        <v>92</v>
      </c>
      <c r="F6282" s="0" t="n">
        <f aca="false">IF(C6282&gt;1,IF(C6282&lt;99,VLOOKUP(C6282,'Babblefish-APUMA'!$A$1:$B$86,2),C6282),C6282)</f>
        <v>96</v>
      </c>
    </row>
    <row r="6283" customFormat="false" ht="12.75" hidden="false" customHeight="false" outlineLevel="0" collapsed="false">
      <c r="A6283" s="0" t="n">
        <f aca="false">B6283*1000+C6283</f>
        <v>84036</v>
      </c>
      <c r="B6283" s="0" t="n">
        <v>84</v>
      </c>
      <c r="C6283" s="0" t="n">
        <v>36</v>
      </c>
      <c r="D6283" s="0" t="n">
        <v>0</v>
      </c>
      <c r="E6283" s="0" t="n">
        <f aca="false">VLOOKUP(B6283,'Babblefish-APUMA'!$A$1:$B$86,2)</f>
        <v>92</v>
      </c>
      <c r="F6283" s="0" t="n">
        <f aca="false">IF(C6283&gt;1,IF(C6283&lt;99,VLOOKUP(C6283,'Babblefish-APUMA'!$A$1:$B$86,2),C6283),C6283)</f>
        <v>96</v>
      </c>
    </row>
    <row r="6284" customFormat="false" ht="12.75" hidden="false" customHeight="false" outlineLevel="0" collapsed="false">
      <c r="A6284" s="0" t="n">
        <f aca="false">B6284*1000+C6284</f>
        <v>84037</v>
      </c>
      <c r="B6284" s="0" t="n">
        <v>84</v>
      </c>
      <c r="C6284" s="0" t="n">
        <v>37</v>
      </c>
      <c r="D6284" s="0" t="n">
        <v>0</v>
      </c>
      <c r="E6284" s="0" t="n">
        <f aca="false">VLOOKUP(B6284,'Babblefish-APUMA'!$A$1:$B$86,2)</f>
        <v>92</v>
      </c>
      <c r="F6284" s="0" t="n">
        <f aca="false">IF(C6284&gt;1,IF(C6284&lt;99,VLOOKUP(C6284,'Babblefish-APUMA'!$A$1:$B$86,2),C6284),C6284)</f>
        <v>96</v>
      </c>
    </row>
    <row r="6285" customFormat="false" ht="12.75" hidden="false" customHeight="false" outlineLevel="0" collapsed="false">
      <c r="A6285" s="0" t="n">
        <f aca="false">B6285*1000+C6285</f>
        <v>84038</v>
      </c>
      <c r="B6285" s="0" t="n">
        <v>84</v>
      </c>
      <c r="C6285" s="0" t="n">
        <v>38</v>
      </c>
      <c r="D6285" s="0" t="n">
        <v>0</v>
      </c>
      <c r="E6285" s="0" t="n">
        <f aca="false">VLOOKUP(B6285,'Babblefish-APUMA'!$A$1:$B$86,2)</f>
        <v>92</v>
      </c>
      <c r="F6285" s="0" t="n">
        <f aca="false">IF(C6285&gt;1,IF(C6285&lt;99,VLOOKUP(C6285,'Babblefish-APUMA'!$A$1:$B$86,2),C6285),C6285)</f>
        <v>91</v>
      </c>
    </row>
    <row r="6286" customFormat="false" ht="12.75" hidden="false" customHeight="false" outlineLevel="0" collapsed="false">
      <c r="A6286" s="0" t="n">
        <f aca="false">B6286*1000+C6286</f>
        <v>84039</v>
      </c>
      <c r="B6286" s="0" t="n">
        <v>84</v>
      </c>
      <c r="C6286" s="0" t="n">
        <v>39</v>
      </c>
      <c r="D6286" s="0" t="n">
        <v>0</v>
      </c>
      <c r="E6286" s="0" t="n">
        <f aca="false">VLOOKUP(B6286,'Babblefish-APUMA'!$A$1:$B$86,2)</f>
        <v>92</v>
      </c>
      <c r="F6286" s="0" t="n">
        <f aca="false">IF(C6286&gt;1,IF(C6286&lt;99,VLOOKUP(C6286,'Babblefish-APUMA'!$A$1:$B$86,2),C6286),C6286)</f>
        <v>91</v>
      </c>
    </row>
    <row r="6287" customFormat="false" ht="12.75" hidden="false" customHeight="false" outlineLevel="0" collapsed="false">
      <c r="A6287" s="0" t="n">
        <f aca="false">B6287*1000+C6287</f>
        <v>84040</v>
      </c>
      <c r="B6287" s="0" t="n">
        <v>84</v>
      </c>
      <c r="C6287" s="0" t="n">
        <v>40</v>
      </c>
      <c r="D6287" s="0" t="n">
        <v>0</v>
      </c>
      <c r="E6287" s="0" t="n">
        <f aca="false">VLOOKUP(B6287,'Babblefish-APUMA'!$A$1:$B$86,2)</f>
        <v>92</v>
      </c>
      <c r="F6287" s="0" t="n">
        <f aca="false">IF(C6287&gt;1,IF(C6287&lt;99,VLOOKUP(C6287,'Babblefish-APUMA'!$A$1:$B$86,2),C6287),C6287)</f>
        <v>88</v>
      </c>
    </row>
    <row r="6288" customFormat="false" ht="12.75" hidden="false" customHeight="false" outlineLevel="0" collapsed="false">
      <c r="A6288" s="0" t="n">
        <f aca="false">B6288*1000+C6288</f>
        <v>84041</v>
      </c>
      <c r="B6288" s="0" t="n">
        <v>84</v>
      </c>
      <c r="C6288" s="0" t="n">
        <v>41</v>
      </c>
      <c r="D6288" s="0" t="n">
        <v>0</v>
      </c>
      <c r="E6288" s="0" t="n">
        <f aca="false">VLOOKUP(B6288,'Babblefish-APUMA'!$A$1:$B$86,2)</f>
        <v>92</v>
      </c>
      <c r="F6288" s="0" t="n">
        <f aca="false">IF(C6288&gt;1,IF(C6288&lt;99,VLOOKUP(C6288,'Babblefish-APUMA'!$A$1:$B$86,2),C6288),C6288)</f>
        <v>88</v>
      </c>
    </row>
    <row r="6289" customFormat="false" ht="12.75" hidden="false" customHeight="false" outlineLevel="0" collapsed="false">
      <c r="A6289" s="0" t="n">
        <f aca="false">B6289*1000+C6289</f>
        <v>84042</v>
      </c>
      <c r="B6289" s="0" t="n">
        <v>84</v>
      </c>
      <c r="C6289" s="0" t="n">
        <v>42</v>
      </c>
      <c r="D6289" s="0" t="n">
        <v>10348</v>
      </c>
      <c r="E6289" s="0" t="n">
        <f aca="false">VLOOKUP(B6289,'Babblefish-APUMA'!$A$1:$B$86,2)</f>
        <v>92</v>
      </c>
      <c r="F6289" s="0" t="n">
        <f aca="false">IF(C6289&gt;1,IF(C6289&lt;99,VLOOKUP(C6289,'Babblefish-APUMA'!$A$1:$B$86,2),C6289),C6289)</f>
        <v>92</v>
      </c>
    </row>
    <row r="6290" customFormat="false" ht="12.75" hidden="false" customHeight="false" outlineLevel="0" collapsed="false">
      <c r="A6290" s="0" t="n">
        <f aca="false">B6290*1000+C6290</f>
        <v>84043</v>
      </c>
      <c r="B6290" s="0" t="n">
        <v>84</v>
      </c>
      <c r="C6290" s="0" t="n">
        <v>43</v>
      </c>
      <c r="D6290" s="0" t="n">
        <v>455</v>
      </c>
      <c r="E6290" s="0" t="n">
        <f aca="false">VLOOKUP(B6290,'Babblefish-APUMA'!$A$1:$B$86,2)</f>
        <v>92</v>
      </c>
      <c r="F6290" s="0" t="n">
        <f aca="false">IF(C6290&gt;1,IF(C6290&lt;99,VLOOKUP(C6290,'Babblefish-APUMA'!$A$1:$B$86,2),C6290),C6290)</f>
        <v>92</v>
      </c>
    </row>
    <row r="6291" customFormat="false" ht="12.75" hidden="false" customHeight="false" outlineLevel="0" collapsed="false">
      <c r="A6291" s="0" t="n">
        <f aca="false">B6291*1000+C6291</f>
        <v>84044</v>
      </c>
      <c r="B6291" s="0" t="n">
        <v>84</v>
      </c>
      <c r="C6291" s="0" t="n">
        <v>44</v>
      </c>
      <c r="D6291" s="0" t="n">
        <v>559</v>
      </c>
      <c r="E6291" s="0" t="n">
        <f aca="false">VLOOKUP(B6291,'Babblefish-APUMA'!$A$1:$B$86,2)</f>
        <v>92</v>
      </c>
      <c r="F6291" s="0" t="n">
        <f aca="false">IF(C6291&gt;1,IF(C6291&lt;99,VLOOKUP(C6291,'Babblefish-APUMA'!$A$1:$B$86,2),C6291),C6291)</f>
        <v>92</v>
      </c>
    </row>
    <row r="6292" customFormat="false" ht="12.75" hidden="false" customHeight="false" outlineLevel="0" collapsed="false">
      <c r="A6292" s="0" t="n">
        <f aca="false">B6292*1000+C6292</f>
        <v>84045</v>
      </c>
      <c r="B6292" s="0" t="n">
        <v>84</v>
      </c>
      <c r="C6292" s="0" t="n">
        <v>45</v>
      </c>
      <c r="D6292" s="0" t="n">
        <v>676</v>
      </c>
      <c r="E6292" s="0" t="n">
        <f aca="false">VLOOKUP(B6292,'Babblefish-APUMA'!$A$1:$B$86,2)</f>
        <v>92</v>
      </c>
      <c r="F6292" s="0" t="n">
        <f aca="false">IF(C6292&gt;1,IF(C6292&lt;99,VLOOKUP(C6292,'Babblefish-APUMA'!$A$1:$B$86,2),C6292),C6292)</f>
        <v>92</v>
      </c>
    </row>
    <row r="6293" customFormat="false" ht="12.75" hidden="false" customHeight="false" outlineLevel="0" collapsed="false">
      <c r="A6293" s="0" t="n">
        <f aca="false">B6293*1000+C6293</f>
        <v>84046</v>
      </c>
      <c r="B6293" s="0" t="n">
        <v>84</v>
      </c>
      <c r="C6293" s="0" t="n">
        <v>46</v>
      </c>
      <c r="D6293" s="0" t="n">
        <v>1300</v>
      </c>
      <c r="E6293" s="0" t="n">
        <f aca="false">VLOOKUP(B6293,'Babblefish-APUMA'!$A$1:$B$86,2)</f>
        <v>92</v>
      </c>
      <c r="F6293" s="0" t="n">
        <f aca="false">IF(C6293&gt;1,IF(C6293&lt;99,VLOOKUP(C6293,'Babblefish-APUMA'!$A$1:$B$86,2),C6293),C6293)</f>
        <v>92</v>
      </c>
    </row>
    <row r="6294" customFormat="false" ht="12.75" hidden="false" customHeight="false" outlineLevel="0" collapsed="false">
      <c r="A6294" s="0" t="n">
        <f aca="false">B6294*1000+C6294</f>
        <v>84047</v>
      </c>
      <c r="B6294" s="0" t="n">
        <v>84</v>
      </c>
      <c r="C6294" s="0" t="n">
        <v>47</v>
      </c>
      <c r="D6294" s="0" t="n">
        <v>4719</v>
      </c>
      <c r="E6294" s="0" t="n">
        <f aca="false">VLOOKUP(B6294,'Babblefish-APUMA'!$A$1:$B$86,2)</f>
        <v>92</v>
      </c>
      <c r="F6294" s="0" t="n">
        <f aca="false">IF(C6294&gt;1,IF(C6294&lt;99,VLOOKUP(C6294,'Babblefish-APUMA'!$A$1:$B$86,2),C6294),C6294)</f>
        <v>92</v>
      </c>
    </row>
    <row r="6295" customFormat="false" ht="12.75" hidden="false" customHeight="false" outlineLevel="0" collapsed="false">
      <c r="A6295" s="0" t="n">
        <f aca="false">B6295*1000+C6295</f>
        <v>84048</v>
      </c>
      <c r="B6295" s="0" t="n">
        <v>84</v>
      </c>
      <c r="C6295" s="0" t="n">
        <v>48</v>
      </c>
      <c r="D6295" s="0" t="n">
        <v>52455</v>
      </c>
      <c r="E6295" s="0" t="n">
        <f aca="false">VLOOKUP(B6295,'Babblefish-APUMA'!$A$1:$B$86,2)</f>
        <v>92</v>
      </c>
      <c r="F6295" s="0" t="n">
        <f aca="false">IF(C6295&gt;1,IF(C6295&lt;99,VLOOKUP(C6295,'Babblefish-APUMA'!$A$1:$B$86,2),C6295),C6295)</f>
        <v>92</v>
      </c>
    </row>
    <row r="6296" customFormat="false" ht="12.75" hidden="false" customHeight="false" outlineLevel="0" collapsed="false">
      <c r="A6296" s="0" t="n">
        <f aca="false">B6296*1000+C6296</f>
        <v>84049</v>
      </c>
      <c r="B6296" s="0" t="n">
        <v>84</v>
      </c>
      <c r="C6296" s="0" t="n">
        <v>49</v>
      </c>
      <c r="D6296" s="0" t="n">
        <v>0</v>
      </c>
      <c r="E6296" s="0" t="n">
        <f aca="false">VLOOKUP(B6296,'Babblefish-APUMA'!$A$1:$B$86,2)</f>
        <v>92</v>
      </c>
      <c r="F6296" s="0" t="n">
        <f aca="false">IF(C6296&gt;1,IF(C6296&lt;99,VLOOKUP(C6296,'Babblefish-APUMA'!$A$1:$B$86,2),C6296),C6296)</f>
        <v>98</v>
      </c>
    </row>
    <row r="6297" customFormat="false" ht="12.75" hidden="false" customHeight="false" outlineLevel="0" collapsed="false">
      <c r="A6297" s="0" t="n">
        <f aca="false">B6297*1000+C6297</f>
        <v>84050</v>
      </c>
      <c r="B6297" s="0" t="n">
        <v>84</v>
      </c>
      <c r="C6297" s="0" t="n">
        <v>50</v>
      </c>
      <c r="D6297" s="0" t="n">
        <v>0</v>
      </c>
      <c r="E6297" s="0" t="n">
        <f aca="false">VLOOKUP(B6297,'Babblefish-APUMA'!$A$1:$B$86,2)</f>
        <v>92</v>
      </c>
      <c r="F6297" s="0" t="n">
        <f aca="false">IF(C6297&gt;1,IF(C6297&lt;99,VLOOKUP(C6297,'Babblefish-APUMA'!$A$1:$B$86,2),C6297),C6297)</f>
        <v>98</v>
      </c>
    </row>
    <row r="6298" customFormat="false" ht="12.75" hidden="false" customHeight="false" outlineLevel="0" collapsed="false">
      <c r="A6298" s="0" t="n">
        <f aca="false">B6298*1000+C6298</f>
        <v>84051</v>
      </c>
      <c r="B6298" s="0" t="n">
        <v>84</v>
      </c>
      <c r="C6298" s="0" t="n">
        <v>51</v>
      </c>
      <c r="D6298" s="0" t="n">
        <v>0</v>
      </c>
      <c r="E6298" s="0" t="n">
        <f aca="false">VLOOKUP(B6298,'Babblefish-APUMA'!$A$1:$B$86,2)</f>
        <v>92</v>
      </c>
      <c r="F6298" s="0" t="n">
        <f aca="false">IF(C6298&gt;1,IF(C6298&lt;99,VLOOKUP(C6298,'Babblefish-APUMA'!$A$1:$B$86,2),C6298),C6298)</f>
        <v>98</v>
      </c>
    </row>
    <row r="6299" customFormat="false" ht="12.75" hidden="false" customHeight="false" outlineLevel="0" collapsed="false">
      <c r="A6299" s="0" t="n">
        <f aca="false">B6299*1000+C6299</f>
        <v>84052</v>
      </c>
      <c r="B6299" s="0" t="n">
        <v>84</v>
      </c>
      <c r="C6299" s="0" t="n">
        <v>52</v>
      </c>
      <c r="D6299" s="0" t="n">
        <v>65</v>
      </c>
      <c r="E6299" s="0" t="n">
        <f aca="false">VLOOKUP(B6299,'Babblefish-APUMA'!$A$1:$B$86,2)</f>
        <v>92</v>
      </c>
      <c r="F6299" s="0" t="n">
        <f aca="false">IF(C6299&gt;1,IF(C6299&lt;99,VLOOKUP(C6299,'Babblefish-APUMA'!$A$1:$B$86,2),C6299),C6299)</f>
        <v>90</v>
      </c>
    </row>
    <row r="6300" customFormat="false" ht="12.75" hidden="false" customHeight="false" outlineLevel="0" collapsed="false">
      <c r="A6300" s="0" t="n">
        <f aca="false">B6300*1000+C6300</f>
        <v>84053</v>
      </c>
      <c r="B6300" s="0" t="n">
        <v>84</v>
      </c>
      <c r="C6300" s="0" t="n">
        <v>53</v>
      </c>
      <c r="D6300" s="0" t="n">
        <v>91</v>
      </c>
      <c r="E6300" s="0" t="n">
        <f aca="false">VLOOKUP(B6300,'Babblefish-APUMA'!$A$1:$B$86,2)</f>
        <v>92</v>
      </c>
      <c r="F6300" s="0" t="n">
        <f aca="false">IF(C6300&gt;1,IF(C6300&lt;99,VLOOKUP(C6300,'Babblefish-APUMA'!$A$1:$B$86,2),C6300),C6300)</f>
        <v>90</v>
      </c>
    </row>
    <row r="6301" customFormat="false" ht="12.75" hidden="false" customHeight="false" outlineLevel="0" collapsed="false">
      <c r="A6301" s="0" t="n">
        <f aca="false">B6301*1000+C6301</f>
        <v>84054</v>
      </c>
      <c r="B6301" s="0" t="n">
        <v>84</v>
      </c>
      <c r="C6301" s="0" t="n">
        <v>54</v>
      </c>
      <c r="D6301" s="0" t="n">
        <v>247</v>
      </c>
      <c r="E6301" s="0" t="n">
        <f aca="false">VLOOKUP(B6301,'Babblefish-APUMA'!$A$1:$B$86,2)</f>
        <v>92</v>
      </c>
      <c r="F6301" s="0" t="n">
        <f aca="false">IF(C6301&gt;1,IF(C6301&lt;99,VLOOKUP(C6301,'Babblefish-APUMA'!$A$1:$B$86,2),C6301),C6301)</f>
        <v>90</v>
      </c>
    </row>
    <row r="6302" customFormat="false" ht="12.75" hidden="false" customHeight="false" outlineLevel="0" collapsed="false">
      <c r="A6302" s="0" t="n">
        <f aca="false">B6302*1000+C6302</f>
        <v>84055</v>
      </c>
      <c r="B6302" s="0" t="n">
        <v>84</v>
      </c>
      <c r="C6302" s="0" t="n">
        <v>55</v>
      </c>
      <c r="D6302" s="0" t="n">
        <v>520</v>
      </c>
      <c r="E6302" s="0" t="n">
        <f aca="false">VLOOKUP(B6302,'Babblefish-APUMA'!$A$1:$B$86,2)</f>
        <v>92</v>
      </c>
      <c r="F6302" s="0" t="n">
        <f aca="false">IF(C6302&gt;1,IF(C6302&lt;99,VLOOKUP(C6302,'Babblefish-APUMA'!$A$1:$B$86,2),C6302),C6302)</f>
        <v>90</v>
      </c>
    </row>
    <row r="6303" customFormat="false" ht="12.75" hidden="false" customHeight="false" outlineLevel="0" collapsed="false">
      <c r="A6303" s="0" t="n">
        <f aca="false">B6303*1000+C6303</f>
        <v>84056</v>
      </c>
      <c r="B6303" s="0" t="n">
        <v>84</v>
      </c>
      <c r="C6303" s="0" t="n">
        <v>56</v>
      </c>
      <c r="D6303" s="0" t="n">
        <v>104</v>
      </c>
      <c r="E6303" s="0" t="n">
        <f aca="false">VLOOKUP(B6303,'Babblefish-APUMA'!$A$1:$B$86,2)</f>
        <v>92</v>
      </c>
      <c r="F6303" s="0" t="n">
        <f aca="false">IF(C6303&gt;1,IF(C6303&lt;99,VLOOKUP(C6303,'Babblefish-APUMA'!$A$1:$B$86,2),C6303),C6303)</f>
        <v>90</v>
      </c>
    </row>
    <row r="6304" customFormat="false" ht="12.75" hidden="false" customHeight="false" outlineLevel="0" collapsed="false">
      <c r="A6304" s="0" t="n">
        <f aca="false">B6304*1000+C6304</f>
        <v>84057</v>
      </c>
      <c r="B6304" s="0" t="n">
        <v>84</v>
      </c>
      <c r="C6304" s="0" t="n">
        <v>57</v>
      </c>
      <c r="D6304" s="0" t="n">
        <v>325</v>
      </c>
      <c r="E6304" s="0" t="n">
        <f aca="false">VLOOKUP(B6304,'Babblefish-APUMA'!$A$1:$B$86,2)</f>
        <v>92</v>
      </c>
      <c r="F6304" s="0" t="n">
        <f aca="false">IF(C6304&gt;1,IF(C6304&lt;99,VLOOKUP(C6304,'Babblefish-APUMA'!$A$1:$B$86,2),C6304),C6304)</f>
        <v>90</v>
      </c>
    </row>
    <row r="6305" customFormat="false" ht="12.75" hidden="false" customHeight="false" outlineLevel="0" collapsed="false">
      <c r="A6305" s="0" t="n">
        <f aca="false">B6305*1000+C6305</f>
        <v>84058</v>
      </c>
      <c r="B6305" s="0" t="n">
        <v>84</v>
      </c>
      <c r="C6305" s="0" t="n">
        <v>58</v>
      </c>
      <c r="D6305" s="0" t="n">
        <v>78</v>
      </c>
      <c r="E6305" s="0" t="n">
        <f aca="false">VLOOKUP(B6305,'Babblefish-APUMA'!$A$1:$B$86,2)</f>
        <v>92</v>
      </c>
      <c r="F6305" s="0" t="n">
        <f aca="false">IF(C6305&gt;1,IF(C6305&lt;99,VLOOKUP(C6305,'Babblefish-APUMA'!$A$1:$B$86,2),C6305),C6305)</f>
        <v>90</v>
      </c>
    </row>
    <row r="6306" customFormat="false" ht="12.75" hidden="false" customHeight="false" outlineLevel="0" collapsed="false">
      <c r="A6306" s="0" t="n">
        <f aca="false">B6306*1000+C6306</f>
        <v>84059</v>
      </c>
      <c r="B6306" s="0" t="n">
        <v>84</v>
      </c>
      <c r="C6306" s="0" t="n">
        <v>59</v>
      </c>
      <c r="D6306" s="0" t="n">
        <v>234</v>
      </c>
      <c r="E6306" s="0" t="n">
        <f aca="false">VLOOKUP(B6306,'Babblefish-APUMA'!$A$1:$B$86,2)</f>
        <v>92</v>
      </c>
      <c r="F6306" s="0" t="n">
        <f aca="false">IF(C6306&gt;1,IF(C6306&lt;99,VLOOKUP(C6306,'Babblefish-APUMA'!$A$1:$B$86,2),C6306),C6306)</f>
        <v>90</v>
      </c>
    </row>
    <row r="6307" customFormat="false" ht="12.75" hidden="false" customHeight="false" outlineLevel="0" collapsed="false">
      <c r="A6307" s="0" t="n">
        <f aca="false">B6307*1000+C6307</f>
        <v>84060</v>
      </c>
      <c r="B6307" s="0" t="n">
        <v>84</v>
      </c>
      <c r="C6307" s="0" t="n">
        <v>60</v>
      </c>
      <c r="D6307" s="0" t="n">
        <v>351</v>
      </c>
      <c r="E6307" s="0" t="n">
        <f aca="false">VLOOKUP(B6307,'Babblefish-APUMA'!$A$1:$B$86,2)</f>
        <v>92</v>
      </c>
      <c r="F6307" s="0" t="n">
        <f aca="false">IF(C6307&gt;1,IF(C6307&lt;99,VLOOKUP(C6307,'Babblefish-APUMA'!$A$1:$B$86,2),C6307),C6307)</f>
        <v>90</v>
      </c>
    </row>
    <row r="6308" customFormat="false" ht="12.75" hidden="false" customHeight="false" outlineLevel="0" collapsed="false">
      <c r="A6308" s="0" t="n">
        <f aca="false">B6308*1000+C6308</f>
        <v>84061</v>
      </c>
      <c r="B6308" s="0" t="n">
        <v>84</v>
      </c>
      <c r="C6308" s="0" t="n">
        <v>61</v>
      </c>
      <c r="D6308" s="0" t="n">
        <v>182</v>
      </c>
      <c r="E6308" s="0" t="n">
        <f aca="false">VLOOKUP(B6308,'Babblefish-APUMA'!$A$1:$B$86,2)</f>
        <v>92</v>
      </c>
      <c r="F6308" s="0" t="n">
        <f aca="false">IF(C6308&gt;1,IF(C6308&lt;99,VLOOKUP(C6308,'Babblefish-APUMA'!$A$1:$B$86,2),C6308),C6308)</f>
        <v>90</v>
      </c>
    </row>
    <row r="6309" customFormat="false" ht="12.75" hidden="false" customHeight="false" outlineLevel="0" collapsed="false">
      <c r="A6309" s="0" t="n">
        <f aca="false">B6309*1000+C6309</f>
        <v>84062</v>
      </c>
      <c r="B6309" s="0" t="n">
        <v>84</v>
      </c>
      <c r="C6309" s="0" t="n">
        <v>62</v>
      </c>
      <c r="D6309" s="0" t="n">
        <v>0</v>
      </c>
      <c r="E6309" s="0" t="n">
        <f aca="false">VLOOKUP(B6309,'Babblefish-APUMA'!$A$1:$B$86,2)</f>
        <v>92</v>
      </c>
      <c r="F6309" s="0" t="n">
        <f aca="false">IF(C6309&gt;1,IF(C6309&lt;99,VLOOKUP(C6309,'Babblefish-APUMA'!$A$1:$B$86,2),C6309),C6309)</f>
        <v>90</v>
      </c>
    </row>
    <row r="6310" customFormat="false" ht="12.75" hidden="false" customHeight="false" outlineLevel="0" collapsed="false">
      <c r="A6310" s="0" t="n">
        <f aca="false">B6310*1000+C6310</f>
        <v>84063</v>
      </c>
      <c r="B6310" s="0" t="n">
        <v>84</v>
      </c>
      <c r="C6310" s="0" t="n">
        <v>63</v>
      </c>
      <c r="D6310" s="0" t="n">
        <v>0</v>
      </c>
      <c r="E6310" s="0" t="n">
        <f aca="false">VLOOKUP(B6310,'Babblefish-APUMA'!$A$1:$B$86,2)</f>
        <v>92</v>
      </c>
      <c r="F6310" s="0" t="n">
        <f aca="false">IF(C6310&gt;1,IF(C6310&lt;99,VLOOKUP(C6310,'Babblefish-APUMA'!$A$1:$B$86,2),C6310),C6310)</f>
        <v>90</v>
      </c>
    </row>
    <row r="6311" customFormat="false" ht="12.75" hidden="false" customHeight="false" outlineLevel="0" collapsed="false">
      <c r="A6311" s="0" t="n">
        <f aca="false">B6311*1000+C6311</f>
        <v>84064</v>
      </c>
      <c r="B6311" s="0" t="n">
        <v>84</v>
      </c>
      <c r="C6311" s="0" t="n">
        <v>64</v>
      </c>
      <c r="D6311" s="0" t="n">
        <v>11219</v>
      </c>
      <c r="E6311" s="0" t="n">
        <f aca="false">VLOOKUP(B6311,'Babblefish-APUMA'!$A$1:$B$86,2)</f>
        <v>92</v>
      </c>
      <c r="F6311" s="0" t="n">
        <f aca="false">IF(C6311&gt;1,IF(C6311&lt;99,VLOOKUP(C6311,'Babblefish-APUMA'!$A$1:$B$86,2),C6311),C6311)</f>
        <v>90</v>
      </c>
    </row>
    <row r="6312" customFormat="false" ht="12.75" hidden="false" customHeight="false" outlineLevel="0" collapsed="false">
      <c r="A6312" s="0" t="n">
        <f aca="false">B6312*1000+C6312</f>
        <v>84065</v>
      </c>
      <c r="B6312" s="0" t="n">
        <v>84</v>
      </c>
      <c r="C6312" s="0" t="n">
        <v>65</v>
      </c>
      <c r="D6312" s="0" t="n">
        <v>3952</v>
      </c>
      <c r="E6312" s="0" t="n">
        <f aca="false">VLOOKUP(B6312,'Babblefish-APUMA'!$A$1:$B$86,2)</f>
        <v>92</v>
      </c>
      <c r="F6312" s="0" t="n">
        <f aca="false">IF(C6312&gt;1,IF(C6312&lt;99,VLOOKUP(C6312,'Babblefish-APUMA'!$A$1:$B$86,2),C6312),C6312)</f>
        <v>90</v>
      </c>
    </row>
    <row r="6313" customFormat="false" ht="12.75" hidden="false" customHeight="false" outlineLevel="0" collapsed="false">
      <c r="A6313" s="0" t="n">
        <f aca="false">B6313*1000+C6313</f>
        <v>84066</v>
      </c>
      <c r="B6313" s="0" t="n">
        <v>84</v>
      </c>
      <c r="C6313" s="0" t="n">
        <v>66</v>
      </c>
      <c r="D6313" s="0" t="n">
        <v>3120</v>
      </c>
      <c r="E6313" s="0" t="n">
        <f aca="false">VLOOKUP(B6313,'Babblefish-APUMA'!$A$1:$B$86,2)</f>
        <v>92</v>
      </c>
      <c r="F6313" s="0" t="n">
        <f aca="false">IF(C6313&gt;1,IF(C6313&lt;99,VLOOKUP(C6313,'Babblefish-APUMA'!$A$1:$B$86,2),C6313),C6313)</f>
        <v>90</v>
      </c>
    </row>
    <row r="6314" customFormat="false" ht="12.75" hidden="false" customHeight="false" outlineLevel="0" collapsed="false">
      <c r="A6314" s="0" t="n">
        <f aca="false">B6314*1000+C6314</f>
        <v>84067</v>
      </c>
      <c r="B6314" s="0" t="n">
        <v>84</v>
      </c>
      <c r="C6314" s="0" t="n">
        <v>67</v>
      </c>
      <c r="D6314" s="0" t="n">
        <v>143</v>
      </c>
      <c r="E6314" s="0" t="n">
        <f aca="false">VLOOKUP(B6314,'Babblefish-APUMA'!$A$1:$B$86,2)</f>
        <v>92</v>
      </c>
      <c r="F6314" s="0" t="n">
        <f aca="false">IF(C6314&gt;1,IF(C6314&lt;99,VLOOKUP(C6314,'Babblefish-APUMA'!$A$1:$B$86,2),C6314),C6314)</f>
        <v>103</v>
      </c>
    </row>
    <row r="6315" customFormat="false" ht="12.75" hidden="false" customHeight="false" outlineLevel="0" collapsed="false">
      <c r="A6315" s="0" t="n">
        <f aca="false">B6315*1000+C6315</f>
        <v>84068</v>
      </c>
      <c r="B6315" s="0" t="n">
        <v>84</v>
      </c>
      <c r="C6315" s="0" t="n">
        <v>68</v>
      </c>
      <c r="D6315" s="0" t="n">
        <v>0</v>
      </c>
      <c r="E6315" s="0" t="n">
        <f aca="false">VLOOKUP(B6315,'Babblefish-APUMA'!$A$1:$B$86,2)</f>
        <v>92</v>
      </c>
      <c r="F6315" s="0" t="n">
        <f aca="false">IF(C6315&gt;1,IF(C6315&lt;99,VLOOKUP(C6315,'Babblefish-APUMA'!$A$1:$B$86,2),C6315),C6315)</f>
        <v>93</v>
      </c>
    </row>
    <row r="6316" customFormat="false" ht="12.75" hidden="false" customHeight="false" outlineLevel="0" collapsed="false">
      <c r="A6316" s="0" t="n">
        <f aca="false">B6316*1000+C6316</f>
        <v>84069</v>
      </c>
      <c r="B6316" s="0" t="n">
        <v>84</v>
      </c>
      <c r="C6316" s="0" t="n">
        <v>69</v>
      </c>
      <c r="D6316" s="0" t="n">
        <v>611</v>
      </c>
      <c r="E6316" s="0" t="n">
        <f aca="false">VLOOKUP(B6316,'Babblefish-APUMA'!$A$1:$B$86,2)</f>
        <v>92</v>
      </c>
      <c r="F6316" s="0" t="n">
        <f aca="false">IF(C6316&gt;1,IF(C6316&lt;99,VLOOKUP(C6316,'Babblefish-APUMA'!$A$1:$B$86,2),C6316),C6316)</f>
        <v>93</v>
      </c>
    </row>
    <row r="6317" customFormat="false" ht="12.75" hidden="false" customHeight="false" outlineLevel="0" collapsed="false">
      <c r="A6317" s="0" t="n">
        <f aca="false">B6317*1000+C6317</f>
        <v>84070</v>
      </c>
      <c r="B6317" s="0" t="n">
        <v>84</v>
      </c>
      <c r="C6317" s="0" t="n">
        <v>70</v>
      </c>
      <c r="D6317" s="0" t="n">
        <v>0</v>
      </c>
      <c r="E6317" s="0" t="n">
        <f aca="false">VLOOKUP(B6317,'Babblefish-APUMA'!$A$1:$B$86,2)</f>
        <v>92</v>
      </c>
      <c r="F6317" s="0" t="n">
        <f aca="false">IF(C6317&gt;1,IF(C6317&lt;99,VLOOKUP(C6317,'Babblefish-APUMA'!$A$1:$B$86,2),C6317),C6317)</f>
        <v>95</v>
      </c>
    </row>
    <row r="6318" customFormat="false" ht="12.75" hidden="false" customHeight="false" outlineLevel="0" collapsed="false">
      <c r="A6318" s="0" t="n">
        <f aca="false">B6318*1000+C6318</f>
        <v>84071</v>
      </c>
      <c r="B6318" s="0" t="n">
        <v>84</v>
      </c>
      <c r="C6318" s="0" t="n">
        <v>71</v>
      </c>
      <c r="D6318" s="0" t="n">
        <v>442</v>
      </c>
      <c r="E6318" s="0" t="n">
        <f aca="false">VLOOKUP(B6318,'Babblefish-APUMA'!$A$1:$B$86,2)</f>
        <v>92</v>
      </c>
      <c r="F6318" s="0" t="n">
        <f aca="false">IF(C6318&gt;1,IF(C6318&lt;99,VLOOKUP(C6318,'Babblefish-APUMA'!$A$1:$B$86,2),C6318),C6318)</f>
        <v>95</v>
      </c>
    </row>
    <row r="6319" customFormat="false" ht="12.75" hidden="false" customHeight="false" outlineLevel="0" collapsed="false">
      <c r="A6319" s="0" t="n">
        <f aca="false">B6319*1000+C6319</f>
        <v>84072</v>
      </c>
      <c r="B6319" s="0" t="n">
        <v>84</v>
      </c>
      <c r="C6319" s="0" t="n">
        <v>72</v>
      </c>
      <c r="D6319" s="0" t="n">
        <v>663</v>
      </c>
      <c r="E6319" s="0" t="n">
        <f aca="false">VLOOKUP(B6319,'Babblefish-APUMA'!$A$1:$B$86,2)</f>
        <v>92</v>
      </c>
      <c r="F6319" s="0" t="n">
        <f aca="false">IF(C6319&gt;1,IF(C6319&lt;99,VLOOKUP(C6319,'Babblefish-APUMA'!$A$1:$B$86,2),C6319),C6319)</f>
        <v>95</v>
      </c>
    </row>
    <row r="6320" customFormat="false" ht="12.75" hidden="false" customHeight="false" outlineLevel="0" collapsed="false">
      <c r="A6320" s="0" t="n">
        <f aca="false">B6320*1000+C6320</f>
        <v>84073</v>
      </c>
      <c r="B6320" s="0" t="n">
        <v>84</v>
      </c>
      <c r="C6320" s="0" t="n">
        <v>73</v>
      </c>
      <c r="D6320" s="0" t="n">
        <v>0</v>
      </c>
      <c r="E6320" s="0" t="n">
        <f aca="false">VLOOKUP(B6320,'Babblefish-APUMA'!$A$1:$B$86,2)</f>
        <v>92</v>
      </c>
      <c r="F6320" s="0" t="n">
        <f aca="false">IF(C6320&gt;1,IF(C6320&lt;99,VLOOKUP(C6320,'Babblefish-APUMA'!$A$1:$B$86,2),C6320),C6320)</f>
        <v>99</v>
      </c>
    </row>
    <row r="6321" customFormat="false" ht="12.75" hidden="false" customHeight="false" outlineLevel="0" collapsed="false">
      <c r="A6321" s="0" t="n">
        <f aca="false">B6321*1000+C6321</f>
        <v>84075</v>
      </c>
      <c r="B6321" s="0" t="n">
        <v>84</v>
      </c>
      <c r="C6321" s="0" t="n">
        <v>75</v>
      </c>
      <c r="D6321" s="0" t="n">
        <v>0</v>
      </c>
      <c r="E6321" s="0" t="n">
        <f aca="false">VLOOKUP(B6321,'Babblefish-APUMA'!$A$1:$B$86,2)</f>
        <v>92</v>
      </c>
      <c r="F6321" s="0" t="n">
        <f aca="false">IF(C6321&gt;1,IF(C6321&lt;99,VLOOKUP(C6321,'Babblefish-APUMA'!$A$1:$B$86,2),C6321),C6321)</f>
        <v>75</v>
      </c>
    </row>
    <row r="6322" customFormat="false" ht="12.75" hidden="false" customHeight="false" outlineLevel="0" collapsed="false">
      <c r="A6322" s="0" t="n">
        <f aca="false">B6322*1000+C6322</f>
        <v>84076</v>
      </c>
      <c r="B6322" s="0" t="n">
        <v>84</v>
      </c>
      <c r="C6322" s="0" t="n">
        <v>76</v>
      </c>
      <c r="D6322" s="0" t="n">
        <v>0</v>
      </c>
      <c r="E6322" s="0" t="n">
        <f aca="false">VLOOKUP(B6322,'Babblefish-APUMA'!$A$1:$B$86,2)</f>
        <v>92</v>
      </c>
      <c r="F6322" s="0" t="n">
        <f aca="false">IF(C6322&gt;1,IF(C6322&lt;99,VLOOKUP(C6322,'Babblefish-APUMA'!$A$1:$B$86,2),C6322),C6322)</f>
        <v>76</v>
      </c>
    </row>
    <row r="6323" customFormat="false" ht="12.75" hidden="false" customHeight="false" outlineLevel="0" collapsed="false">
      <c r="A6323" s="0" t="n">
        <f aca="false">B6323*1000+C6323</f>
        <v>84077</v>
      </c>
      <c r="B6323" s="0" t="n">
        <v>84</v>
      </c>
      <c r="C6323" s="0" t="n">
        <v>77</v>
      </c>
      <c r="D6323" s="0" t="n">
        <v>0</v>
      </c>
      <c r="E6323" s="0" t="n">
        <f aca="false">VLOOKUP(B6323,'Babblefish-APUMA'!$A$1:$B$86,2)</f>
        <v>92</v>
      </c>
      <c r="F6323" s="0" t="n">
        <f aca="false">IF(C6323&gt;1,IF(C6323&lt;99,VLOOKUP(C6323,'Babblefish-APUMA'!$A$1:$B$86,2),C6323),C6323)</f>
        <v>77</v>
      </c>
    </row>
    <row r="6324" customFormat="false" ht="12.75" hidden="false" customHeight="false" outlineLevel="0" collapsed="false">
      <c r="A6324" s="0" t="n">
        <f aca="false">B6324*1000+C6324</f>
        <v>84078</v>
      </c>
      <c r="B6324" s="0" t="n">
        <v>84</v>
      </c>
      <c r="C6324" s="0" t="n">
        <v>78</v>
      </c>
      <c r="D6324" s="0" t="n">
        <v>0</v>
      </c>
      <c r="E6324" s="0" t="n">
        <f aca="false">VLOOKUP(B6324,'Babblefish-APUMA'!$A$1:$B$86,2)</f>
        <v>92</v>
      </c>
      <c r="F6324" s="0" t="n">
        <f aca="false">IF(C6324&gt;1,IF(C6324&lt;99,VLOOKUP(C6324,'Babblefish-APUMA'!$A$1:$B$86,2),C6324),C6324)</f>
        <v>89</v>
      </c>
    </row>
    <row r="6325" customFormat="false" ht="12.75" hidden="false" customHeight="false" outlineLevel="0" collapsed="false">
      <c r="A6325" s="0" t="n">
        <f aca="false">B6325*1000+C6325</f>
        <v>84079</v>
      </c>
      <c r="B6325" s="0" t="n">
        <v>84</v>
      </c>
      <c r="C6325" s="0" t="n">
        <v>79</v>
      </c>
      <c r="D6325" s="0" t="n">
        <v>0</v>
      </c>
      <c r="E6325" s="0" t="n">
        <f aca="false">VLOOKUP(B6325,'Babblefish-APUMA'!$A$1:$B$86,2)</f>
        <v>92</v>
      </c>
      <c r="F6325" s="0" t="n">
        <f aca="false">IF(C6325&gt;1,IF(C6325&lt;99,VLOOKUP(C6325,'Babblefish-APUMA'!$A$1:$B$86,2),C6325),C6325)</f>
        <v>89</v>
      </c>
    </row>
    <row r="6326" customFormat="false" ht="12.75" hidden="false" customHeight="false" outlineLevel="0" collapsed="false">
      <c r="A6326" s="0" t="n">
        <f aca="false">B6326*1000+C6326</f>
        <v>84080</v>
      </c>
      <c r="B6326" s="0" t="n">
        <v>84</v>
      </c>
      <c r="C6326" s="0" t="n">
        <v>80</v>
      </c>
      <c r="D6326" s="0" t="n">
        <v>0</v>
      </c>
      <c r="E6326" s="0" t="n">
        <f aca="false">VLOOKUP(B6326,'Babblefish-APUMA'!$A$1:$B$86,2)</f>
        <v>92</v>
      </c>
      <c r="F6326" s="0" t="n">
        <f aca="false">IF(C6326&gt;1,IF(C6326&lt;99,VLOOKUP(C6326,'Babblefish-APUMA'!$A$1:$B$86,2),C6326),C6326)</f>
        <v>80</v>
      </c>
    </row>
    <row r="6327" customFormat="false" ht="12.75" hidden="false" customHeight="false" outlineLevel="0" collapsed="false">
      <c r="A6327" s="0" t="n">
        <f aca="false">B6327*1000+C6327</f>
        <v>84081</v>
      </c>
      <c r="B6327" s="0" t="n">
        <v>84</v>
      </c>
      <c r="C6327" s="0" t="n">
        <v>81</v>
      </c>
      <c r="D6327" s="0" t="n">
        <v>429</v>
      </c>
      <c r="E6327" s="0" t="n">
        <f aca="false">VLOOKUP(B6327,'Babblefish-APUMA'!$A$1:$B$86,2)</f>
        <v>92</v>
      </c>
      <c r="F6327" s="0" t="n">
        <f aca="false">IF(C6327&gt;1,IF(C6327&lt;99,VLOOKUP(C6327,'Babblefish-APUMA'!$A$1:$B$86,2),C6327),C6327)</f>
        <v>93</v>
      </c>
    </row>
    <row r="6328" customFormat="false" ht="12.75" hidden="false" customHeight="false" outlineLevel="0" collapsed="false">
      <c r="A6328" s="0" t="n">
        <f aca="false">B6328*1000+C6328</f>
        <v>84082</v>
      </c>
      <c r="B6328" s="0" t="n">
        <v>84</v>
      </c>
      <c r="C6328" s="0" t="n">
        <v>82</v>
      </c>
      <c r="D6328" s="0" t="n">
        <v>247</v>
      </c>
      <c r="E6328" s="0" t="n">
        <f aca="false">VLOOKUP(B6328,'Babblefish-APUMA'!$A$1:$B$86,2)</f>
        <v>92</v>
      </c>
      <c r="F6328" s="0" t="n">
        <f aca="false">IF(C6328&gt;1,IF(C6328&lt;99,VLOOKUP(C6328,'Babblefish-APUMA'!$A$1:$B$86,2),C6328),C6328)</f>
        <v>95</v>
      </c>
    </row>
    <row r="6329" customFormat="false" ht="12.75" hidden="false" customHeight="false" outlineLevel="0" collapsed="false">
      <c r="A6329" s="0" t="n">
        <f aca="false">B6329*1000+C6329</f>
        <v>84083</v>
      </c>
      <c r="B6329" s="0" t="n">
        <v>84</v>
      </c>
      <c r="C6329" s="0" t="n">
        <v>83</v>
      </c>
      <c r="D6329" s="0" t="n">
        <v>0</v>
      </c>
      <c r="E6329" s="0" t="n">
        <f aca="false">VLOOKUP(B6329,'Babblefish-APUMA'!$A$1:$B$86,2)</f>
        <v>92</v>
      </c>
      <c r="F6329" s="0" t="n">
        <f aca="false">IF(C6329&gt;1,IF(C6329&lt;99,VLOOKUP(C6329,'Babblefish-APUMA'!$A$1:$B$86,2),C6329),C6329)</f>
        <v>103</v>
      </c>
    </row>
    <row r="6330" customFormat="false" ht="12.75" hidden="false" customHeight="false" outlineLevel="0" collapsed="false">
      <c r="A6330" s="0" t="n">
        <f aca="false">B6330*1000+C6330</f>
        <v>84084</v>
      </c>
      <c r="B6330" s="0" t="n">
        <v>84</v>
      </c>
      <c r="C6330" s="0" t="n">
        <v>84</v>
      </c>
      <c r="D6330" s="0" t="n">
        <v>46176</v>
      </c>
      <c r="E6330" s="0" t="n">
        <f aca="false">VLOOKUP(B6330,'Babblefish-APUMA'!$A$1:$B$86,2)</f>
        <v>92</v>
      </c>
      <c r="F6330" s="0" t="n">
        <f aca="false">IF(C6330&gt;1,IF(C6330&lt;99,VLOOKUP(C6330,'Babblefish-APUMA'!$A$1:$B$86,2),C6330),C6330)</f>
        <v>92</v>
      </c>
    </row>
    <row r="6331" customFormat="false" ht="12.75" hidden="false" customHeight="false" outlineLevel="0" collapsed="false">
      <c r="A6331" s="0" t="n">
        <f aca="false">B6331*1000+C6331</f>
        <v>84085</v>
      </c>
      <c r="B6331" s="0" t="n">
        <v>84</v>
      </c>
      <c r="C6331" s="0" t="n">
        <v>85</v>
      </c>
      <c r="D6331" s="0" t="n">
        <v>0</v>
      </c>
      <c r="E6331" s="0" t="n">
        <f aca="false">VLOOKUP(B6331,'Babblefish-APUMA'!$A$1:$B$86,2)</f>
        <v>92</v>
      </c>
      <c r="F6331" s="0" t="n">
        <f aca="false">IF(C6331&gt;1,IF(C6331&lt;99,VLOOKUP(C6331,'Babblefish-APUMA'!$A$1:$B$86,2),C6331),C6331)</f>
        <v>97</v>
      </c>
    </row>
    <row r="6332" customFormat="false" ht="12.75" hidden="false" customHeight="false" outlineLevel="0" collapsed="false">
      <c r="A6332" s="0" t="n">
        <f aca="false">B6332*1000+C6332</f>
        <v>84858</v>
      </c>
      <c r="B6332" s="0" t="n">
        <v>84</v>
      </c>
      <c r="C6332" s="0" t="n">
        <v>858</v>
      </c>
      <c r="D6332" s="0" t="n">
        <v>0</v>
      </c>
      <c r="E6332" s="0" t="n">
        <f aca="false">VLOOKUP(B6332,'Babblefish-APUMA'!$A$1:$B$86,2)</f>
        <v>92</v>
      </c>
      <c r="F6332" s="0" t="n">
        <f aca="false">IF(C6332&gt;1,IF(C6332&lt;99,VLOOKUP(C6332,'Babblefish-APUMA'!$A$1:$B$86,2),C6332),C6332)</f>
        <v>858</v>
      </c>
    </row>
    <row r="6333" customFormat="false" ht="12.75" hidden="false" customHeight="false" outlineLevel="0" collapsed="false">
      <c r="A6333" s="0" t="n">
        <f aca="false">B6333*1000+C6333</f>
        <v>84983</v>
      </c>
      <c r="B6333" s="0" t="n">
        <v>84</v>
      </c>
      <c r="C6333" s="0" t="n">
        <v>983</v>
      </c>
      <c r="D6333" s="0" t="n">
        <v>0</v>
      </c>
      <c r="E6333" s="0" t="n">
        <f aca="false">VLOOKUP(B6333,'Babblefish-APUMA'!$A$1:$B$86,2)</f>
        <v>92</v>
      </c>
      <c r="F6333" s="0" t="n">
        <f aca="false">IF(C6333&gt;1,IF(C6333&lt;99,VLOOKUP(C6333,'Babblefish-APUMA'!$A$1:$B$86,2),C6333),C6333)</f>
        <v>983</v>
      </c>
    </row>
    <row r="6334" customFormat="false" ht="12.75" hidden="false" customHeight="false" outlineLevel="0" collapsed="false">
      <c r="A6334" s="0" t="n">
        <f aca="false">B6334*1000+C6334</f>
        <v>84999</v>
      </c>
      <c r="B6334" s="0" t="n">
        <v>84</v>
      </c>
      <c r="C6334" s="0" t="n">
        <v>999</v>
      </c>
      <c r="D6334" s="0" t="n">
        <v>143</v>
      </c>
      <c r="E6334" s="0" t="n">
        <f aca="false">VLOOKUP(B6334,'Babblefish-APUMA'!$A$1:$B$86,2)</f>
        <v>92</v>
      </c>
      <c r="F6334" s="0" t="n">
        <f aca="false">IF(C6334&gt;1,IF(C6334&lt;99,VLOOKUP(C6334,'Babblefish-APUMA'!$A$1:$B$86,2),C6334),C6334)</f>
        <v>999</v>
      </c>
    </row>
    <row r="6336" customFormat="false" ht="12.75" hidden="false" customHeight="false" outlineLevel="0" collapsed="false">
      <c r="D6336" s="0" t="n">
        <f aca="false">SUM(D2:D6335)</f>
        <v>29483067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1998-12-03T04:15:34Z</dcterms:created>
  <dc:creator>David Levinson</dc:creator>
  <dc:description/>
  <dc:language>en-AU</dc:language>
  <cp:lastModifiedBy>David Levinson</cp:lastModifiedBy>
  <cp:lastPrinted>1998-12-23T05:28:25Z</cp:lastPrinted>
  <cp:revision>0</cp:revision>
  <dc:subject/>
  <dc:title/>
</cp:coreProperties>
</file>